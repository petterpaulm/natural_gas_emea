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B8AA0787-3E95-4442-8F38-17CA70156204}" xr6:coauthVersionLast="46" xr6:coauthVersionMax="46" xr10:uidLastSave="{00000000-0000-0000-0000-000000000000}"/>
  <bookViews>
    <workbookView xWindow="51480" yWindow="-120" windowWidth="51840" windowHeight="21240" tabRatio="500" activeTab="1" xr2:uid="{00000000-000D-0000-FFFF-FFFF00000000}"/>
  </bookViews>
  <sheets>
    <sheet name="model step2(M24)" sheetId="26" r:id="rId1"/>
    <sheet name="M18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'M18'!$A$1:$AC$1610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25" l="1"/>
  <c r="AA7" i="25"/>
  <c r="W7" i="25"/>
  <c r="AC7" i="25"/>
  <c r="V8" i="25"/>
  <c r="AA8" i="25"/>
  <c r="W8" i="25"/>
  <c r="AC8" i="25"/>
  <c r="V9" i="25"/>
  <c r="AA9" i="25"/>
  <c r="W9" i="25"/>
  <c r="AC9" i="25"/>
  <c r="V10" i="25"/>
  <c r="AA10" i="25"/>
  <c r="W10" i="25"/>
  <c r="AC10" i="25"/>
  <c r="V11" i="25"/>
  <c r="AA11" i="25"/>
  <c r="W11" i="25"/>
  <c r="AC11" i="25"/>
  <c r="V12" i="25"/>
  <c r="AA12" i="25"/>
  <c r="W12" i="25"/>
  <c r="AC12" i="25"/>
  <c r="V13" i="25"/>
  <c r="AA13" i="25"/>
  <c r="W13" i="25"/>
  <c r="AC13" i="25"/>
  <c r="V14" i="25"/>
  <c r="AA14" i="25"/>
  <c r="W14" i="25"/>
  <c r="AC14" i="25"/>
  <c r="V15" i="25"/>
  <c r="AA15" i="25"/>
  <c r="W15" i="25"/>
  <c r="AC15" i="25"/>
  <c r="V16" i="25"/>
  <c r="AA16" i="25"/>
  <c r="W16" i="25"/>
  <c r="AC16" i="25"/>
  <c r="V17" i="25"/>
  <c r="AA17" i="25"/>
  <c r="W17" i="25"/>
  <c r="AC17" i="25"/>
  <c r="V18" i="25"/>
  <c r="AA18" i="25"/>
  <c r="W18" i="25"/>
  <c r="AC18" i="25"/>
  <c r="V19" i="25"/>
  <c r="AA19" i="25"/>
  <c r="W19" i="25"/>
  <c r="AC19" i="25"/>
  <c r="U7" i="25" a="1"/>
  <c r="U7" i="25"/>
  <c r="U8" i="25" a="1"/>
  <c r="U8" i="25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9" i="25"/>
  <c r="U10" i="25"/>
  <c r="U11" i="25"/>
  <c r="U12" i="25"/>
  <c r="U13" i="25"/>
  <c r="U14" i="25"/>
  <c r="U15" i="25"/>
  <c r="U16" i="25"/>
  <c r="U17" i="25"/>
  <c r="U18" i="25"/>
  <c r="U19" i="25"/>
  <c r="U20" i="25"/>
  <c r="V20" i="25"/>
  <c r="AA20" i="25"/>
  <c r="W20" i="25"/>
  <c r="AC20" i="25"/>
  <c r="U21" i="25" a="1"/>
  <c r="U21" i="25"/>
  <c r="V21" i="25"/>
  <c r="AA21" i="25"/>
  <c r="W21" i="25"/>
  <c r="AC21" i="25"/>
  <c r="U22" i="25" a="1"/>
  <c r="U22" i="25"/>
  <c r="V22" i="25"/>
  <c r="AA22" i="25"/>
  <c r="W22" i="25"/>
  <c r="AC22" i="25"/>
  <c r="U23" i="25" a="1"/>
  <c r="U23" i="25"/>
  <c r="V23" i="25"/>
  <c r="AA23" i="25"/>
  <c r="W23" i="25"/>
  <c r="AC23" i="25"/>
  <c r="U24" i="25" a="1"/>
  <c r="U24" i="25"/>
  <c r="V24" i="25"/>
  <c r="AA24" i="25"/>
  <c r="W24" i="25"/>
  <c r="AC24" i="25"/>
  <c r="U25" i="25" a="1"/>
  <c r="U25" i="25"/>
  <c r="V25" i="25"/>
  <c r="AA25" i="25"/>
  <c r="W25" i="25"/>
  <c r="AC25" i="25"/>
  <c r="U26" i="25" a="1"/>
  <c r="U26" i="25"/>
  <c r="V26" i="25"/>
  <c r="AA26" i="25"/>
  <c r="W26" i="25"/>
  <c r="AC26" i="25"/>
  <c r="U27" i="25" a="1"/>
  <c r="U27" i="25"/>
  <c r="V27" i="25"/>
  <c r="AA27" i="25"/>
  <c r="W27" i="25"/>
  <c r="AC27" i="25"/>
  <c r="U28" i="25" a="1"/>
  <c r="U28" i="25"/>
  <c r="V28" i="25"/>
  <c r="AA28" i="25"/>
  <c r="W28" i="25"/>
  <c r="AC28" i="25"/>
  <c r="U29" i="25" a="1"/>
  <c r="U29" i="25"/>
  <c r="V29" i="25"/>
  <c r="AA29" i="25"/>
  <c r="W29" i="25"/>
  <c r="AC29" i="25"/>
  <c r="U30" i="25" a="1"/>
  <c r="U30" i="25"/>
  <c r="V30" i="25"/>
  <c r="AA30" i="25"/>
  <c r="W30" i="25"/>
  <c r="AC30" i="25"/>
  <c r="U31" i="25" a="1"/>
  <c r="U31" i="25"/>
  <c r="V31" i="25"/>
  <c r="AA31" i="25"/>
  <c r="W31" i="25"/>
  <c r="AC31" i="25"/>
  <c r="U32" i="25" a="1"/>
  <c r="U32" i="25"/>
  <c r="V32" i="25"/>
  <c r="AA32" i="25"/>
  <c r="W32" i="25"/>
  <c r="AC32" i="25"/>
  <c r="U33" i="25" a="1"/>
  <c r="U33" i="25"/>
  <c r="V33" i="25"/>
  <c r="AA33" i="25"/>
  <c r="W33" i="25"/>
  <c r="AC33" i="25"/>
  <c r="U34" i="25" a="1"/>
  <c r="U34" i="25"/>
  <c r="V34" i="25"/>
  <c r="AA34" i="25"/>
  <c r="W34" i="25"/>
  <c r="AC34" i="25"/>
  <c r="U35" i="25" a="1"/>
  <c r="U35" i="25"/>
  <c r="V35" i="25"/>
  <c r="AA35" i="25"/>
  <c r="W35" i="25"/>
  <c r="AC35" i="25"/>
  <c r="U36" i="25" a="1"/>
  <c r="U36" i="25"/>
  <c r="V36" i="25"/>
  <c r="AA36" i="25"/>
  <c r="W36" i="25"/>
  <c r="AC36" i="25"/>
  <c r="U37" i="25" a="1"/>
  <c r="U37" i="25"/>
  <c r="V37" i="25"/>
  <c r="AA37" i="25"/>
  <c r="W37" i="25"/>
  <c r="AC37" i="25"/>
  <c r="U38" i="25" a="1"/>
  <c r="U38" i="25"/>
  <c r="V38" i="25"/>
  <c r="AA38" i="25"/>
  <c r="W38" i="25"/>
  <c r="AC38" i="25"/>
  <c r="U39" i="25" a="1"/>
  <c r="U39" i="25"/>
  <c r="V39" i="25"/>
  <c r="AA39" i="25"/>
  <c r="W39" i="25"/>
  <c r="AC39" i="25"/>
  <c r="U40" i="25" a="1"/>
  <c r="U40" i="25"/>
  <c r="V40" i="25"/>
  <c r="AA40" i="25"/>
  <c r="W40" i="25"/>
  <c r="AC40" i="25"/>
  <c r="U41" i="25" a="1"/>
  <c r="U41" i="25"/>
  <c r="V41" i="25"/>
  <c r="AA41" i="25"/>
  <c r="W41" i="25"/>
  <c r="AC41" i="25"/>
  <c r="U42" i="25" a="1"/>
  <c r="U42" i="25"/>
  <c r="V42" i="25"/>
  <c r="AA42" i="25"/>
  <c r="W42" i="25"/>
  <c r="AC42" i="25"/>
  <c r="U43" i="25" a="1"/>
  <c r="U43" i="25"/>
  <c r="V43" i="25"/>
  <c r="AA43" i="25"/>
  <c r="W43" i="25"/>
  <c r="AC43" i="25"/>
  <c r="U44" i="25" a="1"/>
  <c r="U44" i="25"/>
  <c r="V44" i="25"/>
  <c r="AA44" i="25"/>
  <c r="W44" i="25"/>
  <c r="AC44" i="25"/>
  <c r="U45" i="25" a="1"/>
  <c r="U45" i="25"/>
  <c r="V45" i="25"/>
  <c r="AA45" i="25"/>
  <c r="W45" i="25"/>
  <c r="AC45" i="25"/>
  <c r="U46" i="25" a="1"/>
  <c r="U46" i="25"/>
  <c r="V46" i="25"/>
  <c r="AA46" i="25"/>
  <c r="W46" i="25"/>
  <c r="AC46" i="25"/>
  <c r="U47" i="25" a="1"/>
  <c r="U47" i="25"/>
  <c r="V47" i="25"/>
  <c r="AA47" i="25"/>
  <c r="W47" i="25"/>
  <c r="AC47" i="25"/>
  <c r="U48" i="25" a="1"/>
  <c r="U48" i="25"/>
  <c r="V48" i="25"/>
  <c r="AA48" i="25"/>
  <c r="W48" i="25"/>
  <c r="AC48" i="25"/>
  <c r="U49" i="25" a="1"/>
  <c r="U49" i="25"/>
  <c r="V49" i="25"/>
  <c r="AA49" i="25"/>
  <c r="W49" i="25"/>
  <c r="AC49" i="25"/>
  <c r="U50" i="25" a="1"/>
  <c r="U50" i="25"/>
  <c r="V50" i="25"/>
  <c r="AA50" i="25"/>
  <c r="W50" i="25"/>
  <c r="AC50" i="25"/>
  <c r="U51" i="25" a="1"/>
  <c r="U51" i="25"/>
  <c r="V51" i="25"/>
  <c r="AA51" i="25"/>
  <c r="W51" i="25"/>
  <c r="AC51" i="25"/>
  <c r="U52" i="25" a="1"/>
  <c r="U52" i="25"/>
  <c r="V52" i="25"/>
  <c r="AA52" i="25"/>
  <c r="W52" i="25"/>
  <c r="AC52" i="25"/>
  <c r="U53" i="25" a="1"/>
  <c r="U53" i="25"/>
  <c r="V53" i="25"/>
  <c r="AA53" i="25"/>
  <c r="W53" i="25"/>
  <c r="AC53" i="25"/>
  <c r="U54" i="25" a="1"/>
  <c r="U54" i="25"/>
  <c r="V54" i="25"/>
  <c r="AA54" i="25"/>
  <c r="W54" i="25"/>
  <c r="AC54" i="25"/>
  <c r="U55" i="25" a="1"/>
  <c r="U55" i="25"/>
  <c r="V55" i="25"/>
  <c r="AA55" i="25"/>
  <c r="W55" i="25"/>
  <c r="AC55" i="25"/>
  <c r="U56" i="25" a="1"/>
  <c r="U56" i="25"/>
  <c r="V56" i="25"/>
  <c r="AA56" i="25"/>
  <c r="W56" i="25"/>
  <c r="AC56" i="25"/>
  <c r="U57" i="25" a="1"/>
  <c r="U57" i="25"/>
  <c r="V57" i="25"/>
  <c r="AA57" i="25"/>
  <c r="W57" i="25"/>
  <c r="AC57" i="25"/>
  <c r="U58" i="25" a="1"/>
  <c r="U58" i="25"/>
  <c r="V58" i="25"/>
  <c r="AA58" i="25"/>
  <c r="W58" i="25"/>
  <c r="AC58" i="25"/>
  <c r="U59" i="25" a="1"/>
  <c r="U59" i="25"/>
  <c r="V59" i="25"/>
  <c r="AA59" i="25"/>
  <c r="W59" i="25"/>
  <c r="AC59" i="25"/>
  <c r="U60" i="25" a="1"/>
  <c r="U60" i="25"/>
  <c r="V60" i="25"/>
  <c r="AA60" i="25"/>
  <c r="W60" i="25"/>
  <c r="AC60" i="25"/>
  <c r="U61" i="25" a="1"/>
  <c r="U61" i="25"/>
  <c r="V61" i="25"/>
  <c r="AA61" i="25"/>
  <c r="W61" i="25"/>
  <c r="AC61" i="25"/>
  <c r="U62" i="25" a="1"/>
  <c r="U62" i="25"/>
  <c r="V62" i="25"/>
  <c r="AA62" i="25"/>
  <c r="W62" i="25"/>
  <c r="AC62" i="25"/>
  <c r="U63" i="25" a="1"/>
  <c r="U63" i="25"/>
  <c r="V63" i="25"/>
  <c r="AA63" i="25"/>
  <c r="W63" i="25"/>
  <c r="AC63" i="25"/>
  <c r="U64" i="25" a="1"/>
  <c r="U64" i="25"/>
  <c r="V64" i="25"/>
  <c r="AA64" i="25"/>
  <c r="W64" i="25"/>
  <c r="AC64" i="25"/>
  <c r="U65" i="25" a="1"/>
  <c r="U65" i="25"/>
  <c r="V65" i="25"/>
  <c r="AA65" i="25"/>
  <c r="W65" i="25"/>
  <c r="AC65" i="25"/>
  <c r="U66" i="25" a="1"/>
  <c r="U66" i="25"/>
  <c r="V66" i="25"/>
  <c r="AA66" i="25"/>
  <c r="W66" i="25"/>
  <c r="AC66" i="25"/>
  <c r="U67" i="25" a="1"/>
  <c r="U67" i="25"/>
  <c r="V67" i="25"/>
  <c r="AA67" i="25"/>
  <c r="W67" i="25"/>
  <c r="AC67" i="25"/>
  <c r="U68" i="25" a="1"/>
  <c r="U68" i="25"/>
  <c r="V68" i="25"/>
  <c r="AA68" i="25"/>
  <c r="W68" i="25"/>
  <c r="AC68" i="25"/>
  <c r="U69" i="25" a="1"/>
  <c r="U69" i="25"/>
  <c r="V69" i="25"/>
  <c r="AA69" i="25"/>
  <c r="W69" i="25"/>
  <c r="AC69" i="25"/>
  <c r="U70" i="25" a="1"/>
  <c r="U70" i="25"/>
  <c r="V70" i="25"/>
  <c r="AA70" i="25"/>
  <c r="W70" i="25"/>
  <c r="AC70" i="25"/>
  <c r="U71" i="25" a="1"/>
  <c r="U71" i="25"/>
  <c r="V71" i="25"/>
  <c r="AA71" i="25"/>
  <c r="W71" i="25"/>
  <c r="AC71" i="25"/>
  <c r="U72" i="25" a="1"/>
  <c r="U72" i="25"/>
  <c r="V72" i="25"/>
  <c r="AA72" i="25"/>
  <c r="W72" i="25"/>
  <c r="AC72" i="25"/>
  <c r="U73" i="25" a="1"/>
  <c r="U73" i="25"/>
  <c r="V73" i="25"/>
  <c r="AA73" i="25"/>
  <c r="W73" i="25"/>
  <c r="AC73" i="25"/>
  <c r="U74" i="25" a="1"/>
  <c r="U74" i="25"/>
  <c r="V74" i="25"/>
  <c r="AA74" i="25"/>
  <c r="W74" i="25"/>
  <c r="AC74" i="25"/>
  <c r="U75" i="25" a="1"/>
  <c r="U75" i="25"/>
  <c r="V75" i="25"/>
  <c r="AA75" i="25"/>
  <c r="W75" i="25"/>
  <c r="AC75" i="25"/>
  <c r="U76" i="25" a="1"/>
  <c r="U76" i="25"/>
  <c r="V76" i="25"/>
  <c r="AA76" i="25"/>
  <c r="W76" i="25"/>
  <c r="AC76" i="25"/>
  <c r="U77" i="25" a="1"/>
  <c r="U77" i="25"/>
  <c r="V77" i="25"/>
  <c r="AA77" i="25"/>
  <c r="W77" i="25"/>
  <c r="AC77" i="25"/>
  <c r="U78" i="25" a="1"/>
  <c r="U78" i="25"/>
  <c r="V78" i="25"/>
  <c r="AA78" i="25"/>
  <c r="W78" i="25"/>
  <c r="AC78" i="25"/>
  <c r="U79" i="25" a="1"/>
  <c r="U79" i="25"/>
  <c r="V79" i="25"/>
  <c r="AA79" i="25"/>
  <c r="W79" i="25"/>
  <c r="AC79" i="25"/>
  <c r="U80" i="25" a="1"/>
  <c r="U80" i="25"/>
  <c r="V80" i="25"/>
  <c r="AA80" i="25"/>
  <c r="W80" i="25"/>
  <c r="AC80" i="25"/>
  <c r="U81" i="25" a="1"/>
  <c r="U81" i="25"/>
  <c r="V81" i="25"/>
  <c r="AA81" i="25"/>
  <c r="W81" i="25"/>
  <c r="AC81" i="25"/>
  <c r="U82" i="25" a="1"/>
  <c r="U82" i="25"/>
  <c r="V82" i="25"/>
  <c r="AA82" i="25"/>
  <c r="W82" i="25"/>
  <c r="AC82" i="25"/>
  <c r="U83" i="25" a="1"/>
  <c r="U83" i="25"/>
  <c r="V83" i="25"/>
  <c r="AA83" i="25"/>
  <c r="W83" i="25"/>
  <c r="AC83" i="25"/>
  <c r="U84" i="25" a="1"/>
  <c r="U84" i="25"/>
  <c r="V84" i="25"/>
  <c r="AA84" i="25"/>
  <c r="W84" i="25"/>
  <c r="AC84" i="25"/>
  <c r="U85" i="25" a="1"/>
  <c r="U85" i="25"/>
  <c r="V85" i="25"/>
  <c r="AA85" i="25"/>
  <c r="W85" i="25"/>
  <c r="AC85" i="25"/>
  <c r="U86" i="25" a="1"/>
  <c r="U86" i="25"/>
  <c r="V86" i="25"/>
  <c r="AA86" i="25"/>
  <c r="W86" i="25"/>
  <c r="AC86" i="25"/>
  <c r="U87" i="25" a="1"/>
  <c r="U87" i="25"/>
  <c r="V87" i="25"/>
  <c r="AA87" i="25"/>
  <c r="W87" i="25"/>
  <c r="AC87" i="25"/>
  <c r="U88" i="25" a="1"/>
  <c r="U88" i="25"/>
  <c r="V88" i="25"/>
  <c r="AA88" i="25"/>
  <c r="W88" i="25"/>
  <c r="AC88" i="25"/>
  <c r="U89" i="25" a="1"/>
  <c r="U89" i="25"/>
  <c r="V89" i="25"/>
  <c r="AA89" i="25"/>
  <c r="W89" i="25"/>
  <c r="AC89" i="25"/>
  <c r="U90" i="25" a="1"/>
  <c r="U90" i="25"/>
  <c r="V90" i="25"/>
  <c r="AA90" i="25"/>
  <c r="W90" i="25"/>
  <c r="AC90" i="25"/>
  <c r="U91" i="25" a="1"/>
  <c r="U91" i="25"/>
  <c r="V91" i="25"/>
  <c r="AA91" i="25"/>
  <c r="W91" i="25"/>
  <c r="AC91" i="25"/>
  <c r="U92" i="25" a="1"/>
  <c r="U92" i="25"/>
  <c r="V92" i="25"/>
  <c r="AA92" i="25"/>
  <c r="W92" i="25"/>
  <c r="AC92" i="25"/>
  <c r="U93" i="25" a="1"/>
  <c r="U93" i="25"/>
  <c r="V93" i="25"/>
  <c r="AA93" i="25"/>
  <c r="W93" i="25"/>
  <c r="AC93" i="25"/>
  <c r="U94" i="25" a="1"/>
  <c r="U94" i="25"/>
  <c r="V94" i="25"/>
  <c r="AA94" i="25"/>
  <c r="W94" i="25"/>
  <c r="AC94" i="25"/>
  <c r="U95" i="25" a="1"/>
  <c r="U95" i="25"/>
  <c r="V95" i="25"/>
  <c r="AA95" i="25"/>
  <c r="W95" i="25"/>
  <c r="AC95" i="25"/>
  <c r="U96" i="25" a="1"/>
  <c r="U96" i="25"/>
  <c r="V96" i="25"/>
  <c r="AA96" i="25"/>
  <c r="W96" i="25"/>
  <c r="AC96" i="25"/>
  <c r="U97" i="25" a="1"/>
  <c r="U97" i="25"/>
  <c r="V97" i="25"/>
  <c r="AA97" i="25"/>
  <c r="W97" i="25"/>
  <c r="AC97" i="25"/>
  <c r="U98" i="25" a="1"/>
  <c r="U98" i="25"/>
  <c r="V98" i="25"/>
  <c r="AA98" i="25"/>
  <c r="W98" i="25"/>
  <c r="AC98" i="25"/>
  <c r="U99" i="25" a="1"/>
  <c r="U99" i="25"/>
  <c r="V99" i="25"/>
  <c r="AA99" i="25"/>
  <c r="W99" i="25"/>
  <c r="AC99" i="25"/>
  <c r="U100" i="25" a="1"/>
  <c r="U100" i="25"/>
  <c r="V100" i="25"/>
  <c r="AA100" i="25"/>
  <c r="W100" i="25"/>
  <c r="AC100" i="25"/>
  <c r="U101" i="25" a="1"/>
  <c r="U101" i="25"/>
  <c r="V101" i="25"/>
  <c r="AA101" i="25"/>
  <c r="W101" i="25"/>
  <c r="AC101" i="25"/>
  <c r="U102" i="25" a="1"/>
  <c r="U102" i="25"/>
  <c r="V102" i="25"/>
  <c r="AA102" i="25"/>
  <c r="W102" i="25"/>
  <c r="AC102" i="25"/>
  <c r="U103" i="25" a="1"/>
  <c r="U103" i="25"/>
  <c r="V103" i="25"/>
  <c r="AA103" i="25"/>
  <c r="W103" i="25"/>
  <c r="AC103" i="25"/>
  <c r="U104" i="25" a="1"/>
  <c r="U104" i="25"/>
  <c r="V104" i="25"/>
  <c r="AA104" i="25"/>
  <c r="W104" i="25"/>
  <c r="AC104" i="25"/>
  <c r="U105" i="25" a="1"/>
  <c r="U105" i="25"/>
  <c r="V105" i="25"/>
  <c r="AA105" i="25"/>
  <c r="W105" i="25"/>
  <c r="AC105" i="25"/>
  <c r="U106" i="25" a="1"/>
  <c r="U106" i="25"/>
  <c r="V106" i="25"/>
  <c r="AA106" i="25"/>
  <c r="W106" i="25"/>
  <c r="AC106" i="25"/>
  <c r="U107" i="25" a="1"/>
  <c r="U107" i="25"/>
  <c r="V107" i="25"/>
  <c r="AA107" i="25"/>
  <c r="W107" i="25"/>
  <c r="AC107" i="25"/>
  <c r="U108" i="25" a="1"/>
  <c r="U108" i="25"/>
  <c r="V108" i="25"/>
  <c r="AA108" i="25"/>
  <c r="W108" i="25"/>
  <c r="AC108" i="25"/>
  <c r="U109" i="25" a="1"/>
  <c r="U109" i="25"/>
  <c r="V109" i="25"/>
  <c r="AA109" i="25"/>
  <c r="W109" i="25"/>
  <c r="AC109" i="25"/>
  <c r="U110" i="25" a="1"/>
  <c r="U110" i="25"/>
  <c r="V110" i="25"/>
  <c r="AA110" i="25"/>
  <c r="W110" i="25"/>
  <c r="AC110" i="25"/>
  <c r="U111" i="25" a="1"/>
  <c r="U111" i="25"/>
  <c r="V111" i="25"/>
  <c r="AA111" i="25"/>
  <c r="W111" i="25"/>
  <c r="AC111" i="25"/>
  <c r="U112" i="25" a="1"/>
  <c r="U112" i="25"/>
  <c r="V112" i="25"/>
  <c r="AA112" i="25"/>
  <c r="W112" i="25"/>
  <c r="AC112" i="25"/>
  <c r="U113" i="25" a="1"/>
  <c r="U113" i="25"/>
  <c r="V113" i="25"/>
  <c r="AA113" i="25"/>
  <c r="W113" i="25"/>
  <c r="AC113" i="25"/>
  <c r="U114" i="25" a="1"/>
  <c r="U114" i="25"/>
  <c r="V114" i="25"/>
  <c r="AA114" i="25"/>
  <c r="W114" i="25"/>
  <c r="AC114" i="25"/>
  <c r="U115" i="25" a="1"/>
  <c r="U115" i="25"/>
  <c r="V115" i="25"/>
  <c r="AA115" i="25"/>
  <c r="W115" i="25"/>
  <c r="AC115" i="25"/>
  <c r="U116" i="25" a="1"/>
  <c r="U116" i="25"/>
  <c r="V116" i="25"/>
  <c r="AA116" i="25"/>
  <c r="W116" i="25"/>
  <c r="AC116" i="25"/>
  <c r="U117" i="25" a="1"/>
  <c r="U117" i="25"/>
  <c r="V117" i="25"/>
  <c r="AA117" i="25"/>
  <c r="W117" i="25"/>
  <c r="AC117" i="25"/>
  <c r="U118" i="25" a="1"/>
  <c r="U118" i="25"/>
  <c r="V118" i="25"/>
  <c r="AA118" i="25"/>
  <c r="W118" i="25"/>
  <c r="AC118" i="25"/>
  <c r="U119" i="25" a="1"/>
  <c r="U119" i="25"/>
  <c r="V119" i="25"/>
  <c r="AA119" i="25"/>
  <c r="W119" i="25"/>
  <c r="AC119" i="25"/>
  <c r="U120" i="25" a="1"/>
  <c r="U120" i="25"/>
  <c r="V120" i="25"/>
  <c r="AA120" i="25"/>
  <c r="W120" i="25"/>
  <c r="AC120" i="25"/>
  <c r="U121" i="25" a="1"/>
  <c r="U121" i="25"/>
  <c r="V121" i="25"/>
  <c r="AA121" i="25"/>
  <c r="W121" i="25"/>
  <c r="AC121" i="25"/>
  <c r="U122" i="25" a="1"/>
  <c r="U122" i="25"/>
  <c r="V122" i="25"/>
  <c r="AA122" i="25"/>
  <c r="W122" i="25"/>
  <c r="AC122" i="25"/>
  <c r="U123" i="25" a="1"/>
  <c r="U123" i="25"/>
  <c r="V123" i="25"/>
  <c r="AA123" i="25"/>
  <c r="W123" i="25"/>
  <c r="AC123" i="25"/>
  <c r="U124" i="25" a="1"/>
  <c r="U124" i="25"/>
  <c r="V124" i="25"/>
  <c r="AA124" i="25"/>
  <c r="W124" i="25"/>
  <c r="AC124" i="25"/>
  <c r="Z1" i="25"/>
  <c r="T125" i="25" a="1"/>
  <c r="T125" i="25"/>
  <c r="T124" i="25" a="1"/>
  <c r="T124" i="25"/>
  <c r="T7" i="25" a="1"/>
  <c r="T8" i="25" a="1"/>
  <c r="T9" i="25" a="1"/>
  <c r="T10" i="25" a="1"/>
  <c r="T11" i="25" a="1"/>
  <c r="T12" i="25" a="1"/>
  <c r="T13" i="25" a="1"/>
  <c r="T14" i="25" a="1"/>
  <c r="T15" i="25" a="1"/>
  <c r="T16" i="25" a="1"/>
  <c r="T17" i="25" a="1"/>
  <c r="T18" i="25" a="1"/>
  <c r="T19" i="25" a="1"/>
  <c r="T20" i="25" a="1"/>
  <c r="T21" i="25" a="1"/>
  <c r="T22" i="25" a="1"/>
  <c r="T23" i="25" a="1"/>
  <c r="T24" i="25" a="1"/>
  <c r="T25" i="25" a="1"/>
  <c r="T26" i="25" a="1"/>
  <c r="T27" i="25" a="1"/>
  <c r="T28" i="25" a="1"/>
  <c r="T29" i="25" a="1"/>
  <c r="T30" i="25" a="1"/>
  <c r="T31" i="25" a="1"/>
  <c r="T32" i="25" a="1"/>
  <c r="T33" i="25" a="1"/>
  <c r="T34" i="25" a="1"/>
  <c r="T35" i="25" a="1"/>
  <c r="T36" i="25" a="1"/>
  <c r="T37" i="25" a="1"/>
  <c r="T38" i="25" a="1"/>
  <c r="T39" i="25" a="1"/>
  <c r="T40" i="25" a="1"/>
  <c r="T41" i="25" a="1"/>
  <c r="T42" i="25" a="1"/>
  <c r="T43" i="25" a="1"/>
  <c r="T44" i="25" a="1"/>
  <c r="T45" i="25" a="1"/>
  <c r="T46" i="25" a="1"/>
  <c r="T47" i="25" a="1"/>
  <c r="T48" i="25" a="1"/>
  <c r="T49" i="25" a="1"/>
  <c r="T50" i="25" a="1"/>
  <c r="T51" i="25" a="1"/>
  <c r="T52" i="25" a="1"/>
  <c r="T53" i="25" a="1"/>
  <c r="T54" i="25" a="1"/>
  <c r="T55" i="25" a="1"/>
  <c r="T56" i="25" a="1"/>
  <c r="T57" i="25" a="1"/>
  <c r="T58" i="25" a="1"/>
  <c r="T59" i="25" a="1"/>
  <c r="T60" i="25" a="1"/>
  <c r="T61" i="25" a="1"/>
  <c r="T62" i="25" a="1"/>
  <c r="T63" i="25" a="1"/>
  <c r="T64" i="25" a="1"/>
  <c r="T65" i="25" a="1"/>
  <c r="T66" i="25" a="1"/>
  <c r="T67" i="25" a="1"/>
  <c r="T68" i="25" a="1"/>
  <c r="T69" i="25" a="1"/>
  <c r="T70" i="25" a="1"/>
  <c r="T71" i="25" a="1"/>
  <c r="T72" i="25" a="1"/>
  <c r="T73" i="25" a="1"/>
  <c r="T74" i="25" a="1"/>
  <c r="T75" i="25" a="1"/>
  <c r="T76" i="25" a="1"/>
  <c r="T77" i="25" a="1"/>
  <c r="T78" i="25" a="1"/>
  <c r="T79" i="25" a="1"/>
  <c r="T80" i="25" a="1"/>
  <c r="T81" i="25" a="1"/>
  <c r="T82" i="25" a="1"/>
  <c r="T83" i="25" a="1"/>
  <c r="T84" i="25" a="1"/>
  <c r="T85" i="25" a="1"/>
  <c r="T86" i="25" a="1"/>
  <c r="T87" i="25" a="1"/>
  <c r="T88" i="25" a="1"/>
  <c r="T89" i="25" a="1"/>
  <c r="T90" i="25" a="1"/>
  <c r="T91" i="25" a="1"/>
  <c r="T92" i="25" a="1"/>
  <c r="T93" i="25" a="1"/>
  <c r="T94" i="25" a="1"/>
  <c r="T95" i="25" a="1"/>
  <c r="T96" i="25" a="1"/>
  <c r="T97" i="25" a="1"/>
  <c r="T98" i="25" a="1"/>
  <c r="T99" i="25" a="1"/>
  <c r="T100" i="25" a="1"/>
  <c r="T101" i="25" a="1"/>
  <c r="T102" i="25" a="1"/>
  <c r="T103" i="25" a="1"/>
  <c r="T104" i="25" a="1"/>
  <c r="T105" i="25" a="1"/>
  <c r="T106" i="25" a="1"/>
  <c r="T107" i="25" a="1"/>
  <c r="T108" i="25" a="1"/>
  <c r="T109" i="25" a="1"/>
  <c r="T110" i="25" a="1"/>
  <c r="T111" i="25" a="1"/>
  <c r="T112" i="25" a="1"/>
  <c r="T113" i="25" a="1"/>
  <c r="T114" i="25" a="1"/>
  <c r="T115" i="25" a="1"/>
  <c r="T116" i="25" a="1"/>
  <c r="T117" i="25" a="1"/>
  <c r="T118" i="25" a="1"/>
  <c r="T119" i="25" a="1"/>
  <c r="T120" i="25" a="1"/>
  <c r="T121" i="25" a="1"/>
  <c r="T122" i="25" a="1"/>
  <c r="T123" i="25" a="1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U125" i="25" a="1"/>
  <c r="U125" i="25"/>
  <c r="V125" i="25"/>
  <c r="AA125" i="25"/>
  <c r="W125" i="25"/>
  <c r="AC125" i="25"/>
  <c r="T126" i="25" a="1"/>
  <c r="T126" i="25"/>
  <c r="U126" i="25" a="1"/>
  <c r="U126" i="25"/>
  <c r="V126" i="25"/>
  <c r="AA126" i="25"/>
  <c r="W126" i="25"/>
  <c r="AC126" i="25"/>
  <c r="T127" i="25" a="1"/>
  <c r="T127" i="25"/>
  <c r="U127" i="25" a="1"/>
  <c r="U127" i="25"/>
  <c r="V127" i="25"/>
  <c r="AA127" i="25"/>
  <c r="W127" i="25"/>
  <c r="AC127" i="25"/>
  <c r="T128" i="25" a="1"/>
  <c r="T128" i="25"/>
  <c r="U128" i="25" a="1"/>
  <c r="U128" i="25"/>
  <c r="V128" i="25"/>
  <c r="AA128" i="25"/>
  <c r="W128" i="25"/>
  <c r="AC128" i="25"/>
  <c r="T129" i="25" a="1"/>
  <c r="T129" i="25"/>
  <c r="U129" i="25" a="1"/>
  <c r="U129" i="25"/>
  <c r="V129" i="25"/>
  <c r="AA129" i="25"/>
  <c r="W129" i="25"/>
  <c r="AC129" i="25"/>
  <c r="T130" i="25" a="1"/>
  <c r="T130" i="25"/>
  <c r="U130" i="25" a="1"/>
  <c r="U130" i="25"/>
  <c r="V130" i="25"/>
  <c r="AA130" i="25"/>
  <c r="W130" i="25"/>
  <c r="AC130" i="25"/>
  <c r="T131" i="25" a="1"/>
  <c r="T131" i="25"/>
  <c r="U131" i="25" a="1"/>
  <c r="U131" i="25"/>
  <c r="V131" i="25"/>
  <c r="AA131" i="25"/>
  <c r="W131" i="25"/>
  <c r="AC131" i="25"/>
  <c r="T132" i="25" a="1"/>
  <c r="T132" i="25"/>
  <c r="U132" i="25" a="1"/>
  <c r="U132" i="25"/>
  <c r="V132" i="25"/>
  <c r="AA132" i="25"/>
  <c r="W132" i="25"/>
  <c r="AC132" i="25"/>
  <c r="T133" i="25" a="1"/>
  <c r="T133" i="25"/>
  <c r="U133" i="25" a="1"/>
  <c r="U133" i="25"/>
  <c r="V133" i="25"/>
  <c r="AA133" i="25"/>
  <c r="W133" i="25"/>
  <c r="AC133" i="25"/>
  <c r="T134" i="25" a="1"/>
  <c r="T134" i="25"/>
  <c r="U134" i="25" a="1"/>
  <c r="U134" i="25"/>
  <c r="V134" i="25"/>
  <c r="AA134" i="25"/>
  <c r="W134" i="25"/>
  <c r="AC134" i="25"/>
  <c r="T135" i="25" a="1"/>
  <c r="T135" i="25"/>
  <c r="U135" i="25" a="1"/>
  <c r="U135" i="25"/>
  <c r="V135" i="25"/>
  <c r="AA135" i="25"/>
  <c r="W135" i="25"/>
  <c r="AC135" i="25"/>
  <c r="T136" i="25" a="1"/>
  <c r="T136" i="25"/>
  <c r="U136" i="25" a="1"/>
  <c r="U136" i="25"/>
  <c r="V136" i="25"/>
  <c r="AA136" i="25"/>
  <c r="W136" i="25"/>
  <c r="AC136" i="25"/>
  <c r="T137" i="25" a="1"/>
  <c r="T137" i="25"/>
  <c r="U137" i="25" a="1"/>
  <c r="U137" i="25"/>
  <c r="V137" i="25"/>
  <c r="AA137" i="25"/>
  <c r="W137" i="25"/>
  <c r="AC137" i="25"/>
  <c r="T138" i="25" a="1"/>
  <c r="T138" i="25"/>
  <c r="U138" i="25" a="1"/>
  <c r="U138" i="25"/>
  <c r="V138" i="25"/>
  <c r="AA138" i="25"/>
  <c r="W138" i="25"/>
  <c r="AC138" i="25"/>
  <c r="T139" i="25" a="1"/>
  <c r="T139" i="25"/>
  <c r="U139" i="25" a="1"/>
  <c r="U139" i="25"/>
  <c r="V139" i="25"/>
  <c r="AA139" i="25"/>
  <c r="W139" i="25"/>
  <c r="AC139" i="25"/>
  <c r="T140" i="25" a="1"/>
  <c r="T140" i="25"/>
  <c r="U140" i="25" a="1"/>
  <c r="U140" i="25"/>
  <c r="V140" i="25"/>
  <c r="AA140" i="25"/>
  <c r="W140" i="25"/>
  <c r="AC140" i="25"/>
  <c r="T141" i="25" a="1"/>
  <c r="T141" i="25"/>
  <c r="U141" i="25" a="1"/>
  <c r="U141" i="25"/>
  <c r="V141" i="25"/>
  <c r="AA141" i="25"/>
  <c r="W141" i="25"/>
  <c r="AC141" i="25"/>
  <c r="T142" i="25" a="1"/>
  <c r="T142" i="25"/>
  <c r="U142" i="25" a="1"/>
  <c r="U142" i="25"/>
  <c r="V142" i="25"/>
  <c r="AA142" i="25"/>
  <c r="W142" i="25"/>
  <c r="AC142" i="25"/>
  <c r="T143" i="25" a="1"/>
  <c r="T143" i="25"/>
  <c r="U143" i="25" a="1"/>
  <c r="U143" i="25"/>
  <c r="V143" i="25"/>
  <c r="AA143" i="25"/>
  <c r="W143" i="25"/>
  <c r="AC143" i="25"/>
  <c r="T144" i="25" a="1"/>
  <c r="T144" i="25"/>
  <c r="U144" i="25" a="1"/>
  <c r="U144" i="25"/>
  <c r="V144" i="25"/>
  <c r="AA144" i="25"/>
  <c r="W144" i="25"/>
  <c r="AC144" i="25"/>
  <c r="T145" i="25" a="1"/>
  <c r="T145" i="25"/>
  <c r="U145" i="25" a="1"/>
  <c r="U145" i="25"/>
  <c r="V145" i="25"/>
  <c r="AA145" i="25"/>
  <c r="W145" i="25"/>
  <c r="AC145" i="25"/>
  <c r="T146" i="25" a="1"/>
  <c r="T146" i="25"/>
  <c r="U146" i="25" a="1"/>
  <c r="U146" i="25"/>
  <c r="V146" i="25"/>
  <c r="AA146" i="25"/>
  <c r="W146" i="25"/>
  <c r="AC146" i="25"/>
  <c r="T147" i="25" a="1"/>
  <c r="T147" i="25"/>
  <c r="U147" i="25" a="1"/>
  <c r="U147" i="25"/>
  <c r="V147" i="25"/>
  <c r="AA147" i="25"/>
  <c r="W147" i="25"/>
  <c r="AC147" i="25"/>
  <c r="T148" i="25" a="1"/>
  <c r="T148" i="25"/>
  <c r="U148" i="25" a="1"/>
  <c r="U148" i="25"/>
  <c r="V148" i="25"/>
  <c r="AA148" i="25"/>
  <c r="W148" i="25"/>
  <c r="AC148" i="25"/>
  <c r="T149" i="25" a="1"/>
  <c r="T149" i="25"/>
  <c r="U149" i="25" a="1"/>
  <c r="U149" i="25"/>
  <c r="V149" i="25"/>
  <c r="AA149" i="25"/>
  <c r="W149" i="25"/>
  <c r="AC149" i="25"/>
  <c r="T150" i="25" a="1"/>
  <c r="T150" i="25"/>
  <c r="U150" i="25" a="1"/>
  <c r="U150" i="25"/>
  <c r="V150" i="25"/>
  <c r="AA150" i="25"/>
  <c r="W150" i="25"/>
  <c r="AC150" i="25"/>
  <c r="T151" i="25" a="1"/>
  <c r="T151" i="25"/>
  <c r="U151" i="25" a="1"/>
  <c r="U151" i="25"/>
  <c r="V151" i="25"/>
  <c r="AA151" i="25"/>
  <c r="W151" i="25"/>
  <c r="AC151" i="25"/>
  <c r="T152" i="25" a="1"/>
  <c r="T152" i="25"/>
  <c r="U152" i="25" a="1"/>
  <c r="U152" i="25"/>
  <c r="V152" i="25"/>
  <c r="AA152" i="25"/>
  <c r="W152" i="25"/>
  <c r="AC152" i="25"/>
  <c r="T153" i="25" a="1"/>
  <c r="T153" i="25"/>
  <c r="U153" i="25" a="1"/>
  <c r="U153" i="25"/>
  <c r="V153" i="25"/>
  <c r="AA153" i="25"/>
  <c r="W153" i="25"/>
  <c r="AC153" i="25"/>
  <c r="T154" i="25" a="1"/>
  <c r="T154" i="25"/>
  <c r="U154" i="25" a="1"/>
  <c r="U154" i="25"/>
  <c r="V154" i="25"/>
  <c r="AA154" i="25"/>
  <c r="W154" i="25"/>
  <c r="AC154" i="25"/>
  <c r="T155" i="25" a="1"/>
  <c r="T155" i="25"/>
  <c r="U155" i="25" a="1"/>
  <c r="U155" i="25"/>
  <c r="V155" i="25"/>
  <c r="AA155" i="25"/>
  <c r="W155" i="25"/>
  <c r="AC155" i="25"/>
  <c r="T156" i="25" a="1"/>
  <c r="T156" i="25"/>
  <c r="U156" i="25" a="1"/>
  <c r="U156" i="25"/>
  <c r="V156" i="25"/>
  <c r="AA156" i="25"/>
  <c r="W156" i="25"/>
  <c r="AC156" i="25"/>
  <c r="T157" i="25" a="1"/>
  <c r="T157" i="25"/>
  <c r="U157" i="25" a="1"/>
  <c r="U157" i="25"/>
  <c r="V157" i="25"/>
  <c r="AA157" i="25"/>
  <c r="W157" i="25"/>
  <c r="AC157" i="25"/>
  <c r="T158" i="25" a="1"/>
  <c r="T158" i="25"/>
  <c r="U158" i="25" a="1"/>
  <c r="U158" i="25"/>
  <c r="V158" i="25"/>
  <c r="AA158" i="25"/>
  <c r="W158" i="25"/>
  <c r="AC158" i="25"/>
  <c r="T159" i="25" a="1"/>
  <c r="T159" i="25"/>
  <c r="U159" i="25" a="1"/>
  <c r="U159" i="25"/>
  <c r="V159" i="25"/>
  <c r="AA159" i="25"/>
  <c r="W159" i="25"/>
  <c r="AC159" i="25"/>
  <c r="T160" i="25" a="1"/>
  <c r="T160" i="25"/>
  <c r="U160" i="25" a="1"/>
  <c r="U160" i="25"/>
  <c r="V160" i="25"/>
  <c r="AA160" i="25"/>
  <c r="W160" i="25"/>
  <c r="AC160" i="25"/>
  <c r="T161" i="25" a="1"/>
  <c r="T161" i="25"/>
  <c r="U161" i="25" a="1"/>
  <c r="U161" i="25"/>
  <c r="V161" i="25"/>
  <c r="AA161" i="25"/>
  <c r="W161" i="25"/>
  <c r="AC161" i="25"/>
  <c r="T162" i="25" a="1"/>
  <c r="T162" i="25"/>
  <c r="U162" i="25" a="1"/>
  <c r="U162" i="25"/>
  <c r="V162" i="25"/>
  <c r="AA162" i="25"/>
  <c r="W162" i="25"/>
  <c r="AC162" i="25"/>
  <c r="T163" i="25" a="1"/>
  <c r="T163" i="25"/>
  <c r="U163" i="25" a="1"/>
  <c r="U163" i="25"/>
  <c r="V163" i="25"/>
  <c r="AA163" i="25"/>
  <c r="W163" i="25"/>
  <c r="AC163" i="25"/>
  <c r="T164" i="25" a="1"/>
  <c r="T164" i="25"/>
  <c r="U164" i="25" a="1"/>
  <c r="U164" i="25"/>
  <c r="V164" i="25"/>
  <c r="AA164" i="25"/>
  <c r="W164" i="25"/>
  <c r="AC164" i="25"/>
  <c r="T165" i="25" a="1"/>
  <c r="T165" i="25"/>
  <c r="U165" i="25" a="1"/>
  <c r="U165" i="25"/>
  <c r="V165" i="25"/>
  <c r="AA165" i="25"/>
  <c r="W165" i="25"/>
  <c r="AC165" i="25"/>
  <c r="T166" i="25" a="1"/>
  <c r="T166" i="25"/>
  <c r="U166" i="25" a="1"/>
  <c r="U166" i="25"/>
  <c r="V166" i="25"/>
  <c r="AA166" i="25"/>
  <c r="W166" i="25"/>
  <c r="AC166" i="25"/>
  <c r="T167" i="25" a="1"/>
  <c r="T167" i="25"/>
  <c r="U167" i="25" a="1"/>
  <c r="U167" i="25"/>
  <c r="V167" i="25"/>
  <c r="AA167" i="25"/>
  <c r="W167" i="25"/>
  <c r="AC167" i="25"/>
  <c r="T168" i="25" a="1"/>
  <c r="T168" i="25"/>
  <c r="U168" i="25" a="1"/>
  <c r="U168" i="25"/>
  <c r="V168" i="25"/>
  <c r="AA168" i="25"/>
  <c r="W168" i="25"/>
  <c r="AC168" i="25"/>
  <c r="T169" i="25" a="1"/>
  <c r="T169" i="25"/>
  <c r="U169" i="25" a="1"/>
  <c r="U169" i="25"/>
  <c r="V169" i="25"/>
  <c r="AA169" i="25"/>
  <c r="W169" i="25"/>
  <c r="AC169" i="25"/>
  <c r="T170" i="25" a="1"/>
  <c r="T170" i="25"/>
  <c r="U170" i="25" a="1"/>
  <c r="U170" i="25"/>
  <c r="V170" i="25"/>
  <c r="AA170" i="25"/>
  <c r="W170" i="25"/>
  <c r="AC170" i="25"/>
  <c r="T171" i="25" a="1"/>
  <c r="T171" i="25"/>
  <c r="U171" i="25" a="1"/>
  <c r="U171" i="25"/>
  <c r="V171" i="25"/>
  <c r="AA171" i="25"/>
  <c r="W171" i="25"/>
  <c r="AC171" i="25"/>
  <c r="T172" i="25" a="1"/>
  <c r="T172" i="25"/>
  <c r="U172" i="25" a="1"/>
  <c r="U172" i="25"/>
  <c r="V172" i="25"/>
  <c r="AA172" i="25"/>
  <c r="W172" i="25"/>
  <c r="AC172" i="25"/>
  <c r="T173" i="25" a="1"/>
  <c r="T173" i="25"/>
  <c r="U173" i="25" a="1"/>
  <c r="U173" i="25"/>
  <c r="V173" i="25"/>
  <c r="AA173" i="25"/>
  <c r="W173" i="25"/>
  <c r="AC173" i="25"/>
  <c r="T174" i="25" a="1"/>
  <c r="T174" i="25"/>
  <c r="U174" i="25" a="1"/>
  <c r="U174" i="25"/>
  <c r="V174" i="25"/>
  <c r="AA174" i="25"/>
  <c r="W174" i="25"/>
  <c r="AC174" i="25"/>
  <c r="T175" i="25" a="1"/>
  <c r="T175" i="25"/>
  <c r="U175" i="25" a="1"/>
  <c r="U175" i="25"/>
  <c r="V175" i="25"/>
  <c r="AA175" i="25"/>
  <c r="W175" i="25"/>
  <c r="AC175" i="25"/>
  <c r="T176" i="25" a="1"/>
  <c r="T176" i="25"/>
  <c r="U176" i="25" a="1"/>
  <c r="U176" i="25"/>
  <c r="V176" i="25"/>
  <c r="AA176" i="25"/>
  <c r="W176" i="25"/>
  <c r="AC176" i="25"/>
  <c r="T177" i="25" a="1"/>
  <c r="T177" i="25"/>
  <c r="U177" i="25" a="1"/>
  <c r="U177" i="25"/>
  <c r="V177" i="25"/>
  <c r="AA177" i="25"/>
  <c r="W177" i="25"/>
  <c r="AC177" i="25"/>
  <c r="T178" i="25" a="1"/>
  <c r="T178" i="25"/>
  <c r="U178" i="25" a="1"/>
  <c r="U178" i="25"/>
  <c r="V178" i="25"/>
  <c r="AA178" i="25"/>
  <c r="W178" i="25"/>
  <c r="AC178" i="25"/>
  <c r="T179" i="25" a="1"/>
  <c r="T179" i="25"/>
  <c r="U179" i="25" a="1"/>
  <c r="U179" i="25"/>
  <c r="V179" i="25"/>
  <c r="AA179" i="25"/>
  <c r="W179" i="25"/>
  <c r="AC179" i="25"/>
  <c r="T180" i="25" a="1"/>
  <c r="T180" i="25"/>
  <c r="U180" i="25" a="1"/>
  <c r="U180" i="25"/>
  <c r="V180" i="25"/>
  <c r="AA180" i="25"/>
  <c r="W180" i="25"/>
  <c r="AC180" i="25"/>
  <c r="T181" i="25" a="1"/>
  <c r="T181" i="25"/>
  <c r="U181" i="25" a="1"/>
  <c r="U181" i="25"/>
  <c r="V181" i="25"/>
  <c r="AA181" i="25"/>
  <c r="W181" i="25"/>
  <c r="AC181" i="25"/>
  <c r="T182" i="25" a="1"/>
  <c r="T182" i="25"/>
  <c r="U182" i="25" a="1"/>
  <c r="U182" i="25"/>
  <c r="V182" i="25"/>
  <c r="AA182" i="25"/>
  <c r="W182" i="25"/>
  <c r="AC182" i="25"/>
  <c r="T183" i="25" a="1"/>
  <c r="T183" i="25"/>
  <c r="U183" i="25" a="1"/>
  <c r="U183" i="25"/>
  <c r="V183" i="25"/>
  <c r="AA183" i="25"/>
  <c r="W183" i="25"/>
  <c r="AC183" i="25"/>
  <c r="T184" i="25" a="1"/>
  <c r="T184" i="25"/>
  <c r="U184" i="25" a="1"/>
  <c r="U184" i="25"/>
  <c r="V184" i="25"/>
  <c r="AA184" i="25"/>
  <c r="W184" i="25"/>
  <c r="AC184" i="25"/>
  <c r="T185" i="25" a="1"/>
  <c r="T185" i="25"/>
  <c r="U185" i="25" a="1"/>
  <c r="U185" i="25"/>
  <c r="V185" i="25"/>
  <c r="AA185" i="25"/>
  <c r="W185" i="25"/>
  <c r="AC185" i="25"/>
  <c r="T186" i="25" a="1"/>
  <c r="T186" i="25"/>
  <c r="U186" i="25" a="1"/>
  <c r="U186" i="25"/>
  <c r="V186" i="25"/>
  <c r="AA186" i="25"/>
  <c r="W186" i="25"/>
  <c r="AC186" i="25"/>
  <c r="T187" i="25" a="1"/>
  <c r="T187" i="25"/>
  <c r="U187" i="25" a="1"/>
  <c r="U187" i="25"/>
  <c r="V187" i="25"/>
  <c r="AA187" i="25"/>
  <c r="W187" i="25"/>
  <c r="AC187" i="25"/>
  <c r="T188" i="25" a="1"/>
  <c r="T188" i="25"/>
  <c r="U188" i="25" a="1"/>
  <c r="U188" i="25"/>
  <c r="V188" i="25"/>
  <c r="AA188" i="25"/>
  <c r="W188" i="25"/>
  <c r="AC188" i="25"/>
  <c r="T189" i="25" a="1"/>
  <c r="T189" i="25"/>
  <c r="U189" i="25" a="1"/>
  <c r="U189" i="25"/>
  <c r="V189" i="25"/>
  <c r="AA189" i="25"/>
  <c r="W189" i="25"/>
  <c r="AC189" i="25"/>
  <c r="T190" i="25" a="1"/>
  <c r="T190" i="25"/>
  <c r="U190" i="25" a="1"/>
  <c r="U190" i="25"/>
  <c r="V190" i="25"/>
  <c r="AA190" i="25"/>
  <c r="W190" i="25"/>
  <c r="AC190" i="25"/>
  <c r="T191" i="25" a="1"/>
  <c r="T191" i="25"/>
  <c r="U191" i="25" a="1"/>
  <c r="U191" i="25"/>
  <c r="V191" i="25"/>
  <c r="AA191" i="25"/>
  <c r="W191" i="25"/>
  <c r="AC191" i="25"/>
  <c r="T192" i="25" a="1"/>
  <c r="T192" i="25"/>
  <c r="U192" i="25" a="1"/>
  <c r="U192" i="25"/>
  <c r="V192" i="25"/>
  <c r="AA192" i="25"/>
  <c r="W192" i="25"/>
  <c r="AC192" i="25"/>
  <c r="T193" i="25" a="1"/>
  <c r="T193" i="25"/>
  <c r="U193" i="25" a="1"/>
  <c r="U193" i="25"/>
  <c r="V193" i="25"/>
  <c r="AA193" i="25"/>
  <c r="W193" i="25"/>
  <c r="AC193" i="25"/>
  <c r="T194" i="25" a="1"/>
  <c r="T194" i="25"/>
  <c r="U194" i="25" a="1"/>
  <c r="U194" i="25"/>
  <c r="V194" i="25"/>
  <c r="AA194" i="25"/>
  <c r="W194" i="25"/>
  <c r="AC194" i="25"/>
  <c r="T195" i="25" a="1"/>
  <c r="T195" i="25"/>
  <c r="U195" i="25" a="1"/>
  <c r="U195" i="25"/>
  <c r="V195" i="25"/>
  <c r="AA195" i="25"/>
  <c r="W195" i="25"/>
  <c r="AC195" i="25"/>
  <c r="T196" i="25" a="1"/>
  <c r="T196" i="25"/>
  <c r="U196" i="25" a="1"/>
  <c r="U196" i="25"/>
  <c r="V196" i="25"/>
  <c r="AA196" i="25"/>
  <c r="W196" i="25"/>
  <c r="AC196" i="25"/>
  <c r="T197" i="25" a="1"/>
  <c r="T197" i="25"/>
  <c r="U197" i="25" a="1"/>
  <c r="U197" i="25"/>
  <c r="V197" i="25"/>
  <c r="AA197" i="25"/>
  <c r="W197" i="25"/>
  <c r="AC197" i="25"/>
  <c r="T198" i="25" a="1"/>
  <c r="T198" i="25"/>
  <c r="U198" i="25" a="1"/>
  <c r="U198" i="25"/>
  <c r="V198" i="25"/>
  <c r="AA198" i="25"/>
  <c r="W198" i="25"/>
  <c r="AC198" i="25"/>
  <c r="T199" i="25" a="1"/>
  <c r="T199" i="25"/>
  <c r="U199" i="25" a="1"/>
  <c r="U199" i="25"/>
  <c r="V199" i="25"/>
  <c r="AA199" i="25"/>
  <c r="W199" i="25"/>
  <c r="AC199" i="25"/>
  <c r="T200" i="25" a="1"/>
  <c r="T200" i="25"/>
  <c r="U200" i="25" a="1"/>
  <c r="U200" i="25"/>
  <c r="V200" i="25"/>
  <c r="AA200" i="25"/>
  <c r="W200" i="25"/>
  <c r="AC200" i="25"/>
  <c r="T201" i="25" a="1"/>
  <c r="T201" i="25"/>
  <c r="U201" i="25" a="1"/>
  <c r="U201" i="25"/>
  <c r="V201" i="25"/>
  <c r="AA201" i="25"/>
  <c r="W201" i="25"/>
  <c r="AC201" i="25"/>
  <c r="T202" i="25" a="1"/>
  <c r="T202" i="25"/>
  <c r="U202" i="25" a="1"/>
  <c r="U202" i="25"/>
  <c r="V202" i="25"/>
  <c r="AA202" i="25"/>
  <c r="W202" i="25"/>
  <c r="AC202" i="25"/>
  <c r="T203" i="25" a="1"/>
  <c r="T203" i="25"/>
  <c r="U203" i="25" a="1"/>
  <c r="U203" i="25"/>
  <c r="V203" i="25"/>
  <c r="AA203" i="25"/>
  <c r="W203" i="25"/>
  <c r="AC203" i="25"/>
  <c r="T204" i="25" a="1"/>
  <c r="T204" i="25"/>
  <c r="U204" i="25" a="1"/>
  <c r="U204" i="25"/>
  <c r="V204" i="25"/>
  <c r="AA204" i="25"/>
  <c r="W204" i="25"/>
  <c r="AC204" i="25"/>
  <c r="T205" i="25" a="1"/>
  <c r="T205" i="25"/>
  <c r="U205" i="25" a="1"/>
  <c r="U205" i="25"/>
  <c r="V205" i="25"/>
  <c r="AA205" i="25"/>
  <c r="W205" i="25"/>
  <c r="AC205" i="25"/>
  <c r="T206" i="25" a="1"/>
  <c r="T206" i="25"/>
  <c r="U206" i="25" a="1"/>
  <c r="U206" i="25"/>
  <c r="V206" i="25"/>
  <c r="AA206" i="25"/>
  <c r="W206" i="25"/>
  <c r="AC206" i="25"/>
  <c r="T207" i="25" a="1"/>
  <c r="T207" i="25"/>
  <c r="U207" i="25" a="1"/>
  <c r="U207" i="25"/>
  <c r="V207" i="25"/>
  <c r="AA207" i="25"/>
  <c r="W207" i="25"/>
  <c r="AC207" i="25"/>
  <c r="T208" i="25" a="1"/>
  <c r="T208" i="25"/>
  <c r="U208" i="25" a="1"/>
  <c r="U208" i="25"/>
  <c r="V208" i="25"/>
  <c r="AA208" i="25"/>
  <c r="W208" i="25"/>
  <c r="AC208" i="25"/>
  <c r="T209" i="25" a="1"/>
  <c r="T209" i="25"/>
  <c r="U209" i="25" a="1"/>
  <c r="U209" i="25"/>
  <c r="V209" i="25"/>
  <c r="AA209" i="25"/>
  <c r="W209" i="25"/>
  <c r="AC209" i="25"/>
  <c r="T210" i="25" a="1"/>
  <c r="T210" i="25"/>
  <c r="U210" i="25" a="1"/>
  <c r="U210" i="25"/>
  <c r="V210" i="25"/>
  <c r="AA210" i="25"/>
  <c r="W210" i="25"/>
  <c r="AC210" i="25"/>
  <c r="T211" i="25" a="1"/>
  <c r="T211" i="25"/>
  <c r="U211" i="25" a="1"/>
  <c r="U211" i="25"/>
  <c r="V211" i="25"/>
  <c r="AA211" i="25"/>
  <c r="W211" i="25"/>
  <c r="AC211" i="25"/>
  <c r="T212" i="25" a="1"/>
  <c r="T212" i="25"/>
  <c r="U212" i="25" a="1"/>
  <c r="U212" i="25"/>
  <c r="V212" i="25"/>
  <c r="AA212" i="25"/>
  <c r="W212" i="25"/>
  <c r="AC212" i="25"/>
  <c r="T213" i="25" a="1"/>
  <c r="T213" i="25"/>
  <c r="U213" i="25" a="1"/>
  <c r="U213" i="25"/>
  <c r="V213" i="25"/>
  <c r="AA213" i="25"/>
  <c r="W213" i="25"/>
  <c r="AC213" i="25"/>
  <c r="T214" i="25" a="1"/>
  <c r="T214" i="25"/>
  <c r="U214" i="25" a="1"/>
  <c r="U214" i="25"/>
  <c r="V214" i="25"/>
  <c r="AA214" i="25"/>
  <c r="W214" i="25"/>
  <c r="AC214" i="25"/>
  <c r="T215" i="25" a="1"/>
  <c r="T215" i="25"/>
  <c r="U215" i="25" a="1"/>
  <c r="U215" i="25"/>
  <c r="V215" i="25"/>
  <c r="AA215" i="25"/>
  <c r="W215" i="25"/>
  <c r="AC215" i="25"/>
  <c r="T216" i="25" a="1"/>
  <c r="T216" i="25"/>
  <c r="U216" i="25" a="1"/>
  <c r="U216" i="25"/>
  <c r="V216" i="25"/>
  <c r="AA216" i="25"/>
  <c r="W216" i="25"/>
  <c r="AC216" i="25"/>
  <c r="T217" i="25" a="1"/>
  <c r="T217" i="25"/>
  <c r="U217" i="25" a="1"/>
  <c r="U217" i="25"/>
  <c r="V217" i="25"/>
  <c r="AA217" i="25"/>
  <c r="W217" i="25"/>
  <c r="AC217" i="25"/>
  <c r="T218" i="25" a="1"/>
  <c r="T218" i="25"/>
  <c r="U218" i="25" a="1"/>
  <c r="U218" i="25"/>
  <c r="V218" i="25"/>
  <c r="AA218" i="25"/>
  <c r="W218" i="25"/>
  <c r="AC218" i="25"/>
  <c r="T219" i="25" a="1"/>
  <c r="T219" i="25"/>
  <c r="U219" i="25" a="1"/>
  <c r="U219" i="25"/>
  <c r="V219" i="25"/>
  <c r="AA219" i="25"/>
  <c r="W219" i="25"/>
  <c r="AC219" i="25"/>
  <c r="T220" i="25" a="1"/>
  <c r="T220" i="25"/>
  <c r="U220" i="25" a="1"/>
  <c r="U220" i="25"/>
  <c r="V220" i="25"/>
  <c r="AA220" i="25"/>
  <c r="W220" i="25"/>
  <c r="AC220" i="25"/>
  <c r="T221" i="25" a="1"/>
  <c r="T221" i="25"/>
  <c r="U221" i="25" a="1"/>
  <c r="U221" i="25"/>
  <c r="V221" i="25"/>
  <c r="AA221" i="25"/>
  <c r="W221" i="25"/>
  <c r="AC221" i="25"/>
  <c r="T222" i="25" a="1"/>
  <c r="T222" i="25"/>
  <c r="U222" i="25" a="1"/>
  <c r="U222" i="25"/>
  <c r="V222" i="25"/>
  <c r="AA222" i="25"/>
  <c r="W222" i="25"/>
  <c r="AC222" i="25"/>
  <c r="T223" i="25" a="1"/>
  <c r="T223" i="25"/>
  <c r="U223" i="25" a="1"/>
  <c r="U223" i="25"/>
  <c r="V223" i="25"/>
  <c r="AA223" i="25"/>
  <c r="W223" i="25"/>
  <c r="AC223" i="25"/>
  <c r="T224" i="25" a="1"/>
  <c r="T224" i="25"/>
  <c r="U224" i="25" a="1"/>
  <c r="U224" i="25"/>
  <c r="V224" i="25"/>
  <c r="AA224" i="25"/>
  <c r="W224" i="25"/>
  <c r="AC224" i="25"/>
  <c r="T225" i="25" a="1"/>
  <c r="T225" i="25"/>
  <c r="U225" i="25" a="1"/>
  <c r="U225" i="25"/>
  <c r="V225" i="25"/>
  <c r="AA225" i="25"/>
  <c r="W225" i="25"/>
  <c r="AC225" i="25"/>
  <c r="T226" i="25" a="1"/>
  <c r="T226" i="25"/>
  <c r="U226" i="25" a="1"/>
  <c r="U226" i="25"/>
  <c r="V226" i="25"/>
  <c r="AA226" i="25"/>
  <c r="W226" i="25"/>
  <c r="AC226" i="25"/>
  <c r="T227" i="25" a="1"/>
  <c r="T227" i="25"/>
  <c r="U227" i="25" a="1"/>
  <c r="U227" i="25"/>
  <c r="V227" i="25"/>
  <c r="AA227" i="25"/>
  <c r="W227" i="25"/>
  <c r="AC227" i="25"/>
  <c r="T228" i="25" a="1"/>
  <c r="T228" i="25"/>
  <c r="U228" i="25" a="1"/>
  <c r="U228" i="25"/>
  <c r="V228" i="25"/>
  <c r="AA228" i="25"/>
  <c r="W228" i="25"/>
  <c r="AC228" i="25"/>
  <c r="T229" i="25" a="1"/>
  <c r="T229" i="25"/>
  <c r="U229" i="25" a="1"/>
  <c r="U229" i="25"/>
  <c r="V229" i="25"/>
  <c r="AA229" i="25"/>
  <c r="W229" i="25"/>
  <c r="AC229" i="25"/>
  <c r="T230" i="25" a="1"/>
  <c r="T230" i="25"/>
  <c r="U230" i="25" a="1"/>
  <c r="U230" i="25"/>
  <c r="V230" i="25"/>
  <c r="AA230" i="25"/>
  <c r="W230" i="25"/>
  <c r="AC230" i="25"/>
  <c r="T231" i="25" a="1"/>
  <c r="T231" i="25"/>
  <c r="U231" i="25" a="1"/>
  <c r="U231" i="25"/>
  <c r="V231" i="25"/>
  <c r="AA231" i="25"/>
  <c r="W231" i="25"/>
  <c r="AC231" i="25"/>
  <c r="T232" i="25" a="1"/>
  <c r="T232" i="25"/>
  <c r="U232" i="25" a="1"/>
  <c r="U232" i="25"/>
  <c r="V232" i="25"/>
  <c r="AA232" i="25"/>
  <c r="W232" i="25"/>
  <c r="AC232" i="25"/>
  <c r="T233" i="25" a="1"/>
  <c r="T233" i="25"/>
  <c r="U233" i="25" a="1"/>
  <c r="U233" i="25"/>
  <c r="V233" i="25"/>
  <c r="AA233" i="25"/>
  <c r="W233" i="25"/>
  <c r="AC233" i="25"/>
  <c r="T234" i="25" a="1"/>
  <c r="T234" i="25"/>
  <c r="U234" i="25" a="1"/>
  <c r="U234" i="25"/>
  <c r="V234" i="25"/>
  <c r="AA234" i="25"/>
  <c r="W234" i="25"/>
  <c r="AC234" i="25"/>
  <c r="T235" i="25" a="1"/>
  <c r="T235" i="25"/>
  <c r="U235" i="25" a="1"/>
  <c r="U235" i="25"/>
  <c r="V235" i="25"/>
  <c r="AA235" i="25"/>
  <c r="W235" i="25"/>
  <c r="AC235" i="25"/>
  <c r="T236" i="25" a="1"/>
  <c r="T236" i="25"/>
  <c r="U236" i="25" a="1"/>
  <c r="U236" i="25"/>
  <c r="V236" i="25"/>
  <c r="AA236" i="25"/>
  <c r="W236" i="25"/>
  <c r="AC236" i="25"/>
  <c r="T237" i="25" a="1"/>
  <c r="T237" i="25"/>
  <c r="U237" i="25" a="1"/>
  <c r="U237" i="25"/>
  <c r="V237" i="25"/>
  <c r="AA237" i="25"/>
  <c r="W237" i="25"/>
  <c r="AC237" i="25"/>
  <c r="T238" i="25" a="1"/>
  <c r="T238" i="25"/>
  <c r="U238" i="25" a="1"/>
  <c r="U238" i="25"/>
  <c r="V238" i="25"/>
  <c r="AA238" i="25"/>
  <c r="W238" i="25"/>
  <c r="AC238" i="25"/>
  <c r="T239" i="25" a="1"/>
  <c r="T239" i="25"/>
  <c r="U239" i="25" a="1"/>
  <c r="U239" i="25"/>
  <c r="V239" i="25"/>
  <c r="AA239" i="25"/>
  <c r="W239" i="25"/>
  <c r="AC239" i="25"/>
  <c r="T240" i="25" a="1"/>
  <c r="T240" i="25"/>
  <c r="U240" i="25" a="1"/>
  <c r="U240" i="25"/>
  <c r="V240" i="25"/>
  <c r="AA240" i="25"/>
  <c r="W240" i="25"/>
  <c r="AC240" i="25"/>
  <c r="T241" i="25" a="1"/>
  <c r="T241" i="25"/>
  <c r="U241" i="25" a="1"/>
  <c r="U241" i="25"/>
  <c r="V241" i="25"/>
  <c r="AA241" i="25"/>
  <c r="W241" i="25"/>
  <c r="AC241" i="25"/>
  <c r="T242" i="25" a="1"/>
  <c r="T242" i="25"/>
  <c r="U242" i="25" a="1"/>
  <c r="U242" i="25"/>
  <c r="V242" i="25"/>
  <c r="AA242" i="25"/>
  <c r="W242" i="25"/>
  <c r="AC242" i="25"/>
  <c r="T243" i="25" a="1"/>
  <c r="T243" i="25"/>
  <c r="U243" i="25" a="1"/>
  <c r="U243" i="25"/>
  <c r="V243" i="25"/>
  <c r="AA243" i="25"/>
  <c r="W243" i="25"/>
  <c r="AC243" i="25"/>
  <c r="T244" i="25" a="1"/>
  <c r="T244" i="25"/>
  <c r="U244" i="25" a="1"/>
  <c r="U244" i="25"/>
  <c r="V244" i="25"/>
  <c r="AA244" i="25"/>
  <c r="W244" i="25"/>
  <c r="AC244" i="25"/>
  <c r="T245" i="25" a="1"/>
  <c r="T245" i="25"/>
  <c r="U245" i="25" a="1"/>
  <c r="U245" i="25"/>
  <c r="V245" i="25"/>
  <c r="AA245" i="25"/>
  <c r="W245" i="25"/>
  <c r="AC245" i="25"/>
  <c r="T246" i="25" a="1"/>
  <c r="T246" i="25"/>
  <c r="U246" i="25" a="1"/>
  <c r="U246" i="25"/>
  <c r="V246" i="25"/>
  <c r="AA246" i="25"/>
  <c r="W246" i="25"/>
  <c r="AC246" i="25"/>
  <c r="T247" i="25" a="1"/>
  <c r="T247" i="25"/>
  <c r="U247" i="25" a="1"/>
  <c r="U247" i="25"/>
  <c r="V247" i="25"/>
  <c r="AA247" i="25"/>
  <c r="W247" i="25"/>
  <c r="AC247" i="25"/>
  <c r="T248" i="25" a="1"/>
  <c r="T248" i="25"/>
  <c r="U248" i="25" a="1"/>
  <c r="U248" i="25"/>
  <c r="V248" i="25"/>
  <c r="AA248" i="25"/>
  <c r="W248" i="25"/>
  <c r="AC248" i="25"/>
  <c r="T249" i="25" a="1"/>
  <c r="T249" i="25"/>
  <c r="U249" i="25" a="1"/>
  <c r="U249" i="25"/>
  <c r="V249" i="25"/>
  <c r="AA249" i="25"/>
  <c r="W249" i="25"/>
  <c r="AC249" i="25"/>
  <c r="T250" i="25" a="1"/>
  <c r="T250" i="25"/>
  <c r="U250" i="25" a="1"/>
  <c r="U250" i="25"/>
  <c r="V250" i="25"/>
  <c r="AA250" i="25"/>
  <c r="W250" i="25"/>
  <c r="AC250" i="25"/>
  <c r="T251" i="25" a="1"/>
  <c r="T251" i="25"/>
  <c r="U251" i="25" a="1"/>
  <c r="U251" i="25"/>
  <c r="V251" i="25"/>
  <c r="AA251" i="25"/>
  <c r="W251" i="25"/>
  <c r="AC251" i="25"/>
  <c r="T252" i="25" a="1"/>
  <c r="T252" i="25"/>
  <c r="U252" i="25" a="1"/>
  <c r="U252" i="25"/>
  <c r="V252" i="25"/>
  <c r="AA252" i="25"/>
  <c r="W252" i="25"/>
  <c r="AC252" i="25"/>
  <c r="T253" i="25" a="1"/>
  <c r="T253" i="25"/>
  <c r="U253" i="25" a="1"/>
  <c r="U253" i="25"/>
  <c r="V253" i="25"/>
  <c r="AA253" i="25"/>
  <c r="W253" i="25"/>
  <c r="AC253" i="25"/>
  <c r="T254" i="25" a="1"/>
  <c r="T254" i="25"/>
  <c r="U254" i="25" a="1"/>
  <c r="U254" i="25"/>
  <c r="V254" i="25"/>
  <c r="AA254" i="25"/>
  <c r="W254" i="25"/>
  <c r="AC254" i="25"/>
  <c r="T255" i="25" a="1"/>
  <c r="T255" i="25"/>
  <c r="U255" i="25" a="1"/>
  <c r="U255" i="25"/>
  <c r="V255" i="25"/>
  <c r="AA255" i="25"/>
  <c r="W255" i="25"/>
  <c r="AC255" i="25"/>
  <c r="T256" i="25" a="1"/>
  <c r="T256" i="25"/>
  <c r="U256" i="25" a="1"/>
  <c r="U256" i="25"/>
  <c r="V256" i="25"/>
  <c r="T257" i="25" a="1"/>
  <c r="T257" i="25"/>
  <c r="U257" i="25" a="1"/>
  <c r="U257" i="25"/>
  <c r="V257" i="25"/>
  <c r="T258" i="25" a="1"/>
  <c r="T258" i="25"/>
  <c r="U258" i="25" a="1"/>
  <c r="U258" i="25"/>
  <c r="V258" i="25"/>
  <c r="T259" i="25" a="1"/>
  <c r="T259" i="25"/>
  <c r="U259" i="25" a="1"/>
  <c r="U259" i="25"/>
  <c r="V259" i="25"/>
  <c r="T260" i="25" a="1"/>
  <c r="T260" i="25"/>
  <c r="U260" i="25" a="1"/>
  <c r="U260" i="25"/>
  <c r="V260" i="25"/>
  <c r="T261" i="25" a="1"/>
  <c r="T261" i="25"/>
  <c r="U261" i="25" a="1"/>
  <c r="U261" i="25"/>
  <c r="V261" i="25"/>
  <c r="T262" i="25" a="1"/>
  <c r="T262" i="25"/>
  <c r="U262" i="25" a="1"/>
  <c r="U262" i="25"/>
  <c r="V262" i="25"/>
  <c r="T263" i="25" a="1"/>
  <c r="T263" i="25"/>
  <c r="U263" i="25" a="1"/>
  <c r="U263" i="25"/>
  <c r="V263" i="25"/>
  <c r="T264" i="25" a="1"/>
  <c r="T264" i="25"/>
  <c r="U264" i="25" a="1"/>
  <c r="U264" i="25"/>
  <c r="V264" i="25"/>
  <c r="T265" i="25" a="1"/>
  <c r="T265" i="25"/>
  <c r="U265" i="25" a="1"/>
  <c r="U265" i="25"/>
  <c r="V265" i="25"/>
  <c r="T266" i="25" a="1"/>
  <c r="T266" i="25"/>
  <c r="U266" i="25" a="1"/>
  <c r="U266" i="25"/>
  <c r="V266" i="25"/>
  <c r="T267" i="25" a="1"/>
  <c r="T267" i="25"/>
  <c r="U267" i="25" a="1"/>
  <c r="U267" i="25"/>
  <c r="V267" i="25"/>
  <c r="T268" i="25" a="1"/>
  <c r="T268" i="25"/>
  <c r="U268" i="25" a="1"/>
  <c r="U268" i="25"/>
  <c r="V268" i="25"/>
  <c r="T269" i="25" a="1"/>
  <c r="T269" i="25"/>
  <c r="U269" i="25" a="1"/>
  <c r="U269" i="25"/>
  <c r="V269" i="25"/>
  <c r="T270" i="25" a="1"/>
  <c r="T270" i="25"/>
  <c r="U270" i="25" a="1"/>
  <c r="U270" i="25"/>
  <c r="V270" i="25"/>
  <c r="T271" i="25" a="1"/>
  <c r="T271" i="25"/>
  <c r="U271" i="25" a="1"/>
  <c r="U271" i="25"/>
  <c r="V271" i="25"/>
  <c r="T272" i="25" a="1"/>
  <c r="T272" i="25"/>
  <c r="U272" i="25" a="1"/>
  <c r="U272" i="25"/>
  <c r="V272" i="25"/>
  <c r="T273" i="25" a="1"/>
  <c r="T273" i="25"/>
  <c r="U273" i="25" a="1"/>
  <c r="U273" i="25"/>
  <c r="V273" i="25"/>
  <c r="T274" i="25" a="1"/>
  <c r="T274" i="25"/>
  <c r="U274" i="25" a="1"/>
  <c r="U274" i="25"/>
  <c r="V274" i="25"/>
  <c r="T275" i="25" a="1"/>
  <c r="T275" i="25"/>
  <c r="U275" i="25" a="1"/>
  <c r="U275" i="25"/>
  <c r="V275" i="25"/>
  <c r="T276" i="25" a="1"/>
  <c r="T276" i="25"/>
  <c r="U276" i="25" a="1"/>
  <c r="U276" i="25"/>
  <c r="V276" i="25"/>
  <c r="T277" i="25" a="1"/>
  <c r="T277" i="25"/>
  <c r="U277" i="25" a="1"/>
  <c r="U277" i="25"/>
  <c r="V277" i="25"/>
  <c r="T278" i="25" a="1"/>
  <c r="T278" i="25"/>
  <c r="U278" i="25" a="1"/>
  <c r="U278" i="25"/>
  <c r="V278" i="25"/>
  <c r="T279" i="25" a="1"/>
  <c r="T279" i="25"/>
  <c r="U279" i="25" a="1"/>
  <c r="U279" i="25"/>
  <c r="V279" i="25"/>
  <c r="T280" i="25" a="1"/>
  <c r="T280" i="25"/>
  <c r="U280" i="25" a="1"/>
  <c r="U280" i="25"/>
  <c r="V280" i="25"/>
  <c r="T281" i="25" a="1"/>
  <c r="T281" i="25"/>
  <c r="U281" i="25" a="1"/>
  <c r="U281" i="25"/>
  <c r="V281" i="25"/>
  <c r="T282" i="25" a="1"/>
  <c r="T282" i="25"/>
  <c r="U282" i="25" a="1"/>
  <c r="U282" i="25"/>
  <c r="V282" i="25"/>
  <c r="T283" i="25" a="1"/>
  <c r="T283" i="25"/>
  <c r="U283" i="25" a="1"/>
  <c r="U283" i="25"/>
  <c r="V283" i="25"/>
  <c r="T284" i="25" a="1"/>
  <c r="T284" i="25"/>
  <c r="U284" i="25" a="1"/>
  <c r="U284" i="25"/>
  <c r="V284" i="25"/>
  <c r="T285" i="25" a="1"/>
  <c r="T285" i="25"/>
  <c r="U285" i="25" a="1"/>
  <c r="U285" i="25"/>
  <c r="V285" i="25"/>
  <c r="T286" i="25" a="1"/>
  <c r="T286" i="25"/>
  <c r="U286" i="25" a="1"/>
  <c r="U286" i="25"/>
  <c r="V286" i="25"/>
  <c r="T287" i="25" a="1"/>
  <c r="T287" i="25"/>
  <c r="U287" i="25" a="1"/>
  <c r="U287" i="25"/>
  <c r="V287" i="25"/>
  <c r="T288" i="25" a="1"/>
  <c r="T288" i="25"/>
  <c r="U288" i="25" a="1"/>
  <c r="U288" i="25"/>
  <c r="V288" i="25"/>
  <c r="T289" i="25" a="1"/>
  <c r="T289" i="25"/>
  <c r="U289" i="25" a="1"/>
  <c r="U289" i="25"/>
  <c r="V289" i="25"/>
  <c r="T290" i="25" a="1"/>
  <c r="T290" i="25"/>
  <c r="U290" i="25" a="1"/>
  <c r="U290" i="25"/>
  <c r="V290" i="25"/>
  <c r="T291" i="25" a="1"/>
  <c r="T291" i="25"/>
  <c r="U291" i="25" a="1"/>
  <c r="U291" i="25"/>
  <c r="V291" i="25"/>
  <c r="T292" i="25" a="1"/>
  <c r="T292" i="25"/>
  <c r="U292" i="25" a="1"/>
  <c r="U292" i="25"/>
  <c r="V292" i="25"/>
  <c r="T293" i="25" a="1"/>
  <c r="T293" i="25"/>
  <c r="U293" i="25" a="1"/>
  <c r="U293" i="25"/>
  <c r="V293" i="25"/>
  <c r="T294" i="25" a="1"/>
  <c r="T294" i="25"/>
  <c r="U294" i="25" a="1"/>
  <c r="U294" i="25"/>
  <c r="V294" i="25"/>
  <c r="T295" i="25" a="1"/>
  <c r="T295" i="25"/>
  <c r="U295" i="25" a="1"/>
  <c r="U295" i="25"/>
  <c r="V295" i="25"/>
  <c r="T296" i="25" a="1"/>
  <c r="T296" i="25"/>
  <c r="U296" i="25" a="1"/>
  <c r="U296" i="25"/>
  <c r="V296" i="25"/>
  <c r="T297" i="25" a="1"/>
  <c r="T297" i="25"/>
  <c r="U297" i="25" a="1"/>
  <c r="U297" i="25"/>
  <c r="V297" i="25"/>
  <c r="T298" i="25" a="1"/>
  <c r="T298" i="25"/>
  <c r="U298" i="25" a="1"/>
  <c r="U298" i="25"/>
  <c r="V298" i="25"/>
  <c r="T299" i="25" a="1"/>
  <c r="T299" i="25"/>
  <c r="U299" i="25" a="1"/>
  <c r="U299" i="25"/>
  <c r="V299" i="25"/>
  <c r="T300" i="25" a="1"/>
  <c r="T300" i="25"/>
  <c r="U300" i="25" a="1"/>
  <c r="U300" i="25"/>
  <c r="V300" i="25"/>
  <c r="T301" i="25" a="1"/>
  <c r="T301" i="25"/>
  <c r="U301" i="25" a="1"/>
  <c r="U301" i="25"/>
  <c r="V301" i="25"/>
  <c r="T302" i="25" a="1"/>
  <c r="T302" i="25"/>
  <c r="U302" i="25" a="1"/>
  <c r="U302" i="25"/>
  <c r="V302" i="25"/>
  <c r="T303" i="25" a="1"/>
  <c r="T303" i="25"/>
  <c r="U303" i="25" a="1"/>
  <c r="U303" i="25"/>
  <c r="V303" i="25"/>
  <c r="T304" i="25" a="1"/>
  <c r="T304" i="25"/>
  <c r="U304" i="25" a="1"/>
  <c r="U304" i="25"/>
  <c r="V304" i="25"/>
  <c r="T305" i="25" a="1"/>
  <c r="T305" i="25"/>
  <c r="U305" i="25" a="1"/>
  <c r="U305" i="25"/>
  <c r="V305" i="25"/>
  <c r="T306" i="25" a="1"/>
  <c r="T306" i="25"/>
  <c r="U306" i="25" a="1"/>
  <c r="U306" i="25"/>
  <c r="V306" i="25"/>
  <c r="T307" i="25" a="1"/>
  <c r="T307" i="25"/>
  <c r="U307" i="25" a="1"/>
  <c r="U307" i="25"/>
  <c r="V307" i="25"/>
  <c r="T308" i="25" a="1"/>
  <c r="T308" i="25"/>
  <c r="U308" i="25" a="1"/>
  <c r="U308" i="25"/>
  <c r="V308" i="25"/>
  <c r="T309" i="25" a="1"/>
  <c r="T309" i="25"/>
  <c r="U309" i="25" a="1"/>
  <c r="U309" i="25"/>
  <c r="V309" i="25"/>
  <c r="T310" i="25" a="1"/>
  <c r="T310" i="25"/>
  <c r="U310" i="25" a="1"/>
  <c r="U310" i="25"/>
  <c r="V310" i="25"/>
  <c r="T311" i="25" a="1"/>
  <c r="T311" i="25"/>
  <c r="U311" i="25" a="1"/>
  <c r="U311" i="25"/>
  <c r="V311" i="25"/>
  <c r="T312" i="25" a="1"/>
  <c r="T312" i="25"/>
  <c r="U312" i="25" a="1"/>
  <c r="U312" i="25"/>
  <c r="V312" i="25"/>
  <c r="T313" i="25" a="1"/>
  <c r="T313" i="25"/>
  <c r="U313" i="25" a="1"/>
  <c r="U313" i="25"/>
  <c r="V313" i="25"/>
  <c r="T314" i="25" a="1"/>
  <c r="T314" i="25"/>
  <c r="U314" i="25" a="1"/>
  <c r="U314" i="25"/>
  <c r="V314" i="25"/>
  <c r="T315" i="25" a="1"/>
  <c r="T315" i="25"/>
  <c r="U315" i="25" a="1"/>
  <c r="U315" i="25"/>
  <c r="V315" i="25"/>
  <c r="T316" i="25" a="1"/>
  <c r="T316" i="25"/>
  <c r="U316" i="25" a="1"/>
  <c r="U316" i="25"/>
  <c r="V316" i="25"/>
  <c r="T317" i="25" a="1"/>
  <c r="T317" i="25"/>
  <c r="U317" i="25" a="1"/>
  <c r="U317" i="25"/>
  <c r="V317" i="25"/>
  <c r="T318" i="25" a="1"/>
  <c r="T318" i="25"/>
  <c r="U318" i="25" a="1"/>
  <c r="U318" i="25"/>
  <c r="V318" i="25"/>
  <c r="T319" i="25" a="1"/>
  <c r="T319" i="25"/>
  <c r="U319" i="25" a="1"/>
  <c r="U319" i="25"/>
  <c r="V319" i="25"/>
  <c r="T320" i="25" a="1"/>
  <c r="T320" i="25"/>
  <c r="U320" i="25" a="1"/>
  <c r="U320" i="25"/>
  <c r="V320" i="25"/>
  <c r="T321" i="25" a="1"/>
  <c r="T321" i="25"/>
  <c r="U321" i="25" a="1"/>
  <c r="U321" i="25"/>
  <c r="V321" i="25"/>
  <c r="T322" i="25" a="1"/>
  <c r="T322" i="25"/>
  <c r="U322" i="25" a="1"/>
  <c r="U322" i="25"/>
  <c r="V322" i="25"/>
  <c r="T323" i="25" a="1"/>
  <c r="T323" i="25"/>
  <c r="U323" i="25" a="1"/>
  <c r="U323" i="25"/>
  <c r="V323" i="25"/>
  <c r="T324" i="25" a="1"/>
  <c r="T324" i="25"/>
  <c r="U324" i="25" a="1"/>
  <c r="U324" i="25"/>
  <c r="V324" i="25"/>
  <c r="T325" i="25" a="1"/>
  <c r="T325" i="25"/>
  <c r="U325" i="25" a="1"/>
  <c r="U325" i="25"/>
  <c r="V325" i="25"/>
  <c r="T326" i="25" a="1"/>
  <c r="T326" i="25"/>
  <c r="U326" i="25" a="1"/>
  <c r="U326" i="25"/>
  <c r="V326" i="25"/>
  <c r="T327" i="25" a="1"/>
  <c r="T327" i="25"/>
  <c r="U327" i="25" a="1"/>
  <c r="U327" i="25"/>
  <c r="V327" i="25"/>
  <c r="T328" i="25" a="1"/>
  <c r="T328" i="25"/>
  <c r="U328" i="25" a="1"/>
  <c r="U328" i="25"/>
  <c r="V328" i="25"/>
  <c r="T329" i="25" a="1"/>
  <c r="T329" i="25"/>
  <c r="U329" i="25" a="1"/>
  <c r="U329" i="25"/>
  <c r="V329" i="25"/>
  <c r="T330" i="25" a="1"/>
  <c r="T330" i="25"/>
  <c r="U330" i="25" a="1"/>
  <c r="U330" i="25"/>
  <c r="V330" i="25"/>
  <c r="T331" i="25" a="1"/>
  <c r="T331" i="25"/>
  <c r="U331" i="25" a="1"/>
  <c r="U331" i="25"/>
  <c r="V331" i="25"/>
  <c r="T332" i="25" a="1"/>
  <c r="T332" i="25"/>
  <c r="U332" i="25" a="1"/>
  <c r="U332" i="25"/>
  <c r="V332" i="25"/>
  <c r="T333" i="25" a="1"/>
  <c r="T333" i="25"/>
  <c r="U333" i="25" a="1"/>
  <c r="U333" i="25"/>
  <c r="V333" i="25"/>
  <c r="T334" i="25" a="1"/>
  <c r="T334" i="25"/>
  <c r="U334" i="25" a="1"/>
  <c r="U334" i="25"/>
  <c r="V334" i="25"/>
  <c r="T335" i="25" a="1"/>
  <c r="T335" i="25"/>
  <c r="U335" i="25" a="1"/>
  <c r="U335" i="25"/>
  <c r="V335" i="25"/>
  <c r="T336" i="25" a="1"/>
  <c r="T336" i="25"/>
  <c r="U336" i="25" a="1"/>
  <c r="U336" i="25"/>
  <c r="V336" i="25"/>
  <c r="T337" i="25" a="1"/>
  <c r="T337" i="25"/>
  <c r="U337" i="25" a="1"/>
  <c r="U337" i="25"/>
  <c r="V337" i="25"/>
  <c r="T338" i="25" a="1"/>
  <c r="T338" i="25"/>
  <c r="U338" i="25" a="1"/>
  <c r="U338" i="25"/>
  <c r="V338" i="25"/>
  <c r="T339" i="25" a="1"/>
  <c r="T339" i="25"/>
  <c r="U339" i="25" a="1"/>
  <c r="U339" i="25"/>
  <c r="V339" i="25"/>
  <c r="T340" i="25" a="1"/>
  <c r="T340" i="25"/>
  <c r="U340" i="25" a="1"/>
  <c r="U340" i="25"/>
  <c r="V340" i="25"/>
  <c r="T341" i="25" a="1"/>
  <c r="T341" i="25"/>
  <c r="U341" i="25" a="1"/>
  <c r="U341" i="25"/>
  <c r="V341" i="25"/>
  <c r="T342" i="25" a="1"/>
  <c r="T342" i="25"/>
  <c r="U342" i="25" a="1"/>
  <c r="U342" i="25"/>
  <c r="V342" i="25"/>
  <c r="T343" i="25" a="1"/>
  <c r="T343" i="25"/>
  <c r="U343" i="25" a="1"/>
  <c r="U343" i="25"/>
  <c r="V343" i="25"/>
  <c r="T344" i="25" a="1"/>
  <c r="T344" i="25"/>
  <c r="U344" i="25" a="1"/>
  <c r="U344" i="25"/>
  <c r="V344" i="25"/>
  <c r="T345" i="25" a="1"/>
  <c r="T345" i="25"/>
  <c r="U345" i="25" a="1"/>
  <c r="U345" i="25"/>
  <c r="V345" i="25"/>
  <c r="T346" i="25" a="1"/>
  <c r="T346" i="25"/>
  <c r="U346" i="25" a="1"/>
  <c r="U346" i="25"/>
  <c r="V346" i="25"/>
  <c r="T347" i="25" a="1"/>
  <c r="T347" i="25"/>
  <c r="U347" i="25" a="1"/>
  <c r="U347" i="25"/>
  <c r="V347" i="25"/>
  <c r="T348" i="25" a="1"/>
  <c r="T348" i="25"/>
  <c r="U348" i="25" a="1"/>
  <c r="U348" i="25"/>
  <c r="V348" i="25"/>
  <c r="T349" i="25" a="1"/>
  <c r="T349" i="25"/>
  <c r="U349" i="25" a="1"/>
  <c r="U349" i="25"/>
  <c r="V349" i="25"/>
  <c r="T350" i="25" a="1"/>
  <c r="T350" i="25"/>
  <c r="U350" i="25" a="1"/>
  <c r="U350" i="25"/>
  <c r="V350" i="25"/>
  <c r="T351" i="25" a="1"/>
  <c r="T351" i="25"/>
  <c r="U351" i="25" a="1"/>
  <c r="U351" i="25"/>
  <c r="V351" i="25"/>
  <c r="T352" i="25" a="1"/>
  <c r="T352" i="25"/>
  <c r="U352" i="25" a="1"/>
  <c r="U352" i="25"/>
  <c r="V352" i="25"/>
  <c r="T353" i="25" a="1"/>
  <c r="T353" i="25"/>
  <c r="U353" i="25" a="1"/>
  <c r="U353" i="25"/>
  <c r="V353" i="25"/>
  <c r="T354" i="25" a="1"/>
  <c r="T354" i="25"/>
  <c r="U354" i="25" a="1"/>
  <c r="U354" i="25"/>
  <c r="V354" i="25"/>
  <c r="T355" i="25" a="1"/>
  <c r="T355" i="25"/>
  <c r="U355" i="25" a="1"/>
  <c r="U355" i="25"/>
  <c r="V355" i="25"/>
  <c r="T356" i="25" a="1"/>
  <c r="T356" i="25"/>
  <c r="U356" i="25" a="1"/>
  <c r="U356" i="25"/>
  <c r="V356" i="25"/>
  <c r="T357" i="25" a="1"/>
  <c r="T357" i="25"/>
  <c r="U357" i="25" a="1"/>
  <c r="U357" i="25"/>
  <c r="V357" i="25"/>
  <c r="T358" i="25" a="1"/>
  <c r="T358" i="25"/>
  <c r="U358" i="25" a="1"/>
  <c r="U358" i="25"/>
  <c r="V358" i="25"/>
  <c r="T359" i="25" a="1"/>
  <c r="T359" i="25"/>
  <c r="U359" i="25" a="1"/>
  <c r="U359" i="25"/>
  <c r="V359" i="25"/>
  <c r="T360" i="25" a="1"/>
  <c r="T360" i="25"/>
  <c r="U360" i="25" a="1"/>
  <c r="U360" i="25"/>
  <c r="V360" i="25"/>
  <c r="T361" i="25" a="1"/>
  <c r="T361" i="25"/>
  <c r="U361" i="25" a="1"/>
  <c r="U361" i="25"/>
  <c r="V361" i="25"/>
  <c r="T362" i="25" a="1"/>
  <c r="T362" i="25"/>
  <c r="U362" i="25" a="1"/>
  <c r="U362" i="25"/>
  <c r="V362" i="25"/>
  <c r="T363" i="25" a="1"/>
  <c r="T363" i="25"/>
  <c r="U363" i="25" a="1"/>
  <c r="U363" i="25"/>
  <c r="V363" i="25"/>
  <c r="T364" i="25" a="1"/>
  <c r="T364" i="25"/>
  <c r="U364" i="25" a="1"/>
  <c r="U364" i="25"/>
  <c r="V364" i="25"/>
  <c r="T365" i="25" a="1"/>
  <c r="T365" i="25"/>
  <c r="U365" i="25" a="1"/>
  <c r="U365" i="25"/>
  <c r="V365" i="25"/>
  <c r="T366" i="25" a="1"/>
  <c r="T366" i="25"/>
  <c r="U366" i="25" a="1"/>
  <c r="U366" i="25"/>
  <c r="V366" i="25"/>
  <c r="T367" i="25" a="1"/>
  <c r="T367" i="25"/>
  <c r="U367" i="25" a="1"/>
  <c r="U367" i="25"/>
  <c r="V367" i="25"/>
  <c r="T368" i="25" a="1"/>
  <c r="T368" i="25"/>
  <c r="U368" i="25" a="1"/>
  <c r="U368" i="25"/>
  <c r="V368" i="25"/>
  <c r="T369" i="25" a="1"/>
  <c r="T369" i="25"/>
  <c r="U369" i="25" a="1"/>
  <c r="U369" i="25"/>
  <c r="V369" i="25"/>
  <c r="T370" i="25" a="1"/>
  <c r="T370" i="25"/>
  <c r="U370" i="25" a="1"/>
  <c r="U370" i="25"/>
  <c r="V370" i="25"/>
  <c r="T371" i="25" a="1"/>
  <c r="T371" i="25"/>
  <c r="U371" i="25" a="1"/>
  <c r="U371" i="25"/>
  <c r="V371" i="25"/>
  <c r="T372" i="25" a="1"/>
  <c r="T372" i="25"/>
  <c r="U372" i="25" a="1"/>
  <c r="U372" i="25"/>
  <c r="V372" i="25"/>
  <c r="T373" i="25" a="1"/>
  <c r="T373" i="25"/>
  <c r="U373" i="25" a="1"/>
  <c r="U373" i="25"/>
  <c r="V373" i="25"/>
  <c r="T374" i="25" a="1"/>
  <c r="T374" i="25"/>
  <c r="U374" i="25" a="1"/>
  <c r="U374" i="25"/>
  <c r="V374" i="25"/>
  <c r="T375" i="25" a="1"/>
  <c r="T375" i="25"/>
  <c r="U375" i="25" a="1"/>
  <c r="U375" i="25"/>
  <c r="V375" i="25"/>
  <c r="T376" i="25" a="1"/>
  <c r="T376" i="25"/>
  <c r="U376" i="25" a="1"/>
  <c r="U376" i="25"/>
  <c r="V376" i="25"/>
  <c r="T377" i="25" a="1"/>
  <c r="T377" i="25"/>
  <c r="U377" i="25" a="1"/>
  <c r="U377" i="25"/>
  <c r="V377" i="25"/>
  <c r="T378" i="25" a="1"/>
  <c r="T378" i="25"/>
  <c r="U378" i="25" a="1"/>
  <c r="U378" i="25"/>
  <c r="V378" i="25"/>
  <c r="T379" i="25" a="1"/>
  <c r="T379" i="25"/>
  <c r="U379" i="25" a="1"/>
  <c r="U379" i="25"/>
  <c r="V379" i="25"/>
  <c r="T380" i="25" a="1"/>
  <c r="T380" i="25"/>
  <c r="U380" i="25" a="1"/>
  <c r="U380" i="25"/>
  <c r="V380" i="25"/>
  <c r="T381" i="25" a="1"/>
  <c r="T381" i="25"/>
  <c r="U381" i="25" a="1"/>
  <c r="U381" i="25"/>
  <c r="V381" i="25"/>
  <c r="T382" i="25" a="1"/>
  <c r="T382" i="25"/>
  <c r="U382" i="25" a="1"/>
  <c r="U382" i="25"/>
  <c r="V382" i="25"/>
  <c r="T383" i="25" a="1"/>
  <c r="T383" i="25"/>
  <c r="U383" i="25" a="1"/>
  <c r="U383" i="25"/>
  <c r="V383" i="25"/>
  <c r="T384" i="25" a="1"/>
  <c r="T384" i="25"/>
  <c r="U384" i="25" a="1"/>
  <c r="U384" i="25"/>
  <c r="V384" i="25"/>
  <c r="T385" i="25" a="1"/>
  <c r="T385" i="25"/>
  <c r="U385" i="25" a="1"/>
  <c r="U385" i="25"/>
  <c r="V385" i="25"/>
  <c r="T386" i="25" a="1"/>
  <c r="T386" i="25"/>
  <c r="U386" i="25" a="1"/>
  <c r="U386" i="25"/>
  <c r="V386" i="25"/>
  <c r="T387" i="25" a="1"/>
  <c r="T387" i="25"/>
  <c r="U387" i="25" a="1"/>
  <c r="U387" i="25"/>
  <c r="V387" i="25"/>
  <c r="T388" i="25" a="1"/>
  <c r="T388" i="25"/>
  <c r="U388" i="25" a="1"/>
  <c r="U388" i="25"/>
  <c r="V388" i="25"/>
  <c r="T389" i="25" a="1"/>
  <c r="T389" i="25"/>
  <c r="U389" i="25" a="1"/>
  <c r="U389" i="25"/>
  <c r="V389" i="25"/>
  <c r="T390" i="25" a="1"/>
  <c r="T390" i="25"/>
  <c r="U390" i="25" a="1"/>
  <c r="U390" i="25"/>
  <c r="V390" i="25"/>
  <c r="T391" i="25" a="1"/>
  <c r="T391" i="25"/>
  <c r="U391" i="25" a="1"/>
  <c r="U391" i="25"/>
  <c r="V391" i="25"/>
  <c r="T392" i="25" a="1"/>
  <c r="T392" i="25"/>
  <c r="U392" i="25" a="1"/>
  <c r="U392" i="25"/>
  <c r="V392" i="25"/>
  <c r="T393" i="25" a="1"/>
  <c r="T393" i="25"/>
  <c r="U393" i="25" a="1"/>
  <c r="U393" i="25"/>
  <c r="V393" i="25"/>
  <c r="T394" i="25" a="1"/>
  <c r="T394" i="25"/>
  <c r="U394" i="25" a="1"/>
  <c r="U394" i="25"/>
  <c r="V394" i="25"/>
  <c r="T395" i="25" a="1"/>
  <c r="T395" i="25"/>
  <c r="U395" i="25" a="1"/>
  <c r="U395" i="25"/>
  <c r="V395" i="25"/>
  <c r="T396" i="25" a="1"/>
  <c r="T396" i="25"/>
  <c r="U396" i="25" a="1"/>
  <c r="U396" i="25"/>
  <c r="V396" i="25"/>
  <c r="T397" i="25" a="1"/>
  <c r="T397" i="25"/>
  <c r="U397" i="25" a="1"/>
  <c r="U397" i="25"/>
  <c r="V397" i="25"/>
  <c r="T398" i="25" a="1"/>
  <c r="T398" i="25"/>
  <c r="U398" i="25" a="1"/>
  <c r="U398" i="25"/>
  <c r="V398" i="25"/>
  <c r="T399" i="25" a="1"/>
  <c r="T399" i="25"/>
  <c r="U399" i="25" a="1"/>
  <c r="U399" i="25"/>
  <c r="V399" i="25"/>
  <c r="T400" i="25" a="1"/>
  <c r="T400" i="25"/>
  <c r="U400" i="25" a="1"/>
  <c r="U400" i="25"/>
  <c r="V400" i="25"/>
  <c r="T401" i="25" a="1"/>
  <c r="T401" i="25"/>
  <c r="U401" i="25" a="1"/>
  <c r="U401" i="25"/>
  <c r="V401" i="25"/>
  <c r="T402" i="25" a="1"/>
  <c r="T402" i="25"/>
  <c r="U402" i="25" a="1"/>
  <c r="U402" i="25"/>
  <c r="V402" i="25"/>
  <c r="T403" i="25" a="1"/>
  <c r="T403" i="25"/>
  <c r="U403" i="25" a="1"/>
  <c r="U403" i="25"/>
  <c r="V403" i="25"/>
  <c r="T404" i="25" a="1"/>
  <c r="T404" i="25"/>
  <c r="U404" i="25" a="1"/>
  <c r="U404" i="25"/>
  <c r="V404" i="25"/>
  <c r="T405" i="25" a="1"/>
  <c r="T405" i="25"/>
  <c r="U405" i="25" a="1"/>
  <c r="U405" i="25"/>
  <c r="V405" i="25"/>
  <c r="T406" i="25" a="1"/>
  <c r="T406" i="25"/>
  <c r="U406" i="25" a="1"/>
  <c r="U406" i="25"/>
  <c r="V406" i="25"/>
  <c r="T407" i="25" a="1"/>
  <c r="T407" i="25"/>
  <c r="U407" i="25" a="1"/>
  <c r="U407" i="25"/>
  <c r="V407" i="25"/>
  <c r="T408" i="25" a="1"/>
  <c r="T408" i="25"/>
  <c r="U408" i="25" a="1"/>
  <c r="U408" i="25"/>
  <c r="V408" i="25"/>
  <c r="T409" i="25" a="1"/>
  <c r="T409" i="25"/>
  <c r="U409" i="25" a="1"/>
  <c r="U409" i="25"/>
  <c r="V409" i="25"/>
  <c r="T410" i="25" a="1"/>
  <c r="T410" i="25"/>
  <c r="U410" i="25" a="1"/>
  <c r="U410" i="25"/>
  <c r="V410" i="25"/>
  <c r="T411" i="25" a="1"/>
  <c r="T411" i="25"/>
  <c r="U411" i="25" a="1"/>
  <c r="U411" i="25"/>
  <c r="V411" i="25"/>
  <c r="T412" i="25" a="1"/>
  <c r="T412" i="25"/>
  <c r="U412" i="25" a="1"/>
  <c r="U412" i="25"/>
  <c r="V412" i="25"/>
  <c r="T413" i="25" a="1"/>
  <c r="T413" i="25"/>
  <c r="U413" i="25" a="1"/>
  <c r="U413" i="25"/>
  <c r="V413" i="25"/>
  <c r="T414" i="25" a="1"/>
  <c r="T414" i="25"/>
  <c r="U414" i="25" a="1"/>
  <c r="U414" i="25"/>
  <c r="V414" i="25"/>
  <c r="T415" i="25" a="1"/>
  <c r="T415" i="25"/>
  <c r="U415" i="25" a="1"/>
  <c r="U415" i="25"/>
  <c r="V415" i="25"/>
  <c r="T416" i="25" a="1"/>
  <c r="T416" i="25"/>
  <c r="U416" i="25" a="1"/>
  <c r="U416" i="25"/>
  <c r="V416" i="25"/>
  <c r="T417" i="25" a="1"/>
  <c r="T417" i="25"/>
  <c r="U417" i="25" a="1"/>
  <c r="U417" i="25"/>
  <c r="V417" i="25"/>
  <c r="T418" i="25" a="1"/>
  <c r="T418" i="25"/>
  <c r="U418" i="25" a="1"/>
  <c r="U418" i="25"/>
  <c r="V418" i="25"/>
  <c r="T419" i="25" a="1"/>
  <c r="T419" i="25"/>
  <c r="U419" i="25" a="1"/>
  <c r="U419" i="25"/>
  <c r="V419" i="25"/>
  <c r="T420" i="25" a="1"/>
  <c r="T420" i="25"/>
  <c r="U420" i="25" a="1"/>
  <c r="U420" i="25"/>
  <c r="V420" i="25"/>
  <c r="T421" i="25" a="1"/>
  <c r="T421" i="25"/>
  <c r="U421" i="25" a="1"/>
  <c r="U421" i="25"/>
  <c r="V421" i="25"/>
  <c r="T422" i="25" a="1"/>
  <c r="T422" i="25"/>
  <c r="U422" i="25" a="1"/>
  <c r="U422" i="25"/>
  <c r="V422" i="25"/>
  <c r="T423" i="25" a="1"/>
  <c r="T423" i="25"/>
  <c r="U423" i="25" a="1"/>
  <c r="U423" i="25"/>
  <c r="V423" i="25"/>
  <c r="T424" i="25" a="1"/>
  <c r="T424" i="25"/>
  <c r="U424" i="25" a="1"/>
  <c r="U424" i="25"/>
  <c r="V424" i="25"/>
  <c r="T425" i="25" a="1"/>
  <c r="T425" i="25"/>
  <c r="U425" i="25" a="1"/>
  <c r="U425" i="25"/>
  <c r="V425" i="25"/>
  <c r="T426" i="25" a="1"/>
  <c r="T426" i="25"/>
  <c r="U426" i="25" a="1"/>
  <c r="U426" i="25"/>
  <c r="V426" i="25"/>
  <c r="T427" i="25" a="1"/>
  <c r="T427" i="25"/>
  <c r="U427" i="25" a="1"/>
  <c r="U427" i="25"/>
  <c r="V427" i="25"/>
  <c r="T428" i="25" a="1"/>
  <c r="T428" i="25"/>
  <c r="U428" i="25" a="1"/>
  <c r="U428" i="25"/>
  <c r="V428" i="25"/>
  <c r="T429" i="25" a="1"/>
  <c r="T429" i="25"/>
  <c r="U429" i="25" a="1"/>
  <c r="U429" i="25"/>
  <c r="V429" i="25"/>
  <c r="T430" i="25" a="1"/>
  <c r="T430" i="25"/>
  <c r="U430" i="25" a="1"/>
  <c r="U430" i="25"/>
  <c r="V430" i="25"/>
  <c r="T431" i="25" a="1"/>
  <c r="T431" i="25"/>
  <c r="U431" i="25" a="1"/>
  <c r="U431" i="25"/>
  <c r="V431" i="25"/>
  <c r="T432" i="25" a="1"/>
  <c r="T432" i="25"/>
  <c r="U432" i="25" a="1"/>
  <c r="U432" i="25"/>
  <c r="V432" i="25"/>
  <c r="T433" i="25" a="1"/>
  <c r="T433" i="25"/>
  <c r="U433" i="25" a="1"/>
  <c r="U433" i="25"/>
  <c r="V433" i="25"/>
  <c r="T434" i="25" a="1"/>
  <c r="T434" i="25"/>
  <c r="U434" i="25" a="1"/>
  <c r="U434" i="25"/>
  <c r="V434" i="25"/>
  <c r="T435" i="25" a="1"/>
  <c r="T435" i="25"/>
  <c r="U435" i="25" a="1"/>
  <c r="U435" i="25"/>
  <c r="V435" i="25"/>
  <c r="T436" i="25" a="1"/>
  <c r="T436" i="25"/>
  <c r="U436" i="25" a="1"/>
  <c r="U436" i="25"/>
  <c r="V436" i="25"/>
  <c r="T437" i="25" a="1"/>
  <c r="T437" i="25"/>
  <c r="U437" i="25" a="1"/>
  <c r="U437" i="25"/>
  <c r="V437" i="25"/>
  <c r="T438" i="25" a="1"/>
  <c r="T438" i="25"/>
  <c r="U438" i="25" a="1"/>
  <c r="U438" i="25"/>
  <c r="V438" i="25"/>
  <c r="T439" i="25" a="1"/>
  <c r="T439" i="25"/>
  <c r="U439" i="25" a="1"/>
  <c r="U439" i="25"/>
  <c r="V439" i="25"/>
  <c r="T440" i="25" a="1"/>
  <c r="T440" i="25"/>
  <c r="U440" i="25" a="1"/>
  <c r="U440" i="25"/>
  <c r="V440" i="25"/>
  <c r="T441" i="25" a="1"/>
  <c r="T441" i="25"/>
  <c r="U441" i="25" a="1"/>
  <c r="U441" i="25"/>
  <c r="V441" i="25"/>
  <c r="T442" i="25" a="1"/>
  <c r="T442" i="25"/>
  <c r="U442" i="25" a="1"/>
  <c r="U442" i="25"/>
  <c r="V442" i="25"/>
  <c r="T443" i="25" a="1"/>
  <c r="T443" i="25"/>
  <c r="U443" i="25" a="1"/>
  <c r="U443" i="25"/>
  <c r="V443" i="25"/>
  <c r="T444" i="25" a="1"/>
  <c r="T444" i="25"/>
  <c r="U444" i="25" a="1"/>
  <c r="U444" i="25"/>
  <c r="V444" i="25"/>
  <c r="T445" i="25" a="1"/>
  <c r="T445" i="25"/>
  <c r="U445" i="25" a="1"/>
  <c r="U445" i="25"/>
  <c r="V445" i="25"/>
  <c r="T446" i="25" a="1"/>
  <c r="T446" i="25"/>
  <c r="U446" i="25" a="1"/>
  <c r="U446" i="25"/>
  <c r="V446" i="25"/>
  <c r="T447" i="25" a="1"/>
  <c r="T447" i="25"/>
  <c r="U447" i="25" a="1"/>
  <c r="U447" i="25"/>
  <c r="V447" i="25"/>
  <c r="T448" i="25" a="1"/>
  <c r="T448" i="25"/>
  <c r="U448" i="25" a="1"/>
  <c r="U448" i="25"/>
  <c r="V448" i="25"/>
  <c r="T449" i="25" a="1"/>
  <c r="T449" i="25"/>
  <c r="U449" i="25" a="1"/>
  <c r="U449" i="25"/>
  <c r="V449" i="25"/>
  <c r="T450" i="25" a="1"/>
  <c r="T450" i="25"/>
  <c r="U450" i="25" a="1"/>
  <c r="U450" i="25"/>
  <c r="V450" i="25"/>
  <c r="T451" i="25" a="1"/>
  <c r="T451" i="25"/>
  <c r="U451" i="25" a="1"/>
  <c r="U451" i="25"/>
  <c r="V451" i="25"/>
  <c r="T452" i="25" a="1"/>
  <c r="T452" i="25"/>
  <c r="U452" i="25" a="1"/>
  <c r="U452" i="25"/>
  <c r="V452" i="25"/>
  <c r="T453" i="25" a="1"/>
  <c r="T453" i="25"/>
  <c r="U453" i="25" a="1"/>
  <c r="U453" i="25"/>
  <c r="V453" i="25"/>
  <c r="T454" i="25" a="1"/>
  <c r="T454" i="25"/>
  <c r="U454" i="25" a="1"/>
  <c r="U454" i="25"/>
  <c r="V454" i="25"/>
  <c r="T455" i="25" a="1"/>
  <c r="T455" i="25"/>
  <c r="U455" i="25" a="1"/>
  <c r="U455" i="25"/>
  <c r="V455" i="25"/>
  <c r="T456" i="25" a="1"/>
  <c r="T456" i="25"/>
  <c r="U456" i="25" a="1"/>
  <c r="U456" i="25"/>
  <c r="V456" i="25"/>
  <c r="T457" i="25" a="1"/>
  <c r="T457" i="25"/>
  <c r="U457" i="25" a="1"/>
  <c r="U457" i="25"/>
  <c r="V457" i="25"/>
  <c r="T458" i="25" a="1"/>
  <c r="T458" i="25"/>
  <c r="U458" i="25" a="1"/>
  <c r="U458" i="25"/>
  <c r="V458" i="25"/>
  <c r="T459" i="25" a="1"/>
  <c r="T459" i="25"/>
  <c r="U459" i="25" a="1"/>
  <c r="U459" i="25"/>
  <c r="V459" i="25"/>
  <c r="T460" i="25" a="1"/>
  <c r="T460" i="25"/>
  <c r="U460" i="25" a="1"/>
  <c r="U460" i="25"/>
  <c r="V460" i="25"/>
  <c r="T461" i="25" a="1"/>
  <c r="T461" i="25"/>
  <c r="U461" i="25" a="1"/>
  <c r="U461" i="25"/>
  <c r="V461" i="25"/>
  <c r="T462" i="25" a="1"/>
  <c r="T462" i="25"/>
  <c r="U462" i="25" a="1"/>
  <c r="U462" i="25"/>
  <c r="V462" i="25"/>
  <c r="T463" i="25" a="1"/>
  <c r="T463" i="25"/>
  <c r="U463" i="25" a="1"/>
  <c r="U463" i="25"/>
  <c r="V463" i="25"/>
  <c r="T464" i="25" a="1"/>
  <c r="T464" i="25"/>
  <c r="U464" i="25" a="1"/>
  <c r="U464" i="25"/>
  <c r="V464" i="25"/>
  <c r="T465" i="25" a="1"/>
  <c r="T465" i="25"/>
  <c r="U465" i="25" a="1"/>
  <c r="U465" i="25"/>
  <c r="V465" i="25"/>
  <c r="T466" i="25" a="1"/>
  <c r="T466" i="25"/>
  <c r="U466" i="25" a="1"/>
  <c r="U466" i="25"/>
  <c r="V466" i="25"/>
  <c r="T467" i="25" a="1"/>
  <c r="T467" i="25"/>
  <c r="U467" i="25" a="1"/>
  <c r="U467" i="25"/>
  <c r="V467" i="25"/>
  <c r="T468" i="25" a="1"/>
  <c r="T468" i="25"/>
  <c r="U468" i="25" a="1"/>
  <c r="U468" i="25"/>
  <c r="V468" i="25"/>
  <c r="T469" i="25" a="1"/>
  <c r="T469" i="25"/>
  <c r="U469" i="25" a="1"/>
  <c r="U469" i="25"/>
  <c r="V469" i="25"/>
  <c r="T470" i="25" a="1"/>
  <c r="T470" i="25"/>
  <c r="U470" i="25" a="1"/>
  <c r="U470" i="25"/>
  <c r="V470" i="25"/>
  <c r="T471" i="25" a="1"/>
  <c r="T471" i="25"/>
  <c r="U471" i="25" a="1"/>
  <c r="U471" i="25"/>
  <c r="V471" i="25"/>
  <c r="T472" i="25" a="1"/>
  <c r="T472" i="25"/>
  <c r="U472" i="25" a="1"/>
  <c r="U472" i="25"/>
  <c r="V472" i="25"/>
  <c r="T473" i="25" a="1"/>
  <c r="T473" i="25"/>
  <c r="U473" i="25" a="1"/>
  <c r="U473" i="25"/>
  <c r="V473" i="25"/>
  <c r="T474" i="25" a="1"/>
  <c r="T474" i="25"/>
  <c r="U474" i="25" a="1"/>
  <c r="U474" i="25"/>
  <c r="V474" i="25"/>
  <c r="T475" i="25" a="1"/>
  <c r="T475" i="25"/>
  <c r="U475" i="25" a="1"/>
  <c r="U475" i="25"/>
  <c r="V475" i="25"/>
  <c r="T476" i="25" a="1"/>
  <c r="T476" i="25"/>
  <c r="U476" i="25" a="1"/>
  <c r="U476" i="25"/>
  <c r="V476" i="25"/>
  <c r="T477" i="25" a="1"/>
  <c r="T477" i="25"/>
  <c r="U477" i="25" a="1"/>
  <c r="U477" i="25"/>
  <c r="V477" i="25"/>
  <c r="T478" i="25" a="1"/>
  <c r="T478" i="25"/>
  <c r="U478" i="25" a="1"/>
  <c r="U478" i="25"/>
  <c r="V478" i="25"/>
  <c r="T479" i="25" a="1"/>
  <c r="T479" i="25"/>
  <c r="U479" i="25" a="1"/>
  <c r="U479" i="25"/>
  <c r="V479" i="25"/>
  <c r="T480" i="25" a="1"/>
  <c r="T480" i="25"/>
  <c r="U480" i="25" a="1"/>
  <c r="U480" i="25"/>
  <c r="V480" i="25"/>
  <c r="T481" i="25" a="1"/>
  <c r="T481" i="25"/>
  <c r="U481" i="25" a="1"/>
  <c r="U481" i="25"/>
  <c r="V481" i="25"/>
  <c r="T482" i="25" a="1"/>
  <c r="T482" i="25"/>
  <c r="U482" i="25" a="1"/>
  <c r="U482" i="25"/>
  <c r="V482" i="25"/>
  <c r="T483" i="25" a="1"/>
  <c r="T483" i="25"/>
  <c r="U483" i="25" a="1"/>
  <c r="U483" i="25"/>
  <c r="V483" i="25"/>
  <c r="T484" i="25" a="1"/>
  <c r="T484" i="25"/>
  <c r="U484" i="25" a="1"/>
  <c r="U484" i="25"/>
  <c r="V484" i="25"/>
  <c r="T485" i="25" a="1"/>
  <c r="T485" i="25"/>
  <c r="U485" i="25" a="1"/>
  <c r="U485" i="25"/>
  <c r="V485" i="25"/>
  <c r="T486" i="25" a="1"/>
  <c r="T486" i="25"/>
  <c r="U486" i="25" a="1"/>
  <c r="U486" i="25"/>
  <c r="V486" i="25"/>
  <c r="T487" i="25" a="1"/>
  <c r="T487" i="25"/>
  <c r="U487" i="25" a="1"/>
  <c r="U487" i="25"/>
  <c r="V487" i="25"/>
  <c r="T488" i="25" a="1"/>
  <c r="T488" i="25"/>
  <c r="U488" i="25" a="1"/>
  <c r="U488" i="25"/>
  <c r="V488" i="25"/>
  <c r="T489" i="25" a="1"/>
  <c r="T489" i="25"/>
  <c r="U489" i="25" a="1"/>
  <c r="U489" i="25"/>
  <c r="V489" i="25"/>
  <c r="T490" i="25" a="1"/>
  <c r="T490" i="25"/>
  <c r="U490" i="25" a="1"/>
  <c r="U490" i="25"/>
  <c r="V490" i="25"/>
  <c r="T491" i="25" a="1"/>
  <c r="T491" i="25"/>
  <c r="U491" i="25" a="1"/>
  <c r="U491" i="25"/>
  <c r="V491" i="25"/>
  <c r="T492" i="25" a="1"/>
  <c r="T492" i="25"/>
  <c r="U492" i="25" a="1"/>
  <c r="U492" i="25"/>
  <c r="V492" i="25"/>
  <c r="T493" i="25" a="1"/>
  <c r="T493" i="25"/>
  <c r="U493" i="25" a="1"/>
  <c r="U493" i="25"/>
  <c r="V493" i="25"/>
  <c r="T494" i="25" a="1"/>
  <c r="T494" i="25"/>
  <c r="U494" i="25" a="1"/>
  <c r="U494" i="25"/>
  <c r="V494" i="25"/>
  <c r="T495" i="25" a="1"/>
  <c r="T495" i="25"/>
  <c r="U495" i="25" a="1"/>
  <c r="U495" i="25"/>
  <c r="V495" i="25"/>
  <c r="T496" i="25" a="1"/>
  <c r="T496" i="25"/>
  <c r="U496" i="25" a="1"/>
  <c r="U496" i="25"/>
  <c r="V496" i="25"/>
  <c r="T497" i="25" a="1"/>
  <c r="T497" i="25"/>
  <c r="U497" i="25" a="1"/>
  <c r="U497" i="25"/>
  <c r="V497" i="25"/>
  <c r="T498" i="25" a="1"/>
  <c r="T498" i="25"/>
  <c r="U498" i="25" a="1"/>
  <c r="U498" i="25"/>
  <c r="V498" i="25"/>
  <c r="T499" i="25" a="1"/>
  <c r="T499" i="25"/>
  <c r="U499" i="25" a="1"/>
  <c r="U499" i="25"/>
  <c r="V499" i="25"/>
  <c r="T500" i="25" a="1"/>
  <c r="T500" i="25"/>
  <c r="U500" i="25" a="1"/>
  <c r="U500" i="25"/>
  <c r="V500" i="25"/>
  <c r="T501" i="25" a="1"/>
  <c r="T501" i="25"/>
  <c r="U501" i="25" a="1"/>
  <c r="U501" i="25"/>
  <c r="V501" i="25"/>
  <c r="T502" i="25" a="1"/>
  <c r="T502" i="25"/>
  <c r="U502" i="25" a="1"/>
  <c r="U502" i="25"/>
  <c r="V502" i="25"/>
  <c r="T503" i="25" a="1"/>
  <c r="T503" i="25"/>
  <c r="U503" i="25" a="1"/>
  <c r="U503" i="25"/>
  <c r="V503" i="25"/>
  <c r="T504" i="25" a="1"/>
  <c r="T504" i="25"/>
  <c r="U504" i="25" a="1"/>
  <c r="U504" i="25"/>
  <c r="V504" i="25"/>
  <c r="T505" i="25" a="1"/>
  <c r="T505" i="25"/>
  <c r="U505" i="25" a="1"/>
  <c r="U505" i="25"/>
  <c r="V505" i="25"/>
  <c r="T506" i="25" a="1"/>
  <c r="T506" i="25"/>
  <c r="U506" i="25" a="1"/>
  <c r="U506" i="25"/>
  <c r="V506" i="25"/>
  <c r="T507" i="25" a="1"/>
  <c r="T507" i="25"/>
  <c r="U507" i="25" a="1"/>
  <c r="U507" i="25"/>
  <c r="V507" i="25"/>
  <c r="T508" i="25" a="1"/>
  <c r="T508" i="25"/>
  <c r="U508" i="25" a="1"/>
  <c r="U508" i="25"/>
  <c r="V508" i="25"/>
  <c r="T509" i="25" a="1"/>
  <c r="T509" i="25"/>
  <c r="U509" i="25" a="1"/>
  <c r="U509" i="25"/>
  <c r="V509" i="25"/>
  <c r="T510" i="25" a="1"/>
  <c r="T510" i="25"/>
  <c r="U510" i="25" a="1"/>
  <c r="U510" i="25"/>
  <c r="V510" i="25"/>
  <c r="T511" i="25" a="1"/>
  <c r="T511" i="25"/>
  <c r="U511" i="25" a="1"/>
  <c r="U511" i="25"/>
  <c r="V511" i="25"/>
  <c r="T512" i="25" a="1"/>
  <c r="T512" i="25"/>
  <c r="U512" i="25" a="1"/>
  <c r="U512" i="25"/>
  <c r="V512" i="25"/>
  <c r="T513" i="25" a="1"/>
  <c r="T513" i="25"/>
  <c r="U513" i="25" a="1"/>
  <c r="U513" i="25"/>
  <c r="V513" i="25"/>
  <c r="T514" i="25" a="1"/>
  <c r="T514" i="25"/>
  <c r="U514" i="25" a="1"/>
  <c r="U514" i="25"/>
  <c r="V514" i="25"/>
  <c r="T515" i="25" a="1"/>
  <c r="T515" i="25"/>
  <c r="U515" i="25" a="1"/>
  <c r="U515" i="25"/>
  <c r="V515" i="25"/>
  <c r="T516" i="25" a="1"/>
  <c r="T516" i="25"/>
  <c r="U516" i="25" a="1"/>
  <c r="U516" i="25"/>
  <c r="V516" i="25"/>
  <c r="T517" i="25" a="1"/>
  <c r="T517" i="25"/>
  <c r="U517" i="25" a="1"/>
  <c r="U517" i="25"/>
  <c r="V517" i="25"/>
  <c r="T518" i="25" a="1"/>
  <c r="T518" i="25"/>
  <c r="U518" i="25" a="1"/>
  <c r="U518" i="25"/>
  <c r="V518" i="25"/>
  <c r="T519" i="25" a="1"/>
  <c r="T519" i="25"/>
  <c r="U519" i="25" a="1"/>
  <c r="U519" i="25"/>
  <c r="V519" i="25"/>
  <c r="T520" i="25" a="1"/>
  <c r="T520" i="25"/>
  <c r="U520" i="25" a="1"/>
  <c r="U520" i="25"/>
  <c r="V520" i="25"/>
  <c r="T521" i="25" a="1"/>
  <c r="T521" i="25"/>
  <c r="U521" i="25" a="1"/>
  <c r="U521" i="25"/>
  <c r="V521" i="25"/>
  <c r="T522" i="25" a="1"/>
  <c r="T522" i="25"/>
  <c r="U522" i="25" a="1"/>
  <c r="U522" i="25"/>
  <c r="V522" i="25"/>
  <c r="T523" i="25" a="1"/>
  <c r="T523" i="25"/>
  <c r="U523" i="25" a="1"/>
  <c r="U523" i="25"/>
  <c r="V523" i="25"/>
  <c r="T524" i="25" a="1"/>
  <c r="T524" i="25"/>
  <c r="U524" i="25" a="1"/>
  <c r="U524" i="25"/>
  <c r="V524" i="25"/>
  <c r="T525" i="25" a="1"/>
  <c r="T525" i="25"/>
  <c r="U525" i="25" a="1"/>
  <c r="U525" i="25"/>
  <c r="V525" i="25"/>
  <c r="T526" i="25" a="1"/>
  <c r="T526" i="25"/>
  <c r="U526" i="25" a="1"/>
  <c r="U526" i="25"/>
  <c r="V526" i="25"/>
  <c r="T527" i="25" a="1"/>
  <c r="T527" i="25"/>
  <c r="U527" i="25" a="1"/>
  <c r="U527" i="25"/>
  <c r="V527" i="25"/>
  <c r="T528" i="25" a="1"/>
  <c r="T528" i="25"/>
  <c r="U528" i="25" a="1"/>
  <c r="U528" i="25"/>
  <c r="V528" i="25"/>
  <c r="T529" i="25" a="1"/>
  <c r="T529" i="25"/>
  <c r="U529" i="25" a="1"/>
  <c r="U529" i="25"/>
  <c r="V529" i="25"/>
  <c r="T530" i="25" a="1"/>
  <c r="T530" i="25"/>
  <c r="U530" i="25" a="1"/>
  <c r="U530" i="25"/>
  <c r="V530" i="25"/>
  <c r="T531" i="25" a="1"/>
  <c r="T531" i="25"/>
  <c r="U531" i="25" a="1"/>
  <c r="U531" i="25"/>
  <c r="V531" i="25"/>
  <c r="T532" i="25" a="1"/>
  <c r="T532" i="25"/>
  <c r="U532" i="25" a="1"/>
  <c r="U532" i="25"/>
  <c r="V532" i="25"/>
  <c r="T533" i="25" a="1"/>
  <c r="T533" i="25"/>
  <c r="U533" i="25" a="1"/>
  <c r="U533" i="25"/>
  <c r="V533" i="25"/>
  <c r="T534" i="25" a="1"/>
  <c r="T534" i="25"/>
  <c r="U534" i="25" a="1"/>
  <c r="U534" i="25"/>
  <c r="V534" i="25"/>
  <c r="T535" i="25" a="1"/>
  <c r="T535" i="25"/>
  <c r="U535" i="25" a="1"/>
  <c r="U535" i="25"/>
  <c r="V535" i="25"/>
  <c r="T536" i="25" a="1"/>
  <c r="T536" i="25"/>
  <c r="U536" i="25" a="1"/>
  <c r="U536" i="25"/>
  <c r="V536" i="25"/>
  <c r="T537" i="25" a="1"/>
  <c r="T537" i="25"/>
  <c r="U537" i="25" a="1"/>
  <c r="U537" i="25"/>
  <c r="V537" i="25"/>
  <c r="T538" i="25" a="1"/>
  <c r="T538" i="25"/>
  <c r="U538" i="25" a="1"/>
  <c r="U538" i="25"/>
  <c r="V538" i="25"/>
  <c r="T539" i="25" a="1"/>
  <c r="T539" i="25"/>
  <c r="U539" i="25" a="1"/>
  <c r="U539" i="25"/>
  <c r="V539" i="25"/>
  <c r="T540" i="25" a="1"/>
  <c r="T540" i="25"/>
  <c r="U540" i="25" a="1"/>
  <c r="U540" i="25"/>
  <c r="V540" i="25"/>
  <c r="T541" i="25" a="1"/>
  <c r="T541" i="25"/>
  <c r="U541" i="25" a="1"/>
  <c r="U541" i="25"/>
  <c r="V541" i="25"/>
  <c r="T542" i="25" a="1"/>
  <c r="T542" i="25"/>
  <c r="U542" i="25" a="1"/>
  <c r="U542" i="25"/>
  <c r="V542" i="25"/>
  <c r="T543" i="25" a="1"/>
  <c r="T543" i="25"/>
  <c r="U543" i="25" a="1"/>
  <c r="U543" i="25"/>
  <c r="V543" i="25"/>
  <c r="T544" i="25" a="1"/>
  <c r="T544" i="25"/>
  <c r="U544" i="25" a="1"/>
  <c r="U544" i="25"/>
  <c r="V544" i="25"/>
  <c r="T545" i="25" a="1"/>
  <c r="T545" i="25"/>
  <c r="U545" i="25" a="1"/>
  <c r="U545" i="25"/>
  <c r="V545" i="25"/>
  <c r="T546" i="25" a="1"/>
  <c r="T546" i="25"/>
  <c r="U546" i="25" a="1"/>
  <c r="U546" i="25"/>
  <c r="V546" i="25"/>
  <c r="T547" i="25" a="1"/>
  <c r="T547" i="25"/>
  <c r="U547" i="25" a="1"/>
  <c r="U547" i="25"/>
  <c r="V547" i="25"/>
  <c r="T548" i="25" a="1"/>
  <c r="T548" i="25"/>
  <c r="U548" i="25" a="1"/>
  <c r="U548" i="25"/>
  <c r="V548" i="25"/>
  <c r="T549" i="25" a="1"/>
  <c r="T549" i="25"/>
  <c r="U549" i="25" a="1"/>
  <c r="U549" i="25"/>
  <c r="V549" i="25"/>
  <c r="T550" i="25" a="1"/>
  <c r="T550" i="25"/>
  <c r="U550" i="25" a="1"/>
  <c r="U550" i="25"/>
  <c r="V550" i="25"/>
  <c r="T551" i="25" a="1"/>
  <c r="T551" i="25"/>
  <c r="U551" i="25" a="1"/>
  <c r="U551" i="25"/>
  <c r="V551" i="25"/>
  <c r="T552" i="25" a="1"/>
  <c r="T552" i="25"/>
  <c r="U552" i="25" a="1"/>
  <c r="U552" i="25"/>
  <c r="V552" i="25"/>
  <c r="T553" i="25" a="1"/>
  <c r="T553" i="25"/>
  <c r="U553" i="25" a="1"/>
  <c r="U553" i="25"/>
  <c r="V553" i="25"/>
  <c r="T554" i="25" a="1"/>
  <c r="T554" i="25"/>
  <c r="U554" i="25" a="1"/>
  <c r="U554" i="25"/>
  <c r="V554" i="25"/>
  <c r="T555" i="25" a="1"/>
  <c r="T555" i="25"/>
  <c r="U555" i="25" a="1"/>
  <c r="U555" i="25"/>
  <c r="V555" i="25"/>
  <c r="T556" i="25" a="1"/>
  <c r="T556" i="25"/>
  <c r="U556" i="25" a="1"/>
  <c r="U556" i="25"/>
  <c r="V556" i="25"/>
  <c r="T557" i="25" a="1"/>
  <c r="T557" i="25"/>
  <c r="U557" i="25" a="1"/>
  <c r="U557" i="25"/>
  <c r="V557" i="25"/>
  <c r="T558" i="25" a="1"/>
  <c r="T558" i="25"/>
  <c r="U558" i="25" a="1"/>
  <c r="U558" i="25"/>
  <c r="V558" i="25"/>
  <c r="T559" i="25" a="1"/>
  <c r="T559" i="25"/>
  <c r="U559" i="25" a="1"/>
  <c r="U559" i="25"/>
  <c r="V559" i="25"/>
  <c r="T560" i="25" a="1"/>
  <c r="T560" i="25"/>
  <c r="U560" i="25" a="1"/>
  <c r="U560" i="25"/>
  <c r="V560" i="25"/>
  <c r="T561" i="25" a="1"/>
  <c r="T561" i="25"/>
  <c r="U561" i="25" a="1"/>
  <c r="U561" i="25"/>
  <c r="V561" i="25"/>
  <c r="T562" i="25" a="1"/>
  <c r="T562" i="25"/>
  <c r="U562" i="25" a="1"/>
  <c r="U562" i="25"/>
  <c r="V562" i="25"/>
  <c r="T563" i="25" a="1"/>
  <c r="T563" i="25"/>
  <c r="U563" i="25" a="1"/>
  <c r="U563" i="25"/>
  <c r="V563" i="25"/>
  <c r="T564" i="25" a="1"/>
  <c r="T564" i="25"/>
  <c r="U564" i="25" a="1"/>
  <c r="U564" i="25"/>
  <c r="V564" i="25"/>
  <c r="T565" i="25" a="1"/>
  <c r="T565" i="25"/>
  <c r="U565" i="25" a="1"/>
  <c r="U565" i="25"/>
  <c r="V565" i="25"/>
  <c r="T566" i="25" a="1"/>
  <c r="T566" i="25"/>
  <c r="U566" i="25" a="1"/>
  <c r="U566" i="25"/>
  <c r="V566" i="25"/>
  <c r="T567" i="25" a="1"/>
  <c r="T567" i="25"/>
  <c r="U567" i="25" a="1"/>
  <c r="U567" i="25"/>
  <c r="V567" i="25"/>
  <c r="T568" i="25" a="1"/>
  <c r="T568" i="25"/>
  <c r="U568" i="25" a="1"/>
  <c r="U568" i="25"/>
  <c r="V568" i="25"/>
  <c r="T569" i="25" a="1"/>
  <c r="T569" i="25"/>
  <c r="U569" i="25" a="1"/>
  <c r="U569" i="25"/>
  <c r="V569" i="25"/>
  <c r="T570" i="25" a="1"/>
  <c r="T570" i="25"/>
  <c r="U570" i="25" a="1"/>
  <c r="U570" i="25"/>
  <c r="V570" i="25"/>
  <c r="T571" i="25" a="1"/>
  <c r="T571" i="25"/>
  <c r="U571" i="25" a="1"/>
  <c r="U571" i="25"/>
  <c r="V571" i="25"/>
  <c r="T572" i="25" a="1"/>
  <c r="T572" i="25"/>
  <c r="U572" i="25" a="1"/>
  <c r="U572" i="25"/>
  <c r="V572" i="25"/>
  <c r="T573" i="25" a="1"/>
  <c r="T573" i="25"/>
  <c r="U573" i="25" a="1"/>
  <c r="U573" i="25"/>
  <c r="V573" i="25"/>
  <c r="T574" i="25" a="1"/>
  <c r="T574" i="25"/>
  <c r="U574" i="25" a="1"/>
  <c r="U574" i="25"/>
  <c r="V574" i="25"/>
  <c r="T575" i="25" a="1"/>
  <c r="T575" i="25"/>
  <c r="U575" i="25" a="1"/>
  <c r="U575" i="25"/>
  <c r="V575" i="25"/>
  <c r="T576" i="25" a="1"/>
  <c r="T576" i="25"/>
  <c r="U576" i="25" a="1"/>
  <c r="U576" i="25"/>
  <c r="V576" i="25"/>
  <c r="T577" i="25" a="1"/>
  <c r="T577" i="25"/>
  <c r="U577" i="25" a="1"/>
  <c r="U577" i="25"/>
  <c r="V577" i="25"/>
  <c r="T578" i="25" a="1"/>
  <c r="T578" i="25"/>
  <c r="U578" i="25" a="1"/>
  <c r="U578" i="25"/>
  <c r="V578" i="25"/>
  <c r="T579" i="25" a="1"/>
  <c r="T579" i="25"/>
  <c r="U579" i="25" a="1"/>
  <c r="U579" i="25"/>
  <c r="V579" i="25"/>
  <c r="T580" i="25" a="1"/>
  <c r="T580" i="25"/>
  <c r="U580" i="25" a="1"/>
  <c r="U580" i="25"/>
  <c r="V580" i="25"/>
  <c r="T581" i="25" a="1"/>
  <c r="T581" i="25"/>
  <c r="U581" i="25" a="1"/>
  <c r="U581" i="25"/>
  <c r="V581" i="25"/>
  <c r="T582" i="25" a="1"/>
  <c r="T582" i="25"/>
  <c r="U582" i="25" a="1"/>
  <c r="U582" i="25"/>
  <c r="V582" i="25"/>
  <c r="T583" i="25" a="1"/>
  <c r="T583" i="25"/>
  <c r="U583" i="25" a="1"/>
  <c r="U583" i="25"/>
  <c r="V583" i="25"/>
  <c r="T584" i="25" a="1"/>
  <c r="T584" i="25"/>
  <c r="U584" i="25" a="1"/>
  <c r="U584" i="25"/>
  <c r="V584" i="25"/>
  <c r="T585" i="25" a="1"/>
  <c r="T585" i="25"/>
  <c r="U585" i="25" a="1"/>
  <c r="U585" i="25"/>
  <c r="V585" i="25"/>
  <c r="T586" i="25" a="1"/>
  <c r="T586" i="25"/>
  <c r="U586" i="25" a="1"/>
  <c r="U586" i="25"/>
  <c r="V586" i="25"/>
  <c r="T587" i="25" a="1"/>
  <c r="T587" i="25"/>
  <c r="U587" i="25" a="1"/>
  <c r="U587" i="25"/>
  <c r="V587" i="25"/>
  <c r="T588" i="25" a="1"/>
  <c r="T588" i="25"/>
  <c r="U588" i="25" a="1"/>
  <c r="U588" i="25"/>
  <c r="V588" i="25"/>
  <c r="T589" i="25" a="1"/>
  <c r="T589" i="25"/>
  <c r="U589" i="25" a="1"/>
  <c r="U589" i="25"/>
  <c r="V589" i="25"/>
  <c r="T590" i="25" a="1"/>
  <c r="T590" i="25"/>
  <c r="U590" i="25" a="1"/>
  <c r="U590" i="25"/>
  <c r="V590" i="25"/>
  <c r="T591" i="25" a="1"/>
  <c r="T591" i="25"/>
  <c r="U591" i="25" a="1"/>
  <c r="U591" i="25"/>
  <c r="V591" i="25"/>
  <c r="T592" i="25" a="1"/>
  <c r="T592" i="25"/>
  <c r="U592" i="25" a="1"/>
  <c r="U592" i="25"/>
  <c r="V592" i="25"/>
  <c r="T593" i="25" a="1"/>
  <c r="T593" i="25"/>
  <c r="U593" i="25" a="1"/>
  <c r="U593" i="25"/>
  <c r="V593" i="25"/>
  <c r="T594" i="25" a="1"/>
  <c r="T594" i="25"/>
  <c r="U594" i="25" a="1"/>
  <c r="U594" i="25"/>
  <c r="V594" i="25"/>
  <c r="T595" i="25" a="1"/>
  <c r="T595" i="25"/>
  <c r="U595" i="25" a="1"/>
  <c r="U595" i="25"/>
  <c r="V595" i="25"/>
  <c r="T596" i="25" a="1"/>
  <c r="T596" i="25"/>
  <c r="U596" i="25" a="1"/>
  <c r="U596" i="25"/>
  <c r="V596" i="25"/>
  <c r="T597" i="25" a="1"/>
  <c r="T597" i="25"/>
  <c r="U597" i="25" a="1"/>
  <c r="U597" i="25"/>
  <c r="V597" i="25"/>
  <c r="T598" i="25" a="1"/>
  <c r="T598" i="25"/>
  <c r="U598" i="25" a="1"/>
  <c r="U598" i="25"/>
  <c r="V598" i="25"/>
  <c r="T599" i="25" a="1"/>
  <c r="T599" i="25"/>
  <c r="U599" i="25" a="1"/>
  <c r="U599" i="25"/>
  <c r="V599" i="25"/>
  <c r="T600" i="25" a="1"/>
  <c r="T600" i="25"/>
  <c r="U600" i="25" a="1"/>
  <c r="U600" i="25"/>
  <c r="V600" i="25"/>
  <c r="T601" i="25" a="1"/>
  <c r="T601" i="25"/>
  <c r="U601" i="25" a="1"/>
  <c r="U601" i="25"/>
  <c r="V601" i="25"/>
  <c r="T602" i="25" a="1"/>
  <c r="T602" i="25"/>
  <c r="U602" i="25" a="1"/>
  <c r="U602" i="25"/>
  <c r="V602" i="25"/>
  <c r="T603" i="25" a="1"/>
  <c r="T603" i="25"/>
  <c r="U603" i="25" a="1"/>
  <c r="U603" i="25"/>
  <c r="V603" i="25"/>
  <c r="T604" i="25" a="1"/>
  <c r="T604" i="25"/>
  <c r="U604" i="25" a="1"/>
  <c r="U604" i="25"/>
  <c r="V604" i="25"/>
  <c r="T605" i="25" a="1"/>
  <c r="T605" i="25"/>
  <c r="U605" i="25" a="1"/>
  <c r="U605" i="25"/>
  <c r="V605" i="25"/>
  <c r="T606" i="25" a="1"/>
  <c r="T606" i="25"/>
  <c r="U606" i="25" a="1"/>
  <c r="U606" i="25"/>
  <c r="V606" i="25"/>
  <c r="T607" i="25" a="1"/>
  <c r="T607" i="25"/>
  <c r="U607" i="25" a="1"/>
  <c r="U607" i="25"/>
  <c r="V607" i="25"/>
  <c r="T608" i="25" a="1"/>
  <c r="T608" i="25"/>
  <c r="U608" i="25" a="1"/>
  <c r="U608" i="25"/>
  <c r="V608" i="25"/>
  <c r="T609" i="25" a="1"/>
  <c r="T609" i="25"/>
  <c r="U609" i="25" a="1"/>
  <c r="U609" i="25"/>
  <c r="V609" i="25"/>
  <c r="T610" i="25" a="1"/>
  <c r="T610" i="25"/>
  <c r="U610" i="25" a="1"/>
  <c r="U610" i="25"/>
  <c r="V610" i="25"/>
  <c r="T611" i="25" a="1"/>
  <c r="T611" i="25"/>
  <c r="U611" i="25" a="1"/>
  <c r="U611" i="25"/>
  <c r="V611" i="25"/>
  <c r="T612" i="25" a="1"/>
  <c r="T612" i="25"/>
  <c r="U612" i="25" a="1"/>
  <c r="U612" i="25"/>
  <c r="V612" i="25"/>
  <c r="T613" i="25" a="1"/>
  <c r="T613" i="25"/>
  <c r="U613" i="25" a="1"/>
  <c r="U613" i="25"/>
  <c r="V613" i="25"/>
  <c r="T614" i="25" a="1"/>
  <c r="T614" i="25"/>
  <c r="U614" i="25" a="1"/>
  <c r="U614" i="25"/>
  <c r="V614" i="25"/>
  <c r="T615" i="25" a="1"/>
  <c r="T615" i="25"/>
  <c r="U615" i="25" a="1"/>
  <c r="U615" i="25"/>
  <c r="V615" i="25"/>
  <c r="T616" i="25" a="1"/>
  <c r="T616" i="25"/>
  <c r="U616" i="25" a="1"/>
  <c r="U616" i="25"/>
  <c r="V616" i="25"/>
  <c r="T617" i="25" a="1"/>
  <c r="T617" i="25"/>
  <c r="U617" i="25" a="1"/>
  <c r="U617" i="25"/>
  <c r="V617" i="25"/>
  <c r="T618" i="25" a="1"/>
  <c r="T618" i="25"/>
  <c r="U618" i="25" a="1"/>
  <c r="U618" i="25"/>
  <c r="V618" i="25"/>
  <c r="T619" i="25" a="1"/>
  <c r="T619" i="25"/>
  <c r="U619" i="25" a="1"/>
  <c r="U619" i="25"/>
  <c r="V619" i="25"/>
  <c r="T620" i="25" a="1"/>
  <c r="T620" i="25"/>
  <c r="U620" i="25" a="1"/>
  <c r="U620" i="25"/>
  <c r="V620" i="25"/>
  <c r="T621" i="25" a="1"/>
  <c r="T621" i="25"/>
  <c r="U621" i="25" a="1"/>
  <c r="U621" i="25"/>
  <c r="V621" i="25"/>
  <c r="T622" i="25" a="1"/>
  <c r="T622" i="25"/>
  <c r="U622" i="25" a="1"/>
  <c r="U622" i="25"/>
  <c r="V622" i="25"/>
  <c r="T623" i="25" a="1"/>
  <c r="T623" i="25"/>
  <c r="U623" i="25" a="1"/>
  <c r="U623" i="25"/>
  <c r="V623" i="25"/>
  <c r="T624" i="25" a="1"/>
  <c r="T624" i="25"/>
  <c r="U624" i="25" a="1"/>
  <c r="U624" i="25"/>
  <c r="V624" i="25"/>
  <c r="T625" i="25" a="1"/>
  <c r="T625" i="25"/>
  <c r="U625" i="25" a="1"/>
  <c r="U625" i="25"/>
  <c r="V625" i="25"/>
  <c r="T626" i="25" a="1"/>
  <c r="T626" i="25"/>
  <c r="U626" i="25" a="1"/>
  <c r="U626" i="25"/>
  <c r="V626" i="25"/>
  <c r="T627" i="25" a="1"/>
  <c r="T627" i="25"/>
  <c r="U627" i="25" a="1"/>
  <c r="U627" i="25"/>
  <c r="V627" i="25"/>
  <c r="T628" i="25" a="1"/>
  <c r="T628" i="25"/>
  <c r="U628" i="25" a="1"/>
  <c r="U628" i="25"/>
  <c r="V628" i="25"/>
  <c r="T629" i="25" a="1"/>
  <c r="T629" i="25"/>
  <c r="U629" i="25" a="1"/>
  <c r="U629" i="25"/>
  <c r="V629" i="25"/>
  <c r="T630" i="25" a="1"/>
  <c r="T630" i="25"/>
  <c r="U630" i="25" a="1"/>
  <c r="U630" i="25"/>
  <c r="V630" i="25"/>
  <c r="T631" i="25" a="1"/>
  <c r="T631" i="25"/>
  <c r="U631" i="25" a="1"/>
  <c r="U631" i="25"/>
  <c r="V631" i="25"/>
  <c r="T632" i="25" a="1"/>
  <c r="T632" i="25"/>
  <c r="U632" i="25" a="1"/>
  <c r="U632" i="25"/>
  <c r="V632" i="25"/>
  <c r="T633" i="25" a="1"/>
  <c r="T633" i="25"/>
  <c r="U633" i="25" a="1"/>
  <c r="U633" i="25"/>
  <c r="V633" i="25"/>
  <c r="T634" i="25" a="1"/>
  <c r="T634" i="25"/>
  <c r="U634" i="25" a="1"/>
  <c r="U634" i="25"/>
  <c r="V634" i="25"/>
  <c r="T635" i="25" a="1"/>
  <c r="T635" i="25"/>
  <c r="U635" i="25" a="1"/>
  <c r="U635" i="25"/>
  <c r="V635" i="25"/>
  <c r="T636" i="25" a="1"/>
  <c r="T636" i="25"/>
  <c r="U636" i="25" a="1"/>
  <c r="U636" i="25"/>
  <c r="V636" i="25"/>
  <c r="T637" i="25" a="1"/>
  <c r="T637" i="25"/>
  <c r="U637" i="25" a="1"/>
  <c r="U637" i="25"/>
  <c r="V637" i="25"/>
  <c r="T638" i="25" a="1"/>
  <c r="T638" i="25"/>
  <c r="U638" i="25" a="1"/>
  <c r="U638" i="25"/>
  <c r="V638" i="25"/>
  <c r="T639" i="25" a="1"/>
  <c r="T639" i="25"/>
  <c r="U639" i="25" a="1"/>
  <c r="U639" i="25"/>
  <c r="V639" i="25"/>
  <c r="T640" i="25" a="1"/>
  <c r="T640" i="25"/>
  <c r="U640" i="25" a="1"/>
  <c r="U640" i="25"/>
  <c r="V640" i="25"/>
  <c r="T641" i="25" a="1"/>
  <c r="T641" i="25"/>
  <c r="U641" i="25" a="1"/>
  <c r="U641" i="25"/>
  <c r="V641" i="25"/>
  <c r="T642" i="25" a="1"/>
  <c r="T642" i="25"/>
  <c r="U642" i="25" a="1"/>
  <c r="U642" i="25"/>
  <c r="V642" i="25"/>
  <c r="T643" i="25" a="1"/>
  <c r="T643" i="25"/>
  <c r="U643" i="25" a="1"/>
  <c r="U643" i="25"/>
  <c r="V643" i="25"/>
  <c r="T644" i="25" a="1"/>
  <c r="T644" i="25"/>
  <c r="U644" i="25" a="1"/>
  <c r="U644" i="25"/>
  <c r="V644" i="25"/>
  <c r="T645" i="25" a="1"/>
  <c r="T645" i="25"/>
  <c r="U645" i="25" a="1"/>
  <c r="U645" i="25"/>
  <c r="V645" i="25"/>
  <c r="T646" i="25" a="1"/>
  <c r="T646" i="25"/>
  <c r="U646" i="25" a="1"/>
  <c r="U646" i="25"/>
  <c r="V646" i="25"/>
  <c r="T647" i="25" a="1"/>
  <c r="T647" i="25"/>
  <c r="U647" i="25" a="1"/>
  <c r="U647" i="25"/>
  <c r="V647" i="25"/>
  <c r="T648" i="25" a="1"/>
  <c r="T648" i="25"/>
  <c r="U648" i="25" a="1"/>
  <c r="U648" i="25"/>
  <c r="V648" i="25"/>
  <c r="T649" i="25" a="1"/>
  <c r="T649" i="25"/>
  <c r="U649" i="25" a="1"/>
  <c r="U649" i="25"/>
  <c r="V649" i="25"/>
  <c r="T650" i="25" a="1"/>
  <c r="T650" i="25"/>
  <c r="U650" i="25" a="1"/>
  <c r="U650" i="25"/>
  <c r="V650" i="25"/>
  <c r="T651" i="25" a="1"/>
  <c r="T651" i="25"/>
  <c r="U651" i="25" a="1"/>
  <c r="U651" i="25"/>
  <c r="V651" i="25"/>
  <c r="T652" i="25" a="1"/>
  <c r="T652" i="25"/>
  <c r="U652" i="25" a="1"/>
  <c r="U652" i="25"/>
  <c r="V652" i="25"/>
  <c r="T653" i="25" a="1"/>
  <c r="T653" i="25"/>
  <c r="U653" i="25" a="1"/>
  <c r="U653" i="25"/>
  <c r="V653" i="25"/>
  <c r="T654" i="25" a="1"/>
  <c r="T654" i="25"/>
  <c r="U654" i="25" a="1"/>
  <c r="U654" i="25"/>
  <c r="V654" i="25"/>
  <c r="T655" i="25" a="1"/>
  <c r="T655" i="25"/>
  <c r="U655" i="25" a="1"/>
  <c r="U655" i="25"/>
  <c r="V655" i="25"/>
  <c r="T656" i="25" a="1"/>
  <c r="T656" i="25"/>
  <c r="U656" i="25" a="1"/>
  <c r="U656" i="25"/>
  <c r="V656" i="25"/>
  <c r="T657" i="25" a="1"/>
  <c r="T657" i="25"/>
  <c r="U657" i="25" a="1"/>
  <c r="U657" i="25"/>
  <c r="V657" i="25"/>
  <c r="T658" i="25" a="1"/>
  <c r="T658" i="25"/>
  <c r="U658" i="25" a="1"/>
  <c r="U658" i="25"/>
  <c r="V658" i="25"/>
  <c r="T659" i="25" a="1"/>
  <c r="T659" i="25"/>
  <c r="U659" i="25" a="1"/>
  <c r="U659" i="25"/>
  <c r="V659" i="25"/>
  <c r="T660" i="25" a="1"/>
  <c r="T660" i="25"/>
  <c r="U660" i="25" a="1"/>
  <c r="U660" i="25"/>
  <c r="V660" i="25"/>
  <c r="T661" i="25" a="1"/>
  <c r="T661" i="25"/>
  <c r="U661" i="25" a="1"/>
  <c r="U661" i="25"/>
  <c r="V661" i="25"/>
  <c r="T662" i="25" a="1"/>
  <c r="T662" i="25"/>
  <c r="U662" i="25" a="1"/>
  <c r="U662" i="25"/>
  <c r="V662" i="25"/>
  <c r="T663" i="25" a="1"/>
  <c r="T663" i="25"/>
  <c r="U663" i="25" a="1"/>
  <c r="U663" i="25"/>
  <c r="V663" i="25"/>
  <c r="T664" i="25" a="1"/>
  <c r="T664" i="25"/>
  <c r="U664" i="25" a="1"/>
  <c r="U664" i="25"/>
  <c r="V664" i="25"/>
  <c r="T665" i="25" a="1"/>
  <c r="T665" i="25"/>
  <c r="U665" i="25" a="1"/>
  <c r="U665" i="25"/>
  <c r="V665" i="25"/>
  <c r="T666" i="25" a="1"/>
  <c r="T666" i="25"/>
  <c r="U666" i="25" a="1"/>
  <c r="U666" i="25"/>
  <c r="V666" i="25"/>
  <c r="T667" i="25" a="1"/>
  <c r="T667" i="25"/>
  <c r="U667" i="25" a="1"/>
  <c r="U667" i="25"/>
  <c r="V667" i="25"/>
  <c r="T668" i="25" a="1"/>
  <c r="T668" i="25"/>
  <c r="U668" i="25" a="1"/>
  <c r="U668" i="25"/>
  <c r="V668" i="25"/>
  <c r="T669" i="25" a="1"/>
  <c r="T669" i="25"/>
  <c r="U669" i="25" a="1"/>
  <c r="U669" i="25"/>
  <c r="V669" i="25"/>
  <c r="T670" i="25" a="1"/>
  <c r="T670" i="25"/>
  <c r="U670" i="25" a="1"/>
  <c r="U670" i="25"/>
  <c r="V670" i="25"/>
  <c r="T671" i="25" a="1"/>
  <c r="T671" i="25"/>
  <c r="U671" i="25" a="1"/>
  <c r="U671" i="25"/>
  <c r="V671" i="25"/>
  <c r="T672" i="25" a="1"/>
  <c r="T672" i="25"/>
  <c r="U672" i="25" a="1"/>
  <c r="U672" i="25"/>
  <c r="V672" i="25"/>
  <c r="T673" i="25" a="1"/>
  <c r="T673" i="25"/>
  <c r="U673" i="25" a="1"/>
  <c r="U673" i="25"/>
  <c r="V673" i="25"/>
  <c r="T674" i="25" a="1"/>
  <c r="T674" i="25"/>
  <c r="U674" i="25" a="1"/>
  <c r="U674" i="25"/>
  <c r="V674" i="25"/>
  <c r="T675" i="25" a="1"/>
  <c r="T675" i="25"/>
  <c r="U675" i="25" a="1"/>
  <c r="U675" i="25"/>
  <c r="V675" i="25"/>
  <c r="T676" i="25" a="1"/>
  <c r="T676" i="25"/>
  <c r="U676" i="25" a="1"/>
  <c r="U676" i="25"/>
  <c r="V676" i="25"/>
  <c r="T677" i="25" a="1"/>
  <c r="T677" i="25"/>
  <c r="U677" i="25" a="1"/>
  <c r="U677" i="25"/>
  <c r="V677" i="25"/>
  <c r="T678" i="25" a="1"/>
  <c r="T678" i="25"/>
  <c r="U678" i="25" a="1"/>
  <c r="U678" i="25"/>
  <c r="V678" i="25"/>
  <c r="T679" i="25" a="1"/>
  <c r="T679" i="25"/>
  <c r="U679" i="25" a="1"/>
  <c r="U679" i="25"/>
  <c r="V679" i="25"/>
  <c r="T680" i="25" a="1"/>
  <c r="T680" i="25"/>
  <c r="U680" i="25" a="1"/>
  <c r="U680" i="25"/>
  <c r="V680" i="25"/>
  <c r="T681" i="25" a="1"/>
  <c r="T681" i="25"/>
  <c r="U681" i="25" a="1"/>
  <c r="U681" i="25"/>
  <c r="V681" i="25"/>
  <c r="T682" i="25" a="1"/>
  <c r="T682" i="25"/>
  <c r="U682" i="25" a="1"/>
  <c r="U682" i="25"/>
  <c r="V682" i="25"/>
  <c r="T683" i="25" a="1"/>
  <c r="T683" i="25"/>
  <c r="U683" i="25" a="1"/>
  <c r="U683" i="25"/>
  <c r="V683" i="25"/>
  <c r="T684" i="25" a="1"/>
  <c r="T684" i="25"/>
  <c r="U684" i="25" a="1"/>
  <c r="U684" i="25"/>
  <c r="V684" i="25"/>
  <c r="T685" i="25" a="1"/>
  <c r="T685" i="25"/>
  <c r="U685" i="25" a="1"/>
  <c r="U685" i="25"/>
  <c r="V685" i="25"/>
  <c r="T686" i="25" a="1"/>
  <c r="T686" i="25"/>
  <c r="U686" i="25" a="1"/>
  <c r="U686" i="25"/>
  <c r="V686" i="25"/>
  <c r="T687" i="25" a="1"/>
  <c r="T687" i="25"/>
  <c r="U687" i="25" a="1"/>
  <c r="U687" i="25"/>
  <c r="V687" i="25"/>
  <c r="T688" i="25" a="1"/>
  <c r="T688" i="25"/>
  <c r="U688" i="25" a="1"/>
  <c r="U688" i="25"/>
  <c r="V688" i="25"/>
  <c r="T689" i="25" a="1"/>
  <c r="T689" i="25"/>
  <c r="U689" i="25" a="1"/>
  <c r="U689" i="25"/>
  <c r="V689" i="25"/>
  <c r="T690" i="25" a="1"/>
  <c r="T690" i="25"/>
  <c r="U690" i="25" a="1"/>
  <c r="U690" i="25"/>
  <c r="V690" i="25"/>
  <c r="T691" i="25" a="1"/>
  <c r="T691" i="25"/>
  <c r="U691" i="25" a="1"/>
  <c r="U691" i="25"/>
  <c r="V691" i="25"/>
  <c r="T692" i="25" a="1"/>
  <c r="T692" i="25"/>
  <c r="U692" i="25" a="1"/>
  <c r="U692" i="25"/>
  <c r="V692" i="25"/>
  <c r="T693" i="25" a="1"/>
  <c r="T693" i="25"/>
  <c r="U693" i="25" a="1"/>
  <c r="U693" i="25"/>
  <c r="V693" i="25"/>
  <c r="T694" i="25" a="1"/>
  <c r="T694" i="25"/>
  <c r="U694" i="25" a="1"/>
  <c r="U694" i="25"/>
  <c r="V694" i="25"/>
  <c r="T695" i="25" a="1"/>
  <c r="T695" i="25"/>
  <c r="U695" i="25" a="1"/>
  <c r="U695" i="25"/>
  <c r="V695" i="25"/>
  <c r="T696" i="25" a="1"/>
  <c r="T696" i="25"/>
  <c r="U696" i="25" a="1"/>
  <c r="U696" i="25"/>
  <c r="V696" i="25"/>
  <c r="T697" i="25" a="1"/>
  <c r="T697" i="25"/>
  <c r="U697" i="25" a="1"/>
  <c r="U697" i="25"/>
  <c r="V697" i="25"/>
  <c r="T698" i="25" a="1"/>
  <c r="T698" i="25"/>
  <c r="U698" i="25" a="1"/>
  <c r="U698" i="25"/>
  <c r="V698" i="25"/>
  <c r="T699" i="25" a="1"/>
  <c r="T699" i="25"/>
  <c r="U699" i="25" a="1"/>
  <c r="U699" i="25"/>
  <c r="V699" i="25"/>
  <c r="T700" i="25" a="1"/>
  <c r="T700" i="25"/>
  <c r="U700" i="25" a="1"/>
  <c r="U700" i="25"/>
  <c r="V700" i="25"/>
  <c r="T701" i="25" a="1"/>
  <c r="T701" i="25"/>
  <c r="U701" i="25" a="1"/>
  <c r="U701" i="25"/>
  <c r="V701" i="25"/>
  <c r="T702" i="25" a="1"/>
  <c r="T702" i="25"/>
  <c r="U702" i="25" a="1"/>
  <c r="U702" i="25"/>
  <c r="V702" i="25"/>
  <c r="T703" i="25" a="1"/>
  <c r="T703" i="25"/>
  <c r="U703" i="25" a="1"/>
  <c r="U703" i="25"/>
  <c r="V703" i="25"/>
  <c r="T704" i="25" a="1"/>
  <c r="T704" i="25"/>
  <c r="U704" i="25" a="1"/>
  <c r="U704" i="25"/>
  <c r="V704" i="25"/>
  <c r="T705" i="25" a="1"/>
  <c r="T705" i="25"/>
  <c r="U705" i="25" a="1"/>
  <c r="U705" i="25"/>
  <c r="V705" i="25"/>
  <c r="T706" i="25" a="1"/>
  <c r="T706" i="25"/>
  <c r="U706" i="25" a="1"/>
  <c r="U706" i="25"/>
  <c r="V706" i="25"/>
  <c r="T707" i="25" a="1"/>
  <c r="T707" i="25"/>
  <c r="U707" i="25" a="1"/>
  <c r="U707" i="25"/>
  <c r="V707" i="25"/>
  <c r="T708" i="25" a="1"/>
  <c r="T708" i="25"/>
  <c r="U708" i="25" a="1"/>
  <c r="U708" i="25"/>
  <c r="V708" i="25"/>
  <c r="T709" i="25" a="1"/>
  <c r="T709" i="25"/>
  <c r="U709" i="25" a="1"/>
  <c r="U709" i="25"/>
  <c r="V709" i="25"/>
  <c r="T710" i="25" a="1"/>
  <c r="T710" i="25"/>
  <c r="U710" i="25" a="1"/>
  <c r="U710" i="25"/>
  <c r="V710" i="25"/>
  <c r="T711" i="25" a="1"/>
  <c r="T711" i="25"/>
  <c r="U711" i="25" a="1"/>
  <c r="U711" i="25"/>
  <c r="V711" i="25"/>
  <c r="T712" i="25" a="1"/>
  <c r="T712" i="25"/>
  <c r="U712" i="25" a="1"/>
  <c r="U712" i="25"/>
  <c r="V712" i="25"/>
  <c r="T713" i="25" a="1"/>
  <c r="T713" i="25"/>
  <c r="U713" i="25" a="1"/>
  <c r="U713" i="25"/>
  <c r="V713" i="25"/>
  <c r="T714" i="25" a="1"/>
  <c r="T714" i="25"/>
  <c r="U714" i="25" a="1"/>
  <c r="U714" i="25"/>
  <c r="V714" i="25"/>
  <c r="T715" i="25" a="1"/>
  <c r="T715" i="25"/>
  <c r="U715" i="25" a="1"/>
  <c r="U715" i="25"/>
  <c r="V715" i="25"/>
  <c r="T716" i="25" a="1"/>
  <c r="T716" i="25"/>
  <c r="U716" i="25" a="1"/>
  <c r="U716" i="25"/>
  <c r="V716" i="25"/>
  <c r="T717" i="25" a="1"/>
  <c r="T717" i="25"/>
  <c r="U717" i="25" a="1"/>
  <c r="U717" i="25"/>
  <c r="V717" i="25"/>
  <c r="T718" i="25" a="1"/>
  <c r="T718" i="25"/>
  <c r="U718" i="25" a="1"/>
  <c r="U718" i="25"/>
  <c r="V718" i="25"/>
  <c r="T719" i="25" a="1"/>
  <c r="T719" i="25"/>
  <c r="U719" i="25" a="1"/>
  <c r="U719" i="25"/>
  <c r="V719" i="25"/>
  <c r="T720" i="25" a="1"/>
  <c r="T720" i="25"/>
  <c r="U720" i="25" a="1"/>
  <c r="U720" i="25"/>
  <c r="V720" i="25"/>
  <c r="T721" i="25" a="1"/>
  <c r="T721" i="25"/>
  <c r="U721" i="25" a="1"/>
  <c r="U721" i="25"/>
  <c r="V721" i="25"/>
  <c r="T722" i="25" a="1"/>
  <c r="T722" i="25"/>
  <c r="U722" i="25" a="1"/>
  <c r="U722" i="25"/>
  <c r="V722" i="25"/>
  <c r="T723" i="25" a="1"/>
  <c r="T723" i="25"/>
  <c r="U723" i="25" a="1"/>
  <c r="U723" i="25"/>
  <c r="V723" i="25"/>
  <c r="T724" i="25" a="1"/>
  <c r="T724" i="25"/>
  <c r="U724" i="25" a="1"/>
  <c r="U724" i="25"/>
  <c r="V724" i="25"/>
  <c r="T725" i="25" a="1"/>
  <c r="T725" i="25"/>
  <c r="U725" i="25" a="1"/>
  <c r="U725" i="25"/>
  <c r="V725" i="25"/>
  <c r="T726" i="25" a="1"/>
  <c r="T726" i="25"/>
  <c r="U726" i="25" a="1"/>
  <c r="U726" i="25"/>
  <c r="V726" i="25"/>
  <c r="T727" i="25" a="1"/>
  <c r="T727" i="25"/>
  <c r="U727" i="25" a="1"/>
  <c r="U727" i="25"/>
  <c r="V727" i="25"/>
  <c r="T728" i="25" a="1"/>
  <c r="T728" i="25"/>
  <c r="U728" i="25" a="1"/>
  <c r="U728" i="25"/>
  <c r="V728" i="25"/>
  <c r="T729" i="25" a="1"/>
  <c r="T729" i="25"/>
  <c r="U729" i="25" a="1"/>
  <c r="U729" i="25"/>
  <c r="V729" i="25"/>
  <c r="T730" i="25" a="1"/>
  <c r="T730" i="25"/>
  <c r="U730" i="25" a="1"/>
  <c r="U730" i="25"/>
  <c r="V730" i="25"/>
  <c r="T731" i="25" a="1"/>
  <c r="T731" i="25"/>
  <c r="U731" i="25" a="1"/>
  <c r="U731" i="25"/>
  <c r="V731" i="25"/>
  <c r="T732" i="25" a="1"/>
  <c r="T732" i="25"/>
  <c r="U732" i="25" a="1"/>
  <c r="U732" i="25"/>
  <c r="V732" i="25"/>
  <c r="T733" i="25" a="1"/>
  <c r="T733" i="25"/>
  <c r="U733" i="25" a="1"/>
  <c r="U733" i="25"/>
  <c r="V733" i="25"/>
  <c r="T734" i="25" a="1"/>
  <c r="T734" i="25"/>
  <c r="U734" i="25" a="1"/>
  <c r="U734" i="25"/>
  <c r="V734" i="25"/>
  <c r="T735" i="25" a="1"/>
  <c r="T735" i="25"/>
  <c r="U735" i="25" a="1"/>
  <c r="U735" i="25"/>
  <c r="V735" i="25"/>
  <c r="T736" i="25" a="1"/>
  <c r="T736" i="25"/>
  <c r="U736" i="25" a="1"/>
  <c r="U736" i="25"/>
  <c r="V736" i="25"/>
  <c r="T737" i="25" a="1"/>
  <c r="T737" i="25"/>
  <c r="U737" i="25" a="1"/>
  <c r="U737" i="25"/>
  <c r="V737" i="25"/>
  <c r="T738" i="25" a="1"/>
  <c r="T738" i="25"/>
  <c r="U738" i="25" a="1"/>
  <c r="U738" i="25"/>
  <c r="V738" i="25"/>
  <c r="T739" i="25" a="1"/>
  <c r="T739" i="25"/>
  <c r="U739" i="25" a="1"/>
  <c r="U739" i="25"/>
  <c r="V739" i="25"/>
  <c r="T740" i="25" a="1"/>
  <c r="T740" i="25"/>
  <c r="U740" i="25" a="1"/>
  <c r="U740" i="25"/>
  <c r="V740" i="25"/>
  <c r="T741" i="25" a="1"/>
  <c r="T741" i="25"/>
  <c r="U741" i="25" a="1"/>
  <c r="U741" i="25"/>
  <c r="V741" i="25"/>
  <c r="T742" i="25" a="1"/>
  <c r="T742" i="25"/>
  <c r="U742" i="25" a="1"/>
  <c r="U742" i="25"/>
  <c r="V742" i="25"/>
  <c r="T743" i="25" a="1"/>
  <c r="T743" i="25"/>
  <c r="U743" i="25" a="1"/>
  <c r="U743" i="25"/>
  <c r="V743" i="25"/>
  <c r="T744" i="25" a="1"/>
  <c r="T744" i="25"/>
  <c r="U744" i="25" a="1"/>
  <c r="U744" i="25"/>
  <c r="V744" i="25"/>
  <c r="T745" i="25" a="1"/>
  <c r="T745" i="25"/>
  <c r="U745" i="25" a="1"/>
  <c r="U745" i="25"/>
  <c r="V745" i="25"/>
  <c r="T746" i="25" a="1"/>
  <c r="T746" i="25"/>
  <c r="U746" i="25" a="1"/>
  <c r="U746" i="25"/>
  <c r="V746" i="25"/>
  <c r="T747" i="25" a="1"/>
  <c r="T747" i="25"/>
  <c r="U747" i="25" a="1"/>
  <c r="U747" i="25"/>
  <c r="V747" i="25"/>
  <c r="T748" i="25" a="1"/>
  <c r="T748" i="25"/>
  <c r="U748" i="25" a="1"/>
  <c r="U748" i="25"/>
  <c r="V748" i="25"/>
  <c r="T749" i="25" a="1"/>
  <c r="T749" i="25"/>
  <c r="U749" i="25" a="1"/>
  <c r="U749" i="25"/>
  <c r="V749" i="25"/>
  <c r="T750" i="25" a="1"/>
  <c r="T750" i="25"/>
  <c r="U750" i="25" a="1"/>
  <c r="U750" i="25"/>
  <c r="V750" i="25"/>
  <c r="T751" i="25" a="1"/>
  <c r="T751" i="25"/>
  <c r="U751" i="25" a="1"/>
  <c r="U751" i="25"/>
  <c r="V751" i="25"/>
  <c r="T752" i="25" a="1"/>
  <c r="T752" i="25"/>
  <c r="U752" i="25" a="1"/>
  <c r="U752" i="25"/>
  <c r="V752" i="25"/>
  <c r="T753" i="25" a="1"/>
  <c r="T753" i="25"/>
  <c r="U753" i="25" a="1"/>
  <c r="U753" i="25"/>
  <c r="V753" i="25"/>
  <c r="T754" i="25" a="1"/>
  <c r="T754" i="25"/>
  <c r="U754" i="25" a="1"/>
  <c r="U754" i="25"/>
  <c r="V754" i="25"/>
  <c r="T755" i="25" a="1"/>
  <c r="T755" i="25"/>
  <c r="U755" i="25" a="1"/>
  <c r="U755" i="25"/>
  <c r="V755" i="25"/>
  <c r="T756" i="25" a="1"/>
  <c r="T756" i="25"/>
  <c r="U756" i="25" a="1"/>
  <c r="U756" i="25"/>
  <c r="V756" i="25"/>
  <c r="T757" i="25" a="1"/>
  <c r="T757" i="25"/>
  <c r="U757" i="25" a="1"/>
  <c r="U757" i="25"/>
  <c r="V757" i="25"/>
  <c r="T758" i="25" a="1"/>
  <c r="T758" i="25"/>
  <c r="U758" i="25" a="1"/>
  <c r="U758" i="25"/>
  <c r="V758" i="25"/>
  <c r="T759" i="25" a="1"/>
  <c r="T759" i="25"/>
  <c r="U759" i="25" a="1"/>
  <c r="U759" i="25"/>
  <c r="V759" i="25"/>
  <c r="T760" i="25" a="1"/>
  <c r="T760" i="25"/>
  <c r="U760" i="25" a="1"/>
  <c r="U760" i="25"/>
  <c r="V760" i="25"/>
  <c r="T761" i="25" a="1"/>
  <c r="T761" i="25"/>
  <c r="U761" i="25" a="1"/>
  <c r="U761" i="25"/>
  <c r="V761" i="25"/>
  <c r="T762" i="25" a="1"/>
  <c r="T762" i="25"/>
  <c r="U762" i="25" a="1"/>
  <c r="U762" i="25"/>
  <c r="V762" i="25"/>
  <c r="T763" i="25" a="1"/>
  <c r="T763" i="25"/>
  <c r="U763" i="25" a="1"/>
  <c r="U763" i="25"/>
  <c r="V763" i="25"/>
  <c r="T764" i="25" a="1"/>
  <c r="T764" i="25"/>
  <c r="U764" i="25" a="1"/>
  <c r="U764" i="25"/>
  <c r="V764" i="25"/>
  <c r="T765" i="25" a="1"/>
  <c r="T765" i="25"/>
  <c r="U765" i="25" a="1"/>
  <c r="U765" i="25"/>
  <c r="V765" i="25"/>
  <c r="T766" i="25" a="1"/>
  <c r="T766" i="25"/>
  <c r="U766" i="25" a="1"/>
  <c r="U766" i="25"/>
  <c r="V766" i="25"/>
  <c r="T767" i="25" a="1"/>
  <c r="T767" i="25"/>
  <c r="U767" i="25" a="1"/>
  <c r="U767" i="25"/>
  <c r="V767" i="25"/>
  <c r="T768" i="25" a="1"/>
  <c r="T768" i="25"/>
  <c r="U768" i="25" a="1"/>
  <c r="U768" i="25"/>
  <c r="V768" i="25"/>
  <c r="T769" i="25" a="1"/>
  <c r="T769" i="25"/>
  <c r="U769" i="25" a="1"/>
  <c r="U769" i="25"/>
  <c r="V769" i="25"/>
  <c r="T770" i="25" a="1"/>
  <c r="T770" i="25"/>
  <c r="U770" i="25" a="1"/>
  <c r="U770" i="25"/>
  <c r="V770" i="25"/>
  <c r="T771" i="25" a="1"/>
  <c r="T771" i="25"/>
  <c r="U771" i="25" a="1"/>
  <c r="U771" i="25"/>
  <c r="V771" i="25"/>
  <c r="T772" i="25" a="1"/>
  <c r="T772" i="25"/>
  <c r="U772" i="25" a="1"/>
  <c r="U772" i="25"/>
  <c r="V772" i="25"/>
  <c r="T773" i="25" a="1"/>
  <c r="T773" i="25"/>
  <c r="U773" i="25" a="1"/>
  <c r="U773" i="25"/>
  <c r="V773" i="25"/>
  <c r="T774" i="25" a="1"/>
  <c r="T774" i="25"/>
  <c r="U774" i="25" a="1"/>
  <c r="U774" i="25"/>
  <c r="V774" i="25"/>
  <c r="T775" i="25" a="1"/>
  <c r="T775" i="25"/>
  <c r="U775" i="25" a="1"/>
  <c r="U775" i="25"/>
  <c r="V775" i="25"/>
  <c r="T776" i="25" a="1"/>
  <c r="T776" i="25"/>
  <c r="U776" i="25" a="1"/>
  <c r="U776" i="25"/>
  <c r="V776" i="25"/>
  <c r="T777" i="25" a="1"/>
  <c r="T777" i="25"/>
  <c r="U777" i="25" a="1"/>
  <c r="U777" i="25"/>
  <c r="V777" i="25"/>
  <c r="T778" i="25" a="1"/>
  <c r="T778" i="25"/>
  <c r="U778" i="25" a="1"/>
  <c r="U778" i="25"/>
  <c r="V778" i="25"/>
  <c r="T779" i="25" a="1"/>
  <c r="T779" i="25"/>
  <c r="U779" i="25" a="1"/>
  <c r="U779" i="25"/>
  <c r="V779" i="25"/>
  <c r="T780" i="25" a="1"/>
  <c r="T780" i="25"/>
  <c r="U780" i="25" a="1"/>
  <c r="U780" i="25"/>
  <c r="V780" i="25"/>
  <c r="T781" i="25" a="1"/>
  <c r="T781" i="25"/>
  <c r="U781" i="25" a="1"/>
  <c r="U781" i="25"/>
  <c r="V781" i="25"/>
  <c r="T782" i="25" a="1"/>
  <c r="T782" i="25"/>
  <c r="U782" i="25" a="1"/>
  <c r="U782" i="25"/>
  <c r="V782" i="25"/>
  <c r="T783" i="25" a="1"/>
  <c r="T783" i="25"/>
  <c r="U783" i="25" a="1"/>
  <c r="U783" i="25"/>
  <c r="V783" i="25"/>
  <c r="T784" i="25" a="1"/>
  <c r="T784" i="25"/>
  <c r="U784" i="25" a="1"/>
  <c r="U784" i="25"/>
  <c r="V784" i="25"/>
  <c r="T785" i="25" a="1"/>
  <c r="T785" i="25"/>
  <c r="U785" i="25" a="1"/>
  <c r="U785" i="25"/>
  <c r="V785" i="25"/>
  <c r="T786" i="25" a="1"/>
  <c r="T786" i="25"/>
  <c r="U786" i="25" a="1"/>
  <c r="U786" i="25"/>
  <c r="V786" i="25"/>
  <c r="T787" i="25" a="1"/>
  <c r="T787" i="25"/>
  <c r="U787" i="25" a="1"/>
  <c r="U787" i="25"/>
  <c r="V787" i="25"/>
  <c r="T788" i="25" a="1"/>
  <c r="T788" i="25"/>
  <c r="U788" i="25" a="1"/>
  <c r="U788" i="25"/>
  <c r="V788" i="25"/>
  <c r="T789" i="25" a="1"/>
  <c r="T789" i="25"/>
  <c r="U789" i="25" a="1"/>
  <c r="U789" i="25"/>
  <c r="V789" i="25"/>
  <c r="T790" i="25" a="1"/>
  <c r="T790" i="25"/>
  <c r="U790" i="25" a="1"/>
  <c r="U790" i="25"/>
  <c r="V790" i="25"/>
  <c r="T791" i="25" a="1"/>
  <c r="T791" i="25"/>
  <c r="U791" i="25" a="1"/>
  <c r="U791" i="25"/>
  <c r="V791" i="25"/>
  <c r="T792" i="25" a="1"/>
  <c r="T792" i="25"/>
  <c r="U792" i="25" a="1"/>
  <c r="U792" i="25"/>
  <c r="V792" i="25"/>
  <c r="T793" i="25" a="1"/>
  <c r="T793" i="25"/>
  <c r="U793" i="25" a="1"/>
  <c r="U793" i="25"/>
  <c r="V793" i="25"/>
  <c r="T794" i="25" a="1"/>
  <c r="T794" i="25"/>
  <c r="U794" i="25" a="1"/>
  <c r="U794" i="25"/>
  <c r="V794" i="25"/>
  <c r="T795" i="25" a="1"/>
  <c r="T795" i="25"/>
  <c r="U795" i="25" a="1"/>
  <c r="U795" i="25"/>
  <c r="V795" i="25"/>
  <c r="T796" i="25" a="1"/>
  <c r="T796" i="25"/>
  <c r="U796" i="25" a="1"/>
  <c r="U796" i="25"/>
  <c r="V796" i="25"/>
  <c r="T797" i="25" a="1"/>
  <c r="T797" i="25"/>
  <c r="U797" i="25" a="1"/>
  <c r="U797" i="25"/>
  <c r="V797" i="25"/>
  <c r="T798" i="25" a="1"/>
  <c r="T798" i="25"/>
  <c r="U798" i="25" a="1"/>
  <c r="U798" i="25"/>
  <c r="V798" i="25"/>
  <c r="T799" i="25" a="1"/>
  <c r="T799" i="25"/>
  <c r="U799" i="25" a="1"/>
  <c r="U799" i="25"/>
  <c r="V799" i="25"/>
  <c r="T800" i="25" a="1"/>
  <c r="T800" i="25"/>
  <c r="U800" i="25" a="1"/>
  <c r="U800" i="25"/>
  <c r="V800" i="25"/>
  <c r="T801" i="25" a="1"/>
  <c r="T801" i="25"/>
  <c r="U801" i="25" a="1"/>
  <c r="U801" i="25"/>
  <c r="V801" i="25"/>
  <c r="T802" i="25" a="1"/>
  <c r="T802" i="25"/>
  <c r="U802" i="25" a="1"/>
  <c r="U802" i="25"/>
  <c r="V802" i="25"/>
  <c r="T803" i="25" a="1"/>
  <c r="T803" i="25"/>
  <c r="U803" i="25" a="1"/>
  <c r="U803" i="25"/>
  <c r="V803" i="25"/>
  <c r="T804" i="25" a="1"/>
  <c r="T804" i="25"/>
  <c r="U804" i="25" a="1"/>
  <c r="U804" i="25"/>
  <c r="V804" i="25"/>
  <c r="T805" i="25" a="1"/>
  <c r="T805" i="25"/>
  <c r="U805" i="25" a="1"/>
  <c r="U805" i="25"/>
  <c r="V805" i="25"/>
  <c r="T806" i="25" a="1"/>
  <c r="T806" i="25"/>
  <c r="U806" i="25" a="1"/>
  <c r="U806" i="25"/>
  <c r="V806" i="25"/>
  <c r="T807" i="25" a="1"/>
  <c r="T807" i="25"/>
  <c r="U807" i="25" a="1"/>
  <c r="U807" i="25"/>
  <c r="V807" i="25"/>
  <c r="T808" i="25" a="1"/>
  <c r="T808" i="25"/>
  <c r="U808" i="25" a="1"/>
  <c r="U808" i="25"/>
  <c r="V808" i="25"/>
  <c r="T809" i="25" a="1"/>
  <c r="T809" i="25"/>
  <c r="U809" i="25" a="1"/>
  <c r="U809" i="25"/>
  <c r="V809" i="25"/>
  <c r="T810" i="25" a="1"/>
  <c r="T810" i="25"/>
  <c r="U810" i="25" a="1"/>
  <c r="U810" i="25"/>
  <c r="V810" i="25"/>
  <c r="T811" i="25" a="1"/>
  <c r="T811" i="25"/>
  <c r="U811" i="25" a="1"/>
  <c r="U811" i="25"/>
  <c r="V811" i="25"/>
  <c r="T812" i="25" a="1"/>
  <c r="T812" i="25"/>
  <c r="U812" i="25" a="1"/>
  <c r="U812" i="25"/>
  <c r="V812" i="25"/>
  <c r="T813" i="25" a="1"/>
  <c r="T813" i="25"/>
  <c r="U813" i="25" a="1"/>
  <c r="U813" i="25"/>
  <c r="V813" i="25"/>
  <c r="T814" i="25" a="1"/>
  <c r="T814" i="25"/>
  <c r="U814" i="25" a="1"/>
  <c r="U814" i="25"/>
  <c r="V814" i="25"/>
  <c r="T815" i="25" a="1"/>
  <c r="T815" i="25"/>
  <c r="U815" i="25" a="1"/>
  <c r="U815" i="25"/>
  <c r="V815" i="25"/>
  <c r="T816" i="25" a="1"/>
  <c r="T816" i="25"/>
  <c r="U816" i="25" a="1"/>
  <c r="U816" i="25"/>
  <c r="V816" i="25"/>
  <c r="T817" i="25" a="1"/>
  <c r="T817" i="25"/>
  <c r="U817" i="25" a="1"/>
  <c r="U817" i="25"/>
  <c r="V817" i="25"/>
  <c r="T818" i="25" a="1"/>
  <c r="T818" i="25"/>
  <c r="U818" i="25" a="1"/>
  <c r="U818" i="25"/>
  <c r="V818" i="25"/>
  <c r="T819" i="25" a="1"/>
  <c r="T819" i="25"/>
  <c r="U819" i="25" a="1"/>
  <c r="U819" i="25"/>
  <c r="V819" i="25"/>
  <c r="T820" i="25" a="1"/>
  <c r="T820" i="25"/>
  <c r="U820" i="25" a="1"/>
  <c r="U820" i="25"/>
  <c r="V820" i="25"/>
  <c r="T821" i="25" a="1"/>
  <c r="T821" i="25"/>
  <c r="U821" i="25" a="1"/>
  <c r="U821" i="25"/>
  <c r="V821" i="25"/>
  <c r="T822" i="25" a="1"/>
  <c r="T822" i="25"/>
  <c r="U822" i="25" a="1"/>
  <c r="U822" i="25"/>
  <c r="V822" i="25"/>
  <c r="T823" i="25" a="1"/>
  <c r="T823" i="25"/>
  <c r="U823" i="25" a="1"/>
  <c r="U823" i="25"/>
  <c r="V823" i="25"/>
  <c r="T824" i="25" a="1"/>
  <c r="T824" i="25"/>
  <c r="U824" i="25" a="1"/>
  <c r="U824" i="25"/>
  <c r="V824" i="25"/>
  <c r="T825" i="25" a="1"/>
  <c r="T825" i="25"/>
  <c r="U825" i="25" a="1"/>
  <c r="U825" i="25"/>
  <c r="V825" i="25"/>
  <c r="T826" i="25" a="1"/>
  <c r="T826" i="25"/>
  <c r="U826" i="25" a="1"/>
  <c r="U826" i="25"/>
  <c r="V826" i="25"/>
  <c r="T827" i="25" a="1"/>
  <c r="T827" i="25"/>
  <c r="U827" i="25" a="1"/>
  <c r="U827" i="25"/>
  <c r="V827" i="25"/>
  <c r="T828" i="25" a="1"/>
  <c r="T828" i="25"/>
  <c r="U828" i="25" a="1"/>
  <c r="U828" i="25"/>
  <c r="V828" i="25"/>
  <c r="T829" i="25" a="1"/>
  <c r="T829" i="25"/>
  <c r="U829" i="25" a="1"/>
  <c r="U829" i="25"/>
  <c r="V829" i="25"/>
  <c r="T830" i="25" a="1"/>
  <c r="T830" i="25"/>
  <c r="U830" i="25" a="1"/>
  <c r="U830" i="25"/>
  <c r="V830" i="25"/>
  <c r="T831" i="25" a="1"/>
  <c r="T831" i="25"/>
  <c r="U831" i="25" a="1"/>
  <c r="U831" i="25"/>
  <c r="V831" i="25"/>
  <c r="T832" i="25" a="1"/>
  <c r="T832" i="25"/>
  <c r="U832" i="25" a="1"/>
  <c r="U832" i="25"/>
  <c r="V832" i="25"/>
  <c r="T833" i="25" a="1"/>
  <c r="T833" i="25"/>
  <c r="U833" i="25" a="1"/>
  <c r="U833" i="25"/>
  <c r="V833" i="25"/>
  <c r="T834" i="25" a="1"/>
  <c r="T834" i="25"/>
  <c r="U834" i="25" a="1"/>
  <c r="U834" i="25"/>
  <c r="V834" i="25"/>
  <c r="T835" i="25" a="1"/>
  <c r="T835" i="25"/>
  <c r="U835" i="25" a="1"/>
  <c r="U835" i="25"/>
  <c r="V835" i="25"/>
  <c r="T836" i="25" a="1"/>
  <c r="T836" i="25"/>
  <c r="U836" i="25" a="1"/>
  <c r="U836" i="25"/>
  <c r="V836" i="25"/>
  <c r="T837" i="25" a="1"/>
  <c r="T837" i="25"/>
  <c r="U837" i="25" a="1"/>
  <c r="U837" i="25"/>
  <c r="V837" i="25"/>
  <c r="T838" i="25" a="1"/>
  <c r="T838" i="25"/>
  <c r="U838" i="25" a="1"/>
  <c r="U838" i="25"/>
  <c r="V838" i="25"/>
  <c r="T839" i="25" a="1"/>
  <c r="T839" i="25"/>
  <c r="U839" i="25" a="1"/>
  <c r="U839" i="25"/>
  <c r="V839" i="25"/>
  <c r="T840" i="25" a="1"/>
  <c r="T840" i="25"/>
  <c r="U840" i="25" a="1"/>
  <c r="U840" i="25"/>
  <c r="V840" i="25"/>
  <c r="T841" i="25" a="1"/>
  <c r="T841" i="25"/>
  <c r="U841" i="25" a="1"/>
  <c r="U841" i="25"/>
  <c r="V841" i="25"/>
  <c r="T842" i="25" a="1"/>
  <c r="T842" i="25"/>
  <c r="U842" i="25" a="1"/>
  <c r="U842" i="25"/>
  <c r="V842" i="25"/>
  <c r="T843" i="25" a="1"/>
  <c r="T843" i="25"/>
  <c r="U843" i="25" a="1"/>
  <c r="U843" i="25"/>
  <c r="V843" i="25"/>
  <c r="T844" i="25" a="1"/>
  <c r="T844" i="25"/>
  <c r="U844" i="25" a="1"/>
  <c r="U844" i="25"/>
  <c r="V844" i="25"/>
  <c r="T845" i="25" a="1"/>
  <c r="T845" i="25"/>
  <c r="U845" i="25" a="1"/>
  <c r="U845" i="25"/>
  <c r="V845" i="25"/>
  <c r="T846" i="25" a="1"/>
  <c r="T846" i="25"/>
  <c r="U846" i="25" a="1"/>
  <c r="U846" i="25"/>
  <c r="V846" i="25"/>
  <c r="T847" i="25" a="1"/>
  <c r="T847" i="25"/>
  <c r="U847" i="25" a="1"/>
  <c r="U847" i="25"/>
  <c r="V847" i="25"/>
  <c r="T848" i="25" a="1"/>
  <c r="T848" i="25"/>
  <c r="U848" i="25" a="1"/>
  <c r="U848" i="25"/>
  <c r="V848" i="25"/>
  <c r="T849" i="25" a="1"/>
  <c r="T849" i="25"/>
  <c r="U849" i="25" a="1"/>
  <c r="U849" i="25"/>
  <c r="V849" i="25"/>
  <c r="T850" i="25" a="1"/>
  <c r="T850" i="25"/>
  <c r="U850" i="25" a="1"/>
  <c r="U850" i="25"/>
  <c r="V850" i="25"/>
  <c r="T851" i="25" a="1"/>
  <c r="T851" i="25"/>
  <c r="U851" i="25" a="1"/>
  <c r="U851" i="25"/>
  <c r="V851" i="25"/>
  <c r="T852" i="25" a="1"/>
  <c r="T852" i="25"/>
  <c r="U852" i="25" a="1"/>
  <c r="U852" i="25"/>
  <c r="V852" i="25"/>
  <c r="T853" i="25" a="1"/>
  <c r="T853" i="25"/>
  <c r="U853" i="25" a="1"/>
  <c r="U853" i="25"/>
  <c r="V853" i="25"/>
  <c r="T854" i="25" a="1"/>
  <c r="T854" i="25"/>
  <c r="U854" i="25" a="1"/>
  <c r="U854" i="25"/>
  <c r="V854" i="25"/>
  <c r="T855" i="25" a="1"/>
  <c r="T855" i="25"/>
  <c r="U855" i="25" a="1"/>
  <c r="U855" i="25"/>
  <c r="V855" i="25"/>
  <c r="T856" i="25" a="1"/>
  <c r="T856" i="25"/>
  <c r="U856" i="25" a="1"/>
  <c r="U856" i="25"/>
  <c r="V856" i="25"/>
  <c r="T857" i="25" a="1"/>
  <c r="T857" i="25"/>
  <c r="U857" i="25" a="1"/>
  <c r="U857" i="25"/>
  <c r="V857" i="25"/>
  <c r="T858" i="25" a="1"/>
  <c r="T858" i="25"/>
  <c r="U858" i="25" a="1"/>
  <c r="U858" i="25"/>
  <c r="V858" i="25"/>
  <c r="T859" i="25" a="1"/>
  <c r="T859" i="25"/>
  <c r="U859" i="25" a="1"/>
  <c r="U859" i="25"/>
  <c r="V859" i="25"/>
  <c r="T860" i="25" a="1"/>
  <c r="T860" i="25"/>
  <c r="U860" i="25" a="1"/>
  <c r="U860" i="25"/>
  <c r="V860" i="25"/>
  <c r="T861" i="25" a="1"/>
  <c r="T861" i="25"/>
  <c r="U861" i="25" a="1"/>
  <c r="U861" i="25"/>
  <c r="V861" i="25"/>
  <c r="T862" i="25" a="1"/>
  <c r="T862" i="25"/>
  <c r="U862" i="25" a="1"/>
  <c r="U862" i="25"/>
  <c r="V862" i="25"/>
  <c r="T863" i="25" a="1"/>
  <c r="T863" i="25"/>
  <c r="U863" i="25" a="1"/>
  <c r="U863" i="25"/>
  <c r="V863" i="25"/>
  <c r="T864" i="25" a="1"/>
  <c r="T864" i="25"/>
  <c r="U864" i="25" a="1"/>
  <c r="U864" i="25"/>
  <c r="V864" i="25"/>
  <c r="T865" i="25" a="1"/>
  <c r="T865" i="25"/>
  <c r="U865" i="25" a="1"/>
  <c r="U865" i="25"/>
  <c r="V865" i="25"/>
  <c r="T866" i="25" a="1"/>
  <c r="T866" i="25"/>
  <c r="U866" i="25" a="1"/>
  <c r="U866" i="25"/>
  <c r="V866" i="25"/>
  <c r="T867" i="25" a="1"/>
  <c r="T867" i="25"/>
  <c r="U867" i="25" a="1"/>
  <c r="U867" i="25"/>
  <c r="V867" i="25"/>
  <c r="T868" i="25" a="1"/>
  <c r="T868" i="25"/>
  <c r="U868" i="25" a="1"/>
  <c r="U868" i="25"/>
  <c r="V868" i="25"/>
  <c r="T869" i="25" a="1"/>
  <c r="T869" i="25"/>
  <c r="U869" i="25" a="1"/>
  <c r="U869" i="25"/>
  <c r="V869" i="25"/>
  <c r="T870" i="25" a="1"/>
  <c r="T870" i="25"/>
  <c r="U870" i="25" a="1"/>
  <c r="U870" i="25"/>
  <c r="V870" i="25"/>
  <c r="T871" i="25" a="1"/>
  <c r="T871" i="25"/>
  <c r="U871" i="25" a="1"/>
  <c r="U871" i="25"/>
  <c r="V871" i="25"/>
  <c r="T872" i="25" a="1"/>
  <c r="T872" i="25"/>
  <c r="U872" i="25" a="1"/>
  <c r="U872" i="25"/>
  <c r="V872" i="25"/>
  <c r="T873" i="25" a="1"/>
  <c r="T873" i="25"/>
  <c r="U873" i="25" a="1"/>
  <c r="U873" i="25"/>
  <c r="V873" i="25"/>
  <c r="T874" i="25" a="1"/>
  <c r="T874" i="25"/>
  <c r="U874" i="25" a="1"/>
  <c r="U874" i="25"/>
  <c r="V874" i="25"/>
  <c r="T875" i="25" a="1"/>
  <c r="T875" i="25"/>
  <c r="U875" i="25" a="1"/>
  <c r="U875" i="25"/>
  <c r="V875" i="25"/>
  <c r="T876" i="25" a="1"/>
  <c r="T876" i="25"/>
  <c r="U876" i="25" a="1"/>
  <c r="U876" i="25"/>
  <c r="V876" i="25"/>
  <c r="T877" i="25" a="1"/>
  <c r="T877" i="25"/>
  <c r="U877" i="25" a="1"/>
  <c r="U877" i="25"/>
  <c r="V877" i="25"/>
  <c r="T878" i="25" a="1"/>
  <c r="T878" i="25"/>
  <c r="U878" i="25" a="1"/>
  <c r="U878" i="25"/>
  <c r="V878" i="25"/>
  <c r="T879" i="25" a="1"/>
  <c r="T879" i="25"/>
  <c r="U879" i="25" a="1"/>
  <c r="U879" i="25"/>
  <c r="V879" i="25"/>
  <c r="T880" i="25" a="1"/>
  <c r="T880" i="25"/>
  <c r="U880" i="25" a="1"/>
  <c r="U880" i="25"/>
  <c r="V880" i="25"/>
  <c r="T881" i="25" a="1"/>
  <c r="T881" i="25"/>
  <c r="U881" i="25" a="1"/>
  <c r="U881" i="25"/>
  <c r="V881" i="25"/>
  <c r="T882" i="25" a="1"/>
  <c r="T882" i="25"/>
  <c r="U882" i="25" a="1"/>
  <c r="U882" i="25"/>
  <c r="V882" i="25"/>
  <c r="T883" i="25" a="1"/>
  <c r="T883" i="25"/>
  <c r="U883" i="25" a="1"/>
  <c r="U883" i="25"/>
  <c r="V883" i="25"/>
  <c r="T884" i="25" a="1"/>
  <c r="T884" i="25"/>
  <c r="U884" i="25" a="1"/>
  <c r="U884" i="25"/>
  <c r="V884" i="25"/>
  <c r="T885" i="25" a="1"/>
  <c r="T885" i="25"/>
  <c r="U885" i="25" a="1"/>
  <c r="U885" i="25"/>
  <c r="V885" i="25"/>
  <c r="T886" i="25" a="1"/>
  <c r="T886" i="25"/>
  <c r="U886" i="25" a="1"/>
  <c r="U886" i="25"/>
  <c r="V886" i="25"/>
  <c r="T887" i="25" a="1"/>
  <c r="T887" i="25"/>
  <c r="U887" i="25" a="1"/>
  <c r="U887" i="25"/>
  <c r="V887" i="25"/>
  <c r="T888" i="25" a="1"/>
  <c r="T888" i="25"/>
  <c r="U888" i="25" a="1"/>
  <c r="U888" i="25"/>
  <c r="V888" i="25"/>
  <c r="T889" i="25" a="1"/>
  <c r="T889" i="25"/>
  <c r="U889" i="25" a="1"/>
  <c r="U889" i="25"/>
  <c r="V889" i="25"/>
  <c r="T890" i="25" a="1"/>
  <c r="T890" i="25"/>
  <c r="U890" i="25" a="1"/>
  <c r="U890" i="25"/>
  <c r="V890" i="25"/>
  <c r="T891" i="25" a="1"/>
  <c r="T891" i="25"/>
  <c r="U891" i="25" a="1"/>
  <c r="U891" i="25"/>
  <c r="V891" i="25"/>
  <c r="T892" i="25" a="1"/>
  <c r="T892" i="25"/>
  <c r="U892" i="25" a="1"/>
  <c r="U892" i="25"/>
  <c r="V892" i="25"/>
  <c r="T893" i="25" a="1"/>
  <c r="T893" i="25"/>
  <c r="U893" i="25" a="1"/>
  <c r="U893" i="25"/>
  <c r="V893" i="25"/>
  <c r="T894" i="25" a="1"/>
  <c r="T894" i="25"/>
  <c r="U894" i="25" a="1"/>
  <c r="U894" i="25"/>
  <c r="V894" i="25"/>
  <c r="T895" i="25" a="1"/>
  <c r="T895" i="25"/>
  <c r="U895" i="25" a="1"/>
  <c r="U895" i="25"/>
  <c r="V895" i="25"/>
  <c r="T896" i="25" a="1"/>
  <c r="T896" i="25"/>
  <c r="U896" i="25" a="1"/>
  <c r="U896" i="25"/>
  <c r="V896" i="25"/>
  <c r="T897" i="25" a="1"/>
  <c r="T897" i="25"/>
  <c r="U897" i="25" a="1"/>
  <c r="U897" i="25"/>
  <c r="V897" i="25"/>
  <c r="T898" i="25" a="1"/>
  <c r="T898" i="25"/>
  <c r="U898" i="25" a="1"/>
  <c r="U898" i="25"/>
  <c r="V898" i="25"/>
  <c r="T899" i="25" a="1"/>
  <c r="T899" i="25"/>
  <c r="U899" i="25" a="1"/>
  <c r="U899" i="25"/>
  <c r="V899" i="25"/>
  <c r="T900" i="25" a="1"/>
  <c r="T900" i="25"/>
  <c r="U900" i="25" a="1"/>
  <c r="U900" i="25"/>
  <c r="V900" i="25"/>
  <c r="T901" i="25" a="1"/>
  <c r="T901" i="25"/>
  <c r="U901" i="25" a="1"/>
  <c r="U901" i="25"/>
  <c r="V901" i="25"/>
  <c r="T902" i="25" a="1"/>
  <c r="T902" i="25"/>
  <c r="U902" i="25" a="1"/>
  <c r="U902" i="25"/>
  <c r="V902" i="25"/>
  <c r="T903" i="25" a="1"/>
  <c r="T903" i="25"/>
  <c r="U903" i="25" a="1"/>
  <c r="U903" i="25"/>
  <c r="V903" i="25"/>
  <c r="T904" i="25" a="1"/>
  <c r="T904" i="25"/>
  <c r="U904" i="25" a="1"/>
  <c r="U904" i="25"/>
  <c r="V904" i="25"/>
  <c r="T905" i="25" a="1"/>
  <c r="T905" i="25"/>
  <c r="U905" i="25" a="1"/>
  <c r="U905" i="25"/>
  <c r="V905" i="25"/>
  <c r="T906" i="25" a="1"/>
  <c r="T906" i="25"/>
  <c r="U906" i="25" a="1"/>
  <c r="U906" i="25"/>
  <c r="V906" i="25"/>
  <c r="T907" i="25" a="1"/>
  <c r="T907" i="25"/>
  <c r="U907" i="25" a="1"/>
  <c r="U907" i="25"/>
  <c r="V907" i="25"/>
  <c r="T908" i="25" a="1"/>
  <c r="T908" i="25"/>
  <c r="U908" i="25" a="1"/>
  <c r="U908" i="25"/>
  <c r="V908" i="25"/>
  <c r="T909" i="25" a="1"/>
  <c r="T909" i="25"/>
  <c r="U909" i="25" a="1"/>
  <c r="U909" i="25"/>
  <c r="V909" i="25"/>
  <c r="T910" i="25" a="1"/>
  <c r="T910" i="25"/>
  <c r="U910" i="25" a="1"/>
  <c r="U910" i="25"/>
  <c r="V910" i="25"/>
  <c r="T911" i="25" a="1"/>
  <c r="T911" i="25"/>
  <c r="U911" i="25" a="1"/>
  <c r="U911" i="25"/>
  <c r="V911" i="25"/>
  <c r="T912" i="25" a="1"/>
  <c r="T912" i="25"/>
  <c r="U912" i="25" a="1"/>
  <c r="U912" i="25"/>
  <c r="V912" i="25"/>
  <c r="T913" i="25" a="1"/>
  <c r="T913" i="25"/>
  <c r="U913" i="25" a="1"/>
  <c r="U913" i="25"/>
  <c r="V913" i="25"/>
  <c r="T914" i="25" a="1"/>
  <c r="T914" i="25"/>
  <c r="U914" i="25" a="1"/>
  <c r="U914" i="25"/>
  <c r="V914" i="25"/>
  <c r="T915" i="25" a="1"/>
  <c r="T915" i="25"/>
  <c r="U915" i="25" a="1"/>
  <c r="U915" i="25"/>
  <c r="V915" i="25"/>
  <c r="T916" i="25" a="1"/>
  <c r="T916" i="25"/>
  <c r="U916" i="25" a="1"/>
  <c r="U916" i="25"/>
  <c r="V916" i="25"/>
  <c r="T917" i="25" a="1"/>
  <c r="T917" i="25"/>
  <c r="U917" i="25" a="1"/>
  <c r="U917" i="25"/>
  <c r="V917" i="25"/>
  <c r="T918" i="25" a="1"/>
  <c r="T918" i="25"/>
  <c r="U918" i="25" a="1"/>
  <c r="U918" i="25"/>
  <c r="V918" i="25"/>
  <c r="T919" i="25" a="1"/>
  <c r="T919" i="25"/>
  <c r="U919" i="25" a="1"/>
  <c r="U919" i="25"/>
  <c r="V919" i="25"/>
  <c r="T920" i="25" a="1"/>
  <c r="T920" i="25"/>
  <c r="U920" i="25" a="1"/>
  <c r="U920" i="25"/>
  <c r="V920" i="25"/>
  <c r="T921" i="25" a="1"/>
  <c r="T921" i="25"/>
  <c r="U921" i="25" a="1"/>
  <c r="U921" i="25"/>
  <c r="V921" i="25"/>
  <c r="T922" i="25" a="1"/>
  <c r="T922" i="25"/>
  <c r="U922" i="25" a="1"/>
  <c r="U922" i="25"/>
  <c r="V922" i="25"/>
  <c r="T923" i="25" a="1"/>
  <c r="T923" i="25"/>
  <c r="U923" i="25" a="1"/>
  <c r="U923" i="25"/>
  <c r="V923" i="25"/>
  <c r="T924" i="25" a="1"/>
  <c r="T924" i="25"/>
  <c r="U924" i="25" a="1"/>
  <c r="U924" i="25"/>
  <c r="V924" i="25"/>
  <c r="T925" i="25" a="1"/>
  <c r="T925" i="25"/>
  <c r="U925" i="25" a="1"/>
  <c r="U925" i="25"/>
  <c r="V925" i="25"/>
  <c r="T926" i="25" a="1"/>
  <c r="T926" i="25"/>
  <c r="U926" i="25" a="1"/>
  <c r="U926" i="25"/>
  <c r="V926" i="25"/>
  <c r="T927" i="25" a="1"/>
  <c r="T927" i="25"/>
  <c r="U927" i="25" a="1"/>
  <c r="U927" i="25"/>
  <c r="V927" i="25"/>
  <c r="T928" i="25" a="1"/>
  <c r="T928" i="25"/>
  <c r="U928" i="25" a="1"/>
  <c r="U928" i="25"/>
  <c r="V928" i="25"/>
  <c r="T929" i="25" a="1"/>
  <c r="T929" i="25"/>
  <c r="U929" i="25" a="1"/>
  <c r="U929" i="25"/>
  <c r="V929" i="25"/>
  <c r="T930" i="25" a="1"/>
  <c r="T930" i="25"/>
  <c r="U930" i="25" a="1"/>
  <c r="U930" i="25"/>
  <c r="V930" i="25"/>
  <c r="T931" i="25" a="1"/>
  <c r="T931" i="25"/>
  <c r="U931" i="25" a="1"/>
  <c r="U931" i="25"/>
  <c r="V931" i="25"/>
  <c r="T932" i="25" a="1"/>
  <c r="T932" i="25"/>
  <c r="U932" i="25" a="1"/>
  <c r="U932" i="25"/>
  <c r="V932" i="25"/>
  <c r="T933" i="25" a="1"/>
  <c r="T933" i="25"/>
  <c r="U933" i="25" a="1"/>
  <c r="U933" i="25"/>
  <c r="V933" i="25"/>
  <c r="T934" i="25" a="1"/>
  <c r="T934" i="25"/>
  <c r="U934" i="25" a="1"/>
  <c r="U934" i="25"/>
  <c r="V934" i="25"/>
  <c r="T935" i="25" a="1"/>
  <c r="T935" i="25"/>
  <c r="U935" i="25" a="1"/>
  <c r="U935" i="25"/>
  <c r="V935" i="25"/>
  <c r="T936" i="25" a="1"/>
  <c r="T936" i="25"/>
  <c r="U936" i="25" a="1"/>
  <c r="U936" i="25"/>
  <c r="V936" i="25"/>
  <c r="T937" i="25" a="1"/>
  <c r="T937" i="25"/>
  <c r="U937" i="25" a="1"/>
  <c r="U937" i="25"/>
  <c r="V937" i="25"/>
  <c r="T938" i="25" a="1"/>
  <c r="T938" i="25"/>
  <c r="U938" i="25" a="1"/>
  <c r="U938" i="25"/>
  <c r="V938" i="25"/>
  <c r="T939" i="25" a="1"/>
  <c r="T939" i="25"/>
  <c r="U939" i="25" a="1"/>
  <c r="U939" i="25"/>
  <c r="V939" i="25"/>
  <c r="T940" i="25" a="1"/>
  <c r="T940" i="25"/>
  <c r="U940" i="25" a="1"/>
  <c r="U940" i="25"/>
  <c r="V940" i="25"/>
  <c r="T941" i="25" a="1"/>
  <c r="T941" i="25"/>
  <c r="U941" i="25" a="1"/>
  <c r="U941" i="25"/>
  <c r="V941" i="25"/>
  <c r="T942" i="25" a="1"/>
  <c r="T942" i="25"/>
  <c r="U942" i="25" a="1"/>
  <c r="U942" i="25"/>
  <c r="V942" i="25"/>
  <c r="T943" i="25" a="1"/>
  <c r="T943" i="25"/>
  <c r="U943" i="25" a="1"/>
  <c r="U943" i="25"/>
  <c r="V943" i="25"/>
  <c r="T944" i="25" a="1"/>
  <c r="T944" i="25"/>
  <c r="U944" i="25" a="1"/>
  <c r="U944" i="25"/>
  <c r="V944" i="25"/>
  <c r="T945" i="25" a="1"/>
  <c r="T945" i="25"/>
  <c r="U945" i="25" a="1"/>
  <c r="U945" i="25"/>
  <c r="V945" i="25"/>
  <c r="T946" i="25" a="1"/>
  <c r="T946" i="25"/>
  <c r="U946" i="25" a="1"/>
  <c r="U946" i="25"/>
  <c r="V946" i="25"/>
  <c r="T947" i="25" a="1"/>
  <c r="T947" i="25"/>
  <c r="U947" i="25" a="1"/>
  <c r="U947" i="25"/>
  <c r="V947" i="25"/>
  <c r="T948" i="25" a="1"/>
  <c r="T948" i="25"/>
  <c r="U948" i="25" a="1"/>
  <c r="U948" i="25"/>
  <c r="V948" i="25"/>
  <c r="T949" i="25" a="1"/>
  <c r="T949" i="25"/>
  <c r="U949" i="25" a="1"/>
  <c r="U949" i="25"/>
  <c r="V949" i="25"/>
  <c r="T950" i="25" a="1"/>
  <c r="T950" i="25"/>
  <c r="U950" i="25" a="1"/>
  <c r="U950" i="25"/>
  <c r="V950" i="25"/>
  <c r="T951" i="25" a="1"/>
  <c r="T951" i="25"/>
  <c r="U951" i="25" a="1"/>
  <c r="U951" i="25"/>
  <c r="V951" i="25"/>
  <c r="T952" i="25" a="1"/>
  <c r="T952" i="25"/>
  <c r="U952" i="25" a="1"/>
  <c r="U952" i="25"/>
  <c r="V952" i="25"/>
  <c r="T953" i="25" a="1"/>
  <c r="T953" i="25"/>
  <c r="U953" i="25" a="1"/>
  <c r="U953" i="25"/>
  <c r="V953" i="25"/>
  <c r="T954" i="25" a="1"/>
  <c r="T954" i="25"/>
  <c r="U954" i="25" a="1"/>
  <c r="U954" i="25"/>
  <c r="V954" i="25"/>
  <c r="T955" i="25" a="1"/>
  <c r="T955" i="25"/>
  <c r="U955" i="25" a="1"/>
  <c r="U955" i="25"/>
  <c r="V955" i="25"/>
  <c r="T956" i="25" a="1"/>
  <c r="T956" i="25"/>
  <c r="U956" i="25" a="1"/>
  <c r="U956" i="25"/>
  <c r="V956" i="25"/>
  <c r="T957" i="25" a="1"/>
  <c r="T957" i="25"/>
  <c r="U957" i="25" a="1"/>
  <c r="U957" i="25"/>
  <c r="V957" i="25"/>
  <c r="T958" i="25" a="1"/>
  <c r="T958" i="25"/>
  <c r="U958" i="25" a="1"/>
  <c r="U958" i="25"/>
  <c r="V958" i="25"/>
  <c r="T959" i="25" a="1"/>
  <c r="T959" i="25"/>
  <c r="U959" i="25" a="1"/>
  <c r="U959" i="25"/>
  <c r="V959" i="25"/>
  <c r="T960" i="25" a="1"/>
  <c r="T960" i="25"/>
  <c r="U960" i="25" a="1"/>
  <c r="U960" i="25"/>
  <c r="V960" i="25"/>
  <c r="T961" i="25" a="1"/>
  <c r="T961" i="25"/>
  <c r="U961" i="25" a="1"/>
  <c r="U961" i="25"/>
  <c r="V961" i="25"/>
  <c r="T962" i="25" a="1"/>
  <c r="T962" i="25"/>
  <c r="U962" i="25" a="1"/>
  <c r="U962" i="25"/>
  <c r="V962" i="25"/>
  <c r="T963" i="25" a="1"/>
  <c r="T963" i="25"/>
  <c r="U963" i="25" a="1"/>
  <c r="U963" i="25"/>
  <c r="V963" i="25"/>
  <c r="T964" i="25" a="1"/>
  <c r="T964" i="25"/>
  <c r="U964" i="25" a="1"/>
  <c r="U964" i="25"/>
  <c r="V964" i="25"/>
  <c r="T965" i="25" a="1"/>
  <c r="T965" i="25"/>
  <c r="U965" i="25" a="1"/>
  <c r="U965" i="25"/>
  <c r="V965" i="25"/>
  <c r="T966" i="25" a="1"/>
  <c r="T966" i="25"/>
  <c r="U966" i="25" a="1"/>
  <c r="U966" i="25"/>
  <c r="V966" i="25"/>
  <c r="T967" i="25" a="1"/>
  <c r="T967" i="25"/>
  <c r="U967" i="25" a="1"/>
  <c r="U967" i="25"/>
  <c r="V967" i="25"/>
  <c r="T968" i="25" a="1"/>
  <c r="T968" i="25"/>
  <c r="U968" i="25" a="1"/>
  <c r="U968" i="25"/>
  <c r="V968" i="25"/>
  <c r="T969" i="25" a="1"/>
  <c r="T969" i="25"/>
  <c r="U969" i="25" a="1"/>
  <c r="U969" i="25"/>
  <c r="V969" i="25"/>
  <c r="T970" i="25" a="1"/>
  <c r="T970" i="25"/>
  <c r="U970" i="25" a="1"/>
  <c r="U970" i="25"/>
  <c r="V970" i="25"/>
  <c r="T971" i="25" a="1"/>
  <c r="T971" i="25"/>
  <c r="U971" i="25" a="1"/>
  <c r="U971" i="25"/>
  <c r="V971" i="25"/>
  <c r="T972" i="25" a="1"/>
  <c r="T972" i="25"/>
  <c r="U972" i="25" a="1"/>
  <c r="U972" i="25"/>
  <c r="V972" i="25"/>
  <c r="T973" i="25" a="1"/>
  <c r="T973" i="25"/>
  <c r="U973" i="25" a="1"/>
  <c r="U973" i="25"/>
  <c r="V973" i="25"/>
  <c r="T974" i="25" a="1"/>
  <c r="T974" i="25"/>
  <c r="U974" i="25" a="1"/>
  <c r="U974" i="25"/>
  <c r="V974" i="25"/>
  <c r="T975" i="25" a="1"/>
  <c r="T975" i="25"/>
  <c r="U975" i="25" a="1"/>
  <c r="U975" i="25"/>
  <c r="V975" i="25"/>
  <c r="T976" i="25" a="1"/>
  <c r="T976" i="25"/>
  <c r="U976" i="25" a="1"/>
  <c r="U976" i="25"/>
  <c r="V976" i="25"/>
  <c r="T977" i="25" a="1"/>
  <c r="T977" i="25"/>
  <c r="U977" i="25" a="1"/>
  <c r="U977" i="25"/>
  <c r="V977" i="25"/>
  <c r="T978" i="25" a="1"/>
  <c r="T978" i="25"/>
  <c r="U978" i="25" a="1"/>
  <c r="U978" i="25"/>
  <c r="V978" i="25"/>
  <c r="T979" i="25" a="1"/>
  <c r="T979" i="25"/>
  <c r="U979" i="25" a="1"/>
  <c r="U979" i="25"/>
  <c r="V979" i="25"/>
  <c r="T980" i="25" a="1"/>
  <c r="T980" i="25"/>
  <c r="U980" i="25" a="1"/>
  <c r="U980" i="25"/>
  <c r="V980" i="25"/>
  <c r="T981" i="25" a="1"/>
  <c r="T981" i="25"/>
  <c r="U981" i="25" a="1"/>
  <c r="U981" i="25"/>
  <c r="V981" i="25"/>
  <c r="T982" i="25" a="1"/>
  <c r="T982" i="25"/>
  <c r="U982" i="25" a="1"/>
  <c r="U982" i="25"/>
  <c r="V982" i="25"/>
  <c r="T983" i="25" a="1"/>
  <c r="T983" i="25"/>
  <c r="U983" i="25" a="1"/>
  <c r="U983" i="25"/>
  <c r="V983" i="25"/>
  <c r="T984" i="25" a="1"/>
  <c r="T984" i="25"/>
  <c r="U984" i="25" a="1"/>
  <c r="U984" i="25"/>
  <c r="V984" i="25"/>
  <c r="T985" i="25" a="1"/>
  <c r="T985" i="25"/>
  <c r="U985" i="25" a="1"/>
  <c r="U985" i="25"/>
  <c r="V985" i="25"/>
  <c r="T986" i="25" a="1"/>
  <c r="T986" i="25"/>
  <c r="U986" i="25" a="1"/>
  <c r="U986" i="25"/>
  <c r="V986" i="25"/>
  <c r="T987" i="25" a="1"/>
  <c r="T987" i="25"/>
  <c r="U987" i="25" a="1"/>
  <c r="U987" i="25"/>
  <c r="V987" i="25"/>
  <c r="T988" i="25" a="1"/>
  <c r="T988" i="25"/>
  <c r="U988" i="25" a="1"/>
  <c r="U988" i="25"/>
  <c r="V988" i="25"/>
  <c r="T989" i="25" a="1"/>
  <c r="T989" i="25"/>
  <c r="U989" i="25" a="1"/>
  <c r="U989" i="25"/>
  <c r="V989" i="25"/>
  <c r="T990" i="25" a="1"/>
  <c r="T990" i="25"/>
  <c r="U990" i="25" a="1"/>
  <c r="U990" i="25"/>
  <c r="V990" i="25"/>
  <c r="T991" i="25" a="1"/>
  <c r="T991" i="25"/>
  <c r="U991" i="25" a="1"/>
  <c r="U991" i="25"/>
  <c r="V991" i="25"/>
  <c r="T992" i="25" a="1"/>
  <c r="T992" i="25"/>
  <c r="U992" i="25" a="1"/>
  <c r="U992" i="25"/>
  <c r="V992" i="25"/>
  <c r="T993" i="25" a="1"/>
  <c r="T993" i="25"/>
  <c r="U993" i="25" a="1"/>
  <c r="U993" i="25"/>
  <c r="V993" i="25"/>
  <c r="T994" i="25" a="1"/>
  <c r="T994" i="25"/>
  <c r="U994" i="25" a="1"/>
  <c r="U994" i="25"/>
  <c r="V994" i="25"/>
  <c r="T995" i="25" a="1"/>
  <c r="T995" i="25"/>
  <c r="U995" i="25" a="1"/>
  <c r="U995" i="25"/>
  <c r="V995" i="25"/>
  <c r="T996" i="25" a="1"/>
  <c r="T996" i="25"/>
  <c r="U996" i="25" a="1"/>
  <c r="U996" i="25"/>
  <c r="V996" i="25"/>
  <c r="T997" i="25" a="1"/>
  <c r="T997" i="25"/>
  <c r="U997" i="25" a="1"/>
  <c r="U997" i="25"/>
  <c r="V997" i="25"/>
  <c r="T998" i="25" a="1"/>
  <c r="T998" i="25"/>
  <c r="U998" i="25" a="1"/>
  <c r="U998" i="25"/>
  <c r="V998" i="25"/>
  <c r="T999" i="25" a="1"/>
  <c r="T999" i="25"/>
  <c r="U999" i="25" a="1"/>
  <c r="U999" i="25"/>
  <c r="V999" i="25"/>
  <c r="T1000" i="25" a="1"/>
  <c r="T1000" i="25"/>
  <c r="U1000" i="25" a="1"/>
  <c r="U1000" i="25"/>
  <c r="V1000" i="25"/>
  <c r="T1001" i="25" a="1"/>
  <c r="T1001" i="25"/>
  <c r="U1001" i="25" a="1"/>
  <c r="U1001" i="25"/>
  <c r="V1001" i="25"/>
  <c r="T1002" i="25" a="1"/>
  <c r="T1002" i="25"/>
  <c r="U1002" i="25" a="1"/>
  <c r="U1002" i="25"/>
  <c r="V1002" i="25"/>
  <c r="T1003" i="25" a="1"/>
  <c r="T1003" i="25"/>
  <c r="U1003" i="25" a="1"/>
  <c r="U1003" i="25"/>
  <c r="V1003" i="25"/>
  <c r="T1004" i="25" a="1"/>
  <c r="T1004" i="25"/>
  <c r="U1004" i="25" a="1"/>
  <c r="U1004" i="25"/>
  <c r="V1004" i="25"/>
  <c r="T1005" i="25" a="1"/>
  <c r="T1005" i="25"/>
  <c r="U1005" i="25" a="1"/>
  <c r="U1005" i="25"/>
  <c r="V1005" i="25"/>
  <c r="T1006" i="25" a="1"/>
  <c r="T1006" i="25"/>
  <c r="U1006" i="25" a="1"/>
  <c r="U1006" i="25"/>
  <c r="V1006" i="25"/>
  <c r="T1007" i="25" a="1"/>
  <c r="T1007" i="25"/>
  <c r="U1007" i="25" a="1"/>
  <c r="U1007" i="25"/>
  <c r="V1007" i="25"/>
  <c r="T1008" i="25" a="1"/>
  <c r="T1008" i="25"/>
  <c r="U1008" i="25" a="1"/>
  <c r="U1008" i="25"/>
  <c r="V1008" i="25"/>
  <c r="T1009" i="25" a="1"/>
  <c r="T1009" i="25"/>
  <c r="U1009" i="25" a="1"/>
  <c r="U1009" i="25"/>
  <c r="V1009" i="25"/>
  <c r="T1010" i="25" a="1"/>
  <c r="T1010" i="25"/>
  <c r="U1010" i="25" a="1"/>
  <c r="U1010" i="25"/>
  <c r="V1010" i="25"/>
  <c r="T1011" i="25" a="1"/>
  <c r="T1011" i="25"/>
  <c r="U1011" i="25" a="1"/>
  <c r="U1011" i="25"/>
  <c r="V1011" i="25"/>
  <c r="T1012" i="25" a="1"/>
  <c r="T1012" i="25"/>
  <c r="U1012" i="25" a="1"/>
  <c r="U1012" i="25"/>
  <c r="V1012" i="25"/>
  <c r="T1013" i="25" a="1"/>
  <c r="T1013" i="25"/>
  <c r="U1013" i="25" a="1"/>
  <c r="U1013" i="25"/>
  <c r="V1013" i="25"/>
  <c r="T1014" i="25" a="1"/>
  <c r="T1014" i="25"/>
  <c r="U1014" i="25" a="1"/>
  <c r="U1014" i="25"/>
  <c r="V1014" i="25"/>
  <c r="T1015" i="25" a="1"/>
  <c r="T1015" i="25"/>
  <c r="U1015" i="25" a="1"/>
  <c r="U1015" i="25"/>
  <c r="V1015" i="25"/>
  <c r="T1016" i="25" a="1"/>
  <c r="T1016" i="25"/>
  <c r="U1016" i="25" a="1"/>
  <c r="U1016" i="25"/>
  <c r="V1016" i="25"/>
  <c r="T1017" i="25" a="1"/>
  <c r="T1017" i="25"/>
  <c r="U1017" i="25" a="1"/>
  <c r="U1017" i="25"/>
  <c r="V1017" i="25"/>
  <c r="T1018" i="25" a="1"/>
  <c r="T1018" i="25"/>
  <c r="U1018" i="25" a="1"/>
  <c r="U1018" i="25"/>
  <c r="V1018" i="25"/>
  <c r="T1019" i="25" a="1"/>
  <c r="T1019" i="25"/>
  <c r="U1019" i="25" a="1"/>
  <c r="U1019" i="25"/>
  <c r="V1019" i="25"/>
  <c r="T1020" i="25" a="1"/>
  <c r="T1020" i="25"/>
  <c r="U1020" i="25" a="1"/>
  <c r="U1020" i="25"/>
  <c r="V1020" i="25"/>
  <c r="T1021" i="25" a="1"/>
  <c r="T1021" i="25"/>
  <c r="U1021" i="25" a="1"/>
  <c r="U1021" i="25"/>
  <c r="V1021" i="25"/>
  <c r="T1022" i="25" a="1"/>
  <c r="T1022" i="25"/>
  <c r="U1022" i="25" a="1"/>
  <c r="U1022" i="25"/>
  <c r="V1022" i="25"/>
  <c r="T1023" i="25" a="1"/>
  <c r="T1023" i="25"/>
  <c r="U1023" i="25" a="1"/>
  <c r="U1023" i="25"/>
  <c r="V1023" i="25"/>
  <c r="T1024" i="25" a="1"/>
  <c r="T1024" i="25"/>
  <c r="U1024" i="25" a="1"/>
  <c r="U1024" i="25"/>
  <c r="V1024" i="25"/>
  <c r="T1025" i="25" a="1"/>
  <c r="T1025" i="25"/>
  <c r="U1025" i="25" a="1"/>
  <c r="U1025" i="25"/>
  <c r="V1025" i="25"/>
  <c r="T1026" i="25" a="1"/>
  <c r="T1026" i="25"/>
  <c r="U1026" i="25" a="1"/>
  <c r="U1026" i="25"/>
  <c r="V1026" i="25"/>
  <c r="T1027" i="25" a="1"/>
  <c r="T1027" i="25"/>
  <c r="U1027" i="25" a="1"/>
  <c r="U1027" i="25"/>
  <c r="V1027" i="25"/>
  <c r="T1028" i="25" a="1"/>
  <c r="T1028" i="25"/>
  <c r="U1028" i="25" a="1"/>
  <c r="U1028" i="25"/>
  <c r="V1028" i="25"/>
  <c r="T1029" i="25" a="1"/>
  <c r="T1029" i="25"/>
  <c r="U1029" i="25" a="1"/>
  <c r="U1029" i="25"/>
  <c r="V1029" i="25"/>
  <c r="T1030" i="25" a="1"/>
  <c r="T1030" i="25"/>
  <c r="U1030" i="25" a="1"/>
  <c r="U1030" i="25"/>
  <c r="V1030" i="25"/>
  <c r="T1031" i="25" a="1"/>
  <c r="T1031" i="25"/>
  <c r="U1031" i="25" a="1"/>
  <c r="U1031" i="25"/>
  <c r="V1031" i="25"/>
  <c r="T1032" i="25" a="1"/>
  <c r="T1032" i="25"/>
  <c r="U1032" i="25" a="1"/>
  <c r="U1032" i="25"/>
  <c r="V1032" i="25"/>
  <c r="T1033" i="25" a="1"/>
  <c r="T1033" i="25"/>
  <c r="U1033" i="25" a="1"/>
  <c r="U1033" i="25"/>
  <c r="V1033" i="25"/>
  <c r="T1034" i="25" a="1"/>
  <c r="T1034" i="25"/>
  <c r="U1034" i="25" a="1"/>
  <c r="U1034" i="25"/>
  <c r="V1034" i="25"/>
  <c r="T1035" i="25" a="1"/>
  <c r="T1035" i="25"/>
  <c r="U1035" i="25" a="1"/>
  <c r="U1035" i="25"/>
  <c r="V1035" i="25"/>
  <c r="T1036" i="25" a="1"/>
  <c r="T1036" i="25"/>
  <c r="U1036" i="25" a="1"/>
  <c r="U1036" i="25"/>
  <c r="V1036" i="25"/>
  <c r="T1037" i="25" a="1"/>
  <c r="T1037" i="25"/>
  <c r="U1037" i="25" a="1"/>
  <c r="U1037" i="25"/>
  <c r="V1037" i="25"/>
  <c r="T1038" i="25" a="1"/>
  <c r="T1038" i="25"/>
  <c r="U1038" i="25" a="1"/>
  <c r="U1038" i="25"/>
  <c r="V1038" i="25"/>
  <c r="T1039" i="25" a="1"/>
  <c r="T1039" i="25"/>
  <c r="U1039" i="25" a="1"/>
  <c r="U1039" i="25"/>
  <c r="V1039" i="25"/>
  <c r="T1040" i="25" a="1"/>
  <c r="T1040" i="25"/>
  <c r="U1040" i="25" a="1"/>
  <c r="U1040" i="25"/>
  <c r="V1040" i="25"/>
  <c r="T1041" i="25" a="1"/>
  <c r="T1041" i="25"/>
  <c r="U1041" i="25" a="1"/>
  <c r="U1041" i="25"/>
  <c r="V1041" i="25"/>
  <c r="T1042" i="25" a="1"/>
  <c r="T1042" i="25"/>
  <c r="U1042" i="25" a="1"/>
  <c r="U1042" i="25"/>
  <c r="V1042" i="25"/>
  <c r="T1043" i="25" a="1"/>
  <c r="T1043" i="25"/>
  <c r="U1043" i="25" a="1"/>
  <c r="U1043" i="25"/>
  <c r="V1043" i="25"/>
  <c r="T1044" i="25" a="1"/>
  <c r="T1044" i="25"/>
  <c r="U1044" i="25" a="1"/>
  <c r="U1044" i="25"/>
  <c r="V1044" i="25"/>
  <c r="T1045" i="25" a="1"/>
  <c r="T1045" i="25"/>
  <c r="U1045" i="25" a="1"/>
  <c r="U1045" i="25"/>
  <c r="V1045" i="25"/>
  <c r="T1046" i="25" a="1"/>
  <c r="T1046" i="25"/>
  <c r="U1046" i="25" a="1"/>
  <c r="U1046" i="25"/>
  <c r="V1046" i="25"/>
  <c r="T1047" i="25" a="1"/>
  <c r="T1047" i="25"/>
  <c r="U1047" i="25" a="1"/>
  <c r="U1047" i="25"/>
  <c r="V1047" i="25"/>
  <c r="T1048" i="25" a="1"/>
  <c r="T1048" i="25"/>
  <c r="U1048" i="25" a="1"/>
  <c r="U1048" i="25"/>
  <c r="V1048" i="25"/>
  <c r="T1049" i="25" a="1"/>
  <c r="T1049" i="25"/>
  <c r="U1049" i="25" a="1"/>
  <c r="U1049" i="25"/>
  <c r="V1049" i="25"/>
  <c r="T1050" i="25" a="1"/>
  <c r="T1050" i="25"/>
  <c r="U1050" i="25" a="1"/>
  <c r="U1050" i="25"/>
  <c r="V1050" i="25"/>
  <c r="T1051" i="25" a="1"/>
  <c r="T1051" i="25"/>
  <c r="U1051" i="25" a="1"/>
  <c r="U1051" i="25"/>
  <c r="V1051" i="25"/>
  <c r="T1052" i="25" a="1"/>
  <c r="T1052" i="25"/>
  <c r="U1052" i="25" a="1"/>
  <c r="U1052" i="25"/>
  <c r="V1052" i="25"/>
  <c r="T1053" i="25" a="1"/>
  <c r="T1053" i="25"/>
  <c r="U1053" i="25" a="1"/>
  <c r="U1053" i="25"/>
  <c r="V1053" i="25"/>
  <c r="T1054" i="25" a="1"/>
  <c r="T1054" i="25"/>
  <c r="U1054" i="25" a="1"/>
  <c r="U1054" i="25"/>
  <c r="V1054" i="25"/>
  <c r="T1055" i="25" a="1"/>
  <c r="T1055" i="25"/>
  <c r="U1055" i="25" a="1"/>
  <c r="U1055" i="25"/>
  <c r="V1055" i="25"/>
  <c r="T1056" i="25" a="1"/>
  <c r="T1056" i="25"/>
  <c r="U1056" i="25" a="1"/>
  <c r="U1056" i="25"/>
  <c r="V1056" i="25"/>
  <c r="T1057" i="25" a="1"/>
  <c r="T1057" i="25"/>
  <c r="U1057" i="25" a="1"/>
  <c r="U1057" i="25"/>
  <c r="V1057" i="25"/>
  <c r="T1058" i="25" a="1"/>
  <c r="T1058" i="25"/>
  <c r="U1058" i="25" a="1"/>
  <c r="U1058" i="25"/>
  <c r="V1058" i="25"/>
  <c r="T1059" i="25" a="1"/>
  <c r="T1059" i="25"/>
  <c r="U1059" i="25" a="1"/>
  <c r="U1059" i="25"/>
  <c r="V1059" i="25"/>
  <c r="T1060" i="25" a="1"/>
  <c r="T1060" i="25"/>
  <c r="U1060" i="25" a="1"/>
  <c r="U1060" i="25"/>
  <c r="V1060" i="25"/>
  <c r="T1061" i="25" a="1"/>
  <c r="T1061" i="25"/>
  <c r="U1061" i="25" a="1"/>
  <c r="U1061" i="25"/>
  <c r="V1061" i="25"/>
  <c r="T1062" i="25" a="1"/>
  <c r="T1062" i="25"/>
  <c r="U1062" i="25" a="1"/>
  <c r="U1062" i="25"/>
  <c r="V1062" i="25"/>
  <c r="T1063" i="25" a="1"/>
  <c r="T1063" i="25"/>
  <c r="U1063" i="25" a="1"/>
  <c r="U1063" i="25"/>
  <c r="V1063" i="25"/>
  <c r="T1064" i="25" a="1"/>
  <c r="T1064" i="25"/>
  <c r="U1064" i="25" a="1"/>
  <c r="U1064" i="25"/>
  <c r="V1064" i="25"/>
  <c r="T1065" i="25" a="1"/>
  <c r="T1065" i="25"/>
  <c r="U1065" i="25" a="1"/>
  <c r="U1065" i="25"/>
  <c r="V1065" i="25"/>
  <c r="T1066" i="25" a="1"/>
  <c r="T1066" i="25"/>
  <c r="U1066" i="25" a="1"/>
  <c r="U1066" i="25"/>
  <c r="V1066" i="25"/>
  <c r="T1067" i="25" a="1"/>
  <c r="T1067" i="25"/>
  <c r="U1067" i="25" a="1"/>
  <c r="U1067" i="25"/>
  <c r="V1067" i="25"/>
  <c r="T1068" i="25" a="1"/>
  <c r="T1068" i="25"/>
  <c r="U1068" i="25" a="1"/>
  <c r="U1068" i="25"/>
  <c r="V1068" i="25"/>
  <c r="T1069" i="25" a="1"/>
  <c r="T1069" i="25"/>
  <c r="U1069" i="25" a="1"/>
  <c r="U1069" i="25"/>
  <c r="V1069" i="25"/>
  <c r="T1070" i="25" a="1"/>
  <c r="T1070" i="25"/>
  <c r="U1070" i="25" a="1"/>
  <c r="U1070" i="25"/>
  <c r="V1070" i="25"/>
  <c r="T1071" i="25" a="1"/>
  <c r="T1071" i="25"/>
  <c r="U1071" i="25" a="1"/>
  <c r="U1071" i="25"/>
  <c r="V1071" i="25"/>
  <c r="T1072" i="25" a="1"/>
  <c r="T1072" i="25"/>
  <c r="U1072" i="25" a="1"/>
  <c r="U1072" i="25"/>
  <c r="V1072" i="25"/>
  <c r="T1073" i="25" a="1"/>
  <c r="T1073" i="25"/>
  <c r="U1073" i="25" a="1"/>
  <c r="U1073" i="25"/>
  <c r="V1073" i="25"/>
  <c r="T1074" i="25" a="1"/>
  <c r="T1074" i="25"/>
  <c r="U1074" i="25" a="1"/>
  <c r="U1074" i="25"/>
  <c r="V1074" i="25"/>
  <c r="T1075" i="25" a="1"/>
  <c r="T1075" i="25"/>
  <c r="U1075" i="25" a="1"/>
  <c r="U1075" i="25"/>
  <c r="V1075" i="25"/>
  <c r="T1076" i="25" a="1"/>
  <c r="T1076" i="25"/>
  <c r="U1076" i="25" a="1"/>
  <c r="U1076" i="25"/>
  <c r="V1076" i="25"/>
  <c r="T1077" i="25" a="1"/>
  <c r="T1077" i="25"/>
  <c r="U1077" i="25" a="1"/>
  <c r="U1077" i="25"/>
  <c r="V1077" i="25"/>
  <c r="T1078" i="25" a="1"/>
  <c r="T1078" i="25"/>
  <c r="U1078" i="25" a="1"/>
  <c r="U1078" i="25"/>
  <c r="V1078" i="25"/>
  <c r="T1079" i="25" a="1"/>
  <c r="T1079" i="25"/>
  <c r="U1079" i="25" a="1"/>
  <c r="U1079" i="25"/>
  <c r="V1079" i="25"/>
  <c r="T1080" i="25" a="1"/>
  <c r="T1080" i="25"/>
  <c r="U1080" i="25" a="1"/>
  <c r="U1080" i="25"/>
  <c r="V1080" i="25"/>
  <c r="T1081" i="25" a="1"/>
  <c r="T1081" i="25"/>
  <c r="U1081" i="25" a="1"/>
  <c r="U1081" i="25"/>
  <c r="V1081" i="25"/>
  <c r="T1082" i="25" a="1"/>
  <c r="T1082" i="25"/>
  <c r="U1082" i="25" a="1"/>
  <c r="U1082" i="25"/>
  <c r="V1082" i="25"/>
  <c r="T1083" i="25" a="1"/>
  <c r="T1083" i="25"/>
  <c r="U1083" i="25" a="1"/>
  <c r="U1083" i="25"/>
  <c r="V1083" i="25"/>
  <c r="T1084" i="25" a="1"/>
  <c r="T1084" i="25"/>
  <c r="U1084" i="25" a="1"/>
  <c r="U1084" i="25"/>
  <c r="V1084" i="25"/>
  <c r="T1085" i="25" a="1"/>
  <c r="T1085" i="25"/>
  <c r="U1085" i="25" a="1"/>
  <c r="U1085" i="25"/>
  <c r="V1085" i="25"/>
  <c r="T1086" i="25" a="1"/>
  <c r="T1086" i="25"/>
  <c r="U1086" i="25" a="1"/>
  <c r="U1086" i="25"/>
  <c r="V1086" i="25"/>
  <c r="T1087" i="25" a="1"/>
  <c r="T1087" i="25"/>
  <c r="U1087" i="25" a="1"/>
  <c r="U1087" i="25"/>
  <c r="V1087" i="25"/>
  <c r="T1088" i="25" a="1"/>
  <c r="T1088" i="25"/>
  <c r="U1088" i="25" a="1"/>
  <c r="U1088" i="25"/>
  <c r="V1088" i="25"/>
  <c r="T1089" i="25" a="1"/>
  <c r="T1089" i="25"/>
  <c r="U1089" i="25" a="1"/>
  <c r="U1089" i="25"/>
  <c r="V1089" i="25"/>
  <c r="T1090" i="25" a="1"/>
  <c r="T1090" i="25"/>
  <c r="U1090" i="25" a="1"/>
  <c r="U1090" i="25"/>
  <c r="V1090" i="25"/>
  <c r="T1091" i="25" a="1"/>
  <c r="T1091" i="25"/>
  <c r="U1091" i="25" a="1"/>
  <c r="U1091" i="25"/>
  <c r="V1091" i="25"/>
  <c r="T1092" i="25" a="1"/>
  <c r="T1092" i="25"/>
  <c r="U1092" i="25" a="1"/>
  <c r="U1092" i="25"/>
  <c r="V1092" i="25"/>
  <c r="T1093" i="25" a="1"/>
  <c r="T1093" i="25"/>
  <c r="U1093" i="25" a="1"/>
  <c r="U1093" i="25"/>
  <c r="V1093" i="25"/>
  <c r="T1094" i="25" a="1"/>
  <c r="T1094" i="25"/>
  <c r="U1094" i="25" a="1"/>
  <c r="U1094" i="25"/>
  <c r="V1094" i="25"/>
  <c r="T1095" i="25" a="1"/>
  <c r="T1095" i="25"/>
  <c r="U1095" i="25" a="1"/>
  <c r="U1095" i="25"/>
  <c r="V1095" i="25"/>
  <c r="T1096" i="25" a="1"/>
  <c r="T1096" i="25"/>
  <c r="U1096" i="25" a="1"/>
  <c r="U1096" i="25"/>
  <c r="V1096" i="25"/>
  <c r="T1097" i="25" a="1"/>
  <c r="T1097" i="25"/>
  <c r="U1097" i="25" a="1"/>
  <c r="U1097" i="25"/>
  <c r="V1097" i="25"/>
  <c r="T1098" i="25" a="1"/>
  <c r="T1098" i="25"/>
  <c r="U1098" i="25" a="1"/>
  <c r="U1098" i="25"/>
  <c r="V1098" i="25"/>
  <c r="T1099" i="25" a="1"/>
  <c r="T1099" i="25"/>
  <c r="U1099" i="25" a="1"/>
  <c r="U1099" i="25"/>
  <c r="V1099" i="25"/>
  <c r="T1100" i="25" a="1"/>
  <c r="T1100" i="25"/>
  <c r="U1100" i="25" a="1"/>
  <c r="U1100" i="25"/>
  <c r="V1100" i="25"/>
  <c r="T1101" i="25" a="1"/>
  <c r="T1101" i="25"/>
  <c r="U1101" i="25" a="1"/>
  <c r="U1101" i="25"/>
  <c r="V1101" i="25"/>
  <c r="T1102" i="25" a="1"/>
  <c r="T1102" i="25"/>
  <c r="U1102" i="25" a="1"/>
  <c r="U1102" i="25"/>
  <c r="V1102" i="25"/>
  <c r="T1103" i="25" a="1"/>
  <c r="T1103" i="25"/>
  <c r="U1103" i="25" a="1"/>
  <c r="U1103" i="25"/>
  <c r="V1103" i="25"/>
  <c r="T1104" i="25" a="1"/>
  <c r="T1104" i="25"/>
  <c r="U1104" i="25" a="1"/>
  <c r="U1104" i="25"/>
  <c r="V1104" i="25"/>
  <c r="T1105" i="25" a="1"/>
  <c r="T1105" i="25"/>
  <c r="U1105" i="25" a="1"/>
  <c r="U1105" i="25"/>
  <c r="V1105" i="25"/>
  <c r="T1106" i="25" a="1"/>
  <c r="T1106" i="25"/>
  <c r="U1106" i="25" a="1"/>
  <c r="U1106" i="25"/>
  <c r="V1106" i="25"/>
  <c r="T1107" i="25" a="1"/>
  <c r="T1107" i="25"/>
  <c r="U1107" i="25" a="1"/>
  <c r="U1107" i="25"/>
  <c r="V1107" i="25"/>
  <c r="T1108" i="25" a="1"/>
  <c r="T1108" i="25"/>
  <c r="U1108" i="25" a="1"/>
  <c r="U1108" i="25"/>
  <c r="V1108" i="25"/>
  <c r="T1109" i="25" a="1"/>
  <c r="T1109" i="25"/>
  <c r="U1109" i="25" a="1"/>
  <c r="U1109" i="25"/>
  <c r="V1109" i="25"/>
  <c r="T1110" i="25" a="1"/>
  <c r="T1110" i="25"/>
  <c r="U1110" i="25" a="1"/>
  <c r="U1110" i="25"/>
  <c r="V1110" i="25"/>
  <c r="T1111" i="25" a="1"/>
  <c r="T1111" i="25"/>
  <c r="U1111" i="25" a="1"/>
  <c r="U1111" i="25"/>
  <c r="V1111" i="25"/>
  <c r="T1112" i="25" a="1"/>
  <c r="T1112" i="25"/>
  <c r="U1112" i="25" a="1"/>
  <c r="U1112" i="25"/>
  <c r="V1112" i="25"/>
  <c r="T1113" i="25" a="1"/>
  <c r="T1113" i="25"/>
  <c r="U1113" i="25" a="1"/>
  <c r="U1113" i="25"/>
  <c r="V1113" i="25"/>
  <c r="T1114" i="25" a="1"/>
  <c r="T1114" i="25"/>
  <c r="U1114" i="25" a="1"/>
  <c r="U1114" i="25"/>
  <c r="V1114" i="25"/>
  <c r="T1115" i="25" a="1"/>
  <c r="T1115" i="25"/>
  <c r="U1115" i="25" a="1"/>
  <c r="U1115" i="25"/>
  <c r="V1115" i="25"/>
  <c r="T1116" i="25" a="1"/>
  <c r="T1116" i="25"/>
  <c r="U1116" i="25" a="1"/>
  <c r="U1116" i="25"/>
  <c r="V1116" i="25"/>
  <c r="T1117" i="25" a="1"/>
  <c r="T1117" i="25"/>
  <c r="U1117" i="25" a="1"/>
  <c r="U1117" i="25"/>
  <c r="V1117" i="25"/>
  <c r="T1118" i="25" a="1"/>
  <c r="T1118" i="25"/>
  <c r="U1118" i="25" a="1"/>
  <c r="U1118" i="25"/>
  <c r="V1118" i="25"/>
  <c r="T1119" i="25" a="1"/>
  <c r="T1119" i="25"/>
  <c r="U1119" i="25" a="1"/>
  <c r="U1119" i="25"/>
  <c r="V1119" i="25"/>
  <c r="T1120" i="25" a="1"/>
  <c r="T1120" i="25"/>
  <c r="U1120" i="25" a="1"/>
  <c r="U1120" i="25"/>
  <c r="V1120" i="25"/>
  <c r="T1121" i="25" a="1"/>
  <c r="T1121" i="25"/>
  <c r="U1121" i="25" a="1"/>
  <c r="U1121" i="25"/>
  <c r="V1121" i="25"/>
  <c r="T1122" i="25" a="1"/>
  <c r="T1122" i="25"/>
  <c r="U1122" i="25" a="1"/>
  <c r="U1122" i="25"/>
  <c r="V1122" i="25"/>
  <c r="T1123" i="25" a="1"/>
  <c r="T1123" i="25"/>
  <c r="U1123" i="25" a="1"/>
  <c r="U1123" i="25"/>
  <c r="V1123" i="25"/>
  <c r="T1124" i="25" a="1"/>
  <c r="T1124" i="25"/>
  <c r="U1124" i="25" a="1"/>
  <c r="U1124" i="25"/>
  <c r="V1124" i="25"/>
  <c r="T1125" i="25" a="1"/>
  <c r="T1125" i="25"/>
  <c r="U1125" i="25" a="1"/>
  <c r="U1125" i="25"/>
  <c r="V1125" i="25"/>
  <c r="T1126" i="25" a="1"/>
  <c r="T1126" i="25"/>
  <c r="U1126" i="25" a="1"/>
  <c r="U1126" i="25"/>
  <c r="V1126" i="25"/>
  <c r="T1127" i="25" a="1"/>
  <c r="T1127" i="25"/>
  <c r="U1127" i="25" a="1"/>
  <c r="U1127" i="25"/>
  <c r="V1127" i="25"/>
  <c r="T1128" i="25" a="1"/>
  <c r="T1128" i="25"/>
  <c r="U1128" i="25" a="1"/>
  <c r="U1128" i="25"/>
  <c r="V1128" i="25"/>
  <c r="T1129" i="25" a="1"/>
  <c r="T1129" i="25"/>
  <c r="U1129" i="25" a="1"/>
  <c r="U1129" i="25"/>
  <c r="V1129" i="25"/>
  <c r="T1130" i="25" a="1"/>
  <c r="T1130" i="25"/>
  <c r="U1130" i="25" a="1"/>
  <c r="U1130" i="25"/>
  <c r="V1130" i="25"/>
  <c r="T1131" i="25" a="1"/>
  <c r="T1131" i="25"/>
  <c r="U1131" i="25" a="1"/>
  <c r="U1131" i="25"/>
  <c r="V1131" i="25"/>
  <c r="T1132" i="25" a="1"/>
  <c r="T1132" i="25"/>
  <c r="U1132" i="25" a="1"/>
  <c r="U1132" i="25"/>
  <c r="V1132" i="25"/>
  <c r="T1133" i="25" a="1"/>
  <c r="T1133" i="25"/>
  <c r="U1133" i="25" a="1"/>
  <c r="U1133" i="25"/>
  <c r="V1133" i="25"/>
  <c r="T1134" i="25" a="1"/>
  <c r="T1134" i="25"/>
  <c r="U1134" i="25" a="1"/>
  <c r="U1134" i="25"/>
  <c r="V1134" i="25"/>
  <c r="T1135" i="25" a="1"/>
  <c r="T1135" i="25"/>
  <c r="U1135" i="25" a="1"/>
  <c r="U1135" i="25"/>
  <c r="V1135" i="25"/>
  <c r="T1136" i="25" a="1"/>
  <c r="T1136" i="25"/>
  <c r="U1136" i="25" a="1"/>
  <c r="U1136" i="25"/>
  <c r="V1136" i="25"/>
  <c r="T1137" i="25" a="1"/>
  <c r="T1137" i="25"/>
  <c r="U1137" i="25" a="1"/>
  <c r="U1137" i="25"/>
  <c r="V1137" i="25"/>
  <c r="T1138" i="25" a="1"/>
  <c r="T1138" i="25"/>
  <c r="U1138" i="25" a="1"/>
  <c r="U1138" i="25"/>
  <c r="V1138" i="25"/>
  <c r="T1139" i="25" a="1"/>
  <c r="T1139" i="25"/>
  <c r="U1139" i="25" a="1"/>
  <c r="U1139" i="25"/>
  <c r="V1139" i="25"/>
  <c r="T1140" i="25" a="1"/>
  <c r="T1140" i="25"/>
  <c r="U1140" i="25" a="1"/>
  <c r="U1140" i="25"/>
  <c r="V1140" i="25"/>
  <c r="T1141" i="25" a="1"/>
  <c r="T1141" i="25"/>
  <c r="U1141" i="25" a="1"/>
  <c r="U1141" i="25"/>
  <c r="V1141" i="25"/>
  <c r="T1142" i="25" a="1"/>
  <c r="T1142" i="25"/>
  <c r="U1142" i="25" a="1"/>
  <c r="U1142" i="25"/>
  <c r="V1142" i="25"/>
  <c r="T1143" i="25" a="1"/>
  <c r="T1143" i="25"/>
  <c r="U1143" i="25" a="1"/>
  <c r="U1143" i="25"/>
  <c r="V1143" i="25"/>
  <c r="T1144" i="25" a="1"/>
  <c r="T1144" i="25"/>
  <c r="U1144" i="25" a="1"/>
  <c r="U1144" i="25"/>
  <c r="V1144" i="25"/>
  <c r="T1145" i="25" a="1"/>
  <c r="T1145" i="25"/>
  <c r="U1145" i="25" a="1"/>
  <c r="U1145" i="25"/>
  <c r="V1145" i="25"/>
  <c r="T1146" i="25" a="1"/>
  <c r="T1146" i="25"/>
  <c r="U1146" i="25" a="1"/>
  <c r="U1146" i="25"/>
  <c r="V1146" i="25"/>
  <c r="T1147" i="25" a="1"/>
  <c r="T1147" i="25"/>
  <c r="U1147" i="25" a="1"/>
  <c r="U1147" i="25"/>
  <c r="V1147" i="25"/>
  <c r="T1148" i="25" a="1"/>
  <c r="T1148" i="25"/>
  <c r="U1148" i="25" a="1"/>
  <c r="U1148" i="25"/>
  <c r="V1148" i="25"/>
  <c r="T1149" i="25" a="1"/>
  <c r="T1149" i="25"/>
  <c r="U1149" i="25" a="1"/>
  <c r="U1149" i="25"/>
  <c r="V1149" i="25"/>
  <c r="T1150" i="25" a="1"/>
  <c r="T1150" i="25"/>
  <c r="U1150" i="25" a="1"/>
  <c r="U1150" i="25"/>
  <c r="V1150" i="25"/>
  <c r="T1151" i="25" a="1"/>
  <c r="T1151" i="25"/>
  <c r="U1151" i="25" a="1"/>
  <c r="U1151" i="25"/>
  <c r="V1151" i="25"/>
  <c r="T1152" i="25" a="1"/>
  <c r="T1152" i="25"/>
  <c r="U1152" i="25" a="1"/>
  <c r="U1152" i="25"/>
  <c r="V1152" i="25"/>
  <c r="T1153" i="25" a="1"/>
  <c r="T1153" i="25"/>
  <c r="U1153" i="25" a="1"/>
  <c r="U1153" i="25"/>
  <c r="V1153" i="25"/>
  <c r="T1154" i="25" a="1"/>
  <c r="T1154" i="25"/>
  <c r="U1154" i="25" a="1"/>
  <c r="U1154" i="25"/>
  <c r="V1154" i="25"/>
  <c r="T1155" i="25" a="1"/>
  <c r="T1155" i="25"/>
  <c r="U1155" i="25" a="1"/>
  <c r="U1155" i="25"/>
  <c r="V1155" i="25"/>
  <c r="T1156" i="25" a="1"/>
  <c r="T1156" i="25"/>
  <c r="U1156" i="25" a="1"/>
  <c r="U1156" i="25"/>
  <c r="V1156" i="25"/>
  <c r="T1157" i="25" a="1"/>
  <c r="T1157" i="25"/>
  <c r="U1157" i="25" a="1"/>
  <c r="U1157" i="25"/>
  <c r="V1157" i="25"/>
  <c r="T1158" i="25" a="1"/>
  <c r="T1158" i="25"/>
  <c r="U1158" i="25" a="1"/>
  <c r="U1158" i="25"/>
  <c r="V1158" i="25"/>
  <c r="T1159" i="25" a="1"/>
  <c r="T1159" i="25"/>
  <c r="U1159" i="25" a="1"/>
  <c r="U1159" i="25"/>
  <c r="V1159" i="25"/>
  <c r="T1160" i="25" a="1"/>
  <c r="T1160" i="25"/>
  <c r="U1160" i="25" a="1"/>
  <c r="U1160" i="25"/>
  <c r="V1160" i="25"/>
  <c r="T1161" i="25" a="1"/>
  <c r="T1161" i="25"/>
  <c r="U1161" i="25" a="1"/>
  <c r="U1161" i="25"/>
  <c r="V1161" i="25"/>
  <c r="T1162" i="25" a="1"/>
  <c r="T1162" i="25"/>
  <c r="U1162" i="25" a="1"/>
  <c r="U1162" i="25"/>
  <c r="V1162" i="25"/>
  <c r="T1163" i="25" a="1"/>
  <c r="T1163" i="25"/>
  <c r="U1163" i="25" a="1"/>
  <c r="U1163" i="25"/>
  <c r="V1163" i="25"/>
  <c r="T1164" i="25" a="1"/>
  <c r="T1164" i="25"/>
  <c r="U1164" i="25" a="1"/>
  <c r="U1164" i="25"/>
  <c r="V1164" i="25"/>
  <c r="T1165" i="25" a="1"/>
  <c r="T1165" i="25"/>
  <c r="U1165" i="25" a="1"/>
  <c r="U1165" i="25"/>
  <c r="V1165" i="25"/>
  <c r="T1166" i="25" a="1"/>
  <c r="T1166" i="25"/>
  <c r="U1166" i="25" a="1"/>
  <c r="U1166" i="25"/>
  <c r="V1166" i="25"/>
  <c r="T1167" i="25" a="1"/>
  <c r="T1167" i="25"/>
  <c r="U1167" i="25" a="1"/>
  <c r="U1167" i="25"/>
  <c r="V1167" i="25"/>
  <c r="T1168" i="25" a="1"/>
  <c r="T1168" i="25"/>
  <c r="U1168" i="25" a="1"/>
  <c r="U1168" i="25"/>
  <c r="V1168" i="25"/>
  <c r="T1169" i="25" a="1"/>
  <c r="T1169" i="25"/>
  <c r="U1169" i="25" a="1"/>
  <c r="U1169" i="25"/>
  <c r="V1169" i="25"/>
  <c r="T1170" i="25" a="1"/>
  <c r="T1170" i="25"/>
  <c r="U1170" i="25" a="1"/>
  <c r="U1170" i="25"/>
  <c r="V1170" i="25"/>
  <c r="T1171" i="25" a="1"/>
  <c r="T1171" i="25"/>
  <c r="U1171" i="25" a="1"/>
  <c r="U1171" i="25"/>
  <c r="V1171" i="25"/>
  <c r="T1172" i="25" a="1"/>
  <c r="T1172" i="25"/>
  <c r="U1172" i="25" a="1"/>
  <c r="U1172" i="25"/>
  <c r="V1172" i="25"/>
  <c r="T1173" i="25" a="1"/>
  <c r="T1173" i="25"/>
  <c r="U1173" i="25" a="1"/>
  <c r="U1173" i="25"/>
  <c r="V1173" i="25"/>
  <c r="T1174" i="25" a="1"/>
  <c r="T1174" i="25"/>
  <c r="U1174" i="25" a="1"/>
  <c r="U1174" i="25"/>
  <c r="V1174" i="25"/>
  <c r="T1175" i="25" a="1"/>
  <c r="T1175" i="25"/>
  <c r="U1175" i="25" a="1"/>
  <c r="U1175" i="25"/>
  <c r="V1175" i="25"/>
  <c r="T1176" i="25" a="1"/>
  <c r="T1176" i="25"/>
  <c r="U1176" i="25" a="1"/>
  <c r="U1176" i="25"/>
  <c r="V1176" i="25"/>
  <c r="T1177" i="25" a="1"/>
  <c r="T1177" i="25"/>
  <c r="U1177" i="25" a="1"/>
  <c r="U1177" i="25"/>
  <c r="V1177" i="25"/>
  <c r="T1178" i="25" a="1"/>
  <c r="T1178" i="25"/>
  <c r="U1178" i="25" a="1"/>
  <c r="U1178" i="25"/>
  <c r="V1178" i="25"/>
  <c r="T1179" i="25" a="1"/>
  <c r="T1179" i="25"/>
  <c r="U1179" i="25" a="1"/>
  <c r="U1179" i="25"/>
  <c r="V1179" i="25"/>
  <c r="T1180" i="25" a="1"/>
  <c r="T1180" i="25"/>
  <c r="U1180" i="25" a="1"/>
  <c r="U1180" i="25"/>
  <c r="V1180" i="25"/>
  <c r="T1181" i="25" a="1"/>
  <c r="T1181" i="25"/>
  <c r="U1181" i="25" a="1"/>
  <c r="U1181" i="25"/>
  <c r="V1181" i="25"/>
  <c r="T1182" i="25" a="1"/>
  <c r="T1182" i="25"/>
  <c r="U1182" i="25" a="1"/>
  <c r="U1182" i="25"/>
  <c r="V1182" i="25"/>
  <c r="T1183" i="25" a="1"/>
  <c r="T1183" i="25"/>
  <c r="U1183" i="25" a="1"/>
  <c r="U1183" i="25"/>
  <c r="V1183" i="25"/>
  <c r="T1184" i="25" a="1"/>
  <c r="T1184" i="25"/>
  <c r="U1184" i="25" a="1"/>
  <c r="U1184" i="25"/>
  <c r="V1184" i="25"/>
  <c r="T1185" i="25" a="1"/>
  <c r="T1185" i="25"/>
  <c r="U1185" i="25" a="1"/>
  <c r="U1185" i="25"/>
  <c r="V1185" i="25"/>
  <c r="T1186" i="25" a="1"/>
  <c r="T1186" i="25"/>
  <c r="U1186" i="25" a="1"/>
  <c r="U1186" i="25"/>
  <c r="V1186" i="25"/>
  <c r="T1187" i="25" a="1"/>
  <c r="T1187" i="25"/>
  <c r="U1187" i="25" a="1"/>
  <c r="U1187" i="25"/>
  <c r="V1187" i="25"/>
  <c r="T1188" i="25" a="1"/>
  <c r="T1188" i="25"/>
  <c r="U1188" i="25" a="1"/>
  <c r="U1188" i="25"/>
  <c r="V1188" i="25"/>
  <c r="T1189" i="25" a="1"/>
  <c r="T1189" i="25"/>
  <c r="U1189" i="25" a="1"/>
  <c r="U1189" i="25"/>
  <c r="V1189" i="25"/>
  <c r="T1190" i="25" a="1"/>
  <c r="T1190" i="25"/>
  <c r="U1190" i="25" a="1"/>
  <c r="U1190" i="25"/>
  <c r="V1190" i="25"/>
  <c r="T1191" i="25" a="1"/>
  <c r="T1191" i="25"/>
  <c r="U1191" i="25" a="1"/>
  <c r="U1191" i="25"/>
  <c r="V1191" i="25"/>
  <c r="T1192" i="25" a="1"/>
  <c r="T1192" i="25"/>
  <c r="U1192" i="25" a="1"/>
  <c r="U1192" i="25"/>
  <c r="V1192" i="25"/>
  <c r="T1193" i="25" a="1"/>
  <c r="T1193" i="25"/>
  <c r="U1193" i="25" a="1"/>
  <c r="U1193" i="25"/>
  <c r="V1193" i="25"/>
  <c r="T1194" i="25" a="1"/>
  <c r="T1194" i="25"/>
  <c r="U1194" i="25" a="1"/>
  <c r="U1194" i="25"/>
  <c r="V1194" i="25"/>
  <c r="T1195" i="25" a="1"/>
  <c r="T1195" i="25"/>
  <c r="U1195" i="25" a="1"/>
  <c r="U1195" i="25"/>
  <c r="V1195" i="25"/>
  <c r="T1196" i="25" a="1"/>
  <c r="T1196" i="25"/>
  <c r="U1196" i="25" a="1"/>
  <c r="U1196" i="25"/>
  <c r="V1196" i="25"/>
  <c r="T1197" i="25" a="1"/>
  <c r="T1197" i="25"/>
  <c r="U1197" i="25" a="1"/>
  <c r="U1197" i="25"/>
  <c r="V1197" i="25"/>
  <c r="T1198" i="25" a="1"/>
  <c r="T1198" i="25"/>
  <c r="U1198" i="25" a="1"/>
  <c r="U1198" i="25"/>
  <c r="V1198" i="25"/>
  <c r="T1199" i="25" a="1"/>
  <c r="T1199" i="25"/>
  <c r="U1199" i="25" a="1"/>
  <c r="U1199" i="25"/>
  <c r="V1199" i="25"/>
  <c r="T1200" i="25" a="1"/>
  <c r="T1200" i="25"/>
  <c r="U1200" i="25" a="1"/>
  <c r="U1200" i="25"/>
  <c r="V1200" i="25"/>
  <c r="T1201" i="25" a="1"/>
  <c r="T1201" i="25"/>
  <c r="U1201" i="25" a="1"/>
  <c r="U1201" i="25"/>
  <c r="V1201" i="25"/>
  <c r="T1202" i="25" a="1"/>
  <c r="T1202" i="25"/>
  <c r="U1202" i="25" a="1"/>
  <c r="U1202" i="25"/>
  <c r="V1202" i="25"/>
  <c r="T1203" i="25" a="1"/>
  <c r="T1203" i="25"/>
  <c r="U1203" i="25" a="1"/>
  <c r="U1203" i="25"/>
  <c r="V1203" i="25"/>
  <c r="T1204" i="25" a="1"/>
  <c r="T1204" i="25"/>
  <c r="U1204" i="25" a="1"/>
  <c r="U1204" i="25"/>
  <c r="V1204" i="25"/>
  <c r="T1205" i="25" a="1"/>
  <c r="T1205" i="25"/>
  <c r="U1205" i="25" a="1"/>
  <c r="U1205" i="25"/>
  <c r="V1205" i="25"/>
  <c r="T1206" i="25" a="1"/>
  <c r="T1206" i="25"/>
  <c r="U1206" i="25" a="1"/>
  <c r="U1206" i="25"/>
  <c r="V1206" i="25"/>
  <c r="T1207" i="25" a="1"/>
  <c r="T1207" i="25"/>
  <c r="U1207" i="25" a="1"/>
  <c r="U1207" i="25"/>
  <c r="V1207" i="25"/>
  <c r="T1208" i="25" a="1"/>
  <c r="T1208" i="25"/>
  <c r="U1208" i="25" a="1"/>
  <c r="U1208" i="25"/>
  <c r="V1208" i="25"/>
  <c r="T1209" i="25" a="1"/>
  <c r="T1209" i="25"/>
  <c r="U1209" i="25" a="1"/>
  <c r="U1209" i="25"/>
  <c r="V1209" i="25"/>
  <c r="T1210" i="25" a="1"/>
  <c r="T1210" i="25"/>
  <c r="U1210" i="25" a="1"/>
  <c r="U1210" i="25"/>
  <c r="V1210" i="25"/>
  <c r="T1211" i="25" a="1"/>
  <c r="T1211" i="25"/>
  <c r="U1211" i="25" a="1"/>
  <c r="U1211" i="25"/>
  <c r="V1211" i="25"/>
  <c r="T1212" i="25" a="1"/>
  <c r="T1212" i="25"/>
  <c r="U1212" i="25" a="1"/>
  <c r="U1212" i="25"/>
  <c r="V1212" i="25"/>
  <c r="T1213" i="25" a="1"/>
  <c r="T1213" i="25"/>
  <c r="U1213" i="25" a="1"/>
  <c r="U1213" i="25"/>
  <c r="V1213" i="25"/>
  <c r="T1214" i="25" a="1"/>
  <c r="T1214" i="25"/>
  <c r="U1214" i="25" a="1"/>
  <c r="U1214" i="25"/>
  <c r="V1214" i="25"/>
  <c r="T1215" i="25" a="1"/>
  <c r="T1215" i="25"/>
  <c r="U1215" i="25" a="1"/>
  <c r="U1215" i="25"/>
  <c r="V1215" i="25"/>
  <c r="T1216" i="25" a="1"/>
  <c r="T1216" i="25"/>
  <c r="U1216" i="25" a="1"/>
  <c r="U1216" i="25"/>
  <c r="V1216" i="25"/>
  <c r="T1217" i="25" a="1"/>
  <c r="T1217" i="25"/>
  <c r="U1217" i="25" a="1"/>
  <c r="U1217" i="25"/>
  <c r="V1217" i="25"/>
  <c r="T1218" i="25" a="1"/>
  <c r="T1218" i="25"/>
  <c r="U1218" i="25" a="1"/>
  <c r="U1218" i="25"/>
  <c r="V1218" i="25"/>
  <c r="T1219" i="25" a="1"/>
  <c r="T1219" i="25"/>
  <c r="U1219" i="25" a="1"/>
  <c r="U1219" i="25"/>
  <c r="V1219" i="25"/>
  <c r="T1220" i="25" a="1"/>
  <c r="T1220" i="25"/>
  <c r="U1220" i="25" a="1"/>
  <c r="U1220" i="25"/>
  <c r="V1220" i="25"/>
  <c r="T1221" i="25" a="1"/>
  <c r="T1221" i="25"/>
  <c r="U1221" i="25" a="1"/>
  <c r="U1221" i="25"/>
  <c r="V1221" i="25"/>
  <c r="T1222" i="25" a="1"/>
  <c r="T1222" i="25"/>
  <c r="U1222" i="25" a="1"/>
  <c r="U1222" i="25"/>
  <c r="V1222" i="25"/>
  <c r="T1223" i="25" a="1"/>
  <c r="T1223" i="25"/>
  <c r="U1223" i="25" a="1"/>
  <c r="U1223" i="25"/>
  <c r="V1223" i="25"/>
  <c r="T1224" i="25" a="1"/>
  <c r="T1224" i="25"/>
  <c r="U1224" i="25" a="1"/>
  <c r="U1224" i="25"/>
  <c r="V1224" i="25"/>
  <c r="T1225" i="25" a="1"/>
  <c r="T1225" i="25"/>
  <c r="U1225" i="25" a="1"/>
  <c r="U1225" i="25"/>
  <c r="V1225" i="25"/>
  <c r="T1226" i="25" a="1"/>
  <c r="T1226" i="25"/>
  <c r="U1226" i="25" a="1"/>
  <c r="U1226" i="25"/>
  <c r="V1226" i="25"/>
  <c r="T1227" i="25" a="1"/>
  <c r="T1227" i="25"/>
  <c r="U1227" i="25" a="1"/>
  <c r="U1227" i="25"/>
  <c r="V1227" i="25"/>
  <c r="T1228" i="25" a="1"/>
  <c r="T1228" i="25"/>
  <c r="U1228" i="25" a="1"/>
  <c r="U1228" i="25"/>
  <c r="V1228" i="25"/>
  <c r="T1229" i="25" a="1"/>
  <c r="T1229" i="25"/>
  <c r="U1229" i="25" a="1"/>
  <c r="U1229" i="25"/>
  <c r="V1229" i="25"/>
  <c r="T1230" i="25" a="1"/>
  <c r="T1230" i="25"/>
  <c r="U1230" i="25" a="1"/>
  <c r="U1230" i="25"/>
  <c r="V1230" i="25"/>
  <c r="T1231" i="25" a="1"/>
  <c r="T1231" i="25"/>
  <c r="U1231" i="25" a="1"/>
  <c r="U1231" i="25"/>
  <c r="V1231" i="25"/>
  <c r="T1232" i="25" a="1"/>
  <c r="T1232" i="25"/>
  <c r="U1232" i="25" a="1"/>
  <c r="U1232" i="25"/>
  <c r="V1232" i="25"/>
  <c r="T1233" i="25" a="1"/>
  <c r="T1233" i="25"/>
  <c r="U1233" i="25" a="1"/>
  <c r="U1233" i="25"/>
  <c r="V1233" i="25"/>
  <c r="T1234" i="25" a="1"/>
  <c r="T1234" i="25"/>
  <c r="U1234" i="25" a="1"/>
  <c r="U1234" i="25"/>
  <c r="V1234" i="25"/>
  <c r="T1235" i="25" a="1"/>
  <c r="T1235" i="25"/>
  <c r="U1235" i="25" a="1"/>
  <c r="U1235" i="25"/>
  <c r="V1235" i="25"/>
  <c r="T1236" i="25" a="1"/>
  <c r="T1236" i="25"/>
  <c r="U1236" i="25" a="1"/>
  <c r="U1236" i="25"/>
  <c r="V1236" i="25"/>
  <c r="T1237" i="25" a="1"/>
  <c r="T1237" i="25"/>
  <c r="U1237" i="25" a="1"/>
  <c r="U1237" i="25"/>
  <c r="V1237" i="25"/>
  <c r="T1238" i="25" a="1"/>
  <c r="T1238" i="25"/>
  <c r="U1238" i="25" a="1"/>
  <c r="U1238" i="25"/>
  <c r="V1238" i="25"/>
  <c r="T1239" i="25" a="1"/>
  <c r="T1239" i="25"/>
  <c r="U1239" i="25" a="1"/>
  <c r="U1239" i="25"/>
  <c r="V1239" i="25"/>
  <c r="T1240" i="25" a="1"/>
  <c r="T1240" i="25"/>
  <c r="U1240" i="25" a="1"/>
  <c r="U1240" i="25"/>
  <c r="V1240" i="25"/>
  <c r="T1241" i="25" a="1"/>
  <c r="T1241" i="25"/>
  <c r="U1241" i="25" a="1"/>
  <c r="U1241" i="25"/>
  <c r="V1241" i="25"/>
  <c r="T1242" i="25" a="1"/>
  <c r="T1242" i="25"/>
  <c r="U1242" i="25" a="1"/>
  <c r="U1242" i="25"/>
  <c r="V1242" i="25"/>
  <c r="T1243" i="25" a="1"/>
  <c r="T1243" i="25"/>
  <c r="U1243" i="25" a="1"/>
  <c r="U1243" i="25"/>
  <c r="V1243" i="25"/>
  <c r="T1244" i="25" a="1"/>
  <c r="T1244" i="25"/>
  <c r="U1244" i="25" a="1"/>
  <c r="U1244" i="25"/>
  <c r="V1244" i="25"/>
  <c r="T1245" i="25" a="1"/>
  <c r="T1245" i="25"/>
  <c r="U1245" i="25" a="1"/>
  <c r="U1245" i="25"/>
  <c r="V1245" i="25"/>
  <c r="T1246" i="25" a="1"/>
  <c r="T1246" i="25"/>
  <c r="U1246" i="25" a="1"/>
  <c r="U1246" i="25"/>
  <c r="V1246" i="25"/>
  <c r="T1247" i="25" a="1"/>
  <c r="T1247" i="25"/>
  <c r="U1247" i="25" a="1"/>
  <c r="U1247" i="25"/>
  <c r="V1247" i="25"/>
  <c r="T1248" i="25" a="1"/>
  <c r="T1248" i="25"/>
  <c r="U1248" i="25" a="1"/>
  <c r="U1248" i="25"/>
  <c r="V1248" i="25"/>
  <c r="T1249" i="25" a="1"/>
  <c r="T1249" i="25"/>
  <c r="U1249" i="25" a="1"/>
  <c r="U1249" i="25"/>
  <c r="V1249" i="25"/>
  <c r="T1250" i="25" a="1"/>
  <c r="T1250" i="25"/>
  <c r="U1250" i="25" a="1"/>
  <c r="U1250" i="25"/>
  <c r="V1250" i="25"/>
  <c r="T1251" i="25" a="1"/>
  <c r="T1251" i="25"/>
  <c r="U1251" i="25" a="1"/>
  <c r="U1251" i="25"/>
  <c r="V1251" i="25"/>
  <c r="T1252" i="25" a="1"/>
  <c r="T1252" i="25"/>
  <c r="U1252" i="25" a="1"/>
  <c r="U1252" i="25"/>
  <c r="V1252" i="25"/>
  <c r="T1253" i="25" a="1"/>
  <c r="T1253" i="25"/>
  <c r="U1253" i="25" a="1"/>
  <c r="U1253" i="25"/>
  <c r="V1253" i="25"/>
  <c r="T1254" i="25" a="1"/>
  <c r="T1254" i="25"/>
  <c r="U1254" i="25" a="1"/>
  <c r="U1254" i="25"/>
  <c r="V1254" i="25"/>
  <c r="T1255" i="25" a="1"/>
  <c r="T1255" i="25"/>
  <c r="U1255" i="25" a="1"/>
  <c r="U1255" i="25"/>
  <c r="V1255" i="25"/>
  <c r="T1256" i="25" a="1"/>
  <c r="T1256" i="25"/>
  <c r="U1256" i="25" a="1"/>
  <c r="U1256" i="25"/>
  <c r="V1256" i="25"/>
  <c r="T1257" i="25" a="1"/>
  <c r="T1257" i="25"/>
  <c r="U1257" i="25" a="1"/>
  <c r="U1257" i="25"/>
  <c r="V1257" i="25"/>
  <c r="T1258" i="25" a="1"/>
  <c r="T1258" i="25"/>
  <c r="U1258" i="25" a="1"/>
  <c r="U1258" i="25"/>
  <c r="V1258" i="25"/>
  <c r="T1259" i="25" a="1"/>
  <c r="T1259" i="25"/>
  <c r="U1259" i="25" a="1"/>
  <c r="U1259" i="25"/>
  <c r="V1259" i="25"/>
  <c r="T1260" i="25" a="1"/>
  <c r="T1260" i="25"/>
  <c r="U1260" i="25" a="1"/>
  <c r="U1260" i="25"/>
  <c r="V1260" i="25"/>
  <c r="T1261" i="25" a="1"/>
  <c r="T1261" i="25"/>
  <c r="U1261" i="25" a="1"/>
  <c r="U1261" i="25"/>
  <c r="V1261" i="25"/>
  <c r="T1262" i="25" a="1"/>
  <c r="T1262" i="25"/>
  <c r="U1262" i="25" a="1"/>
  <c r="U1262" i="25"/>
  <c r="V1262" i="25"/>
  <c r="T1263" i="25" a="1"/>
  <c r="T1263" i="25"/>
  <c r="U1263" i="25" a="1"/>
  <c r="U1263" i="25"/>
  <c r="V1263" i="25"/>
  <c r="T1264" i="25" a="1"/>
  <c r="T1264" i="25"/>
  <c r="U1264" i="25" a="1"/>
  <c r="U1264" i="25"/>
  <c r="V1264" i="25"/>
  <c r="T1265" i="25" a="1"/>
  <c r="T1265" i="25"/>
  <c r="U1265" i="25" a="1"/>
  <c r="U1265" i="25"/>
  <c r="V1265" i="25"/>
  <c r="T1266" i="25" a="1"/>
  <c r="T1266" i="25"/>
  <c r="U1266" i="25" a="1"/>
  <c r="U1266" i="25"/>
  <c r="V1266" i="25"/>
  <c r="T1267" i="25" a="1"/>
  <c r="T1267" i="25"/>
  <c r="U1267" i="25" a="1"/>
  <c r="U1267" i="25"/>
  <c r="V1267" i="25"/>
  <c r="T1268" i="25" a="1"/>
  <c r="T1268" i="25"/>
  <c r="U1268" i="25" a="1"/>
  <c r="U1268" i="25"/>
  <c r="V1268" i="25"/>
  <c r="T1269" i="25" a="1"/>
  <c r="T1269" i="25"/>
  <c r="U1269" i="25" a="1"/>
  <c r="U1269" i="25"/>
  <c r="V1269" i="25"/>
  <c r="T1270" i="25" a="1"/>
  <c r="T1270" i="25"/>
  <c r="U1270" i="25" a="1"/>
  <c r="U1270" i="25"/>
  <c r="V1270" i="25"/>
  <c r="T1271" i="25" a="1"/>
  <c r="T1271" i="25"/>
  <c r="U1271" i="25" a="1"/>
  <c r="U1271" i="25"/>
  <c r="V1271" i="25"/>
  <c r="T1272" i="25" a="1"/>
  <c r="T1272" i="25"/>
  <c r="U1272" i="25" a="1"/>
  <c r="U1272" i="25"/>
  <c r="V1272" i="25"/>
  <c r="T1273" i="25" a="1"/>
  <c r="T1273" i="25"/>
  <c r="U1273" i="25" a="1"/>
  <c r="U1273" i="25"/>
  <c r="V1273" i="25"/>
  <c r="T1274" i="25" a="1"/>
  <c r="T1274" i="25"/>
  <c r="U1274" i="25" a="1"/>
  <c r="U1274" i="25"/>
  <c r="V1274" i="25"/>
  <c r="T1275" i="25" a="1"/>
  <c r="T1275" i="25"/>
  <c r="U1275" i="25" a="1"/>
  <c r="U1275" i="25"/>
  <c r="V1275" i="25"/>
  <c r="T1276" i="25" a="1"/>
  <c r="T1276" i="25"/>
  <c r="U1276" i="25" a="1"/>
  <c r="U1276" i="25"/>
  <c r="V1276" i="25"/>
  <c r="T1277" i="25" a="1"/>
  <c r="T1277" i="25"/>
  <c r="U1277" i="25" a="1"/>
  <c r="U1277" i="25"/>
  <c r="V1277" i="25"/>
  <c r="T1278" i="25" a="1"/>
  <c r="T1278" i="25"/>
  <c r="U1278" i="25" a="1"/>
  <c r="U1278" i="25"/>
  <c r="V1278" i="25"/>
  <c r="T1279" i="25" a="1"/>
  <c r="T1279" i="25"/>
  <c r="U1279" i="25" a="1"/>
  <c r="U1279" i="25"/>
  <c r="V1279" i="25"/>
  <c r="T1280" i="25" a="1"/>
  <c r="T1280" i="25"/>
  <c r="U1280" i="25" a="1"/>
  <c r="U1280" i="25"/>
  <c r="V1280" i="25"/>
  <c r="T1281" i="25" a="1"/>
  <c r="T1281" i="25"/>
  <c r="U1281" i="25" a="1"/>
  <c r="U1281" i="25"/>
  <c r="V1281" i="25"/>
  <c r="T1282" i="25" a="1"/>
  <c r="T1282" i="25"/>
  <c r="U1282" i="25" a="1"/>
  <c r="U1282" i="25"/>
  <c r="V1282" i="25"/>
  <c r="T1283" i="25" a="1"/>
  <c r="T1283" i="25"/>
  <c r="U1283" i="25" a="1"/>
  <c r="U1283" i="25"/>
  <c r="V1283" i="25"/>
  <c r="T1284" i="25" a="1"/>
  <c r="T1284" i="25"/>
  <c r="U1284" i="25" a="1"/>
  <c r="U1284" i="25"/>
  <c r="V1284" i="25"/>
  <c r="T1285" i="25" a="1"/>
  <c r="T1285" i="25"/>
  <c r="U1285" i="25" a="1"/>
  <c r="U1285" i="25"/>
  <c r="V1285" i="25"/>
  <c r="T1286" i="25" a="1"/>
  <c r="T1286" i="25"/>
  <c r="U1286" i="25" a="1"/>
  <c r="U1286" i="25"/>
  <c r="V1286" i="25"/>
  <c r="T1287" i="25" a="1"/>
  <c r="T1287" i="25"/>
  <c r="U1287" i="25" a="1"/>
  <c r="U1287" i="25"/>
  <c r="V1287" i="25"/>
  <c r="T1288" i="25" a="1"/>
  <c r="T1288" i="25"/>
  <c r="U1288" i="25" a="1"/>
  <c r="U1288" i="25"/>
  <c r="V1288" i="25"/>
  <c r="T1289" i="25" a="1"/>
  <c r="T1289" i="25"/>
  <c r="U1289" i="25" a="1"/>
  <c r="U1289" i="25"/>
  <c r="V1289" i="25"/>
  <c r="T1290" i="25" a="1"/>
  <c r="T1290" i="25"/>
  <c r="U1290" i="25" a="1"/>
  <c r="U1290" i="25"/>
  <c r="V1290" i="25"/>
  <c r="T1291" i="25" a="1"/>
  <c r="T1291" i="25"/>
  <c r="U1291" i="25" a="1"/>
  <c r="U1291" i="25"/>
  <c r="V1291" i="25"/>
  <c r="T1292" i="25" a="1"/>
  <c r="T1292" i="25"/>
  <c r="U1292" i="25" a="1"/>
  <c r="U1292" i="25"/>
  <c r="V1292" i="25"/>
  <c r="T1293" i="25" a="1"/>
  <c r="T1293" i="25"/>
  <c r="U1293" i="25" a="1"/>
  <c r="U1293" i="25"/>
  <c r="V1293" i="25"/>
  <c r="T1294" i="25" a="1"/>
  <c r="T1294" i="25"/>
  <c r="U1294" i="25" a="1"/>
  <c r="U1294" i="25"/>
  <c r="V1294" i="25"/>
  <c r="T1295" i="25" a="1"/>
  <c r="T1295" i="25"/>
  <c r="U1295" i="25" a="1"/>
  <c r="U1295" i="25"/>
  <c r="V1295" i="25"/>
  <c r="T1296" i="25" a="1"/>
  <c r="T1296" i="25"/>
  <c r="U1296" i="25" a="1"/>
  <c r="U1296" i="25"/>
  <c r="V1296" i="25"/>
  <c r="T1297" i="25" a="1"/>
  <c r="T1297" i="25"/>
  <c r="U1297" i="25" a="1"/>
  <c r="U1297" i="25"/>
  <c r="V1297" i="25"/>
  <c r="T1298" i="25" a="1"/>
  <c r="T1298" i="25"/>
  <c r="U1298" i="25" a="1"/>
  <c r="U1298" i="25"/>
  <c r="V1298" i="25"/>
  <c r="T1299" i="25" a="1"/>
  <c r="T1299" i="25"/>
  <c r="U1299" i="25" a="1"/>
  <c r="U1299" i="25"/>
  <c r="V1299" i="25"/>
  <c r="T1300" i="25" a="1"/>
  <c r="T1300" i="25"/>
  <c r="U1300" i="25" a="1"/>
  <c r="U1300" i="25"/>
  <c r="V1300" i="25"/>
  <c r="T1301" i="25" a="1"/>
  <c r="T1301" i="25"/>
  <c r="U1301" i="25" a="1"/>
  <c r="U1301" i="25"/>
  <c r="V1301" i="25"/>
  <c r="T1302" i="25" a="1"/>
  <c r="T1302" i="25"/>
  <c r="U1302" i="25" a="1"/>
  <c r="U1302" i="25"/>
  <c r="V1302" i="25"/>
  <c r="T1303" i="25" a="1"/>
  <c r="T1303" i="25"/>
  <c r="U1303" i="25" a="1"/>
  <c r="U1303" i="25"/>
  <c r="V1303" i="25"/>
  <c r="T1304" i="25" a="1"/>
  <c r="T1304" i="25"/>
  <c r="U1304" i="25" a="1"/>
  <c r="U1304" i="25"/>
  <c r="V1304" i="25"/>
  <c r="T1305" i="25" a="1"/>
  <c r="T1305" i="25"/>
  <c r="U1305" i="25" a="1"/>
  <c r="U1305" i="25"/>
  <c r="V1305" i="25"/>
  <c r="T1306" i="25" a="1"/>
  <c r="T1306" i="25"/>
  <c r="U1306" i="25" a="1"/>
  <c r="U1306" i="25"/>
  <c r="V1306" i="25"/>
  <c r="T1307" i="25" a="1"/>
  <c r="T1307" i="25"/>
  <c r="U1307" i="25" a="1"/>
  <c r="U1307" i="25"/>
  <c r="V1307" i="25"/>
  <c r="T1308" i="25" a="1"/>
  <c r="T1308" i="25"/>
  <c r="U1308" i="25" a="1"/>
  <c r="U1308" i="25"/>
  <c r="V1308" i="25"/>
  <c r="T1309" i="25" a="1"/>
  <c r="T1309" i="25"/>
  <c r="U1309" i="25" a="1"/>
  <c r="U1309" i="25"/>
  <c r="V1309" i="25"/>
  <c r="T1310" i="25" a="1"/>
  <c r="T1310" i="25"/>
  <c r="U1310" i="25" a="1"/>
  <c r="U1310" i="25"/>
  <c r="V1310" i="25"/>
  <c r="T1311" i="25" a="1"/>
  <c r="T1311" i="25"/>
  <c r="U1311" i="25" a="1"/>
  <c r="U1311" i="25"/>
  <c r="V1311" i="25"/>
  <c r="T1312" i="25" a="1"/>
  <c r="T1312" i="25"/>
  <c r="U1312" i="25" a="1"/>
  <c r="U1312" i="25"/>
  <c r="V1312" i="25"/>
  <c r="T1313" i="25" a="1"/>
  <c r="T1313" i="25"/>
  <c r="U1313" i="25" a="1"/>
  <c r="U1313" i="25"/>
  <c r="V1313" i="25"/>
  <c r="T1314" i="25" a="1"/>
  <c r="T1314" i="25"/>
  <c r="U1314" i="25" a="1"/>
  <c r="U1314" i="25"/>
  <c r="V1314" i="25"/>
  <c r="T1315" i="25" a="1"/>
  <c r="T1315" i="25"/>
  <c r="U1315" i="25" a="1"/>
  <c r="U1315" i="25"/>
  <c r="V1315" i="25"/>
  <c r="T1316" i="25" a="1"/>
  <c r="T1316" i="25"/>
  <c r="U1316" i="25" a="1"/>
  <c r="U1316" i="25"/>
  <c r="V1316" i="25"/>
  <c r="T1317" i="25" a="1"/>
  <c r="T1317" i="25"/>
  <c r="U1317" i="25" a="1"/>
  <c r="U1317" i="25"/>
  <c r="V1317" i="25"/>
  <c r="T1318" i="25" a="1"/>
  <c r="T1318" i="25"/>
  <c r="U1318" i="25" a="1"/>
  <c r="U1318" i="25"/>
  <c r="V1318" i="25"/>
  <c r="T1319" i="25" a="1"/>
  <c r="T1319" i="25"/>
  <c r="U1319" i="25" a="1"/>
  <c r="U1319" i="25"/>
  <c r="V1319" i="25"/>
  <c r="T1320" i="25" a="1"/>
  <c r="T1320" i="25"/>
  <c r="U1320" i="25" a="1"/>
  <c r="U1320" i="25"/>
  <c r="V1320" i="25"/>
  <c r="T1321" i="25" a="1"/>
  <c r="T1321" i="25"/>
  <c r="U1321" i="25" a="1"/>
  <c r="U1321" i="25"/>
  <c r="V1321" i="25"/>
  <c r="T1322" i="25" a="1"/>
  <c r="T1322" i="25"/>
  <c r="U1322" i="25" a="1"/>
  <c r="U1322" i="25"/>
  <c r="V1322" i="25"/>
  <c r="T1323" i="25" a="1"/>
  <c r="T1323" i="25"/>
  <c r="U1323" i="25" a="1"/>
  <c r="U1323" i="25"/>
  <c r="V1323" i="25"/>
  <c r="T1324" i="25" a="1"/>
  <c r="T1324" i="25"/>
  <c r="U1324" i="25" a="1"/>
  <c r="U1324" i="25"/>
  <c r="V1324" i="25"/>
  <c r="T1325" i="25" a="1"/>
  <c r="T1325" i="25"/>
  <c r="U1325" i="25" a="1"/>
  <c r="U1325" i="25"/>
  <c r="V1325" i="25"/>
  <c r="T1326" i="25" a="1"/>
  <c r="T1326" i="25"/>
  <c r="U1326" i="25" a="1"/>
  <c r="U1326" i="25"/>
  <c r="V1326" i="25"/>
  <c r="T1327" i="25" a="1"/>
  <c r="T1327" i="25"/>
  <c r="U1327" i="25" a="1"/>
  <c r="U1327" i="25"/>
  <c r="V1327" i="25"/>
  <c r="T1328" i="25" a="1"/>
  <c r="T1328" i="25"/>
  <c r="U1328" i="25" a="1"/>
  <c r="U1328" i="25"/>
  <c r="V1328" i="25"/>
  <c r="T1329" i="25" a="1"/>
  <c r="T1329" i="25"/>
  <c r="U1329" i="25" a="1"/>
  <c r="U1329" i="25"/>
  <c r="V1329" i="25"/>
  <c r="T1330" i="25" a="1"/>
  <c r="T1330" i="25"/>
  <c r="U1330" i="25" a="1"/>
  <c r="U1330" i="25"/>
  <c r="V1330" i="25"/>
  <c r="T1331" i="25" a="1"/>
  <c r="T1331" i="25"/>
  <c r="U1331" i="25" a="1"/>
  <c r="U1331" i="25"/>
  <c r="V1331" i="25"/>
  <c r="T1332" i="25" a="1"/>
  <c r="T1332" i="25"/>
  <c r="U1332" i="25" a="1"/>
  <c r="U1332" i="25"/>
  <c r="V1332" i="25"/>
  <c r="T1333" i="25" a="1"/>
  <c r="T1333" i="25"/>
  <c r="U1333" i="25" a="1"/>
  <c r="U1333" i="25"/>
  <c r="V1333" i="25"/>
  <c r="T1334" i="25" a="1"/>
  <c r="T1334" i="25"/>
  <c r="U1334" i="25" a="1"/>
  <c r="U1334" i="25"/>
  <c r="V1334" i="25"/>
  <c r="T1335" i="25" a="1"/>
  <c r="T1335" i="25"/>
  <c r="U1335" i="25" a="1"/>
  <c r="U1335" i="25"/>
  <c r="V1335" i="25"/>
  <c r="T1336" i="25" a="1"/>
  <c r="T1336" i="25"/>
  <c r="U1336" i="25" a="1"/>
  <c r="U1336" i="25"/>
  <c r="V1336" i="25"/>
  <c r="T1337" i="25" a="1"/>
  <c r="T1337" i="25"/>
  <c r="U1337" i="25" a="1"/>
  <c r="U1337" i="25"/>
  <c r="V1337" i="25"/>
  <c r="T1338" i="25" a="1"/>
  <c r="T1338" i="25"/>
  <c r="U1338" i="25" a="1"/>
  <c r="U1338" i="25"/>
  <c r="V1338" i="25"/>
  <c r="T1339" i="25" a="1"/>
  <c r="T1339" i="25"/>
  <c r="U1339" i="25" a="1"/>
  <c r="U1339" i="25"/>
  <c r="V1339" i="25"/>
  <c r="T1340" i="25" a="1"/>
  <c r="T1340" i="25"/>
  <c r="U1340" i="25" a="1"/>
  <c r="U1340" i="25"/>
  <c r="V1340" i="25"/>
  <c r="T1341" i="25" a="1"/>
  <c r="T1341" i="25"/>
  <c r="U1341" i="25" a="1"/>
  <c r="U1341" i="25"/>
  <c r="V1341" i="25"/>
  <c r="T1342" i="25" a="1"/>
  <c r="T1342" i="25"/>
  <c r="U1342" i="25" a="1"/>
  <c r="U1342" i="25"/>
  <c r="V1342" i="25"/>
  <c r="T1343" i="25" a="1"/>
  <c r="T1343" i="25"/>
  <c r="U1343" i="25" a="1"/>
  <c r="U1343" i="25"/>
  <c r="V1343" i="25"/>
  <c r="T1344" i="25" a="1"/>
  <c r="T1344" i="25"/>
  <c r="U1344" i="25" a="1"/>
  <c r="U1344" i="25"/>
  <c r="V1344" i="25"/>
  <c r="T1345" i="25" a="1"/>
  <c r="T1345" i="25"/>
  <c r="U1345" i="25" a="1"/>
  <c r="U1345" i="25"/>
  <c r="V1345" i="25"/>
  <c r="T1346" i="25" a="1"/>
  <c r="T1346" i="25"/>
  <c r="U1346" i="25" a="1"/>
  <c r="U1346" i="25"/>
  <c r="V1346" i="25"/>
  <c r="T1347" i="25" a="1"/>
  <c r="T1347" i="25"/>
  <c r="U1347" i="25" a="1"/>
  <c r="U1347" i="25"/>
  <c r="V1347" i="25"/>
  <c r="T1348" i="25" a="1"/>
  <c r="T1348" i="25"/>
  <c r="U1348" i="25" a="1"/>
  <c r="U1348" i="25"/>
  <c r="V1348" i="25"/>
  <c r="T1349" i="25" a="1"/>
  <c r="T1349" i="25"/>
  <c r="U1349" i="25" a="1"/>
  <c r="U1349" i="25"/>
  <c r="V1349" i="25"/>
  <c r="T1350" i="25" a="1"/>
  <c r="T1350" i="25"/>
  <c r="U1350" i="25" a="1"/>
  <c r="U1350" i="25"/>
  <c r="V1350" i="25"/>
  <c r="T1351" i="25" a="1"/>
  <c r="T1351" i="25"/>
  <c r="U1351" i="25" a="1"/>
  <c r="U1351" i="25"/>
  <c r="V1351" i="25"/>
  <c r="T1352" i="25" a="1"/>
  <c r="T1352" i="25"/>
  <c r="U1352" i="25" a="1"/>
  <c r="U1352" i="25"/>
  <c r="V1352" i="25"/>
  <c r="T1353" i="25" a="1"/>
  <c r="T1353" i="25"/>
  <c r="U1353" i="25" a="1"/>
  <c r="U1353" i="25"/>
  <c r="V1353" i="25"/>
  <c r="T1354" i="25" a="1"/>
  <c r="T1354" i="25"/>
  <c r="U1354" i="25" a="1"/>
  <c r="U1354" i="25"/>
  <c r="V1354" i="25"/>
  <c r="T1355" i="25" a="1"/>
  <c r="T1355" i="25"/>
  <c r="U1355" i="25" a="1"/>
  <c r="U1355" i="25"/>
  <c r="V1355" i="25"/>
  <c r="T1356" i="25" a="1"/>
  <c r="T1356" i="25"/>
  <c r="U1356" i="25" a="1"/>
  <c r="U1356" i="25"/>
  <c r="V1356" i="25"/>
  <c r="T1357" i="25" a="1"/>
  <c r="T1357" i="25"/>
  <c r="U1357" i="25" a="1"/>
  <c r="U1357" i="25"/>
  <c r="V1357" i="25"/>
  <c r="T1358" i="25" a="1"/>
  <c r="T1358" i="25"/>
  <c r="U1358" i="25" a="1"/>
  <c r="U1358" i="25"/>
  <c r="V1358" i="25"/>
  <c r="T1359" i="25" a="1"/>
  <c r="T1359" i="25"/>
  <c r="U1359" i="25" a="1"/>
  <c r="U1359" i="25"/>
  <c r="V1359" i="25"/>
  <c r="T1360" i="25" a="1"/>
  <c r="T1360" i="25"/>
  <c r="U1360" i="25" a="1"/>
  <c r="U1360" i="25"/>
  <c r="V1360" i="25"/>
  <c r="T1361" i="25" a="1"/>
  <c r="T1361" i="25"/>
  <c r="U1361" i="25" a="1"/>
  <c r="U1361" i="25"/>
  <c r="V1361" i="25"/>
  <c r="T1362" i="25" a="1"/>
  <c r="T1362" i="25"/>
  <c r="U1362" i="25" a="1"/>
  <c r="U1362" i="25"/>
  <c r="V1362" i="25"/>
  <c r="T1363" i="25" a="1"/>
  <c r="T1363" i="25"/>
  <c r="U1363" i="25" a="1"/>
  <c r="U1363" i="25"/>
  <c r="V1363" i="25"/>
  <c r="T1364" i="25" a="1"/>
  <c r="T1364" i="25"/>
  <c r="U1364" i="25" a="1"/>
  <c r="U1364" i="25"/>
  <c r="V1364" i="25"/>
  <c r="T1365" i="25" a="1"/>
  <c r="T1365" i="25"/>
  <c r="U1365" i="25" a="1"/>
  <c r="U1365" i="25"/>
  <c r="V1365" i="25"/>
  <c r="T1366" i="25" a="1"/>
  <c r="T1366" i="25"/>
  <c r="U1366" i="25" a="1"/>
  <c r="U1366" i="25"/>
  <c r="V1366" i="25"/>
  <c r="T1367" i="25" a="1"/>
  <c r="T1367" i="25"/>
  <c r="U1367" i="25" a="1"/>
  <c r="U1367" i="25"/>
  <c r="V1367" i="25"/>
  <c r="T1368" i="25" a="1"/>
  <c r="T1368" i="25"/>
  <c r="U1368" i="25" a="1"/>
  <c r="U1368" i="25"/>
  <c r="V1368" i="25"/>
  <c r="T1369" i="25" a="1"/>
  <c r="T1369" i="25"/>
  <c r="U1369" i="25" a="1"/>
  <c r="U1369" i="25"/>
  <c r="V1369" i="25"/>
  <c r="T1370" i="25" a="1"/>
  <c r="T1370" i="25"/>
  <c r="U1370" i="25" a="1"/>
  <c r="U1370" i="25"/>
  <c r="V1370" i="25"/>
  <c r="T1371" i="25" a="1"/>
  <c r="T1371" i="25"/>
  <c r="U1371" i="25" a="1"/>
  <c r="U1371" i="25"/>
  <c r="V1371" i="25"/>
  <c r="T1372" i="25" a="1"/>
  <c r="T1372" i="25"/>
  <c r="U1372" i="25" a="1"/>
  <c r="U1372" i="25"/>
  <c r="V1372" i="25"/>
  <c r="T1373" i="25" a="1"/>
  <c r="T1373" i="25"/>
  <c r="U1373" i="25" a="1"/>
  <c r="U1373" i="25"/>
  <c r="V1373" i="25"/>
  <c r="T1374" i="25" a="1"/>
  <c r="T1374" i="25"/>
  <c r="U1374" i="25" a="1"/>
  <c r="U1374" i="25"/>
  <c r="V1374" i="25"/>
  <c r="T1375" i="25" a="1"/>
  <c r="T1375" i="25"/>
  <c r="U1375" i="25" a="1"/>
  <c r="U1375" i="25"/>
  <c r="V1375" i="25"/>
  <c r="T1376" i="25" a="1"/>
  <c r="T1376" i="25"/>
  <c r="U1376" i="25" a="1"/>
  <c r="U1376" i="25"/>
  <c r="V1376" i="25"/>
  <c r="T1377" i="25" a="1"/>
  <c r="T1377" i="25"/>
  <c r="U1377" i="25" a="1"/>
  <c r="U1377" i="25"/>
  <c r="V1377" i="25"/>
  <c r="T1378" i="25" a="1"/>
  <c r="T1378" i="25"/>
  <c r="U1378" i="25" a="1"/>
  <c r="U1378" i="25"/>
  <c r="V1378" i="25"/>
  <c r="T1379" i="25" a="1"/>
  <c r="T1379" i="25"/>
  <c r="U1379" i="25" a="1"/>
  <c r="U1379" i="25"/>
  <c r="V1379" i="25"/>
  <c r="T1380" i="25" a="1"/>
  <c r="T1380" i="25"/>
  <c r="U1380" i="25" a="1"/>
  <c r="U1380" i="25"/>
  <c r="V1380" i="25"/>
  <c r="T1381" i="25" a="1"/>
  <c r="T1381" i="25"/>
  <c r="U1381" i="25" a="1"/>
  <c r="U1381" i="25"/>
  <c r="V1381" i="25"/>
  <c r="T1382" i="25" a="1"/>
  <c r="T1382" i="25"/>
  <c r="U1382" i="25" a="1"/>
  <c r="U1382" i="25"/>
  <c r="V1382" i="25"/>
  <c r="T1383" i="25" a="1"/>
  <c r="T1383" i="25"/>
  <c r="U1383" i="25" a="1"/>
  <c r="U1383" i="25"/>
  <c r="V1383" i="25"/>
  <c r="T1384" i="25" a="1"/>
  <c r="T1384" i="25"/>
  <c r="U1384" i="25" a="1"/>
  <c r="U1384" i="25"/>
  <c r="V1384" i="25"/>
  <c r="T1385" i="25" a="1"/>
  <c r="T1385" i="25"/>
  <c r="U1385" i="25" a="1"/>
  <c r="U1385" i="25"/>
  <c r="V1385" i="25"/>
  <c r="T1386" i="25" a="1"/>
  <c r="T1386" i="25"/>
  <c r="U1386" i="25" a="1"/>
  <c r="U1386" i="25"/>
  <c r="V1386" i="25"/>
  <c r="T1387" i="25" a="1"/>
  <c r="T1387" i="25"/>
  <c r="U1387" i="25" a="1"/>
  <c r="U1387" i="25"/>
  <c r="V1387" i="25"/>
  <c r="T1388" i="25" a="1"/>
  <c r="T1388" i="25"/>
  <c r="U1388" i="25" a="1"/>
  <c r="U1388" i="25"/>
  <c r="V1388" i="25"/>
  <c r="T1389" i="25" a="1"/>
  <c r="T1389" i="25"/>
  <c r="U1389" i="25" a="1"/>
  <c r="U1389" i="25"/>
  <c r="V1389" i="25"/>
  <c r="T1390" i="25" a="1"/>
  <c r="T1390" i="25"/>
  <c r="U1390" i="25" a="1"/>
  <c r="U1390" i="25"/>
  <c r="V1390" i="25"/>
  <c r="T1391" i="25" a="1"/>
  <c r="T1391" i="25"/>
  <c r="U1391" i="25" a="1"/>
  <c r="U1391" i="25"/>
  <c r="V1391" i="25"/>
  <c r="T1392" i="25" a="1"/>
  <c r="T1392" i="25"/>
  <c r="U1392" i="25" a="1"/>
  <c r="U1392" i="25"/>
  <c r="V1392" i="25"/>
  <c r="T1393" i="25" a="1"/>
  <c r="T1393" i="25"/>
  <c r="U1393" i="25" a="1"/>
  <c r="U1393" i="25"/>
  <c r="V1393" i="25"/>
  <c r="T1394" i="25" a="1"/>
  <c r="T1394" i="25"/>
  <c r="U1394" i="25" a="1"/>
  <c r="U1394" i="25"/>
  <c r="V1394" i="25"/>
  <c r="T1395" i="25" a="1"/>
  <c r="T1395" i="25"/>
  <c r="U1395" i="25" a="1"/>
  <c r="U1395" i="25"/>
  <c r="V1395" i="25"/>
  <c r="T1396" i="25" a="1"/>
  <c r="T1396" i="25"/>
  <c r="U1396" i="25" a="1"/>
  <c r="U1396" i="25"/>
  <c r="V1396" i="25"/>
  <c r="T1397" i="25" a="1"/>
  <c r="T1397" i="25"/>
  <c r="U1397" i="25" a="1"/>
  <c r="U1397" i="25"/>
  <c r="V1397" i="25"/>
  <c r="T1398" i="25" a="1"/>
  <c r="T1398" i="25"/>
  <c r="U1398" i="25" a="1"/>
  <c r="U1398" i="25"/>
  <c r="V1398" i="25"/>
  <c r="T1399" i="25" a="1"/>
  <c r="T1399" i="25"/>
  <c r="U1399" i="25" a="1"/>
  <c r="U1399" i="25"/>
  <c r="V1399" i="25"/>
  <c r="T1400" i="25" a="1"/>
  <c r="T1400" i="25"/>
  <c r="U1400" i="25" a="1"/>
  <c r="U1400" i="25"/>
  <c r="V1400" i="25"/>
  <c r="T1401" i="25" a="1"/>
  <c r="T1401" i="25"/>
  <c r="U1401" i="25" a="1"/>
  <c r="U1401" i="25"/>
  <c r="V1401" i="25"/>
  <c r="T1402" i="25" a="1"/>
  <c r="T1402" i="25"/>
  <c r="U1402" i="25" a="1"/>
  <c r="U1402" i="25"/>
  <c r="V1402" i="25"/>
  <c r="T1403" i="25" a="1"/>
  <c r="T1403" i="25"/>
  <c r="U1403" i="25" a="1"/>
  <c r="U1403" i="25"/>
  <c r="V1403" i="25"/>
  <c r="T1404" i="25" a="1"/>
  <c r="T1404" i="25"/>
  <c r="U1404" i="25" a="1"/>
  <c r="U1404" i="25"/>
  <c r="V1404" i="25"/>
  <c r="T1405" i="25" a="1"/>
  <c r="T1405" i="25"/>
  <c r="U1405" i="25" a="1"/>
  <c r="U1405" i="25"/>
  <c r="V1405" i="25"/>
  <c r="T1406" i="25" a="1"/>
  <c r="T1406" i="25"/>
  <c r="U1406" i="25" a="1"/>
  <c r="U1406" i="25"/>
  <c r="V1406" i="25"/>
  <c r="T1407" i="25" a="1"/>
  <c r="T1407" i="25"/>
  <c r="U1407" i="25" a="1"/>
  <c r="U1407" i="25"/>
  <c r="V1407" i="25"/>
  <c r="T1408" i="25" a="1"/>
  <c r="T1408" i="25"/>
  <c r="U1408" i="25" a="1"/>
  <c r="U1408" i="25"/>
  <c r="V1408" i="25"/>
  <c r="T1409" i="25" a="1"/>
  <c r="T1409" i="25"/>
  <c r="U1409" i="25" a="1"/>
  <c r="U1409" i="25"/>
  <c r="V1409" i="25"/>
  <c r="T1410" i="25" a="1"/>
  <c r="T1410" i="25"/>
  <c r="U1410" i="25" a="1"/>
  <c r="U1410" i="25"/>
  <c r="V1410" i="25"/>
  <c r="T1411" i="25" a="1"/>
  <c r="T1411" i="25"/>
  <c r="U1411" i="25" a="1"/>
  <c r="U1411" i="25"/>
  <c r="V1411" i="25"/>
  <c r="T1412" i="25" a="1"/>
  <c r="T1412" i="25"/>
  <c r="U1412" i="25" a="1"/>
  <c r="U1412" i="25"/>
  <c r="V1412" i="25"/>
  <c r="T1413" i="25" a="1"/>
  <c r="T1413" i="25"/>
  <c r="U1413" i="25" a="1"/>
  <c r="U1413" i="25"/>
  <c r="V1413" i="25"/>
  <c r="T1414" i="25" a="1"/>
  <c r="T1414" i="25"/>
  <c r="U1414" i="25" a="1"/>
  <c r="U1414" i="25"/>
  <c r="V1414" i="25"/>
  <c r="T1415" i="25" a="1"/>
  <c r="T1415" i="25"/>
  <c r="U1415" i="25" a="1"/>
  <c r="U1415" i="25"/>
  <c r="V1415" i="25"/>
  <c r="T1416" i="25" a="1"/>
  <c r="T1416" i="25"/>
  <c r="U1416" i="25" a="1"/>
  <c r="U1416" i="25"/>
  <c r="V1416" i="25"/>
  <c r="T1417" i="25" a="1"/>
  <c r="T1417" i="25"/>
  <c r="U1417" i="25" a="1"/>
  <c r="U1417" i="25"/>
  <c r="V1417" i="25"/>
  <c r="T1418" i="25" a="1"/>
  <c r="T1418" i="25"/>
  <c r="U1418" i="25" a="1"/>
  <c r="U1418" i="25"/>
  <c r="V1418" i="25"/>
  <c r="T1419" i="25" a="1"/>
  <c r="T1419" i="25"/>
  <c r="U1419" i="25" a="1"/>
  <c r="U1419" i="25"/>
  <c r="V1419" i="25"/>
  <c r="T1420" i="25" a="1"/>
  <c r="T1420" i="25"/>
  <c r="U1420" i="25" a="1"/>
  <c r="U1420" i="25"/>
  <c r="V1420" i="25"/>
  <c r="T1421" i="25" a="1"/>
  <c r="T1421" i="25"/>
  <c r="U1421" i="25" a="1"/>
  <c r="U1421" i="25"/>
  <c r="V1421" i="25"/>
  <c r="T1422" i="25" a="1"/>
  <c r="T1422" i="25"/>
  <c r="U1422" i="25" a="1"/>
  <c r="U1422" i="25"/>
  <c r="V1422" i="25"/>
  <c r="T1423" i="25" a="1"/>
  <c r="T1423" i="25"/>
  <c r="U1423" i="25" a="1"/>
  <c r="U1423" i="25"/>
  <c r="V1423" i="25"/>
  <c r="T1424" i="25" a="1"/>
  <c r="T1424" i="25"/>
  <c r="U1424" i="25" a="1"/>
  <c r="U1424" i="25"/>
  <c r="V1424" i="25"/>
  <c r="T1425" i="25" a="1"/>
  <c r="T1425" i="25"/>
  <c r="U1425" i="25" a="1"/>
  <c r="U1425" i="25"/>
  <c r="V1425" i="25"/>
  <c r="T1426" i="25" a="1"/>
  <c r="T1426" i="25"/>
  <c r="U1426" i="25" a="1"/>
  <c r="U1426" i="25"/>
  <c r="V1426" i="25"/>
  <c r="T1427" i="25" a="1"/>
  <c r="T1427" i="25"/>
  <c r="U1427" i="25" a="1"/>
  <c r="U1427" i="25"/>
  <c r="V1427" i="25"/>
  <c r="T1428" i="25" a="1"/>
  <c r="T1428" i="25"/>
  <c r="U1428" i="25" a="1"/>
  <c r="U1428" i="25"/>
  <c r="V1428" i="25"/>
  <c r="T1429" i="25" a="1"/>
  <c r="T1429" i="25"/>
  <c r="U1429" i="25" a="1"/>
  <c r="U1429" i="25"/>
  <c r="V1429" i="25"/>
  <c r="T1430" i="25" a="1"/>
  <c r="T1430" i="25"/>
  <c r="U1430" i="25" a="1"/>
  <c r="U1430" i="25"/>
  <c r="V1430" i="25"/>
  <c r="T1431" i="25" a="1"/>
  <c r="T1431" i="25"/>
  <c r="U1431" i="25" a="1"/>
  <c r="U1431" i="25"/>
  <c r="V1431" i="25"/>
  <c r="T1432" i="25" a="1"/>
  <c r="T1432" i="25"/>
  <c r="U1432" i="25" a="1"/>
  <c r="U1432" i="25"/>
  <c r="V1432" i="25"/>
  <c r="T1433" i="25" a="1"/>
  <c r="T1433" i="25"/>
  <c r="U1433" i="25" a="1"/>
  <c r="U1433" i="25"/>
  <c r="V1433" i="25"/>
  <c r="T1434" i="25" a="1"/>
  <c r="T1434" i="25"/>
  <c r="U1434" i="25" a="1"/>
  <c r="U1434" i="25"/>
  <c r="V1434" i="25"/>
  <c r="T1435" i="25" a="1"/>
  <c r="T1435" i="25"/>
  <c r="U1435" i="25" a="1"/>
  <c r="U1435" i="25"/>
  <c r="V1435" i="25"/>
  <c r="T1436" i="25" a="1"/>
  <c r="T1436" i="25"/>
  <c r="U1436" i="25" a="1"/>
  <c r="U1436" i="25"/>
  <c r="V1436" i="25"/>
  <c r="T1437" i="25" a="1"/>
  <c r="T1437" i="25"/>
  <c r="U1437" i="25" a="1"/>
  <c r="U1437" i="25"/>
  <c r="V1437" i="25"/>
  <c r="T1438" i="25" a="1"/>
  <c r="T1438" i="25"/>
  <c r="U1438" i="25" a="1"/>
  <c r="U1438" i="25"/>
  <c r="V1438" i="25"/>
  <c r="T1439" i="25" a="1"/>
  <c r="T1439" i="25"/>
  <c r="U1439" i="25" a="1"/>
  <c r="U1439" i="25"/>
  <c r="V1439" i="25"/>
  <c r="T1440" i="25" a="1"/>
  <c r="T1440" i="25"/>
  <c r="U1440" i="25" a="1"/>
  <c r="U1440" i="25"/>
  <c r="V1440" i="25"/>
  <c r="T1441" i="25" a="1"/>
  <c r="T1441" i="25"/>
  <c r="U1441" i="25" a="1"/>
  <c r="U1441" i="25"/>
  <c r="V1441" i="25"/>
  <c r="T1442" i="25" a="1"/>
  <c r="T1442" i="25"/>
  <c r="U1442" i="25" a="1"/>
  <c r="U1442" i="25"/>
  <c r="V1442" i="25"/>
  <c r="T1443" i="25" a="1"/>
  <c r="T1443" i="25"/>
  <c r="U1443" i="25" a="1"/>
  <c r="U1443" i="25"/>
  <c r="V1443" i="25"/>
  <c r="T1444" i="25" a="1"/>
  <c r="T1444" i="25"/>
  <c r="U1444" i="25" a="1"/>
  <c r="U1444" i="25"/>
  <c r="V1444" i="25"/>
  <c r="T1445" i="25" a="1"/>
  <c r="T1445" i="25"/>
  <c r="U1445" i="25" a="1"/>
  <c r="U1445" i="25"/>
  <c r="V1445" i="25"/>
  <c r="T1446" i="25" a="1"/>
  <c r="T1446" i="25"/>
  <c r="U1446" i="25" a="1"/>
  <c r="U1446" i="25"/>
  <c r="V1446" i="25"/>
  <c r="T1447" i="25" a="1"/>
  <c r="T1447" i="25"/>
  <c r="U1447" i="25" a="1"/>
  <c r="U1447" i="25"/>
  <c r="V1447" i="25"/>
  <c r="T1448" i="25" a="1"/>
  <c r="T1448" i="25"/>
  <c r="U1448" i="25" a="1"/>
  <c r="U1448" i="25"/>
  <c r="V1448" i="25"/>
  <c r="T1449" i="25" a="1"/>
  <c r="T1449" i="25"/>
  <c r="U1449" i="25" a="1"/>
  <c r="U1449" i="25"/>
  <c r="V1449" i="25"/>
  <c r="T1450" i="25" a="1"/>
  <c r="T1450" i="25"/>
  <c r="U1450" i="25" a="1"/>
  <c r="U1450" i="25"/>
  <c r="V1450" i="25"/>
  <c r="T1451" i="25" a="1"/>
  <c r="T1451" i="25"/>
  <c r="U1451" i="25" a="1"/>
  <c r="U1451" i="25"/>
  <c r="V1451" i="25"/>
  <c r="T1452" i="25" a="1"/>
  <c r="T1452" i="25"/>
  <c r="U1452" i="25" a="1"/>
  <c r="U1452" i="25"/>
  <c r="V1452" i="25"/>
  <c r="T1453" i="25" a="1"/>
  <c r="T1453" i="25"/>
  <c r="U1453" i="25" a="1"/>
  <c r="U1453" i="25"/>
  <c r="V1453" i="25"/>
  <c r="T1454" i="25" a="1"/>
  <c r="T1454" i="25"/>
  <c r="U1454" i="25" a="1"/>
  <c r="U1454" i="25"/>
  <c r="V1454" i="25"/>
  <c r="T1455" i="25" a="1"/>
  <c r="T1455" i="25"/>
  <c r="U1455" i="25" a="1"/>
  <c r="U1455" i="25"/>
  <c r="V1455" i="25"/>
  <c r="T1456" i="25" a="1"/>
  <c r="T1456" i="25"/>
  <c r="U1456" i="25" a="1"/>
  <c r="U1456" i="25"/>
  <c r="V1456" i="25"/>
  <c r="T1457" i="25" a="1"/>
  <c r="T1457" i="25"/>
  <c r="U1457" i="25" a="1"/>
  <c r="U1457" i="25"/>
  <c r="V1457" i="25"/>
  <c r="T1458" i="25" a="1"/>
  <c r="T1458" i="25"/>
  <c r="U1458" i="25" a="1"/>
  <c r="U1458" i="25"/>
  <c r="V1458" i="25"/>
  <c r="T1459" i="25" a="1"/>
  <c r="T1459" i="25"/>
  <c r="U1459" i="25" a="1"/>
  <c r="U1459" i="25"/>
  <c r="V1459" i="25"/>
  <c r="T1460" i="25" a="1"/>
  <c r="T1460" i="25"/>
  <c r="U1460" i="25" a="1"/>
  <c r="U1460" i="25"/>
  <c r="V1460" i="25"/>
  <c r="T1461" i="25" a="1"/>
  <c r="T1461" i="25"/>
  <c r="U1461" i="25" a="1"/>
  <c r="U1461" i="25"/>
  <c r="V1461" i="25"/>
  <c r="T1462" i="25" a="1"/>
  <c r="T1462" i="25"/>
  <c r="U1462" i="25" a="1"/>
  <c r="U1462" i="25"/>
  <c r="V1462" i="25"/>
  <c r="T1463" i="25" a="1"/>
  <c r="T1463" i="25"/>
  <c r="U1463" i="25" a="1"/>
  <c r="U1463" i="25"/>
  <c r="V1463" i="25"/>
  <c r="T1464" i="25" a="1"/>
  <c r="T1464" i="25"/>
  <c r="U1464" i="25" a="1"/>
  <c r="U1464" i="25"/>
  <c r="V1464" i="25"/>
  <c r="T1465" i="25" a="1"/>
  <c r="T1465" i="25"/>
  <c r="U1465" i="25" a="1"/>
  <c r="U1465" i="25"/>
  <c r="V1465" i="25"/>
  <c r="T1466" i="25" a="1"/>
  <c r="T1466" i="25"/>
  <c r="U1466" i="25" a="1"/>
  <c r="U1466" i="25"/>
  <c r="V1466" i="25"/>
  <c r="T1467" i="25" a="1"/>
  <c r="T1467" i="25"/>
  <c r="U1467" i="25" a="1"/>
  <c r="U1467" i="25"/>
  <c r="V1467" i="25"/>
  <c r="T1468" i="25" a="1"/>
  <c r="T1468" i="25"/>
  <c r="U1468" i="25" a="1"/>
  <c r="U1468" i="25"/>
  <c r="V1468" i="25"/>
  <c r="T1469" i="25" a="1"/>
  <c r="T1469" i="25"/>
  <c r="U1469" i="25" a="1"/>
  <c r="U1469" i="25"/>
  <c r="V1469" i="25"/>
  <c r="T1470" i="25" a="1"/>
  <c r="T1470" i="25"/>
  <c r="U1470" i="25" a="1"/>
  <c r="U1470" i="25"/>
  <c r="V1470" i="25"/>
  <c r="T1471" i="25" a="1"/>
  <c r="T1471" i="25"/>
  <c r="U1471" i="25" a="1"/>
  <c r="U1471" i="25"/>
  <c r="V1471" i="25"/>
  <c r="T1472" i="25" a="1"/>
  <c r="T1472" i="25"/>
  <c r="U1472" i="25" a="1"/>
  <c r="U1472" i="25"/>
  <c r="V1472" i="25"/>
  <c r="T1473" i="25" a="1"/>
  <c r="T1473" i="25"/>
  <c r="U1473" i="25" a="1"/>
  <c r="U1473" i="25"/>
  <c r="V1473" i="25"/>
  <c r="T1474" i="25" a="1"/>
  <c r="T1474" i="25"/>
  <c r="U1474" i="25" a="1"/>
  <c r="U1474" i="25"/>
  <c r="V1474" i="25"/>
  <c r="T1475" i="25" a="1"/>
  <c r="T1475" i="25"/>
  <c r="U1475" i="25" a="1"/>
  <c r="U1475" i="25"/>
  <c r="V1475" i="25"/>
  <c r="T1476" i="25" a="1"/>
  <c r="T1476" i="25"/>
  <c r="U1476" i="25" a="1"/>
  <c r="U1476" i="25"/>
  <c r="V1476" i="25"/>
  <c r="T1477" i="25" a="1"/>
  <c r="T1477" i="25"/>
  <c r="U1477" i="25" a="1"/>
  <c r="U1477" i="25"/>
  <c r="V1477" i="25"/>
  <c r="T1478" i="25" a="1"/>
  <c r="T1478" i="25"/>
  <c r="U1478" i="25" a="1"/>
  <c r="U1478" i="25"/>
  <c r="V1478" i="25"/>
  <c r="T1479" i="25" a="1"/>
  <c r="T1479" i="25"/>
  <c r="U1479" i="25" a="1"/>
  <c r="U1479" i="25"/>
  <c r="V1479" i="25"/>
  <c r="T1480" i="25" a="1"/>
  <c r="T1480" i="25"/>
  <c r="U1480" i="25" a="1"/>
  <c r="U1480" i="25"/>
  <c r="V1480" i="25"/>
  <c r="T1481" i="25" a="1"/>
  <c r="T1481" i="25"/>
  <c r="U1481" i="25" a="1"/>
  <c r="U1481" i="25"/>
  <c r="V1481" i="25"/>
  <c r="T1482" i="25" a="1"/>
  <c r="T1482" i="25"/>
  <c r="U1482" i="25" a="1"/>
  <c r="U1482" i="25"/>
  <c r="V1482" i="25"/>
  <c r="T1483" i="25" a="1"/>
  <c r="T1483" i="25"/>
  <c r="U1483" i="25" a="1"/>
  <c r="U1483" i="25"/>
  <c r="V1483" i="25"/>
  <c r="T1484" i="25" a="1"/>
  <c r="T1484" i="25"/>
  <c r="U1484" i="25" a="1"/>
  <c r="U1484" i="25"/>
  <c r="V1484" i="25"/>
  <c r="T1485" i="25" a="1"/>
  <c r="T1485" i="25"/>
  <c r="U1485" i="25" a="1"/>
  <c r="U1485" i="25"/>
  <c r="V1485" i="25"/>
  <c r="T1486" i="25" a="1"/>
  <c r="T1486" i="25"/>
  <c r="U1486" i="25" a="1"/>
  <c r="U1486" i="25"/>
  <c r="V1486" i="25"/>
  <c r="T1487" i="25" a="1"/>
  <c r="T1487" i="25"/>
  <c r="U1487" i="25" a="1"/>
  <c r="U1487" i="25"/>
  <c r="V1487" i="25"/>
  <c r="T1488" i="25" a="1"/>
  <c r="T1488" i="25"/>
  <c r="U1488" i="25" a="1"/>
  <c r="U1488" i="25"/>
  <c r="V1488" i="25"/>
  <c r="T1489" i="25" a="1"/>
  <c r="T1489" i="25"/>
  <c r="U1489" i="25" a="1"/>
  <c r="U1489" i="25"/>
  <c r="V1489" i="25"/>
  <c r="T1490" i="25" a="1"/>
  <c r="T1490" i="25"/>
  <c r="U1490" i="25" a="1"/>
  <c r="U1490" i="25"/>
  <c r="V1490" i="25"/>
  <c r="T1491" i="25" a="1"/>
  <c r="T1491" i="25"/>
  <c r="U1491" i="25" a="1"/>
  <c r="U1491" i="25"/>
  <c r="V1491" i="25"/>
  <c r="T1492" i="25" a="1"/>
  <c r="T1492" i="25"/>
  <c r="U1492" i="25" a="1"/>
  <c r="U1492" i="25"/>
  <c r="V1492" i="25"/>
  <c r="T1493" i="25" a="1"/>
  <c r="T1493" i="25"/>
  <c r="U1493" i="25" a="1"/>
  <c r="U1493" i="25"/>
  <c r="V1493" i="25"/>
  <c r="T1494" i="25" a="1"/>
  <c r="T1494" i="25"/>
  <c r="U1494" i="25" a="1"/>
  <c r="U1494" i="25"/>
  <c r="V1494" i="25"/>
  <c r="T1495" i="25" a="1"/>
  <c r="T1495" i="25"/>
  <c r="U1495" i="25" a="1"/>
  <c r="U1495" i="25"/>
  <c r="V1495" i="25"/>
  <c r="T1496" i="25" a="1"/>
  <c r="T1496" i="25"/>
  <c r="U1496" i="25" a="1"/>
  <c r="U1496" i="25"/>
  <c r="V1496" i="25"/>
  <c r="T1497" i="25" a="1"/>
  <c r="T1497" i="25"/>
  <c r="U1497" i="25" a="1"/>
  <c r="U1497" i="25"/>
  <c r="V1497" i="25"/>
  <c r="T1498" i="25" a="1"/>
  <c r="T1498" i="25"/>
  <c r="U1498" i="25" a="1"/>
  <c r="U1498" i="25"/>
  <c r="V1498" i="25"/>
  <c r="T1499" i="25" a="1"/>
  <c r="T1499" i="25"/>
  <c r="U1499" i="25" a="1"/>
  <c r="U1499" i="25"/>
  <c r="V1499" i="25"/>
  <c r="T1500" i="25" a="1"/>
  <c r="T1500" i="25"/>
  <c r="U1500" i="25" a="1"/>
  <c r="U1500" i="25"/>
  <c r="V1500" i="25"/>
  <c r="T1501" i="25" a="1"/>
  <c r="T1501" i="25"/>
  <c r="U1501" i="25" a="1"/>
  <c r="U1501" i="25"/>
  <c r="V1501" i="25"/>
  <c r="T1502" i="25" a="1"/>
  <c r="T1502" i="25"/>
  <c r="U1502" i="25" a="1"/>
  <c r="U1502" i="25"/>
  <c r="V1502" i="25"/>
  <c r="T1503" i="25" a="1"/>
  <c r="T1503" i="25"/>
  <c r="U1503" i="25" a="1"/>
  <c r="U1503" i="25"/>
  <c r="V1503" i="25"/>
  <c r="T1504" i="25" a="1"/>
  <c r="T1504" i="25"/>
  <c r="U1504" i="25" a="1"/>
  <c r="U1504" i="25"/>
  <c r="V1504" i="25"/>
  <c r="T1505" i="25" a="1"/>
  <c r="T1505" i="25"/>
  <c r="U1505" i="25" a="1"/>
  <c r="U1505" i="25"/>
  <c r="V1505" i="25"/>
  <c r="T1506" i="25" a="1"/>
  <c r="T1506" i="25"/>
  <c r="U1506" i="25" a="1"/>
  <c r="U1506" i="25"/>
  <c r="V1506" i="25"/>
  <c r="T1507" i="25" a="1"/>
  <c r="T1507" i="25"/>
  <c r="U1507" i="25" a="1"/>
  <c r="U1507" i="25"/>
  <c r="V1507" i="25"/>
  <c r="T1508" i="25" a="1"/>
  <c r="T1508" i="25"/>
  <c r="U1508" i="25" a="1"/>
  <c r="U1508" i="25"/>
  <c r="V1508" i="25"/>
  <c r="T1509" i="25" a="1"/>
  <c r="T1509" i="25"/>
  <c r="U1509" i="25" a="1"/>
  <c r="U1509" i="25"/>
  <c r="V1509" i="25"/>
  <c r="T1510" i="25" a="1"/>
  <c r="T1510" i="25"/>
  <c r="U1510" i="25" a="1"/>
  <c r="U1510" i="25"/>
  <c r="V1510" i="25"/>
  <c r="T1511" i="25" a="1"/>
  <c r="T1511" i="25"/>
  <c r="U1511" i="25" a="1"/>
  <c r="U1511" i="25"/>
  <c r="V1511" i="25"/>
  <c r="T1512" i="25" a="1"/>
  <c r="T1512" i="25"/>
  <c r="U1512" i="25" a="1"/>
  <c r="U1512" i="25"/>
  <c r="V1512" i="25"/>
  <c r="T1513" i="25" a="1"/>
  <c r="T1513" i="25"/>
  <c r="U1513" i="25" a="1"/>
  <c r="U1513" i="25"/>
  <c r="V1513" i="25"/>
  <c r="T1514" i="25" a="1"/>
  <c r="T1514" i="25"/>
  <c r="U1514" i="25" a="1"/>
  <c r="U1514" i="25"/>
  <c r="V1514" i="25"/>
  <c r="T1515" i="25" a="1"/>
  <c r="T1515" i="25"/>
  <c r="U1515" i="25" a="1"/>
  <c r="U1515" i="25"/>
  <c r="V1515" i="25"/>
  <c r="T1516" i="25" a="1"/>
  <c r="T1516" i="25"/>
  <c r="U1516" i="25" a="1"/>
  <c r="U1516" i="25"/>
  <c r="V1516" i="25"/>
  <c r="T1517" i="25" a="1"/>
  <c r="T1517" i="25"/>
  <c r="U1517" i="25" a="1"/>
  <c r="U1517" i="25"/>
  <c r="V1517" i="25"/>
  <c r="T1518" i="25" a="1"/>
  <c r="T1518" i="25"/>
  <c r="U1518" i="25" a="1"/>
  <c r="U1518" i="25"/>
  <c r="V1518" i="25"/>
  <c r="T1519" i="25" a="1"/>
  <c r="T1519" i="25"/>
  <c r="U1519" i="25" a="1"/>
  <c r="U1519" i="25"/>
  <c r="V1519" i="25"/>
  <c r="T1520" i="25" a="1"/>
  <c r="T1520" i="25"/>
  <c r="U1520" i="25" a="1"/>
  <c r="U1520" i="25"/>
  <c r="V1520" i="25"/>
  <c r="T1521" i="25" a="1"/>
  <c r="T1521" i="25"/>
  <c r="U1521" i="25" a="1"/>
  <c r="U1521" i="25"/>
  <c r="V1521" i="25"/>
  <c r="T1522" i="25" a="1"/>
  <c r="T1522" i="25"/>
  <c r="U1522" i="25" a="1"/>
  <c r="U1522" i="25"/>
  <c r="V1522" i="25"/>
  <c r="T1523" i="25" a="1"/>
  <c r="T1523" i="25"/>
  <c r="U1523" i="25" a="1"/>
  <c r="U1523" i="25"/>
  <c r="V1523" i="25"/>
  <c r="T1524" i="25" a="1"/>
  <c r="T1524" i="25"/>
  <c r="U1524" i="25" a="1"/>
  <c r="U1524" i="25"/>
  <c r="V1524" i="25"/>
  <c r="T1525" i="25" a="1"/>
  <c r="T1525" i="25"/>
  <c r="U1525" i="25" a="1"/>
  <c r="U1525" i="25"/>
  <c r="V1525" i="25"/>
  <c r="T1526" i="25" a="1"/>
  <c r="T1526" i="25"/>
  <c r="U1526" i="25" a="1"/>
  <c r="U1526" i="25"/>
  <c r="V1526" i="25"/>
  <c r="T1527" i="25" a="1"/>
  <c r="T1527" i="25"/>
  <c r="U1527" i="25" a="1"/>
  <c r="U1527" i="25"/>
  <c r="V1527" i="25"/>
  <c r="T1528" i="25" a="1"/>
  <c r="T1528" i="25"/>
  <c r="U1528" i="25" a="1"/>
  <c r="U1528" i="25"/>
  <c r="V1528" i="25"/>
  <c r="T1529" i="25" a="1"/>
  <c r="T1529" i="25"/>
  <c r="U1529" i="25" a="1"/>
  <c r="U1529" i="25"/>
  <c r="V1529" i="25"/>
  <c r="T1530" i="25" a="1"/>
  <c r="T1530" i="25"/>
  <c r="U1530" i="25" a="1"/>
  <c r="U1530" i="25"/>
  <c r="V1530" i="25"/>
  <c r="T1531" i="25" a="1"/>
  <c r="T1531" i="25"/>
  <c r="U1531" i="25" a="1"/>
  <c r="U1531" i="25"/>
  <c r="V1531" i="25"/>
  <c r="T1532" i="25" a="1"/>
  <c r="T1532" i="25"/>
  <c r="U1532" i="25" a="1"/>
  <c r="U1532" i="25"/>
  <c r="V1532" i="25"/>
  <c r="T1533" i="25" a="1"/>
  <c r="T1533" i="25"/>
  <c r="U1533" i="25" a="1"/>
  <c r="U1533" i="25"/>
  <c r="V1533" i="25"/>
  <c r="T1534" i="25" a="1"/>
  <c r="T1534" i="25"/>
  <c r="U1534" i="25" a="1"/>
  <c r="U1534" i="25"/>
  <c r="V1534" i="25"/>
  <c r="T1535" i="25" a="1"/>
  <c r="T1535" i="25"/>
  <c r="U1535" i="25" a="1"/>
  <c r="U1535" i="25"/>
  <c r="V1535" i="25"/>
  <c r="T1536" i="25" a="1"/>
  <c r="T1536" i="25"/>
  <c r="U1536" i="25" a="1"/>
  <c r="U1536" i="25"/>
  <c r="V1536" i="25"/>
  <c r="T1537" i="25" a="1"/>
  <c r="T1537" i="25"/>
  <c r="U1537" i="25" a="1"/>
  <c r="U1537" i="25"/>
  <c r="V1537" i="25"/>
  <c r="T1538" i="25" a="1"/>
  <c r="T1538" i="25"/>
  <c r="U1538" i="25" a="1"/>
  <c r="U1538" i="25"/>
  <c r="V1538" i="25"/>
  <c r="T1539" i="25" a="1"/>
  <c r="T1539" i="25"/>
  <c r="U1539" i="25" a="1"/>
  <c r="U1539" i="25"/>
  <c r="V1539" i="25"/>
  <c r="T1540" i="25" a="1"/>
  <c r="T1540" i="25"/>
  <c r="U1540" i="25" a="1"/>
  <c r="U1540" i="25"/>
  <c r="V1540" i="25"/>
  <c r="T1541" i="25" a="1"/>
  <c r="T1541" i="25"/>
  <c r="U1541" i="25" a="1"/>
  <c r="U1541" i="25"/>
  <c r="V1541" i="25"/>
  <c r="T1542" i="25" a="1"/>
  <c r="T1542" i="25"/>
  <c r="U1542" i="25" a="1"/>
  <c r="U1542" i="25"/>
  <c r="V1542" i="25"/>
  <c r="T1543" i="25" a="1"/>
  <c r="T1543" i="25"/>
  <c r="U1543" i="25" a="1"/>
  <c r="U1543" i="25"/>
  <c r="V1543" i="25"/>
  <c r="T1544" i="25" a="1"/>
  <c r="T1544" i="25"/>
  <c r="U1544" i="25" a="1"/>
  <c r="U1544" i="25"/>
  <c r="V1544" i="25"/>
  <c r="T1545" i="25" a="1"/>
  <c r="T1545" i="25"/>
  <c r="U1545" i="25" a="1"/>
  <c r="U1545" i="25"/>
  <c r="V1545" i="25"/>
  <c r="T1546" i="25" a="1"/>
  <c r="T1546" i="25"/>
  <c r="U1546" i="25" a="1"/>
  <c r="U1546" i="25"/>
  <c r="V1546" i="25"/>
  <c r="T1547" i="25" a="1"/>
  <c r="T1547" i="25"/>
  <c r="U1547" i="25" a="1"/>
  <c r="U1547" i="25"/>
  <c r="V1547" i="25"/>
  <c r="T1548" i="25" a="1"/>
  <c r="T1548" i="25"/>
  <c r="U1548" i="25" a="1"/>
  <c r="U1548" i="25"/>
  <c r="V1548" i="25"/>
  <c r="T1549" i="25" a="1"/>
  <c r="T1549" i="25"/>
  <c r="U1549" i="25" a="1"/>
  <c r="U1549" i="25"/>
  <c r="V1549" i="25"/>
  <c r="T1550" i="25" a="1"/>
  <c r="T1550" i="25"/>
  <c r="U1550" i="25" a="1"/>
  <c r="U1550" i="25"/>
  <c r="V1550" i="25"/>
  <c r="T1551" i="25" a="1"/>
  <c r="T1551" i="25"/>
  <c r="U1551" i="25" a="1"/>
  <c r="U1551" i="25"/>
  <c r="V1551" i="25"/>
  <c r="T1552" i="25" a="1"/>
  <c r="T1552" i="25"/>
  <c r="U1552" i="25" a="1"/>
  <c r="U1552" i="25"/>
  <c r="V1552" i="25"/>
  <c r="T1553" i="25" a="1"/>
  <c r="T1553" i="25"/>
  <c r="U1553" i="25" a="1"/>
  <c r="U1553" i="25"/>
  <c r="V1553" i="25"/>
  <c r="T1554" i="25" a="1"/>
  <c r="T1554" i="25"/>
  <c r="U1554" i="25" a="1"/>
  <c r="U1554" i="25"/>
  <c r="V1554" i="25"/>
  <c r="T1555" i="25" a="1"/>
  <c r="T1555" i="25"/>
  <c r="U1555" i="25" a="1"/>
  <c r="U1555" i="25"/>
  <c r="V1555" i="25"/>
  <c r="T1556" i="25" a="1"/>
  <c r="T1556" i="25"/>
  <c r="U1556" i="25" a="1"/>
  <c r="U1556" i="25"/>
  <c r="V1556" i="25"/>
  <c r="T1557" i="25" a="1"/>
  <c r="T1557" i="25"/>
  <c r="U1557" i="25" a="1"/>
  <c r="U1557" i="25"/>
  <c r="V1557" i="25"/>
  <c r="T1558" i="25" a="1"/>
  <c r="T1558" i="25"/>
  <c r="U1558" i="25" a="1"/>
  <c r="U1558" i="25"/>
  <c r="V1558" i="25"/>
  <c r="T1559" i="25" a="1"/>
  <c r="T1559" i="25"/>
  <c r="U1559" i="25" a="1"/>
  <c r="U1559" i="25"/>
  <c r="V1559" i="25"/>
  <c r="T1560" i="25" a="1"/>
  <c r="T1560" i="25"/>
  <c r="U1560" i="25" a="1"/>
  <c r="U1560" i="25"/>
  <c r="V1560" i="25"/>
  <c r="T1561" i="25" a="1"/>
  <c r="T1561" i="25"/>
  <c r="U1561" i="25" a="1"/>
  <c r="U1561" i="25"/>
  <c r="V1561" i="25"/>
  <c r="T1562" i="25" a="1"/>
  <c r="T1562" i="25"/>
  <c r="U1562" i="25" a="1"/>
  <c r="U1562" i="25"/>
  <c r="V1562" i="25"/>
  <c r="T1563" i="25" a="1"/>
  <c r="T1563" i="25"/>
  <c r="U1563" i="25" a="1"/>
  <c r="U1563" i="25"/>
  <c r="V1563" i="25"/>
  <c r="T1564" i="25" a="1"/>
  <c r="T1564" i="25"/>
  <c r="U1564" i="25" a="1"/>
  <c r="U1564" i="25"/>
  <c r="V1564" i="25"/>
  <c r="T1565" i="25" a="1"/>
  <c r="T1565" i="25"/>
  <c r="U1565" i="25" a="1"/>
  <c r="U1565" i="25"/>
  <c r="V1565" i="25"/>
  <c r="T1566" i="25" a="1"/>
  <c r="T1566" i="25"/>
  <c r="U1566" i="25" a="1"/>
  <c r="U1566" i="25"/>
  <c r="V1566" i="25"/>
  <c r="T1567" i="25" a="1"/>
  <c r="T1567" i="25"/>
  <c r="U1567" i="25" a="1"/>
  <c r="U1567" i="25"/>
  <c r="V1567" i="25"/>
  <c r="T1568" i="25" a="1"/>
  <c r="T1568" i="25"/>
  <c r="U1568" i="25" a="1"/>
  <c r="U1568" i="25"/>
  <c r="V1568" i="25"/>
  <c r="T1569" i="25" a="1"/>
  <c r="T1569" i="25"/>
  <c r="U1569" i="25" a="1"/>
  <c r="U1569" i="25"/>
  <c r="V1569" i="25"/>
  <c r="T1570" i="25" a="1"/>
  <c r="T1570" i="25"/>
  <c r="U1570" i="25" a="1"/>
  <c r="U1570" i="25"/>
  <c r="V1570" i="25"/>
  <c r="T1571" i="25" a="1"/>
  <c r="T1571" i="25"/>
  <c r="U1571" i="25" a="1"/>
  <c r="U1571" i="25"/>
  <c r="V1571" i="25"/>
  <c r="T1572" i="25" a="1"/>
  <c r="T1572" i="25"/>
  <c r="U1572" i="25" a="1"/>
  <c r="U1572" i="25"/>
  <c r="V1572" i="25"/>
  <c r="T1573" i="25" a="1"/>
  <c r="T1573" i="25"/>
  <c r="U1573" i="25" a="1"/>
  <c r="U1573" i="25"/>
  <c r="V1573" i="25"/>
  <c r="T1574" i="25" a="1"/>
  <c r="T1574" i="25"/>
  <c r="U1574" i="25" a="1"/>
  <c r="U1574" i="25"/>
  <c r="V1574" i="25"/>
  <c r="T1575" i="25" a="1"/>
  <c r="T1575" i="25"/>
  <c r="U1575" i="25" a="1"/>
  <c r="U1575" i="25"/>
  <c r="V1575" i="25"/>
  <c r="T1576" i="25" a="1"/>
  <c r="T1576" i="25"/>
  <c r="U1576" i="25" a="1"/>
  <c r="U1576" i="25"/>
  <c r="V1576" i="25"/>
  <c r="T1577" i="25" a="1"/>
  <c r="T1577" i="25"/>
  <c r="U1577" i="25" a="1"/>
  <c r="U1577" i="25"/>
  <c r="V1577" i="25"/>
  <c r="T1578" i="25" a="1"/>
  <c r="T1578" i="25"/>
  <c r="U1578" i="25" a="1"/>
  <c r="U1578" i="25"/>
  <c r="V1578" i="25"/>
  <c r="T1579" i="25" a="1"/>
  <c r="T1579" i="25"/>
  <c r="U1579" i="25" a="1"/>
  <c r="U1579" i="25"/>
  <c r="V1579" i="25"/>
  <c r="T1580" i="25" a="1"/>
  <c r="T1580" i="25"/>
  <c r="U1580" i="25" a="1"/>
  <c r="U1580" i="25"/>
  <c r="V1580" i="25"/>
  <c r="T1581" i="25" a="1"/>
  <c r="T1581" i="25"/>
  <c r="U1581" i="25" a="1"/>
  <c r="U1581" i="25"/>
  <c r="V1581" i="25"/>
  <c r="T1582" i="25" a="1"/>
  <c r="T1582" i="25"/>
  <c r="U1582" i="25" a="1"/>
  <c r="U1582" i="25"/>
  <c r="V1582" i="25"/>
  <c r="T1583" i="25" a="1"/>
  <c r="T1583" i="25"/>
  <c r="U1583" i="25" a="1"/>
  <c r="U1583" i="25"/>
  <c r="V1583" i="25"/>
  <c r="T1584" i="25" a="1"/>
  <c r="T1584" i="25"/>
  <c r="U1584" i="25" a="1"/>
  <c r="U1584" i="25"/>
  <c r="V1584" i="25"/>
  <c r="T1585" i="25" a="1"/>
  <c r="T1585" i="25"/>
  <c r="U1585" i="25" a="1"/>
  <c r="U1585" i="25"/>
  <c r="V1585" i="25"/>
  <c r="T1586" i="25" a="1"/>
  <c r="T1586" i="25"/>
  <c r="U1586" i="25" a="1"/>
  <c r="U1586" i="25"/>
  <c r="V1586" i="25"/>
  <c r="T1587" i="25" a="1"/>
  <c r="T1587" i="25"/>
  <c r="U1587" i="25" a="1"/>
  <c r="U1587" i="25"/>
  <c r="V1587" i="25"/>
  <c r="T1588" i="25" a="1"/>
  <c r="T1588" i="25"/>
  <c r="U1588" i="25" a="1"/>
  <c r="U1588" i="25"/>
  <c r="V1588" i="25"/>
  <c r="T1589" i="25" a="1"/>
  <c r="T1589" i="25"/>
  <c r="U1589" i="25" a="1"/>
  <c r="U1589" i="25"/>
  <c r="V1589" i="25"/>
  <c r="T1590" i="25" a="1"/>
  <c r="T1590" i="25"/>
  <c r="U1590" i="25" a="1"/>
  <c r="U1590" i="25"/>
  <c r="V1590" i="25"/>
  <c r="T1591" i="25" a="1"/>
  <c r="T1591" i="25"/>
  <c r="U1591" i="25" a="1"/>
  <c r="U1591" i="25"/>
  <c r="V1591" i="25"/>
  <c r="T1592" i="25" a="1"/>
  <c r="T1592" i="25"/>
  <c r="U1592" i="25" a="1"/>
  <c r="U1592" i="25"/>
  <c r="V1592" i="25"/>
  <c r="T1593" i="25" a="1"/>
  <c r="T1593" i="25"/>
  <c r="U1593" i="25" a="1"/>
  <c r="U1593" i="25"/>
  <c r="V1593" i="25"/>
  <c r="T1594" i="25" a="1"/>
  <c r="T1594" i="25"/>
  <c r="U1594" i="25" a="1"/>
  <c r="U1594" i="25"/>
  <c r="V1594" i="25"/>
  <c r="T1595" i="25" a="1"/>
  <c r="T1595" i="25"/>
  <c r="U1595" i="25" a="1"/>
  <c r="U1595" i="25"/>
  <c r="V1595" i="25"/>
  <c r="T1596" i="25" a="1"/>
  <c r="T1596" i="25"/>
  <c r="U1596" i="25" a="1"/>
  <c r="U1596" i="25"/>
  <c r="V1596" i="25"/>
  <c r="T1597" i="25" a="1"/>
  <c r="T1597" i="25"/>
  <c r="U1597" i="25" a="1"/>
  <c r="U1597" i="25"/>
  <c r="V1597" i="25"/>
  <c r="T1598" i="25" a="1"/>
  <c r="T1598" i="25"/>
  <c r="U1598" i="25" a="1"/>
  <c r="U1598" i="25"/>
  <c r="V1598" i="25"/>
  <c r="T1599" i="25" a="1"/>
  <c r="T1599" i="25"/>
  <c r="U1599" i="25" a="1"/>
  <c r="U1599" i="25"/>
  <c r="V1599" i="25"/>
  <c r="T1600" i="25" a="1"/>
  <c r="T1600" i="25"/>
  <c r="U1600" i="25" a="1"/>
  <c r="U1600" i="25"/>
  <c r="V1600" i="25"/>
  <c r="T1601" i="25" a="1"/>
  <c r="T1601" i="25"/>
  <c r="U1601" i="25" a="1"/>
  <c r="U1601" i="25"/>
  <c r="V1601" i="25"/>
  <c r="T1602" i="25" a="1"/>
  <c r="T1602" i="25"/>
  <c r="U1602" i="25" a="1"/>
  <c r="U1602" i="25"/>
  <c r="V1602" i="25"/>
  <c r="T1603" i="25" a="1"/>
  <c r="T1603" i="25"/>
  <c r="U1603" i="25" a="1"/>
  <c r="U1603" i="25"/>
  <c r="V1603" i="25"/>
  <c r="T1604" i="25" a="1"/>
  <c r="T1604" i="25"/>
  <c r="U1604" i="25" a="1"/>
  <c r="U1604" i="25"/>
  <c r="V1604" i="25"/>
  <c r="T1605" i="25" a="1"/>
  <c r="T1605" i="25"/>
  <c r="U1605" i="25" a="1"/>
  <c r="U1605" i="25"/>
  <c r="V1605" i="25"/>
  <c r="T1606" i="25" a="1"/>
  <c r="T1606" i="25"/>
  <c r="U1606" i="25" a="1"/>
  <c r="U1606" i="25"/>
  <c r="V1606" i="25"/>
  <c r="T1607" i="25" a="1"/>
  <c r="T1607" i="25"/>
  <c r="U1607" i="25" a="1"/>
  <c r="U1607" i="25"/>
  <c r="V1607" i="25"/>
  <c r="T1608" i="25" a="1"/>
  <c r="T1608" i="25"/>
  <c r="U1608" i="25" a="1"/>
  <c r="U1608" i="25"/>
  <c r="V1608" i="25"/>
  <c r="T1609" i="25" a="1"/>
  <c r="T1609" i="25"/>
  <c r="U1609" i="25" a="1"/>
  <c r="U1609" i="25"/>
  <c r="V1609" i="25"/>
  <c r="T1610" i="25" a="1"/>
  <c r="T1610" i="25"/>
  <c r="U1610" i="25" a="1"/>
  <c r="U1610" i="25"/>
  <c r="V1610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AA256" i="25"/>
  <c r="W256" i="25"/>
  <c r="AC256" i="25"/>
  <c r="Y257" i="25"/>
  <c r="AA257" i="25"/>
  <c r="W257" i="25"/>
  <c r="AC257" i="25"/>
  <c r="Y258" i="25"/>
  <c r="AA258" i="25"/>
  <c r="W258" i="25"/>
  <c r="AC258" i="25"/>
  <c r="Y259" i="25"/>
  <c r="AA259" i="25"/>
  <c r="W259" i="25"/>
  <c r="AC259" i="25"/>
  <c r="Y260" i="25"/>
  <c r="AA260" i="25"/>
  <c r="W260" i="25"/>
  <c r="AC260" i="25"/>
  <c r="Y261" i="25"/>
  <c r="AA261" i="25"/>
  <c r="W261" i="25"/>
  <c r="AC261" i="25"/>
  <c r="Y262" i="25"/>
  <c r="AA262" i="25"/>
  <c r="W262" i="25"/>
  <c r="AC262" i="25"/>
  <c r="Y263" i="25"/>
  <c r="AA263" i="25"/>
  <c r="W263" i="25"/>
  <c r="AC263" i="25"/>
  <c r="Y264" i="25"/>
  <c r="AA264" i="25"/>
  <c r="W264" i="25"/>
  <c r="AC264" i="25"/>
  <c r="Y265" i="25"/>
  <c r="AA265" i="25"/>
  <c r="W265" i="25"/>
  <c r="AC265" i="25"/>
  <c r="Y266" i="25"/>
  <c r="AA266" i="25"/>
  <c r="W266" i="25"/>
  <c r="AC266" i="25"/>
  <c r="Y267" i="25"/>
  <c r="AA267" i="25"/>
  <c r="W267" i="25"/>
  <c r="AC267" i="25"/>
  <c r="Y268" i="25"/>
  <c r="AA268" i="25"/>
  <c r="W268" i="25"/>
  <c r="AC268" i="25"/>
  <c r="Y269" i="25"/>
  <c r="AA269" i="25"/>
  <c r="W269" i="25"/>
  <c r="AC269" i="25"/>
  <c r="Y270" i="25"/>
  <c r="AA270" i="25"/>
  <c r="W270" i="25"/>
  <c r="AC270" i="25"/>
  <c r="Y271" i="25"/>
  <c r="AA271" i="25"/>
  <c r="W271" i="25"/>
  <c r="AC271" i="25"/>
  <c r="Y272" i="25"/>
  <c r="AA272" i="25"/>
  <c r="W272" i="25"/>
  <c r="AC272" i="25"/>
  <c r="Y273" i="25"/>
  <c r="AA273" i="25"/>
  <c r="W273" i="25"/>
  <c r="AC273" i="25"/>
  <c r="Y274" i="25"/>
  <c r="AA274" i="25"/>
  <c r="W274" i="25"/>
  <c r="AC274" i="25"/>
  <c r="Y275" i="25"/>
  <c r="AA275" i="25"/>
  <c r="W275" i="25"/>
  <c r="AC275" i="25"/>
  <c r="Y276" i="25"/>
  <c r="AA276" i="25"/>
  <c r="W276" i="25"/>
  <c r="AC276" i="25"/>
  <c r="Y277" i="25"/>
  <c r="AA277" i="25"/>
  <c r="W277" i="25"/>
  <c r="AC277" i="25"/>
  <c r="Y278" i="25"/>
  <c r="AA278" i="25"/>
  <c r="W278" i="25"/>
  <c r="AC278" i="25"/>
  <c r="Y279" i="25"/>
  <c r="AA279" i="25"/>
  <c r="W279" i="25"/>
  <c r="AC279" i="25"/>
  <c r="Y280" i="25"/>
  <c r="AA280" i="25"/>
  <c r="W280" i="25"/>
  <c r="AC280" i="25"/>
  <c r="Y281" i="25"/>
  <c r="AA281" i="25"/>
  <c r="W281" i="25"/>
  <c r="AC281" i="25"/>
  <c r="Y282" i="25"/>
  <c r="AA282" i="25"/>
  <c r="W282" i="25"/>
  <c r="AC282" i="25"/>
  <c r="Y283" i="25"/>
  <c r="AA283" i="25"/>
  <c r="W283" i="25"/>
  <c r="AC283" i="25"/>
  <c r="Y284" i="25"/>
  <c r="AA284" i="25"/>
  <c r="W284" i="25"/>
  <c r="AC284" i="25"/>
  <c r="Y285" i="25"/>
  <c r="AA285" i="25"/>
  <c r="W285" i="25"/>
  <c r="AC285" i="25"/>
  <c r="Y286" i="25"/>
  <c r="AA286" i="25"/>
  <c r="W286" i="25"/>
  <c r="AC286" i="25"/>
  <c r="Y287" i="25"/>
  <c r="AA287" i="25"/>
  <c r="W287" i="25"/>
  <c r="AC287" i="25"/>
  <c r="Y288" i="25"/>
  <c r="AA288" i="25"/>
  <c r="W288" i="25"/>
  <c r="AC288" i="25"/>
  <c r="Y289" i="25"/>
  <c r="AA289" i="25"/>
  <c r="W289" i="25"/>
  <c r="AC289" i="25"/>
  <c r="Y290" i="25"/>
  <c r="AA290" i="25"/>
  <c r="W290" i="25"/>
  <c r="AC290" i="25"/>
  <c r="Y291" i="25"/>
  <c r="AA291" i="25"/>
  <c r="W291" i="25"/>
  <c r="AC291" i="25"/>
  <c r="Y292" i="25"/>
  <c r="AA292" i="25"/>
  <c r="W292" i="25"/>
  <c r="AC292" i="25"/>
  <c r="Y293" i="25"/>
  <c r="AA293" i="25"/>
  <c r="W293" i="25"/>
  <c r="AC293" i="25"/>
  <c r="Y294" i="25"/>
  <c r="AA294" i="25"/>
  <c r="W294" i="25"/>
  <c r="AC294" i="25"/>
  <c r="Y295" i="25"/>
  <c r="AA295" i="25"/>
  <c r="W295" i="25"/>
  <c r="AC295" i="25"/>
  <c r="Y296" i="25"/>
  <c r="AA296" i="25"/>
  <c r="W296" i="25"/>
  <c r="AC296" i="25"/>
  <c r="Y297" i="25"/>
  <c r="AA297" i="25"/>
  <c r="W297" i="25"/>
  <c r="AC297" i="25"/>
  <c r="Y298" i="25"/>
  <c r="AA298" i="25"/>
  <c r="W298" i="25"/>
  <c r="AC298" i="25"/>
  <c r="Y299" i="25"/>
  <c r="AA299" i="25"/>
  <c r="W299" i="25"/>
  <c r="AC299" i="25"/>
  <c r="Y300" i="25"/>
  <c r="AA300" i="25"/>
  <c r="W300" i="25"/>
  <c r="AC300" i="25"/>
  <c r="Y301" i="25"/>
  <c r="AA301" i="25"/>
  <c r="W301" i="25"/>
  <c r="AC301" i="25"/>
  <c r="Y302" i="25"/>
  <c r="AA302" i="25"/>
  <c r="W302" i="25"/>
  <c r="AC302" i="25"/>
  <c r="Y303" i="25"/>
  <c r="AA303" i="25"/>
  <c r="W303" i="25"/>
  <c r="AC303" i="25"/>
  <c r="Y304" i="25"/>
  <c r="AA304" i="25"/>
  <c r="W304" i="25"/>
  <c r="AC304" i="25"/>
  <c r="Y305" i="25"/>
  <c r="AA305" i="25"/>
  <c r="W305" i="25"/>
  <c r="AC305" i="25"/>
  <c r="Y306" i="25"/>
  <c r="AA306" i="25"/>
  <c r="W306" i="25"/>
  <c r="AC306" i="25"/>
  <c r="Y307" i="25"/>
  <c r="AA307" i="25"/>
  <c r="W307" i="25"/>
  <c r="AC307" i="25"/>
  <c r="Y308" i="25"/>
  <c r="AA308" i="25"/>
  <c r="W308" i="25"/>
  <c r="AC308" i="25"/>
  <c r="Y309" i="25"/>
  <c r="AA309" i="25"/>
  <c r="W309" i="25"/>
  <c r="AC309" i="25"/>
  <c r="Y310" i="25"/>
  <c r="AA310" i="25"/>
  <c r="W310" i="25"/>
  <c r="AC310" i="25"/>
  <c r="Y311" i="25"/>
  <c r="AA311" i="25"/>
  <c r="W311" i="25"/>
  <c r="AC311" i="25"/>
  <c r="Y312" i="25"/>
  <c r="AA312" i="25"/>
  <c r="W312" i="25"/>
  <c r="AC312" i="25"/>
  <c r="Y313" i="25"/>
  <c r="AA313" i="25"/>
  <c r="W313" i="25"/>
  <c r="AC313" i="25"/>
  <c r="Y314" i="25"/>
  <c r="AA314" i="25"/>
  <c r="W314" i="25"/>
  <c r="AC314" i="25"/>
  <c r="Y315" i="25"/>
  <c r="AA315" i="25"/>
  <c r="W315" i="25"/>
  <c r="AC315" i="25"/>
  <c r="Y316" i="25"/>
  <c r="AA316" i="25"/>
  <c r="W316" i="25"/>
  <c r="AC316" i="25"/>
  <c r="Y317" i="25"/>
  <c r="AA317" i="25"/>
  <c r="W317" i="25"/>
  <c r="AC317" i="25"/>
  <c r="Y318" i="25"/>
  <c r="AA318" i="25"/>
  <c r="W318" i="25"/>
  <c r="AC318" i="25"/>
  <c r="Y319" i="25"/>
  <c r="AA319" i="25"/>
  <c r="W319" i="25"/>
  <c r="AC319" i="25"/>
  <c r="Y320" i="25"/>
  <c r="AA320" i="25"/>
  <c r="W320" i="25"/>
  <c r="AC320" i="25"/>
  <c r="Y321" i="25"/>
  <c r="AA321" i="25"/>
  <c r="W321" i="25"/>
  <c r="AC321" i="25"/>
  <c r="Y322" i="25"/>
  <c r="AA322" i="25"/>
  <c r="W322" i="25"/>
  <c r="AC322" i="25"/>
  <c r="Y323" i="25"/>
  <c r="AA323" i="25"/>
  <c r="W323" i="25"/>
  <c r="AC323" i="25"/>
  <c r="Y324" i="25"/>
  <c r="AA324" i="25"/>
  <c r="W324" i="25"/>
  <c r="AC324" i="25"/>
  <c r="Y325" i="25"/>
  <c r="AA325" i="25"/>
  <c r="W325" i="25"/>
  <c r="AC325" i="25"/>
  <c r="Y326" i="25"/>
  <c r="AA326" i="25"/>
  <c r="W326" i="25"/>
  <c r="AC326" i="25"/>
  <c r="Y327" i="25"/>
  <c r="AA327" i="25"/>
  <c r="W327" i="25"/>
  <c r="AC327" i="25"/>
  <c r="Y328" i="25"/>
  <c r="AA328" i="25"/>
  <c r="W328" i="25"/>
  <c r="AC328" i="25"/>
  <c r="Y329" i="25"/>
  <c r="AA329" i="25"/>
  <c r="W329" i="25"/>
  <c r="AC329" i="25"/>
  <c r="Y330" i="25"/>
  <c r="AA330" i="25"/>
  <c r="W330" i="25"/>
  <c r="AC330" i="25"/>
  <c r="Y331" i="25"/>
  <c r="AA331" i="25"/>
  <c r="W331" i="25"/>
  <c r="AC331" i="25"/>
  <c r="Y332" i="25"/>
  <c r="AA332" i="25"/>
  <c r="W332" i="25"/>
  <c r="AC332" i="25"/>
  <c r="Y333" i="25"/>
  <c r="AA333" i="25"/>
  <c r="W333" i="25"/>
  <c r="AC333" i="25"/>
  <c r="Y334" i="25"/>
  <c r="AA334" i="25"/>
  <c r="W334" i="25"/>
  <c r="AC334" i="25"/>
  <c r="Y335" i="25"/>
  <c r="AA335" i="25"/>
  <c r="W335" i="25"/>
  <c r="AC335" i="25"/>
  <c r="Y336" i="25"/>
  <c r="AA336" i="25"/>
  <c r="W336" i="25"/>
  <c r="AC336" i="25"/>
  <c r="Y337" i="25"/>
  <c r="AA337" i="25"/>
  <c r="W337" i="25"/>
  <c r="AC337" i="25"/>
  <c r="Y338" i="25"/>
  <c r="AA338" i="25"/>
  <c r="W338" i="25"/>
  <c r="AC338" i="25"/>
  <c r="Y339" i="25"/>
  <c r="AA339" i="25"/>
  <c r="W339" i="25"/>
  <c r="AC339" i="25"/>
  <c r="Y340" i="25"/>
  <c r="AA340" i="25"/>
  <c r="W340" i="25"/>
  <c r="AC340" i="25"/>
  <c r="Y341" i="25"/>
  <c r="AA341" i="25"/>
  <c r="W341" i="25"/>
  <c r="AC341" i="25"/>
  <c r="Y342" i="25"/>
  <c r="AA342" i="25"/>
  <c r="W342" i="25"/>
  <c r="AC342" i="25"/>
  <c r="Y343" i="25"/>
  <c r="AA343" i="25"/>
  <c r="W343" i="25"/>
  <c r="AC343" i="25"/>
  <c r="Y344" i="25"/>
  <c r="AA344" i="25"/>
  <c r="W344" i="25"/>
  <c r="AC344" i="25"/>
  <c r="Y345" i="25"/>
  <c r="AA345" i="25"/>
  <c r="W345" i="25"/>
  <c r="AC345" i="25"/>
  <c r="Y346" i="25"/>
  <c r="AA346" i="25"/>
  <c r="W346" i="25"/>
  <c r="AC346" i="25"/>
  <c r="Y347" i="25"/>
  <c r="AA347" i="25"/>
  <c r="W347" i="25"/>
  <c r="AC347" i="25"/>
  <c r="Y348" i="25"/>
  <c r="AA348" i="25"/>
  <c r="W348" i="25"/>
  <c r="AC348" i="25"/>
  <c r="Y349" i="25"/>
  <c r="AA349" i="25"/>
  <c r="W349" i="25"/>
  <c r="AC349" i="25"/>
  <c r="Y350" i="25"/>
  <c r="AA350" i="25"/>
  <c r="W350" i="25"/>
  <c r="AC350" i="25"/>
  <c r="Y351" i="25"/>
  <c r="AA351" i="25"/>
  <c r="W351" i="25"/>
  <c r="AC351" i="25"/>
  <c r="Y352" i="25"/>
  <c r="AA352" i="25"/>
  <c r="W352" i="25"/>
  <c r="AC352" i="25"/>
  <c r="Y353" i="25"/>
  <c r="AA353" i="25"/>
  <c r="W353" i="25"/>
  <c r="AC353" i="25"/>
  <c r="Y354" i="25"/>
  <c r="AA354" i="25"/>
  <c r="W354" i="25"/>
  <c r="AC354" i="25"/>
  <c r="Y355" i="25"/>
  <c r="AA355" i="25"/>
  <c r="W355" i="25"/>
  <c r="AC355" i="25"/>
  <c r="Y356" i="25"/>
  <c r="AA356" i="25"/>
  <c r="W356" i="25"/>
  <c r="AC356" i="25"/>
  <c r="Y357" i="25"/>
  <c r="AA357" i="25"/>
  <c r="W357" i="25"/>
  <c r="AC357" i="25"/>
  <c r="Y358" i="25"/>
  <c r="AA358" i="25"/>
  <c r="W358" i="25"/>
  <c r="AC358" i="25"/>
  <c r="Y359" i="25"/>
  <c r="AA359" i="25"/>
  <c r="W359" i="25"/>
  <c r="AC359" i="25"/>
  <c r="Y360" i="25"/>
  <c r="AA360" i="25"/>
  <c r="W360" i="25"/>
  <c r="AC360" i="25"/>
  <c r="Y361" i="25"/>
  <c r="AA361" i="25"/>
  <c r="W361" i="25"/>
  <c r="AC361" i="25"/>
  <c r="Y362" i="25"/>
  <c r="AA362" i="25"/>
  <c r="W362" i="25"/>
  <c r="AC362" i="25"/>
  <c r="Y363" i="25"/>
  <c r="AA363" i="25"/>
  <c r="W363" i="25"/>
  <c r="AC363" i="25"/>
  <c r="Y364" i="25"/>
  <c r="AA364" i="25"/>
  <c r="W364" i="25"/>
  <c r="AC364" i="25"/>
  <c r="Y365" i="25"/>
  <c r="AA365" i="25"/>
  <c r="W365" i="25"/>
  <c r="AC365" i="25"/>
  <c r="Y366" i="25"/>
  <c r="AA366" i="25"/>
  <c r="W366" i="25"/>
  <c r="AC366" i="25"/>
  <c r="Y367" i="25"/>
  <c r="AA367" i="25"/>
  <c r="W367" i="25"/>
  <c r="AC367" i="25"/>
  <c r="Y368" i="25"/>
  <c r="AA368" i="25"/>
  <c r="W368" i="25"/>
  <c r="AC368" i="25"/>
  <c r="Y369" i="25"/>
  <c r="AA369" i="25"/>
  <c r="W369" i="25"/>
  <c r="AC369" i="25"/>
  <c r="Y370" i="25"/>
  <c r="AA370" i="25"/>
  <c r="W370" i="25"/>
  <c r="AC370" i="25"/>
  <c r="Y371" i="25"/>
  <c r="AA371" i="25"/>
  <c r="W371" i="25"/>
  <c r="AC371" i="25"/>
  <c r="Y372" i="25"/>
  <c r="AA372" i="25"/>
  <c r="W372" i="25"/>
  <c r="AC372" i="25"/>
  <c r="Y373" i="25"/>
  <c r="AA373" i="25"/>
  <c r="W373" i="25"/>
  <c r="AC373" i="25"/>
  <c r="Y374" i="25"/>
  <c r="AA374" i="25"/>
  <c r="W374" i="25"/>
  <c r="AC374" i="25"/>
  <c r="Y375" i="25"/>
  <c r="AA375" i="25"/>
  <c r="W375" i="25"/>
  <c r="AC375" i="25"/>
  <c r="Y376" i="25"/>
  <c r="AA376" i="25"/>
  <c r="W376" i="25"/>
  <c r="AC376" i="25"/>
  <c r="Y377" i="25"/>
  <c r="AA377" i="25"/>
  <c r="W377" i="25"/>
  <c r="AC377" i="25"/>
  <c r="Y378" i="25"/>
  <c r="AA378" i="25"/>
  <c r="W378" i="25"/>
  <c r="AC378" i="25"/>
  <c r="Y379" i="25"/>
  <c r="AA379" i="25"/>
  <c r="W379" i="25"/>
  <c r="AC379" i="25"/>
  <c r="Y380" i="25"/>
  <c r="AA380" i="25"/>
  <c r="W380" i="25"/>
  <c r="AC380" i="25"/>
  <c r="Y381" i="25"/>
  <c r="AA381" i="25"/>
  <c r="W381" i="25"/>
  <c r="AC381" i="25"/>
  <c r="Y382" i="25"/>
  <c r="AA382" i="25"/>
  <c r="W382" i="25"/>
  <c r="AC382" i="25"/>
  <c r="Y383" i="25"/>
  <c r="AA383" i="25"/>
  <c r="W383" i="25"/>
  <c r="AC383" i="25"/>
  <c r="Y384" i="25"/>
  <c r="AA384" i="25"/>
  <c r="W384" i="25"/>
  <c r="AC384" i="25"/>
  <c r="Y385" i="25"/>
  <c r="AA385" i="25"/>
  <c r="W385" i="25"/>
  <c r="AC385" i="25"/>
  <c r="Y386" i="25"/>
  <c r="AA386" i="25"/>
  <c r="W386" i="25"/>
  <c r="AC386" i="25"/>
  <c r="Y387" i="25"/>
  <c r="AA387" i="25"/>
  <c r="W387" i="25"/>
  <c r="AC387" i="25"/>
  <c r="Y388" i="25"/>
  <c r="AA388" i="25"/>
  <c r="W388" i="25"/>
  <c r="AC388" i="25"/>
  <c r="Y389" i="25"/>
  <c r="AA389" i="25"/>
  <c r="W389" i="25"/>
  <c r="AC389" i="25"/>
  <c r="Y390" i="25"/>
  <c r="AA390" i="25"/>
  <c r="W390" i="25"/>
  <c r="AC390" i="25"/>
  <c r="Y391" i="25"/>
  <c r="AA391" i="25"/>
  <c r="W391" i="25"/>
  <c r="AC391" i="25"/>
  <c r="Y392" i="25"/>
  <c r="AA392" i="25"/>
  <c r="W392" i="25"/>
  <c r="AC392" i="25"/>
  <c r="Y393" i="25"/>
  <c r="AA393" i="25"/>
  <c r="W393" i="25"/>
  <c r="AC393" i="25"/>
  <c r="Y394" i="25"/>
  <c r="AA394" i="25"/>
  <c r="W394" i="25"/>
  <c r="AC394" i="25"/>
  <c r="Y395" i="25"/>
  <c r="AA395" i="25"/>
  <c r="W395" i="25"/>
  <c r="AC395" i="25"/>
  <c r="Y396" i="25"/>
  <c r="AA396" i="25"/>
  <c r="W396" i="25"/>
  <c r="AC396" i="25"/>
  <c r="Y397" i="25"/>
  <c r="AA397" i="25"/>
  <c r="W397" i="25"/>
  <c r="AC397" i="25"/>
  <c r="Y398" i="25"/>
  <c r="AA398" i="25"/>
  <c r="W398" i="25"/>
  <c r="AC398" i="25"/>
  <c r="Y399" i="25"/>
  <c r="AA399" i="25"/>
  <c r="W399" i="25"/>
  <c r="AC399" i="25"/>
  <c r="Y400" i="25"/>
  <c r="AA400" i="25"/>
  <c r="W400" i="25"/>
  <c r="AC400" i="25"/>
  <c r="Y401" i="25"/>
  <c r="AA401" i="25"/>
  <c r="W401" i="25"/>
  <c r="AC401" i="25"/>
  <c r="Y402" i="25"/>
  <c r="AA402" i="25"/>
  <c r="W402" i="25"/>
  <c r="AC402" i="25"/>
  <c r="Y403" i="25"/>
  <c r="AA403" i="25"/>
  <c r="W403" i="25"/>
  <c r="AC403" i="25"/>
  <c r="Y404" i="25"/>
  <c r="AA404" i="25"/>
  <c r="W404" i="25"/>
  <c r="AC404" i="25"/>
  <c r="Y405" i="25"/>
  <c r="AA405" i="25"/>
  <c r="W405" i="25"/>
  <c r="AC405" i="25"/>
  <c r="Y406" i="25"/>
  <c r="AA406" i="25"/>
  <c r="W406" i="25"/>
  <c r="AC406" i="25"/>
  <c r="Y407" i="25"/>
  <c r="AA407" i="25"/>
  <c r="W407" i="25"/>
  <c r="AC407" i="25"/>
  <c r="Y408" i="25"/>
  <c r="AA408" i="25"/>
  <c r="W408" i="25"/>
  <c r="AC408" i="25"/>
  <c r="Y409" i="25"/>
  <c r="AA409" i="25"/>
  <c r="W409" i="25"/>
  <c r="AC409" i="25"/>
  <c r="Y410" i="25"/>
  <c r="AA410" i="25"/>
  <c r="W410" i="25"/>
  <c r="AC410" i="25"/>
  <c r="Y411" i="25"/>
  <c r="AA411" i="25"/>
  <c r="W411" i="25"/>
  <c r="AC411" i="25"/>
  <c r="Y412" i="25"/>
  <c r="AA412" i="25"/>
  <c r="W412" i="25"/>
  <c r="AC412" i="25"/>
  <c r="Y413" i="25"/>
  <c r="AA413" i="25"/>
  <c r="W413" i="25"/>
  <c r="AC413" i="25"/>
  <c r="Y414" i="25"/>
  <c r="AA414" i="25"/>
  <c r="W414" i="25"/>
  <c r="AC414" i="25"/>
  <c r="Y415" i="25"/>
  <c r="AA415" i="25"/>
  <c r="W415" i="25"/>
  <c r="AC415" i="25"/>
  <c r="Y416" i="25"/>
  <c r="AA416" i="25"/>
  <c r="W416" i="25"/>
  <c r="AC416" i="25"/>
  <c r="Y417" i="25"/>
  <c r="AA417" i="25"/>
  <c r="W417" i="25"/>
  <c r="AC417" i="25"/>
  <c r="Y418" i="25"/>
  <c r="AA418" i="25"/>
  <c r="W418" i="25"/>
  <c r="AC418" i="25"/>
  <c r="Y419" i="25"/>
  <c r="AA419" i="25"/>
  <c r="W419" i="25"/>
  <c r="AC419" i="25"/>
  <c r="Y420" i="25"/>
  <c r="AA420" i="25"/>
  <c r="W420" i="25"/>
  <c r="AC420" i="25"/>
  <c r="Y421" i="25"/>
  <c r="AA421" i="25"/>
  <c r="W421" i="25"/>
  <c r="AC421" i="25"/>
  <c r="Y422" i="25"/>
  <c r="AA422" i="25"/>
  <c r="W422" i="25"/>
  <c r="AC422" i="25"/>
  <c r="Y423" i="25"/>
  <c r="AA423" i="25"/>
  <c r="W423" i="25"/>
  <c r="AC423" i="25"/>
  <c r="Y424" i="25"/>
  <c r="AA424" i="25"/>
  <c r="W424" i="25"/>
  <c r="AC424" i="25"/>
  <c r="Y425" i="25"/>
  <c r="AA425" i="25"/>
  <c r="W425" i="25"/>
  <c r="AC425" i="25"/>
  <c r="Y426" i="25"/>
  <c r="AA426" i="25"/>
  <c r="W426" i="25"/>
  <c r="AC426" i="25"/>
  <c r="Y427" i="25"/>
  <c r="AA427" i="25"/>
  <c r="W427" i="25"/>
  <c r="AC427" i="25"/>
  <c r="Y428" i="25"/>
  <c r="AA428" i="25"/>
  <c r="W428" i="25"/>
  <c r="AC428" i="25"/>
  <c r="Y429" i="25"/>
  <c r="AA429" i="25"/>
  <c r="W429" i="25"/>
  <c r="AC429" i="25"/>
  <c r="Y430" i="25"/>
  <c r="AA430" i="25"/>
  <c r="W430" i="25"/>
  <c r="AC430" i="25"/>
  <c r="Y431" i="25"/>
  <c r="AA431" i="25"/>
  <c r="W431" i="25"/>
  <c r="AC431" i="25"/>
  <c r="Y432" i="25"/>
  <c r="AA432" i="25"/>
  <c r="W432" i="25"/>
  <c r="AC432" i="25"/>
  <c r="Y433" i="25"/>
  <c r="AA433" i="25"/>
  <c r="W433" i="25"/>
  <c r="AC433" i="25"/>
  <c r="Y434" i="25"/>
  <c r="AA434" i="25"/>
  <c r="W434" i="25"/>
  <c r="AC434" i="25"/>
  <c r="Y435" i="25"/>
  <c r="AA435" i="25"/>
  <c r="W435" i="25"/>
  <c r="AC435" i="25"/>
  <c r="Y436" i="25"/>
  <c r="AA436" i="25"/>
  <c r="W436" i="25"/>
  <c r="AC436" i="25"/>
  <c r="Y437" i="25"/>
  <c r="AA437" i="25"/>
  <c r="W437" i="25"/>
  <c r="AC437" i="25"/>
  <c r="Y438" i="25"/>
  <c r="AA438" i="25"/>
  <c r="W438" i="25"/>
  <c r="AC438" i="25"/>
  <c r="Y439" i="25"/>
  <c r="AA439" i="25"/>
  <c r="W439" i="25"/>
  <c r="AC439" i="25"/>
  <c r="Y440" i="25"/>
  <c r="AA440" i="25"/>
  <c r="W440" i="25"/>
  <c r="AC440" i="25"/>
  <c r="Y441" i="25"/>
  <c r="AA441" i="25"/>
  <c r="W441" i="25"/>
  <c r="AC441" i="25"/>
  <c r="Y442" i="25"/>
  <c r="AA442" i="25"/>
  <c r="W442" i="25"/>
  <c r="AC442" i="25"/>
  <c r="Y443" i="25"/>
  <c r="AA443" i="25"/>
  <c r="W443" i="25"/>
  <c r="AC443" i="25"/>
  <c r="Y444" i="25"/>
  <c r="AA444" i="25"/>
  <c r="W444" i="25"/>
  <c r="AC444" i="25"/>
  <c r="Y445" i="25"/>
  <c r="AA445" i="25"/>
  <c r="W445" i="25"/>
  <c r="AC445" i="25"/>
  <c r="Y446" i="25"/>
  <c r="AA446" i="25"/>
  <c r="W446" i="25"/>
  <c r="AC446" i="25"/>
  <c r="Y447" i="25"/>
  <c r="AA447" i="25"/>
  <c r="W447" i="25"/>
  <c r="AC447" i="25"/>
  <c r="Y448" i="25"/>
  <c r="AA448" i="25"/>
  <c r="W448" i="25"/>
  <c r="AC448" i="25"/>
  <c r="Y449" i="25"/>
  <c r="AA449" i="25"/>
  <c r="W449" i="25"/>
  <c r="AC449" i="25"/>
  <c r="Y450" i="25"/>
  <c r="AA450" i="25"/>
  <c r="W450" i="25"/>
  <c r="AC450" i="25"/>
  <c r="Y451" i="25"/>
  <c r="AA451" i="25"/>
  <c r="W451" i="25"/>
  <c r="AC451" i="25"/>
  <c r="Y452" i="25"/>
  <c r="AA452" i="25"/>
  <c r="W452" i="25"/>
  <c r="AC452" i="25"/>
  <c r="Y453" i="25"/>
  <c r="AA453" i="25"/>
  <c r="W453" i="25"/>
  <c r="AC453" i="25"/>
  <c r="Y454" i="25"/>
  <c r="AA454" i="25"/>
  <c r="W454" i="25"/>
  <c r="AC454" i="25"/>
  <c r="Y455" i="25"/>
  <c r="AA455" i="25"/>
  <c r="W455" i="25"/>
  <c r="AC455" i="25"/>
  <c r="Y456" i="25"/>
  <c r="AA456" i="25"/>
  <c r="W456" i="25"/>
  <c r="AC456" i="25"/>
  <c r="Y457" i="25"/>
  <c r="AA457" i="25"/>
  <c r="W457" i="25"/>
  <c r="AC457" i="25"/>
  <c r="Y458" i="25"/>
  <c r="AA458" i="25"/>
  <c r="W458" i="25"/>
  <c r="AC458" i="25"/>
  <c r="Y459" i="25"/>
  <c r="AA459" i="25"/>
  <c r="W459" i="25"/>
  <c r="AC459" i="25"/>
  <c r="Y460" i="25"/>
  <c r="AA460" i="25"/>
  <c r="W460" i="25"/>
  <c r="AC460" i="25"/>
  <c r="Y461" i="25"/>
  <c r="AA461" i="25"/>
  <c r="W461" i="25"/>
  <c r="AC461" i="25"/>
  <c r="Y462" i="25"/>
  <c r="AA462" i="25"/>
  <c r="W462" i="25"/>
  <c r="AC462" i="25"/>
  <c r="Y463" i="25"/>
  <c r="AA463" i="25"/>
  <c r="W463" i="25"/>
  <c r="AC463" i="25"/>
  <c r="Y464" i="25"/>
  <c r="AA464" i="25"/>
  <c r="W464" i="25"/>
  <c r="AC464" i="25"/>
  <c r="Y465" i="25"/>
  <c r="AA465" i="25"/>
  <c r="W465" i="25"/>
  <c r="AC465" i="25"/>
  <c r="Y466" i="25"/>
  <c r="AA466" i="25"/>
  <c r="W466" i="25"/>
  <c r="AC466" i="25"/>
  <c r="Y467" i="25"/>
  <c r="AA467" i="25"/>
  <c r="W467" i="25"/>
  <c r="AC467" i="25"/>
  <c r="Y468" i="25"/>
  <c r="AA468" i="25"/>
  <c r="W468" i="25"/>
  <c r="AC468" i="25"/>
  <c r="Y469" i="25"/>
  <c r="AA469" i="25"/>
  <c r="W469" i="25"/>
  <c r="AC469" i="25"/>
  <c r="Y470" i="25"/>
  <c r="AA470" i="25"/>
  <c r="W470" i="25"/>
  <c r="AC470" i="25"/>
  <c r="Y471" i="25"/>
  <c r="AA471" i="25"/>
  <c r="W471" i="25"/>
  <c r="AC471" i="25"/>
  <c r="Y472" i="25"/>
  <c r="AA472" i="25"/>
  <c r="W472" i="25"/>
  <c r="AC472" i="25"/>
  <c r="Y473" i="25"/>
  <c r="AA473" i="25"/>
  <c r="W473" i="25"/>
  <c r="AC473" i="25"/>
  <c r="Y474" i="25"/>
  <c r="AA474" i="25"/>
  <c r="W474" i="25"/>
  <c r="AC474" i="25"/>
  <c r="Y475" i="25"/>
  <c r="AA475" i="25"/>
  <c r="W475" i="25"/>
  <c r="AC475" i="25"/>
  <c r="Y476" i="25"/>
  <c r="AA476" i="25"/>
  <c r="W476" i="25"/>
  <c r="AC476" i="25"/>
  <c r="Y477" i="25"/>
  <c r="AA477" i="25"/>
  <c r="W477" i="25"/>
  <c r="AC477" i="25"/>
  <c r="Y478" i="25"/>
  <c r="AA478" i="25"/>
  <c r="W478" i="25"/>
  <c r="AC478" i="25"/>
  <c r="Y479" i="25"/>
  <c r="AA479" i="25"/>
  <c r="W479" i="25"/>
  <c r="AC479" i="25"/>
  <c r="Y480" i="25"/>
  <c r="AA480" i="25"/>
  <c r="W480" i="25"/>
  <c r="AC480" i="25"/>
  <c r="Y481" i="25"/>
  <c r="AA481" i="25"/>
  <c r="W481" i="25"/>
  <c r="AC481" i="25"/>
  <c r="Y482" i="25"/>
  <c r="AA482" i="25"/>
  <c r="W482" i="25"/>
  <c r="AC482" i="25"/>
  <c r="Y483" i="25"/>
  <c r="AA483" i="25"/>
  <c r="W483" i="25"/>
  <c r="AC483" i="25"/>
  <c r="Y484" i="25"/>
  <c r="AA484" i="25"/>
  <c r="W484" i="25"/>
  <c r="AC484" i="25"/>
  <c r="Y485" i="25"/>
  <c r="AA485" i="25"/>
  <c r="W485" i="25"/>
  <c r="AC485" i="25"/>
  <c r="Y486" i="25"/>
  <c r="AA486" i="25"/>
  <c r="W486" i="25"/>
  <c r="AC486" i="25"/>
  <c r="Y487" i="25"/>
  <c r="AA487" i="25"/>
  <c r="W487" i="25"/>
  <c r="AC487" i="25"/>
  <c r="Y488" i="25"/>
  <c r="AA488" i="25"/>
  <c r="W488" i="25"/>
  <c r="AC488" i="25"/>
  <c r="Y489" i="25"/>
  <c r="AA489" i="25"/>
  <c r="W489" i="25"/>
  <c r="AC489" i="25"/>
  <c r="Y490" i="25"/>
  <c r="AA490" i="25"/>
  <c r="W490" i="25"/>
  <c r="AC490" i="25"/>
  <c r="Y491" i="25"/>
  <c r="AA491" i="25"/>
  <c r="W491" i="25"/>
  <c r="AC491" i="25"/>
  <c r="Y492" i="25"/>
  <c r="AA492" i="25"/>
  <c r="W492" i="25"/>
  <c r="AC492" i="25"/>
  <c r="Y493" i="25"/>
  <c r="AA493" i="25"/>
  <c r="W493" i="25"/>
  <c r="AC493" i="25"/>
  <c r="Y494" i="25"/>
  <c r="AA494" i="25"/>
  <c r="W494" i="25"/>
  <c r="AC494" i="25"/>
  <c r="Y495" i="25"/>
  <c r="AA495" i="25"/>
  <c r="W495" i="25"/>
  <c r="AC495" i="25"/>
  <c r="Y496" i="25"/>
  <c r="AA496" i="25"/>
  <c r="W496" i="25"/>
  <c r="AC496" i="25"/>
  <c r="Y497" i="25"/>
  <c r="AA497" i="25"/>
  <c r="W497" i="25"/>
  <c r="AC497" i="25"/>
  <c r="Y498" i="25"/>
  <c r="AA498" i="25"/>
  <c r="W498" i="25"/>
  <c r="AC498" i="25"/>
  <c r="Y499" i="25"/>
  <c r="AA499" i="25"/>
  <c r="W499" i="25"/>
  <c r="AC499" i="25"/>
  <c r="Y500" i="25"/>
  <c r="AA500" i="25"/>
  <c r="W500" i="25"/>
  <c r="AC500" i="25"/>
  <c r="Y501" i="25"/>
  <c r="AA501" i="25"/>
  <c r="W501" i="25"/>
  <c r="AC501" i="25"/>
  <c r="Y502" i="25"/>
  <c r="AA502" i="25"/>
  <c r="W502" i="25"/>
  <c r="AC502" i="25"/>
  <c r="Y503" i="25"/>
  <c r="AA503" i="25"/>
  <c r="W503" i="25"/>
  <c r="AC503" i="25"/>
  <c r="Y504" i="25"/>
  <c r="AA504" i="25"/>
  <c r="W504" i="25"/>
  <c r="AC504" i="25"/>
  <c r="Y505" i="25"/>
  <c r="AA505" i="25"/>
  <c r="W505" i="25"/>
  <c r="AC505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W1556" i="25"/>
  <c r="AC1556" i="25"/>
  <c r="Y1557" i="25"/>
  <c r="AA1557" i="25"/>
  <c r="W1557" i="25"/>
  <c r="AC1557" i="25"/>
  <c r="Y1558" i="25"/>
  <c r="AA1558" i="25"/>
  <c r="W1558" i="25"/>
  <c r="AC1558" i="25"/>
  <c r="Y1559" i="25"/>
  <c r="AA1559" i="25"/>
  <c r="W1559" i="25"/>
  <c r="AC1559" i="25"/>
  <c r="Y1560" i="25"/>
  <c r="AA1560" i="25"/>
  <c r="W1560" i="25"/>
  <c r="AC1560" i="25"/>
  <c r="Y1561" i="25"/>
  <c r="AA1561" i="25"/>
  <c r="W1561" i="25"/>
  <c r="AC1561" i="25"/>
  <c r="Y1562" i="25"/>
  <c r="AA1562" i="25"/>
  <c r="W1562" i="25"/>
  <c r="AC1562" i="25"/>
  <c r="Y1563" i="25"/>
  <c r="AA1563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Y1608" i="25"/>
  <c r="AA1608" i="25"/>
  <c r="W1608" i="25"/>
  <c r="AC1608" i="25"/>
  <c r="Y1609" i="25"/>
  <c r="AA1609" i="25"/>
  <c r="W1609" i="25"/>
  <c r="AC1609" i="25"/>
  <c r="Y1610" i="25"/>
  <c r="AA1610" i="25"/>
  <c r="W1610" i="25"/>
  <c r="AC1610" i="25"/>
  <c r="AC5" i="25" a="1"/>
  <c r="AC5" i="25"/>
  <c r="AH10" i="25"/>
  <c r="AF10" i="25" a="1"/>
  <c r="AF10" i="25"/>
  <c r="AG10" i="25" a="1"/>
  <c r="AG10" i="25"/>
  <c r="AI10" i="25" a="1"/>
  <c r="AI10" i="25"/>
  <c r="AJ10" i="25" a="1"/>
  <c r="AJ10" i="25"/>
  <c r="AK10" i="25" a="1"/>
  <c r="AK10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Z256" i="25"/>
  <c r="AB256" i="25"/>
  <c r="X257" i="25"/>
  <c r="Z257" i="25"/>
  <c r="AB257" i="25"/>
  <c r="X258" i="25"/>
  <c r="Z258" i="25"/>
  <c r="AB258" i="25"/>
  <c r="X259" i="25"/>
  <c r="Z259" i="25"/>
  <c r="AB259" i="25"/>
  <c r="X260" i="25"/>
  <c r="Z260" i="25"/>
  <c r="AB260" i="25"/>
  <c r="X261" i="25"/>
  <c r="Z261" i="25"/>
  <c r="AB261" i="25"/>
  <c r="X262" i="25"/>
  <c r="Z262" i="25"/>
  <c r="AB262" i="25"/>
  <c r="X263" i="25"/>
  <c r="Z263" i="25"/>
  <c r="AB263" i="25"/>
  <c r="X264" i="25"/>
  <c r="Z264" i="25"/>
  <c r="AB264" i="25"/>
  <c r="X265" i="25"/>
  <c r="Z265" i="25"/>
  <c r="AB265" i="25"/>
  <c r="X266" i="25"/>
  <c r="Z266" i="25"/>
  <c r="AB266" i="25"/>
  <c r="X267" i="25"/>
  <c r="Z267" i="25"/>
  <c r="AB267" i="25"/>
  <c r="X268" i="25"/>
  <c r="Z268" i="25"/>
  <c r="AB268" i="25"/>
  <c r="X269" i="25"/>
  <c r="Z269" i="25"/>
  <c r="AB269" i="25"/>
  <c r="X270" i="25"/>
  <c r="Z270" i="25"/>
  <c r="AB270" i="25"/>
  <c r="X271" i="25"/>
  <c r="Z271" i="25"/>
  <c r="AB271" i="25"/>
  <c r="X272" i="25"/>
  <c r="Z272" i="25"/>
  <c r="AB272" i="25"/>
  <c r="X273" i="25"/>
  <c r="Z273" i="25"/>
  <c r="AB273" i="25"/>
  <c r="X274" i="25"/>
  <c r="Z274" i="25"/>
  <c r="AB274" i="25"/>
  <c r="X275" i="25"/>
  <c r="Z275" i="25"/>
  <c r="AB275" i="25"/>
  <c r="X276" i="25"/>
  <c r="Z276" i="25"/>
  <c r="AB276" i="25"/>
  <c r="X277" i="25"/>
  <c r="Z277" i="25"/>
  <c r="AB277" i="25"/>
  <c r="X278" i="25"/>
  <c r="Z278" i="25"/>
  <c r="AB278" i="25"/>
  <c r="X279" i="25"/>
  <c r="Z279" i="25"/>
  <c r="AB279" i="25"/>
  <c r="X280" i="25"/>
  <c r="Z280" i="25"/>
  <c r="AB280" i="25"/>
  <c r="X281" i="25"/>
  <c r="Z281" i="25"/>
  <c r="AB281" i="25"/>
  <c r="X282" i="25"/>
  <c r="Z282" i="25"/>
  <c r="AB282" i="25"/>
  <c r="X283" i="25"/>
  <c r="Z283" i="25"/>
  <c r="AB283" i="25"/>
  <c r="X284" i="25"/>
  <c r="Z284" i="25"/>
  <c r="AB284" i="25"/>
  <c r="X285" i="25"/>
  <c r="Z285" i="25"/>
  <c r="AB285" i="25"/>
  <c r="X286" i="25"/>
  <c r="Z286" i="25"/>
  <c r="AB286" i="25"/>
  <c r="X287" i="25"/>
  <c r="Z287" i="25"/>
  <c r="AB287" i="25"/>
  <c r="X288" i="25"/>
  <c r="Z288" i="25"/>
  <c r="AB288" i="25"/>
  <c r="X289" i="25"/>
  <c r="Z289" i="25"/>
  <c r="AB289" i="25"/>
  <c r="X290" i="25"/>
  <c r="Z290" i="25"/>
  <c r="AB290" i="25"/>
  <c r="X291" i="25"/>
  <c r="Z291" i="25"/>
  <c r="AB291" i="25"/>
  <c r="X292" i="25"/>
  <c r="Z292" i="25"/>
  <c r="AB292" i="25"/>
  <c r="X293" i="25"/>
  <c r="Z293" i="25"/>
  <c r="AB293" i="25"/>
  <c r="X294" i="25"/>
  <c r="Z294" i="25"/>
  <c r="AB294" i="25"/>
  <c r="X295" i="25"/>
  <c r="Z295" i="25"/>
  <c r="AB295" i="25"/>
  <c r="X296" i="25"/>
  <c r="Z296" i="25"/>
  <c r="AB296" i="25"/>
  <c r="X297" i="25"/>
  <c r="Z297" i="25"/>
  <c r="AB297" i="25"/>
  <c r="X298" i="25"/>
  <c r="Z298" i="25"/>
  <c r="AB298" i="25"/>
  <c r="X299" i="25"/>
  <c r="Z299" i="25"/>
  <c r="AB299" i="25"/>
  <c r="X300" i="25"/>
  <c r="Z300" i="25"/>
  <c r="AB300" i="25"/>
  <c r="X301" i="25"/>
  <c r="Z301" i="25"/>
  <c r="AB301" i="25"/>
  <c r="X302" i="25"/>
  <c r="Z302" i="25"/>
  <c r="AB302" i="25"/>
  <c r="X303" i="25"/>
  <c r="Z303" i="25"/>
  <c r="AB303" i="25"/>
  <c r="X304" i="25"/>
  <c r="Z304" i="25"/>
  <c r="AB304" i="25"/>
  <c r="X305" i="25"/>
  <c r="Z305" i="25"/>
  <c r="AB305" i="25"/>
  <c r="X306" i="25"/>
  <c r="Z306" i="25"/>
  <c r="AB306" i="25"/>
  <c r="X307" i="25"/>
  <c r="Z307" i="25"/>
  <c r="AB307" i="25"/>
  <c r="X308" i="25"/>
  <c r="Z308" i="25"/>
  <c r="AB308" i="25"/>
  <c r="X309" i="25"/>
  <c r="Z309" i="25"/>
  <c r="AB309" i="25"/>
  <c r="X310" i="25"/>
  <c r="Z310" i="25"/>
  <c r="AB310" i="25"/>
  <c r="X311" i="25"/>
  <c r="Z311" i="25"/>
  <c r="AB311" i="25"/>
  <c r="X312" i="25"/>
  <c r="Z312" i="25"/>
  <c r="AB312" i="25"/>
  <c r="X313" i="25"/>
  <c r="Z313" i="25"/>
  <c r="AB313" i="25"/>
  <c r="X314" i="25"/>
  <c r="Z314" i="25"/>
  <c r="AB314" i="25"/>
  <c r="X315" i="25"/>
  <c r="Z315" i="25"/>
  <c r="AB315" i="25"/>
  <c r="X316" i="25"/>
  <c r="Z316" i="25"/>
  <c r="AB316" i="25"/>
  <c r="X317" i="25"/>
  <c r="Z317" i="25"/>
  <c r="AB317" i="25"/>
  <c r="X318" i="25"/>
  <c r="Z318" i="25"/>
  <c r="AB318" i="25"/>
  <c r="X319" i="25"/>
  <c r="Z319" i="25"/>
  <c r="AB319" i="25"/>
  <c r="X320" i="25"/>
  <c r="Z320" i="25"/>
  <c r="AB320" i="25"/>
  <c r="X321" i="25"/>
  <c r="Z321" i="25"/>
  <c r="AB321" i="25"/>
  <c r="X322" i="25"/>
  <c r="Z322" i="25"/>
  <c r="AB322" i="25"/>
  <c r="X323" i="25"/>
  <c r="Z323" i="25"/>
  <c r="AB323" i="25"/>
  <c r="X324" i="25"/>
  <c r="Z324" i="25"/>
  <c r="AB324" i="25"/>
  <c r="X325" i="25"/>
  <c r="Z325" i="25"/>
  <c r="AB325" i="25"/>
  <c r="X326" i="25"/>
  <c r="Z326" i="25"/>
  <c r="AB326" i="25"/>
  <c r="X327" i="25"/>
  <c r="Z327" i="25"/>
  <c r="AB327" i="25"/>
  <c r="X328" i="25"/>
  <c r="Z328" i="25"/>
  <c r="AB328" i="25"/>
  <c r="X329" i="25"/>
  <c r="Z329" i="25"/>
  <c r="AB329" i="25"/>
  <c r="X330" i="25"/>
  <c r="Z330" i="25"/>
  <c r="AB330" i="25"/>
  <c r="X331" i="25"/>
  <c r="Z331" i="25"/>
  <c r="AB331" i="25"/>
  <c r="X332" i="25"/>
  <c r="Z332" i="25"/>
  <c r="AB332" i="25"/>
  <c r="X333" i="25"/>
  <c r="Z333" i="25"/>
  <c r="AB333" i="25"/>
  <c r="X334" i="25"/>
  <c r="Z334" i="25"/>
  <c r="AB334" i="25"/>
  <c r="X335" i="25"/>
  <c r="Z335" i="25"/>
  <c r="AB335" i="25"/>
  <c r="X336" i="25"/>
  <c r="Z336" i="25"/>
  <c r="AB336" i="25"/>
  <c r="X337" i="25"/>
  <c r="Z337" i="25"/>
  <c r="AB337" i="25"/>
  <c r="X338" i="25"/>
  <c r="Z338" i="25"/>
  <c r="AB338" i="25"/>
  <c r="X339" i="25"/>
  <c r="Z339" i="25"/>
  <c r="AB339" i="25"/>
  <c r="X340" i="25"/>
  <c r="Z340" i="25"/>
  <c r="AB340" i="25"/>
  <c r="X341" i="25"/>
  <c r="Z341" i="25"/>
  <c r="AB341" i="25"/>
  <c r="X342" i="25"/>
  <c r="Z342" i="25"/>
  <c r="AB342" i="25"/>
  <c r="X343" i="25"/>
  <c r="Z343" i="25"/>
  <c r="AB343" i="25"/>
  <c r="X344" i="25"/>
  <c r="Z344" i="25"/>
  <c r="AB344" i="25"/>
  <c r="X345" i="25"/>
  <c r="Z345" i="25"/>
  <c r="AB345" i="25"/>
  <c r="X346" i="25"/>
  <c r="Z346" i="25"/>
  <c r="AB346" i="25"/>
  <c r="X347" i="25"/>
  <c r="Z347" i="25"/>
  <c r="AB347" i="25"/>
  <c r="X348" i="25"/>
  <c r="Z348" i="25"/>
  <c r="AB348" i="25"/>
  <c r="X349" i="25"/>
  <c r="Z349" i="25"/>
  <c r="AB349" i="25"/>
  <c r="X350" i="25"/>
  <c r="Z350" i="25"/>
  <c r="AB350" i="25"/>
  <c r="X351" i="25"/>
  <c r="Z351" i="25"/>
  <c r="AB351" i="25"/>
  <c r="X352" i="25"/>
  <c r="Z352" i="25"/>
  <c r="AB352" i="25"/>
  <c r="X353" i="25"/>
  <c r="Z353" i="25"/>
  <c r="AB353" i="25"/>
  <c r="X354" i="25"/>
  <c r="Z354" i="25"/>
  <c r="AB354" i="25"/>
  <c r="X355" i="25"/>
  <c r="Z355" i="25"/>
  <c r="AB355" i="25"/>
  <c r="X356" i="25"/>
  <c r="Z356" i="25"/>
  <c r="AB356" i="25"/>
  <c r="X357" i="25"/>
  <c r="Z357" i="25"/>
  <c r="AB357" i="25"/>
  <c r="X358" i="25"/>
  <c r="Z358" i="25"/>
  <c r="AB358" i="25"/>
  <c r="X359" i="25"/>
  <c r="Z359" i="25"/>
  <c r="AB359" i="25"/>
  <c r="X360" i="25"/>
  <c r="Z360" i="25"/>
  <c r="AB360" i="25"/>
  <c r="X361" i="25"/>
  <c r="Z361" i="25"/>
  <c r="AB361" i="25"/>
  <c r="X362" i="25"/>
  <c r="Z362" i="25"/>
  <c r="AB362" i="25"/>
  <c r="X363" i="25"/>
  <c r="Z363" i="25"/>
  <c r="AB363" i="25"/>
  <c r="X364" i="25"/>
  <c r="Z364" i="25"/>
  <c r="AB364" i="25"/>
  <c r="X365" i="25"/>
  <c r="Z365" i="25"/>
  <c r="AB365" i="25"/>
  <c r="X366" i="25"/>
  <c r="Z366" i="25"/>
  <c r="AB366" i="25"/>
  <c r="X367" i="25"/>
  <c r="Z367" i="25"/>
  <c r="AB367" i="25"/>
  <c r="X368" i="25"/>
  <c r="Z368" i="25"/>
  <c r="AB368" i="25"/>
  <c r="X369" i="25"/>
  <c r="Z369" i="25"/>
  <c r="AB369" i="25"/>
  <c r="X370" i="25"/>
  <c r="Z370" i="25"/>
  <c r="AB370" i="25"/>
  <c r="X371" i="25"/>
  <c r="Z371" i="25"/>
  <c r="AB371" i="25"/>
  <c r="X372" i="25"/>
  <c r="Z372" i="25"/>
  <c r="AB372" i="25"/>
  <c r="X373" i="25"/>
  <c r="Z373" i="25"/>
  <c r="AB373" i="25"/>
  <c r="X374" i="25"/>
  <c r="Z374" i="25"/>
  <c r="AB374" i="25"/>
  <c r="X375" i="25"/>
  <c r="Z375" i="25"/>
  <c r="AB375" i="25"/>
  <c r="X376" i="25"/>
  <c r="Z376" i="25"/>
  <c r="AB376" i="25"/>
  <c r="X377" i="25"/>
  <c r="Z377" i="25"/>
  <c r="AB377" i="25"/>
  <c r="X378" i="25"/>
  <c r="Z378" i="25"/>
  <c r="AB378" i="25"/>
  <c r="X379" i="25"/>
  <c r="Z379" i="25"/>
  <c r="AB379" i="25"/>
  <c r="X380" i="25"/>
  <c r="Z380" i="25"/>
  <c r="AB380" i="25"/>
  <c r="X381" i="25"/>
  <c r="Z381" i="25"/>
  <c r="AB381" i="25"/>
  <c r="X382" i="25"/>
  <c r="Z382" i="25"/>
  <c r="AB382" i="25"/>
  <c r="X383" i="25"/>
  <c r="Z383" i="25"/>
  <c r="AB383" i="25"/>
  <c r="X384" i="25"/>
  <c r="Z384" i="25"/>
  <c r="AB384" i="25"/>
  <c r="X385" i="25"/>
  <c r="Z385" i="25"/>
  <c r="AB385" i="25"/>
  <c r="X386" i="25"/>
  <c r="Z386" i="25"/>
  <c r="AB386" i="25"/>
  <c r="X387" i="25"/>
  <c r="Z387" i="25"/>
  <c r="AB387" i="25"/>
  <c r="X388" i="25"/>
  <c r="Z388" i="25"/>
  <c r="AB388" i="25"/>
  <c r="X389" i="25"/>
  <c r="Z389" i="25"/>
  <c r="AB389" i="25"/>
  <c r="X390" i="25"/>
  <c r="Z390" i="25"/>
  <c r="AB390" i="25"/>
  <c r="X391" i="25"/>
  <c r="Z391" i="25"/>
  <c r="AB391" i="25"/>
  <c r="X392" i="25"/>
  <c r="Z392" i="25"/>
  <c r="AB392" i="25"/>
  <c r="X393" i="25"/>
  <c r="Z393" i="25"/>
  <c r="AB393" i="25"/>
  <c r="X394" i="25"/>
  <c r="Z394" i="25"/>
  <c r="AB394" i="25"/>
  <c r="X395" i="25"/>
  <c r="Z395" i="25"/>
  <c r="AB395" i="25"/>
  <c r="X396" i="25"/>
  <c r="Z396" i="25"/>
  <c r="AB396" i="25"/>
  <c r="X397" i="25"/>
  <c r="Z397" i="25"/>
  <c r="AB397" i="25"/>
  <c r="X398" i="25"/>
  <c r="Z398" i="25"/>
  <c r="AB398" i="25"/>
  <c r="X399" i="25"/>
  <c r="Z399" i="25"/>
  <c r="AB399" i="25"/>
  <c r="X400" i="25"/>
  <c r="Z400" i="25"/>
  <c r="AB400" i="25"/>
  <c r="X401" i="25"/>
  <c r="Z401" i="25"/>
  <c r="AB401" i="25"/>
  <c r="X402" i="25"/>
  <c r="Z402" i="25"/>
  <c r="AB402" i="25"/>
  <c r="X403" i="25"/>
  <c r="Z403" i="25"/>
  <c r="AB403" i="25"/>
  <c r="X404" i="25"/>
  <c r="Z404" i="25"/>
  <c r="AB404" i="25"/>
  <c r="X405" i="25"/>
  <c r="Z405" i="25"/>
  <c r="AB405" i="25"/>
  <c r="X406" i="25"/>
  <c r="Z406" i="25"/>
  <c r="AB406" i="25"/>
  <c r="X407" i="25"/>
  <c r="Z407" i="25"/>
  <c r="AB407" i="25"/>
  <c r="X408" i="25"/>
  <c r="Z408" i="25"/>
  <c r="AB408" i="25"/>
  <c r="X409" i="25"/>
  <c r="Z409" i="25"/>
  <c r="AB409" i="25"/>
  <c r="X410" i="25"/>
  <c r="Z410" i="25"/>
  <c r="AB410" i="25"/>
  <c r="X411" i="25"/>
  <c r="Z411" i="25"/>
  <c r="AB411" i="25"/>
  <c r="X412" i="25"/>
  <c r="Z412" i="25"/>
  <c r="AB412" i="25"/>
  <c r="X413" i="25"/>
  <c r="Z413" i="25"/>
  <c r="AB413" i="25"/>
  <c r="X414" i="25"/>
  <c r="Z414" i="25"/>
  <c r="AB414" i="25"/>
  <c r="X415" i="25"/>
  <c r="Z415" i="25"/>
  <c r="AB415" i="25"/>
  <c r="X416" i="25"/>
  <c r="Z416" i="25"/>
  <c r="AB416" i="25"/>
  <c r="X417" i="25"/>
  <c r="Z417" i="25"/>
  <c r="AB417" i="25"/>
  <c r="X418" i="25"/>
  <c r="Z418" i="25"/>
  <c r="AB418" i="25"/>
  <c r="X419" i="25"/>
  <c r="Z419" i="25"/>
  <c r="AB419" i="25"/>
  <c r="X420" i="25"/>
  <c r="Z420" i="25"/>
  <c r="AB420" i="25"/>
  <c r="X421" i="25"/>
  <c r="Z421" i="25"/>
  <c r="AB421" i="25"/>
  <c r="X422" i="25"/>
  <c r="Z422" i="25"/>
  <c r="AB422" i="25"/>
  <c r="X423" i="25"/>
  <c r="Z423" i="25"/>
  <c r="AB423" i="25"/>
  <c r="X424" i="25"/>
  <c r="Z424" i="25"/>
  <c r="AB424" i="25"/>
  <c r="X425" i="25"/>
  <c r="Z425" i="25"/>
  <c r="AB425" i="25"/>
  <c r="X426" i="25"/>
  <c r="Z426" i="25"/>
  <c r="AB426" i="25"/>
  <c r="X427" i="25"/>
  <c r="Z427" i="25"/>
  <c r="AB427" i="25"/>
  <c r="X428" i="25"/>
  <c r="Z428" i="25"/>
  <c r="AB428" i="25"/>
  <c r="X429" i="25"/>
  <c r="Z429" i="25"/>
  <c r="AB429" i="25"/>
  <c r="X430" i="25"/>
  <c r="Z430" i="25"/>
  <c r="AB430" i="25"/>
  <c r="X431" i="25"/>
  <c r="Z431" i="25"/>
  <c r="AB431" i="25"/>
  <c r="X432" i="25"/>
  <c r="Z432" i="25"/>
  <c r="AB432" i="25"/>
  <c r="X433" i="25"/>
  <c r="Z433" i="25"/>
  <c r="AB433" i="25"/>
  <c r="X434" i="25"/>
  <c r="Z434" i="25"/>
  <c r="AB434" i="25"/>
  <c r="X435" i="25"/>
  <c r="Z435" i="25"/>
  <c r="AB435" i="25"/>
  <c r="X436" i="25"/>
  <c r="Z436" i="25"/>
  <c r="AB436" i="25"/>
  <c r="X437" i="25"/>
  <c r="Z437" i="25"/>
  <c r="AB437" i="25"/>
  <c r="X438" i="25"/>
  <c r="Z438" i="25"/>
  <c r="AB438" i="25"/>
  <c r="X439" i="25"/>
  <c r="Z439" i="25"/>
  <c r="AB439" i="25"/>
  <c r="X440" i="25"/>
  <c r="Z440" i="25"/>
  <c r="AB440" i="25"/>
  <c r="X441" i="25"/>
  <c r="Z441" i="25"/>
  <c r="AB441" i="25"/>
  <c r="X442" i="25"/>
  <c r="Z442" i="25"/>
  <c r="AB442" i="25"/>
  <c r="X443" i="25"/>
  <c r="Z443" i="25"/>
  <c r="AB443" i="25"/>
  <c r="X444" i="25"/>
  <c r="Z444" i="25"/>
  <c r="AB444" i="25"/>
  <c r="X445" i="25"/>
  <c r="Z445" i="25"/>
  <c r="AB445" i="25"/>
  <c r="X446" i="25"/>
  <c r="Z446" i="25"/>
  <c r="AB446" i="25"/>
  <c r="X447" i="25"/>
  <c r="Z447" i="25"/>
  <c r="AB447" i="25"/>
  <c r="X448" i="25"/>
  <c r="Z448" i="25"/>
  <c r="AB448" i="25"/>
  <c r="X449" i="25"/>
  <c r="Z449" i="25"/>
  <c r="AB449" i="25"/>
  <c r="X450" i="25"/>
  <c r="Z450" i="25"/>
  <c r="AB450" i="25"/>
  <c r="X451" i="25"/>
  <c r="Z451" i="25"/>
  <c r="AB451" i="25"/>
  <c r="X452" i="25"/>
  <c r="Z452" i="25"/>
  <c r="AB452" i="25"/>
  <c r="X453" i="25"/>
  <c r="Z453" i="25"/>
  <c r="AB453" i="25"/>
  <c r="X454" i="25"/>
  <c r="Z454" i="25"/>
  <c r="AB454" i="25"/>
  <c r="X455" i="25"/>
  <c r="Z455" i="25"/>
  <c r="AB455" i="25"/>
  <c r="X456" i="25"/>
  <c r="Z456" i="25"/>
  <c r="AB456" i="25"/>
  <c r="X457" i="25"/>
  <c r="Z457" i="25"/>
  <c r="AB457" i="25"/>
  <c r="X458" i="25"/>
  <c r="Z458" i="25"/>
  <c r="AB458" i="25"/>
  <c r="X459" i="25"/>
  <c r="Z459" i="25"/>
  <c r="AB459" i="25"/>
  <c r="X460" i="25"/>
  <c r="Z460" i="25"/>
  <c r="AB460" i="25"/>
  <c r="X461" i="25"/>
  <c r="Z461" i="25"/>
  <c r="AB461" i="25"/>
  <c r="X462" i="25"/>
  <c r="Z462" i="25"/>
  <c r="AB462" i="25"/>
  <c r="X463" i="25"/>
  <c r="Z463" i="25"/>
  <c r="AB463" i="25"/>
  <c r="X464" i="25"/>
  <c r="Z464" i="25"/>
  <c r="AB464" i="25"/>
  <c r="X465" i="25"/>
  <c r="Z465" i="25"/>
  <c r="AB465" i="25"/>
  <c r="X466" i="25"/>
  <c r="Z466" i="25"/>
  <c r="AB466" i="25"/>
  <c r="X467" i="25"/>
  <c r="Z467" i="25"/>
  <c r="AB467" i="25"/>
  <c r="X468" i="25"/>
  <c r="Z468" i="25"/>
  <c r="AB468" i="25"/>
  <c r="X469" i="25"/>
  <c r="Z469" i="25"/>
  <c r="AB469" i="25"/>
  <c r="X470" i="25"/>
  <c r="Z470" i="25"/>
  <c r="AB470" i="25"/>
  <c r="X471" i="25"/>
  <c r="Z471" i="25"/>
  <c r="AB471" i="25"/>
  <c r="X472" i="25"/>
  <c r="Z472" i="25"/>
  <c r="AB472" i="25"/>
  <c r="X473" i="25"/>
  <c r="Z473" i="25"/>
  <c r="AB473" i="25"/>
  <c r="X474" i="25"/>
  <c r="Z474" i="25"/>
  <c r="AB474" i="25"/>
  <c r="X475" i="25"/>
  <c r="Z475" i="25"/>
  <c r="AB475" i="25"/>
  <c r="X476" i="25"/>
  <c r="Z476" i="25"/>
  <c r="AB476" i="25"/>
  <c r="X477" i="25"/>
  <c r="Z477" i="25"/>
  <c r="AB477" i="25"/>
  <c r="X478" i="25"/>
  <c r="Z478" i="25"/>
  <c r="AB478" i="25"/>
  <c r="X479" i="25"/>
  <c r="Z479" i="25"/>
  <c r="AB479" i="25"/>
  <c r="X480" i="25"/>
  <c r="Z480" i="25"/>
  <c r="AB480" i="25"/>
  <c r="X481" i="25"/>
  <c r="Z481" i="25"/>
  <c r="AB481" i="25"/>
  <c r="X482" i="25"/>
  <c r="Z482" i="25"/>
  <c r="AB482" i="25"/>
  <c r="X483" i="25"/>
  <c r="Z483" i="25"/>
  <c r="AB483" i="25"/>
  <c r="X484" i="25"/>
  <c r="Z484" i="25"/>
  <c r="AB484" i="25"/>
  <c r="X485" i="25"/>
  <c r="Z485" i="25"/>
  <c r="AB485" i="25"/>
  <c r="X486" i="25"/>
  <c r="Z486" i="25"/>
  <c r="AB486" i="25"/>
  <c r="X487" i="25"/>
  <c r="Z487" i="25"/>
  <c r="AB487" i="25"/>
  <c r="X488" i="25"/>
  <c r="Z488" i="25"/>
  <c r="AB488" i="25"/>
  <c r="X489" i="25"/>
  <c r="Z489" i="25"/>
  <c r="AB489" i="25"/>
  <c r="X490" i="25"/>
  <c r="Z490" i="25"/>
  <c r="AB490" i="25"/>
  <c r="X491" i="25"/>
  <c r="Z491" i="25"/>
  <c r="AB491" i="25"/>
  <c r="X492" i="25"/>
  <c r="Z492" i="25"/>
  <c r="AB492" i="25"/>
  <c r="X493" i="25"/>
  <c r="Z493" i="25"/>
  <c r="AB493" i="25"/>
  <c r="X494" i="25"/>
  <c r="Z494" i="25"/>
  <c r="AB494" i="25"/>
  <c r="X495" i="25"/>
  <c r="Z495" i="25"/>
  <c r="AB495" i="25"/>
  <c r="X496" i="25"/>
  <c r="Z496" i="25"/>
  <c r="AB496" i="25"/>
  <c r="X497" i="25"/>
  <c r="Z497" i="25"/>
  <c r="AB497" i="25"/>
  <c r="X498" i="25"/>
  <c r="Z498" i="25"/>
  <c r="AB498" i="25"/>
  <c r="X499" i="25"/>
  <c r="Z499" i="25"/>
  <c r="AB499" i="25"/>
  <c r="X500" i="25"/>
  <c r="Z500" i="25"/>
  <c r="AB500" i="25"/>
  <c r="X501" i="25"/>
  <c r="Z501" i="25"/>
  <c r="AB501" i="25"/>
  <c r="X502" i="25"/>
  <c r="Z502" i="25"/>
  <c r="AB502" i="25"/>
  <c r="X503" i="25"/>
  <c r="Z503" i="25"/>
  <c r="AB503" i="25"/>
  <c r="X504" i="25"/>
  <c r="Z504" i="25"/>
  <c r="AB504" i="25"/>
  <c r="X505" i="25"/>
  <c r="Z505" i="25"/>
  <c r="AB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X1608" i="25"/>
  <c r="Z1608" i="25"/>
  <c r="AB1608" i="25"/>
  <c r="X1609" i="25"/>
  <c r="Z1609" i="25"/>
  <c r="AB1609" i="25"/>
  <c r="X1610" i="25"/>
  <c r="Z1610" i="25"/>
  <c r="AB1610" i="25"/>
  <c r="AE10" i="25" a="1"/>
  <c r="AE10" i="25"/>
  <c r="T1611" i="25" a="1"/>
  <c r="T1611" i="25"/>
  <c r="T1612" i="25" a="1"/>
  <c r="T1612" i="25"/>
  <c r="T1613" i="25" a="1"/>
  <c r="T1613" i="25"/>
  <c r="T1614" i="25" a="1"/>
  <c r="T1614" i="25"/>
  <c r="T1615" i="25" a="1"/>
  <c r="T1615" i="25"/>
  <c r="T1616" i="25" a="1"/>
  <c r="T1616" i="25"/>
  <c r="T1617" i="25" a="1"/>
  <c r="T1617" i="25"/>
  <c r="T1618" i="25" a="1"/>
  <c r="T1618" i="25"/>
  <c r="Y6" i="25"/>
  <c r="U1611" i="25" a="1"/>
  <c r="U1611" i="25"/>
  <c r="V1611" i="25"/>
  <c r="W1611" i="25"/>
  <c r="X1611" i="25"/>
  <c r="Y1611" i="25"/>
  <c r="Z1611" i="25"/>
  <c r="AA1611" i="25"/>
  <c r="AB1611" i="25"/>
  <c r="AC1611" i="25"/>
  <c r="U1612" i="25" a="1"/>
  <c r="U1612" i="25"/>
  <c r="V1612" i="25"/>
  <c r="W1612" i="25"/>
  <c r="X1612" i="25"/>
  <c r="Y1612" i="25"/>
  <c r="Z1612" i="25"/>
  <c r="AA1612" i="25"/>
  <c r="AB1612" i="25"/>
  <c r="AC1612" i="25"/>
  <c r="U1613" i="25" a="1"/>
  <c r="U1613" i="25"/>
  <c r="V1613" i="25"/>
  <c r="W1613" i="25"/>
  <c r="X1613" i="25"/>
  <c r="Y1613" i="25"/>
  <c r="Z1613" i="25"/>
  <c r="AA1613" i="25"/>
  <c r="AB1613" i="25"/>
  <c r="AC1613" i="25"/>
  <c r="U1614" i="25" a="1"/>
  <c r="U1614" i="25"/>
  <c r="V1614" i="25"/>
  <c r="W1614" i="25"/>
  <c r="X1614" i="25"/>
  <c r="Y1614" i="25"/>
  <c r="Z1614" i="25"/>
  <c r="AA1614" i="25"/>
  <c r="AB1614" i="25"/>
  <c r="AC1614" i="25"/>
  <c r="U1615" i="25" a="1"/>
  <c r="U1615" i="25"/>
  <c r="V1615" i="25"/>
  <c r="W1615" i="25"/>
  <c r="X1615" i="25"/>
  <c r="Y1615" i="25"/>
  <c r="Z1615" i="25"/>
  <c r="AA1615" i="25"/>
  <c r="AB1615" i="25"/>
  <c r="AC1615" i="25"/>
  <c r="U1616" i="25" a="1"/>
  <c r="U1616" i="25"/>
  <c r="V1616" i="25"/>
  <c r="W1616" i="25"/>
  <c r="X1616" i="25"/>
  <c r="Y1616" i="25"/>
  <c r="Z1616" i="25"/>
  <c r="AA1616" i="25"/>
  <c r="AB1616" i="25"/>
  <c r="AC1616" i="25"/>
  <c r="U1617" i="25" a="1"/>
  <c r="U1617" i="25"/>
  <c r="V1617" i="25"/>
  <c r="W1617" i="25"/>
  <c r="X1617" i="25"/>
  <c r="Y1617" i="25"/>
  <c r="Z1617" i="25"/>
  <c r="AA1617" i="25"/>
  <c r="AB1617" i="25"/>
  <c r="AC1617" i="25"/>
  <c r="U1618" i="25" a="1"/>
  <c r="U1618" i="25"/>
  <c r="V1618" i="25"/>
  <c r="W1618" i="25"/>
  <c r="X1618" i="25"/>
  <c r="Y1618" i="25"/>
  <c r="Z1618" i="25"/>
  <c r="AA1618" i="25"/>
  <c r="AB1618" i="25"/>
  <c r="AC1618" i="25"/>
  <c r="AH8" i="25"/>
  <c r="AH3" i="25"/>
  <c r="AC3" i="25" a="1"/>
  <c r="AC3" i="25"/>
  <c r="AB3" i="25" a="1"/>
  <c r="AB3" i="25"/>
  <c r="Y1" i="25"/>
  <c r="B2" i="25"/>
  <c r="AB5" i="25" a="1"/>
  <c r="AB5" i="25"/>
  <c r="AH5" i="25"/>
  <c r="AE5" i="25" a="1"/>
  <c r="AE5" i="25"/>
  <c r="AK5" i="25" a="1"/>
  <c r="AK5" i="25"/>
  <c r="AJ5" i="25" a="1"/>
  <c r="AJ5" i="25"/>
  <c r="AI5" i="25" a="1"/>
  <c r="AI5" i="25"/>
  <c r="AG5" i="25" a="1"/>
  <c r="AG5" i="25"/>
  <c r="AF5" i="25" a="1"/>
  <c r="AF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<sst xmlns="http://schemas.openxmlformats.org/spreadsheetml/2006/main" count="92" uniqueCount="89">
  <si>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</si>
  <si>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</si>
  <si>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</si>
  <si>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</si>
  <si>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</si>
  <si>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</si>
  <si>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</si>
  <si>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</si>
  <si>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</si>
  <si>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</si>
  <si>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</si>
  <si>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</si>
  <si>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</si>
  <si>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</si>
  <si>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</si>
  <si>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</si>
  <si>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</si>
  <si>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</si>
  <si>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</si>
  <si>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</si>
  <si>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</si>
  <si>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</si>
  <si>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</si>
  <si>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</si>
  <si>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</si>
  <si>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</si>
  <si>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</si>
  <si>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</si>
  <si>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</si>
  <si>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</si>
  <si>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</si>
  <si>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</si>
  <si>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</si>
  <si>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</si>
  <si>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</si>
  <si>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</si>
  <si>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</si>
  <si>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</si>
  <si>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</si>
  <si>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</si>
  <si>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</si>
  <si>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</si>
  <si>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</si>
  <si>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</si>
  <si>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</si>
  <si>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</si>
  <si>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</si>
  <si>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</si>
  <si>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</si>
  <si>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</si>
  <si>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</si>
  <si>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</si>
  <si>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</si>
  <si>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</si>
  <si>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</si>
  <si>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</si>
  <si>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</si>
  <si>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</si>
  <si>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TFMBMc18</t>
  </si>
  <si>
    <t>NGc18</t>
  </si>
  <si>
    <t>AFCMc18</t>
  </si>
  <si>
    <t>EUR18MV=</t>
  </si>
  <si>
    <t>TTF_M18</t>
  </si>
  <si>
    <t>Henry_Hub_M18</t>
  </si>
  <si>
    <t>coal_spot_M18</t>
  </si>
  <si>
    <t>MVA FVG</t>
  </si>
  <si>
    <t>mean</t>
  </si>
  <si>
    <t>NGLNMc18</t>
  </si>
  <si>
    <t>EURGBP18MV=</t>
  </si>
  <si>
    <t>NBP_M18</t>
  </si>
  <si>
    <t>EUR_GBP</t>
  </si>
  <si>
    <t>GBP</t>
  </si>
  <si>
    <t/>
  </si>
  <si>
    <t>Date</t>
  </si>
  <si>
    <t>TTF_M18_CLOSE</t>
  </si>
  <si>
    <t>Henry_Hub_M18_CLOSE</t>
  </si>
  <si>
    <t>NBP_M18_CLOSE</t>
  </si>
  <si>
    <t>coal_spot_M18_CLOSE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</si>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</sst>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%"/>
    <numFmt numFmtId="167" formatCode="0.00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'M18'!$Z$6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'M18'!$Z$7:$Z$1618</c:f>
              <c:numCache>
                <c:formatCode>General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'M18'!$AA$6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'M18'!$AA$7:$AA$1618</c:f>
              <c:numCache>
                <c:formatCode>General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'M18'!$U$6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'M18'!$U$7:$U$1618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-1.3769189773061331E-2</c:v>
                </c:pt>
                <c:pt idx="500">
                  <c:v>-6.7888240871954164E-2</c:v>
                </c:pt>
                <c:pt idx="501">
                  <c:v>-6.9588152600051023E-2</c:v>
                </c:pt>
                <c:pt idx="502">
                  <c:v>-4.9953516072581583E-2</c:v>
                </c:pt>
                <c:pt idx="503">
                  <c:v>-9.5421516125342554E-2</c:v>
                </c:pt>
                <c:pt idx="504">
                  <c:v>-0.12055831267732398</c:v>
                </c:pt>
                <c:pt idx="505">
                  <c:v>-8.9729934759220087E-2</c:v>
                </c:pt>
                <c:pt idx="506">
                  <c:v>-0.14690253688420729</c:v>
                </c:pt>
                <c:pt idx="507">
                  <c:v>-0.17990672356753756</c:v>
                </c:pt>
                <c:pt idx="508">
                  <c:v>-0.21061043433108817</c:v>
                </c:pt>
                <c:pt idx="509">
                  <c:v>-0.13864084022588419</c:v>
                </c:pt>
                <c:pt idx="510">
                  <c:v>-0.27047885149669759</c:v>
                </c:pt>
                <c:pt idx="511">
                  <c:v>-9.6261117111257732E-2</c:v>
                </c:pt>
                <c:pt idx="512">
                  <c:v>-2.7234763657308703E-2</c:v>
                </c:pt>
                <c:pt idx="513">
                  <c:v>2.682261114301232E-2</c:v>
                </c:pt>
                <c:pt idx="514">
                  <c:v>0.35678973129517777</c:v>
                </c:pt>
                <c:pt idx="515">
                  <c:v>-0.10326709504069043</c:v>
                </c:pt>
                <c:pt idx="516">
                  <c:v>1.5288958682853515E-2</c:v>
                </c:pt>
                <c:pt idx="517">
                  <c:v>-2.1164303959412267E-2</c:v>
                </c:pt>
                <c:pt idx="518">
                  <c:v>-5.1995110355816498E-2</c:v>
                </c:pt>
                <c:pt idx="519">
                  <c:v>-0.15202029044681553</c:v>
                </c:pt>
                <c:pt idx="520">
                  <c:v>-9.1112665295706607E-2</c:v>
                </c:pt>
                <c:pt idx="521">
                  <c:v>-0.13475376646684689</c:v>
                </c:pt>
                <c:pt idx="522">
                  <c:v>-0.10806036771838379</c:v>
                </c:pt>
                <c:pt idx="523">
                  <c:v>-9.8832173416762648E-2</c:v>
                </c:pt>
                <c:pt idx="524">
                  <c:v>-8.2147266484569381E-2</c:v>
                </c:pt>
                <c:pt idx="525">
                  <c:v>-4.1756664479945305E-2</c:v>
                </c:pt>
                <c:pt idx="526">
                  <c:v>-0.12239701833698347</c:v>
                </c:pt>
                <c:pt idx="527">
                  <c:v>-0.14358868616460341</c:v>
                </c:pt>
                <c:pt idx="528">
                  <c:v>-0.1190719394881109</c:v>
                </c:pt>
                <c:pt idx="529">
                  <c:v>-7.5993263716049309E-2</c:v>
                </c:pt>
                <c:pt idx="530">
                  <c:v>-3.6143624432509958E-2</c:v>
                </c:pt>
                <c:pt idx="531">
                  <c:v>-6.1273360532528076E-2</c:v>
                </c:pt>
                <c:pt idx="532">
                  <c:v>-8.484042140263226E-2</c:v>
                </c:pt>
                <c:pt idx="533">
                  <c:v>-0.13130194162410147</c:v>
                </c:pt>
                <c:pt idx="534">
                  <c:v>-0.20219248819400354</c:v>
                </c:pt>
                <c:pt idx="535">
                  <c:v>-4.6387120836754336E-2</c:v>
                </c:pt>
                <c:pt idx="536">
                  <c:v>0.19586745364056135</c:v>
                </c:pt>
                <c:pt idx="537">
                  <c:v>0.17044765458938649</c:v>
                </c:pt>
                <c:pt idx="538">
                  <c:v>-1.3509164300876009E-2</c:v>
                </c:pt>
                <c:pt idx="539">
                  <c:v>3.2418862803248238E-2</c:v>
                </c:pt>
                <c:pt idx="540">
                  <c:v>4.4150056332171284E-2</c:v>
                </c:pt>
                <c:pt idx="541">
                  <c:v>-1.9759575037540333E-2</c:v>
                </c:pt>
                <c:pt idx="542">
                  <c:v>-2.9817520466311032E-2</c:v>
                </c:pt>
                <c:pt idx="543">
                  <c:v>-4.4826628128828871E-2</c:v>
                </c:pt>
                <c:pt idx="544">
                  <c:v>-2.8764492263417873E-2</c:v>
                </c:pt>
                <c:pt idx="545">
                  <c:v>-0.10941799448568085</c:v>
                </c:pt>
                <c:pt idx="546">
                  <c:v>-7.4628499802404547E-2</c:v>
                </c:pt>
                <c:pt idx="547">
                  <c:v>-0.11866485826364009</c:v>
                </c:pt>
                <c:pt idx="548">
                  <c:v>-4.5351515962111177E-2</c:v>
                </c:pt>
                <c:pt idx="549">
                  <c:v>-7.6518511444380655E-2</c:v>
                </c:pt>
                <c:pt idx="550">
                  <c:v>-6.9370796917247846E-2</c:v>
                </c:pt>
                <c:pt idx="551">
                  <c:v>-8.900014183334426E-2</c:v>
                </c:pt>
                <c:pt idx="552">
                  <c:v>-6.8714567631718793E-2</c:v>
                </c:pt>
                <c:pt idx="553">
                  <c:v>-0.11969926078827553</c:v>
                </c:pt>
                <c:pt idx="554">
                  <c:v>-0.13415468578371709</c:v>
                </c:pt>
                <c:pt idx="555">
                  <c:v>-0.20859165288596948</c:v>
                </c:pt>
                <c:pt idx="556">
                  <c:v>5.2263609648089807E-2</c:v>
                </c:pt>
                <c:pt idx="557">
                  <c:v>7.0895576573752089E-2</c:v>
                </c:pt>
                <c:pt idx="558">
                  <c:v>-7.8833616348994856E-3</c:v>
                </c:pt>
                <c:pt idx="559">
                  <c:v>-3.0837336719360807E-2</c:v>
                </c:pt>
                <c:pt idx="560">
                  <c:v>-6.3995391275961072E-2</c:v>
                </c:pt>
                <c:pt idx="561">
                  <c:v>9.2898748650405705E-3</c:v>
                </c:pt>
                <c:pt idx="562">
                  <c:v>4.2936863396637936E-2</c:v>
                </c:pt>
                <c:pt idx="563">
                  <c:v>1.8854871556914454E-2</c:v>
                </c:pt>
                <c:pt idx="564">
                  <c:v>9.8983482903964415E-2</c:v>
                </c:pt>
                <c:pt idx="565">
                  <c:v>0.12877989785492627</c:v>
                </c:pt>
                <c:pt idx="566">
                  <c:v>-8.0877502767542797E-2</c:v>
                </c:pt>
                <c:pt idx="567">
                  <c:v>-0.15402296597421838</c:v>
                </c:pt>
                <c:pt idx="568">
                  <c:v>-4.6511946098028889E-2</c:v>
                </c:pt>
                <c:pt idx="569">
                  <c:v>-8.7730893462157677E-2</c:v>
                </c:pt>
                <c:pt idx="570">
                  <c:v>-1.6734295371001462E-3</c:v>
                </c:pt>
                <c:pt idx="571">
                  <c:v>2.4687529669954467E-2</c:v>
                </c:pt>
                <c:pt idx="572">
                  <c:v>2.8208642865231282E-2</c:v>
                </c:pt>
                <c:pt idx="573">
                  <c:v>-3.7935312507812124E-2</c:v>
                </c:pt>
                <c:pt idx="574">
                  <c:v>-8.3589498537613993E-2</c:v>
                </c:pt>
                <c:pt idx="575">
                  <c:v>-9.3546529969866343E-2</c:v>
                </c:pt>
                <c:pt idx="576">
                  <c:v>-8.9079044543152186E-2</c:v>
                </c:pt>
                <c:pt idx="577">
                  <c:v>-0.11013618100490563</c:v>
                </c:pt>
                <c:pt idx="578">
                  <c:v>0.67342705835136207</c:v>
                </c:pt>
                <c:pt idx="579">
                  <c:v>1.0714819270913221</c:v>
                </c:pt>
                <c:pt idx="580">
                  <c:v>0.8483727197414771</c:v>
                </c:pt>
                <c:pt idx="581">
                  <c:v>0.72544623019162735</c:v>
                </c:pt>
                <c:pt idx="582">
                  <c:v>0.53080783131276765</c:v>
                </c:pt>
                <c:pt idx="583">
                  <c:v>0.65835693017458086</c:v>
                </c:pt>
                <c:pt idx="584">
                  <c:v>0.40035368472973143</c:v>
                </c:pt>
                <c:pt idx="585">
                  <c:v>0.3826814727556021</c:v>
                </c:pt>
                <c:pt idx="586">
                  <c:v>0.1398864566953249</c:v>
                </c:pt>
                <c:pt idx="587">
                  <c:v>0.19088050528427764</c:v>
                </c:pt>
                <c:pt idx="588">
                  <c:v>-0.14377919224904195</c:v>
                </c:pt>
                <c:pt idx="589">
                  <c:v>-0.23961692680587648</c:v>
                </c:pt>
                <c:pt idx="590">
                  <c:v>-0.1310898231796418</c:v>
                </c:pt>
                <c:pt idx="591">
                  <c:v>-0.20032454150817663</c:v>
                </c:pt>
                <c:pt idx="592">
                  <c:v>-0.29728973460446889</c:v>
                </c:pt>
                <c:pt idx="593">
                  <c:v>-0.19487442106500885</c:v>
                </c:pt>
                <c:pt idx="594">
                  <c:v>-0.35150764847151439</c:v>
                </c:pt>
                <c:pt idx="595">
                  <c:v>-0.17836462216515925</c:v>
                </c:pt>
                <c:pt idx="596">
                  <c:v>-0.21202636202325159</c:v>
                </c:pt>
                <c:pt idx="597">
                  <c:v>-8.5727303399970589E-3</c:v>
                </c:pt>
                <c:pt idx="598">
                  <c:v>7.381381013947419E-2</c:v>
                </c:pt>
                <c:pt idx="599">
                  <c:v>-0.13377011649822779</c:v>
                </c:pt>
                <c:pt idx="600">
                  <c:v>-0.18442747193885331</c:v>
                </c:pt>
                <c:pt idx="601">
                  <c:v>-0.10747015129367851</c:v>
                </c:pt>
                <c:pt idx="602">
                  <c:v>-0.1376491919131064</c:v>
                </c:pt>
                <c:pt idx="603">
                  <c:v>-5.2560512858678743E-2</c:v>
                </c:pt>
                <c:pt idx="604">
                  <c:v>-0.16973296334427734</c:v>
                </c:pt>
                <c:pt idx="605">
                  <c:v>-0.17235845438302735</c:v>
                </c:pt>
                <c:pt idx="606">
                  <c:v>-0.25235168164220168</c:v>
                </c:pt>
                <c:pt idx="607">
                  <c:v>-0.26926833947886852</c:v>
                </c:pt>
                <c:pt idx="608">
                  <c:v>-0.3454365366907336</c:v>
                </c:pt>
                <c:pt idx="609">
                  <c:v>-0.46430022950938277</c:v>
                </c:pt>
                <c:pt idx="610">
                  <c:v>-0.53310984546493856</c:v>
                </c:pt>
                <c:pt idx="611">
                  <c:v>-0.40949330535475853</c:v>
                </c:pt>
                <c:pt idx="612">
                  <c:v>-0.33607420701007734</c:v>
                </c:pt>
                <c:pt idx="613">
                  <c:v>-0.39918565780513038</c:v>
                </c:pt>
                <c:pt idx="614">
                  <c:v>-0.54625467383138482</c:v>
                </c:pt>
                <c:pt idx="615">
                  <c:v>-0.44196840425301964</c:v>
                </c:pt>
                <c:pt idx="616">
                  <c:v>-0.38222180560149877</c:v>
                </c:pt>
                <c:pt idx="617">
                  <c:v>-0.38587773190756808</c:v>
                </c:pt>
                <c:pt idx="618">
                  <c:v>-0.21097621346939616</c:v>
                </c:pt>
                <c:pt idx="619">
                  <c:v>-0.17744807398726992</c:v>
                </c:pt>
                <c:pt idx="620">
                  <c:v>-0.34989936523779941</c:v>
                </c:pt>
                <c:pt idx="621">
                  <c:v>-0.33825331990046303</c:v>
                </c:pt>
                <c:pt idx="622">
                  <c:v>-0.17894886676613075</c:v>
                </c:pt>
                <c:pt idx="623">
                  <c:v>-9.3732760992887521E-2</c:v>
                </c:pt>
                <c:pt idx="624">
                  <c:v>-1.0555785646348848E-2</c:v>
                </c:pt>
                <c:pt idx="625">
                  <c:v>-0.20262850576560842</c:v>
                </c:pt>
                <c:pt idx="626">
                  <c:v>-1.5597829630739857E-2</c:v>
                </c:pt>
                <c:pt idx="627">
                  <c:v>-5.497935329886855E-2</c:v>
                </c:pt>
                <c:pt idx="628">
                  <c:v>-6.1998806092744552E-3</c:v>
                </c:pt>
                <c:pt idx="629">
                  <c:v>-0.10810676365032482</c:v>
                </c:pt>
                <c:pt idx="630">
                  <c:v>-1.2030987118988867E-2</c:v>
                </c:pt>
                <c:pt idx="631">
                  <c:v>-0.14339367979646395</c:v>
                </c:pt>
                <c:pt idx="632">
                  <c:v>-0.10750507409996851</c:v>
                </c:pt>
                <c:pt idx="633">
                  <c:v>-0.14449341834972609</c:v>
                </c:pt>
                <c:pt idx="634">
                  <c:v>-0.15600283500629841</c:v>
                </c:pt>
                <c:pt idx="635">
                  <c:v>-0.10443420321539737</c:v>
                </c:pt>
                <c:pt idx="636">
                  <c:v>-0.16009052769559207</c:v>
                </c:pt>
                <c:pt idx="637">
                  <c:v>-0.20415122077373357</c:v>
                </c:pt>
                <c:pt idx="638">
                  <c:v>-0.37011492993966877</c:v>
                </c:pt>
                <c:pt idx="639">
                  <c:v>-0.20868371603096475</c:v>
                </c:pt>
                <c:pt idx="640">
                  <c:v>-0.11840487164031216</c:v>
                </c:pt>
                <c:pt idx="641">
                  <c:v>-0.11786973598731088</c:v>
                </c:pt>
                <c:pt idx="642">
                  <c:v>-0.69790677246515664</c:v>
                </c:pt>
                <c:pt idx="643">
                  <c:v>-0.45902049931347566</c:v>
                </c:pt>
                <c:pt idx="644">
                  <c:v>-0.37538211010122846</c:v>
                </c:pt>
                <c:pt idx="645">
                  <c:v>-0.1096210720662758</c:v>
                </c:pt>
                <c:pt idx="646">
                  <c:v>9.4912265298705112E-2</c:v>
                </c:pt>
                <c:pt idx="647">
                  <c:v>6.8193308415855913E-3</c:v>
                </c:pt>
                <c:pt idx="648">
                  <c:v>-0.17731178908205392</c:v>
                </c:pt>
                <c:pt idx="649">
                  <c:v>-5.2546378927920134E-3</c:v>
                </c:pt>
                <c:pt idx="650">
                  <c:v>-7.7800445828323683E-2</c:v>
                </c:pt>
                <c:pt idx="651">
                  <c:v>-0.15958120753686145</c:v>
                </c:pt>
                <c:pt idx="652">
                  <c:v>-0.29066605005772828</c:v>
                </c:pt>
                <c:pt idx="653">
                  <c:v>-0.17671596381002441</c:v>
                </c:pt>
                <c:pt idx="654">
                  <c:v>-0.22353229557262866</c:v>
                </c:pt>
                <c:pt idx="655">
                  <c:v>-0.37091201572501054</c:v>
                </c:pt>
                <c:pt idx="656">
                  <c:v>-0.29284120622667142</c:v>
                </c:pt>
                <c:pt idx="657">
                  <c:v>-0.30220216724491933</c:v>
                </c:pt>
                <c:pt idx="658">
                  <c:v>-7.7354072442052502E-2</c:v>
                </c:pt>
                <c:pt idx="659">
                  <c:v>-0.30928178413367724</c:v>
                </c:pt>
                <c:pt idx="660">
                  <c:v>-0.20713434710174305</c:v>
                </c:pt>
                <c:pt idx="661">
                  <c:v>-3.6043152394157341E-2</c:v>
                </c:pt>
                <c:pt idx="662">
                  <c:v>0.17904090695935104</c:v>
                </c:pt>
                <c:pt idx="663">
                  <c:v>0.63470434743408322</c:v>
                </c:pt>
                <c:pt idx="664">
                  <c:v>0.5091966233838866</c:v>
                </c:pt>
                <c:pt idx="665">
                  <c:v>0.50700490609091775</c:v>
                </c:pt>
                <c:pt idx="666">
                  <c:v>0.51588311240981</c:v>
                </c:pt>
                <c:pt idx="667">
                  <c:v>0.22621259157334772</c:v>
                </c:pt>
                <c:pt idx="668">
                  <c:v>0.34349372151221269</c:v>
                </c:pt>
                <c:pt idx="669">
                  <c:v>0.12786097568757393</c:v>
                </c:pt>
                <c:pt idx="670">
                  <c:v>7.5074036289008994E-3</c:v>
                </c:pt>
                <c:pt idx="671">
                  <c:v>-0.1063956816712377</c:v>
                </c:pt>
                <c:pt idx="672">
                  <c:v>-0.14597200844263658</c:v>
                </c:pt>
                <c:pt idx="673">
                  <c:v>-6.9126108923439955E-2</c:v>
                </c:pt>
                <c:pt idx="674">
                  <c:v>-0.21955616378835274</c:v>
                </c:pt>
                <c:pt idx="675">
                  <c:v>-4.4232599832594088E-2</c:v>
                </c:pt>
                <c:pt idx="676">
                  <c:v>9.6904516706013633E-2</c:v>
                </c:pt>
                <c:pt idx="677">
                  <c:v>-6.9242292581150222E-2</c:v>
                </c:pt>
                <c:pt idx="678">
                  <c:v>-7.0531738828978896E-2</c:v>
                </c:pt>
                <c:pt idx="679">
                  <c:v>-7.9017480505957582E-2</c:v>
                </c:pt>
                <c:pt idx="680">
                  <c:v>1.7896784956567657E-2</c:v>
                </c:pt>
                <c:pt idx="681">
                  <c:v>-0.26092019370710473</c:v>
                </c:pt>
                <c:pt idx="682">
                  <c:v>-0.29581318911854437</c:v>
                </c:pt>
                <c:pt idx="683">
                  <c:v>-0.1141419491793515</c:v>
                </c:pt>
                <c:pt idx="684">
                  <c:v>-9.7615739617622932E-2</c:v>
                </c:pt>
                <c:pt idx="685">
                  <c:v>-0.42937282636601593</c:v>
                </c:pt>
                <c:pt idx="686">
                  <c:v>0.30095114469196005</c:v>
                </c:pt>
                <c:pt idx="687">
                  <c:v>0.19301313356893468</c:v>
                </c:pt>
                <c:pt idx="688">
                  <c:v>6.7330358370525256E-2</c:v>
                </c:pt>
                <c:pt idx="689">
                  <c:v>-0.13986712035692084</c:v>
                </c:pt>
                <c:pt idx="690">
                  <c:v>-0.22481373133711613</c:v>
                </c:pt>
                <c:pt idx="691">
                  <c:v>-0.12942161846971012</c:v>
                </c:pt>
                <c:pt idx="692">
                  <c:v>-2.089174674678862E-2</c:v>
                </c:pt>
                <c:pt idx="693">
                  <c:v>-2.552924224455122E-2</c:v>
                </c:pt>
                <c:pt idx="694">
                  <c:v>7.8161887283756837E-2</c:v>
                </c:pt>
                <c:pt idx="695">
                  <c:v>9.4679772502266779E-2</c:v>
                </c:pt>
                <c:pt idx="696">
                  <c:v>5.3636902822882027E-2</c:v>
                </c:pt>
                <c:pt idx="697">
                  <c:v>-8.9132399839627618E-3</c:v>
                </c:pt>
                <c:pt idx="698">
                  <c:v>7.3078780375814834E-3</c:v>
                </c:pt>
                <c:pt idx="699">
                  <c:v>0.14843565061840336</c:v>
                </c:pt>
                <c:pt idx="700">
                  <c:v>-2.1270567879009272E-3</c:v>
                </c:pt>
                <c:pt idx="701">
                  <c:v>-3.1410737734021366E-2</c:v>
                </c:pt>
                <c:pt idx="702">
                  <c:v>-0.17722856184038749</c:v>
                </c:pt>
                <c:pt idx="703">
                  <c:v>-0.18458304906120993</c:v>
                </c:pt>
                <c:pt idx="704">
                  <c:v>-4.8067135985567555E-2</c:v>
                </c:pt>
                <c:pt idx="705">
                  <c:v>-0.73061926790337239</c:v>
                </c:pt>
                <c:pt idx="706">
                  <c:v>-1.6391446579326678</c:v>
                </c:pt>
                <c:pt idx="707">
                  <c:v>-1.0022132051101389</c:v>
                </c:pt>
                <c:pt idx="708">
                  <c:v>-0.86272980361054952</c:v>
                </c:pt>
                <c:pt idx="709">
                  <c:v>-0.72463429071981433</c:v>
                </c:pt>
                <c:pt idx="710">
                  <c:v>-0.55215375818894474</c:v>
                </c:pt>
                <c:pt idx="711">
                  <c:v>-0.44855623867581329</c:v>
                </c:pt>
                <c:pt idx="712">
                  <c:v>-0.47908958955331515</c:v>
                </c:pt>
                <c:pt idx="713">
                  <c:v>-0.49577906795556226</c:v>
                </c:pt>
                <c:pt idx="714">
                  <c:v>-0.43088816870717728</c:v>
                </c:pt>
                <c:pt idx="715">
                  <c:v>-0.1470295795287152</c:v>
                </c:pt>
                <c:pt idx="716">
                  <c:v>-0.2330879532075873</c:v>
                </c:pt>
                <c:pt idx="717">
                  <c:v>-0.20286229006234979</c:v>
                </c:pt>
                <c:pt idx="718">
                  <c:v>-0.13866074376449888</c:v>
                </c:pt>
                <c:pt idx="719">
                  <c:v>-0.1550388964163282</c:v>
                </c:pt>
                <c:pt idx="720">
                  <c:v>-6.8431493810177324E-2</c:v>
                </c:pt>
                <c:pt idx="721">
                  <c:v>0.12010926263737876</c:v>
                </c:pt>
                <c:pt idx="722">
                  <c:v>0.141459325622176</c:v>
                </c:pt>
                <c:pt idx="723">
                  <c:v>0.13439802841603266</c:v>
                </c:pt>
                <c:pt idx="724">
                  <c:v>-2.127115068880514E-2</c:v>
                </c:pt>
                <c:pt idx="725">
                  <c:v>0.25478705826435927</c:v>
                </c:pt>
                <c:pt idx="726">
                  <c:v>0.11941527826012335</c:v>
                </c:pt>
                <c:pt idx="727">
                  <c:v>2.4293985938642251E-2</c:v>
                </c:pt>
                <c:pt idx="728">
                  <c:v>-0.95799449648747914</c:v>
                </c:pt>
                <c:pt idx="729">
                  <c:v>-0.77367411804497399</c:v>
                </c:pt>
                <c:pt idx="730">
                  <c:v>-0.23710772302158112</c:v>
                </c:pt>
                <c:pt idx="731">
                  <c:v>-0.10515441752515209</c:v>
                </c:pt>
                <c:pt idx="732">
                  <c:v>-0.18668515703387728</c:v>
                </c:pt>
                <c:pt idx="733">
                  <c:v>-0.31084870312057106</c:v>
                </c:pt>
                <c:pt idx="734">
                  <c:v>-0.29092856750969587</c:v>
                </c:pt>
                <c:pt idx="735">
                  <c:v>-0.41169385684553589</c:v>
                </c:pt>
                <c:pt idx="736">
                  <c:v>-0.46893609323108298</c:v>
                </c:pt>
                <c:pt idx="737">
                  <c:v>-0.48110110479138107</c:v>
                </c:pt>
                <c:pt idx="738">
                  <c:v>-0.32689589830606836</c:v>
                </c:pt>
                <c:pt idx="739">
                  <c:v>-0.13880310828543188</c:v>
                </c:pt>
                <c:pt idx="740">
                  <c:v>-0.32575366976784897</c:v>
                </c:pt>
                <c:pt idx="741">
                  <c:v>-0.2576249458431798</c:v>
                </c:pt>
                <c:pt idx="742">
                  <c:v>-0.21792757451668365</c:v>
                </c:pt>
                <c:pt idx="743">
                  <c:v>-0.29739895603904065</c:v>
                </c:pt>
                <c:pt idx="744">
                  <c:v>-0.51824042642386969</c:v>
                </c:pt>
                <c:pt idx="745">
                  <c:v>-0.40068227181088045</c:v>
                </c:pt>
                <c:pt idx="746">
                  <c:v>-0.64397476398366016</c:v>
                </c:pt>
                <c:pt idx="747">
                  <c:v>-0.41045935615431317</c:v>
                </c:pt>
                <c:pt idx="748">
                  <c:v>-3.192510866200185E-2</c:v>
                </c:pt>
                <c:pt idx="749">
                  <c:v>-0.3224242559920254</c:v>
                </c:pt>
                <c:pt idx="750">
                  <c:v>-0.97976606717242132</c:v>
                </c:pt>
                <c:pt idx="751">
                  <c:v>-1.7458405855596579</c:v>
                </c:pt>
                <c:pt idx="752">
                  <c:v>-1.0530549830271578</c:v>
                </c:pt>
                <c:pt idx="753">
                  <c:v>-0.64189029627716221</c:v>
                </c:pt>
                <c:pt idx="754">
                  <c:v>-0.55225855641787125</c:v>
                </c:pt>
                <c:pt idx="755">
                  <c:v>-0.12753791907430245</c:v>
                </c:pt>
                <c:pt idx="756">
                  <c:v>-0.19563384186943744</c:v>
                </c:pt>
                <c:pt idx="757">
                  <c:v>-0.10437195533525412</c:v>
                </c:pt>
                <c:pt idx="758">
                  <c:v>-0.45345036047596965</c:v>
                </c:pt>
                <c:pt idx="759">
                  <c:v>-0.11788871430480841</c:v>
                </c:pt>
                <c:pt idx="760">
                  <c:v>-0.25364867902826688</c:v>
                </c:pt>
                <c:pt idx="761">
                  <c:v>-9.6941437943722786E-3</c:v>
                </c:pt>
                <c:pt idx="762">
                  <c:v>0.33837433687120883</c:v>
                </c:pt>
                <c:pt idx="763">
                  <c:v>4.2626234655356421E-2</c:v>
                </c:pt>
                <c:pt idx="764">
                  <c:v>-0.15480982782803138</c:v>
                </c:pt>
                <c:pt idx="765">
                  <c:v>-3.9648113186369349E-2</c:v>
                </c:pt>
                <c:pt idx="766">
                  <c:v>-0.11944202226415407</c:v>
                </c:pt>
                <c:pt idx="767">
                  <c:v>5.3293652068510111E-2</c:v>
                </c:pt>
                <c:pt idx="768">
                  <c:v>-4.0169921491433502E-2</c:v>
                </c:pt>
                <c:pt idx="769">
                  <c:v>0.60224468682303944</c:v>
                </c:pt>
                <c:pt idx="770">
                  <c:v>-0.9822955015936482</c:v>
                </c:pt>
                <c:pt idx="771">
                  <c:v>-0.67139956058749739</c:v>
                </c:pt>
                <c:pt idx="772">
                  <c:v>-0.4380004815977574</c:v>
                </c:pt>
                <c:pt idx="773">
                  <c:v>-4.0538532275018024E-2</c:v>
                </c:pt>
                <c:pt idx="774">
                  <c:v>-7.1629227513678506E-2</c:v>
                </c:pt>
                <c:pt idx="775">
                  <c:v>-9.68714758795097E-2</c:v>
                </c:pt>
                <c:pt idx="776">
                  <c:v>-0.24877861550331223</c:v>
                </c:pt>
                <c:pt idx="777">
                  <c:v>-9.358424801545201E-2</c:v>
                </c:pt>
                <c:pt idx="778">
                  <c:v>-8.5005886953797904E-2</c:v>
                </c:pt>
                <c:pt idx="779">
                  <c:v>-1.8341349865143353E-2</c:v>
                </c:pt>
                <c:pt idx="780">
                  <c:v>-2.1417328001552383E-2</c:v>
                </c:pt>
                <c:pt idx="781">
                  <c:v>0.22239795709298793</c:v>
                </c:pt>
                <c:pt idx="782">
                  <c:v>4.754966873484312E-2</c:v>
                </c:pt>
                <c:pt idx="783">
                  <c:v>0.15116526689772469</c:v>
                </c:pt>
                <c:pt idx="784">
                  <c:v>6.7382296743793035E-2</c:v>
                </c:pt>
                <c:pt idx="785">
                  <c:v>7.6720511980037043E-2</c:v>
                </c:pt>
                <c:pt idx="786">
                  <c:v>0.10513349256028603</c:v>
                </c:pt>
                <c:pt idx="787">
                  <c:v>0.20501372789625338</c:v>
                </c:pt>
                <c:pt idx="788">
                  <c:v>0.24436449298210317</c:v>
                </c:pt>
                <c:pt idx="789">
                  <c:v>0.13217170811831336</c:v>
                </c:pt>
                <c:pt idx="790">
                  <c:v>4.5082001497115609E-2</c:v>
                </c:pt>
                <c:pt idx="791">
                  <c:v>-2.2512243122976283E-2</c:v>
                </c:pt>
                <c:pt idx="792">
                  <c:v>-1.2588032280468693</c:v>
                </c:pt>
                <c:pt idx="793">
                  <c:v>-0.5742008443425104</c:v>
                </c:pt>
                <c:pt idx="794">
                  <c:v>-4.4773179003742225E-2</c:v>
                </c:pt>
                <c:pt idx="795">
                  <c:v>-0.23052095615236778</c:v>
                </c:pt>
                <c:pt idx="796">
                  <c:v>-1.3784560094475484E-2</c:v>
                </c:pt>
                <c:pt idx="797">
                  <c:v>-0.36777355242229781</c:v>
                </c:pt>
                <c:pt idx="798">
                  <c:v>-0.24082790437726542</c:v>
                </c:pt>
                <c:pt idx="799">
                  <c:v>-0.22821016322026599</c:v>
                </c:pt>
                <c:pt idx="800">
                  <c:v>6.7530051718669881E-2</c:v>
                </c:pt>
                <c:pt idx="801">
                  <c:v>8.3694436607835598E-2</c:v>
                </c:pt>
                <c:pt idx="802">
                  <c:v>0.18474812688863729</c:v>
                </c:pt>
                <c:pt idx="803">
                  <c:v>0.30910608065876488</c:v>
                </c:pt>
                <c:pt idx="804">
                  <c:v>0.28201528116489172</c:v>
                </c:pt>
                <c:pt idx="805">
                  <c:v>0.23753108215130903</c:v>
                </c:pt>
                <c:pt idx="806">
                  <c:v>0.23728345224328651</c:v>
                </c:pt>
                <c:pt idx="807">
                  <c:v>0.34412572491040749</c:v>
                </c:pt>
                <c:pt idx="808">
                  <c:v>0.39429129256178119</c:v>
                </c:pt>
                <c:pt idx="809">
                  <c:v>0.27827111178622554</c:v>
                </c:pt>
                <c:pt idx="810">
                  <c:v>0.25798535242810705</c:v>
                </c:pt>
                <c:pt idx="811">
                  <c:v>0.49383731624962091</c:v>
                </c:pt>
                <c:pt idx="812">
                  <c:v>-0.67015664604806657</c:v>
                </c:pt>
                <c:pt idx="813">
                  <c:v>-0.2827262443017029</c:v>
                </c:pt>
                <c:pt idx="814">
                  <c:v>-0.14021495465305578</c:v>
                </c:pt>
                <c:pt idx="815">
                  <c:v>-0.15903899510098074</c:v>
                </c:pt>
                <c:pt idx="816">
                  <c:v>-8.7033494620731844E-3</c:v>
                </c:pt>
                <c:pt idx="817">
                  <c:v>-2.1448679917679181E-2</c:v>
                </c:pt>
                <c:pt idx="818">
                  <c:v>3.0281405879444057E-2</c:v>
                </c:pt>
                <c:pt idx="819">
                  <c:v>-5.5487695717049812E-2</c:v>
                </c:pt>
                <c:pt idx="820">
                  <c:v>9.3572684936466866E-2</c:v>
                </c:pt>
                <c:pt idx="821">
                  <c:v>0.13198635344116205</c:v>
                </c:pt>
                <c:pt idx="822">
                  <c:v>0.17009451419568311</c:v>
                </c:pt>
                <c:pt idx="823">
                  <c:v>-0.11622735961576613</c:v>
                </c:pt>
                <c:pt idx="824">
                  <c:v>-0.1801628465871401</c:v>
                </c:pt>
                <c:pt idx="825">
                  <c:v>-0.22178294672842136</c:v>
                </c:pt>
                <c:pt idx="826">
                  <c:v>-0.45611929459033995</c:v>
                </c:pt>
                <c:pt idx="827">
                  <c:v>-0.45142118540723508</c:v>
                </c:pt>
                <c:pt idx="828">
                  <c:v>-0.55168231164622017</c:v>
                </c:pt>
                <c:pt idx="829">
                  <c:v>-0.30250011599564208</c:v>
                </c:pt>
                <c:pt idx="830">
                  <c:v>-0.33440013885543041</c:v>
                </c:pt>
                <c:pt idx="831">
                  <c:v>-0.2541255554328844</c:v>
                </c:pt>
                <c:pt idx="832">
                  <c:v>0.16316385632431207</c:v>
                </c:pt>
                <c:pt idx="833">
                  <c:v>-1.7792007453162229</c:v>
                </c:pt>
                <c:pt idx="834">
                  <c:v>-0.80216970401267096</c:v>
                </c:pt>
                <c:pt idx="835">
                  <c:v>-0.53211745460818616</c:v>
                </c:pt>
                <c:pt idx="836">
                  <c:v>-0.24941171934246953</c:v>
                </c:pt>
                <c:pt idx="837">
                  <c:v>-0.21106199294601585</c:v>
                </c:pt>
                <c:pt idx="838">
                  <c:v>-6.627804180573349E-2</c:v>
                </c:pt>
                <c:pt idx="839">
                  <c:v>3.431326431187065E-2</c:v>
                </c:pt>
                <c:pt idx="840">
                  <c:v>0.10586735821105897</c:v>
                </c:pt>
                <c:pt idx="841">
                  <c:v>0.23692629109424868</c:v>
                </c:pt>
                <c:pt idx="842">
                  <c:v>0.22806272896236446</c:v>
                </c:pt>
                <c:pt idx="843">
                  <c:v>2.5864187440830078E-2</c:v>
                </c:pt>
                <c:pt idx="844">
                  <c:v>5.1656656648448207E-2</c:v>
                </c:pt>
                <c:pt idx="845">
                  <c:v>2.342759837497721E-2</c:v>
                </c:pt>
                <c:pt idx="846">
                  <c:v>9.0324758761031188E-3</c:v>
                </c:pt>
                <c:pt idx="847">
                  <c:v>4.8438407392411786E-2</c:v>
                </c:pt>
                <c:pt idx="848">
                  <c:v>-0.12418914760226474</c:v>
                </c:pt>
                <c:pt idx="849">
                  <c:v>5.837347834455886E-2</c:v>
                </c:pt>
                <c:pt idx="850">
                  <c:v>-0.16400370555349753</c:v>
                </c:pt>
                <c:pt idx="851">
                  <c:v>-0.15109780473884005</c:v>
                </c:pt>
                <c:pt idx="852">
                  <c:v>0.27071608439768635</c:v>
                </c:pt>
                <c:pt idx="853">
                  <c:v>-0.84597688427014806</c:v>
                </c:pt>
                <c:pt idx="854">
                  <c:v>-0.54554130506472465</c:v>
                </c:pt>
                <c:pt idx="855">
                  <c:v>-0.4673730651066732</c:v>
                </c:pt>
                <c:pt idx="856">
                  <c:v>-0.40863747777743731</c:v>
                </c:pt>
                <c:pt idx="857">
                  <c:v>-0.63131245694450389</c:v>
                </c:pt>
                <c:pt idx="858">
                  <c:v>-0.26508724497284231</c:v>
                </c:pt>
                <c:pt idx="859">
                  <c:v>-0.38429902135039073</c:v>
                </c:pt>
                <c:pt idx="860">
                  <c:v>-0.35834121589658308</c:v>
                </c:pt>
                <c:pt idx="861">
                  <c:v>-0.30225002090010644</c:v>
                </c:pt>
                <c:pt idx="862">
                  <c:v>-0.18961877542812466</c:v>
                </c:pt>
                <c:pt idx="863">
                  <c:v>-0.34089750785907302</c:v>
                </c:pt>
                <c:pt idx="864">
                  <c:v>-0.25035040381497753</c:v>
                </c:pt>
                <c:pt idx="865">
                  <c:v>-0.28750709743987635</c:v>
                </c:pt>
                <c:pt idx="866">
                  <c:v>-0.28441422225348578</c:v>
                </c:pt>
                <c:pt idx="867">
                  <c:v>-0.35555572103032551</c:v>
                </c:pt>
                <c:pt idx="868">
                  <c:v>-0.25986928650192187</c:v>
                </c:pt>
                <c:pt idx="869">
                  <c:v>-0.18526721907906607</c:v>
                </c:pt>
                <c:pt idx="870">
                  <c:v>-0.10698585272051364</c:v>
                </c:pt>
                <c:pt idx="871">
                  <c:v>-2.566637749266043E-2</c:v>
                </c:pt>
                <c:pt idx="872">
                  <c:v>9.1241376060524182E-2</c:v>
                </c:pt>
                <c:pt idx="873">
                  <c:v>9.0665174878716392E-2</c:v>
                </c:pt>
                <c:pt idx="874">
                  <c:v>-2.0195987561268058E-2</c:v>
                </c:pt>
                <c:pt idx="875">
                  <c:v>0.51697445713643297</c:v>
                </c:pt>
                <c:pt idx="876">
                  <c:v>-2.3128194339620212E-2</c:v>
                </c:pt>
                <c:pt idx="877">
                  <c:v>-0.142721625315958</c:v>
                </c:pt>
                <c:pt idx="878">
                  <c:v>-0.1177375862934813</c:v>
                </c:pt>
                <c:pt idx="879">
                  <c:v>-7.6662043946305491E-2</c:v>
                </c:pt>
                <c:pt idx="880">
                  <c:v>-8.4122350058043249E-2</c:v>
                </c:pt>
                <c:pt idx="881">
                  <c:v>-8.4545070591055094E-2</c:v>
                </c:pt>
                <c:pt idx="882">
                  <c:v>-8.372045147919227E-2</c:v>
                </c:pt>
                <c:pt idx="883">
                  <c:v>-5.8700741378164167E-2</c:v>
                </c:pt>
                <c:pt idx="884">
                  <c:v>-0.20811981516386391</c:v>
                </c:pt>
                <c:pt idx="885">
                  <c:v>-4.9068080799196334E-2</c:v>
                </c:pt>
                <c:pt idx="886">
                  <c:v>-6.2824518096715742E-3</c:v>
                </c:pt>
                <c:pt idx="887">
                  <c:v>-0.16253093505400429</c:v>
                </c:pt>
                <c:pt idx="888">
                  <c:v>-0.16394523522865923</c:v>
                </c:pt>
                <c:pt idx="889">
                  <c:v>-0.13093284048571885</c:v>
                </c:pt>
                <c:pt idx="890">
                  <c:v>-0.19447015423774072</c:v>
                </c:pt>
                <c:pt idx="891">
                  <c:v>-0.22100815196240697</c:v>
                </c:pt>
                <c:pt idx="892">
                  <c:v>-0.19547057237969812</c:v>
                </c:pt>
                <c:pt idx="893">
                  <c:v>-9.0852485203456013E-2</c:v>
                </c:pt>
                <c:pt idx="894">
                  <c:v>-6.4996247928110762E-2</c:v>
                </c:pt>
                <c:pt idx="895">
                  <c:v>-0.11154542886396879</c:v>
                </c:pt>
                <c:pt idx="896">
                  <c:v>9.8260958502520257E-2</c:v>
                </c:pt>
                <c:pt idx="897">
                  <c:v>-0.18569590209930631</c:v>
                </c:pt>
                <c:pt idx="898">
                  <c:v>-2.1128174423145296E-2</c:v>
                </c:pt>
                <c:pt idx="899">
                  <c:v>-1.1220875313841194E-2</c:v>
                </c:pt>
                <c:pt idx="900">
                  <c:v>-9.0500301413837914E-2</c:v>
                </c:pt>
                <c:pt idx="901">
                  <c:v>-7.6226208634098125E-2</c:v>
                </c:pt>
                <c:pt idx="902">
                  <c:v>-0.11427360814703702</c:v>
                </c:pt>
                <c:pt idx="903">
                  <c:v>-9.7143541145926715E-2</c:v>
                </c:pt>
                <c:pt idx="904">
                  <c:v>-1.8887076476244768E-2</c:v>
                </c:pt>
                <c:pt idx="905">
                  <c:v>-1.5435069009961389E-3</c:v>
                </c:pt>
                <c:pt idx="906">
                  <c:v>-9.8172495465703058E-2</c:v>
                </c:pt>
                <c:pt idx="907">
                  <c:v>-2.4591869402903033E-2</c:v>
                </c:pt>
                <c:pt idx="908">
                  <c:v>-2.8509067221484496E-2</c:v>
                </c:pt>
                <c:pt idx="909">
                  <c:v>-2.4726078780258565E-2</c:v>
                </c:pt>
                <c:pt idx="910">
                  <c:v>-4.3113550204370021E-2</c:v>
                </c:pt>
                <c:pt idx="911">
                  <c:v>-0.10388882200756822</c:v>
                </c:pt>
                <c:pt idx="912">
                  <c:v>-0.10114661297367844</c:v>
                </c:pt>
                <c:pt idx="913">
                  <c:v>-8.6657879265010784E-3</c:v>
                </c:pt>
                <c:pt idx="914">
                  <c:v>-2.8254751363084196E-2</c:v>
                </c:pt>
                <c:pt idx="915">
                  <c:v>-3.6005828303539822E-2</c:v>
                </c:pt>
                <c:pt idx="916">
                  <c:v>-3.4379132442158511E-2</c:v>
                </c:pt>
                <c:pt idx="917">
                  <c:v>-6.3710768600360623E-2</c:v>
                </c:pt>
                <c:pt idx="918">
                  <c:v>4.3431962869949547E-2</c:v>
                </c:pt>
                <c:pt idx="919">
                  <c:v>-0.121192232439012</c:v>
                </c:pt>
                <c:pt idx="920">
                  <c:v>-6.4566694212340181E-2</c:v>
                </c:pt>
                <c:pt idx="921">
                  <c:v>-5.2941128011319005E-2</c:v>
                </c:pt>
                <c:pt idx="922">
                  <c:v>-9.7169761229240814E-2</c:v>
                </c:pt>
                <c:pt idx="923">
                  <c:v>-6.0092210287949088E-2</c:v>
                </c:pt>
                <c:pt idx="924">
                  <c:v>-4.8253192262312172E-2</c:v>
                </c:pt>
                <c:pt idx="925">
                  <c:v>-1.0922144199871475E-2</c:v>
                </c:pt>
                <c:pt idx="926">
                  <c:v>2.1857059690776115E-2</c:v>
                </c:pt>
                <c:pt idx="927">
                  <c:v>-7.903110107785194E-2</c:v>
                </c:pt>
                <c:pt idx="928">
                  <c:v>-8.9748331649704749E-2</c:v>
                </c:pt>
                <c:pt idx="929">
                  <c:v>-0.12400473467374318</c:v>
                </c:pt>
                <c:pt idx="930">
                  <c:v>-7.2788701244870468E-2</c:v>
                </c:pt>
                <c:pt idx="931">
                  <c:v>-6.5896245359414296E-2</c:v>
                </c:pt>
                <c:pt idx="932">
                  <c:v>0.11385285198719552</c:v>
                </c:pt>
                <c:pt idx="933">
                  <c:v>-0.13023418302538592</c:v>
                </c:pt>
                <c:pt idx="934">
                  <c:v>-0.10027308834590554</c:v>
                </c:pt>
                <c:pt idx="935">
                  <c:v>-0.10364117092371194</c:v>
                </c:pt>
                <c:pt idx="936">
                  <c:v>-0.1375569401005694</c:v>
                </c:pt>
                <c:pt idx="937">
                  <c:v>-0.32269571210867953</c:v>
                </c:pt>
                <c:pt idx="938">
                  <c:v>-0.16290840639099979</c:v>
                </c:pt>
                <c:pt idx="939">
                  <c:v>-0.10197877153636936</c:v>
                </c:pt>
                <c:pt idx="940">
                  <c:v>-8.8901500353666396E-2</c:v>
                </c:pt>
                <c:pt idx="941">
                  <c:v>6.094923632487248E-2</c:v>
                </c:pt>
                <c:pt idx="942">
                  <c:v>4.6190171426524707E-2</c:v>
                </c:pt>
                <c:pt idx="943">
                  <c:v>2.6446377544653066E-2</c:v>
                </c:pt>
                <c:pt idx="944">
                  <c:v>1.1945605376552981E-2</c:v>
                </c:pt>
                <c:pt idx="945">
                  <c:v>5.1611169737570961E-3</c:v>
                </c:pt>
                <c:pt idx="946">
                  <c:v>2.0968212786808937E-2</c:v>
                </c:pt>
                <c:pt idx="947">
                  <c:v>-2.620280482863846E-2</c:v>
                </c:pt>
                <c:pt idx="948">
                  <c:v>5.000347390755655E-2</c:v>
                </c:pt>
                <c:pt idx="949">
                  <c:v>7.2040726254908094E-2</c:v>
                </c:pt>
                <c:pt idx="950">
                  <c:v>8.2896415563670001E-2</c:v>
                </c:pt>
                <c:pt idx="951">
                  <c:v>0.12846175730635867</c:v>
                </c:pt>
                <c:pt idx="952">
                  <c:v>3.3212249652561088E-2</c:v>
                </c:pt>
                <c:pt idx="953">
                  <c:v>2.3579820183607492E-2</c:v>
                </c:pt>
                <c:pt idx="954">
                  <c:v>-2.2324841679709717E-2</c:v>
                </c:pt>
                <c:pt idx="955">
                  <c:v>-6.2616342593418306E-2</c:v>
                </c:pt>
                <c:pt idx="956">
                  <c:v>-6.8660384574104949E-2</c:v>
                </c:pt>
                <c:pt idx="957">
                  <c:v>-4.3420041442456814E-3</c:v>
                </c:pt>
                <c:pt idx="958">
                  <c:v>-8.4499630637830947E-3</c:v>
                </c:pt>
                <c:pt idx="959">
                  <c:v>-2.5597967059308946E-2</c:v>
                </c:pt>
                <c:pt idx="960">
                  <c:v>-1.0669328345883411E-2</c:v>
                </c:pt>
                <c:pt idx="961">
                  <c:v>-0.41637315881323222</c:v>
                </c:pt>
                <c:pt idx="962">
                  <c:v>-0.11373304940581108</c:v>
                </c:pt>
                <c:pt idx="963">
                  <c:v>-7.2058740518656794E-3</c:v>
                </c:pt>
                <c:pt idx="964">
                  <c:v>1.0405016866168015E-2</c:v>
                </c:pt>
                <c:pt idx="965">
                  <c:v>-1.4646838183768995E-2</c:v>
                </c:pt>
                <c:pt idx="966">
                  <c:v>-2.2684316074119693E-2</c:v>
                </c:pt>
                <c:pt idx="967">
                  <c:v>-6.5060055591069199E-2</c:v>
                </c:pt>
                <c:pt idx="968">
                  <c:v>-4.348314030269429E-2</c:v>
                </c:pt>
                <c:pt idx="969">
                  <c:v>-5.8394985568104296E-2</c:v>
                </c:pt>
                <c:pt idx="970">
                  <c:v>-3.1887517862952186E-2</c:v>
                </c:pt>
                <c:pt idx="971">
                  <c:v>-5.9529620630464741E-2</c:v>
                </c:pt>
                <c:pt idx="972">
                  <c:v>-2.7872763595918837E-2</c:v>
                </c:pt>
                <c:pt idx="973">
                  <c:v>-4.161123454160176E-2</c:v>
                </c:pt>
                <c:pt idx="974">
                  <c:v>-4.374788488931991E-2</c:v>
                </c:pt>
                <c:pt idx="975">
                  <c:v>-3.5199513910201929E-2</c:v>
                </c:pt>
                <c:pt idx="976">
                  <c:v>-4.6455359303956056E-2</c:v>
                </c:pt>
                <c:pt idx="977">
                  <c:v>1.112267990750726E-2</c:v>
                </c:pt>
                <c:pt idx="978">
                  <c:v>-3.6405886084160954E-3</c:v>
                </c:pt>
                <c:pt idx="979">
                  <c:v>1.8398562494735593E-2</c:v>
                </c:pt>
                <c:pt idx="980">
                  <c:v>7.1526900820045869E-3</c:v>
                </c:pt>
                <c:pt idx="981">
                  <c:v>-6.6901312684115588E-3</c:v>
                </c:pt>
                <c:pt idx="982">
                  <c:v>2.0177816883969579E-2</c:v>
                </c:pt>
                <c:pt idx="983">
                  <c:v>6.3927124359504428E-2</c:v>
                </c:pt>
                <c:pt idx="984">
                  <c:v>-7.4058896997280188E-2</c:v>
                </c:pt>
                <c:pt idx="985">
                  <c:v>-2.2510146878229637E-2</c:v>
                </c:pt>
                <c:pt idx="986">
                  <c:v>-4.4453615645937944E-2</c:v>
                </c:pt>
                <c:pt idx="987">
                  <c:v>-1.2243572680620263E-2</c:v>
                </c:pt>
                <c:pt idx="988">
                  <c:v>-3.7613938033626004E-3</c:v>
                </c:pt>
                <c:pt idx="989">
                  <c:v>-1.6103763051323911E-2</c:v>
                </c:pt>
                <c:pt idx="990">
                  <c:v>-1.2992611138375271E-2</c:v>
                </c:pt>
                <c:pt idx="991">
                  <c:v>-8.3425327655524129E-3</c:v>
                </c:pt>
                <c:pt idx="992">
                  <c:v>-2.1478818865862115E-3</c:v>
                </c:pt>
                <c:pt idx="993">
                  <c:v>-3.9025548851168379E-2</c:v>
                </c:pt>
                <c:pt idx="994">
                  <c:v>-3.4240937365648705E-2</c:v>
                </c:pt>
                <c:pt idx="995">
                  <c:v>-3.3491610612722544E-3</c:v>
                </c:pt>
                <c:pt idx="996">
                  <c:v>-3.4167424011400827E-2</c:v>
                </c:pt>
                <c:pt idx="997">
                  <c:v>2.7195319710951342E-2</c:v>
                </c:pt>
                <c:pt idx="998">
                  <c:v>2.8480838654673563E-2</c:v>
                </c:pt>
                <c:pt idx="999">
                  <c:v>-6.003668888829106E-4</c:v>
                </c:pt>
                <c:pt idx="1000">
                  <c:v>-7.4668399701460636E-3</c:v>
                </c:pt>
                <c:pt idx="1001">
                  <c:v>4.2353713119468478E-2</c:v>
                </c:pt>
                <c:pt idx="1002">
                  <c:v>4.6804744635125871E-2</c:v>
                </c:pt>
                <c:pt idx="1003">
                  <c:v>6.2136243625520136E-2</c:v>
                </c:pt>
                <c:pt idx="1004">
                  <c:v>5.1312161973885967E-2</c:v>
                </c:pt>
                <c:pt idx="1005">
                  <c:v>7.9324064269254563E-2</c:v>
                </c:pt>
                <c:pt idx="1006">
                  <c:v>-1.3768707713097794E-2</c:v>
                </c:pt>
                <c:pt idx="1007">
                  <c:v>8.4111503656681602E-2</c:v>
                </c:pt>
                <c:pt idx="1008">
                  <c:v>6.2548394316044573E-2</c:v>
                </c:pt>
                <c:pt idx="1009">
                  <c:v>7.9324284712896653E-2</c:v>
                </c:pt>
                <c:pt idx="1010">
                  <c:v>6.4926189778732046E-2</c:v>
                </c:pt>
                <c:pt idx="1011">
                  <c:v>5.6862329205824264E-2</c:v>
                </c:pt>
                <c:pt idx="1012">
                  <c:v>9.8879149535926789E-2</c:v>
                </c:pt>
                <c:pt idx="1013">
                  <c:v>4.9462464723953284E-2</c:v>
                </c:pt>
                <c:pt idx="1014">
                  <c:v>3.8765265431524455E-2</c:v>
                </c:pt>
                <c:pt idx="1015">
                  <c:v>-9.1914510707556425E-3</c:v>
                </c:pt>
                <c:pt idx="1016">
                  <c:v>-3.470973072918479E-3</c:v>
                </c:pt>
                <c:pt idx="1017">
                  <c:v>-1.2102493428004263E-2</c:v>
                </c:pt>
                <c:pt idx="1018">
                  <c:v>-9.2119487644550593E-3</c:v>
                </c:pt>
                <c:pt idx="1019">
                  <c:v>3.2471622630124222E-2</c:v>
                </c:pt>
                <c:pt idx="1020">
                  <c:v>4.871690363322341E-2</c:v>
                </c:pt>
                <c:pt idx="1021">
                  <c:v>8.550832781636486E-2</c:v>
                </c:pt>
                <c:pt idx="1022">
                  <c:v>0.11993916352806927</c:v>
                </c:pt>
                <c:pt idx="1023">
                  <c:v>8.0231396804195887E-2</c:v>
                </c:pt>
                <c:pt idx="1024">
                  <c:v>0.14602460914145443</c:v>
                </c:pt>
                <c:pt idx="1025">
                  <c:v>5.2985025534010077E-2</c:v>
                </c:pt>
                <c:pt idx="1026">
                  <c:v>1.8192177749405514E-2</c:v>
                </c:pt>
                <c:pt idx="1027">
                  <c:v>-1.0518532175326611E-2</c:v>
                </c:pt>
                <c:pt idx="1028">
                  <c:v>-4.4935939618979404E-2</c:v>
                </c:pt>
                <c:pt idx="1029">
                  <c:v>-3.8860421200227035E-2</c:v>
                </c:pt>
                <c:pt idx="1030">
                  <c:v>-3.2610601738847889E-2</c:v>
                </c:pt>
                <c:pt idx="1031">
                  <c:v>-3.1041032696073723E-2</c:v>
                </c:pt>
                <c:pt idx="1032">
                  <c:v>5.676104004935012E-3</c:v>
                </c:pt>
                <c:pt idx="1033">
                  <c:v>3.5908306313341742E-2</c:v>
                </c:pt>
                <c:pt idx="1034">
                  <c:v>9.2651673181654015E-3</c:v>
                </c:pt>
                <c:pt idx="1035">
                  <c:v>4.3373136264838186E-2</c:v>
                </c:pt>
                <c:pt idx="1036">
                  <c:v>-1.8945368155060704E-2</c:v>
                </c:pt>
                <c:pt idx="1037">
                  <c:v>5.4196771342661598E-2</c:v>
                </c:pt>
                <c:pt idx="1038">
                  <c:v>2.1710606861302564E-2</c:v>
                </c:pt>
                <c:pt idx="1039">
                  <c:v>4.4933116442231025E-2</c:v>
                </c:pt>
                <c:pt idx="1040">
                  <c:v>7.694191669950759E-2</c:v>
                </c:pt>
                <c:pt idx="1041">
                  <c:v>7.3836400784704881E-2</c:v>
                </c:pt>
                <c:pt idx="1042">
                  <c:v>0.14304209903469112</c:v>
                </c:pt>
                <c:pt idx="1043">
                  <c:v>6.5832600914362605E-2</c:v>
                </c:pt>
                <c:pt idx="1044">
                  <c:v>5.395974485105931E-2</c:v>
                </c:pt>
                <c:pt idx="1045">
                  <c:v>-1.1742887741215402E-2</c:v>
                </c:pt>
                <c:pt idx="1046">
                  <c:v>6.4129375631117314E-2</c:v>
                </c:pt>
                <c:pt idx="1047">
                  <c:v>0.14739614412172869</c:v>
                </c:pt>
                <c:pt idx="1048">
                  <c:v>7.8642442377211075E-2</c:v>
                </c:pt>
                <c:pt idx="1049">
                  <c:v>5.1553418136217666E-2</c:v>
                </c:pt>
                <c:pt idx="1050">
                  <c:v>6.419316614727022E-2</c:v>
                </c:pt>
                <c:pt idx="1051">
                  <c:v>8.2136184472393681E-2</c:v>
                </c:pt>
                <c:pt idx="1052">
                  <c:v>5.4209852167136696E-2</c:v>
                </c:pt>
                <c:pt idx="1053">
                  <c:v>7.8331491029550393E-2</c:v>
                </c:pt>
                <c:pt idx="1054">
                  <c:v>5.9813568091116043E-2</c:v>
                </c:pt>
                <c:pt idx="1055">
                  <c:v>2.1995444539681386E-2</c:v>
                </c:pt>
                <c:pt idx="1056">
                  <c:v>-2.1155921767458397E-3</c:v>
                </c:pt>
                <c:pt idx="1057">
                  <c:v>1.2668018268389813E-2</c:v>
                </c:pt>
                <c:pt idx="1058">
                  <c:v>-4.8663902577006368E-3</c:v>
                </c:pt>
                <c:pt idx="1059">
                  <c:v>2.2108640248959532E-2</c:v>
                </c:pt>
                <c:pt idx="1060">
                  <c:v>-6.103384338145601E-2</c:v>
                </c:pt>
                <c:pt idx="1061">
                  <c:v>-6.3535194205941115E-2</c:v>
                </c:pt>
                <c:pt idx="1062">
                  <c:v>-6.822492343600628E-2</c:v>
                </c:pt>
                <c:pt idx="1063">
                  <c:v>-3.4513780323974896E-2</c:v>
                </c:pt>
                <c:pt idx="1064">
                  <c:v>-2.1249439350387922E-2</c:v>
                </c:pt>
                <c:pt idx="1065">
                  <c:v>-2.1539042055642721E-2</c:v>
                </c:pt>
                <c:pt idx="1066">
                  <c:v>-2.8685908901544099E-2</c:v>
                </c:pt>
                <c:pt idx="1067">
                  <c:v>0.17079226079208326</c:v>
                </c:pt>
                <c:pt idx="1068">
                  <c:v>0.21100616640820025</c:v>
                </c:pt>
                <c:pt idx="1069">
                  <c:v>0.19198179312539765</c:v>
                </c:pt>
                <c:pt idx="1070">
                  <c:v>0.23754584627162217</c:v>
                </c:pt>
                <c:pt idx="1071">
                  <c:v>0.25276656220848298</c:v>
                </c:pt>
                <c:pt idx="1072">
                  <c:v>0.22457911309968692</c:v>
                </c:pt>
                <c:pt idx="1073">
                  <c:v>0.17846301817067545</c:v>
                </c:pt>
                <c:pt idx="1074">
                  <c:v>0.24551099894628159</c:v>
                </c:pt>
                <c:pt idx="1075">
                  <c:v>0.17008179312958749</c:v>
                </c:pt>
                <c:pt idx="1076">
                  <c:v>0.22717634935461428</c:v>
                </c:pt>
                <c:pt idx="1077">
                  <c:v>0.16547436135525584</c:v>
                </c:pt>
                <c:pt idx="1078">
                  <c:v>0.17470494724456209</c:v>
                </c:pt>
                <c:pt idx="1079">
                  <c:v>0.18680710483081553</c:v>
                </c:pt>
                <c:pt idx="1080">
                  <c:v>0.12554226925393119</c:v>
                </c:pt>
                <c:pt idx="1081">
                  <c:v>-2.8529469884329695E-2</c:v>
                </c:pt>
                <c:pt idx="1082">
                  <c:v>5.9876916383266199E-2</c:v>
                </c:pt>
                <c:pt idx="1083">
                  <c:v>-4.4458867641153255E-2</c:v>
                </c:pt>
                <c:pt idx="1084">
                  <c:v>-5.4317798131342521E-3</c:v>
                </c:pt>
                <c:pt idx="1085">
                  <c:v>-4.1094746015089223E-2</c:v>
                </c:pt>
                <c:pt idx="1086">
                  <c:v>-8.0988905257215471E-2</c:v>
                </c:pt>
                <c:pt idx="1087">
                  <c:v>-8.8114703436062314E-2</c:v>
                </c:pt>
                <c:pt idx="1088">
                  <c:v>4.780289378450564E-2</c:v>
                </c:pt>
                <c:pt idx="1089">
                  <c:v>8.2690640441358987E-2</c:v>
                </c:pt>
                <c:pt idx="1090">
                  <c:v>0.1004751884206192</c:v>
                </c:pt>
                <c:pt idx="1091">
                  <c:v>-4.8610246754059561E-2</c:v>
                </c:pt>
                <c:pt idx="1092">
                  <c:v>-2.3026651742488968E-2</c:v>
                </c:pt>
                <c:pt idx="1093">
                  <c:v>3.2523865073731645E-2</c:v>
                </c:pt>
                <c:pt idx="1094">
                  <c:v>0.15940982073155874</c:v>
                </c:pt>
                <c:pt idx="1095">
                  <c:v>-6.0889182776649953E-2</c:v>
                </c:pt>
                <c:pt idx="1096">
                  <c:v>-9.7824657950164401E-2</c:v>
                </c:pt>
                <c:pt idx="1097">
                  <c:v>-0.10042343164181758</c:v>
                </c:pt>
                <c:pt idx="1098">
                  <c:v>-3.7186799165481427E-2</c:v>
                </c:pt>
                <c:pt idx="1099">
                  <c:v>-1.5486093560565461E-2</c:v>
                </c:pt>
                <c:pt idx="1100">
                  <c:v>-2.6907834482956694E-2</c:v>
                </c:pt>
                <c:pt idx="1101">
                  <c:v>-9.3051247836568096E-2</c:v>
                </c:pt>
                <c:pt idx="1102">
                  <c:v>-8.9553734874292856E-2</c:v>
                </c:pt>
                <c:pt idx="1103">
                  <c:v>-5.8486459988693895E-2</c:v>
                </c:pt>
                <c:pt idx="1104">
                  <c:v>-2.7507103139850886E-2</c:v>
                </c:pt>
                <c:pt idx="1105">
                  <c:v>-3.7882696808722388E-2</c:v>
                </c:pt>
                <c:pt idx="1106">
                  <c:v>4.932662150001782E-2</c:v>
                </c:pt>
                <c:pt idx="1107">
                  <c:v>-3.7017314112420874E-2</c:v>
                </c:pt>
                <c:pt idx="1108">
                  <c:v>0.18471071452406931</c:v>
                </c:pt>
                <c:pt idx="1109">
                  <c:v>4.5637285053023391E-2</c:v>
                </c:pt>
                <c:pt idx="1110">
                  <c:v>-7.5805173212479815E-3</c:v>
                </c:pt>
                <c:pt idx="1111">
                  <c:v>3.363842620897517E-2</c:v>
                </c:pt>
                <c:pt idx="1112">
                  <c:v>7.4403483629746914E-3</c:v>
                </c:pt>
                <c:pt idx="1113">
                  <c:v>-9.4055520027431228E-3</c:v>
                </c:pt>
                <c:pt idx="1114">
                  <c:v>2.3068206639962341E-2</c:v>
                </c:pt>
                <c:pt idx="1115">
                  <c:v>-5.3743465914934396E-3</c:v>
                </c:pt>
                <c:pt idx="1116">
                  <c:v>2.3029170722190795E-2</c:v>
                </c:pt>
                <c:pt idx="1117">
                  <c:v>-5.2169894591539034E-2</c:v>
                </c:pt>
                <c:pt idx="1118">
                  <c:v>-3.579555316148203E-2</c:v>
                </c:pt>
                <c:pt idx="1119">
                  <c:v>-5.8502220698331803E-2</c:v>
                </c:pt>
                <c:pt idx="1120">
                  <c:v>7.3027350024874038E-3</c:v>
                </c:pt>
                <c:pt idx="1121">
                  <c:v>-6.9749480746477577E-2</c:v>
                </c:pt>
                <c:pt idx="1122">
                  <c:v>-7.4535428231208511E-2</c:v>
                </c:pt>
                <c:pt idx="1123">
                  <c:v>-0.11235245849835723</c:v>
                </c:pt>
                <c:pt idx="1124">
                  <c:v>-5.4806165154546671E-2</c:v>
                </c:pt>
                <c:pt idx="1125">
                  <c:v>-0.13344406250030344</c:v>
                </c:pt>
                <c:pt idx="1126">
                  <c:v>-4.72906663122033E-2</c:v>
                </c:pt>
                <c:pt idx="1127">
                  <c:v>3.8669076126018886E-3</c:v>
                </c:pt>
                <c:pt idx="1128">
                  <c:v>-0.10924947882123692</c:v>
                </c:pt>
                <c:pt idx="1129">
                  <c:v>-0.10078858072147817</c:v>
                </c:pt>
                <c:pt idx="1130">
                  <c:v>-6.6195592294567895E-2</c:v>
                </c:pt>
                <c:pt idx="1131">
                  <c:v>0.14790561244466316</c:v>
                </c:pt>
                <c:pt idx="1132">
                  <c:v>-0.21312222998487962</c:v>
                </c:pt>
                <c:pt idx="1133">
                  <c:v>-0.1476133069140747</c:v>
                </c:pt>
                <c:pt idx="1134">
                  <c:v>-0.14470920207765881</c:v>
                </c:pt>
                <c:pt idx="1135">
                  <c:v>-8.5998522638647934E-2</c:v>
                </c:pt>
                <c:pt idx="1136">
                  <c:v>-8.3549033430038944E-2</c:v>
                </c:pt>
                <c:pt idx="1137">
                  <c:v>-2.5118433977855958E-2</c:v>
                </c:pt>
                <c:pt idx="1138">
                  <c:v>-1.1951715348961223E-3</c:v>
                </c:pt>
                <c:pt idx="1139">
                  <c:v>2.1290252480546612E-2</c:v>
                </c:pt>
                <c:pt idx="1140">
                  <c:v>-3.6905333600351087E-2</c:v>
                </c:pt>
                <c:pt idx="1141">
                  <c:v>-5.5826854062676401E-2</c:v>
                </c:pt>
                <c:pt idx="1142">
                  <c:v>-4.805786318412264E-2</c:v>
                </c:pt>
                <c:pt idx="1143">
                  <c:v>-5.8884865480126058E-2</c:v>
                </c:pt>
                <c:pt idx="1144">
                  <c:v>-7.6101577747749505E-2</c:v>
                </c:pt>
                <c:pt idx="1145">
                  <c:v>-3.8123720535218508E-2</c:v>
                </c:pt>
                <c:pt idx="1146">
                  <c:v>-8.9415301320486029E-2</c:v>
                </c:pt>
                <c:pt idx="1147">
                  <c:v>-7.1855471521667491E-2</c:v>
                </c:pt>
                <c:pt idx="1148">
                  <c:v>-4.2241333430755201E-2</c:v>
                </c:pt>
                <c:pt idx="1149">
                  <c:v>-0.10435064606473932</c:v>
                </c:pt>
                <c:pt idx="1150">
                  <c:v>-0.10605350955136322</c:v>
                </c:pt>
                <c:pt idx="1151">
                  <c:v>0.12848781000250459</c:v>
                </c:pt>
                <c:pt idx="1152">
                  <c:v>-0.24934534127404312</c:v>
                </c:pt>
                <c:pt idx="1153">
                  <c:v>-0.21690362624205412</c:v>
                </c:pt>
                <c:pt idx="1154">
                  <c:v>-0.17053983783061022</c:v>
                </c:pt>
                <c:pt idx="1155">
                  <c:v>-5.8606480891291002E-2</c:v>
                </c:pt>
                <c:pt idx="1156">
                  <c:v>-0.11254311842818984</c:v>
                </c:pt>
                <c:pt idx="1157">
                  <c:v>-0.15381842563599735</c:v>
                </c:pt>
                <c:pt idx="1158">
                  <c:v>-9.930660994126797E-2</c:v>
                </c:pt>
                <c:pt idx="1159">
                  <c:v>-8.9302347545314936E-2</c:v>
                </c:pt>
                <c:pt idx="1160">
                  <c:v>-0.1726017383475828</c:v>
                </c:pt>
                <c:pt idx="1161">
                  <c:v>-0.2154714865452334</c:v>
                </c:pt>
                <c:pt idx="1162">
                  <c:v>-0.20307917599716818</c:v>
                </c:pt>
                <c:pt idx="1163">
                  <c:v>-3.575032245628601E-2</c:v>
                </c:pt>
                <c:pt idx="1164">
                  <c:v>-5.290979827255804E-2</c:v>
                </c:pt>
                <c:pt idx="1165">
                  <c:v>2.4889689545297466E-2</c:v>
                </c:pt>
                <c:pt idx="1166">
                  <c:v>2.2961099292414522E-2</c:v>
                </c:pt>
                <c:pt idx="1167">
                  <c:v>0.12971825848235705</c:v>
                </c:pt>
                <c:pt idx="1168">
                  <c:v>0.10644789675978006</c:v>
                </c:pt>
                <c:pt idx="1169">
                  <c:v>0.11403090071754501</c:v>
                </c:pt>
                <c:pt idx="1170">
                  <c:v>4.1957953475332488E-2</c:v>
                </c:pt>
                <c:pt idx="1171">
                  <c:v>8.4869586395712182E-3</c:v>
                </c:pt>
                <c:pt idx="1172">
                  <c:v>-1.9111397978323744E-2</c:v>
                </c:pt>
                <c:pt idx="1173">
                  <c:v>-3.5716472054537859E-2</c:v>
                </c:pt>
                <c:pt idx="1174">
                  <c:v>0.22383764756556532</c:v>
                </c:pt>
                <c:pt idx="1175">
                  <c:v>6.3257374286387807E-2</c:v>
                </c:pt>
                <c:pt idx="1176">
                  <c:v>0.14689653316708473</c:v>
                </c:pt>
                <c:pt idx="1177">
                  <c:v>3.3687956148103215E-2</c:v>
                </c:pt>
                <c:pt idx="1178">
                  <c:v>-3.1025781900495542E-3</c:v>
                </c:pt>
                <c:pt idx="1179">
                  <c:v>0.12048915123696141</c:v>
                </c:pt>
                <c:pt idx="1180">
                  <c:v>0.14415800460777134</c:v>
                </c:pt>
                <c:pt idx="1181">
                  <c:v>2.8877053802514041E-2</c:v>
                </c:pt>
                <c:pt idx="1182">
                  <c:v>0.11526069700174307</c:v>
                </c:pt>
                <c:pt idx="1183">
                  <c:v>0.10330296346868756</c:v>
                </c:pt>
                <c:pt idx="1184">
                  <c:v>0.12019771865463641</c:v>
                </c:pt>
                <c:pt idx="1185">
                  <c:v>7.5797882829328866E-2</c:v>
                </c:pt>
                <c:pt idx="1186">
                  <c:v>0.10593110829660518</c:v>
                </c:pt>
                <c:pt idx="1187">
                  <c:v>6.4713021967183648E-2</c:v>
                </c:pt>
                <c:pt idx="1188">
                  <c:v>2.1228045669460793E-2</c:v>
                </c:pt>
                <c:pt idx="1189">
                  <c:v>-2.1268012812783843E-2</c:v>
                </c:pt>
                <c:pt idx="1190">
                  <c:v>0.11321244340872827</c:v>
                </c:pt>
                <c:pt idx="1191">
                  <c:v>1.126152413084347E-2</c:v>
                </c:pt>
                <c:pt idx="1192">
                  <c:v>1.65746702689481E-2</c:v>
                </c:pt>
                <c:pt idx="1193">
                  <c:v>8.5925477735153799E-2</c:v>
                </c:pt>
                <c:pt idx="1194">
                  <c:v>9.1697799095030397E-2</c:v>
                </c:pt>
                <c:pt idx="1195">
                  <c:v>1.8982380854461467E-2</c:v>
                </c:pt>
                <c:pt idx="1196">
                  <c:v>-0.12052884644024209</c:v>
                </c:pt>
                <c:pt idx="1197">
                  <c:v>7.8272923778643921E-4</c:v>
                </c:pt>
                <c:pt idx="1198">
                  <c:v>2.2741112733302149E-2</c:v>
                </c:pt>
                <c:pt idx="1199">
                  <c:v>2.1195948127255004E-3</c:v>
                </c:pt>
                <c:pt idx="1200">
                  <c:v>-4.1022482173823316E-2</c:v>
                </c:pt>
                <c:pt idx="1201">
                  <c:v>2.4379765539273901E-2</c:v>
                </c:pt>
                <c:pt idx="1202">
                  <c:v>4.2358778473439163E-2</c:v>
                </c:pt>
                <c:pt idx="1203">
                  <c:v>3.7506936343803032E-2</c:v>
                </c:pt>
                <c:pt idx="1204">
                  <c:v>-5.3592429122711283E-2</c:v>
                </c:pt>
                <c:pt idx="1205">
                  <c:v>1.5076894017335918E-2</c:v>
                </c:pt>
                <c:pt idx="1206">
                  <c:v>0.12005098367881417</c:v>
                </c:pt>
                <c:pt idx="1207">
                  <c:v>8.3749763110842423E-2</c:v>
                </c:pt>
                <c:pt idx="1208">
                  <c:v>0.11401083594081635</c:v>
                </c:pt>
                <c:pt idx="1209">
                  <c:v>0.23751375171850483</c:v>
                </c:pt>
                <c:pt idx="1210">
                  <c:v>0.17481493813108875</c:v>
                </c:pt>
                <c:pt idx="1211">
                  <c:v>0.12325370926494342</c:v>
                </c:pt>
                <c:pt idx="1212">
                  <c:v>5.9361290579733605E-3</c:v>
                </c:pt>
                <c:pt idx="1213">
                  <c:v>-3.4149618832400863E-3</c:v>
                </c:pt>
                <c:pt idx="1214">
                  <c:v>-5.9659272801766416E-3</c:v>
                </c:pt>
                <c:pt idx="1215">
                  <c:v>5.9244626090828256E-2</c:v>
                </c:pt>
                <c:pt idx="1216">
                  <c:v>-6.6591500539720183E-2</c:v>
                </c:pt>
                <c:pt idx="1217">
                  <c:v>-1.1139536051887473</c:v>
                </c:pt>
                <c:pt idx="1218">
                  <c:v>-0.13479676889491121</c:v>
                </c:pt>
                <c:pt idx="1219">
                  <c:v>-0.17636131257320353</c:v>
                </c:pt>
                <c:pt idx="1220">
                  <c:v>-5.3410700352470197E-2</c:v>
                </c:pt>
                <c:pt idx="1221">
                  <c:v>-5.0023567688614046E-2</c:v>
                </c:pt>
                <c:pt idx="1222">
                  <c:v>-6.5114175822886367E-2</c:v>
                </c:pt>
                <c:pt idx="1223">
                  <c:v>-9.6715045549506939E-3</c:v>
                </c:pt>
                <c:pt idx="1224">
                  <c:v>-7.7949853532506719E-2</c:v>
                </c:pt>
                <c:pt idx="1225">
                  <c:v>6.9922542138760369E-2</c:v>
                </c:pt>
                <c:pt idx="1226">
                  <c:v>-0.18663507985930305</c:v>
                </c:pt>
                <c:pt idx="1227">
                  <c:v>-2.9315399013629673E-3</c:v>
                </c:pt>
                <c:pt idx="1228">
                  <c:v>-2.4789269084135812E-2</c:v>
                </c:pt>
                <c:pt idx="1229">
                  <c:v>-0.166010488232051</c:v>
                </c:pt>
                <c:pt idx="1230">
                  <c:v>-0.2042247576628653</c:v>
                </c:pt>
                <c:pt idx="1231">
                  <c:v>-0.1336362646449587</c:v>
                </c:pt>
                <c:pt idx="1232">
                  <c:v>-0.17773955401324049</c:v>
                </c:pt>
                <c:pt idx="1233">
                  <c:v>-0.23082035167452064</c:v>
                </c:pt>
                <c:pt idx="1234">
                  <c:v>-0.11477125239824493</c:v>
                </c:pt>
                <c:pt idx="1235">
                  <c:v>-4.2737423585813117E-2</c:v>
                </c:pt>
                <c:pt idx="1236">
                  <c:v>4.1704446771688053E-2</c:v>
                </c:pt>
                <c:pt idx="1237">
                  <c:v>-4.9550506870618571E-2</c:v>
                </c:pt>
                <c:pt idx="1238">
                  <c:v>-0.106843408318815</c:v>
                </c:pt>
                <c:pt idx="1239">
                  <c:v>-9.5326794075590637E-2</c:v>
                </c:pt>
                <c:pt idx="1240">
                  <c:v>-0.3230453025308595</c:v>
                </c:pt>
                <c:pt idx="1241">
                  <c:v>-3.1002487243318555E-2</c:v>
                </c:pt>
                <c:pt idx="1242">
                  <c:v>-3.0452267782054676E-2</c:v>
                </c:pt>
                <c:pt idx="1243">
                  <c:v>-7.0866599533757402E-2</c:v>
                </c:pt>
                <c:pt idx="1244">
                  <c:v>-0.14915371671982181</c:v>
                </c:pt>
                <c:pt idx="1245">
                  <c:v>-5.8673255119376932E-2</c:v>
                </c:pt>
                <c:pt idx="1246">
                  <c:v>-4.9347453596211732E-2</c:v>
                </c:pt>
                <c:pt idx="1247">
                  <c:v>-5.0375913665897887E-2</c:v>
                </c:pt>
                <c:pt idx="1248">
                  <c:v>7.3496389086177505E-2</c:v>
                </c:pt>
                <c:pt idx="1249">
                  <c:v>0.12210351367852779</c:v>
                </c:pt>
                <c:pt idx="1250">
                  <c:v>8.8087121320191475E-2</c:v>
                </c:pt>
                <c:pt idx="1251">
                  <c:v>-2.69861251792749E-2</c:v>
                </c:pt>
                <c:pt idx="1252">
                  <c:v>1.051194642214881E-2</c:v>
                </c:pt>
                <c:pt idx="1253">
                  <c:v>-2.0207518597085361E-2</c:v>
                </c:pt>
                <c:pt idx="1254">
                  <c:v>-1.2663086422723957E-3</c:v>
                </c:pt>
                <c:pt idx="1255">
                  <c:v>5.4931317761450993E-2</c:v>
                </c:pt>
                <c:pt idx="1256">
                  <c:v>5.8394094347038461E-2</c:v>
                </c:pt>
                <c:pt idx="1257">
                  <c:v>1.7875111557116963E-2</c:v>
                </c:pt>
                <c:pt idx="1258">
                  <c:v>4.9869244771160837E-2</c:v>
                </c:pt>
                <c:pt idx="1259">
                  <c:v>5.8296608673140682E-2</c:v>
                </c:pt>
                <c:pt idx="1260">
                  <c:v>0.1040242492464809</c:v>
                </c:pt>
                <c:pt idx="1261">
                  <c:v>0.51881046924888885</c:v>
                </c:pt>
                <c:pt idx="1262">
                  <c:v>0.37981210561195189</c:v>
                </c:pt>
                <c:pt idx="1263">
                  <c:v>0.32488950820272855</c:v>
                </c:pt>
                <c:pt idx="1264">
                  <c:v>0.2460665233652235</c:v>
                </c:pt>
                <c:pt idx="1265">
                  <c:v>0.17099246733699536</c:v>
                </c:pt>
                <c:pt idx="1266">
                  <c:v>0.18482603318250135</c:v>
                </c:pt>
                <c:pt idx="1267">
                  <c:v>0.26021841421444947</c:v>
                </c:pt>
                <c:pt idx="1268">
                  <c:v>0.12054891007372959</c:v>
                </c:pt>
                <c:pt idx="1269">
                  <c:v>7.8122619695855988E-2</c:v>
                </c:pt>
                <c:pt idx="1270">
                  <c:v>0.16929973851660263</c:v>
                </c:pt>
                <c:pt idx="1271">
                  <c:v>3.2756186455412006E-2</c:v>
                </c:pt>
                <c:pt idx="1272">
                  <c:v>-0.12771950726609838</c:v>
                </c:pt>
                <c:pt idx="1273">
                  <c:v>-0.21741916712215437</c:v>
                </c:pt>
                <c:pt idx="1274">
                  <c:v>-0.13698618394023176</c:v>
                </c:pt>
                <c:pt idx="1275">
                  <c:v>-0.32616460468797559</c:v>
                </c:pt>
                <c:pt idx="1276">
                  <c:v>-0.23716263986225439</c:v>
                </c:pt>
                <c:pt idx="1277">
                  <c:v>-5.9759951443790538E-2</c:v>
                </c:pt>
                <c:pt idx="1278">
                  <c:v>-5.5733413400161247E-2</c:v>
                </c:pt>
                <c:pt idx="1279">
                  <c:v>-7.8867093791771925E-2</c:v>
                </c:pt>
                <c:pt idx="1280">
                  <c:v>-6.1516879378693545E-2</c:v>
                </c:pt>
                <c:pt idx="1281">
                  <c:v>-0.23721411384127844</c:v>
                </c:pt>
                <c:pt idx="1282">
                  <c:v>0.14610227295288647</c:v>
                </c:pt>
                <c:pt idx="1283">
                  <c:v>6.6340979023976399E-2</c:v>
                </c:pt>
                <c:pt idx="1284">
                  <c:v>1.818305409180887E-2</c:v>
                </c:pt>
                <c:pt idx="1285">
                  <c:v>0.19948387812750168</c:v>
                </c:pt>
                <c:pt idx="1286">
                  <c:v>0.13570228509483195</c:v>
                </c:pt>
                <c:pt idx="1287">
                  <c:v>0.10119997944783909</c:v>
                </c:pt>
                <c:pt idx="1288">
                  <c:v>0.12424140054107369</c:v>
                </c:pt>
                <c:pt idx="1289">
                  <c:v>0.12255693143053215</c:v>
                </c:pt>
                <c:pt idx="1290">
                  <c:v>2.0663060882062378E-2</c:v>
                </c:pt>
                <c:pt idx="1291">
                  <c:v>-3.1711222108281589E-3</c:v>
                </c:pt>
                <c:pt idx="1292">
                  <c:v>7.3403110283081219E-3</c:v>
                </c:pt>
                <c:pt idx="1293">
                  <c:v>-5.3882178822468152E-2</c:v>
                </c:pt>
                <c:pt idx="1294">
                  <c:v>4.568700369441947E-2</c:v>
                </c:pt>
                <c:pt idx="1295">
                  <c:v>-2.917014451992106E-3</c:v>
                </c:pt>
                <c:pt idx="1296">
                  <c:v>-3.5886980238095223E-2</c:v>
                </c:pt>
                <c:pt idx="1297">
                  <c:v>-5.2722435262439582E-2</c:v>
                </c:pt>
                <c:pt idx="1298">
                  <c:v>-6.0783036871754792E-2</c:v>
                </c:pt>
                <c:pt idx="1299">
                  <c:v>-2.646325946434569E-2</c:v>
                </c:pt>
                <c:pt idx="1300">
                  <c:v>-3.259166758641463E-3</c:v>
                </c:pt>
                <c:pt idx="1301">
                  <c:v>4.4674193155635145E-2</c:v>
                </c:pt>
                <c:pt idx="1302">
                  <c:v>7.4779482252801177E-2</c:v>
                </c:pt>
                <c:pt idx="1303">
                  <c:v>2.2655883852305436E-2</c:v>
                </c:pt>
                <c:pt idx="1304">
                  <c:v>0.25769936411177596</c:v>
                </c:pt>
                <c:pt idx="1305">
                  <c:v>0.13267312775579354</c:v>
                </c:pt>
                <c:pt idx="1306">
                  <c:v>0.11289695590643412</c:v>
                </c:pt>
                <c:pt idx="1307">
                  <c:v>-3.9511619097565287E-4</c:v>
                </c:pt>
                <c:pt idx="1308">
                  <c:v>-1.6656740368338863E-2</c:v>
                </c:pt>
                <c:pt idx="1309">
                  <c:v>-5.0837876851308472E-3</c:v>
                </c:pt>
                <c:pt idx="1310">
                  <c:v>-2.312990366430645E-2</c:v>
                </c:pt>
                <c:pt idx="1311">
                  <c:v>-1.2757237894844398E-2</c:v>
                </c:pt>
                <c:pt idx="1312">
                  <c:v>-6.3748098213374238E-3</c:v>
                </c:pt>
                <c:pt idx="1313">
                  <c:v>-8.658859683277953E-3</c:v>
                </c:pt>
                <c:pt idx="1314">
                  <c:v>-5.3875038190909219E-3</c:v>
                </c:pt>
                <c:pt idx="1315">
                  <c:v>9.5628034077983148E-2</c:v>
                </c:pt>
                <c:pt idx="1316">
                  <c:v>5.0162769651081129E-2</c:v>
                </c:pt>
                <c:pt idx="1317">
                  <c:v>-1.6819673799914447E-2</c:v>
                </c:pt>
                <c:pt idx="1318">
                  <c:v>-1.5250833949697284E-2</c:v>
                </c:pt>
                <c:pt idx="1319">
                  <c:v>-2.6955689409790207E-2</c:v>
                </c:pt>
                <c:pt idx="1320">
                  <c:v>-4.1986628287341343E-2</c:v>
                </c:pt>
                <c:pt idx="1321">
                  <c:v>-4.1603077025433866E-2</c:v>
                </c:pt>
                <c:pt idx="1322">
                  <c:v>-7.3231823024946241E-2</c:v>
                </c:pt>
                <c:pt idx="1323">
                  <c:v>-0.2266293944169917</c:v>
                </c:pt>
                <c:pt idx="1324">
                  <c:v>-0.19236311331432576</c:v>
                </c:pt>
                <c:pt idx="1325">
                  <c:v>-0.18173800545049623</c:v>
                </c:pt>
                <c:pt idx="1326">
                  <c:v>-8.8541508119994727E-2</c:v>
                </c:pt>
                <c:pt idx="1327">
                  <c:v>-0.11927802677995025</c:v>
                </c:pt>
                <c:pt idx="1328">
                  <c:v>-5.7110735498658194E-2</c:v>
                </c:pt>
                <c:pt idx="1329">
                  <c:v>-6.9693396863871104E-2</c:v>
                </c:pt>
                <c:pt idx="1330">
                  <c:v>-6.9198097146721205E-2</c:v>
                </c:pt>
                <c:pt idx="1331">
                  <c:v>4.8334830684835239E-3</c:v>
                </c:pt>
                <c:pt idx="1332">
                  <c:v>-2.8126889272523492E-2</c:v>
                </c:pt>
                <c:pt idx="1333">
                  <c:v>-1.4814522691671161E-2</c:v>
                </c:pt>
                <c:pt idx="1334">
                  <c:v>-3.5172458406662166E-2</c:v>
                </c:pt>
                <c:pt idx="1335">
                  <c:v>-1.6593085871763336E-3</c:v>
                </c:pt>
                <c:pt idx="1336">
                  <c:v>-6.1675654344306885E-2</c:v>
                </c:pt>
                <c:pt idx="1337">
                  <c:v>2.069438009748259E-2</c:v>
                </c:pt>
                <c:pt idx="1338">
                  <c:v>5.3024960069524507E-2</c:v>
                </c:pt>
                <c:pt idx="1339">
                  <c:v>-2.2306342598059636E-3</c:v>
                </c:pt>
                <c:pt idx="1340">
                  <c:v>3.6420965780314951E-2</c:v>
                </c:pt>
                <c:pt idx="1341">
                  <c:v>4.7517710360888143E-2</c:v>
                </c:pt>
                <c:pt idx="1342">
                  <c:v>4.0921194099170943E-2</c:v>
                </c:pt>
                <c:pt idx="1343">
                  <c:v>5.7496876797910712E-2</c:v>
                </c:pt>
                <c:pt idx="1344">
                  <c:v>2.6291565806411121E-2</c:v>
                </c:pt>
                <c:pt idx="1345">
                  <c:v>0.25259052909965818</c:v>
                </c:pt>
                <c:pt idx="1346">
                  <c:v>8.3807563745353253E-2</c:v>
                </c:pt>
                <c:pt idx="1347">
                  <c:v>-3.4304051860967189E-2</c:v>
                </c:pt>
                <c:pt idx="1348">
                  <c:v>2.3032873280239841E-3</c:v>
                </c:pt>
                <c:pt idx="1349">
                  <c:v>-8.8038358566262742E-2</c:v>
                </c:pt>
                <c:pt idx="1350">
                  <c:v>-6.8286797426651891E-2</c:v>
                </c:pt>
                <c:pt idx="1351">
                  <c:v>-4.215210715500417E-2</c:v>
                </c:pt>
                <c:pt idx="1352">
                  <c:v>-3.8893718023339519E-2</c:v>
                </c:pt>
                <c:pt idx="1353">
                  <c:v>-9.6161306212098951E-2</c:v>
                </c:pt>
                <c:pt idx="1354">
                  <c:v>-0.10877992895798849</c:v>
                </c:pt>
                <c:pt idx="1355">
                  <c:v>-0.14997468961042726</c:v>
                </c:pt>
                <c:pt idx="1356">
                  <c:v>-5.3267707305214795E-2</c:v>
                </c:pt>
                <c:pt idx="1357">
                  <c:v>-7.0969279559105258E-2</c:v>
                </c:pt>
                <c:pt idx="1358">
                  <c:v>-8.6930958167151129E-2</c:v>
                </c:pt>
                <c:pt idx="1359">
                  <c:v>-6.7673670325162805E-2</c:v>
                </c:pt>
                <c:pt idx="1360">
                  <c:v>-7.838304330817536E-2</c:v>
                </c:pt>
                <c:pt idx="1361">
                  <c:v>-3.9901144779249442E-2</c:v>
                </c:pt>
                <c:pt idx="1362">
                  <c:v>-8.0210272551040518E-2</c:v>
                </c:pt>
                <c:pt idx="1363">
                  <c:v>-7.8714408098153887E-2</c:v>
                </c:pt>
                <c:pt idx="1364">
                  <c:v>-6.1829368114594052E-2</c:v>
                </c:pt>
                <c:pt idx="1365">
                  <c:v>3.6005683204278771E-3</c:v>
                </c:pt>
                <c:pt idx="1366">
                  <c:v>-5.6746435977697463E-2</c:v>
                </c:pt>
                <c:pt idx="1367">
                  <c:v>-6.115688666719743E-3</c:v>
                </c:pt>
                <c:pt idx="1368">
                  <c:v>-5.2399654318197042E-2</c:v>
                </c:pt>
                <c:pt idx="1369">
                  <c:v>-7.7268059967088298E-3</c:v>
                </c:pt>
                <c:pt idx="1370">
                  <c:v>-1.6901582804829118E-2</c:v>
                </c:pt>
                <c:pt idx="1371">
                  <c:v>-1.7606939946203104E-2</c:v>
                </c:pt>
                <c:pt idx="1372">
                  <c:v>-4.9733178367544761E-2</c:v>
                </c:pt>
                <c:pt idx="1373">
                  <c:v>-6.6112370641128848E-2</c:v>
                </c:pt>
                <c:pt idx="1374">
                  <c:v>-1.7015952348639063E-2</c:v>
                </c:pt>
                <c:pt idx="1375">
                  <c:v>-5.0053150637287658E-2</c:v>
                </c:pt>
                <c:pt idx="1376">
                  <c:v>-6.6081188481161179E-2</c:v>
                </c:pt>
                <c:pt idx="1377">
                  <c:v>-9.3208677595985945E-2</c:v>
                </c:pt>
                <c:pt idx="1378">
                  <c:v>-9.7450310273698548E-2</c:v>
                </c:pt>
                <c:pt idx="1379">
                  <c:v>-0.12603998110780978</c:v>
                </c:pt>
                <c:pt idx="1380">
                  <c:v>-7.5955164707512068E-2</c:v>
                </c:pt>
                <c:pt idx="1381">
                  <c:v>-0.1057721435618626</c:v>
                </c:pt>
                <c:pt idx="1382">
                  <c:v>-0.18825351294561998</c:v>
                </c:pt>
                <c:pt idx="1383">
                  <c:v>-7.8980116181767257E-2</c:v>
                </c:pt>
                <c:pt idx="1384">
                  <c:v>-6.5274928804917254E-2</c:v>
                </c:pt>
                <c:pt idx="1385">
                  <c:v>-0.10466283518869313</c:v>
                </c:pt>
                <c:pt idx="1386">
                  <c:v>-0.10822467386128065</c:v>
                </c:pt>
                <c:pt idx="1387">
                  <c:v>-0.18862864627392573</c:v>
                </c:pt>
                <c:pt idx="1388">
                  <c:v>-0.13766627655110042</c:v>
                </c:pt>
                <c:pt idx="1389">
                  <c:v>-0.12240077684047845</c:v>
                </c:pt>
                <c:pt idx="1390">
                  <c:v>-0.10769971408805401</c:v>
                </c:pt>
                <c:pt idx="1391">
                  <c:v>-0.10443675476205433</c:v>
                </c:pt>
                <c:pt idx="1392">
                  <c:v>-7.6287127353010076E-2</c:v>
                </c:pt>
                <c:pt idx="1393">
                  <c:v>-0.11969764286245876</c:v>
                </c:pt>
                <c:pt idx="1394">
                  <c:v>-0.12035745936813547</c:v>
                </c:pt>
                <c:pt idx="1395">
                  <c:v>-6.378537132153661E-2</c:v>
                </c:pt>
                <c:pt idx="1396">
                  <c:v>-6.4923579196069725E-2</c:v>
                </c:pt>
                <c:pt idx="1397">
                  <c:v>-5.7939452799906643E-2</c:v>
                </c:pt>
                <c:pt idx="1398">
                  <c:v>-0.14151339412422065</c:v>
                </c:pt>
                <c:pt idx="1399">
                  <c:v>-9.5117406673318361E-2</c:v>
                </c:pt>
                <c:pt idx="1400">
                  <c:v>-7.349809965705717E-2</c:v>
                </c:pt>
                <c:pt idx="1401">
                  <c:v>-5.1736555541801899E-2</c:v>
                </c:pt>
                <c:pt idx="1402">
                  <c:v>-8.5240422056145349E-3</c:v>
                </c:pt>
                <c:pt idx="1403">
                  <c:v>7.640434433674459E-3</c:v>
                </c:pt>
                <c:pt idx="1404">
                  <c:v>2.8486437250844876E-2</c:v>
                </c:pt>
                <c:pt idx="1405">
                  <c:v>3.3255299206307321E-3</c:v>
                </c:pt>
                <c:pt idx="1406">
                  <c:v>-2.6895322937092958E-2</c:v>
                </c:pt>
                <c:pt idx="1407">
                  <c:v>5.4022314185568798E-2</c:v>
                </c:pt>
                <c:pt idx="1408">
                  <c:v>0.47672278316706251</c:v>
                </c:pt>
                <c:pt idx="1409">
                  <c:v>0.22004657869390215</c:v>
                </c:pt>
                <c:pt idx="1410">
                  <c:v>0.12735603640708132</c:v>
                </c:pt>
                <c:pt idx="1411">
                  <c:v>6.2725257399675133E-2</c:v>
                </c:pt>
                <c:pt idx="1412">
                  <c:v>7.0973873874986548E-2</c:v>
                </c:pt>
                <c:pt idx="1413">
                  <c:v>0.1015130887348972</c:v>
                </c:pt>
                <c:pt idx="1414">
                  <c:v>9.3207979958958409E-2</c:v>
                </c:pt>
                <c:pt idx="1415">
                  <c:v>5.9830716912124521E-2</c:v>
                </c:pt>
                <c:pt idx="1416">
                  <c:v>5.8454388829639992E-2</c:v>
                </c:pt>
                <c:pt idx="1417">
                  <c:v>-2.9757279900116659E-2</c:v>
                </c:pt>
                <c:pt idx="1418">
                  <c:v>1.1696859047436912E-2</c:v>
                </c:pt>
                <c:pt idx="1419">
                  <c:v>-3.3367557353098376E-3</c:v>
                </c:pt>
                <c:pt idx="1420">
                  <c:v>-3.3361181507650585E-2</c:v>
                </c:pt>
                <c:pt idx="1421">
                  <c:v>-5.1236919146398843E-2</c:v>
                </c:pt>
                <c:pt idx="1422">
                  <c:v>-4.6708669586221746E-2</c:v>
                </c:pt>
                <c:pt idx="1423">
                  <c:v>-0.12443740765627311</c:v>
                </c:pt>
                <c:pt idx="1424">
                  <c:v>-0.12804896388079848</c:v>
                </c:pt>
                <c:pt idx="1425">
                  <c:v>-0.10604934983536124</c:v>
                </c:pt>
                <c:pt idx="1426">
                  <c:v>-0.10055209426005532</c:v>
                </c:pt>
                <c:pt idx="1427">
                  <c:v>-3.721913797655535E-2</c:v>
                </c:pt>
                <c:pt idx="1428">
                  <c:v>-1.7121004311887067E-2</c:v>
                </c:pt>
                <c:pt idx="1429">
                  <c:v>-1.1800109272073922E-2</c:v>
                </c:pt>
                <c:pt idx="1430">
                  <c:v>4.0438310589876514E-2</c:v>
                </c:pt>
                <c:pt idx="1431">
                  <c:v>8.1404323465248951E-3</c:v>
                </c:pt>
                <c:pt idx="1432">
                  <c:v>1.8987216150738756E-2</c:v>
                </c:pt>
                <c:pt idx="1433">
                  <c:v>-2.6466074788664418E-2</c:v>
                </c:pt>
                <c:pt idx="1434">
                  <c:v>-1.8764877944349778E-2</c:v>
                </c:pt>
                <c:pt idx="1435">
                  <c:v>-6.297295599994851E-2</c:v>
                </c:pt>
                <c:pt idx="1436">
                  <c:v>-5.4793573991680833E-2</c:v>
                </c:pt>
                <c:pt idx="1437">
                  <c:v>-3.5159641861424874E-2</c:v>
                </c:pt>
                <c:pt idx="1438">
                  <c:v>-2.9562971683736113E-2</c:v>
                </c:pt>
                <c:pt idx="1439">
                  <c:v>-1.2602027984416224E-2</c:v>
                </c:pt>
                <c:pt idx="1440">
                  <c:v>-3.0781512399179235E-2</c:v>
                </c:pt>
                <c:pt idx="1441">
                  <c:v>-7.9311647843816044E-2</c:v>
                </c:pt>
                <c:pt idx="1442">
                  <c:v>-8.9541783900980748E-2</c:v>
                </c:pt>
                <c:pt idx="1443">
                  <c:v>-5.4117568577244451E-2</c:v>
                </c:pt>
                <c:pt idx="1444">
                  <c:v>-5.8561410111429166E-2</c:v>
                </c:pt>
                <c:pt idx="1445">
                  <c:v>-4.1175226388771607E-2</c:v>
                </c:pt>
                <c:pt idx="1446">
                  <c:v>-5.4050132792164647E-2</c:v>
                </c:pt>
                <c:pt idx="1447">
                  <c:v>-7.4035152990421044E-2</c:v>
                </c:pt>
                <c:pt idx="1448">
                  <c:v>-0.10044860352504265</c:v>
                </c:pt>
                <c:pt idx="1449">
                  <c:v>-4.863009729659451E-2</c:v>
                </c:pt>
                <c:pt idx="1450">
                  <c:v>2.8327220540820985E-2</c:v>
                </c:pt>
                <c:pt idx="1451">
                  <c:v>-0.27799591614697455</c:v>
                </c:pt>
                <c:pt idx="1452">
                  <c:v>-0.2293275303563409</c:v>
                </c:pt>
                <c:pt idx="1453">
                  <c:v>-0.21757970694598089</c:v>
                </c:pt>
                <c:pt idx="1454">
                  <c:v>-0.20937521048526397</c:v>
                </c:pt>
                <c:pt idx="1455">
                  <c:v>-9.6295793369716443E-2</c:v>
                </c:pt>
                <c:pt idx="1456">
                  <c:v>-9.8531713338227259E-2</c:v>
                </c:pt>
                <c:pt idx="1457">
                  <c:v>-5.59810574093755E-2</c:v>
                </c:pt>
                <c:pt idx="1458">
                  <c:v>-8.6915933444206395E-2</c:v>
                </c:pt>
                <c:pt idx="1459">
                  <c:v>-2.9536374757193729E-2</c:v>
                </c:pt>
                <c:pt idx="1460">
                  <c:v>-8.8811340104498343E-2</c:v>
                </c:pt>
                <c:pt idx="1461">
                  <c:v>-0.11628463975186343</c:v>
                </c:pt>
                <c:pt idx="1462">
                  <c:v>-7.7815905685922324E-2</c:v>
                </c:pt>
                <c:pt idx="1463">
                  <c:v>-2.0513422470336228E-2</c:v>
                </c:pt>
                <c:pt idx="1464">
                  <c:v>3.0075364412225955E-2</c:v>
                </c:pt>
                <c:pt idx="1465">
                  <c:v>-8.8524777432034088E-2</c:v>
                </c:pt>
                <c:pt idx="1466">
                  <c:v>-0.14681496859561982</c:v>
                </c:pt>
                <c:pt idx="1467">
                  <c:v>-8.6651322767869826E-2</c:v>
                </c:pt>
                <c:pt idx="1468">
                  <c:v>-0.17949612761290679</c:v>
                </c:pt>
                <c:pt idx="1469">
                  <c:v>-9.1269775918996598E-2</c:v>
                </c:pt>
                <c:pt idx="1470">
                  <c:v>-8.0218551472210797E-2</c:v>
                </c:pt>
                <c:pt idx="1471">
                  <c:v>-5.8568348102571444E-3</c:v>
                </c:pt>
                <c:pt idx="1472">
                  <c:v>-0.10688884044939168</c:v>
                </c:pt>
                <c:pt idx="1473">
                  <c:v>-6.6245534162864023E-2</c:v>
                </c:pt>
                <c:pt idx="1474">
                  <c:v>-0.58254187413782577</c:v>
                </c:pt>
                <c:pt idx="1475">
                  <c:v>8.4961489641122268E-2</c:v>
                </c:pt>
                <c:pt idx="1476">
                  <c:v>2.8732739090520876E-2</c:v>
                </c:pt>
                <c:pt idx="1477">
                  <c:v>-7.6232118966418017E-2</c:v>
                </c:pt>
                <c:pt idx="1478">
                  <c:v>-3.4286249910972844E-2</c:v>
                </c:pt>
                <c:pt idx="1479">
                  <c:v>5.4456140962907962E-2</c:v>
                </c:pt>
                <c:pt idx="1480">
                  <c:v>-3.1360015591750945E-3</c:v>
                </c:pt>
                <c:pt idx="1481">
                  <c:v>4.2913318922087773E-2</c:v>
                </c:pt>
                <c:pt idx="1482">
                  <c:v>-1.2913365347453465E-2</c:v>
                </c:pt>
                <c:pt idx="1483">
                  <c:v>-0.10447342592739806</c:v>
                </c:pt>
                <c:pt idx="1484">
                  <c:v>-5.4073459448113259E-2</c:v>
                </c:pt>
                <c:pt idx="1485">
                  <c:v>-8.9682804173666697E-2</c:v>
                </c:pt>
                <c:pt idx="1486">
                  <c:v>-0.11207261141076641</c:v>
                </c:pt>
                <c:pt idx="1487">
                  <c:v>-8.2657513559968296E-2</c:v>
                </c:pt>
                <c:pt idx="1488">
                  <c:v>-0.11177983039945735</c:v>
                </c:pt>
                <c:pt idx="1489">
                  <c:v>-9.6279688114488365E-2</c:v>
                </c:pt>
                <c:pt idx="1490">
                  <c:v>-0.12552650818450389</c:v>
                </c:pt>
                <c:pt idx="1491">
                  <c:v>-0.10371497950489386</c:v>
                </c:pt>
                <c:pt idx="1492">
                  <c:v>-7.5876612851490388E-3</c:v>
                </c:pt>
                <c:pt idx="1493">
                  <c:v>-4.7464438930666097E-2</c:v>
                </c:pt>
                <c:pt idx="1494">
                  <c:v>-7.1399542766786006E-2</c:v>
                </c:pt>
                <c:pt idx="1495">
                  <c:v>-9.9805103583063826E-3</c:v>
                </c:pt>
                <c:pt idx="1496">
                  <c:v>-0.29868538684731716</c:v>
                </c:pt>
                <c:pt idx="1497">
                  <c:v>7.7314517395761229E-2</c:v>
                </c:pt>
                <c:pt idx="1498">
                  <c:v>-2.5416115588305921E-2</c:v>
                </c:pt>
                <c:pt idx="1499">
                  <c:v>5.4307409331642909E-2</c:v>
                </c:pt>
                <c:pt idx="1500">
                  <c:v>-1.5708641618444874E-3</c:v>
                </c:pt>
                <c:pt idx="1501">
                  <c:v>-2.8168676236850154E-2</c:v>
                </c:pt>
                <c:pt idx="1502">
                  <c:v>-5.8907329480393233E-2</c:v>
                </c:pt>
                <c:pt idx="1503">
                  <c:v>3.4822291946402073E-2</c:v>
                </c:pt>
                <c:pt idx="1504">
                  <c:v>9.4722435532160754E-3</c:v>
                </c:pt>
                <c:pt idx="1505">
                  <c:v>2.6970126944215855E-2</c:v>
                </c:pt>
                <c:pt idx="1506">
                  <c:v>-1.0714174595086279E-2</c:v>
                </c:pt>
                <c:pt idx="1507">
                  <c:v>-4.0801784026622712E-2</c:v>
                </c:pt>
                <c:pt idx="1508">
                  <c:v>-0.12623088845714636</c:v>
                </c:pt>
                <c:pt idx="1509">
                  <c:v>-5.7353717551374972E-2</c:v>
                </c:pt>
                <c:pt idx="1510">
                  <c:v>-0.13095530704674552</c:v>
                </c:pt>
                <c:pt idx="1511">
                  <c:v>-0.13935503804561122</c:v>
                </c:pt>
                <c:pt idx="1512">
                  <c:v>-0.13821636523462943</c:v>
                </c:pt>
                <c:pt idx="1513">
                  <c:v>-0.15791835826264866</c:v>
                </c:pt>
                <c:pt idx="1514">
                  <c:v>1.9906515892180621E-2</c:v>
                </c:pt>
                <c:pt idx="1515">
                  <c:v>2.5812058203784516E-2</c:v>
                </c:pt>
                <c:pt idx="1516">
                  <c:v>2.6424292636233471E-3</c:v>
                </c:pt>
                <c:pt idx="1517">
                  <c:v>-0.1052642591986358</c:v>
                </c:pt>
                <c:pt idx="1518">
                  <c:v>-0.38246175794193837</c:v>
                </c:pt>
                <c:pt idx="1519">
                  <c:v>-0.22873138340679222</c:v>
                </c:pt>
                <c:pt idx="1520">
                  <c:v>-0.23219018444833517</c:v>
                </c:pt>
                <c:pt idx="1521">
                  <c:v>-7.1282947501131733E-2</c:v>
                </c:pt>
                <c:pt idx="1522">
                  <c:v>-7.3819590754274134E-2</c:v>
                </c:pt>
                <c:pt idx="1523">
                  <c:v>-0.13332665279782729</c:v>
                </c:pt>
                <c:pt idx="1524">
                  <c:v>-9.9474911104622143E-2</c:v>
                </c:pt>
                <c:pt idx="1525">
                  <c:v>4.9118189932506606E-4</c:v>
                </c:pt>
                <c:pt idx="1526">
                  <c:v>-4.9296793435713027E-2</c:v>
                </c:pt>
                <c:pt idx="1527">
                  <c:v>-4.2353508577789536E-2</c:v>
                </c:pt>
                <c:pt idx="1528">
                  <c:v>-0.12005554936414102</c:v>
                </c:pt>
                <c:pt idx="1529">
                  <c:v>-0.11367419950443333</c:v>
                </c:pt>
                <c:pt idx="1530">
                  <c:v>-0.10294553693631525</c:v>
                </c:pt>
                <c:pt idx="1531">
                  <c:v>-0.15217708556670129</c:v>
                </c:pt>
                <c:pt idx="1532">
                  <c:v>7.9223952083482083E-2</c:v>
                </c:pt>
                <c:pt idx="1533">
                  <c:v>9.6461910382393712E-2</c:v>
                </c:pt>
                <c:pt idx="1534">
                  <c:v>0.16620620110469669</c:v>
                </c:pt>
                <c:pt idx="1535">
                  <c:v>8.1323795310217661E-2</c:v>
                </c:pt>
                <c:pt idx="1536">
                  <c:v>-0.51509523035311267</c:v>
                </c:pt>
                <c:pt idx="1537">
                  <c:v>0.13329335581768037</c:v>
                </c:pt>
                <c:pt idx="1538">
                  <c:v>-6.5611482509920049E-2</c:v>
                </c:pt>
                <c:pt idx="1539">
                  <c:v>-0.27007621967321782</c:v>
                </c:pt>
                <c:pt idx="1540">
                  <c:v>-0.16677900638671617</c:v>
                </c:pt>
                <c:pt idx="1541">
                  <c:v>-0.32806325834860628</c:v>
                </c:pt>
                <c:pt idx="1542">
                  <c:v>-0.2137070781820832</c:v>
                </c:pt>
                <c:pt idx="1543">
                  <c:v>-0.30782168770145196</c:v>
                </c:pt>
                <c:pt idx="1544">
                  <c:v>-0.3736073554840037</c:v>
                </c:pt>
                <c:pt idx="1545">
                  <c:v>-0.25743427890284643</c:v>
                </c:pt>
                <c:pt idx="1546">
                  <c:v>-0.25063219441827678</c:v>
                </c:pt>
                <c:pt idx="1547">
                  <c:v>-0.43595175361932809</c:v>
                </c:pt>
                <c:pt idx="1548">
                  <c:v>-0.12596206231799245</c:v>
                </c:pt>
                <c:pt idx="1549">
                  <c:v>-6.9718977309301877E-2</c:v>
                </c:pt>
                <c:pt idx="1550">
                  <c:v>-0.24262457691395922</c:v>
                </c:pt>
                <c:pt idx="1551">
                  <c:v>-0.20467927456223678</c:v>
                </c:pt>
                <c:pt idx="1552">
                  <c:v>-0.15005792390148298</c:v>
                </c:pt>
                <c:pt idx="1553">
                  <c:v>-0.1609277120564776</c:v>
                </c:pt>
                <c:pt idx="1554">
                  <c:v>-2.5994161820090289E-2</c:v>
                </c:pt>
                <c:pt idx="1555">
                  <c:v>-4.3044209139706524E-2</c:v>
                </c:pt>
                <c:pt idx="1556">
                  <c:v>-0.10683075127441077</c:v>
                </c:pt>
                <c:pt idx="1557">
                  <c:v>-0.14590657565515208</c:v>
                </c:pt>
                <c:pt idx="1558">
                  <c:v>-1.0917508278069032E-2</c:v>
                </c:pt>
                <c:pt idx="1559">
                  <c:v>1.8217206480193093E-2</c:v>
                </c:pt>
                <c:pt idx="1560">
                  <c:v>-0.67941070171681828</c:v>
                </c:pt>
                <c:pt idx="1561">
                  <c:v>-0.54940833351626628</c:v>
                </c:pt>
                <c:pt idx="1562">
                  <c:v>-0.63613937854853286</c:v>
                </c:pt>
                <c:pt idx="1563">
                  <c:v>-0.43649245314945817</c:v>
                </c:pt>
                <c:pt idx="1564">
                  <c:v>-0.43439084680465512</c:v>
                </c:pt>
                <c:pt idx="1565">
                  <c:v>-0.16556871316342381</c:v>
                </c:pt>
                <c:pt idx="1566">
                  <c:v>-0.22258200064627998</c:v>
                </c:pt>
                <c:pt idx="1567">
                  <c:v>4.2391796942665927E-2</c:v>
                </c:pt>
                <c:pt idx="1568">
                  <c:v>0.12648741160799681</c:v>
                </c:pt>
                <c:pt idx="1569">
                  <c:v>1.439647661700838E-2</c:v>
                </c:pt>
                <c:pt idx="1570">
                  <c:v>7.2169068613195497E-2</c:v>
                </c:pt>
                <c:pt idx="1571">
                  <c:v>0.22851625435141498</c:v>
                </c:pt>
                <c:pt idx="1572">
                  <c:v>5.0377261196216105E-2</c:v>
                </c:pt>
                <c:pt idx="1573">
                  <c:v>0.22386443867838368</c:v>
                </c:pt>
                <c:pt idx="1574">
                  <c:v>0.21273138514705536</c:v>
                </c:pt>
                <c:pt idx="1575">
                  <c:v>0.21083103732078379</c:v>
                </c:pt>
                <c:pt idx="1576">
                  <c:v>0.23630560740045414</c:v>
                </c:pt>
                <c:pt idx="1577">
                  <c:v>0.23595933744210695</c:v>
                </c:pt>
                <c:pt idx="1578">
                  <c:v>0.23800928683935818</c:v>
                </c:pt>
                <c:pt idx="1579">
                  <c:v>0.63581406842649679</c:v>
                </c:pt>
                <c:pt idx="1580">
                  <c:v>-3.5956712720914386E-2</c:v>
                </c:pt>
                <c:pt idx="1581">
                  <c:v>-0.17145591194628207</c:v>
                </c:pt>
                <c:pt idx="1582">
                  <c:v>9.2708186520758518E-2</c:v>
                </c:pt>
                <c:pt idx="1583">
                  <c:v>1.6510345695571971E-2</c:v>
                </c:pt>
                <c:pt idx="1584">
                  <c:v>-2.4214361905520843E-2</c:v>
                </c:pt>
                <c:pt idx="1585">
                  <c:v>3.1107721249165721E-2</c:v>
                </c:pt>
                <c:pt idx="1586">
                  <c:v>-3.6951299015501871E-3</c:v>
                </c:pt>
                <c:pt idx="1587">
                  <c:v>-9.036655843735808E-2</c:v>
                </c:pt>
                <c:pt idx="1588">
                  <c:v>0.13938635464541305</c:v>
                </c:pt>
                <c:pt idx="1589">
                  <c:v>-3.2427840126742602E-2</c:v>
                </c:pt>
                <c:pt idx="1590">
                  <c:v>-4.990949617550422E-2</c:v>
                </c:pt>
                <c:pt idx="1591">
                  <c:v>-0.10016081666378107</c:v>
                </c:pt>
                <c:pt idx="1592">
                  <c:v>-0.12307919336097739</c:v>
                </c:pt>
                <c:pt idx="1593">
                  <c:v>-4.750494625825441E-2</c:v>
                </c:pt>
                <c:pt idx="1594">
                  <c:v>-1.5889460086869756E-2</c:v>
                </c:pt>
                <c:pt idx="1595">
                  <c:v>6.1683661750800312E-2</c:v>
                </c:pt>
                <c:pt idx="1596">
                  <c:v>-1.4699535189995228E-2</c:v>
                </c:pt>
                <c:pt idx="1597">
                  <c:v>4.8663342474649429E-2</c:v>
                </c:pt>
                <c:pt idx="1598">
                  <c:v>0.24797597094175083</c:v>
                </c:pt>
                <c:pt idx="1599">
                  <c:v>0.17225915473851616</c:v>
                </c:pt>
                <c:pt idx="1600">
                  <c:v>0.14517086579045446</c:v>
                </c:pt>
                <c:pt idx="1601">
                  <c:v>0.15681665949021451</c:v>
                </c:pt>
                <c:pt idx="1602">
                  <c:v>0.84967828422813341</c:v>
                </c:pt>
                <c:pt idx="1603">
                  <c:v>5.0353675261529229E-2</c:v>
                </c:pt>
                <c:pt idx="1604">
                  <c:v>3.6158171258726224E-2</c:v>
                </c:pt>
                <c:pt idx="1605">
                  <c:v>0.10447493455650703</c:v>
                </c:pt>
                <c:pt idx="1606">
                  <c:v>-3.7032046407749597E-2</c:v>
                </c:pt>
                <c:pt idx="1607">
                  <c:v>-4.9888572824348998E-2</c:v>
                </c:pt>
                <c:pt idx="1608">
                  <c:v>-6.6432200352243065E-2</c:v>
                </c:pt>
                <c:pt idx="1609">
                  <c:v>2.8375396488866667E-2</c:v>
                </c:pt>
                <c:pt idx="1610">
                  <c:v>-6.2194085819337275E-2</c:v>
                </c:pt>
                <c:pt idx="1611">
                  <c:v>-6.1031084494401089E-2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'M18'!$E$6</c:f>
              <c:strCache>
                <c:ptCount val="1"/>
                <c:pt idx="0">
                  <c:v>TTF_M18_CLOSE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'M18'!$E$7:$E$1618</c:f>
              <c:numCache>
                <c:formatCode>0.00</c:formatCode>
                <c:ptCount val="1612"/>
                <c:pt idx="0">
                  <c:v>19.725999999999999</c:v>
                </c:pt>
                <c:pt idx="1">
                  <c:v>19.512</c:v>
                </c:pt>
                <c:pt idx="2">
                  <c:v>19.033999999999999</c:v>
                </c:pt>
                <c:pt idx="3">
                  <c:v>19.021000000000001</c:v>
                </c:pt>
                <c:pt idx="4">
                  <c:v>19.178000000000001</c:v>
                </c:pt>
                <c:pt idx="5">
                  <c:v>19.187000000000001</c:v>
                </c:pt>
                <c:pt idx="6">
                  <c:v>19.178000000000001</c:v>
                </c:pt>
                <c:pt idx="7">
                  <c:v>19.486999999999998</c:v>
                </c:pt>
                <c:pt idx="8">
                  <c:v>19.355</c:v>
                </c:pt>
                <c:pt idx="9">
                  <c:v>19.289000000000001</c:v>
                </c:pt>
                <c:pt idx="10">
                  <c:v>19.084</c:v>
                </c:pt>
                <c:pt idx="11">
                  <c:v>18.783999999999999</c:v>
                </c:pt>
                <c:pt idx="12">
                  <c:v>18.812999999999999</c:v>
                </c:pt>
                <c:pt idx="13">
                  <c:v>18.981999999999999</c:v>
                </c:pt>
                <c:pt idx="14">
                  <c:v>18.940999999999999</c:v>
                </c:pt>
                <c:pt idx="15">
                  <c:v>19.053999999999998</c:v>
                </c:pt>
                <c:pt idx="16">
                  <c:v>19.050999999999998</c:v>
                </c:pt>
                <c:pt idx="17">
                  <c:v>19.231999999999999</c:v>
                </c:pt>
                <c:pt idx="18">
                  <c:v>19.352</c:v>
                </c:pt>
                <c:pt idx="19">
                  <c:v>19.623999999999999</c:v>
                </c:pt>
                <c:pt idx="20">
                  <c:v>19.5</c:v>
                </c:pt>
                <c:pt idx="21">
                  <c:v>19.684000000000001</c:v>
                </c:pt>
                <c:pt idx="22">
                  <c:v>19.847000000000001</c:v>
                </c:pt>
                <c:pt idx="23">
                  <c:v>20.058</c:v>
                </c:pt>
                <c:pt idx="24">
                  <c:v>20.864000000000001</c:v>
                </c:pt>
                <c:pt idx="25">
                  <c:v>20.759</c:v>
                </c:pt>
                <c:pt idx="26">
                  <c:v>21.460999999999999</c:v>
                </c:pt>
                <c:pt idx="27">
                  <c:v>21.448</c:v>
                </c:pt>
                <c:pt idx="28">
                  <c:v>21.638000000000002</c:v>
                </c:pt>
                <c:pt idx="29">
                  <c:v>22.106999999999999</c:v>
                </c:pt>
                <c:pt idx="30">
                  <c:v>22.097999999999999</c:v>
                </c:pt>
                <c:pt idx="31">
                  <c:v>21.795000000000002</c:v>
                </c:pt>
                <c:pt idx="32">
                  <c:v>21.594000000000001</c:v>
                </c:pt>
                <c:pt idx="33">
                  <c:v>21.689</c:v>
                </c:pt>
                <c:pt idx="34">
                  <c:v>21.126000000000001</c:v>
                </c:pt>
                <c:pt idx="35">
                  <c:v>21.247</c:v>
                </c:pt>
                <c:pt idx="36">
                  <c:v>21.030999999999999</c:v>
                </c:pt>
                <c:pt idx="37">
                  <c:v>21.248000000000001</c:v>
                </c:pt>
                <c:pt idx="38">
                  <c:v>21.675000000000001</c:v>
                </c:pt>
                <c:pt idx="39">
                  <c:v>21.844999999999999</c:v>
                </c:pt>
                <c:pt idx="40">
                  <c:v>21.837</c:v>
                </c:pt>
                <c:pt idx="41">
                  <c:v>21.436</c:v>
                </c:pt>
                <c:pt idx="42">
                  <c:v>21.202000000000002</c:v>
                </c:pt>
                <c:pt idx="43">
                  <c:v>21.350999999999999</c:v>
                </c:pt>
                <c:pt idx="44">
                  <c:v>20.995999999999999</c:v>
                </c:pt>
                <c:pt idx="45">
                  <c:v>20.600999999999999</c:v>
                </c:pt>
                <c:pt idx="46">
                  <c:v>20.974</c:v>
                </c:pt>
                <c:pt idx="47">
                  <c:v>20.972000000000001</c:v>
                </c:pt>
                <c:pt idx="48">
                  <c:v>21.154</c:v>
                </c:pt>
                <c:pt idx="49">
                  <c:v>21.082999999999998</c:v>
                </c:pt>
                <c:pt idx="50">
                  <c:v>20.920999999999999</c:v>
                </c:pt>
                <c:pt idx="51">
                  <c:v>20.594000000000001</c:v>
                </c:pt>
                <c:pt idx="52">
                  <c:v>20.420999999999999</c:v>
                </c:pt>
                <c:pt idx="53">
                  <c:v>20.556000000000001</c:v>
                </c:pt>
                <c:pt idx="54">
                  <c:v>20.57</c:v>
                </c:pt>
                <c:pt idx="55">
                  <c:v>20.532</c:v>
                </c:pt>
                <c:pt idx="56">
                  <c:v>20.420999999999999</c:v>
                </c:pt>
                <c:pt idx="57">
                  <c:v>20.513999999999999</c:v>
                </c:pt>
                <c:pt idx="58">
                  <c:v>20.396999999999998</c:v>
                </c:pt>
                <c:pt idx="59">
                  <c:v>20.896000000000001</c:v>
                </c:pt>
                <c:pt idx="60">
                  <c:v>20.85</c:v>
                </c:pt>
                <c:pt idx="61">
                  <c:v>20.748999999999999</c:v>
                </c:pt>
                <c:pt idx="62">
                  <c:v>21.658999999999999</c:v>
                </c:pt>
                <c:pt idx="63">
                  <c:v>21.747</c:v>
                </c:pt>
                <c:pt idx="64">
                  <c:v>21.765999999999998</c:v>
                </c:pt>
                <c:pt idx="65">
                  <c:v>21.63</c:v>
                </c:pt>
                <c:pt idx="66">
                  <c:v>21.74</c:v>
                </c:pt>
                <c:pt idx="67">
                  <c:v>21.882000000000001</c:v>
                </c:pt>
                <c:pt idx="68">
                  <c:v>21.861999999999998</c:v>
                </c:pt>
                <c:pt idx="69">
                  <c:v>22.18</c:v>
                </c:pt>
                <c:pt idx="70">
                  <c:v>22.023</c:v>
                </c:pt>
                <c:pt idx="71">
                  <c:v>22.212</c:v>
                </c:pt>
                <c:pt idx="72">
                  <c:v>22.199000000000002</c:v>
                </c:pt>
                <c:pt idx="73">
                  <c:v>22.02</c:v>
                </c:pt>
                <c:pt idx="74">
                  <c:v>21.998000000000001</c:v>
                </c:pt>
                <c:pt idx="75">
                  <c:v>22.085999999999999</c:v>
                </c:pt>
                <c:pt idx="76">
                  <c:v>22.103999999999999</c:v>
                </c:pt>
                <c:pt idx="77">
                  <c:v>21.898</c:v>
                </c:pt>
                <c:pt idx="78">
                  <c:v>22.056000000000001</c:v>
                </c:pt>
                <c:pt idx="79">
                  <c:v>21.922000000000001</c:v>
                </c:pt>
                <c:pt idx="80">
                  <c:v>21.895</c:v>
                </c:pt>
                <c:pt idx="81">
                  <c:v>21.919</c:v>
                </c:pt>
                <c:pt idx="82">
                  <c:v>22.152999999999999</c:v>
                </c:pt>
                <c:pt idx="83">
                  <c:v>21.873999999999999</c:v>
                </c:pt>
                <c:pt idx="84">
                  <c:v>21.873999999999999</c:v>
                </c:pt>
                <c:pt idx="85">
                  <c:v>22.221</c:v>
                </c:pt>
                <c:pt idx="86">
                  <c:v>22.248999999999999</c:v>
                </c:pt>
                <c:pt idx="87">
                  <c:v>22.085999999999999</c:v>
                </c:pt>
                <c:pt idx="88">
                  <c:v>22.228000000000002</c:v>
                </c:pt>
                <c:pt idx="89">
                  <c:v>22.657</c:v>
                </c:pt>
                <c:pt idx="90">
                  <c:v>22.596</c:v>
                </c:pt>
                <c:pt idx="91">
                  <c:v>22.516999999999999</c:v>
                </c:pt>
                <c:pt idx="92">
                  <c:v>22.36</c:v>
                </c:pt>
                <c:pt idx="93">
                  <c:v>22.309000000000001</c:v>
                </c:pt>
                <c:pt idx="94">
                  <c:v>22.173999999999999</c:v>
                </c:pt>
                <c:pt idx="95">
                  <c:v>22.242000000000001</c:v>
                </c:pt>
                <c:pt idx="96">
                  <c:v>22.332000000000001</c:v>
                </c:pt>
                <c:pt idx="97">
                  <c:v>22.332999999999998</c:v>
                </c:pt>
                <c:pt idx="98">
                  <c:v>22.298999999999999</c:v>
                </c:pt>
                <c:pt idx="99">
                  <c:v>22.298999999999999</c:v>
                </c:pt>
                <c:pt idx="100">
                  <c:v>22.382999999999999</c:v>
                </c:pt>
                <c:pt idx="101">
                  <c:v>22.303000000000001</c:v>
                </c:pt>
                <c:pt idx="102">
                  <c:v>22.292999999999999</c:v>
                </c:pt>
                <c:pt idx="103">
                  <c:v>22.614000000000001</c:v>
                </c:pt>
                <c:pt idx="104">
                  <c:v>22.382999999999999</c:v>
                </c:pt>
                <c:pt idx="105">
                  <c:v>22.399000000000001</c:v>
                </c:pt>
                <c:pt idx="106">
                  <c:v>22.370999999999999</c:v>
                </c:pt>
                <c:pt idx="107">
                  <c:v>22.222000000000001</c:v>
                </c:pt>
                <c:pt idx="108">
                  <c:v>22.352</c:v>
                </c:pt>
                <c:pt idx="109">
                  <c:v>22.497</c:v>
                </c:pt>
                <c:pt idx="110">
                  <c:v>22.463000000000001</c:v>
                </c:pt>
                <c:pt idx="111">
                  <c:v>22.545999999999999</c:v>
                </c:pt>
                <c:pt idx="112">
                  <c:v>22.358000000000001</c:v>
                </c:pt>
                <c:pt idx="113">
                  <c:v>22.332999999999998</c:v>
                </c:pt>
                <c:pt idx="114">
                  <c:v>22.277000000000001</c:v>
                </c:pt>
                <c:pt idx="115">
                  <c:v>22.591999999999999</c:v>
                </c:pt>
                <c:pt idx="116">
                  <c:v>22.573</c:v>
                </c:pt>
                <c:pt idx="117">
                  <c:v>22.63</c:v>
                </c:pt>
                <c:pt idx="118">
                  <c:v>22.753</c:v>
                </c:pt>
                <c:pt idx="119">
                  <c:v>22.940999999999999</c:v>
                </c:pt>
                <c:pt idx="120">
                  <c:v>22.928999999999998</c:v>
                </c:pt>
                <c:pt idx="121">
                  <c:v>22.89</c:v>
                </c:pt>
                <c:pt idx="122">
                  <c:v>22.821000000000002</c:v>
                </c:pt>
                <c:pt idx="123">
                  <c:v>22.908999999999999</c:v>
                </c:pt>
                <c:pt idx="124">
                  <c:v>22.782</c:v>
                </c:pt>
                <c:pt idx="125">
                  <c:v>23.199000000000002</c:v>
                </c:pt>
                <c:pt idx="126">
                  <c:v>23.292999999999999</c:v>
                </c:pt>
                <c:pt idx="127">
                  <c:v>23.311</c:v>
                </c:pt>
                <c:pt idx="128">
                  <c:v>23.193999999999999</c:v>
                </c:pt>
                <c:pt idx="129">
                  <c:v>22.939</c:v>
                </c:pt>
                <c:pt idx="130">
                  <c:v>22.782</c:v>
                </c:pt>
                <c:pt idx="131">
                  <c:v>22.515000000000001</c:v>
                </c:pt>
                <c:pt idx="132">
                  <c:v>22.702999999999999</c:v>
                </c:pt>
                <c:pt idx="133">
                  <c:v>22.7</c:v>
                </c:pt>
                <c:pt idx="134">
                  <c:v>22.687000000000001</c:v>
                </c:pt>
                <c:pt idx="135">
                  <c:v>22.545999999999999</c:v>
                </c:pt>
                <c:pt idx="136">
                  <c:v>22.625</c:v>
                </c:pt>
                <c:pt idx="137">
                  <c:v>22.562000000000001</c:v>
                </c:pt>
                <c:pt idx="138">
                  <c:v>22.611000000000001</c:v>
                </c:pt>
                <c:pt idx="139">
                  <c:v>22.518999999999998</c:v>
                </c:pt>
                <c:pt idx="140">
                  <c:v>22.417000000000002</c:v>
                </c:pt>
                <c:pt idx="141">
                  <c:v>22.286000000000001</c:v>
                </c:pt>
                <c:pt idx="142">
                  <c:v>22.26</c:v>
                </c:pt>
                <c:pt idx="143">
                  <c:v>22.202999999999999</c:v>
                </c:pt>
                <c:pt idx="144">
                  <c:v>22.119</c:v>
                </c:pt>
                <c:pt idx="145">
                  <c:v>22.042999999999999</c:v>
                </c:pt>
                <c:pt idx="146">
                  <c:v>22.079000000000001</c:v>
                </c:pt>
                <c:pt idx="147">
                  <c:v>22.166</c:v>
                </c:pt>
                <c:pt idx="148">
                  <c:v>21.734999999999999</c:v>
                </c:pt>
                <c:pt idx="149">
                  <c:v>21.446999999999999</c:v>
                </c:pt>
                <c:pt idx="150">
                  <c:v>21.385999999999999</c:v>
                </c:pt>
                <c:pt idx="151">
                  <c:v>21.489000000000001</c:v>
                </c:pt>
                <c:pt idx="152">
                  <c:v>21.431999999999999</c:v>
                </c:pt>
                <c:pt idx="153">
                  <c:v>21.346</c:v>
                </c:pt>
                <c:pt idx="154">
                  <c:v>21.364999999999998</c:v>
                </c:pt>
                <c:pt idx="155">
                  <c:v>21.323</c:v>
                </c:pt>
                <c:pt idx="156">
                  <c:v>21.254999999999999</c:v>
                </c:pt>
                <c:pt idx="157">
                  <c:v>21.341999999999999</c:v>
                </c:pt>
                <c:pt idx="158">
                  <c:v>21.134</c:v>
                </c:pt>
                <c:pt idx="159">
                  <c:v>21.285</c:v>
                </c:pt>
                <c:pt idx="160">
                  <c:v>21.369</c:v>
                </c:pt>
                <c:pt idx="161">
                  <c:v>21.323</c:v>
                </c:pt>
                <c:pt idx="162">
                  <c:v>20.942</c:v>
                </c:pt>
                <c:pt idx="163">
                  <c:v>20.760999999999999</c:v>
                </c:pt>
                <c:pt idx="164">
                  <c:v>20.303999999999998</c:v>
                </c:pt>
                <c:pt idx="165">
                  <c:v>20.567</c:v>
                </c:pt>
                <c:pt idx="166">
                  <c:v>20.260000000000002</c:v>
                </c:pt>
                <c:pt idx="167">
                  <c:v>20.486999999999998</c:v>
                </c:pt>
                <c:pt idx="168">
                  <c:v>20.594999999999999</c:v>
                </c:pt>
                <c:pt idx="169">
                  <c:v>20.178000000000001</c:v>
                </c:pt>
                <c:pt idx="170">
                  <c:v>20.417999999999999</c:v>
                </c:pt>
                <c:pt idx="171">
                  <c:v>20.437999999999999</c:v>
                </c:pt>
                <c:pt idx="172">
                  <c:v>20.681999999999999</c:v>
                </c:pt>
                <c:pt idx="173">
                  <c:v>20.497</c:v>
                </c:pt>
                <c:pt idx="174">
                  <c:v>20.399000000000001</c:v>
                </c:pt>
                <c:pt idx="175">
                  <c:v>20.37</c:v>
                </c:pt>
                <c:pt idx="176">
                  <c:v>20.422000000000001</c:v>
                </c:pt>
                <c:pt idx="177">
                  <c:v>20.454999999999998</c:v>
                </c:pt>
                <c:pt idx="178">
                  <c:v>20.312999999999999</c:v>
                </c:pt>
                <c:pt idx="179">
                  <c:v>20.190999999999999</c:v>
                </c:pt>
                <c:pt idx="180">
                  <c:v>20.074999999999999</c:v>
                </c:pt>
                <c:pt idx="181">
                  <c:v>20.277000000000001</c:v>
                </c:pt>
                <c:pt idx="182">
                  <c:v>20.119</c:v>
                </c:pt>
                <c:pt idx="183">
                  <c:v>19.986000000000001</c:v>
                </c:pt>
                <c:pt idx="184">
                  <c:v>19.827000000000002</c:v>
                </c:pt>
                <c:pt idx="185">
                  <c:v>19.908999999999999</c:v>
                </c:pt>
                <c:pt idx="186">
                  <c:v>19.850000000000001</c:v>
                </c:pt>
                <c:pt idx="187">
                  <c:v>19.617000000000001</c:v>
                </c:pt>
                <c:pt idx="188">
                  <c:v>19.681999999999999</c:v>
                </c:pt>
                <c:pt idx="189">
                  <c:v>19.582999999999998</c:v>
                </c:pt>
                <c:pt idx="190">
                  <c:v>19.507000000000001</c:v>
                </c:pt>
                <c:pt idx="191">
                  <c:v>18.536999999999999</c:v>
                </c:pt>
                <c:pt idx="192">
                  <c:v>18.414999999999999</c:v>
                </c:pt>
                <c:pt idx="193">
                  <c:v>18.236999999999998</c:v>
                </c:pt>
                <c:pt idx="194">
                  <c:v>18.265000000000001</c:v>
                </c:pt>
                <c:pt idx="195">
                  <c:v>18.584</c:v>
                </c:pt>
                <c:pt idx="196">
                  <c:v>18.558</c:v>
                </c:pt>
                <c:pt idx="197">
                  <c:v>18.603000000000002</c:v>
                </c:pt>
                <c:pt idx="198">
                  <c:v>18.594000000000001</c:v>
                </c:pt>
                <c:pt idx="199">
                  <c:v>18.401</c:v>
                </c:pt>
                <c:pt idx="200">
                  <c:v>18.177</c:v>
                </c:pt>
                <c:pt idx="201">
                  <c:v>18.023</c:v>
                </c:pt>
                <c:pt idx="202">
                  <c:v>18.119</c:v>
                </c:pt>
                <c:pt idx="203">
                  <c:v>18.114000000000001</c:v>
                </c:pt>
                <c:pt idx="204">
                  <c:v>18.236999999999998</c:v>
                </c:pt>
                <c:pt idx="205">
                  <c:v>18.001000000000001</c:v>
                </c:pt>
                <c:pt idx="206">
                  <c:v>17.881</c:v>
                </c:pt>
                <c:pt idx="207">
                  <c:v>17.949000000000002</c:v>
                </c:pt>
                <c:pt idx="208">
                  <c:v>18.007000000000001</c:v>
                </c:pt>
                <c:pt idx="209">
                  <c:v>17.832999999999998</c:v>
                </c:pt>
                <c:pt idx="210">
                  <c:v>17.725000000000001</c:v>
                </c:pt>
                <c:pt idx="211">
                  <c:v>17.739999999999998</c:v>
                </c:pt>
                <c:pt idx="212">
                  <c:v>17.760000000000002</c:v>
                </c:pt>
                <c:pt idx="213">
                  <c:v>17.515000000000001</c:v>
                </c:pt>
                <c:pt idx="214">
                  <c:v>17.388000000000002</c:v>
                </c:pt>
                <c:pt idx="215">
                  <c:v>17.481000000000002</c:v>
                </c:pt>
                <c:pt idx="216">
                  <c:v>17.465</c:v>
                </c:pt>
                <c:pt idx="217">
                  <c:v>17.126999999999999</c:v>
                </c:pt>
                <c:pt idx="218">
                  <c:v>16.998000000000001</c:v>
                </c:pt>
                <c:pt idx="219">
                  <c:v>16.565999999999999</c:v>
                </c:pt>
                <c:pt idx="220">
                  <c:v>16.484000000000002</c:v>
                </c:pt>
                <c:pt idx="221">
                  <c:v>16.170999999999999</c:v>
                </c:pt>
                <c:pt idx="222">
                  <c:v>16.048999999999999</c:v>
                </c:pt>
                <c:pt idx="223">
                  <c:v>16.190000000000001</c:v>
                </c:pt>
                <c:pt idx="224">
                  <c:v>16.504999999999999</c:v>
                </c:pt>
                <c:pt idx="225">
                  <c:v>17.219000000000001</c:v>
                </c:pt>
                <c:pt idx="226">
                  <c:v>16.940999999999999</c:v>
                </c:pt>
                <c:pt idx="227">
                  <c:v>17.035</c:v>
                </c:pt>
                <c:pt idx="228">
                  <c:v>16.928000000000001</c:v>
                </c:pt>
                <c:pt idx="229">
                  <c:v>16.876999999999999</c:v>
                </c:pt>
                <c:pt idx="230">
                  <c:v>17.097999999999999</c:v>
                </c:pt>
                <c:pt idx="231">
                  <c:v>17.291</c:v>
                </c:pt>
                <c:pt idx="232">
                  <c:v>17.338000000000001</c:v>
                </c:pt>
                <c:pt idx="233">
                  <c:v>17.312000000000001</c:v>
                </c:pt>
                <c:pt idx="234">
                  <c:v>17.420000000000002</c:v>
                </c:pt>
                <c:pt idx="235">
                  <c:v>17.581</c:v>
                </c:pt>
                <c:pt idx="236">
                  <c:v>17.3</c:v>
                </c:pt>
                <c:pt idx="237">
                  <c:v>16.890999999999998</c:v>
                </c:pt>
                <c:pt idx="238">
                  <c:v>17.042999999999999</c:v>
                </c:pt>
                <c:pt idx="239">
                  <c:v>16.507000000000001</c:v>
                </c:pt>
                <c:pt idx="240">
                  <c:v>16.52</c:v>
                </c:pt>
                <c:pt idx="241">
                  <c:v>16.414000000000001</c:v>
                </c:pt>
                <c:pt idx="242">
                  <c:v>16.367000000000001</c:v>
                </c:pt>
                <c:pt idx="243">
                  <c:v>16.244</c:v>
                </c:pt>
                <c:pt idx="244">
                  <c:v>15.936</c:v>
                </c:pt>
                <c:pt idx="245">
                  <c:v>16.103999999999999</c:v>
                </c:pt>
                <c:pt idx="246">
                  <c:v>15.795</c:v>
                </c:pt>
                <c:pt idx="247">
                  <c:v>15.786</c:v>
                </c:pt>
                <c:pt idx="248">
                  <c:v>15.505000000000001</c:v>
                </c:pt>
                <c:pt idx="249">
                  <c:v>15.298999999999999</c:v>
                </c:pt>
                <c:pt idx="250">
                  <c:v>15.269</c:v>
                </c:pt>
                <c:pt idx="251">
                  <c:v>15.124000000000001</c:v>
                </c:pt>
                <c:pt idx="252">
                  <c:v>15.032</c:v>
                </c:pt>
                <c:pt idx="253">
                  <c:v>15.4</c:v>
                </c:pt>
                <c:pt idx="254">
                  <c:v>15.622</c:v>
                </c:pt>
                <c:pt idx="255">
                  <c:v>15.343999999999999</c:v>
                </c:pt>
                <c:pt idx="256">
                  <c:v>15.073</c:v>
                </c:pt>
                <c:pt idx="257">
                  <c:v>14.845000000000001</c:v>
                </c:pt>
                <c:pt idx="258">
                  <c:v>14.898</c:v>
                </c:pt>
                <c:pt idx="259">
                  <c:v>14.819000000000001</c:v>
                </c:pt>
                <c:pt idx="260">
                  <c:v>14.92</c:v>
                </c:pt>
                <c:pt idx="261">
                  <c:v>14.430999999999999</c:v>
                </c:pt>
                <c:pt idx="262">
                  <c:v>14.223000000000001</c:v>
                </c:pt>
                <c:pt idx="263">
                  <c:v>13.750999999999999</c:v>
                </c:pt>
                <c:pt idx="264">
                  <c:v>13.752000000000001</c:v>
                </c:pt>
                <c:pt idx="265">
                  <c:v>13.420999999999999</c:v>
                </c:pt>
                <c:pt idx="266">
                  <c:v>13.071999999999999</c:v>
                </c:pt>
                <c:pt idx="267">
                  <c:v>13.144</c:v>
                </c:pt>
                <c:pt idx="268">
                  <c:v>13.124000000000001</c:v>
                </c:pt>
                <c:pt idx="269">
                  <c:v>12.670999999999999</c:v>
                </c:pt>
                <c:pt idx="270">
                  <c:v>12.65</c:v>
                </c:pt>
                <c:pt idx="271">
                  <c:v>13.778</c:v>
                </c:pt>
                <c:pt idx="272">
                  <c:v>13.319000000000001</c:v>
                </c:pt>
                <c:pt idx="273">
                  <c:v>13.564</c:v>
                </c:pt>
                <c:pt idx="274">
                  <c:v>13.897</c:v>
                </c:pt>
                <c:pt idx="275">
                  <c:v>14.454000000000001</c:v>
                </c:pt>
                <c:pt idx="276">
                  <c:v>14.486000000000001</c:v>
                </c:pt>
                <c:pt idx="277">
                  <c:v>14.042</c:v>
                </c:pt>
                <c:pt idx="278">
                  <c:v>13.875999999999999</c:v>
                </c:pt>
                <c:pt idx="279">
                  <c:v>13.991</c:v>
                </c:pt>
                <c:pt idx="280">
                  <c:v>13.759</c:v>
                </c:pt>
                <c:pt idx="281">
                  <c:v>13.651999999999999</c:v>
                </c:pt>
                <c:pt idx="282">
                  <c:v>13.366</c:v>
                </c:pt>
                <c:pt idx="283">
                  <c:v>13.146000000000001</c:v>
                </c:pt>
                <c:pt idx="284">
                  <c:v>12.983000000000001</c:v>
                </c:pt>
                <c:pt idx="285">
                  <c:v>12.859</c:v>
                </c:pt>
                <c:pt idx="286">
                  <c:v>13.337</c:v>
                </c:pt>
                <c:pt idx="287">
                  <c:v>13.365</c:v>
                </c:pt>
                <c:pt idx="288">
                  <c:v>13.201000000000001</c:v>
                </c:pt>
                <c:pt idx="289">
                  <c:v>13.308999999999999</c:v>
                </c:pt>
                <c:pt idx="290">
                  <c:v>13.558999999999999</c:v>
                </c:pt>
                <c:pt idx="291">
                  <c:v>13.208</c:v>
                </c:pt>
                <c:pt idx="292">
                  <c:v>13.51</c:v>
                </c:pt>
                <c:pt idx="293">
                  <c:v>13.368</c:v>
                </c:pt>
                <c:pt idx="294">
                  <c:v>13.132</c:v>
                </c:pt>
                <c:pt idx="295">
                  <c:v>13.054</c:v>
                </c:pt>
                <c:pt idx="296">
                  <c:v>13.349</c:v>
                </c:pt>
                <c:pt idx="297">
                  <c:v>13.433</c:v>
                </c:pt>
                <c:pt idx="298">
                  <c:v>13.445</c:v>
                </c:pt>
                <c:pt idx="299">
                  <c:v>13.468999999999999</c:v>
                </c:pt>
                <c:pt idx="300">
                  <c:v>13.372999999999999</c:v>
                </c:pt>
                <c:pt idx="301">
                  <c:v>13.254</c:v>
                </c:pt>
                <c:pt idx="302">
                  <c:v>13.377000000000001</c:v>
                </c:pt>
                <c:pt idx="303">
                  <c:v>13.435</c:v>
                </c:pt>
                <c:pt idx="304">
                  <c:v>13.55</c:v>
                </c:pt>
                <c:pt idx="305">
                  <c:v>13.358000000000001</c:v>
                </c:pt>
                <c:pt idx="306">
                  <c:v>13.397</c:v>
                </c:pt>
                <c:pt idx="307">
                  <c:v>13.279</c:v>
                </c:pt>
                <c:pt idx="308">
                  <c:v>13.19</c:v>
                </c:pt>
                <c:pt idx="309">
                  <c:v>13.186</c:v>
                </c:pt>
                <c:pt idx="310">
                  <c:v>13.301</c:v>
                </c:pt>
                <c:pt idx="311">
                  <c:v>13.364000000000001</c:v>
                </c:pt>
                <c:pt idx="312">
                  <c:v>13.228999999999999</c:v>
                </c:pt>
                <c:pt idx="313">
                  <c:v>13.218999999999999</c:v>
                </c:pt>
                <c:pt idx="314">
                  <c:v>13.228</c:v>
                </c:pt>
                <c:pt idx="315">
                  <c:v>13.252000000000001</c:v>
                </c:pt>
                <c:pt idx="316">
                  <c:v>13.1</c:v>
                </c:pt>
                <c:pt idx="317">
                  <c:v>13.121</c:v>
                </c:pt>
                <c:pt idx="318">
                  <c:v>13.564</c:v>
                </c:pt>
                <c:pt idx="319">
                  <c:v>13.439</c:v>
                </c:pt>
                <c:pt idx="320">
                  <c:v>13.365</c:v>
                </c:pt>
                <c:pt idx="321">
                  <c:v>13.286</c:v>
                </c:pt>
                <c:pt idx="322">
                  <c:v>13.393000000000001</c:v>
                </c:pt>
                <c:pt idx="323">
                  <c:v>13.24</c:v>
                </c:pt>
                <c:pt idx="324">
                  <c:v>13.39</c:v>
                </c:pt>
                <c:pt idx="325">
                  <c:v>13.461</c:v>
                </c:pt>
                <c:pt idx="326">
                  <c:v>13.568</c:v>
                </c:pt>
                <c:pt idx="327">
                  <c:v>13.614000000000001</c:v>
                </c:pt>
                <c:pt idx="328">
                  <c:v>13.48</c:v>
                </c:pt>
                <c:pt idx="329">
                  <c:v>13.452</c:v>
                </c:pt>
                <c:pt idx="330">
                  <c:v>13.45</c:v>
                </c:pt>
                <c:pt idx="331">
                  <c:v>13.837999999999999</c:v>
                </c:pt>
                <c:pt idx="332">
                  <c:v>14.048999999999999</c:v>
                </c:pt>
                <c:pt idx="333">
                  <c:v>14.676</c:v>
                </c:pt>
                <c:pt idx="334">
                  <c:v>15.24</c:v>
                </c:pt>
                <c:pt idx="335">
                  <c:v>15.052</c:v>
                </c:pt>
                <c:pt idx="336">
                  <c:v>15.803000000000001</c:v>
                </c:pt>
                <c:pt idx="337">
                  <c:v>16.013999999999999</c:v>
                </c:pt>
                <c:pt idx="338">
                  <c:v>14.971</c:v>
                </c:pt>
                <c:pt idx="339">
                  <c:v>15.669</c:v>
                </c:pt>
                <c:pt idx="340">
                  <c:v>15.065</c:v>
                </c:pt>
                <c:pt idx="341">
                  <c:v>15.032999999999999</c:v>
                </c:pt>
                <c:pt idx="342">
                  <c:v>15.378</c:v>
                </c:pt>
                <c:pt idx="343">
                  <c:v>15.694000000000001</c:v>
                </c:pt>
                <c:pt idx="344">
                  <c:v>15.534000000000001</c:v>
                </c:pt>
                <c:pt idx="345">
                  <c:v>15.718999999999999</c:v>
                </c:pt>
                <c:pt idx="346">
                  <c:v>15.667999999999999</c:v>
                </c:pt>
                <c:pt idx="347">
                  <c:v>15.811</c:v>
                </c:pt>
                <c:pt idx="348">
                  <c:v>15.670999999999999</c:v>
                </c:pt>
                <c:pt idx="349">
                  <c:v>15.62</c:v>
                </c:pt>
                <c:pt idx="350">
                  <c:v>15.862</c:v>
                </c:pt>
                <c:pt idx="351">
                  <c:v>15.965</c:v>
                </c:pt>
                <c:pt idx="352">
                  <c:v>15.907999999999999</c:v>
                </c:pt>
                <c:pt idx="353">
                  <c:v>15.561</c:v>
                </c:pt>
                <c:pt idx="354">
                  <c:v>15.576000000000001</c:v>
                </c:pt>
                <c:pt idx="355">
                  <c:v>15.352</c:v>
                </c:pt>
                <c:pt idx="356">
                  <c:v>15.352</c:v>
                </c:pt>
                <c:pt idx="357">
                  <c:v>15.61</c:v>
                </c:pt>
                <c:pt idx="358">
                  <c:v>15.715</c:v>
                </c:pt>
                <c:pt idx="359">
                  <c:v>15.907</c:v>
                </c:pt>
                <c:pt idx="360">
                  <c:v>16</c:v>
                </c:pt>
                <c:pt idx="361">
                  <c:v>16.553000000000001</c:v>
                </c:pt>
                <c:pt idx="362">
                  <c:v>16.375</c:v>
                </c:pt>
                <c:pt idx="363">
                  <c:v>16.739000000000001</c:v>
                </c:pt>
                <c:pt idx="364">
                  <c:v>16.734999999999999</c:v>
                </c:pt>
                <c:pt idx="365">
                  <c:v>17.244</c:v>
                </c:pt>
                <c:pt idx="366">
                  <c:v>17.521000000000001</c:v>
                </c:pt>
                <c:pt idx="367">
                  <c:v>17.518000000000001</c:v>
                </c:pt>
                <c:pt idx="368">
                  <c:v>17.396999999999998</c:v>
                </c:pt>
                <c:pt idx="369">
                  <c:v>17.027000000000001</c:v>
                </c:pt>
                <c:pt idx="370">
                  <c:v>16.986999999999998</c:v>
                </c:pt>
                <c:pt idx="371">
                  <c:v>17.145</c:v>
                </c:pt>
                <c:pt idx="372">
                  <c:v>17.263000000000002</c:v>
                </c:pt>
                <c:pt idx="373">
                  <c:v>17.222000000000001</c:v>
                </c:pt>
                <c:pt idx="374">
                  <c:v>17.561</c:v>
                </c:pt>
                <c:pt idx="375">
                  <c:v>18.251000000000001</c:v>
                </c:pt>
                <c:pt idx="376">
                  <c:v>17.931999999999999</c:v>
                </c:pt>
                <c:pt idx="377">
                  <c:v>18.577999999999999</c:v>
                </c:pt>
                <c:pt idx="378">
                  <c:v>18.164000000000001</c:v>
                </c:pt>
                <c:pt idx="379">
                  <c:v>17.901</c:v>
                </c:pt>
                <c:pt idx="380">
                  <c:v>17.308</c:v>
                </c:pt>
                <c:pt idx="381">
                  <c:v>17.311</c:v>
                </c:pt>
                <c:pt idx="382">
                  <c:v>17.693000000000001</c:v>
                </c:pt>
                <c:pt idx="383">
                  <c:v>17.64</c:v>
                </c:pt>
                <c:pt idx="384">
                  <c:v>17.803999999999998</c:v>
                </c:pt>
                <c:pt idx="385">
                  <c:v>18.25</c:v>
                </c:pt>
                <c:pt idx="386">
                  <c:v>17.928999999999998</c:v>
                </c:pt>
                <c:pt idx="387">
                  <c:v>17.841999999999999</c:v>
                </c:pt>
                <c:pt idx="388">
                  <c:v>18.181999999999999</c:v>
                </c:pt>
                <c:pt idx="389">
                  <c:v>17.861999999999998</c:v>
                </c:pt>
                <c:pt idx="390">
                  <c:v>17.806000000000001</c:v>
                </c:pt>
                <c:pt idx="391">
                  <c:v>17.963000000000001</c:v>
                </c:pt>
                <c:pt idx="392">
                  <c:v>17.809000000000001</c:v>
                </c:pt>
                <c:pt idx="393">
                  <c:v>17.766999999999999</c:v>
                </c:pt>
                <c:pt idx="394">
                  <c:v>18.163</c:v>
                </c:pt>
                <c:pt idx="395">
                  <c:v>18.111000000000001</c:v>
                </c:pt>
                <c:pt idx="396">
                  <c:v>18.143999999999998</c:v>
                </c:pt>
                <c:pt idx="397">
                  <c:v>18.225999999999999</c:v>
                </c:pt>
                <c:pt idx="398">
                  <c:v>18.364999999999998</c:v>
                </c:pt>
                <c:pt idx="399">
                  <c:v>18.123999999999999</c:v>
                </c:pt>
                <c:pt idx="400">
                  <c:v>18.126000000000001</c:v>
                </c:pt>
                <c:pt idx="401">
                  <c:v>17.991</c:v>
                </c:pt>
                <c:pt idx="402">
                  <c:v>17.905000000000001</c:v>
                </c:pt>
                <c:pt idx="403">
                  <c:v>17.696000000000002</c:v>
                </c:pt>
                <c:pt idx="404">
                  <c:v>17.553000000000001</c:v>
                </c:pt>
                <c:pt idx="405">
                  <c:v>17.221</c:v>
                </c:pt>
                <c:pt idx="406">
                  <c:v>16.997</c:v>
                </c:pt>
                <c:pt idx="407">
                  <c:v>16.934000000000001</c:v>
                </c:pt>
                <c:pt idx="408">
                  <c:v>16.882999999999999</c:v>
                </c:pt>
                <c:pt idx="409">
                  <c:v>16.701000000000001</c:v>
                </c:pt>
                <c:pt idx="410">
                  <c:v>16.863</c:v>
                </c:pt>
                <c:pt idx="411">
                  <c:v>16.835000000000001</c:v>
                </c:pt>
                <c:pt idx="412">
                  <c:v>16.780999999999999</c:v>
                </c:pt>
                <c:pt idx="413">
                  <c:v>16.704999999999998</c:v>
                </c:pt>
                <c:pt idx="414">
                  <c:v>16.77</c:v>
                </c:pt>
                <c:pt idx="415">
                  <c:v>16.672000000000001</c:v>
                </c:pt>
                <c:pt idx="416">
                  <c:v>16.846</c:v>
                </c:pt>
                <c:pt idx="417">
                  <c:v>17.024000000000001</c:v>
                </c:pt>
                <c:pt idx="418">
                  <c:v>17.064</c:v>
                </c:pt>
                <c:pt idx="419">
                  <c:v>16.802</c:v>
                </c:pt>
                <c:pt idx="420">
                  <c:v>16.626000000000001</c:v>
                </c:pt>
                <c:pt idx="421">
                  <c:v>16.667000000000002</c:v>
                </c:pt>
                <c:pt idx="422">
                  <c:v>16.483000000000001</c:v>
                </c:pt>
                <c:pt idx="423">
                  <c:v>16.488</c:v>
                </c:pt>
                <c:pt idx="424">
                  <c:v>16.763000000000002</c:v>
                </c:pt>
                <c:pt idx="425">
                  <c:v>16.905000000000001</c:v>
                </c:pt>
                <c:pt idx="426">
                  <c:v>16.648</c:v>
                </c:pt>
                <c:pt idx="427">
                  <c:v>16.277000000000001</c:v>
                </c:pt>
                <c:pt idx="428">
                  <c:v>16.198</c:v>
                </c:pt>
                <c:pt idx="429">
                  <c:v>16.2</c:v>
                </c:pt>
                <c:pt idx="430">
                  <c:v>16.196000000000002</c:v>
                </c:pt>
                <c:pt idx="431">
                  <c:v>16.132999999999999</c:v>
                </c:pt>
                <c:pt idx="432">
                  <c:v>16.039000000000001</c:v>
                </c:pt>
                <c:pt idx="433">
                  <c:v>16.097000000000001</c:v>
                </c:pt>
                <c:pt idx="434">
                  <c:v>16.018000000000001</c:v>
                </c:pt>
                <c:pt idx="435">
                  <c:v>15.928000000000001</c:v>
                </c:pt>
                <c:pt idx="436">
                  <c:v>15.927</c:v>
                </c:pt>
                <c:pt idx="437">
                  <c:v>15.8</c:v>
                </c:pt>
                <c:pt idx="438">
                  <c:v>16.001999999999999</c:v>
                </c:pt>
                <c:pt idx="439">
                  <c:v>16.068000000000001</c:v>
                </c:pt>
                <c:pt idx="440">
                  <c:v>16.405999999999999</c:v>
                </c:pt>
                <c:pt idx="441">
                  <c:v>16.123999999999999</c:v>
                </c:pt>
                <c:pt idx="442">
                  <c:v>16.341999999999999</c:v>
                </c:pt>
                <c:pt idx="443">
                  <c:v>16.483000000000001</c:v>
                </c:pt>
                <c:pt idx="444">
                  <c:v>16.826000000000001</c:v>
                </c:pt>
                <c:pt idx="445">
                  <c:v>16.709</c:v>
                </c:pt>
                <c:pt idx="446">
                  <c:v>16.231000000000002</c:v>
                </c:pt>
                <c:pt idx="447">
                  <c:v>16.629000000000001</c:v>
                </c:pt>
                <c:pt idx="448">
                  <c:v>16.800999999999998</c:v>
                </c:pt>
                <c:pt idx="449">
                  <c:v>15.8</c:v>
                </c:pt>
                <c:pt idx="450">
                  <c:v>15.957000000000001</c:v>
                </c:pt>
                <c:pt idx="451">
                  <c:v>16.254000000000001</c:v>
                </c:pt>
                <c:pt idx="452">
                  <c:v>16.401</c:v>
                </c:pt>
                <c:pt idx="453">
                  <c:v>16.655999999999999</c:v>
                </c:pt>
                <c:pt idx="454">
                  <c:v>16.2</c:v>
                </c:pt>
                <c:pt idx="455">
                  <c:v>16.135999999999999</c:v>
                </c:pt>
                <c:pt idx="456">
                  <c:v>15.920999999999999</c:v>
                </c:pt>
                <c:pt idx="457">
                  <c:v>15.877000000000001</c:v>
                </c:pt>
                <c:pt idx="458">
                  <c:v>16.062999999999999</c:v>
                </c:pt>
                <c:pt idx="459">
                  <c:v>16.317</c:v>
                </c:pt>
                <c:pt idx="460">
                  <c:v>16.440000000000001</c:v>
                </c:pt>
                <c:pt idx="461">
                  <c:v>16.762</c:v>
                </c:pt>
                <c:pt idx="462">
                  <c:v>16.75</c:v>
                </c:pt>
                <c:pt idx="463">
                  <c:v>16.725000000000001</c:v>
                </c:pt>
                <c:pt idx="464">
                  <c:v>16.718</c:v>
                </c:pt>
                <c:pt idx="465">
                  <c:v>16.928999999999998</c:v>
                </c:pt>
                <c:pt idx="466">
                  <c:v>16.971</c:v>
                </c:pt>
                <c:pt idx="467">
                  <c:v>16.843</c:v>
                </c:pt>
                <c:pt idx="468">
                  <c:v>17.100000000000001</c:v>
                </c:pt>
                <c:pt idx="469">
                  <c:v>17.045999999999999</c:v>
                </c:pt>
                <c:pt idx="470">
                  <c:v>16.669</c:v>
                </c:pt>
                <c:pt idx="471">
                  <c:v>16.917999999999999</c:v>
                </c:pt>
                <c:pt idx="472">
                  <c:v>16.71</c:v>
                </c:pt>
                <c:pt idx="473">
                  <c:v>16.547000000000001</c:v>
                </c:pt>
                <c:pt idx="474">
                  <c:v>16.257999999999999</c:v>
                </c:pt>
                <c:pt idx="475">
                  <c:v>16.091999999999999</c:v>
                </c:pt>
                <c:pt idx="476">
                  <c:v>16.013000000000002</c:v>
                </c:pt>
                <c:pt idx="477">
                  <c:v>16.111000000000001</c:v>
                </c:pt>
                <c:pt idx="478">
                  <c:v>16.193999999999999</c:v>
                </c:pt>
                <c:pt idx="479">
                  <c:v>15.887</c:v>
                </c:pt>
                <c:pt idx="480">
                  <c:v>15.579000000000001</c:v>
                </c:pt>
                <c:pt idx="481">
                  <c:v>15.818</c:v>
                </c:pt>
                <c:pt idx="482">
                  <c:v>15.656000000000001</c:v>
                </c:pt>
                <c:pt idx="483">
                  <c:v>15.818</c:v>
                </c:pt>
                <c:pt idx="484">
                  <c:v>15.863</c:v>
                </c:pt>
                <c:pt idx="485">
                  <c:v>15.84</c:v>
                </c:pt>
                <c:pt idx="486">
                  <c:v>16.154</c:v>
                </c:pt>
                <c:pt idx="487">
                  <c:v>16.329000000000001</c:v>
                </c:pt>
                <c:pt idx="488">
                  <c:v>16.428000000000001</c:v>
                </c:pt>
                <c:pt idx="489">
                  <c:v>16.268000000000001</c:v>
                </c:pt>
                <c:pt idx="490">
                  <c:v>16.36</c:v>
                </c:pt>
                <c:pt idx="491">
                  <c:v>16.260000000000002</c:v>
                </c:pt>
                <c:pt idx="492">
                  <c:v>16.271000000000001</c:v>
                </c:pt>
                <c:pt idx="493">
                  <c:v>16.478000000000002</c:v>
                </c:pt>
                <c:pt idx="494">
                  <c:v>16.280999999999999</c:v>
                </c:pt>
                <c:pt idx="495">
                  <c:v>15.96</c:v>
                </c:pt>
                <c:pt idx="496">
                  <c:v>15.545</c:v>
                </c:pt>
                <c:pt idx="497">
                  <c:v>15.557</c:v>
                </c:pt>
                <c:pt idx="498">
                  <c:v>15.7</c:v>
                </c:pt>
                <c:pt idx="499">
                  <c:v>15.721</c:v>
                </c:pt>
                <c:pt idx="500">
                  <c:v>16.265999999999998</c:v>
                </c:pt>
                <c:pt idx="501">
                  <c:v>16.405000000000001</c:v>
                </c:pt>
                <c:pt idx="502">
                  <c:v>16.460999999999999</c:v>
                </c:pt>
                <c:pt idx="503">
                  <c:v>16.460999999999999</c:v>
                </c:pt>
                <c:pt idx="504">
                  <c:v>16.741</c:v>
                </c:pt>
                <c:pt idx="505">
                  <c:v>16.693000000000001</c:v>
                </c:pt>
                <c:pt idx="506">
                  <c:v>16.885000000000002</c:v>
                </c:pt>
                <c:pt idx="507">
                  <c:v>17.041</c:v>
                </c:pt>
                <c:pt idx="508">
                  <c:v>17.341000000000001</c:v>
                </c:pt>
                <c:pt idx="509">
                  <c:v>17.154</c:v>
                </c:pt>
                <c:pt idx="510">
                  <c:v>17.355</c:v>
                </c:pt>
                <c:pt idx="511">
                  <c:v>17.443999999999999</c:v>
                </c:pt>
                <c:pt idx="512">
                  <c:v>17.498000000000001</c:v>
                </c:pt>
                <c:pt idx="513">
                  <c:v>17.721</c:v>
                </c:pt>
                <c:pt idx="514">
                  <c:v>17.463000000000001</c:v>
                </c:pt>
                <c:pt idx="515">
                  <c:v>17.041</c:v>
                </c:pt>
                <c:pt idx="516">
                  <c:v>17.074000000000002</c:v>
                </c:pt>
                <c:pt idx="517">
                  <c:v>16.969000000000001</c:v>
                </c:pt>
                <c:pt idx="518">
                  <c:v>16.704999999999998</c:v>
                </c:pt>
                <c:pt idx="519">
                  <c:v>16.916</c:v>
                </c:pt>
                <c:pt idx="520">
                  <c:v>17.196000000000002</c:v>
                </c:pt>
                <c:pt idx="521">
                  <c:v>17.498000000000001</c:v>
                </c:pt>
                <c:pt idx="522">
                  <c:v>17.361000000000001</c:v>
                </c:pt>
                <c:pt idx="523">
                  <c:v>17.212</c:v>
                </c:pt>
                <c:pt idx="524">
                  <c:v>16.916</c:v>
                </c:pt>
                <c:pt idx="525">
                  <c:v>17.169</c:v>
                </c:pt>
                <c:pt idx="526">
                  <c:v>17.244</c:v>
                </c:pt>
                <c:pt idx="527">
                  <c:v>17.277000000000001</c:v>
                </c:pt>
                <c:pt idx="528">
                  <c:v>17.364000000000001</c:v>
                </c:pt>
                <c:pt idx="529">
                  <c:v>17.489000000000001</c:v>
                </c:pt>
                <c:pt idx="530">
                  <c:v>17.259</c:v>
                </c:pt>
                <c:pt idx="531">
                  <c:v>17.001000000000001</c:v>
                </c:pt>
                <c:pt idx="532">
                  <c:v>16.98</c:v>
                </c:pt>
                <c:pt idx="533">
                  <c:v>16.806999999999999</c:v>
                </c:pt>
                <c:pt idx="534">
                  <c:v>16.866</c:v>
                </c:pt>
                <c:pt idx="535">
                  <c:v>16.888000000000002</c:v>
                </c:pt>
                <c:pt idx="536">
                  <c:v>16.97</c:v>
                </c:pt>
                <c:pt idx="537">
                  <c:v>16.89</c:v>
                </c:pt>
                <c:pt idx="538">
                  <c:v>16.948</c:v>
                </c:pt>
                <c:pt idx="539">
                  <c:v>16.806000000000001</c:v>
                </c:pt>
                <c:pt idx="540">
                  <c:v>16.901</c:v>
                </c:pt>
                <c:pt idx="541">
                  <c:v>16.841000000000001</c:v>
                </c:pt>
                <c:pt idx="542">
                  <c:v>16.922999999999998</c:v>
                </c:pt>
                <c:pt idx="543">
                  <c:v>16.975999999999999</c:v>
                </c:pt>
                <c:pt idx="544">
                  <c:v>16.809000000000001</c:v>
                </c:pt>
                <c:pt idx="545">
                  <c:v>16.763000000000002</c:v>
                </c:pt>
                <c:pt idx="546">
                  <c:v>16.785</c:v>
                </c:pt>
                <c:pt idx="547">
                  <c:v>16.811</c:v>
                </c:pt>
                <c:pt idx="548">
                  <c:v>16.738</c:v>
                </c:pt>
                <c:pt idx="549">
                  <c:v>16.992000000000001</c:v>
                </c:pt>
                <c:pt idx="550">
                  <c:v>16.952999999999999</c:v>
                </c:pt>
                <c:pt idx="551">
                  <c:v>16.902000000000001</c:v>
                </c:pt>
                <c:pt idx="552">
                  <c:v>17.045999999999999</c:v>
                </c:pt>
                <c:pt idx="553">
                  <c:v>16.844000000000001</c:v>
                </c:pt>
                <c:pt idx="554">
                  <c:v>16.579000000000001</c:v>
                </c:pt>
                <c:pt idx="555">
                  <c:v>16.295000000000002</c:v>
                </c:pt>
                <c:pt idx="556">
                  <c:v>16.402999999999999</c:v>
                </c:pt>
                <c:pt idx="557">
                  <c:v>16.196000000000002</c:v>
                </c:pt>
                <c:pt idx="558">
                  <c:v>16.25</c:v>
                </c:pt>
                <c:pt idx="559">
                  <c:v>16.349</c:v>
                </c:pt>
                <c:pt idx="560">
                  <c:v>16.213000000000001</c:v>
                </c:pt>
                <c:pt idx="561">
                  <c:v>16.041</c:v>
                </c:pt>
                <c:pt idx="562">
                  <c:v>15.842000000000001</c:v>
                </c:pt>
                <c:pt idx="563">
                  <c:v>15.808</c:v>
                </c:pt>
                <c:pt idx="564">
                  <c:v>15.577</c:v>
                </c:pt>
                <c:pt idx="565">
                  <c:v>15.523</c:v>
                </c:pt>
                <c:pt idx="566">
                  <c:v>15.741</c:v>
                </c:pt>
                <c:pt idx="567">
                  <c:v>15.734</c:v>
                </c:pt>
                <c:pt idx="568">
                  <c:v>15.750999999999999</c:v>
                </c:pt>
                <c:pt idx="569">
                  <c:v>15.645</c:v>
                </c:pt>
                <c:pt idx="570">
                  <c:v>15.456</c:v>
                </c:pt>
                <c:pt idx="571">
                  <c:v>15.384</c:v>
                </c:pt>
                <c:pt idx="572">
                  <c:v>15.449</c:v>
                </c:pt>
                <c:pt idx="573">
                  <c:v>15.379</c:v>
                </c:pt>
                <c:pt idx="574">
                  <c:v>15.223000000000001</c:v>
                </c:pt>
                <c:pt idx="575">
                  <c:v>15.326000000000001</c:v>
                </c:pt>
                <c:pt idx="576">
                  <c:v>15.731</c:v>
                </c:pt>
                <c:pt idx="577">
                  <c:v>16.114999999999998</c:v>
                </c:pt>
                <c:pt idx="578">
                  <c:v>16.483000000000001</c:v>
                </c:pt>
                <c:pt idx="579">
                  <c:v>16.643999999999998</c:v>
                </c:pt>
                <c:pt idx="580">
                  <c:v>16.582999999999998</c:v>
                </c:pt>
                <c:pt idx="581">
                  <c:v>16.622</c:v>
                </c:pt>
                <c:pt idx="582">
                  <c:v>16.61</c:v>
                </c:pt>
                <c:pt idx="583">
                  <c:v>16.233000000000001</c:v>
                </c:pt>
                <c:pt idx="584">
                  <c:v>16.216000000000001</c:v>
                </c:pt>
                <c:pt idx="585">
                  <c:v>16.262</c:v>
                </c:pt>
                <c:pt idx="586">
                  <c:v>16.434999999999999</c:v>
                </c:pt>
                <c:pt idx="587">
                  <c:v>16.423999999999999</c:v>
                </c:pt>
                <c:pt idx="588">
                  <c:v>16.984000000000002</c:v>
                </c:pt>
                <c:pt idx="589">
                  <c:v>16.838999999999999</c:v>
                </c:pt>
                <c:pt idx="590">
                  <c:v>16.648</c:v>
                </c:pt>
                <c:pt idx="591">
                  <c:v>16.71</c:v>
                </c:pt>
                <c:pt idx="592">
                  <c:v>16.526</c:v>
                </c:pt>
                <c:pt idx="593">
                  <c:v>16.181999999999999</c:v>
                </c:pt>
                <c:pt idx="594">
                  <c:v>16.401</c:v>
                </c:pt>
                <c:pt idx="595">
                  <c:v>16.283999999999999</c:v>
                </c:pt>
                <c:pt idx="596">
                  <c:v>17.135000000000002</c:v>
                </c:pt>
                <c:pt idx="597">
                  <c:v>17.128</c:v>
                </c:pt>
                <c:pt idx="598">
                  <c:v>17.254999999999999</c:v>
                </c:pt>
                <c:pt idx="599">
                  <c:v>17.187000000000001</c:v>
                </c:pt>
                <c:pt idx="600">
                  <c:v>16.928000000000001</c:v>
                </c:pt>
                <c:pt idx="601">
                  <c:v>16.919</c:v>
                </c:pt>
                <c:pt idx="602">
                  <c:v>16.805</c:v>
                </c:pt>
                <c:pt idx="603">
                  <c:v>16.707999999999998</c:v>
                </c:pt>
                <c:pt idx="604">
                  <c:v>16.79</c:v>
                </c:pt>
                <c:pt idx="605">
                  <c:v>16.745000000000001</c:v>
                </c:pt>
                <c:pt idx="606">
                  <c:v>16.724</c:v>
                </c:pt>
                <c:pt idx="607">
                  <c:v>16.861999999999998</c:v>
                </c:pt>
                <c:pt idx="608">
                  <c:v>16.742000000000001</c:v>
                </c:pt>
                <c:pt idx="609">
                  <c:v>16.911999999999999</c:v>
                </c:pt>
                <c:pt idx="610">
                  <c:v>17.056000000000001</c:v>
                </c:pt>
                <c:pt idx="611">
                  <c:v>16.959</c:v>
                </c:pt>
                <c:pt idx="612">
                  <c:v>17.015999999999998</c:v>
                </c:pt>
                <c:pt idx="613">
                  <c:v>17.175000000000001</c:v>
                </c:pt>
                <c:pt idx="614">
                  <c:v>17.16</c:v>
                </c:pt>
                <c:pt idx="615">
                  <c:v>17.007999999999999</c:v>
                </c:pt>
                <c:pt idx="616">
                  <c:v>16.922999999999998</c:v>
                </c:pt>
                <c:pt idx="617">
                  <c:v>16.998000000000001</c:v>
                </c:pt>
                <c:pt idx="618">
                  <c:v>17.154</c:v>
                </c:pt>
                <c:pt idx="619">
                  <c:v>17.259</c:v>
                </c:pt>
                <c:pt idx="620">
                  <c:v>17.169</c:v>
                </c:pt>
                <c:pt idx="621">
                  <c:v>17.154</c:v>
                </c:pt>
                <c:pt idx="622">
                  <c:v>17.21</c:v>
                </c:pt>
                <c:pt idx="623">
                  <c:v>17.097000000000001</c:v>
                </c:pt>
                <c:pt idx="624">
                  <c:v>17.091000000000001</c:v>
                </c:pt>
                <c:pt idx="625">
                  <c:v>17.274000000000001</c:v>
                </c:pt>
                <c:pt idx="626">
                  <c:v>17.088999999999999</c:v>
                </c:pt>
                <c:pt idx="627">
                  <c:v>16.98</c:v>
                </c:pt>
                <c:pt idx="628">
                  <c:v>16.946000000000002</c:v>
                </c:pt>
                <c:pt idx="629">
                  <c:v>16.934000000000001</c:v>
                </c:pt>
                <c:pt idx="630">
                  <c:v>16.864000000000001</c:v>
                </c:pt>
                <c:pt idx="631">
                  <c:v>16.858000000000001</c:v>
                </c:pt>
                <c:pt idx="632">
                  <c:v>16.88</c:v>
                </c:pt>
                <c:pt idx="633">
                  <c:v>16.872</c:v>
                </c:pt>
                <c:pt idx="634">
                  <c:v>16.837</c:v>
                </c:pt>
                <c:pt idx="635">
                  <c:v>16.777000000000001</c:v>
                </c:pt>
                <c:pt idx="636">
                  <c:v>16.780999999999999</c:v>
                </c:pt>
                <c:pt idx="637">
                  <c:v>16.84</c:v>
                </c:pt>
                <c:pt idx="638">
                  <c:v>16.965</c:v>
                </c:pt>
                <c:pt idx="639">
                  <c:v>16.986999999999998</c:v>
                </c:pt>
                <c:pt idx="640">
                  <c:v>16.902000000000001</c:v>
                </c:pt>
                <c:pt idx="641">
                  <c:v>17.667000000000002</c:v>
                </c:pt>
                <c:pt idx="642">
                  <c:v>17.901</c:v>
                </c:pt>
                <c:pt idx="643">
                  <c:v>17.762</c:v>
                </c:pt>
                <c:pt idx="644">
                  <c:v>17.709</c:v>
                </c:pt>
                <c:pt idx="645">
                  <c:v>17.613</c:v>
                </c:pt>
                <c:pt idx="646">
                  <c:v>17.425999999999998</c:v>
                </c:pt>
                <c:pt idx="647">
                  <c:v>17.388999999999999</c:v>
                </c:pt>
                <c:pt idx="648">
                  <c:v>17.318999999999999</c:v>
                </c:pt>
                <c:pt idx="649">
                  <c:v>17.329000000000001</c:v>
                </c:pt>
                <c:pt idx="650">
                  <c:v>17.484999999999999</c:v>
                </c:pt>
                <c:pt idx="651">
                  <c:v>17.629000000000001</c:v>
                </c:pt>
                <c:pt idx="652">
                  <c:v>17.779</c:v>
                </c:pt>
                <c:pt idx="653">
                  <c:v>17.658999999999999</c:v>
                </c:pt>
                <c:pt idx="654">
                  <c:v>17.738</c:v>
                </c:pt>
                <c:pt idx="655">
                  <c:v>17.71</c:v>
                </c:pt>
                <c:pt idx="656">
                  <c:v>17.552</c:v>
                </c:pt>
                <c:pt idx="657">
                  <c:v>17.41</c:v>
                </c:pt>
                <c:pt idx="658">
                  <c:v>17.489000000000001</c:v>
                </c:pt>
                <c:pt idx="659">
                  <c:v>17.690999999999999</c:v>
                </c:pt>
                <c:pt idx="660">
                  <c:v>17.675999999999998</c:v>
                </c:pt>
                <c:pt idx="661">
                  <c:v>17.623999999999999</c:v>
                </c:pt>
                <c:pt idx="662">
                  <c:v>17.356000000000002</c:v>
                </c:pt>
                <c:pt idx="663">
                  <c:v>17.204000000000001</c:v>
                </c:pt>
                <c:pt idx="664">
                  <c:v>17.222999999999999</c:v>
                </c:pt>
                <c:pt idx="665">
                  <c:v>17.245000000000001</c:v>
                </c:pt>
                <c:pt idx="666">
                  <c:v>17.288</c:v>
                </c:pt>
                <c:pt idx="667">
                  <c:v>17.475000000000001</c:v>
                </c:pt>
                <c:pt idx="668">
                  <c:v>17.373000000000001</c:v>
                </c:pt>
                <c:pt idx="669">
                  <c:v>17.524000000000001</c:v>
                </c:pt>
                <c:pt idx="670">
                  <c:v>17.646000000000001</c:v>
                </c:pt>
                <c:pt idx="671">
                  <c:v>17.734000000000002</c:v>
                </c:pt>
                <c:pt idx="672">
                  <c:v>17.579999999999998</c:v>
                </c:pt>
                <c:pt idx="673">
                  <c:v>17.326000000000001</c:v>
                </c:pt>
                <c:pt idx="674">
                  <c:v>17.536000000000001</c:v>
                </c:pt>
                <c:pt idx="675">
                  <c:v>17.516999999999999</c:v>
                </c:pt>
                <c:pt idx="676">
                  <c:v>17.327000000000002</c:v>
                </c:pt>
                <c:pt idx="677">
                  <c:v>17.324999999999999</c:v>
                </c:pt>
                <c:pt idx="678">
                  <c:v>17.321000000000002</c:v>
                </c:pt>
                <c:pt idx="679">
                  <c:v>17.385999999999999</c:v>
                </c:pt>
                <c:pt idx="680">
                  <c:v>17.297000000000001</c:v>
                </c:pt>
                <c:pt idx="681">
                  <c:v>17.343</c:v>
                </c:pt>
                <c:pt idx="682">
                  <c:v>17.356000000000002</c:v>
                </c:pt>
                <c:pt idx="683">
                  <c:v>17.329999999999998</c:v>
                </c:pt>
                <c:pt idx="684">
                  <c:v>17.312999999999999</c:v>
                </c:pt>
                <c:pt idx="685">
                  <c:v>16.641999999999999</c:v>
                </c:pt>
                <c:pt idx="686">
                  <c:v>16.673999999999999</c:v>
                </c:pt>
                <c:pt idx="687">
                  <c:v>16.739999999999998</c:v>
                </c:pt>
                <c:pt idx="688">
                  <c:v>17.103000000000002</c:v>
                </c:pt>
                <c:pt idx="689">
                  <c:v>17.263999999999999</c:v>
                </c:pt>
                <c:pt idx="690">
                  <c:v>17.283999999999999</c:v>
                </c:pt>
                <c:pt idx="691">
                  <c:v>17.323</c:v>
                </c:pt>
                <c:pt idx="692">
                  <c:v>17.622</c:v>
                </c:pt>
                <c:pt idx="693">
                  <c:v>17.567</c:v>
                </c:pt>
                <c:pt idx="694">
                  <c:v>17.600999999999999</c:v>
                </c:pt>
                <c:pt idx="695">
                  <c:v>17.690000000000001</c:v>
                </c:pt>
                <c:pt idx="696">
                  <c:v>17.422999999999998</c:v>
                </c:pt>
                <c:pt idx="697">
                  <c:v>17.344999999999999</c:v>
                </c:pt>
                <c:pt idx="698">
                  <c:v>17.378</c:v>
                </c:pt>
                <c:pt idx="699">
                  <c:v>17.378</c:v>
                </c:pt>
                <c:pt idx="700">
                  <c:v>17.289000000000001</c:v>
                </c:pt>
                <c:pt idx="701">
                  <c:v>17.224</c:v>
                </c:pt>
                <c:pt idx="702">
                  <c:v>17.565999999999999</c:v>
                </c:pt>
                <c:pt idx="703">
                  <c:v>17.550999999999998</c:v>
                </c:pt>
                <c:pt idx="704">
                  <c:v>17.544</c:v>
                </c:pt>
                <c:pt idx="705">
                  <c:v>17.533000000000001</c:v>
                </c:pt>
                <c:pt idx="706">
                  <c:v>16.190000000000001</c:v>
                </c:pt>
                <c:pt idx="707">
                  <c:v>16.216000000000001</c:v>
                </c:pt>
                <c:pt idx="708">
                  <c:v>16.349</c:v>
                </c:pt>
                <c:pt idx="709">
                  <c:v>16.292000000000002</c:v>
                </c:pt>
                <c:pt idx="710">
                  <c:v>16.350999999999999</c:v>
                </c:pt>
                <c:pt idx="711">
                  <c:v>16.242999999999999</c:v>
                </c:pt>
                <c:pt idx="712">
                  <c:v>16.265999999999998</c:v>
                </c:pt>
                <c:pt idx="713">
                  <c:v>16.315999999999999</c:v>
                </c:pt>
                <c:pt idx="714">
                  <c:v>16.375</c:v>
                </c:pt>
                <c:pt idx="715">
                  <c:v>16.401</c:v>
                </c:pt>
                <c:pt idx="716">
                  <c:v>16.527999999999999</c:v>
                </c:pt>
                <c:pt idx="717">
                  <c:v>16.632000000000001</c:v>
                </c:pt>
                <c:pt idx="718">
                  <c:v>16.579000000000001</c:v>
                </c:pt>
                <c:pt idx="719">
                  <c:v>16.706</c:v>
                </c:pt>
                <c:pt idx="720">
                  <c:v>16.492999999999999</c:v>
                </c:pt>
                <c:pt idx="721">
                  <c:v>16.359000000000002</c:v>
                </c:pt>
                <c:pt idx="722">
                  <c:v>16.338000000000001</c:v>
                </c:pt>
                <c:pt idx="723">
                  <c:v>16.321999999999999</c:v>
                </c:pt>
                <c:pt idx="724">
                  <c:v>16.539000000000001</c:v>
                </c:pt>
                <c:pt idx="725">
                  <c:v>16.536999999999999</c:v>
                </c:pt>
                <c:pt idx="726">
                  <c:v>16.728000000000002</c:v>
                </c:pt>
                <c:pt idx="727">
                  <c:v>16.754999999999999</c:v>
                </c:pt>
                <c:pt idx="728">
                  <c:v>16.606999999999999</c:v>
                </c:pt>
                <c:pt idx="729">
                  <c:v>16.655999999999999</c:v>
                </c:pt>
                <c:pt idx="730">
                  <c:v>16.428999999999998</c:v>
                </c:pt>
                <c:pt idx="731">
                  <c:v>16.309000000000001</c:v>
                </c:pt>
                <c:pt idx="732">
                  <c:v>16.637</c:v>
                </c:pt>
                <c:pt idx="733">
                  <c:v>16.855</c:v>
                </c:pt>
                <c:pt idx="734">
                  <c:v>16.916</c:v>
                </c:pt>
                <c:pt idx="735">
                  <c:v>17.09</c:v>
                </c:pt>
                <c:pt idx="736">
                  <c:v>17.282</c:v>
                </c:pt>
                <c:pt idx="737">
                  <c:v>17.346</c:v>
                </c:pt>
                <c:pt idx="738">
                  <c:v>16.957999999999998</c:v>
                </c:pt>
                <c:pt idx="739">
                  <c:v>16.797999999999998</c:v>
                </c:pt>
                <c:pt idx="740">
                  <c:v>16.937000000000001</c:v>
                </c:pt>
                <c:pt idx="741">
                  <c:v>16.841999999999999</c:v>
                </c:pt>
                <c:pt idx="742">
                  <c:v>16.986999999999998</c:v>
                </c:pt>
                <c:pt idx="743">
                  <c:v>17.123000000000001</c:v>
                </c:pt>
                <c:pt idx="744">
                  <c:v>17.085000000000001</c:v>
                </c:pt>
                <c:pt idx="745">
                  <c:v>17.094999999999999</c:v>
                </c:pt>
                <c:pt idx="746">
                  <c:v>17.143000000000001</c:v>
                </c:pt>
                <c:pt idx="747">
                  <c:v>17.05</c:v>
                </c:pt>
                <c:pt idx="748">
                  <c:v>16.844999999999999</c:v>
                </c:pt>
                <c:pt idx="749">
                  <c:v>16.940999999999999</c:v>
                </c:pt>
                <c:pt idx="750">
                  <c:v>16.707000000000001</c:v>
                </c:pt>
                <c:pt idx="751">
                  <c:v>16.707999999999998</c:v>
                </c:pt>
                <c:pt idx="752">
                  <c:v>16.681999999999999</c:v>
                </c:pt>
                <c:pt idx="753">
                  <c:v>16.571000000000002</c:v>
                </c:pt>
                <c:pt idx="754">
                  <c:v>16.384</c:v>
                </c:pt>
                <c:pt idx="755">
                  <c:v>16.376000000000001</c:v>
                </c:pt>
                <c:pt idx="756">
                  <c:v>16.318999999999999</c:v>
                </c:pt>
                <c:pt idx="757">
                  <c:v>16.606000000000002</c:v>
                </c:pt>
                <c:pt idx="758">
                  <c:v>16.709</c:v>
                </c:pt>
                <c:pt idx="759">
                  <c:v>16.341999999999999</c:v>
                </c:pt>
                <c:pt idx="760">
                  <c:v>16.709</c:v>
                </c:pt>
                <c:pt idx="761">
                  <c:v>16.568000000000001</c:v>
                </c:pt>
                <c:pt idx="762">
                  <c:v>16.521000000000001</c:v>
                </c:pt>
                <c:pt idx="763">
                  <c:v>16.556000000000001</c:v>
                </c:pt>
                <c:pt idx="764">
                  <c:v>16.701000000000001</c:v>
                </c:pt>
                <c:pt idx="765">
                  <c:v>16.626999999999999</c:v>
                </c:pt>
                <c:pt idx="766">
                  <c:v>16.658999999999999</c:v>
                </c:pt>
                <c:pt idx="767">
                  <c:v>16.552</c:v>
                </c:pt>
                <c:pt idx="768">
                  <c:v>16.702000000000002</c:v>
                </c:pt>
                <c:pt idx="769">
                  <c:v>16.454000000000001</c:v>
                </c:pt>
                <c:pt idx="770">
                  <c:v>16.468</c:v>
                </c:pt>
                <c:pt idx="771">
                  <c:v>16.553000000000001</c:v>
                </c:pt>
                <c:pt idx="772">
                  <c:v>16.559999999999999</c:v>
                </c:pt>
                <c:pt idx="773">
                  <c:v>16.495999999999999</c:v>
                </c:pt>
                <c:pt idx="774">
                  <c:v>16.620999999999999</c:v>
                </c:pt>
                <c:pt idx="775">
                  <c:v>16.745999999999999</c:v>
                </c:pt>
                <c:pt idx="776">
                  <c:v>16.992999999999999</c:v>
                </c:pt>
                <c:pt idx="777">
                  <c:v>16.696999999999999</c:v>
                </c:pt>
                <c:pt idx="778">
                  <c:v>16.637</c:v>
                </c:pt>
                <c:pt idx="779">
                  <c:v>16.498000000000001</c:v>
                </c:pt>
                <c:pt idx="780">
                  <c:v>16.329000000000001</c:v>
                </c:pt>
                <c:pt idx="781">
                  <c:v>16.161999999999999</c:v>
                </c:pt>
                <c:pt idx="782">
                  <c:v>16.238</c:v>
                </c:pt>
                <c:pt idx="783">
                  <c:v>16.254000000000001</c:v>
                </c:pt>
                <c:pt idx="784">
                  <c:v>16.327000000000002</c:v>
                </c:pt>
                <c:pt idx="785">
                  <c:v>16.271000000000001</c:v>
                </c:pt>
                <c:pt idx="786">
                  <c:v>16.074000000000002</c:v>
                </c:pt>
                <c:pt idx="787">
                  <c:v>15.97</c:v>
                </c:pt>
                <c:pt idx="788">
                  <c:v>15.773999999999999</c:v>
                </c:pt>
                <c:pt idx="789">
                  <c:v>15.651999999999999</c:v>
                </c:pt>
                <c:pt idx="790">
                  <c:v>15.601000000000001</c:v>
                </c:pt>
                <c:pt idx="791">
                  <c:v>15.84</c:v>
                </c:pt>
                <c:pt idx="792">
                  <c:v>15.795</c:v>
                </c:pt>
                <c:pt idx="793">
                  <c:v>15.632</c:v>
                </c:pt>
                <c:pt idx="794">
                  <c:v>15.394</c:v>
                </c:pt>
                <c:pt idx="795">
                  <c:v>15.465999999999999</c:v>
                </c:pt>
                <c:pt idx="796">
                  <c:v>15.518000000000001</c:v>
                </c:pt>
                <c:pt idx="797">
                  <c:v>15.423999999999999</c:v>
                </c:pt>
                <c:pt idx="798">
                  <c:v>15.339</c:v>
                </c:pt>
                <c:pt idx="799">
                  <c:v>15.426</c:v>
                </c:pt>
                <c:pt idx="800">
                  <c:v>15.352</c:v>
                </c:pt>
                <c:pt idx="801">
                  <c:v>15.368</c:v>
                </c:pt>
                <c:pt idx="802">
                  <c:v>15.314</c:v>
                </c:pt>
                <c:pt idx="803">
                  <c:v>15.45</c:v>
                </c:pt>
                <c:pt idx="804">
                  <c:v>15.766999999999999</c:v>
                </c:pt>
                <c:pt idx="805">
                  <c:v>15.885999999999999</c:v>
                </c:pt>
                <c:pt idx="806">
                  <c:v>15.839</c:v>
                </c:pt>
                <c:pt idx="807">
                  <c:v>15.787000000000001</c:v>
                </c:pt>
                <c:pt idx="808">
                  <c:v>15.757</c:v>
                </c:pt>
                <c:pt idx="809">
                  <c:v>15.590999999999999</c:v>
                </c:pt>
                <c:pt idx="810">
                  <c:v>15.624000000000001</c:v>
                </c:pt>
                <c:pt idx="811">
                  <c:v>15.837999999999999</c:v>
                </c:pt>
                <c:pt idx="812">
                  <c:v>15.750999999999999</c:v>
                </c:pt>
                <c:pt idx="813">
                  <c:v>15.879</c:v>
                </c:pt>
                <c:pt idx="814">
                  <c:v>15.943</c:v>
                </c:pt>
                <c:pt idx="815">
                  <c:v>16.050999999999998</c:v>
                </c:pt>
                <c:pt idx="816">
                  <c:v>15.973000000000001</c:v>
                </c:pt>
                <c:pt idx="817">
                  <c:v>16.082000000000001</c:v>
                </c:pt>
                <c:pt idx="818">
                  <c:v>16.036000000000001</c:v>
                </c:pt>
                <c:pt idx="819">
                  <c:v>15.922000000000001</c:v>
                </c:pt>
                <c:pt idx="820">
                  <c:v>15.772</c:v>
                </c:pt>
                <c:pt idx="821">
                  <c:v>15.6</c:v>
                </c:pt>
                <c:pt idx="822">
                  <c:v>15.702999999999999</c:v>
                </c:pt>
                <c:pt idx="823">
                  <c:v>15.829000000000001</c:v>
                </c:pt>
                <c:pt idx="824">
                  <c:v>15.801</c:v>
                </c:pt>
                <c:pt idx="825">
                  <c:v>16.102</c:v>
                </c:pt>
                <c:pt idx="826">
                  <c:v>16.292000000000002</c:v>
                </c:pt>
                <c:pt idx="827">
                  <c:v>16.253</c:v>
                </c:pt>
                <c:pt idx="828">
                  <c:v>16.25</c:v>
                </c:pt>
                <c:pt idx="829">
                  <c:v>16.221</c:v>
                </c:pt>
                <c:pt idx="830">
                  <c:v>16.494</c:v>
                </c:pt>
                <c:pt idx="831">
                  <c:v>16.599</c:v>
                </c:pt>
                <c:pt idx="832">
                  <c:v>17.135000000000002</c:v>
                </c:pt>
                <c:pt idx="833">
                  <c:v>17.106000000000002</c:v>
                </c:pt>
                <c:pt idx="834">
                  <c:v>17.009</c:v>
                </c:pt>
                <c:pt idx="835">
                  <c:v>17.009</c:v>
                </c:pt>
                <c:pt idx="836">
                  <c:v>17.001000000000001</c:v>
                </c:pt>
                <c:pt idx="837">
                  <c:v>17.154</c:v>
                </c:pt>
                <c:pt idx="838">
                  <c:v>17.224</c:v>
                </c:pt>
                <c:pt idx="839">
                  <c:v>17.542999999999999</c:v>
                </c:pt>
                <c:pt idx="840">
                  <c:v>17.494</c:v>
                </c:pt>
                <c:pt idx="841">
                  <c:v>17.626000000000001</c:v>
                </c:pt>
                <c:pt idx="842">
                  <c:v>17.605</c:v>
                </c:pt>
                <c:pt idx="843">
                  <c:v>17.442</c:v>
                </c:pt>
                <c:pt idx="844">
                  <c:v>17.574000000000002</c:v>
                </c:pt>
                <c:pt idx="845">
                  <c:v>17.734000000000002</c:v>
                </c:pt>
                <c:pt idx="846">
                  <c:v>17.827000000000002</c:v>
                </c:pt>
                <c:pt idx="847">
                  <c:v>17.867000000000001</c:v>
                </c:pt>
                <c:pt idx="848">
                  <c:v>17.803000000000001</c:v>
                </c:pt>
                <c:pt idx="849">
                  <c:v>17.838999999999999</c:v>
                </c:pt>
                <c:pt idx="850">
                  <c:v>18.2</c:v>
                </c:pt>
                <c:pt idx="851">
                  <c:v>18.335000000000001</c:v>
                </c:pt>
                <c:pt idx="852">
                  <c:v>19.119</c:v>
                </c:pt>
                <c:pt idx="853">
                  <c:v>18.885000000000002</c:v>
                </c:pt>
                <c:pt idx="854">
                  <c:v>18.651</c:v>
                </c:pt>
                <c:pt idx="855">
                  <c:v>18.725999999999999</c:v>
                </c:pt>
                <c:pt idx="856">
                  <c:v>19.079999999999998</c:v>
                </c:pt>
                <c:pt idx="857">
                  <c:v>19.372</c:v>
                </c:pt>
                <c:pt idx="858">
                  <c:v>19.242999999999999</c:v>
                </c:pt>
                <c:pt idx="859">
                  <c:v>19.594000000000001</c:v>
                </c:pt>
                <c:pt idx="860">
                  <c:v>19.795000000000002</c:v>
                </c:pt>
                <c:pt idx="861">
                  <c:v>20.158999999999999</c:v>
                </c:pt>
                <c:pt idx="862">
                  <c:v>20.437000000000001</c:v>
                </c:pt>
                <c:pt idx="863">
                  <c:v>20.652000000000001</c:v>
                </c:pt>
                <c:pt idx="864">
                  <c:v>20.73</c:v>
                </c:pt>
                <c:pt idx="865">
                  <c:v>21.312999999999999</c:v>
                </c:pt>
                <c:pt idx="866">
                  <c:v>21.141999999999999</c:v>
                </c:pt>
                <c:pt idx="867">
                  <c:v>21.369</c:v>
                </c:pt>
                <c:pt idx="868">
                  <c:v>21.673999999999999</c:v>
                </c:pt>
                <c:pt idx="869">
                  <c:v>21.507000000000001</c:v>
                </c:pt>
                <c:pt idx="870">
                  <c:v>21.245999999999999</c:v>
                </c:pt>
                <c:pt idx="871">
                  <c:v>20.401</c:v>
                </c:pt>
                <c:pt idx="872">
                  <c:v>20.326000000000001</c:v>
                </c:pt>
                <c:pt idx="873">
                  <c:v>20.411000000000001</c:v>
                </c:pt>
                <c:pt idx="874">
                  <c:v>20.404</c:v>
                </c:pt>
                <c:pt idx="875">
                  <c:v>20.311</c:v>
                </c:pt>
                <c:pt idx="876">
                  <c:v>20.260000000000002</c:v>
                </c:pt>
                <c:pt idx="877">
                  <c:v>20.443999999999999</c:v>
                </c:pt>
                <c:pt idx="878">
                  <c:v>20.224</c:v>
                </c:pt>
                <c:pt idx="879">
                  <c:v>20.145</c:v>
                </c:pt>
                <c:pt idx="880">
                  <c:v>20.440999999999999</c:v>
                </c:pt>
                <c:pt idx="881">
                  <c:v>20.452999999999999</c:v>
                </c:pt>
                <c:pt idx="882">
                  <c:v>20.420000000000002</c:v>
                </c:pt>
                <c:pt idx="883">
                  <c:v>20.667999999999999</c:v>
                </c:pt>
                <c:pt idx="884">
                  <c:v>20.837</c:v>
                </c:pt>
                <c:pt idx="885">
                  <c:v>20.872</c:v>
                </c:pt>
                <c:pt idx="886">
                  <c:v>20.341000000000001</c:v>
                </c:pt>
                <c:pt idx="887">
                  <c:v>20.747</c:v>
                </c:pt>
                <c:pt idx="888">
                  <c:v>20.484000000000002</c:v>
                </c:pt>
                <c:pt idx="889">
                  <c:v>20.408000000000001</c:v>
                </c:pt>
                <c:pt idx="890">
                  <c:v>20.576000000000001</c:v>
                </c:pt>
                <c:pt idx="891">
                  <c:v>20.661999999999999</c:v>
                </c:pt>
                <c:pt idx="892">
                  <c:v>20.709</c:v>
                </c:pt>
                <c:pt idx="893">
                  <c:v>20.617000000000001</c:v>
                </c:pt>
                <c:pt idx="894">
                  <c:v>21.129000000000001</c:v>
                </c:pt>
                <c:pt idx="895">
                  <c:v>21.199000000000002</c:v>
                </c:pt>
                <c:pt idx="896">
                  <c:v>21.914999999999999</c:v>
                </c:pt>
                <c:pt idx="897">
                  <c:v>22.113</c:v>
                </c:pt>
                <c:pt idx="898">
                  <c:v>22.064</c:v>
                </c:pt>
                <c:pt idx="899">
                  <c:v>22.013999999999999</c:v>
                </c:pt>
                <c:pt idx="900">
                  <c:v>22.236999999999998</c:v>
                </c:pt>
                <c:pt idx="901">
                  <c:v>22.137</c:v>
                </c:pt>
                <c:pt idx="902">
                  <c:v>22.478999999999999</c:v>
                </c:pt>
                <c:pt idx="903">
                  <c:v>22.571000000000002</c:v>
                </c:pt>
                <c:pt idx="904">
                  <c:v>22.434999999999999</c:v>
                </c:pt>
                <c:pt idx="905">
                  <c:v>21.901</c:v>
                </c:pt>
                <c:pt idx="906">
                  <c:v>22.146000000000001</c:v>
                </c:pt>
                <c:pt idx="907">
                  <c:v>21.72</c:v>
                </c:pt>
                <c:pt idx="908">
                  <c:v>21.588999999999999</c:v>
                </c:pt>
                <c:pt idx="909">
                  <c:v>21.777999999999999</c:v>
                </c:pt>
                <c:pt idx="910">
                  <c:v>21.79</c:v>
                </c:pt>
                <c:pt idx="911">
                  <c:v>21.597999999999999</c:v>
                </c:pt>
                <c:pt idx="912">
                  <c:v>21.79</c:v>
                </c:pt>
                <c:pt idx="913">
                  <c:v>21.859000000000002</c:v>
                </c:pt>
                <c:pt idx="914">
                  <c:v>21.907</c:v>
                </c:pt>
                <c:pt idx="915">
                  <c:v>21.954000000000001</c:v>
                </c:pt>
                <c:pt idx="916">
                  <c:v>21.934999999999999</c:v>
                </c:pt>
                <c:pt idx="917">
                  <c:v>22.053000000000001</c:v>
                </c:pt>
                <c:pt idx="918">
                  <c:v>21.555</c:v>
                </c:pt>
                <c:pt idx="919">
                  <c:v>21.440999999999999</c:v>
                </c:pt>
                <c:pt idx="920">
                  <c:v>21.457999999999998</c:v>
                </c:pt>
                <c:pt idx="921">
                  <c:v>21.63</c:v>
                </c:pt>
                <c:pt idx="922">
                  <c:v>21.908000000000001</c:v>
                </c:pt>
                <c:pt idx="923">
                  <c:v>21.992000000000001</c:v>
                </c:pt>
                <c:pt idx="924">
                  <c:v>21.850999999999999</c:v>
                </c:pt>
                <c:pt idx="925">
                  <c:v>21.968</c:v>
                </c:pt>
                <c:pt idx="926">
                  <c:v>22.094999999999999</c:v>
                </c:pt>
                <c:pt idx="927">
                  <c:v>22.57</c:v>
                </c:pt>
                <c:pt idx="928">
                  <c:v>22.683</c:v>
                </c:pt>
                <c:pt idx="929">
                  <c:v>22.49</c:v>
                </c:pt>
                <c:pt idx="930">
                  <c:v>22.483000000000001</c:v>
                </c:pt>
                <c:pt idx="931">
                  <c:v>22.558</c:v>
                </c:pt>
                <c:pt idx="932">
                  <c:v>22.73</c:v>
                </c:pt>
                <c:pt idx="933">
                  <c:v>22.707999999999998</c:v>
                </c:pt>
                <c:pt idx="934">
                  <c:v>22.754000000000001</c:v>
                </c:pt>
                <c:pt idx="935">
                  <c:v>22.954999999999998</c:v>
                </c:pt>
                <c:pt idx="936">
                  <c:v>23.146000000000001</c:v>
                </c:pt>
                <c:pt idx="937">
                  <c:v>23.568000000000001</c:v>
                </c:pt>
                <c:pt idx="938">
                  <c:v>23.635000000000002</c:v>
                </c:pt>
                <c:pt idx="939">
                  <c:v>23.975999999999999</c:v>
                </c:pt>
                <c:pt idx="940">
                  <c:v>23.905999999999999</c:v>
                </c:pt>
                <c:pt idx="941">
                  <c:v>22.515000000000001</c:v>
                </c:pt>
                <c:pt idx="942">
                  <c:v>22.786999999999999</c:v>
                </c:pt>
                <c:pt idx="943">
                  <c:v>23.178000000000001</c:v>
                </c:pt>
                <c:pt idx="944">
                  <c:v>23.254999999999999</c:v>
                </c:pt>
                <c:pt idx="945">
                  <c:v>23.568999999999999</c:v>
                </c:pt>
                <c:pt idx="946">
                  <c:v>23.853000000000002</c:v>
                </c:pt>
                <c:pt idx="947">
                  <c:v>24.803000000000001</c:v>
                </c:pt>
                <c:pt idx="948">
                  <c:v>24.541</c:v>
                </c:pt>
                <c:pt idx="949">
                  <c:v>23.968</c:v>
                </c:pt>
                <c:pt idx="950">
                  <c:v>23.390999999999998</c:v>
                </c:pt>
                <c:pt idx="951">
                  <c:v>23.321999999999999</c:v>
                </c:pt>
                <c:pt idx="952">
                  <c:v>24.012</c:v>
                </c:pt>
                <c:pt idx="953">
                  <c:v>23.856999999999999</c:v>
                </c:pt>
                <c:pt idx="954">
                  <c:v>24.411999999999999</c:v>
                </c:pt>
                <c:pt idx="955">
                  <c:v>24.574999999999999</c:v>
                </c:pt>
                <c:pt idx="956">
                  <c:v>24.745000000000001</c:v>
                </c:pt>
                <c:pt idx="957">
                  <c:v>25.155000000000001</c:v>
                </c:pt>
                <c:pt idx="958">
                  <c:v>25.213000000000001</c:v>
                </c:pt>
                <c:pt idx="959">
                  <c:v>24.702000000000002</c:v>
                </c:pt>
                <c:pt idx="960">
                  <c:v>24.239000000000001</c:v>
                </c:pt>
                <c:pt idx="961">
                  <c:v>22.321000000000002</c:v>
                </c:pt>
                <c:pt idx="962">
                  <c:v>23.018000000000001</c:v>
                </c:pt>
                <c:pt idx="963">
                  <c:v>22.808</c:v>
                </c:pt>
                <c:pt idx="964">
                  <c:v>23.045000000000002</c:v>
                </c:pt>
                <c:pt idx="965">
                  <c:v>23.387</c:v>
                </c:pt>
                <c:pt idx="966">
                  <c:v>23.504999999999999</c:v>
                </c:pt>
                <c:pt idx="967">
                  <c:v>23.094999999999999</c:v>
                </c:pt>
                <c:pt idx="968">
                  <c:v>22.774999999999999</c:v>
                </c:pt>
                <c:pt idx="969">
                  <c:v>22.321000000000002</c:v>
                </c:pt>
                <c:pt idx="970">
                  <c:v>21.739000000000001</c:v>
                </c:pt>
                <c:pt idx="971">
                  <c:v>22.359000000000002</c:v>
                </c:pt>
                <c:pt idx="972">
                  <c:v>22.324999999999999</c:v>
                </c:pt>
                <c:pt idx="973">
                  <c:v>22.199000000000002</c:v>
                </c:pt>
                <c:pt idx="974">
                  <c:v>21.940999999999999</c:v>
                </c:pt>
                <c:pt idx="975">
                  <c:v>21.905999999999999</c:v>
                </c:pt>
                <c:pt idx="976">
                  <c:v>22.484999999999999</c:v>
                </c:pt>
                <c:pt idx="977">
                  <c:v>22.169</c:v>
                </c:pt>
                <c:pt idx="978">
                  <c:v>22.213999999999999</c:v>
                </c:pt>
                <c:pt idx="979">
                  <c:v>22.084</c:v>
                </c:pt>
                <c:pt idx="980">
                  <c:v>22.13</c:v>
                </c:pt>
                <c:pt idx="981">
                  <c:v>21.757999999999999</c:v>
                </c:pt>
                <c:pt idx="982">
                  <c:v>21.943000000000001</c:v>
                </c:pt>
                <c:pt idx="983">
                  <c:v>21.463000000000001</c:v>
                </c:pt>
                <c:pt idx="984">
                  <c:v>20.324999999999999</c:v>
                </c:pt>
                <c:pt idx="985">
                  <c:v>19.704000000000001</c:v>
                </c:pt>
                <c:pt idx="986">
                  <c:v>19.981000000000002</c:v>
                </c:pt>
                <c:pt idx="987">
                  <c:v>19.890999999999998</c:v>
                </c:pt>
                <c:pt idx="988">
                  <c:v>19.93</c:v>
                </c:pt>
                <c:pt idx="989">
                  <c:v>20.184999999999999</c:v>
                </c:pt>
                <c:pt idx="990">
                  <c:v>20.190000000000001</c:v>
                </c:pt>
                <c:pt idx="991">
                  <c:v>20.138000000000002</c:v>
                </c:pt>
                <c:pt idx="992">
                  <c:v>20.779</c:v>
                </c:pt>
                <c:pt idx="993">
                  <c:v>20.600999999999999</c:v>
                </c:pt>
                <c:pt idx="994">
                  <c:v>20.079000000000001</c:v>
                </c:pt>
                <c:pt idx="995">
                  <c:v>20.202999999999999</c:v>
                </c:pt>
                <c:pt idx="996">
                  <c:v>20.004999999999999</c:v>
                </c:pt>
                <c:pt idx="997">
                  <c:v>19.672999999999998</c:v>
                </c:pt>
                <c:pt idx="998">
                  <c:v>19.55</c:v>
                </c:pt>
                <c:pt idx="999">
                  <c:v>19.536000000000001</c:v>
                </c:pt>
                <c:pt idx="1000">
                  <c:v>19.693999999999999</c:v>
                </c:pt>
                <c:pt idx="1001">
                  <c:v>19.359000000000002</c:v>
                </c:pt>
                <c:pt idx="1002">
                  <c:v>19.434000000000001</c:v>
                </c:pt>
                <c:pt idx="1003">
                  <c:v>19.718</c:v>
                </c:pt>
                <c:pt idx="1004">
                  <c:v>19.469000000000001</c:v>
                </c:pt>
                <c:pt idx="1005">
                  <c:v>19.573</c:v>
                </c:pt>
                <c:pt idx="1006">
                  <c:v>19.161999999999999</c:v>
                </c:pt>
                <c:pt idx="1007">
                  <c:v>19.172000000000001</c:v>
                </c:pt>
                <c:pt idx="1008">
                  <c:v>19.245000000000001</c:v>
                </c:pt>
                <c:pt idx="1009">
                  <c:v>19.081</c:v>
                </c:pt>
                <c:pt idx="1010">
                  <c:v>19.018000000000001</c:v>
                </c:pt>
                <c:pt idx="1011">
                  <c:v>19.242000000000001</c:v>
                </c:pt>
                <c:pt idx="1012">
                  <c:v>19.202999999999999</c:v>
                </c:pt>
                <c:pt idx="1013">
                  <c:v>19.25</c:v>
                </c:pt>
                <c:pt idx="1014">
                  <c:v>19.484999999999999</c:v>
                </c:pt>
                <c:pt idx="1015">
                  <c:v>19.687999999999999</c:v>
                </c:pt>
                <c:pt idx="1016">
                  <c:v>19.965</c:v>
                </c:pt>
                <c:pt idx="1017">
                  <c:v>19.962</c:v>
                </c:pt>
                <c:pt idx="1018">
                  <c:v>19.611000000000001</c:v>
                </c:pt>
                <c:pt idx="1019">
                  <c:v>19.625</c:v>
                </c:pt>
                <c:pt idx="1020">
                  <c:v>19.369</c:v>
                </c:pt>
                <c:pt idx="1021">
                  <c:v>19.059000000000001</c:v>
                </c:pt>
                <c:pt idx="1022">
                  <c:v>18.652999999999999</c:v>
                </c:pt>
                <c:pt idx="1023">
                  <c:v>18.420999999999999</c:v>
                </c:pt>
                <c:pt idx="1024">
                  <c:v>18.178000000000001</c:v>
                </c:pt>
                <c:pt idx="1025">
                  <c:v>18.09</c:v>
                </c:pt>
                <c:pt idx="1026">
                  <c:v>18.148</c:v>
                </c:pt>
                <c:pt idx="1027">
                  <c:v>18.088000000000001</c:v>
                </c:pt>
                <c:pt idx="1028">
                  <c:v>18.594000000000001</c:v>
                </c:pt>
                <c:pt idx="1029">
                  <c:v>18.257000000000001</c:v>
                </c:pt>
                <c:pt idx="1030">
                  <c:v>18.518000000000001</c:v>
                </c:pt>
                <c:pt idx="1031">
                  <c:v>18.358000000000001</c:v>
                </c:pt>
                <c:pt idx="1032">
                  <c:v>18.413</c:v>
                </c:pt>
                <c:pt idx="1033">
                  <c:v>18.591999999999999</c:v>
                </c:pt>
                <c:pt idx="1034">
                  <c:v>18.454999999999998</c:v>
                </c:pt>
                <c:pt idx="1035">
                  <c:v>18.742000000000001</c:v>
                </c:pt>
                <c:pt idx="1036">
                  <c:v>19.012</c:v>
                </c:pt>
                <c:pt idx="1037">
                  <c:v>19.452000000000002</c:v>
                </c:pt>
                <c:pt idx="1038">
                  <c:v>19.599</c:v>
                </c:pt>
                <c:pt idx="1039">
                  <c:v>19.352</c:v>
                </c:pt>
                <c:pt idx="1040">
                  <c:v>19.25</c:v>
                </c:pt>
                <c:pt idx="1041">
                  <c:v>19.457000000000001</c:v>
                </c:pt>
                <c:pt idx="1042">
                  <c:v>19.001000000000001</c:v>
                </c:pt>
                <c:pt idx="1043">
                  <c:v>19.009</c:v>
                </c:pt>
                <c:pt idx="1044">
                  <c:v>18.91</c:v>
                </c:pt>
                <c:pt idx="1045">
                  <c:v>19.091000000000001</c:v>
                </c:pt>
                <c:pt idx="1046">
                  <c:v>18.914999999999999</c:v>
                </c:pt>
                <c:pt idx="1047">
                  <c:v>18.984000000000002</c:v>
                </c:pt>
                <c:pt idx="1048">
                  <c:v>18.878</c:v>
                </c:pt>
                <c:pt idx="1049">
                  <c:v>18.8</c:v>
                </c:pt>
                <c:pt idx="1050">
                  <c:v>18.719000000000001</c:v>
                </c:pt>
                <c:pt idx="1051">
                  <c:v>18.667999999999999</c:v>
                </c:pt>
                <c:pt idx="1052">
                  <c:v>18.587</c:v>
                </c:pt>
                <c:pt idx="1053">
                  <c:v>18.253</c:v>
                </c:pt>
                <c:pt idx="1054">
                  <c:v>18.256</c:v>
                </c:pt>
                <c:pt idx="1055">
                  <c:v>18.126999999999999</c:v>
                </c:pt>
                <c:pt idx="1056">
                  <c:v>18.427</c:v>
                </c:pt>
                <c:pt idx="1057">
                  <c:v>18.260000000000002</c:v>
                </c:pt>
                <c:pt idx="1058">
                  <c:v>18.591000000000001</c:v>
                </c:pt>
                <c:pt idx="1059">
                  <c:v>18.312999999999999</c:v>
                </c:pt>
                <c:pt idx="1060">
                  <c:v>18.683</c:v>
                </c:pt>
                <c:pt idx="1061">
                  <c:v>18.911999999999999</c:v>
                </c:pt>
                <c:pt idx="1062">
                  <c:v>18.681000000000001</c:v>
                </c:pt>
                <c:pt idx="1063">
                  <c:v>18.594000000000001</c:v>
                </c:pt>
                <c:pt idx="1064">
                  <c:v>18.428000000000001</c:v>
                </c:pt>
                <c:pt idx="1065">
                  <c:v>18.489999999999998</c:v>
                </c:pt>
                <c:pt idx="1066">
                  <c:v>18.853999999999999</c:v>
                </c:pt>
                <c:pt idx="1067">
                  <c:v>19.454999999999998</c:v>
                </c:pt>
                <c:pt idx="1068">
                  <c:v>19.260000000000002</c:v>
                </c:pt>
                <c:pt idx="1069">
                  <c:v>19.311</c:v>
                </c:pt>
                <c:pt idx="1070">
                  <c:v>19.105</c:v>
                </c:pt>
                <c:pt idx="1071">
                  <c:v>18.811</c:v>
                </c:pt>
                <c:pt idx="1072">
                  <c:v>18.931999999999999</c:v>
                </c:pt>
                <c:pt idx="1073">
                  <c:v>18.835000000000001</c:v>
                </c:pt>
                <c:pt idx="1074">
                  <c:v>18.693000000000001</c:v>
                </c:pt>
                <c:pt idx="1075">
                  <c:v>18.516999999999999</c:v>
                </c:pt>
                <c:pt idx="1076">
                  <c:v>18.259</c:v>
                </c:pt>
                <c:pt idx="1077">
                  <c:v>18.085999999999999</c:v>
                </c:pt>
                <c:pt idx="1078">
                  <c:v>17.64</c:v>
                </c:pt>
                <c:pt idx="1079">
                  <c:v>17.303999999999998</c:v>
                </c:pt>
                <c:pt idx="1080">
                  <c:v>17.312999999999999</c:v>
                </c:pt>
                <c:pt idx="1081">
                  <c:v>17.594999999999999</c:v>
                </c:pt>
                <c:pt idx="1082">
                  <c:v>17.417999999999999</c:v>
                </c:pt>
                <c:pt idx="1083">
                  <c:v>17.529</c:v>
                </c:pt>
                <c:pt idx="1084">
                  <c:v>17.309000000000001</c:v>
                </c:pt>
                <c:pt idx="1085">
                  <c:v>17.507999999999999</c:v>
                </c:pt>
                <c:pt idx="1086">
                  <c:v>17.98</c:v>
                </c:pt>
                <c:pt idx="1087">
                  <c:v>17.821000000000002</c:v>
                </c:pt>
                <c:pt idx="1088">
                  <c:v>18.751000000000001</c:v>
                </c:pt>
                <c:pt idx="1089">
                  <c:v>18.678000000000001</c:v>
                </c:pt>
                <c:pt idx="1090">
                  <c:v>18.556999999999999</c:v>
                </c:pt>
                <c:pt idx="1091">
                  <c:v>18.945</c:v>
                </c:pt>
                <c:pt idx="1092">
                  <c:v>19.521000000000001</c:v>
                </c:pt>
                <c:pt idx="1093">
                  <c:v>20.289000000000001</c:v>
                </c:pt>
                <c:pt idx="1094">
                  <c:v>19.742000000000001</c:v>
                </c:pt>
                <c:pt idx="1095">
                  <c:v>20.209</c:v>
                </c:pt>
                <c:pt idx="1096">
                  <c:v>20.126000000000001</c:v>
                </c:pt>
                <c:pt idx="1097">
                  <c:v>20.268000000000001</c:v>
                </c:pt>
                <c:pt idx="1098">
                  <c:v>20.091000000000001</c:v>
                </c:pt>
                <c:pt idx="1099">
                  <c:v>19.798999999999999</c:v>
                </c:pt>
                <c:pt idx="1100">
                  <c:v>19.725000000000001</c:v>
                </c:pt>
                <c:pt idx="1101">
                  <c:v>20.082999999999998</c:v>
                </c:pt>
                <c:pt idx="1102">
                  <c:v>19.882000000000001</c:v>
                </c:pt>
                <c:pt idx="1103">
                  <c:v>20.158999999999999</c:v>
                </c:pt>
                <c:pt idx="1104">
                  <c:v>20.148</c:v>
                </c:pt>
                <c:pt idx="1105">
                  <c:v>20.344000000000001</c:v>
                </c:pt>
                <c:pt idx="1106">
                  <c:v>20.035</c:v>
                </c:pt>
                <c:pt idx="1107">
                  <c:v>19.986000000000001</c:v>
                </c:pt>
                <c:pt idx="1108">
                  <c:v>20.231000000000002</c:v>
                </c:pt>
                <c:pt idx="1109">
                  <c:v>19.827000000000002</c:v>
                </c:pt>
                <c:pt idx="1110">
                  <c:v>19.638000000000002</c:v>
                </c:pt>
                <c:pt idx="1111">
                  <c:v>20.158000000000001</c:v>
                </c:pt>
                <c:pt idx="1112">
                  <c:v>20.085000000000001</c:v>
                </c:pt>
                <c:pt idx="1113">
                  <c:v>20.32</c:v>
                </c:pt>
                <c:pt idx="1114">
                  <c:v>20.233000000000001</c:v>
                </c:pt>
                <c:pt idx="1115">
                  <c:v>20.042000000000002</c:v>
                </c:pt>
                <c:pt idx="1116">
                  <c:v>19.646999999999998</c:v>
                </c:pt>
                <c:pt idx="1117">
                  <c:v>19.702999999999999</c:v>
                </c:pt>
                <c:pt idx="1118">
                  <c:v>19.917000000000002</c:v>
                </c:pt>
                <c:pt idx="1119">
                  <c:v>20.157</c:v>
                </c:pt>
                <c:pt idx="1120">
                  <c:v>19.800999999999998</c:v>
                </c:pt>
                <c:pt idx="1121">
                  <c:v>19.673999999999999</c:v>
                </c:pt>
                <c:pt idx="1122">
                  <c:v>19.643999999999998</c:v>
                </c:pt>
                <c:pt idx="1123">
                  <c:v>19.707000000000001</c:v>
                </c:pt>
                <c:pt idx="1124">
                  <c:v>19.841999999999999</c:v>
                </c:pt>
                <c:pt idx="1125">
                  <c:v>19.765999999999998</c:v>
                </c:pt>
                <c:pt idx="1126">
                  <c:v>19.63</c:v>
                </c:pt>
                <c:pt idx="1127">
                  <c:v>19.506</c:v>
                </c:pt>
                <c:pt idx="1128">
                  <c:v>19.952000000000002</c:v>
                </c:pt>
                <c:pt idx="1129">
                  <c:v>19.959</c:v>
                </c:pt>
                <c:pt idx="1130">
                  <c:v>19.765999999999998</c:v>
                </c:pt>
                <c:pt idx="1131">
                  <c:v>19.536999999999999</c:v>
                </c:pt>
                <c:pt idx="1132">
                  <c:v>19.45</c:v>
                </c:pt>
                <c:pt idx="1133">
                  <c:v>19.45</c:v>
                </c:pt>
                <c:pt idx="1134">
                  <c:v>19.472999999999999</c:v>
                </c:pt>
                <c:pt idx="1135">
                  <c:v>19.382999999999999</c:v>
                </c:pt>
                <c:pt idx="1136">
                  <c:v>19.838000000000001</c:v>
                </c:pt>
                <c:pt idx="1137">
                  <c:v>20.024000000000001</c:v>
                </c:pt>
                <c:pt idx="1138">
                  <c:v>19.274999999999999</c:v>
                </c:pt>
                <c:pt idx="1139">
                  <c:v>19.190999999999999</c:v>
                </c:pt>
                <c:pt idx="1140">
                  <c:v>19.417000000000002</c:v>
                </c:pt>
                <c:pt idx="1141">
                  <c:v>19.204000000000001</c:v>
                </c:pt>
                <c:pt idx="1142">
                  <c:v>19.216000000000001</c:v>
                </c:pt>
                <c:pt idx="1143">
                  <c:v>19.091000000000001</c:v>
                </c:pt>
                <c:pt idx="1144">
                  <c:v>19.029</c:v>
                </c:pt>
                <c:pt idx="1145">
                  <c:v>19.347999999999999</c:v>
                </c:pt>
                <c:pt idx="1146">
                  <c:v>19.672999999999998</c:v>
                </c:pt>
                <c:pt idx="1147">
                  <c:v>19.885000000000002</c:v>
                </c:pt>
                <c:pt idx="1148">
                  <c:v>19.664000000000001</c:v>
                </c:pt>
                <c:pt idx="1149">
                  <c:v>19.827000000000002</c:v>
                </c:pt>
                <c:pt idx="1150">
                  <c:v>19.690000000000001</c:v>
                </c:pt>
                <c:pt idx="1151">
                  <c:v>20.152000000000001</c:v>
                </c:pt>
                <c:pt idx="1152">
                  <c:v>20.152999999999999</c:v>
                </c:pt>
                <c:pt idx="1153">
                  <c:v>19.786999999999999</c:v>
                </c:pt>
                <c:pt idx="1154">
                  <c:v>19.649999999999999</c:v>
                </c:pt>
                <c:pt idx="1155">
                  <c:v>19.8</c:v>
                </c:pt>
                <c:pt idx="1156">
                  <c:v>20.122</c:v>
                </c:pt>
                <c:pt idx="1157">
                  <c:v>20.434999999999999</c:v>
                </c:pt>
                <c:pt idx="1158">
                  <c:v>20.346</c:v>
                </c:pt>
                <c:pt idx="1159">
                  <c:v>20.803999999999998</c:v>
                </c:pt>
                <c:pt idx="1160">
                  <c:v>21.327999999999999</c:v>
                </c:pt>
                <c:pt idx="1161">
                  <c:v>21.762</c:v>
                </c:pt>
                <c:pt idx="1162">
                  <c:v>21.363</c:v>
                </c:pt>
                <c:pt idx="1163">
                  <c:v>20.713000000000001</c:v>
                </c:pt>
                <c:pt idx="1164">
                  <c:v>20.78</c:v>
                </c:pt>
                <c:pt idx="1165">
                  <c:v>20.611000000000001</c:v>
                </c:pt>
                <c:pt idx="1166">
                  <c:v>20.76</c:v>
                </c:pt>
                <c:pt idx="1167">
                  <c:v>20.614999999999998</c:v>
                </c:pt>
                <c:pt idx="1168">
                  <c:v>20.847999999999999</c:v>
                </c:pt>
                <c:pt idx="1169">
                  <c:v>20.693000000000001</c:v>
                </c:pt>
                <c:pt idx="1170">
                  <c:v>20.821000000000002</c:v>
                </c:pt>
                <c:pt idx="1171">
                  <c:v>20.687000000000001</c:v>
                </c:pt>
                <c:pt idx="1172">
                  <c:v>20.494</c:v>
                </c:pt>
                <c:pt idx="1173">
                  <c:v>20.457000000000001</c:v>
                </c:pt>
                <c:pt idx="1174">
                  <c:v>20.283000000000001</c:v>
                </c:pt>
                <c:pt idx="1175">
                  <c:v>20.471</c:v>
                </c:pt>
                <c:pt idx="1176">
                  <c:v>19.933</c:v>
                </c:pt>
                <c:pt idx="1177">
                  <c:v>19.701000000000001</c:v>
                </c:pt>
                <c:pt idx="1178">
                  <c:v>19.693999999999999</c:v>
                </c:pt>
                <c:pt idx="1179">
                  <c:v>19.396000000000001</c:v>
                </c:pt>
                <c:pt idx="1180">
                  <c:v>19.29</c:v>
                </c:pt>
                <c:pt idx="1181">
                  <c:v>19.343</c:v>
                </c:pt>
                <c:pt idx="1182">
                  <c:v>19.178000000000001</c:v>
                </c:pt>
                <c:pt idx="1183">
                  <c:v>19.471</c:v>
                </c:pt>
                <c:pt idx="1184">
                  <c:v>19.324000000000002</c:v>
                </c:pt>
                <c:pt idx="1185">
                  <c:v>19.161999999999999</c:v>
                </c:pt>
                <c:pt idx="1186">
                  <c:v>19.170999999999999</c:v>
                </c:pt>
                <c:pt idx="1187">
                  <c:v>19.13</c:v>
                </c:pt>
                <c:pt idx="1188">
                  <c:v>19.268999999999998</c:v>
                </c:pt>
                <c:pt idx="1189">
                  <c:v>19.248999999999999</c:v>
                </c:pt>
                <c:pt idx="1190">
                  <c:v>19.010000000000002</c:v>
                </c:pt>
                <c:pt idx="1191">
                  <c:v>18.974</c:v>
                </c:pt>
                <c:pt idx="1192">
                  <c:v>18.965</c:v>
                </c:pt>
                <c:pt idx="1193">
                  <c:v>18.798999999999999</c:v>
                </c:pt>
                <c:pt idx="1194">
                  <c:v>18.794</c:v>
                </c:pt>
                <c:pt idx="1195">
                  <c:v>18.934999999999999</c:v>
                </c:pt>
                <c:pt idx="1196">
                  <c:v>18.216999999999999</c:v>
                </c:pt>
                <c:pt idx="1197">
                  <c:v>17.858000000000001</c:v>
                </c:pt>
                <c:pt idx="1198">
                  <c:v>17.956</c:v>
                </c:pt>
                <c:pt idx="1199">
                  <c:v>18.018999999999998</c:v>
                </c:pt>
                <c:pt idx="1200">
                  <c:v>18.356000000000002</c:v>
                </c:pt>
                <c:pt idx="1201">
                  <c:v>18.324000000000002</c:v>
                </c:pt>
                <c:pt idx="1202">
                  <c:v>18.411999999999999</c:v>
                </c:pt>
                <c:pt idx="1203">
                  <c:v>19.349</c:v>
                </c:pt>
                <c:pt idx="1204">
                  <c:v>19.326000000000001</c:v>
                </c:pt>
                <c:pt idx="1205">
                  <c:v>18.829000000000001</c:v>
                </c:pt>
                <c:pt idx="1206">
                  <c:v>18.709</c:v>
                </c:pt>
                <c:pt idx="1207">
                  <c:v>19.946999999999999</c:v>
                </c:pt>
                <c:pt idx="1208">
                  <c:v>19.233000000000001</c:v>
                </c:pt>
                <c:pt idx="1209">
                  <c:v>19.074000000000002</c:v>
                </c:pt>
                <c:pt idx="1210">
                  <c:v>19.201000000000001</c:v>
                </c:pt>
                <c:pt idx="1211">
                  <c:v>19.498999999999999</c:v>
                </c:pt>
                <c:pt idx="1212">
                  <c:v>19.358000000000001</c:v>
                </c:pt>
                <c:pt idx="1213">
                  <c:v>19.317</c:v>
                </c:pt>
                <c:pt idx="1214">
                  <c:v>19.05</c:v>
                </c:pt>
                <c:pt idx="1215">
                  <c:v>19.173999999999999</c:v>
                </c:pt>
                <c:pt idx="1216">
                  <c:v>18.940999999999999</c:v>
                </c:pt>
                <c:pt idx="1217">
                  <c:v>18.074000000000002</c:v>
                </c:pt>
                <c:pt idx="1218">
                  <c:v>18.149000000000001</c:v>
                </c:pt>
                <c:pt idx="1219">
                  <c:v>17.792000000000002</c:v>
                </c:pt>
                <c:pt idx="1220">
                  <c:v>17.574999999999999</c:v>
                </c:pt>
                <c:pt idx="1221">
                  <c:v>17.681999999999999</c:v>
                </c:pt>
                <c:pt idx="1222">
                  <c:v>17.744</c:v>
                </c:pt>
                <c:pt idx="1223">
                  <c:v>17.786000000000001</c:v>
                </c:pt>
                <c:pt idx="1224">
                  <c:v>17.943999999999999</c:v>
                </c:pt>
                <c:pt idx="1225">
                  <c:v>18.114000000000001</c:v>
                </c:pt>
                <c:pt idx="1226">
                  <c:v>18.460999999999999</c:v>
                </c:pt>
                <c:pt idx="1227">
                  <c:v>18.259</c:v>
                </c:pt>
                <c:pt idx="1228">
                  <c:v>18.239000000000001</c:v>
                </c:pt>
                <c:pt idx="1229">
                  <c:v>18.152999999999999</c:v>
                </c:pt>
                <c:pt idx="1230">
                  <c:v>18.071999999999999</c:v>
                </c:pt>
                <c:pt idx="1231">
                  <c:v>17.966999999999999</c:v>
                </c:pt>
                <c:pt idx="1232">
                  <c:v>17.768999999999998</c:v>
                </c:pt>
                <c:pt idx="1233">
                  <c:v>17.748000000000001</c:v>
                </c:pt>
                <c:pt idx="1234">
                  <c:v>17.635000000000002</c:v>
                </c:pt>
                <c:pt idx="1235">
                  <c:v>17.780999999999999</c:v>
                </c:pt>
                <c:pt idx="1236">
                  <c:v>17.582999999999998</c:v>
                </c:pt>
                <c:pt idx="1237">
                  <c:v>17.535</c:v>
                </c:pt>
                <c:pt idx="1238">
                  <c:v>17.536999999999999</c:v>
                </c:pt>
                <c:pt idx="1239">
                  <c:v>17.439</c:v>
                </c:pt>
                <c:pt idx="1240">
                  <c:v>16.853999999999999</c:v>
                </c:pt>
                <c:pt idx="1241">
                  <c:v>16.893000000000001</c:v>
                </c:pt>
                <c:pt idx="1242">
                  <c:v>17.149999999999999</c:v>
                </c:pt>
                <c:pt idx="1243">
                  <c:v>17.324999999999999</c:v>
                </c:pt>
                <c:pt idx="1244">
                  <c:v>17.155999999999999</c:v>
                </c:pt>
                <c:pt idx="1245">
                  <c:v>16.945</c:v>
                </c:pt>
                <c:pt idx="1246">
                  <c:v>16.893000000000001</c:v>
                </c:pt>
                <c:pt idx="1247">
                  <c:v>16.844000000000001</c:v>
                </c:pt>
                <c:pt idx="1248">
                  <c:v>16.742000000000001</c:v>
                </c:pt>
                <c:pt idx="1249">
                  <c:v>16.710999999999999</c:v>
                </c:pt>
                <c:pt idx="1250">
                  <c:v>16.809000000000001</c:v>
                </c:pt>
                <c:pt idx="1251">
                  <c:v>17.004000000000001</c:v>
                </c:pt>
                <c:pt idx="1252">
                  <c:v>16.856000000000002</c:v>
                </c:pt>
                <c:pt idx="1253">
                  <c:v>16.809999999999999</c:v>
                </c:pt>
                <c:pt idx="1254">
                  <c:v>16.856000000000002</c:v>
                </c:pt>
                <c:pt idx="1255">
                  <c:v>16.959</c:v>
                </c:pt>
                <c:pt idx="1256">
                  <c:v>17.222000000000001</c:v>
                </c:pt>
                <c:pt idx="1257">
                  <c:v>17.321999999999999</c:v>
                </c:pt>
                <c:pt idx="1258">
                  <c:v>17.106999999999999</c:v>
                </c:pt>
                <c:pt idx="1259">
                  <c:v>17.244</c:v>
                </c:pt>
                <c:pt idx="1260">
                  <c:v>16.940000000000001</c:v>
                </c:pt>
                <c:pt idx="1261">
                  <c:v>16.204000000000001</c:v>
                </c:pt>
                <c:pt idx="1262">
                  <c:v>15.961</c:v>
                </c:pt>
                <c:pt idx="1263">
                  <c:v>15.888</c:v>
                </c:pt>
                <c:pt idx="1264">
                  <c:v>15.952</c:v>
                </c:pt>
                <c:pt idx="1265">
                  <c:v>15.718</c:v>
                </c:pt>
                <c:pt idx="1266">
                  <c:v>15.576000000000001</c:v>
                </c:pt>
                <c:pt idx="1267">
                  <c:v>15.369</c:v>
                </c:pt>
                <c:pt idx="1268">
                  <c:v>15.172000000000001</c:v>
                </c:pt>
                <c:pt idx="1269">
                  <c:v>14.965</c:v>
                </c:pt>
                <c:pt idx="1270">
                  <c:v>15.33</c:v>
                </c:pt>
                <c:pt idx="1271">
                  <c:v>15.057</c:v>
                </c:pt>
                <c:pt idx="1272">
                  <c:v>15.145</c:v>
                </c:pt>
                <c:pt idx="1273">
                  <c:v>15.502000000000001</c:v>
                </c:pt>
                <c:pt idx="1274">
                  <c:v>15.715</c:v>
                </c:pt>
                <c:pt idx="1275">
                  <c:v>16.058</c:v>
                </c:pt>
                <c:pt idx="1276">
                  <c:v>16.116</c:v>
                </c:pt>
                <c:pt idx="1277">
                  <c:v>15.708</c:v>
                </c:pt>
                <c:pt idx="1278">
                  <c:v>15.468999999999999</c:v>
                </c:pt>
                <c:pt idx="1279">
                  <c:v>15.422000000000001</c:v>
                </c:pt>
                <c:pt idx="1280">
                  <c:v>15.148</c:v>
                </c:pt>
                <c:pt idx="1281">
                  <c:v>14.984999999999999</c:v>
                </c:pt>
                <c:pt idx="1282">
                  <c:v>14.885999999999999</c:v>
                </c:pt>
                <c:pt idx="1283">
                  <c:v>15.541</c:v>
                </c:pt>
                <c:pt idx="1284">
                  <c:v>15.241</c:v>
                </c:pt>
                <c:pt idx="1285">
                  <c:v>15.018000000000001</c:v>
                </c:pt>
                <c:pt idx="1286">
                  <c:v>15.196</c:v>
                </c:pt>
                <c:pt idx="1287">
                  <c:v>15.445</c:v>
                </c:pt>
                <c:pt idx="1288">
                  <c:v>15.305999999999999</c:v>
                </c:pt>
                <c:pt idx="1289">
                  <c:v>15.289</c:v>
                </c:pt>
                <c:pt idx="1290">
                  <c:v>14.906000000000001</c:v>
                </c:pt>
                <c:pt idx="1291">
                  <c:v>14.763999999999999</c:v>
                </c:pt>
                <c:pt idx="1292">
                  <c:v>14.568</c:v>
                </c:pt>
                <c:pt idx="1293">
                  <c:v>14.42</c:v>
                </c:pt>
                <c:pt idx="1294">
                  <c:v>14.010999999999999</c:v>
                </c:pt>
                <c:pt idx="1295">
                  <c:v>14.012</c:v>
                </c:pt>
                <c:pt idx="1296">
                  <c:v>13.853</c:v>
                </c:pt>
                <c:pt idx="1297">
                  <c:v>13.773999999999999</c:v>
                </c:pt>
                <c:pt idx="1298">
                  <c:v>13.750999999999999</c:v>
                </c:pt>
                <c:pt idx="1299">
                  <c:v>13.617000000000001</c:v>
                </c:pt>
                <c:pt idx="1300">
                  <c:v>13.824</c:v>
                </c:pt>
                <c:pt idx="1301">
                  <c:v>13.446999999999999</c:v>
                </c:pt>
                <c:pt idx="1302">
                  <c:v>13.016</c:v>
                </c:pt>
                <c:pt idx="1303">
                  <c:v>13.228999999999999</c:v>
                </c:pt>
                <c:pt idx="1304">
                  <c:v>12.861000000000001</c:v>
                </c:pt>
                <c:pt idx="1305">
                  <c:v>13.21</c:v>
                </c:pt>
                <c:pt idx="1306">
                  <c:v>13.590999999999999</c:v>
                </c:pt>
                <c:pt idx="1307">
                  <c:v>13.459</c:v>
                </c:pt>
                <c:pt idx="1308">
                  <c:v>13.567</c:v>
                </c:pt>
                <c:pt idx="1309">
                  <c:v>13.326000000000001</c:v>
                </c:pt>
                <c:pt idx="1310">
                  <c:v>13.471</c:v>
                </c:pt>
                <c:pt idx="1311">
                  <c:v>13.804</c:v>
                </c:pt>
                <c:pt idx="1312">
                  <c:v>14.065</c:v>
                </c:pt>
                <c:pt idx="1313">
                  <c:v>14.191000000000001</c:v>
                </c:pt>
                <c:pt idx="1314">
                  <c:v>14.551</c:v>
                </c:pt>
                <c:pt idx="1315">
                  <c:v>14.125999999999999</c:v>
                </c:pt>
                <c:pt idx="1316">
                  <c:v>13.97</c:v>
                </c:pt>
                <c:pt idx="1317">
                  <c:v>13.903</c:v>
                </c:pt>
                <c:pt idx="1318">
                  <c:v>13.663</c:v>
                </c:pt>
                <c:pt idx="1319">
                  <c:v>13.138999999999999</c:v>
                </c:pt>
                <c:pt idx="1320">
                  <c:v>13.029</c:v>
                </c:pt>
                <c:pt idx="1321">
                  <c:v>13.069000000000001</c:v>
                </c:pt>
                <c:pt idx="1322">
                  <c:v>12.78</c:v>
                </c:pt>
                <c:pt idx="1323">
                  <c:v>13.694000000000001</c:v>
                </c:pt>
                <c:pt idx="1324">
                  <c:v>13.744</c:v>
                </c:pt>
                <c:pt idx="1325">
                  <c:v>14.141</c:v>
                </c:pt>
                <c:pt idx="1326">
                  <c:v>14.095000000000001</c:v>
                </c:pt>
                <c:pt idx="1327">
                  <c:v>14.000999999999999</c:v>
                </c:pt>
                <c:pt idx="1328">
                  <c:v>13.536</c:v>
                </c:pt>
                <c:pt idx="1329">
                  <c:v>12.851000000000001</c:v>
                </c:pt>
                <c:pt idx="1330">
                  <c:v>13.169</c:v>
                </c:pt>
                <c:pt idx="1331">
                  <c:v>13.090999999999999</c:v>
                </c:pt>
                <c:pt idx="1332">
                  <c:v>12.678000000000001</c:v>
                </c:pt>
                <c:pt idx="1333">
                  <c:v>12.709</c:v>
                </c:pt>
                <c:pt idx="1334">
                  <c:v>12.472</c:v>
                </c:pt>
                <c:pt idx="1335">
                  <c:v>12.305</c:v>
                </c:pt>
                <c:pt idx="1336">
                  <c:v>11.922000000000001</c:v>
                </c:pt>
                <c:pt idx="1337">
                  <c:v>11.874000000000001</c:v>
                </c:pt>
                <c:pt idx="1338">
                  <c:v>12.045999999999999</c:v>
                </c:pt>
                <c:pt idx="1339">
                  <c:v>11.81</c:v>
                </c:pt>
                <c:pt idx="1340">
                  <c:v>12.157999999999999</c:v>
                </c:pt>
                <c:pt idx="1341">
                  <c:v>12.317</c:v>
                </c:pt>
                <c:pt idx="1342">
                  <c:v>12.257999999999999</c:v>
                </c:pt>
                <c:pt idx="1343">
                  <c:v>11.989000000000001</c:v>
                </c:pt>
                <c:pt idx="1344">
                  <c:v>11.731</c:v>
                </c:pt>
                <c:pt idx="1345">
                  <c:v>12.55</c:v>
                </c:pt>
                <c:pt idx="1346">
                  <c:v>12.5</c:v>
                </c:pt>
                <c:pt idx="1347">
                  <c:v>12.795999999999999</c:v>
                </c:pt>
                <c:pt idx="1348">
                  <c:v>12.833</c:v>
                </c:pt>
                <c:pt idx="1349">
                  <c:v>13.413</c:v>
                </c:pt>
                <c:pt idx="1350">
                  <c:v>13.419</c:v>
                </c:pt>
                <c:pt idx="1351">
                  <c:v>13.268000000000001</c:v>
                </c:pt>
                <c:pt idx="1352">
                  <c:v>13.359</c:v>
                </c:pt>
                <c:pt idx="1353">
                  <c:v>13.199</c:v>
                </c:pt>
                <c:pt idx="1354">
                  <c:v>13.044</c:v>
                </c:pt>
                <c:pt idx="1355">
                  <c:v>13.452999999999999</c:v>
                </c:pt>
                <c:pt idx="1356">
                  <c:v>13.510999999999999</c:v>
                </c:pt>
                <c:pt idx="1357">
                  <c:v>13.361000000000001</c:v>
                </c:pt>
                <c:pt idx="1358">
                  <c:v>13.023</c:v>
                </c:pt>
                <c:pt idx="1359">
                  <c:v>12.805999999999999</c:v>
                </c:pt>
                <c:pt idx="1360">
                  <c:v>12.837999999999999</c:v>
                </c:pt>
                <c:pt idx="1361">
                  <c:v>12.675000000000001</c:v>
                </c:pt>
                <c:pt idx="1362">
                  <c:v>12.712999999999999</c:v>
                </c:pt>
                <c:pt idx="1363">
                  <c:v>12.647</c:v>
                </c:pt>
                <c:pt idx="1364">
                  <c:v>12.523</c:v>
                </c:pt>
                <c:pt idx="1365">
                  <c:v>13.3</c:v>
                </c:pt>
                <c:pt idx="1366">
                  <c:v>13.115</c:v>
                </c:pt>
                <c:pt idx="1367">
                  <c:v>13.022</c:v>
                </c:pt>
                <c:pt idx="1368">
                  <c:v>13.157999999999999</c:v>
                </c:pt>
                <c:pt idx="1369">
                  <c:v>13.208</c:v>
                </c:pt>
                <c:pt idx="1370">
                  <c:v>13.359</c:v>
                </c:pt>
                <c:pt idx="1371">
                  <c:v>13.391</c:v>
                </c:pt>
                <c:pt idx="1372">
                  <c:v>13.507999999999999</c:v>
                </c:pt>
                <c:pt idx="1373">
                  <c:v>13.285</c:v>
                </c:pt>
                <c:pt idx="1374">
                  <c:v>13.188000000000001</c:v>
                </c:pt>
                <c:pt idx="1375">
                  <c:v>13.451000000000001</c:v>
                </c:pt>
                <c:pt idx="1376">
                  <c:v>13.672000000000001</c:v>
                </c:pt>
                <c:pt idx="1377">
                  <c:v>13.757</c:v>
                </c:pt>
                <c:pt idx="1378">
                  <c:v>13.869</c:v>
                </c:pt>
                <c:pt idx="1379">
                  <c:v>13.965</c:v>
                </c:pt>
                <c:pt idx="1380">
                  <c:v>13.887</c:v>
                </c:pt>
                <c:pt idx="1381">
                  <c:v>13.811</c:v>
                </c:pt>
                <c:pt idx="1382">
                  <c:v>14.089</c:v>
                </c:pt>
                <c:pt idx="1383">
                  <c:v>13.962</c:v>
                </c:pt>
                <c:pt idx="1384">
                  <c:v>13.77</c:v>
                </c:pt>
                <c:pt idx="1385">
                  <c:v>13.632</c:v>
                </c:pt>
                <c:pt idx="1386">
                  <c:v>14.571</c:v>
                </c:pt>
                <c:pt idx="1387">
                  <c:v>14.558999999999999</c:v>
                </c:pt>
                <c:pt idx="1388">
                  <c:v>14.811999999999999</c:v>
                </c:pt>
                <c:pt idx="1389">
                  <c:v>14.843</c:v>
                </c:pt>
                <c:pt idx="1390">
                  <c:v>14.85</c:v>
                </c:pt>
                <c:pt idx="1391">
                  <c:v>15.031000000000001</c:v>
                </c:pt>
                <c:pt idx="1392">
                  <c:v>14.996</c:v>
                </c:pt>
                <c:pt idx="1393">
                  <c:v>14.79</c:v>
                </c:pt>
                <c:pt idx="1394">
                  <c:v>14.803000000000001</c:v>
                </c:pt>
                <c:pt idx="1395">
                  <c:v>14.65</c:v>
                </c:pt>
                <c:pt idx="1396">
                  <c:v>14.64</c:v>
                </c:pt>
                <c:pt idx="1397">
                  <c:v>14.532</c:v>
                </c:pt>
                <c:pt idx="1398">
                  <c:v>14.856</c:v>
                </c:pt>
                <c:pt idx="1399">
                  <c:v>14.875999999999999</c:v>
                </c:pt>
                <c:pt idx="1400">
                  <c:v>15.079000000000001</c:v>
                </c:pt>
                <c:pt idx="1401">
                  <c:v>15.204000000000001</c:v>
                </c:pt>
                <c:pt idx="1402">
                  <c:v>15.083</c:v>
                </c:pt>
                <c:pt idx="1403">
                  <c:v>15.15</c:v>
                </c:pt>
                <c:pt idx="1404">
                  <c:v>14.930999999999999</c:v>
                </c:pt>
                <c:pt idx="1405">
                  <c:v>14.771000000000001</c:v>
                </c:pt>
                <c:pt idx="1406">
                  <c:v>14.887</c:v>
                </c:pt>
                <c:pt idx="1407">
                  <c:v>15.068</c:v>
                </c:pt>
                <c:pt idx="1408">
                  <c:v>15.221</c:v>
                </c:pt>
                <c:pt idx="1409">
                  <c:v>15.132999999999999</c:v>
                </c:pt>
                <c:pt idx="1410">
                  <c:v>15.252000000000001</c:v>
                </c:pt>
                <c:pt idx="1411">
                  <c:v>15.397</c:v>
                </c:pt>
                <c:pt idx="1412">
                  <c:v>15.692</c:v>
                </c:pt>
                <c:pt idx="1413">
                  <c:v>15.833</c:v>
                </c:pt>
                <c:pt idx="1414">
                  <c:v>15.833</c:v>
                </c:pt>
                <c:pt idx="1415">
                  <c:v>15.773</c:v>
                </c:pt>
                <c:pt idx="1416">
                  <c:v>15.673999999999999</c:v>
                </c:pt>
                <c:pt idx="1417">
                  <c:v>15.775</c:v>
                </c:pt>
                <c:pt idx="1418">
                  <c:v>15.602</c:v>
                </c:pt>
                <c:pt idx="1419">
                  <c:v>15.669</c:v>
                </c:pt>
                <c:pt idx="1420">
                  <c:v>15.621</c:v>
                </c:pt>
                <c:pt idx="1421">
                  <c:v>15.664999999999999</c:v>
                </c:pt>
                <c:pt idx="1422">
                  <c:v>15.282999999999999</c:v>
                </c:pt>
                <c:pt idx="1423">
                  <c:v>15.362</c:v>
                </c:pt>
                <c:pt idx="1424">
                  <c:v>15.214</c:v>
                </c:pt>
                <c:pt idx="1425">
                  <c:v>15.234999999999999</c:v>
                </c:pt>
                <c:pt idx="1426">
                  <c:v>15.041</c:v>
                </c:pt>
                <c:pt idx="1427">
                  <c:v>14.721</c:v>
                </c:pt>
                <c:pt idx="1428">
                  <c:v>14.920999999999999</c:v>
                </c:pt>
                <c:pt idx="1429">
                  <c:v>14.973000000000001</c:v>
                </c:pt>
                <c:pt idx="1430">
                  <c:v>14.714</c:v>
                </c:pt>
                <c:pt idx="1431">
                  <c:v>14.705</c:v>
                </c:pt>
                <c:pt idx="1432">
                  <c:v>14.868</c:v>
                </c:pt>
                <c:pt idx="1433">
                  <c:v>15.006</c:v>
                </c:pt>
                <c:pt idx="1434">
                  <c:v>15.182</c:v>
                </c:pt>
                <c:pt idx="1435">
                  <c:v>15.412000000000001</c:v>
                </c:pt>
                <c:pt idx="1436">
                  <c:v>15.272</c:v>
                </c:pt>
                <c:pt idx="1437">
                  <c:v>15.266</c:v>
                </c:pt>
                <c:pt idx="1438">
                  <c:v>15.313000000000001</c:v>
                </c:pt>
                <c:pt idx="1439">
                  <c:v>15.204000000000001</c:v>
                </c:pt>
                <c:pt idx="1440">
                  <c:v>15.256</c:v>
                </c:pt>
                <c:pt idx="1441">
                  <c:v>15.396000000000001</c:v>
                </c:pt>
                <c:pt idx="1442">
                  <c:v>15.391</c:v>
                </c:pt>
                <c:pt idx="1443">
                  <c:v>15.492000000000001</c:v>
                </c:pt>
                <c:pt idx="1444">
                  <c:v>15.484</c:v>
                </c:pt>
                <c:pt idx="1445">
                  <c:v>15.55</c:v>
                </c:pt>
                <c:pt idx="1446">
                  <c:v>15.388</c:v>
                </c:pt>
                <c:pt idx="1447">
                  <c:v>15.702</c:v>
                </c:pt>
                <c:pt idx="1448">
                  <c:v>15.946999999999999</c:v>
                </c:pt>
                <c:pt idx="1449">
                  <c:v>16.123000000000001</c:v>
                </c:pt>
                <c:pt idx="1450">
                  <c:v>16.032</c:v>
                </c:pt>
                <c:pt idx="1451">
                  <c:v>15.782</c:v>
                </c:pt>
                <c:pt idx="1452">
                  <c:v>15.731999999999999</c:v>
                </c:pt>
                <c:pt idx="1453">
                  <c:v>15.753</c:v>
                </c:pt>
                <c:pt idx="1454">
                  <c:v>15.685</c:v>
                </c:pt>
                <c:pt idx="1455">
                  <c:v>15.6</c:v>
                </c:pt>
                <c:pt idx="1456">
                  <c:v>15.414999999999999</c:v>
                </c:pt>
                <c:pt idx="1457">
                  <c:v>15.099</c:v>
                </c:pt>
                <c:pt idx="1458">
                  <c:v>14.749000000000001</c:v>
                </c:pt>
                <c:pt idx="1459">
                  <c:v>14.707000000000001</c:v>
                </c:pt>
                <c:pt idx="1460">
                  <c:v>14.635</c:v>
                </c:pt>
                <c:pt idx="1461">
                  <c:v>14.765000000000001</c:v>
                </c:pt>
                <c:pt idx="1462">
                  <c:v>14.922000000000001</c:v>
                </c:pt>
                <c:pt idx="1463">
                  <c:v>14.907</c:v>
                </c:pt>
                <c:pt idx="1464">
                  <c:v>15.096</c:v>
                </c:pt>
                <c:pt idx="1465">
                  <c:v>15.099</c:v>
                </c:pt>
                <c:pt idx="1466">
                  <c:v>15.368</c:v>
                </c:pt>
                <c:pt idx="1467">
                  <c:v>15.069000000000001</c:v>
                </c:pt>
                <c:pt idx="1468">
                  <c:v>15.147</c:v>
                </c:pt>
                <c:pt idx="1469">
                  <c:v>15.262</c:v>
                </c:pt>
                <c:pt idx="1470">
                  <c:v>15.151999999999999</c:v>
                </c:pt>
                <c:pt idx="1471">
                  <c:v>15.199</c:v>
                </c:pt>
                <c:pt idx="1472">
                  <c:v>15.448</c:v>
                </c:pt>
                <c:pt idx="1473">
                  <c:v>15.268000000000001</c:v>
                </c:pt>
                <c:pt idx="1474">
                  <c:v>14.233000000000001</c:v>
                </c:pt>
                <c:pt idx="1475">
                  <c:v>14.058999999999999</c:v>
                </c:pt>
                <c:pt idx="1476">
                  <c:v>13.815</c:v>
                </c:pt>
                <c:pt idx="1477">
                  <c:v>14.055999999999999</c:v>
                </c:pt>
                <c:pt idx="1478">
                  <c:v>14.093999999999999</c:v>
                </c:pt>
                <c:pt idx="1479">
                  <c:v>14.196</c:v>
                </c:pt>
                <c:pt idx="1480">
                  <c:v>14.46</c:v>
                </c:pt>
                <c:pt idx="1481">
                  <c:v>14.356</c:v>
                </c:pt>
                <c:pt idx="1482">
                  <c:v>14.22</c:v>
                </c:pt>
                <c:pt idx="1483">
                  <c:v>14.215</c:v>
                </c:pt>
                <c:pt idx="1484">
                  <c:v>14.276</c:v>
                </c:pt>
                <c:pt idx="1485">
                  <c:v>14.214</c:v>
                </c:pt>
                <c:pt idx="1486">
                  <c:v>14.393000000000001</c:v>
                </c:pt>
                <c:pt idx="1487">
                  <c:v>14.464</c:v>
                </c:pt>
                <c:pt idx="1488">
                  <c:v>14.468</c:v>
                </c:pt>
                <c:pt idx="1489">
                  <c:v>14.355</c:v>
                </c:pt>
                <c:pt idx="1490">
                  <c:v>14.516999999999999</c:v>
                </c:pt>
                <c:pt idx="1491">
                  <c:v>14.531000000000001</c:v>
                </c:pt>
                <c:pt idx="1492">
                  <c:v>14.198</c:v>
                </c:pt>
                <c:pt idx="1493">
                  <c:v>14.349</c:v>
                </c:pt>
                <c:pt idx="1494">
                  <c:v>14.032999999999999</c:v>
                </c:pt>
                <c:pt idx="1495">
                  <c:v>13.851000000000001</c:v>
                </c:pt>
                <c:pt idx="1496">
                  <c:v>13.118</c:v>
                </c:pt>
                <c:pt idx="1497">
                  <c:v>13.06</c:v>
                </c:pt>
                <c:pt idx="1498">
                  <c:v>13.243</c:v>
                </c:pt>
                <c:pt idx="1499">
                  <c:v>13.321</c:v>
                </c:pt>
                <c:pt idx="1500">
                  <c:v>13.608000000000001</c:v>
                </c:pt>
                <c:pt idx="1501">
                  <c:v>13.326000000000001</c:v>
                </c:pt>
                <c:pt idx="1502">
                  <c:v>13.631</c:v>
                </c:pt>
                <c:pt idx="1503">
                  <c:v>13.651</c:v>
                </c:pt>
                <c:pt idx="1504">
                  <c:v>13.692</c:v>
                </c:pt>
                <c:pt idx="1505">
                  <c:v>13.539</c:v>
                </c:pt>
                <c:pt idx="1506">
                  <c:v>13.606</c:v>
                </c:pt>
                <c:pt idx="1507">
                  <c:v>13.645</c:v>
                </c:pt>
                <c:pt idx="1508">
                  <c:v>13.528</c:v>
                </c:pt>
                <c:pt idx="1509">
                  <c:v>13.478999999999999</c:v>
                </c:pt>
                <c:pt idx="1510">
                  <c:v>13.202</c:v>
                </c:pt>
                <c:pt idx="1511">
                  <c:v>13.271000000000001</c:v>
                </c:pt>
                <c:pt idx="1512">
                  <c:v>13.416</c:v>
                </c:pt>
                <c:pt idx="1513">
                  <c:v>13.603999999999999</c:v>
                </c:pt>
                <c:pt idx="1514">
                  <c:v>13.566000000000001</c:v>
                </c:pt>
                <c:pt idx="1515">
                  <c:v>13.477</c:v>
                </c:pt>
                <c:pt idx="1516">
                  <c:v>13.7</c:v>
                </c:pt>
                <c:pt idx="1517">
                  <c:v>13.537000000000001</c:v>
                </c:pt>
                <c:pt idx="1518">
                  <c:v>13.417999999999999</c:v>
                </c:pt>
                <c:pt idx="1519">
                  <c:v>13.317</c:v>
                </c:pt>
                <c:pt idx="1520">
                  <c:v>13.05</c:v>
                </c:pt>
                <c:pt idx="1521">
                  <c:v>13.263999999999999</c:v>
                </c:pt>
                <c:pt idx="1522">
                  <c:v>13.234</c:v>
                </c:pt>
                <c:pt idx="1523">
                  <c:v>13.244</c:v>
                </c:pt>
                <c:pt idx="1524">
                  <c:v>13.308999999999999</c:v>
                </c:pt>
                <c:pt idx="1525">
                  <c:v>13.472</c:v>
                </c:pt>
                <c:pt idx="1526">
                  <c:v>13.736000000000001</c:v>
                </c:pt>
                <c:pt idx="1527">
                  <c:v>14.096</c:v>
                </c:pt>
                <c:pt idx="1528">
                  <c:v>14.327</c:v>
                </c:pt>
                <c:pt idx="1529">
                  <c:v>13.971</c:v>
                </c:pt>
                <c:pt idx="1530">
                  <c:v>13.837</c:v>
                </c:pt>
                <c:pt idx="1531">
                  <c:v>14.089</c:v>
                </c:pt>
                <c:pt idx="1532">
                  <c:v>14.25</c:v>
                </c:pt>
                <c:pt idx="1533">
                  <c:v>14.55</c:v>
                </c:pt>
                <c:pt idx="1534">
                  <c:v>14.478999999999999</c:v>
                </c:pt>
                <c:pt idx="1535">
                  <c:v>14.634</c:v>
                </c:pt>
                <c:pt idx="1536">
                  <c:v>15.114000000000001</c:v>
                </c:pt>
                <c:pt idx="1537">
                  <c:v>14.558</c:v>
                </c:pt>
                <c:pt idx="1538">
                  <c:v>14.666</c:v>
                </c:pt>
                <c:pt idx="1539">
                  <c:v>14.927</c:v>
                </c:pt>
                <c:pt idx="1540">
                  <c:v>14.932</c:v>
                </c:pt>
                <c:pt idx="1541">
                  <c:v>14.63</c:v>
                </c:pt>
                <c:pt idx="1542">
                  <c:v>14.489000000000001</c:v>
                </c:pt>
                <c:pt idx="1543">
                  <c:v>14.875999999999999</c:v>
                </c:pt>
                <c:pt idx="1544">
                  <c:v>15.103999999999999</c:v>
                </c:pt>
                <c:pt idx="1545">
                  <c:v>15.15</c:v>
                </c:pt>
                <c:pt idx="1546">
                  <c:v>15.465999999999999</c:v>
                </c:pt>
                <c:pt idx="1547">
                  <c:v>15.023999999999999</c:v>
                </c:pt>
                <c:pt idx="1548">
                  <c:v>15.16</c:v>
                </c:pt>
                <c:pt idx="1549">
                  <c:v>14.933999999999999</c:v>
                </c:pt>
                <c:pt idx="1550">
                  <c:v>14.9</c:v>
                </c:pt>
                <c:pt idx="1551">
                  <c:v>15.4</c:v>
                </c:pt>
                <c:pt idx="1552">
                  <c:v>15.442</c:v>
                </c:pt>
                <c:pt idx="1553">
                  <c:v>15.46</c:v>
                </c:pt>
                <c:pt idx="1554">
                  <c:v>15.435</c:v>
                </c:pt>
                <c:pt idx="1555">
                  <c:v>15.239000000000001</c:v>
                </c:pt>
                <c:pt idx="1556">
                  <c:v>15.242000000000001</c:v>
                </c:pt>
                <c:pt idx="1557">
                  <c:v>15.34</c:v>
                </c:pt>
                <c:pt idx="1558">
                  <c:v>15.523</c:v>
                </c:pt>
                <c:pt idx="1559">
                  <c:v>15.412000000000001</c:v>
                </c:pt>
                <c:pt idx="1560">
                  <c:v>15.308</c:v>
                </c:pt>
                <c:pt idx="1561">
                  <c:v>15.308999999999999</c:v>
                </c:pt>
                <c:pt idx="1562">
                  <c:v>15.64</c:v>
                </c:pt>
                <c:pt idx="1563">
                  <c:v>15.632</c:v>
                </c:pt>
                <c:pt idx="1564">
                  <c:v>15.911</c:v>
                </c:pt>
                <c:pt idx="1565">
                  <c:v>16.332999999999998</c:v>
                </c:pt>
                <c:pt idx="1566">
                  <c:v>16.209</c:v>
                </c:pt>
                <c:pt idx="1567">
                  <c:v>16.132999999999999</c:v>
                </c:pt>
                <c:pt idx="1568">
                  <c:v>15.85</c:v>
                </c:pt>
                <c:pt idx="1569">
                  <c:v>15.772</c:v>
                </c:pt>
                <c:pt idx="1570">
                  <c:v>15.629</c:v>
                </c:pt>
                <c:pt idx="1571">
                  <c:v>15.611000000000001</c:v>
                </c:pt>
                <c:pt idx="1572">
                  <c:v>15.606</c:v>
                </c:pt>
                <c:pt idx="1573">
                  <c:v>15.768000000000001</c:v>
                </c:pt>
                <c:pt idx="1574">
                  <c:v>15.522</c:v>
                </c:pt>
                <c:pt idx="1575">
                  <c:v>15.295</c:v>
                </c:pt>
                <c:pt idx="1576">
                  <c:v>15.484</c:v>
                </c:pt>
                <c:pt idx="1577">
                  <c:v>15.661</c:v>
                </c:pt>
                <c:pt idx="1578">
                  <c:v>15.432</c:v>
                </c:pt>
                <c:pt idx="1579">
                  <c:v>15.462</c:v>
                </c:pt>
                <c:pt idx="1580">
                  <c:v>15.568</c:v>
                </c:pt>
                <c:pt idx="1581">
                  <c:v>15.500999999999999</c:v>
                </c:pt>
                <c:pt idx="1582">
                  <c:v>15.343999999999999</c:v>
                </c:pt>
                <c:pt idx="1583">
                  <c:v>15.529</c:v>
                </c:pt>
                <c:pt idx="1584">
                  <c:v>15.843999999999999</c:v>
                </c:pt>
                <c:pt idx="1585">
                  <c:v>15.788</c:v>
                </c:pt>
                <c:pt idx="1586">
                  <c:v>16.084</c:v>
                </c:pt>
                <c:pt idx="1587">
                  <c:v>16.427</c:v>
                </c:pt>
                <c:pt idx="1588">
                  <c:v>16.641999999999999</c:v>
                </c:pt>
                <c:pt idx="1589">
                  <c:v>16.835000000000001</c:v>
                </c:pt>
                <c:pt idx="1590">
                  <c:v>16.675000000000001</c:v>
                </c:pt>
                <c:pt idx="1591">
                  <c:v>16.533999999999999</c:v>
                </c:pt>
                <c:pt idx="1592">
                  <c:v>16.631</c:v>
                </c:pt>
                <c:pt idx="1593">
                  <c:v>16.552</c:v>
                </c:pt>
                <c:pt idx="1594">
                  <c:v>16.34</c:v>
                </c:pt>
                <c:pt idx="1595">
                  <c:v>16.747</c:v>
                </c:pt>
                <c:pt idx="1596">
                  <c:v>16.747</c:v>
                </c:pt>
                <c:pt idx="1597">
                  <c:v>16.8</c:v>
                </c:pt>
                <c:pt idx="1598">
                  <c:v>16.567</c:v>
                </c:pt>
                <c:pt idx="1599">
                  <c:v>16.715</c:v>
                </c:pt>
                <c:pt idx="1600">
                  <c:v>16.577999999999999</c:v>
                </c:pt>
                <c:pt idx="1601">
                  <c:v>16.783000000000001</c:v>
                </c:pt>
                <c:pt idx="1602">
                  <c:v>17.617000000000001</c:v>
                </c:pt>
                <c:pt idx="1603">
                  <c:v>17.606000000000002</c:v>
                </c:pt>
                <c:pt idx="1604">
                  <c:v>17.695</c:v>
                </c:pt>
                <c:pt idx="1605">
                  <c:v>17.445</c:v>
                </c:pt>
                <c:pt idx="1606">
                  <c:v>17.297000000000001</c:v>
                </c:pt>
                <c:pt idx="1607">
                  <c:v>17.247</c:v>
                </c:pt>
                <c:pt idx="1608">
                  <c:v>17.481999999999999</c:v>
                </c:pt>
                <c:pt idx="1609">
                  <c:v>17.298999999999999</c:v>
                </c:pt>
                <c:pt idx="1610">
                  <c:v>17.439</c:v>
                </c:pt>
                <c:pt idx="1611">
                  <c:v>17.722999999999999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'M18'!$T$6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'M18'!$T$7:$T$1618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15.290539404698539</c:v>
                </c:pt>
                <c:pt idx="251">
                  <c:v>15.221046635337036</c:v>
                </c:pt>
                <c:pt idx="252">
                  <c:v>15.205874966925361</c:v>
                </c:pt>
                <c:pt idx="253">
                  <c:v>15.165045227267441</c:v>
                </c:pt>
                <c:pt idx="254">
                  <c:v>15.642325518618858</c:v>
                </c:pt>
                <c:pt idx="255">
                  <c:v>15.366058355503043</c:v>
                </c:pt>
                <c:pt idx="256">
                  <c:v>15.380087607959858</c:v>
                </c:pt>
                <c:pt idx="257">
                  <c:v>14.292201798498573</c:v>
                </c:pt>
                <c:pt idx="258">
                  <c:v>14.489371531874415</c:v>
                </c:pt>
                <c:pt idx="259">
                  <c:v>14.581593438115762</c:v>
                </c:pt>
                <c:pt idx="260">
                  <c:v>14.550458679843985</c:v>
                </c:pt>
                <c:pt idx="261">
                  <c:v>14.279080079894701</c:v>
                </c:pt>
                <c:pt idx="262">
                  <c:v>14.183423305242716</c:v>
                </c:pt>
                <c:pt idx="263">
                  <c:v>13.761339496235243</c:v>
                </c:pt>
                <c:pt idx="264">
                  <c:v>13.712686642780735</c:v>
                </c:pt>
                <c:pt idx="265">
                  <c:v>13.475180831084936</c:v>
                </c:pt>
                <c:pt idx="266">
                  <c:v>13.117091246592963</c:v>
                </c:pt>
                <c:pt idx="267">
                  <c:v>13.161528948985186</c:v>
                </c:pt>
                <c:pt idx="268">
                  <c:v>13.247882813873993</c:v>
                </c:pt>
                <c:pt idx="269">
                  <c:v>12.960402493566232</c:v>
                </c:pt>
                <c:pt idx="270">
                  <c:v>12.934248494633691</c:v>
                </c:pt>
                <c:pt idx="271">
                  <c:v>13.825943650613553</c:v>
                </c:pt>
                <c:pt idx="272">
                  <c:v>13.415329541569118</c:v>
                </c:pt>
                <c:pt idx="273">
                  <c:v>13.71641148907166</c:v>
                </c:pt>
                <c:pt idx="274">
                  <c:v>13.963260989374502</c:v>
                </c:pt>
                <c:pt idx="275">
                  <c:v>14.377746389881862</c:v>
                </c:pt>
                <c:pt idx="276">
                  <c:v>14.392960918970784</c:v>
                </c:pt>
                <c:pt idx="277">
                  <c:v>13.832442338943292</c:v>
                </c:pt>
                <c:pt idx="278">
                  <c:v>13.757119970116168</c:v>
                </c:pt>
                <c:pt idx="279">
                  <c:v>13.778035841267497</c:v>
                </c:pt>
                <c:pt idx="280">
                  <c:v>13.57181231377678</c:v>
                </c:pt>
                <c:pt idx="281">
                  <c:v>13.570359194375952</c:v>
                </c:pt>
                <c:pt idx="282">
                  <c:v>13.378456280919936</c:v>
                </c:pt>
                <c:pt idx="283">
                  <c:v>13.080680658990005</c:v>
                </c:pt>
                <c:pt idx="284">
                  <c:v>12.912900547278264</c:v>
                </c:pt>
                <c:pt idx="285">
                  <c:v>12.869122571042039</c:v>
                </c:pt>
                <c:pt idx="286">
                  <c:v>13.248471553040813</c:v>
                </c:pt>
                <c:pt idx="287">
                  <c:v>13.282210440817829</c:v>
                </c:pt>
                <c:pt idx="288">
                  <c:v>13.153277580395429</c:v>
                </c:pt>
                <c:pt idx="289">
                  <c:v>13.294762774811289</c:v>
                </c:pt>
                <c:pt idx="290">
                  <c:v>13.575635805261225</c:v>
                </c:pt>
                <c:pt idx="291">
                  <c:v>13.472091301956789</c:v>
                </c:pt>
                <c:pt idx="292">
                  <c:v>13.816111137557318</c:v>
                </c:pt>
                <c:pt idx="293">
                  <c:v>13.482684638859997</c:v>
                </c:pt>
                <c:pt idx="294">
                  <c:v>13.309768610638669</c:v>
                </c:pt>
                <c:pt idx="295">
                  <c:v>13.312427823058368</c:v>
                </c:pt>
                <c:pt idx="296">
                  <c:v>13.49173788527305</c:v>
                </c:pt>
                <c:pt idx="297">
                  <c:v>13.497192044471774</c:v>
                </c:pt>
                <c:pt idx="298">
                  <c:v>13.628390033787717</c:v>
                </c:pt>
                <c:pt idx="299">
                  <c:v>13.562314260499118</c:v>
                </c:pt>
                <c:pt idx="300">
                  <c:v>13.503197321989486</c:v>
                </c:pt>
                <c:pt idx="301">
                  <c:v>13.402956192089151</c:v>
                </c:pt>
                <c:pt idx="302">
                  <c:v>13.551457382887985</c:v>
                </c:pt>
                <c:pt idx="303">
                  <c:v>13.558884312232724</c:v>
                </c:pt>
                <c:pt idx="304">
                  <c:v>13.738408329164798</c:v>
                </c:pt>
                <c:pt idx="305">
                  <c:v>13.45088809725257</c:v>
                </c:pt>
                <c:pt idx="306">
                  <c:v>13.560924245898658</c:v>
                </c:pt>
                <c:pt idx="307">
                  <c:v>13.364778264469603</c:v>
                </c:pt>
                <c:pt idx="308">
                  <c:v>13.21526966748028</c:v>
                </c:pt>
                <c:pt idx="309">
                  <c:v>13.177098488022267</c:v>
                </c:pt>
                <c:pt idx="310">
                  <c:v>13.369362160591919</c:v>
                </c:pt>
                <c:pt idx="311">
                  <c:v>13.54435621918636</c:v>
                </c:pt>
                <c:pt idx="312">
                  <c:v>13.397478060895313</c:v>
                </c:pt>
                <c:pt idx="313">
                  <c:v>13.339928935233003</c:v>
                </c:pt>
                <c:pt idx="314">
                  <c:v>13.322184985945643</c:v>
                </c:pt>
                <c:pt idx="315">
                  <c:v>13.397774820850726</c:v>
                </c:pt>
                <c:pt idx="316">
                  <c:v>13.298268058908034</c:v>
                </c:pt>
                <c:pt idx="317">
                  <c:v>13.306642778913957</c:v>
                </c:pt>
                <c:pt idx="318">
                  <c:v>13.623595289919834</c:v>
                </c:pt>
                <c:pt idx="319">
                  <c:v>13.997773858513996</c:v>
                </c:pt>
                <c:pt idx="320">
                  <c:v>13.603186262283897</c:v>
                </c:pt>
                <c:pt idx="321">
                  <c:v>13.424832232962393</c:v>
                </c:pt>
                <c:pt idx="322">
                  <c:v>13.519346893812294</c:v>
                </c:pt>
                <c:pt idx="323">
                  <c:v>13.250453376186886</c:v>
                </c:pt>
                <c:pt idx="324">
                  <c:v>13.48277531693393</c:v>
                </c:pt>
                <c:pt idx="325">
                  <c:v>13.533157862833399</c:v>
                </c:pt>
                <c:pt idx="326">
                  <c:v>13.631845133717778</c:v>
                </c:pt>
                <c:pt idx="327">
                  <c:v>13.746072500806978</c:v>
                </c:pt>
                <c:pt idx="328">
                  <c:v>13.683645307088291</c:v>
                </c:pt>
                <c:pt idx="329">
                  <c:v>13.676874753466043</c:v>
                </c:pt>
                <c:pt idx="330">
                  <c:v>13.631957906944674</c:v>
                </c:pt>
                <c:pt idx="331">
                  <c:v>13.899564280263393</c:v>
                </c:pt>
                <c:pt idx="332">
                  <c:v>13.985563335425246</c:v>
                </c:pt>
                <c:pt idx="333">
                  <c:v>14.658123595348947</c:v>
                </c:pt>
                <c:pt idx="334">
                  <c:v>15.20700349095374</c:v>
                </c:pt>
                <c:pt idx="335">
                  <c:v>14.981525845828823</c:v>
                </c:pt>
                <c:pt idx="336">
                  <c:v>15.756586264265351</c:v>
                </c:pt>
                <c:pt idx="337">
                  <c:v>15.898106776448794</c:v>
                </c:pt>
                <c:pt idx="338">
                  <c:v>15.074537446691142</c:v>
                </c:pt>
                <c:pt idx="339">
                  <c:v>16.439238855051205</c:v>
                </c:pt>
                <c:pt idx="340">
                  <c:v>15.762284718805795</c:v>
                </c:pt>
                <c:pt idx="341">
                  <c:v>15.072718757737409</c:v>
                </c:pt>
                <c:pt idx="342">
                  <c:v>15.396776918633954</c:v>
                </c:pt>
                <c:pt idx="343">
                  <c:v>15.594446147643692</c:v>
                </c:pt>
                <c:pt idx="344">
                  <c:v>15.511080039334082</c:v>
                </c:pt>
                <c:pt idx="345">
                  <c:v>15.635660135835355</c:v>
                </c:pt>
                <c:pt idx="346">
                  <c:v>15.561369397548438</c:v>
                </c:pt>
                <c:pt idx="347">
                  <c:v>15.662903547119658</c:v>
                </c:pt>
                <c:pt idx="348">
                  <c:v>15.631865773035539</c:v>
                </c:pt>
                <c:pt idx="349">
                  <c:v>15.582691947435158</c:v>
                </c:pt>
                <c:pt idx="350">
                  <c:v>15.916495849344727</c:v>
                </c:pt>
                <c:pt idx="351">
                  <c:v>15.960634215584642</c:v>
                </c:pt>
                <c:pt idx="352">
                  <c:v>16.042359453222012</c:v>
                </c:pt>
                <c:pt idx="353">
                  <c:v>15.760103587872628</c:v>
                </c:pt>
                <c:pt idx="354">
                  <c:v>15.645260144914342</c:v>
                </c:pt>
                <c:pt idx="355">
                  <c:v>15.481432200499004</c:v>
                </c:pt>
                <c:pt idx="356">
                  <c:v>15.618256152320329</c:v>
                </c:pt>
                <c:pt idx="357">
                  <c:v>15.855521049352966</c:v>
                </c:pt>
                <c:pt idx="358">
                  <c:v>15.889657593090316</c:v>
                </c:pt>
                <c:pt idx="359">
                  <c:v>16.159391412622661</c:v>
                </c:pt>
                <c:pt idx="360">
                  <c:v>16.646748645994677</c:v>
                </c:pt>
                <c:pt idx="361">
                  <c:v>16.813798886807188</c:v>
                </c:pt>
                <c:pt idx="362">
                  <c:v>16.620294415325695</c:v>
                </c:pt>
                <c:pt idx="363">
                  <c:v>16.915306933530992</c:v>
                </c:pt>
                <c:pt idx="364">
                  <c:v>16.78938414368411</c:v>
                </c:pt>
                <c:pt idx="365">
                  <c:v>17.378723602809814</c:v>
                </c:pt>
                <c:pt idx="366">
                  <c:v>17.620277728150352</c:v>
                </c:pt>
                <c:pt idx="367">
                  <c:v>17.473116834705156</c:v>
                </c:pt>
                <c:pt idx="368">
                  <c:v>17.390873859622083</c:v>
                </c:pt>
                <c:pt idx="369">
                  <c:v>17.109453590584657</c:v>
                </c:pt>
                <c:pt idx="370">
                  <c:v>17.02890265824708</c:v>
                </c:pt>
                <c:pt idx="371">
                  <c:v>17.297377932893255</c:v>
                </c:pt>
                <c:pt idx="372">
                  <c:v>17.472910202915514</c:v>
                </c:pt>
                <c:pt idx="373">
                  <c:v>17.376439361201417</c:v>
                </c:pt>
                <c:pt idx="374">
                  <c:v>17.736444662739146</c:v>
                </c:pt>
                <c:pt idx="375">
                  <c:v>18.417800157859755</c:v>
                </c:pt>
                <c:pt idx="376">
                  <c:v>18.021924450010623</c:v>
                </c:pt>
                <c:pt idx="377">
                  <c:v>18.798031495687212</c:v>
                </c:pt>
                <c:pt idx="378">
                  <c:v>18.283455720928838</c:v>
                </c:pt>
                <c:pt idx="379">
                  <c:v>17.833901142652714</c:v>
                </c:pt>
                <c:pt idx="380">
                  <c:v>17.368513460955345</c:v>
                </c:pt>
                <c:pt idx="381">
                  <c:v>17.389000481721201</c:v>
                </c:pt>
                <c:pt idx="382">
                  <c:v>17.67585228974302</c:v>
                </c:pt>
                <c:pt idx="383">
                  <c:v>17.985050604418124</c:v>
                </c:pt>
                <c:pt idx="384">
                  <c:v>18.46856068655061</c:v>
                </c:pt>
                <c:pt idx="385">
                  <c:v>18.588869939013318</c:v>
                </c:pt>
                <c:pt idx="386">
                  <c:v>18.25538303413996</c:v>
                </c:pt>
                <c:pt idx="387">
                  <c:v>18.147274501953721</c:v>
                </c:pt>
                <c:pt idx="388">
                  <c:v>18.357101776388909</c:v>
                </c:pt>
                <c:pt idx="389">
                  <c:v>18.072883698555323</c:v>
                </c:pt>
                <c:pt idx="390">
                  <c:v>17.956482045893598</c:v>
                </c:pt>
                <c:pt idx="391">
                  <c:v>18.270301126737721</c:v>
                </c:pt>
                <c:pt idx="392">
                  <c:v>17.890521619866881</c:v>
                </c:pt>
                <c:pt idx="393">
                  <c:v>18.020635912599463</c:v>
                </c:pt>
                <c:pt idx="394">
                  <c:v>18.75540690329715</c:v>
                </c:pt>
                <c:pt idx="395">
                  <c:v>18.098547008297107</c:v>
                </c:pt>
                <c:pt idx="396">
                  <c:v>17.953963705409201</c:v>
                </c:pt>
                <c:pt idx="397">
                  <c:v>18.197915602487907</c:v>
                </c:pt>
                <c:pt idx="398">
                  <c:v>18.294327937248713</c:v>
                </c:pt>
                <c:pt idx="399">
                  <c:v>18.060618488207322</c:v>
                </c:pt>
                <c:pt idx="400">
                  <c:v>18.066942567305265</c:v>
                </c:pt>
                <c:pt idx="401">
                  <c:v>18.041769279501885</c:v>
                </c:pt>
                <c:pt idx="402">
                  <c:v>17.981364834842413</c:v>
                </c:pt>
                <c:pt idx="403">
                  <c:v>17.730840548202515</c:v>
                </c:pt>
                <c:pt idx="404">
                  <c:v>17.141368567147271</c:v>
                </c:pt>
                <c:pt idx="405">
                  <c:v>18.127135611338893</c:v>
                </c:pt>
                <c:pt idx="406">
                  <c:v>17.341814036507074</c:v>
                </c:pt>
                <c:pt idx="407">
                  <c:v>17.168942282582108</c:v>
                </c:pt>
                <c:pt idx="408">
                  <c:v>16.97321476373892</c:v>
                </c:pt>
                <c:pt idx="409">
                  <c:v>16.749952612043792</c:v>
                </c:pt>
                <c:pt idx="410">
                  <c:v>16.809974570432225</c:v>
                </c:pt>
                <c:pt idx="411">
                  <c:v>16.832286161546769</c:v>
                </c:pt>
                <c:pt idx="412">
                  <c:v>16.780712662133965</c:v>
                </c:pt>
                <c:pt idx="413">
                  <c:v>16.770778788043195</c:v>
                </c:pt>
                <c:pt idx="414">
                  <c:v>16.72290869869996</c:v>
                </c:pt>
                <c:pt idx="415">
                  <c:v>16.687675567930984</c:v>
                </c:pt>
                <c:pt idx="416">
                  <c:v>16.9552721210889</c:v>
                </c:pt>
                <c:pt idx="417">
                  <c:v>17.036100172511194</c:v>
                </c:pt>
                <c:pt idx="418">
                  <c:v>16.928294720249145</c:v>
                </c:pt>
                <c:pt idx="419">
                  <c:v>16.723922683121174</c:v>
                </c:pt>
                <c:pt idx="420">
                  <c:v>16.44219323935155</c:v>
                </c:pt>
                <c:pt idx="421">
                  <c:v>16.62251275858015</c:v>
                </c:pt>
                <c:pt idx="422">
                  <c:v>16.430408315478726</c:v>
                </c:pt>
                <c:pt idx="423">
                  <c:v>16.440304567695406</c:v>
                </c:pt>
                <c:pt idx="424">
                  <c:v>16.718179979528447</c:v>
                </c:pt>
                <c:pt idx="425">
                  <c:v>16.719863206173748</c:v>
                </c:pt>
                <c:pt idx="426">
                  <c:v>16.616174526857336</c:v>
                </c:pt>
                <c:pt idx="427">
                  <c:v>16.518552264373586</c:v>
                </c:pt>
                <c:pt idx="428">
                  <c:v>17.256475334437461</c:v>
                </c:pt>
                <c:pt idx="429">
                  <c:v>16.756059025619503</c:v>
                </c:pt>
                <c:pt idx="430">
                  <c:v>16.530007459044196</c:v>
                </c:pt>
                <c:pt idx="431">
                  <c:v>16.32519661950133</c:v>
                </c:pt>
                <c:pt idx="432">
                  <c:v>16.135131734568692</c:v>
                </c:pt>
                <c:pt idx="433">
                  <c:v>16.209183016393638</c:v>
                </c:pt>
                <c:pt idx="434">
                  <c:v>16.046492724538503</c:v>
                </c:pt>
                <c:pt idx="435">
                  <c:v>16.095845713596809</c:v>
                </c:pt>
                <c:pt idx="436">
                  <c:v>15.965308218994071</c:v>
                </c:pt>
                <c:pt idx="437">
                  <c:v>15.919622802087787</c:v>
                </c:pt>
                <c:pt idx="438">
                  <c:v>16.120865166247334</c:v>
                </c:pt>
                <c:pt idx="439">
                  <c:v>16.025163395533237</c:v>
                </c:pt>
                <c:pt idx="440">
                  <c:v>16.351850480138946</c:v>
                </c:pt>
                <c:pt idx="441">
                  <c:v>16.231548574993486</c:v>
                </c:pt>
                <c:pt idx="442">
                  <c:v>16.327370975808119</c:v>
                </c:pt>
                <c:pt idx="443">
                  <c:v>16.549385027082966</c:v>
                </c:pt>
                <c:pt idx="444">
                  <c:v>16.773877247766361</c:v>
                </c:pt>
                <c:pt idx="445">
                  <c:v>16.778454967229184</c:v>
                </c:pt>
                <c:pt idx="446">
                  <c:v>16.244550786536958</c:v>
                </c:pt>
                <c:pt idx="447">
                  <c:v>16.638344946351644</c:v>
                </c:pt>
                <c:pt idx="448">
                  <c:v>16.576124721620776</c:v>
                </c:pt>
                <c:pt idx="449">
                  <c:v>15.481256779582694</c:v>
                </c:pt>
                <c:pt idx="450">
                  <c:v>16.987385012030067</c:v>
                </c:pt>
                <c:pt idx="451">
                  <c:v>16.527060373577164</c:v>
                </c:pt>
                <c:pt idx="452">
                  <c:v>16.836646349554243</c:v>
                </c:pt>
                <c:pt idx="453">
                  <c:v>16.947936278249031</c:v>
                </c:pt>
                <c:pt idx="454">
                  <c:v>16.374902454352007</c:v>
                </c:pt>
                <c:pt idx="455">
                  <c:v>16.303914815641491</c:v>
                </c:pt>
                <c:pt idx="456">
                  <c:v>15.965851670080356</c:v>
                </c:pt>
                <c:pt idx="457">
                  <c:v>16.111893118941364</c:v>
                </c:pt>
                <c:pt idx="458">
                  <c:v>16.35485233170699</c:v>
                </c:pt>
                <c:pt idx="459">
                  <c:v>16.631163670526789</c:v>
                </c:pt>
                <c:pt idx="460">
                  <c:v>16.62637919532445</c:v>
                </c:pt>
                <c:pt idx="461">
                  <c:v>16.884117062719188</c:v>
                </c:pt>
                <c:pt idx="462">
                  <c:v>16.840742214738118</c:v>
                </c:pt>
                <c:pt idx="463">
                  <c:v>16.852621341497631</c:v>
                </c:pt>
                <c:pt idx="464">
                  <c:v>16.771592038487913</c:v>
                </c:pt>
                <c:pt idx="465">
                  <c:v>16.913826040687432</c:v>
                </c:pt>
                <c:pt idx="466">
                  <c:v>17.015639592163947</c:v>
                </c:pt>
                <c:pt idx="467">
                  <c:v>16.922024058299076</c:v>
                </c:pt>
                <c:pt idx="468">
                  <c:v>17.090865511654542</c:v>
                </c:pt>
                <c:pt idx="469">
                  <c:v>17.078529139668468</c:v>
                </c:pt>
                <c:pt idx="470">
                  <c:v>16.30701211966414</c:v>
                </c:pt>
                <c:pt idx="471">
                  <c:v>18.483276650201105</c:v>
                </c:pt>
                <c:pt idx="472">
                  <c:v>17.475945340189117</c:v>
                </c:pt>
                <c:pt idx="473">
                  <c:v>16.965562543563689</c:v>
                </c:pt>
                <c:pt idx="474">
                  <c:v>16.365185860639265</c:v>
                </c:pt>
                <c:pt idx="475">
                  <c:v>16.117030039162106</c:v>
                </c:pt>
                <c:pt idx="476">
                  <c:v>15.985626135166038</c:v>
                </c:pt>
                <c:pt idx="477">
                  <c:v>16.189882434492532</c:v>
                </c:pt>
                <c:pt idx="478">
                  <c:v>16.381496327460258</c:v>
                </c:pt>
                <c:pt idx="479">
                  <c:v>15.985747149162359</c:v>
                </c:pt>
                <c:pt idx="480">
                  <c:v>15.787787237446862</c:v>
                </c:pt>
                <c:pt idx="481">
                  <c:v>16.073414089791495</c:v>
                </c:pt>
                <c:pt idx="482">
                  <c:v>15.967976322457243</c:v>
                </c:pt>
                <c:pt idx="483">
                  <c:v>15.991786526076716</c:v>
                </c:pt>
                <c:pt idx="484">
                  <c:v>15.972676111278719</c:v>
                </c:pt>
                <c:pt idx="485">
                  <c:v>15.690199303828539</c:v>
                </c:pt>
                <c:pt idx="486">
                  <c:v>15.906215976268111</c:v>
                </c:pt>
                <c:pt idx="487">
                  <c:v>16.114219952307394</c:v>
                </c:pt>
                <c:pt idx="488">
                  <c:v>16.230889189832322</c:v>
                </c:pt>
                <c:pt idx="489">
                  <c:v>16.095733699715549</c:v>
                </c:pt>
                <c:pt idx="490">
                  <c:v>16.149903298155991</c:v>
                </c:pt>
                <c:pt idx="491">
                  <c:v>15.977703435357462</c:v>
                </c:pt>
                <c:pt idx="492">
                  <c:v>16.335290281427394</c:v>
                </c:pt>
                <c:pt idx="493">
                  <c:v>17.499606840976792</c:v>
                </c:pt>
                <c:pt idx="494">
                  <c:v>17.093412917507724</c:v>
                </c:pt>
                <c:pt idx="495">
                  <c:v>16.511592172114444</c:v>
                </c:pt>
                <c:pt idx="496">
                  <c:v>15.812207568458676</c:v>
                </c:pt>
                <c:pt idx="497">
                  <c:v>15.688566687534633</c:v>
                </c:pt>
                <c:pt idx="498">
                  <c:v>15.966012500906679</c:v>
                </c:pt>
                <c:pt idx="499">
                  <c:v>15.805525450673192</c:v>
                </c:pt>
                <c:pt idx="500">
                  <c:v>16.27547730818257</c:v>
                </c:pt>
                <c:pt idx="501">
                  <c:v>16.414382291486014</c:v>
                </c:pt>
                <c:pt idx="502">
                  <c:v>16.502771165900974</c:v>
                </c:pt>
                <c:pt idx="503">
                  <c:v>16.429499197725704</c:v>
                </c:pt>
                <c:pt idx="504">
                  <c:v>16.674232366466338</c:v>
                </c:pt>
                <c:pt idx="505">
                  <c:v>16.674478976593718</c:v>
                </c:pt>
                <c:pt idx="506">
                  <c:v>16.775703120801957</c:v>
                </c:pt>
                <c:pt idx="507">
                  <c:v>16.880774373047807</c:v>
                </c:pt>
                <c:pt idx="508">
                  <c:v>17.134908053628237</c:v>
                </c:pt>
                <c:pt idx="509">
                  <c:v>17.060043024769438</c:v>
                </c:pt>
                <c:pt idx="510">
                  <c:v>17.047881250238927</c:v>
                </c:pt>
                <c:pt idx="511">
                  <c:v>17.419618723220882</c:v>
                </c:pt>
                <c:pt idx="512">
                  <c:v>17.585988647290826</c:v>
                </c:pt>
                <c:pt idx="513">
                  <c:v>17.900287348735191</c:v>
                </c:pt>
                <c:pt idx="514">
                  <c:v>18.17994280202382</c:v>
                </c:pt>
                <c:pt idx="515">
                  <c:v>17.003304878370749</c:v>
                </c:pt>
                <c:pt idx="516">
                  <c:v>17.228795379759159</c:v>
                </c:pt>
                <c:pt idx="517">
                  <c:v>17.06330151686161</c:v>
                </c:pt>
                <c:pt idx="518">
                  <c:v>16.74579035211724</c:v>
                </c:pt>
                <c:pt idx="519">
                  <c:v>16.800806093179023</c:v>
                </c:pt>
                <c:pt idx="520">
                  <c:v>17.18246250504755</c:v>
                </c:pt>
                <c:pt idx="521">
                  <c:v>17.419361857078993</c:v>
                </c:pt>
                <c:pt idx="522">
                  <c:v>17.321577775348473</c:v>
                </c:pt>
                <c:pt idx="523">
                  <c:v>17.184162315996545</c:v>
                </c:pt>
                <c:pt idx="524">
                  <c:v>16.909128902168362</c:v>
                </c:pt>
                <c:pt idx="525">
                  <c:v>17.228830146726125</c:v>
                </c:pt>
                <c:pt idx="526">
                  <c:v>17.178385894294586</c:v>
                </c:pt>
                <c:pt idx="527">
                  <c:v>17.177816172207272</c:v>
                </c:pt>
                <c:pt idx="528">
                  <c:v>17.302939241308479</c:v>
                </c:pt>
                <c:pt idx="529">
                  <c:v>17.494945079143751</c:v>
                </c:pt>
                <c:pt idx="530">
                  <c:v>17.323538917913123</c:v>
                </c:pt>
                <c:pt idx="531">
                  <c:v>17.024429709253116</c:v>
                </c:pt>
                <c:pt idx="532">
                  <c:v>16.967193376271819</c:v>
                </c:pt>
                <c:pt idx="533">
                  <c:v>16.722741457312669</c:v>
                </c:pt>
                <c:pt idx="534">
                  <c:v>16.676247118516986</c:v>
                </c:pt>
                <c:pt idx="535">
                  <c:v>16.931536151289681</c:v>
                </c:pt>
                <c:pt idx="536">
                  <c:v>17.372546689418957</c:v>
                </c:pt>
                <c:pt idx="537">
                  <c:v>17.254395416034921</c:v>
                </c:pt>
                <c:pt idx="538">
                  <c:v>17.043548280822357</c:v>
                </c:pt>
                <c:pt idx="539">
                  <c:v>16.967632334361145</c:v>
                </c:pt>
                <c:pt idx="540">
                  <c:v>17.07969696346559</c:v>
                </c:pt>
                <c:pt idx="541">
                  <c:v>16.928192401456851</c:v>
                </c:pt>
                <c:pt idx="542">
                  <c:v>16.996143355136269</c:v>
                </c:pt>
                <c:pt idx="543">
                  <c:v>17.028269295145357</c:v>
                </c:pt>
                <c:pt idx="544">
                  <c:v>16.883312495379631</c:v>
                </c:pt>
                <c:pt idx="545">
                  <c:v>16.725576769421249</c:v>
                </c:pt>
                <c:pt idx="546">
                  <c:v>16.79597540869332</c:v>
                </c:pt>
                <c:pt idx="547">
                  <c:v>16.76253027169961</c:v>
                </c:pt>
                <c:pt idx="548">
                  <c:v>16.788669337934785</c:v>
                </c:pt>
                <c:pt idx="549">
                  <c:v>17.00243577780698</c:v>
                </c:pt>
                <c:pt idx="550">
                  <c:v>16.973137726512689</c:v>
                </c:pt>
                <c:pt idx="551">
                  <c:v>16.896522784962233</c:v>
                </c:pt>
                <c:pt idx="552">
                  <c:v>17.06832069966929</c:v>
                </c:pt>
                <c:pt idx="553">
                  <c:v>16.79968767076501</c:v>
                </c:pt>
                <c:pt idx="554">
                  <c:v>16.515061729394972</c:v>
                </c:pt>
                <c:pt idx="555">
                  <c:v>16.136105238770348</c:v>
                </c:pt>
                <c:pt idx="556">
                  <c:v>16.57291481172355</c:v>
                </c:pt>
                <c:pt idx="557">
                  <c:v>16.386846118507147</c:v>
                </c:pt>
                <c:pt idx="558">
                  <c:v>16.344582602244223</c:v>
                </c:pt>
                <c:pt idx="559">
                  <c:v>16.417193474903193</c:v>
                </c:pt>
                <c:pt idx="560">
                  <c:v>16.241504331750249</c:v>
                </c:pt>
                <c:pt idx="561">
                  <c:v>16.154201523014933</c:v>
                </c:pt>
                <c:pt idx="562">
                  <c:v>15.991788181111076</c:v>
                </c:pt>
                <c:pt idx="563">
                  <c:v>15.92922280074124</c:v>
                </c:pt>
                <c:pt idx="564">
                  <c:v>15.785891201555209</c:v>
                </c:pt>
                <c:pt idx="565">
                  <c:v>15.762570225115306</c:v>
                </c:pt>
                <c:pt idx="566">
                  <c:v>15.751581791374742</c:v>
                </c:pt>
                <c:pt idx="567">
                  <c:v>15.665877287718494</c:v>
                </c:pt>
                <c:pt idx="568">
                  <c:v>15.797776847440471</c:v>
                </c:pt>
                <c:pt idx="569">
                  <c:v>15.641374096684842</c:v>
                </c:pt>
                <c:pt idx="570">
                  <c:v>15.535087872683818</c:v>
                </c:pt>
                <c:pt idx="571">
                  <c:v>15.486498768235414</c:v>
                </c:pt>
                <c:pt idx="572">
                  <c:v>15.554529095548855</c:v>
                </c:pt>
                <c:pt idx="573">
                  <c:v>15.418580994009389</c:v>
                </c:pt>
                <c:pt idx="574">
                  <c:v>15.214135023599619</c:v>
                </c:pt>
                <c:pt idx="575">
                  <c:v>15.309703329607121</c:v>
                </c:pt>
                <c:pt idx="576">
                  <c:v>15.729090353430529</c:v>
                </c:pt>
                <c:pt idx="577">
                  <c:v>16.103814105389318</c:v>
                </c:pt>
                <c:pt idx="578">
                  <c:v>17.173303391819545</c:v>
                </c:pt>
                <c:pt idx="579">
                  <c:v>17.672648881850449</c:v>
                </c:pt>
                <c:pt idx="580">
                  <c:v>17.402090679223871</c:v>
                </c:pt>
                <c:pt idx="581">
                  <c:v>17.328816345462798</c:v>
                </c:pt>
                <c:pt idx="582">
                  <c:v>17.148902391266155</c:v>
                </c:pt>
                <c:pt idx="583">
                  <c:v>16.853313506224616</c:v>
                </c:pt>
                <c:pt idx="584">
                  <c:v>16.630784222150623</c:v>
                </c:pt>
                <c:pt idx="585">
                  <c:v>16.664164471912155</c:v>
                </c:pt>
                <c:pt idx="586">
                  <c:v>16.655651323154007</c:v>
                </c:pt>
                <c:pt idx="587">
                  <c:v>16.685181859319268</c:v>
                </c:pt>
                <c:pt idx="588">
                  <c:v>17.007567393204756</c:v>
                </c:pt>
                <c:pt idx="589">
                  <c:v>16.780554562357878</c:v>
                </c:pt>
                <c:pt idx="590">
                  <c:v>16.662373164289622</c:v>
                </c:pt>
                <c:pt idx="591">
                  <c:v>16.675200288623927</c:v>
                </c:pt>
                <c:pt idx="592">
                  <c:v>16.409539255184491</c:v>
                </c:pt>
                <c:pt idx="593">
                  <c:v>16.127236891352389</c:v>
                </c:pt>
                <c:pt idx="594">
                  <c:v>16.239402570801108</c:v>
                </c:pt>
                <c:pt idx="595">
                  <c:v>16.247164625272816</c:v>
                </c:pt>
                <c:pt idx="596">
                  <c:v>17.112310357593174</c:v>
                </c:pt>
                <c:pt idx="597">
                  <c:v>17.255854825467583</c:v>
                </c:pt>
                <c:pt idx="598">
                  <c:v>17.449155634702347</c:v>
                </c:pt>
                <c:pt idx="599">
                  <c:v>17.225407545787917</c:v>
                </c:pt>
                <c:pt idx="600">
                  <c:v>16.918708601299794</c:v>
                </c:pt>
                <c:pt idx="601">
                  <c:v>16.965637017479949</c:v>
                </c:pt>
                <c:pt idx="602">
                  <c:v>16.824822985597489</c:v>
                </c:pt>
                <c:pt idx="603">
                  <c:v>16.785318084912923</c:v>
                </c:pt>
                <c:pt idx="604">
                  <c:v>16.786017707890142</c:v>
                </c:pt>
                <c:pt idx="605">
                  <c:v>16.737408198603276</c:v>
                </c:pt>
                <c:pt idx="606">
                  <c:v>16.657827404511103</c:v>
                </c:pt>
                <c:pt idx="607">
                  <c:v>16.789304684901175</c:v>
                </c:pt>
                <c:pt idx="608">
                  <c:v>16.609334686365084</c:v>
                </c:pt>
                <c:pt idx="609">
                  <c:v>16.702095326669241</c:v>
                </c:pt>
                <c:pt idx="610">
                  <c:v>16.801314812525916</c:v>
                </c:pt>
                <c:pt idx="611">
                  <c:v>16.784759680925845</c:v>
                </c:pt>
                <c:pt idx="612">
                  <c:v>16.894761604178672</c:v>
                </c:pt>
                <c:pt idx="613">
                  <c:v>17.015369714461251</c:v>
                </c:pt>
                <c:pt idx="614">
                  <c:v>16.894329951478305</c:v>
                </c:pt>
                <c:pt idx="615">
                  <c:v>16.807486507118803</c:v>
                </c:pt>
                <c:pt idx="616">
                  <c:v>16.760240304704723</c:v>
                </c:pt>
                <c:pt idx="617">
                  <c:v>16.836535799604341</c:v>
                </c:pt>
                <c:pt idx="618">
                  <c:v>17.122825349696004</c:v>
                </c:pt>
                <c:pt idx="619">
                  <c:v>17.255723817413269</c:v>
                </c:pt>
                <c:pt idx="620">
                  <c:v>17.039644430796955</c:v>
                </c:pt>
                <c:pt idx="621">
                  <c:v>17.030821057545023</c:v>
                </c:pt>
                <c:pt idx="622">
                  <c:v>17.199754450862578</c:v>
                </c:pt>
                <c:pt idx="623">
                  <c:v>17.140640864802652</c:v>
                </c:pt>
                <c:pt idx="624">
                  <c:v>17.19214012668332</c:v>
                </c:pt>
                <c:pt idx="625">
                  <c:v>17.250035699294891</c:v>
                </c:pt>
                <c:pt idx="626">
                  <c:v>17.186250726405309</c:v>
                </c:pt>
                <c:pt idx="627">
                  <c:v>17.045400075194962</c:v>
                </c:pt>
                <c:pt idx="628">
                  <c:v>17.043075399881413</c:v>
                </c:pt>
                <c:pt idx="629">
                  <c:v>16.963835622785194</c:v>
                </c:pt>
                <c:pt idx="630">
                  <c:v>16.954717732231558</c:v>
                </c:pt>
                <c:pt idx="631">
                  <c:v>16.861158743833101</c:v>
                </c:pt>
                <c:pt idx="632">
                  <c:v>16.908810736970711</c:v>
                </c:pt>
                <c:pt idx="633">
                  <c:v>16.874985440971336</c:v>
                </c:pt>
                <c:pt idx="634">
                  <c:v>16.82860478967201</c:v>
                </c:pt>
                <c:pt idx="635">
                  <c:v>16.799417607192165</c:v>
                </c:pt>
                <c:pt idx="636">
                  <c:v>16.767712727365716</c:v>
                </c:pt>
                <c:pt idx="637">
                  <c:v>16.800413897420864</c:v>
                </c:pt>
                <c:pt idx="638">
                  <c:v>16.827048129386096</c:v>
                </c:pt>
                <c:pt idx="639">
                  <c:v>16.948906512551698</c:v>
                </c:pt>
                <c:pt idx="640">
                  <c:v>16.916718845714783</c:v>
                </c:pt>
                <c:pt idx="641">
                  <c:v>17.697619724760564</c:v>
                </c:pt>
                <c:pt idx="642">
                  <c:v>17.581907560666977</c:v>
                </c:pt>
                <c:pt idx="643">
                  <c:v>17.577634519822382</c:v>
                </c:pt>
                <c:pt idx="644">
                  <c:v>17.561907606399863</c:v>
                </c:pt>
                <c:pt idx="645">
                  <c:v>17.622572983888375</c:v>
                </c:pt>
                <c:pt idx="646">
                  <c:v>17.559150518660907</c:v>
                </c:pt>
                <c:pt idx="647">
                  <c:v>17.472976709621882</c:v>
                </c:pt>
                <c:pt idx="648">
                  <c:v>17.300206529152089</c:v>
                </c:pt>
                <c:pt idx="649">
                  <c:v>17.410107539223283</c:v>
                </c:pt>
                <c:pt idx="650">
                  <c:v>17.53014974544072</c:v>
                </c:pt>
                <c:pt idx="651">
                  <c:v>17.630806672821546</c:v>
                </c:pt>
                <c:pt idx="652">
                  <c:v>17.708228687208752</c:v>
                </c:pt>
                <c:pt idx="653">
                  <c:v>17.648910583960749</c:v>
                </c:pt>
                <c:pt idx="654">
                  <c:v>17.706954591703109</c:v>
                </c:pt>
                <c:pt idx="655">
                  <c:v>17.580045927249166</c:v>
                </c:pt>
                <c:pt idx="656">
                  <c:v>17.459627143094821</c:v>
                </c:pt>
                <c:pt idx="657">
                  <c:v>17.309596739638984</c:v>
                </c:pt>
                <c:pt idx="658">
                  <c:v>17.511063793724865</c:v>
                </c:pt>
                <c:pt idx="659">
                  <c:v>17.580370731963011</c:v>
                </c:pt>
                <c:pt idx="660">
                  <c:v>17.62036088553387</c:v>
                </c:pt>
                <c:pt idx="661">
                  <c:v>17.664168380356109</c:v>
                </c:pt>
                <c:pt idx="662">
                  <c:v>17.520814119784966</c:v>
                </c:pt>
                <c:pt idx="663">
                  <c:v>17.63138378886898</c:v>
                </c:pt>
                <c:pt idx="664">
                  <c:v>17.583627820167933</c:v>
                </c:pt>
                <c:pt idx="665">
                  <c:v>17.608507318672682</c:v>
                </c:pt>
                <c:pt idx="666">
                  <c:v>17.660726262288463</c:v>
                </c:pt>
                <c:pt idx="667">
                  <c:v>17.684953711428971</c:v>
                </c:pt>
                <c:pt idx="668">
                  <c:v>17.654449622370919</c:v>
                </c:pt>
                <c:pt idx="669">
                  <c:v>17.683828807920271</c:v>
                </c:pt>
                <c:pt idx="670">
                  <c:v>17.737421841113655</c:v>
                </c:pt>
                <c:pt idx="671">
                  <c:v>17.758505922600108</c:v>
                </c:pt>
                <c:pt idx="672">
                  <c:v>17.578907961765339</c:v>
                </c:pt>
                <c:pt idx="673">
                  <c:v>17.368585482613362</c:v>
                </c:pt>
                <c:pt idx="674">
                  <c:v>17.489470758665647</c:v>
                </c:pt>
                <c:pt idx="675">
                  <c:v>17.575094418359807</c:v>
                </c:pt>
                <c:pt idx="676">
                  <c:v>17.469226489054506</c:v>
                </c:pt>
                <c:pt idx="677">
                  <c:v>17.36755965585473</c:v>
                </c:pt>
                <c:pt idx="678">
                  <c:v>17.358643658780096</c:v>
                </c:pt>
                <c:pt idx="679">
                  <c:v>17.417436124287654</c:v>
                </c:pt>
                <c:pt idx="680">
                  <c:v>17.385631882890902</c:v>
                </c:pt>
                <c:pt idx="681">
                  <c:v>17.263609576042224</c:v>
                </c:pt>
                <c:pt idx="682">
                  <c:v>17.254670511538773</c:v>
                </c:pt>
                <c:pt idx="683">
                  <c:v>17.336748162331784</c:v>
                </c:pt>
                <c:pt idx="684">
                  <c:v>17.329169035432979</c:v>
                </c:pt>
                <c:pt idx="685">
                  <c:v>16.455517106326816</c:v>
                </c:pt>
                <c:pt idx="686">
                  <c:v>16.922995688390184</c:v>
                </c:pt>
                <c:pt idx="687">
                  <c:v>16.925079404666359</c:v>
                </c:pt>
                <c:pt idx="688">
                  <c:v>17.216543224497162</c:v>
                </c:pt>
                <c:pt idx="689">
                  <c:v>17.256288949871152</c:v>
                </c:pt>
                <c:pt idx="690">
                  <c:v>17.225825861377377</c:v>
                </c:pt>
                <c:pt idx="691">
                  <c:v>17.320584096044634</c:v>
                </c:pt>
                <c:pt idx="692">
                  <c:v>17.684547893309961</c:v>
                </c:pt>
                <c:pt idx="693">
                  <c:v>17.626368765216704</c:v>
                </c:pt>
                <c:pt idx="694">
                  <c:v>17.722957087777722</c:v>
                </c:pt>
                <c:pt idx="695">
                  <c:v>17.823240001698807</c:v>
                </c:pt>
                <c:pt idx="696">
                  <c:v>17.530651220099536</c:v>
                </c:pt>
                <c:pt idx="697">
                  <c:v>17.415085511619672</c:v>
                </c:pt>
                <c:pt idx="698">
                  <c:v>17.458887182432587</c:v>
                </c:pt>
                <c:pt idx="699">
                  <c:v>17.541728173698868</c:v>
                </c:pt>
                <c:pt idx="700">
                  <c:v>17.361595865546935</c:v>
                </c:pt>
                <c:pt idx="701">
                  <c:v>17.278471533886169</c:v>
                </c:pt>
                <c:pt idx="702">
                  <c:v>17.533508807387001</c:v>
                </c:pt>
                <c:pt idx="703">
                  <c:v>17.511954265168928</c:v>
                </c:pt>
                <c:pt idx="704">
                  <c:v>17.586095749592388</c:v>
                </c:pt>
                <c:pt idx="705">
                  <c:v>17.164861232740314</c:v>
                </c:pt>
                <c:pt idx="706">
                  <c:v>15.253958844206064</c:v>
                </c:pt>
                <c:pt idx="707">
                  <c:v>15.652521033026936</c:v>
                </c:pt>
                <c:pt idx="708">
                  <c:v>15.864722776923703</c:v>
                </c:pt>
                <c:pt idx="709">
                  <c:v>15.88198771323925</c:v>
                </c:pt>
                <c:pt idx="710">
                  <c:v>16.04385032978071</c:v>
                </c:pt>
                <c:pt idx="711">
                  <c:v>15.991219112839319</c:v>
                </c:pt>
                <c:pt idx="712">
                  <c:v>15.992378390962834</c:v>
                </c:pt>
                <c:pt idx="713">
                  <c:v>16.030271480370764</c:v>
                </c:pt>
                <c:pt idx="714">
                  <c:v>16.129544155800325</c:v>
                </c:pt>
                <c:pt idx="715">
                  <c:v>16.332959705843901</c:v>
                </c:pt>
                <c:pt idx="716">
                  <c:v>16.411568099318309</c:v>
                </c:pt>
                <c:pt idx="717">
                  <c:v>16.538723180153255</c:v>
                </c:pt>
                <c:pt idx="718">
                  <c:v>16.522961856077856</c:v>
                </c:pt>
                <c:pt idx="719">
                  <c:v>16.645713697854504</c:v>
                </c:pt>
                <c:pt idx="720">
                  <c:v>16.478069134962073</c:v>
                </c:pt>
                <c:pt idx="721">
                  <c:v>16.455164091881095</c:v>
                </c:pt>
                <c:pt idx="722">
                  <c:v>16.44509629014523</c:v>
                </c:pt>
                <c:pt idx="723">
                  <c:v>16.42311605086034</c:v>
                </c:pt>
                <c:pt idx="724">
                  <c:v>16.550512372614712</c:v>
                </c:pt>
                <c:pt idx="725">
                  <c:v>16.71851135770148</c:v>
                </c:pt>
                <c:pt idx="726">
                  <c:v>16.832690540798307</c:v>
                </c:pt>
                <c:pt idx="727">
                  <c:v>16.802127267508364</c:v>
                </c:pt>
                <c:pt idx="728">
                  <c:v>16.045132035508381</c:v>
                </c:pt>
                <c:pt idx="729">
                  <c:v>16.206537642533249</c:v>
                </c:pt>
                <c:pt idx="730">
                  <c:v>16.295421679756185</c:v>
                </c:pt>
                <c:pt idx="731">
                  <c:v>16.247327410696034</c:v>
                </c:pt>
                <c:pt idx="732">
                  <c:v>16.538928292531523</c:v>
                </c:pt>
                <c:pt idx="733">
                  <c:v>16.692336972980527</c:v>
                </c:pt>
                <c:pt idx="734">
                  <c:v>16.768229187393025</c:v>
                </c:pt>
                <c:pt idx="735">
                  <c:v>16.880468406566429</c:v>
                </c:pt>
                <c:pt idx="736">
                  <c:v>17.048509741533227</c:v>
                </c:pt>
                <c:pt idx="737">
                  <c:v>17.107663417714747</c:v>
                </c:pt>
                <c:pt idx="738">
                  <c:v>16.792653834136832</c:v>
                </c:pt>
                <c:pt idx="739">
                  <c:v>16.736672534627711</c:v>
                </c:pt>
                <c:pt idx="740">
                  <c:v>16.77284438207526</c:v>
                </c:pt>
                <c:pt idx="741">
                  <c:v>16.714874930179061</c:v>
                </c:pt>
                <c:pt idx="742">
                  <c:v>16.888326693736254</c:v>
                </c:pt>
                <c:pt idx="743">
                  <c:v>16.978947816232928</c:v>
                </c:pt>
                <c:pt idx="744">
                  <c:v>16.807512395530527</c:v>
                </c:pt>
                <c:pt idx="745">
                  <c:v>16.883923949917836</c:v>
                </c:pt>
                <c:pt idx="746">
                  <c:v>16.794372957002345</c:v>
                </c:pt>
                <c:pt idx="747">
                  <c:v>16.831746625621061</c:v>
                </c:pt>
                <c:pt idx="748">
                  <c:v>16.829843509285933</c:v>
                </c:pt>
                <c:pt idx="749">
                  <c:v>16.767024626261854</c:v>
                </c:pt>
                <c:pt idx="750">
                  <c:v>16.145544185248788</c:v>
                </c:pt>
                <c:pt idx="751">
                  <c:v>15.701931604023637</c:v>
                </c:pt>
                <c:pt idx="752">
                  <c:v>16.06100421022046</c:v>
                </c:pt>
                <c:pt idx="753">
                  <c:v>16.172053876839051</c:v>
                </c:pt>
                <c:pt idx="754">
                  <c:v>16.016828601834632</c:v>
                </c:pt>
                <c:pt idx="755">
                  <c:v>16.2505531923488</c:v>
                </c:pt>
                <c:pt idx="756">
                  <c:v>16.148639845440282</c:v>
                </c:pt>
                <c:pt idx="757">
                  <c:v>16.513187643068907</c:v>
                </c:pt>
                <c:pt idx="758">
                  <c:v>16.423139795365216</c:v>
                </c:pt>
                <c:pt idx="759">
                  <c:v>16.216572552321804</c:v>
                </c:pt>
                <c:pt idx="760">
                  <c:v>16.538353939602956</c:v>
                </c:pt>
                <c:pt idx="761">
                  <c:v>16.525662588953516</c:v>
                </c:pt>
                <c:pt idx="762">
                  <c:v>16.676063624261214</c:v>
                </c:pt>
                <c:pt idx="763">
                  <c:v>16.54375202875293</c:v>
                </c:pt>
                <c:pt idx="764">
                  <c:v>16.587914057286447</c:v>
                </c:pt>
                <c:pt idx="765">
                  <c:v>16.573283620018472</c:v>
                </c:pt>
                <c:pt idx="766">
                  <c:v>16.561798279560595</c:v>
                </c:pt>
                <c:pt idx="767">
                  <c:v>16.544024522804946</c:v>
                </c:pt>
                <c:pt idx="768">
                  <c:v>16.652663897415582</c:v>
                </c:pt>
                <c:pt idx="769">
                  <c:v>16.75183489223858</c:v>
                </c:pt>
                <c:pt idx="770">
                  <c:v>15.859473773842343</c:v>
                </c:pt>
                <c:pt idx="771">
                  <c:v>16.126566469343928</c:v>
                </c:pt>
                <c:pt idx="772">
                  <c:v>16.26615443922109</c:v>
                </c:pt>
                <c:pt idx="773">
                  <c:v>16.423740957018659</c:v>
                </c:pt>
                <c:pt idx="774">
                  <c:v>16.542108261127957</c:v>
                </c:pt>
                <c:pt idx="775">
                  <c:v>16.66371212487379</c:v>
                </c:pt>
                <c:pt idx="776">
                  <c:v>16.846212880288451</c:v>
                </c:pt>
                <c:pt idx="777">
                  <c:v>16.612051513124037</c:v>
                </c:pt>
                <c:pt idx="778">
                  <c:v>16.551459623215401</c:v>
                </c:pt>
                <c:pt idx="779">
                  <c:v>16.437583218152405</c:v>
                </c:pt>
                <c:pt idx="780">
                  <c:v>16.250892061972593</c:v>
                </c:pt>
                <c:pt idx="781">
                  <c:v>16.208901320390758</c:v>
                </c:pt>
                <c:pt idx="782">
                  <c:v>16.192277577471884</c:v>
                </c:pt>
                <c:pt idx="783">
                  <c:v>16.270300195219988</c:v>
                </c:pt>
                <c:pt idx="784">
                  <c:v>16.302978777188589</c:v>
                </c:pt>
                <c:pt idx="785">
                  <c:v>16.247530028295838</c:v>
                </c:pt>
                <c:pt idx="786">
                  <c:v>16.049725678976287</c:v>
                </c:pt>
                <c:pt idx="787">
                  <c:v>15.995736625029753</c:v>
                </c:pt>
                <c:pt idx="788">
                  <c:v>15.809054057165525</c:v>
                </c:pt>
                <c:pt idx="789">
                  <c:v>15.613520696440091</c:v>
                </c:pt>
                <c:pt idx="790">
                  <c:v>15.507979887268457</c:v>
                </c:pt>
                <c:pt idx="791">
                  <c:v>15.72565203091105</c:v>
                </c:pt>
                <c:pt idx="792">
                  <c:v>14.909812125239627</c:v>
                </c:pt>
                <c:pt idx="793">
                  <c:v>15.133193607718049</c:v>
                </c:pt>
                <c:pt idx="794">
                  <c:v>15.195514086208085</c:v>
                </c:pt>
                <c:pt idx="795">
                  <c:v>15.153271510225215</c:v>
                </c:pt>
                <c:pt idx="796">
                  <c:v>15.346967878233841</c:v>
                </c:pt>
                <c:pt idx="797">
                  <c:v>15.007704042080956</c:v>
                </c:pt>
                <c:pt idx="798">
                  <c:v>14.988430363323733</c:v>
                </c:pt>
                <c:pt idx="799">
                  <c:v>15.087599470108207</c:v>
                </c:pt>
                <c:pt idx="800">
                  <c:v>15.203206005356796</c:v>
                </c:pt>
                <c:pt idx="801">
                  <c:v>15.233744214931386</c:v>
                </c:pt>
                <c:pt idx="802">
                  <c:v>15.246451764673644</c:v>
                </c:pt>
                <c:pt idx="803">
                  <c:v>15.487852737419043</c:v>
                </c:pt>
                <c:pt idx="804">
                  <c:v>15.823096997547598</c:v>
                </c:pt>
                <c:pt idx="805">
                  <c:v>15.926449632211462</c:v>
                </c:pt>
                <c:pt idx="806">
                  <c:v>15.875330067382286</c:v>
                </c:pt>
                <c:pt idx="807">
                  <c:v>15.893123016637741</c:v>
                </c:pt>
                <c:pt idx="808">
                  <c:v>15.897399255075015</c:v>
                </c:pt>
                <c:pt idx="809">
                  <c:v>15.637071646358786</c:v>
                </c:pt>
                <c:pt idx="810">
                  <c:v>15.661458711542801</c:v>
                </c:pt>
                <c:pt idx="811">
                  <c:v>16.063074049744433</c:v>
                </c:pt>
                <c:pt idx="812">
                  <c:v>15.138338253970717</c:v>
                </c:pt>
                <c:pt idx="813">
                  <c:v>15.547423481380116</c:v>
                </c:pt>
                <c:pt idx="814">
                  <c:v>15.713785108465109</c:v>
                </c:pt>
                <c:pt idx="815">
                  <c:v>15.815010468966744</c:v>
                </c:pt>
                <c:pt idx="816">
                  <c:v>15.832500089306459</c:v>
                </c:pt>
                <c:pt idx="817">
                  <c:v>15.944270249674481</c:v>
                </c:pt>
                <c:pt idx="818">
                  <c:v>15.927386253868033</c:v>
                </c:pt>
                <c:pt idx="819">
                  <c:v>15.73658102369761</c:v>
                </c:pt>
                <c:pt idx="820">
                  <c:v>15.669759386359864</c:v>
                </c:pt>
                <c:pt idx="821">
                  <c:v>15.498998628835889</c:v>
                </c:pt>
                <c:pt idx="822">
                  <c:v>15.63851817206818</c:v>
                </c:pt>
                <c:pt idx="823">
                  <c:v>15.574353387782544</c:v>
                </c:pt>
                <c:pt idx="824">
                  <c:v>15.491816237681721</c:v>
                </c:pt>
                <c:pt idx="825">
                  <c:v>15.802150779711518</c:v>
                </c:pt>
                <c:pt idx="826">
                  <c:v>15.852616229872403</c:v>
                </c:pt>
                <c:pt idx="827">
                  <c:v>15.80725742094552</c:v>
                </c:pt>
                <c:pt idx="828">
                  <c:v>15.727061038597203</c:v>
                </c:pt>
                <c:pt idx="829">
                  <c:v>15.864725072508858</c:v>
                </c:pt>
                <c:pt idx="830">
                  <c:v>16.152554388377968</c:v>
                </c:pt>
                <c:pt idx="831">
                  <c:v>16.325797425237436</c:v>
                </c:pt>
                <c:pt idx="832">
                  <c:v>17.229497180383074</c:v>
                </c:pt>
                <c:pt idx="833">
                  <c:v>15.831444299943337</c:v>
                </c:pt>
                <c:pt idx="834">
                  <c:v>16.398808900176046</c:v>
                </c:pt>
                <c:pt idx="835">
                  <c:v>16.584225766173475</c:v>
                </c:pt>
                <c:pt idx="836">
                  <c:v>16.770675315271617</c:v>
                </c:pt>
                <c:pt idx="837">
                  <c:v>16.97177151393365</c:v>
                </c:pt>
                <c:pt idx="838">
                  <c:v>17.153089800844871</c:v>
                </c:pt>
                <c:pt idx="839">
                  <c:v>17.591636357406223</c:v>
                </c:pt>
                <c:pt idx="840">
                  <c:v>17.585953165500189</c:v>
                </c:pt>
                <c:pt idx="841">
                  <c:v>17.833494914715192</c:v>
                </c:pt>
                <c:pt idx="842">
                  <c:v>17.805667858235651</c:v>
                </c:pt>
                <c:pt idx="843">
                  <c:v>17.473121273876259</c:v>
                </c:pt>
                <c:pt idx="844">
                  <c:v>17.644933087306207</c:v>
                </c:pt>
                <c:pt idx="845">
                  <c:v>17.810464632149035</c:v>
                </c:pt>
                <c:pt idx="846">
                  <c:v>17.90797583189908</c:v>
                </c:pt>
                <c:pt idx="847">
                  <c:v>17.982125863542418</c:v>
                </c:pt>
                <c:pt idx="848">
                  <c:v>17.77911335705808</c:v>
                </c:pt>
                <c:pt idx="849">
                  <c:v>17.953817921378764</c:v>
                </c:pt>
                <c:pt idx="850">
                  <c:v>18.204855453585129</c:v>
                </c:pt>
                <c:pt idx="851">
                  <c:v>18.365479827290631</c:v>
                </c:pt>
                <c:pt idx="852">
                  <c:v>19.601069157032356</c:v>
                </c:pt>
                <c:pt idx="853">
                  <c:v>18.442790471517704</c:v>
                </c:pt>
                <c:pt idx="854">
                  <c:v>18.389514813698213</c:v>
                </c:pt>
                <c:pt idx="855">
                  <c:v>18.520251754926484</c:v>
                </c:pt>
                <c:pt idx="856">
                  <c:v>18.94966752003387</c:v>
                </c:pt>
                <c:pt idx="857">
                  <c:v>19.067289966677304</c:v>
                </c:pt>
                <c:pt idx="858">
                  <c:v>19.207112389906804</c:v>
                </c:pt>
                <c:pt idx="859">
                  <c:v>19.476396011270378</c:v>
                </c:pt>
                <c:pt idx="860">
                  <c:v>19.697162559414259</c:v>
                </c:pt>
                <c:pt idx="861">
                  <c:v>20.12181573904374</c:v>
                </c:pt>
                <c:pt idx="862">
                  <c:v>20.508781669843849</c:v>
                </c:pt>
                <c:pt idx="863">
                  <c:v>20.569912733162624</c:v>
                </c:pt>
                <c:pt idx="864">
                  <c:v>20.715518782757353</c:v>
                </c:pt>
                <c:pt idx="865">
                  <c:v>21.273396588767476</c:v>
                </c:pt>
                <c:pt idx="866">
                  <c:v>21.058831440057212</c:v>
                </c:pt>
                <c:pt idx="867">
                  <c:v>21.184490897042181</c:v>
                </c:pt>
                <c:pt idx="868">
                  <c:v>21.578505467429142</c:v>
                </c:pt>
                <c:pt idx="869">
                  <c:v>21.462162054625043</c:v>
                </c:pt>
                <c:pt idx="870">
                  <c:v>21.265950410379268</c:v>
                </c:pt>
                <c:pt idx="871">
                  <c:v>20.468679871085826</c:v>
                </c:pt>
                <c:pt idx="872">
                  <c:v>20.537170980757509</c:v>
                </c:pt>
                <c:pt idx="873">
                  <c:v>20.631873236144404</c:v>
                </c:pt>
                <c:pt idx="874">
                  <c:v>20.482855944937302</c:v>
                </c:pt>
                <c:pt idx="875">
                  <c:v>21.106895248132766</c:v>
                </c:pt>
                <c:pt idx="876">
                  <c:v>20.347097067487223</c:v>
                </c:pt>
                <c:pt idx="877">
                  <c:v>20.376209482812612</c:v>
                </c:pt>
                <c:pt idx="878">
                  <c:v>20.169029036116669</c:v>
                </c:pt>
                <c:pt idx="879">
                  <c:v>20.136474914393819</c:v>
                </c:pt>
                <c:pt idx="880">
                  <c:v>20.4351081314033</c:v>
                </c:pt>
                <c:pt idx="881">
                  <c:v>20.442272631654347</c:v>
                </c:pt>
                <c:pt idx="882">
                  <c:v>20.403627918307027</c:v>
                </c:pt>
                <c:pt idx="883">
                  <c:v>20.69767592838156</c:v>
                </c:pt>
                <c:pt idx="884">
                  <c:v>20.649745831860486</c:v>
                </c:pt>
                <c:pt idx="885">
                  <c:v>20.913409033468934</c:v>
                </c:pt>
                <c:pt idx="886">
                  <c:v>20.415251478715419</c:v>
                </c:pt>
                <c:pt idx="887">
                  <c:v>20.603202515514671</c:v>
                </c:pt>
                <c:pt idx="888">
                  <c:v>20.316070500742374</c:v>
                </c:pt>
                <c:pt idx="889">
                  <c:v>20.279681537695097</c:v>
                </c:pt>
                <c:pt idx="890">
                  <c:v>20.350010671007585</c:v>
                </c:pt>
                <c:pt idx="891">
                  <c:v>20.387993482466236</c:v>
                </c:pt>
                <c:pt idx="892">
                  <c:v>20.468525708878868</c:v>
                </c:pt>
                <c:pt idx="893">
                  <c:v>20.531578531640996</c:v>
                </c:pt>
                <c:pt idx="894">
                  <c:v>21.103561363697978</c:v>
                </c:pt>
                <c:pt idx="895">
                  <c:v>21.094969215313036</c:v>
                </c:pt>
                <c:pt idx="896">
                  <c:v>22.187403582600933</c:v>
                </c:pt>
                <c:pt idx="897">
                  <c:v>21.911636891347278</c:v>
                </c:pt>
                <c:pt idx="898">
                  <c:v>22.132091608637339</c:v>
                </c:pt>
                <c:pt idx="899">
                  <c:v>22.095100236175767</c:v>
                </c:pt>
                <c:pt idx="900">
                  <c:v>22.182429543875003</c:v>
                </c:pt>
                <c:pt idx="901">
                  <c:v>22.096248895343621</c:v>
                </c:pt>
                <c:pt idx="902">
                  <c:v>22.37363918753633</c:v>
                </c:pt>
                <c:pt idx="903">
                  <c:v>22.49014938171014</c:v>
                </c:pt>
                <c:pt idx="904">
                  <c:v>22.489819279931599</c:v>
                </c:pt>
                <c:pt idx="905">
                  <c:v>21.968339048301523</c:v>
                </c:pt>
                <c:pt idx="906">
                  <c:v>22.033815495242841</c:v>
                </c:pt>
                <c:pt idx="907">
                  <c:v>21.730395489750695</c:v>
                </c:pt>
                <c:pt idx="908">
                  <c:v>21.585082567158029</c:v>
                </c:pt>
                <c:pt idx="909">
                  <c:v>21.786571802384401</c:v>
                </c:pt>
                <c:pt idx="910">
                  <c:v>21.760269842631196</c:v>
                </c:pt>
                <c:pt idx="911">
                  <c:v>21.43565923835882</c:v>
                </c:pt>
                <c:pt idx="912">
                  <c:v>21.632660890958682</c:v>
                </c:pt>
                <c:pt idx="913">
                  <c:v>21.886642648501343</c:v>
                </c:pt>
                <c:pt idx="914">
                  <c:v>21.893586322042701</c:v>
                </c:pt>
                <c:pt idx="915">
                  <c:v>21.922704234367977</c:v>
                </c:pt>
                <c:pt idx="916">
                  <c:v>21.902810350139234</c:v>
                </c:pt>
                <c:pt idx="917">
                  <c:v>21.958800181552128</c:v>
                </c:pt>
                <c:pt idx="918">
                  <c:v>21.669579181651191</c:v>
                </c:pt>
                <c:pt idx="919">
                  <c:v>21.199152269031575</c:v>
                </c:pt>
                <c:pt idx="920">
                  <c:v>21.332644265164166</c:v>
                </c:pt>
                <c:pt idx="921">
                  <c:v>21.53155846848318</c:v>
                </c:pt>
                <c:pt idx="922">
                  <c:v>21.717742860652308</c:v>
                </c:pt>
                <c:pt idx="923">
                  <c:v>21.880353631376391</c:v>
                </c:pt>
                <c:pt idx="924">
                  <c:v>21.758082603364972</c:v>
                </c:pt>
                <c:pt idx="925">
                  <c:v>21.9589457973353</c:v>
                </c:pt>
                <c:pt idx="926">
                  <c:v>22.162489807159044</c:v>
                </c:pt>
                <c:pt idx="927">
                  <c:v>22.422141831724321</c:v>
                </c:pt>
                <c:pt idx="928">
                  <c:v>22.507912382735825</c:v>
                </c:pt>
                <c:pt idx="929">
                  <c:v>22.224124436100077</c:v>
                </c:pt>
                <c:pt idx="930">
                  <c:v>22.328288374069704</c:v>
                </c:pt>
                <c:pt idx="931">
                  <c:v>22.416778624128188</c:v>
                </c:pt>
                <c:pt idx="932">
                  <c:v>23.015934260922876</c:v>
                </c:pt>
                <c:pt idx="933">
                  <c:v>22.416745799483657</c:v>
                </c:pt>
                <c:pt idx="934">
                  <c:v>22.527441340458786</c:v>
                </c:pt>
                <c:pt idx="935">
                  <c:v>22.718594538956197</c:v>
                </c:pt>
                <c:pt idx="936">
                  <c:v>22.824177107752554</c:v>
                </c:pt>
                <c:pt idx="937">
                  <c:v>22.788787403170424</c:v>
                </c:pt>
                <c:pt idx="938">
                  <c:v>23.229586269076577</c:v>
                </c:pt>
                <c:pt idx="939">
                  <c:v>23.716377283894452</c:v>
                </c:pt>
                <c:pt idx="940">
                  <c:v>23.669377736000765</c:v>
                </c:pt>
                <c:pt idx="941">
                  <c:v>22.62844527256172</c:v>
                </c:pt>
                <c:pt idx="942">
                  <c:v>22.871065828697898</c:v>
                </c:pt>
                <c:pt idx="943">
                  <c:v>23.221344479182861</c:v>
                </c:pt>
                <c:pt idx="944">
                  <c:v>23.263374535122679</c:v>
                </c:pt>
                <c:pt idx="945">
                  <c:v>23.56601290711021</c:v>
                </c:pt>
                <c:pt idx="946">
                  <c:v>23.897855169098911</c:v>
                </c:pt>
                <c:pt idx="947">
                  <c:v>24.741358800040544</c:v>
                </c:pt>
                <c:pt idx="948">
                  <c:v>24.679708299815964</c:v>
                </c:pt>
                <c:pt idx="949">
                  <c:v>24.15935764418861</c:v>
                </c:pt>
                <c:pt idx="950">
                  <c:v>23.604689752714386</c:v>
                </c:pt>
                <c:pt idx="951">
                  <c:v>23.666050707691831</c:v>
                </c:pt>
                <c:pt idx="952">
                  <c:v>24.114991562974549</c:v>
                </c:pt>
                <c:pt idx="953">
                  <c:v>23.931497841485616</c:v>
                </c:pt>
                <c:pt idx="954">
                  <c:v>24.370456837892249</c:v>
                </c:pt>
                <c:pt idx="955">
                  <c:v>24.419266349576819</c:v>
                </c:pt>
                <c:pt idx="956">
                  <c:v>24.566467768753789</c:v>
                </c:pt>
                <c:pt idx="957">
                  <c:v>25.165265822076517</c:v>
                </c:pt>
                <c:pt idx="958">
                  <c:v>25.210464139552428</c:v>
                </c:pt>
                <c:pt idx="959">
                  <c:v>24.63659395824909</c:v>
                </c:pt>
                <c:pt idx="960">
                  <c:v>24.206673743925254</c:v>
                </c:pt>
                <c:pt idx="961">
                  <c:v>21.055791198729654</c:v>
                </c:pt>
                <c:pt idx="962">
                  <c:v>22.643978448054476</c:v>
                </c:pt>
                <c:pt idx="963">
                  <c:v>22.741666613377504</c:v>
                </c:pt>
                <c:pt idx="964">
                  <c:v>23.034562500354667</c:v>
                </c:pt>
                <c:pt idx="965">
                  <c:v>23.307986422779067</c:v>
                </c:pt>
                <c:pt idx="966">
                  <c:v>23.403128779304893</c:v>
                </c:pt>
                <c:pt idx="967">
                  <c:v>22.858337884772517</c:v>
                </c:pt>
                <c:pt idx="968">
                  <c:v>22.595572621599565</c:v>
                </c:pt>
                <c:pt idx="969">
                  <c:v>22.088229620626905</c:v>
                </c:pt>
                <c:pt idx="970">
                  <c:v>21.575006090706317</c:v>
                </c:pt>
                <c:pt idx="971">
                  <c:v>22.120900833745164</c:v>
                </c:pt>
                <c:pt idx="972">
                  <c:v>22.179775349286938</c:v>
                </c:pt>
                <c:pt idx="973">
                  <c:v>22.009673545815403</c:v>
                </c:pt>
                <c:pt idx="974">
                  <c:v>21.739965539491578</c:v>
                </c:pt>
                <c:pt idx="975">
                  <c:v>21.728763393262913</c:v>
                </c:pt>
                <c:pt idx="976">
                  <c:v>22.282256364534067</c:v>
                </c:pt>
                <c:pt idx="977">
                  <c:v>22.133069012048537</c:v>
                </c:pt>
                <c:pt idx="978">
                  <c:v>22.134661423763394</c:v>
                </c:pt>
                <c:pt idx="979">
                  <c:v>22.06894272532567</c:v>
                </c:pt>
                <c:pt idx="980">
                  <c:v>22.082235349869851</c:v>
                </c:pt>
                <c:pt idx="981">
                  <c:v>21.662671865970374</c:v>
                </c:pt>
                <c:pt idx="982">
                  <c:v>21.931321765521325</c:v>
                </c:pt>
                <c:pt idx="983">
                  <c:v>21.575285174620511</c:v>
                </c:pt>
                <c:pt idx="984">
                  <c:v>20.005612409043714</c:v>
                </c:pt>
                <c:pt idx="985">
                  <c:v>19.528139874019374</c:v>
                </c:pt>
                <c:pt idx="986">
                  <c:v>19.744204062709677</c:v>
                </c:pt>
                <c:pt idx="987">
                  <c:v>19.748793424690934</c:v>
                </c:pt>
                <c:pt idx="988">
                  <c:v>19.813651179817292</c:v>
                </c:pt>
                <c:pt idx="989">
                  <c:v>20.035710611174359</c:v>
                </c:pt>
                <c:pt idx="990">
                  <c:v>20.049933320730016</c:v>
                </c:pt>
                <c:pt idx="991">
                  <c:v>20.01069380453535</c:v>
                </c:pt>
                <c:pt idx="992">
                  <c:v>20.68029576463546</c:v>
                </c:pt>
                <c:pt idx="993">
                  <c:v>20.390037739766978</c:v>
                </c:pt>
                <c:pt idx="994">
                  <c:v>19.873777489772479</c:v>
                </c:pt>
                <c:pt idx="995">
                  <c:v>20.090946269139174</c:v>
                </c:pt>
                <c:pt idx="996">
                  <c:v>19.799510816069116</c:v>
                </c:pt>
                <c:pt idx="997">
                  <c:v>19.64297478910764</c:v>
                </c:pt>
                <c:pt idx="998">
                  <c:v>19.521456984309079</c:v>
                </c:pt>
                <c:pt idx="999">
                  <c:v>19.422146077457384</c:v>
                </c:pt>
                <c:pt idx="1000">
                  <c:v>19.564093305004235</c:v>
                </c:pt>
                <c:pt idx="1001">
                  <c:v>19.373058283480319</c:v>
                </c:pt>
                <c:pt idx="1002">
                  <c:v>19.464224562832992</c:v>
                </c:pt>
                <c:pt idx="1003">
                  <c:v>19.797645284934873</c:v>
                </c:pt>
                <c:pt idx="1004">
                  <c:v>19.515277018646408</c:v>
                </c:pt>
                <c:pt idx="1005">
                  <c:v>19.70159110976056</c:v>
                </c:pt>
                <c:pt idx="1006">
                  <c:v>19.01788398278098</c:v>
                </c:pt>
                <c:pt idx="1007">
                  <c:v>19.308930311903435</c:v>
                </c:pt>
                <c:pt idx="1008">
                  <c:v>19.322148574176758</c:v>
                </c:pt>
                <c:pt idx="1009">
                  <c:v>19.204299641307216</c:v>
                </c:pt>
                <c:pt idx="1010">
                  <c:v>19.100109449516289</c:v>
                </c:pt>
                <c:pt idx="1011">
                  <c:v>19.303772039322808</c:v>
                </c:pt>
                <c:pt idx="1012">
                  <c:v>19.382546936607831</c:v>
                </c:pt>
                <c:pt idx="1013">
                  <c:v>19.290070650375458</c:v>
                </c:pt>
                <c:pt idx="1014">
                  <c:v>19.497986961550435</c:v>
                </c:pt>
                <c:pt idx="1015">
                  <c:v>19.568222635408468</c:v>
                </c:pt>
                <c:pt idx="1016">
                  <c:v>19.864703820833519</c:v>
                </c:pt>
                <c:pt idx="1017">
                  <c:v>19.836966380002231</c:v>
                </c:pt>
                <c:pt idx="1018">
                  <c:v>19.489031398462394</c:v>
                </c:pt>
                <c:pt idx="1019">
                  <c:v>19.617735279160694</c:v>
                </c:pt>
                <c:pt idx="1020">
                  <c:v>19.405639383377828</c:v>
                </c:pt>
                <c:pt idx="1021">
                  <c:v>19.195349928246213</c:v>
                </c:pt>
                <c:pt idx="1022">
                  <c:v>18.880955581165743</c:v>
                </c:pt>
                <c:pt idx="1023">
                  <c:v>18.536994642072102</c:v>
                </c:pt>
                <c:pt idx="1024">
                  <c:v>18.472743803113346</c:v>
                </c:pt>
                <c:pt idx="1025">
                  <c:v>18.128957560598977</c:v>
                </c:pt>
                <c:pt idx="1026">
                  <c:v>18.092824957175576</c:v>
                </c:pt>
                <c:pt idx="1027">
                  <c:v>17.953325843199757</c:v>
                </c:pt>
                <c:pt idx="1028">
                  <c:v>18.370792881679442</c:v>
                </c:pt>
                <c:pt idx="1029">
                  <c:v>18.045548836415946</c:v>
                </c:pt>
                <c:pt idx="1030">
                  <c:v>18.326110660246268</c:v>
                </c:pt>
                <c:pt idx="1031">
                  <c:v>18.166921879717151</c:v>
                </c:pt>
                <c:pt idx="1032">
                  <c:v>18.321161752848717</c:v>
                </c:pt>
                <c:pt idx="1033">
                  <c:v>18.583009030181245</c:v>
                </c:pt>
                <c:pt idx="1034">
                  <c:v>18.372011976164885</c:v>
                </c:pt>
                <c:pt idx="1035">
                  <c:v>18.753530331497487</c:v>
                </c:pt>
                <c:pt idx="1036">
                  <c:v>18.860179035934109</c:v>
                </c:pt>
                <c:pt idx="1037">
                  <c:v>19.499693818796313</c:v>
                </c:pt>
                <c:pt idx="1038">
                  <c:v>19.561862189887787</c:v>
                </c:pt>
                <c:pt idx="1039">
                  <c:v>19.371721449210185</c:v>
                </c:pt>
                <c:pt idx="1040">
                  <c:v>19.351496897372041</c:v>
                </c:pt>
                <c:pt idx="1041">
                  <c:v>19.553089304647163</c:v>
                </c:pt>
                <c:pt idx="1042">
                  <c:v>19.273769000419122</c:v>
                </c:pt>
                <c:pt idx="1043">
                  <c:v>19.085279858549487</c:v>
                </c:pt>
                <c:pt idx="1044">
                  <c:v>18.95501927786411</c:v>
                </c:pt>
                <c:pt idx="1045">
                  <c:v>18.972510899379138</c:v>
                </c:pt>
                <c:pt idx="1046">
                  <c:v>18.986053897914069</c:v>
                </c:pt>
                <c:pt idx="1047">
                  <c:v>19.265425279139514</c:v>
                </c:pt>
                <c:pt idx="1048">
                  <c:v>18.988783746390958</c:v>
                </c:pt>
                <c:pt idx="1049">
                  <c:v>18.844869408470448</c:v>
                </c:pt>
                <c:pt idx="1050">
                  <c:v>18.794244755822795</c:v>
                </c:pt>
                <c:pt idx="1051">
                  <c:v>18.786351435508823</c:v>
                </c:pt>
                <c:pt idx="1052">
                  <c:v>18.636876629916244</c:v>
                </c:pt>
                <c:pt idx="1053">
                  <c:v>18.356920323908778</c:v>
                </c:pt>
                <c:pt idx="1054">
                  <c:v>18.314484478255963</c:v>
                </c:pt>
                <c:pt idx="1055">
                  <c:v>18.093673477700875</c:v>
                </c:pt>
                <c:pt idx="1056">
                  <c:v>18.337865900196199</c:v>
                </c:pt>
                <c:pt idx="1057">
                  <c:v>18.201997659167301</c:v>
                </c:pt>
                <c:pt idx="1058">
                  <c:v>18.492719352103563</c:v>
                </c:pt>
                <c:pt idx="1059">
                  <c:v>18.272832242672902</c:v>
                </c:pt>
                <c:pt idx="1060">
                  <c:v>18.453710990645806</c:v>
                </c:pt>
                <c:pt idx="1061">
                  <c:v>18.676571220538001</c:v>
                </c:pt>
                <c:pt idx="1062">
                  <c:v>18.437325732657804</c:v>
                </c:pt>
                <c:pt idx="1063">
                  <c:v>18.427672100805548</c:v>
                </c:pt>
                <c:pt idx="1064">
                  <c:v>18.290936798689298</c:v>
                </c:pt>
                <c:pt idx="1065">
                  <c:v>18.354166207625187</c:v>
                </c:pt>
                <c:pt idx="1066">
                  <c:v>18.706069332893406</c:v>
                </c:pt>
                <c:pt idx="1067">
                  <c:v>19.749460866399733</c:v>
                </c:pt>
                <c:pt idx="1068">
                  <c:v>19.638967980503871</c:v>
                </c:pt>
                <c:pt idx="1069">
                  <c:v>19.648303272930743</c:v>
                </c:pt>
                <c:pt idx="1070">
                  <c:v>19.536296468901618</c:v>
                </c:pt>
                <c:pt idx="1071">
                  <c:v>19.270309632516284</c:v>
                </c:pt>
                <c:pt idx="1072">
                  <c:v>19.330743943968187</c:v>
                </c:pt>
                <c:pt idx="1073">
                  <c:v>19.137461736155863</c:v>
                </c:pt>
                <c:pt idx="1074">
                  <c:v>19.133656097853482</c:v>
                </c:pt>
                <c:pt idx="1075">
                  <c:v>18.805350230607011</c:v>
                </c:pt>
                <c:pt idx="1076">
                  <c:v>18.667225841363521</c:v>
                </c:pt>
                <c:pt idx="1077">
                  <c:v>18.376555090633332</c:v>
                </c:pt>
                <c:pt idx="1078">
                  <c:v>17.959681673595526</c:v>
                </c:pt>
                <c:pt idx="1079">
                  <c:v>17.658385159948004</c:v>
                </c:pt>
                <c:pt idx="1080">
                  <c:v>17.555227858852781</c:v>
                </c:pt>
                <c:pt idx="1081">
                  <c:v>17.537700490443946</c:v>
                </c:pt>
                <c:pt idx="1082">
                  <c:v>17.534578529625435</c:v>
                </c:pt>
                <c:pt idx="1083">
                  <c:v>17.462217297340644</c:v>
                </c:pt>
                <c:pt idx="1084">
                  <c:v>17.331634608176458</c:v>
                </c:pt>
                <c:pt idx="1085">
                  <c:v>17.464631525847793</c:v>
                </c:pt>
                <c:pt idx="1086">
                  <c:v>17.852855098007836</c:v>
                </c:pt>
                <c:pt idx="1087">
                  <c:v>17.685328038710043</c:v>
                </c:pt>
                <c:pt idx="1088">
                  <c:v>18.854386284210079</c:v>
                </c:pt>
                <c:pt idx="1089">
                  <c:v>18.849671830283441</c:v>
                </c:pt>
                <c:pt idx="1090">
                  <c:v>18.765442300797901</c:v>
                </c:pt>
                <c:pt idx="1091">
                  <c:v>18.862074773341504</c:v>
                </c:pt>
                <c:pt idx="1092">
                  <c:v>19.471794985025795</c:v>
                </c:pt>
                <c:pt idx="1093">
                  <c:v>20.326618478309314</c:v>
                </c:pt>
                <c:pt idx="1094">
                  <c:v>20.027676193143304</c:v>
                </c:pt>
                <c:pt idx="1095">
                  <c:v>20.075954381438983</c:v>
                </c:pt>
                <c:pt idx="1096">
                  <c:v>19.926308636990974</c:v>
                </c:pt>
                <c:pt idx="1097">
                  <c:v>20.059922215050662</c:v>
                </c:pt>
                <c:pt idx="1098">
                  <c:v>20.002841176890801</c:v>
                </c:pt>
                <c:pt idx="1099">
                  <c:v>19.756177694202712</c:v>
                </c:pt>
                <c:pt idx="1100">
                  <c:v>19.663003445055157</c:v>
                </c:pt>
                <c:pt idx="1101">
                  <c:v>19.893128542276862</c:v>
                </c:pt>
                <c:pt idx="1102">
                  <c:v>19.699590185067599</c:v>
                </c:pt>
                <c:pt idx="1103">
                  <c:v>20.029064524375599</c:v>
                </c:pt>
                <c:pt idx="1104">
                  <c:v>20.075422562513957</c:v>
                </c:pt>
                <c:pt idx="1105">
                  <c:v>20.24932386278055</c:v>
                </c:pt>
                <c:pt idx="1106">
                  <c:v>20.104569533582108</c:v>
                </c:pt>
                <c:pt idx="1107">
                  <c:v>19.903369233982762</c:v>
                </c:pt>
                <c:pt idx="1108">
                  <c:v>20.540384567840945</c:v>
                </c:pt>
                <c:pt idx="1109">
                  <c:v>19.898273548021628</c:v>
                </c:pt>
                <c:pt idx="1110">
                  <c:v>19.619070389187335</c:v>
                </c:pt>
                <c:pt idx="1111">
                  <c:v>20.200715754982756</c:v>
                </c:pt>
                <c:pt idx="1112">
                  <c:v>20.082330978657367</c:v>
                </c:pt>
                <c:pt idx="1113">
                  <c:v>20.281819853344814</c:v>
                </c:pt>
                <c:pt idx="1114">
                  <c:v>20.254987403089434</c:v>
                </c:pt>
                <c:pt idx="1115">
                  <c:v>20.017651835284145</c:v>
                </c:pt>
                <c:pt idx="1116">
                  <c:v>19.683099928905683</c:v>
                </c:pt>
                <c:pt idx="1117">
                  <c:v>19.603397116260599</c:v>
                </c:pt>
                <c:pt idx="1118">
                  <c:v>19.841501064290604</c:v>
                </c:pt>
                <c:pt idx="1119">
                  <c:v>20.034915041225766</c:v>
                </c:pt>
                <c:pt idx="1120">
                  <c:v>19.804567745271807</c:v>
                </c:pt>
                <c:pt idx="1121">
                  <c:v>19.541888525329203</c:v>
                </c:pt>
                <c:pt idx="1122">
                  <c:v>19.502312183785893</c:v>
                </c:pt>
                <c:pt idx="1123">
                  <c:v>19.494137306427284</c:v>
                </c:pt>
                <c:pt idx="1124">
                  <c:v>19.728069515477983</c:v>
                </c:pt>
                <c:pt idx="1125">
                  <c:v>19.508670538371149</c:v>
                </c:pt>
                <c:pt idx="1126">
                  <c:v>19.529017954394725</c:v>
                </c:pt>
                <c:pt idx="1127">
                  <c:v>19.499628335495732</c:v>
                </c:pt>
                <c:pt idx="1128">
                  <c:v>19.731995087276513</c:v>
                </c:pt>
                <c:pt idx="1129">
                  <c:v>19.753068625473318</c:v>
                </c:pt>
                <c:pt idx="1130">
                  <c:v>19.625660334200035</c:v>
                </c:pt>
                <c:pt idx="1131">
                  <c:v>19.787164236450138</c:v>
                </c:pt>
                <c:pt idx="1132">
                  <c:v>19.05147009020223</c:v>
                </c:pt>
                <c:pt idx="1133">
                  <c:v>19.167174278749624</c:v>
                </c:pt>
                <c:pt idx="1134">
                  <c:v>19.193747387155074</c:v>
                </c:pt>
                <c:pt idx="1135">
                  <c:v>19.210046289339232</c:v>
                </c:pt>
                <c:pt idx="1136">
                  <c:v>19.658743154908059</c:v>
                </c:pt>
                <c:pt idx="1137">
                  <c:v>19.946395581192888</c:v>
                </c:pt>
                <c:pt idx="1138">
                  <c:v>19.256540096938654</c:v>
                </c:pt>
                <c:pt idx="1139">
                  <c:v>19.215494039444764</c:v>
                </c:pt>
                <c:pt idx="1140">
                  <c:v>19.332009422808152</c:v>
                </c:pt>
                <c:pt idx="1141">
                  <c:v>19.08939765999019</c:v>
                </c:pt>
                <c:pt idx="1142">
                  <c:v>19.115349755358679</c:v>
                </c:pt>
                <c:pt idx="1143">
                  <c:v>18.972634485515357</c:v>
                </c:pt>
                <c:pt idx="1144">
                  <c:v>18.879518127120665</c:v>
                </c:pt>
                <c:pt idx="1145">
                  <c:v>19.26085633313139</c:v>
                </c:pt>
                <c:pt idx="1146">
                  <c:v>19.484817967330226</c:v>
                </c:pt>
                <c:pt idx="1147">
                  <c:v>19.724319688406137</c:v>
                </c:pt>
                <c:pt idx="1148">
                  <c:v>19.560798360667441</c:v>
                </c:pt>
                <c:pt idx="1149">
                  <c:v>19.607101958322296</c:v>
                </c:pt>
                <c:pt idx="1150">
                  <c:v>19.469146872829516</c:v>
                </c:pt>
                <c:pt idx="1151">
                  <c:v>20.345314763783158</c:v>
                </c:pt>
                <c:pt idx="1152">
                  <c:v>19.665139784470529</c:v>
                </c:pt>
                <c:pt idx="1153">
                  <c:v>19.363868116886362</c:v>
                </c:pt>
                <c:pt idx="1154">
                  <c:v>19.31161958211905</c:v>
                </c:pt>
                <c:pt idx="1155">
                  <c:v>19.658104250248304</c:v>
                </c:pt>
                <c:pt idx="1156">
                  <c:v>19.876994752029134</c:v>
                </c:pt>
                <c:pt idx="1157">
                  <c:v>20.10910829699786</c:v>
                </c:pt>
                <c:pt idx="1158">
                  <c:v>20.118121373207984</c:v>
                </c:pt>
                <c:pt idx="1159">
                  <c:v>20.583848632311973</c:v>
                </c:pt>
                <c:pt idx="1160">
                  <c:v>20.947773215241849</c:v>
                </c:pt>
                <c:pt idx="1161">
                  <c:v>21.29495836482349</c:v>
                </c:pt>
                <c:pt idx="1162">
                  <c:v>20.925283717181618</c:v>
                </c:pt>
                <c:pt idx="1163">
                  <c:v>20.584991643462025</c:v>
                </c:pt>
                <c:pt idx="1164">
                  <c:v>20.619554259445508</c:v>
                </c:pt>
                <c:pt idx="1165">
                  <c:v>20.591492182097163</c:v>
                </c:pt>
                <c:pt idx="1166">
                  <c:v>20.733629255516504</c:v>
                </c:pt>
                <c:pt idx="1167">
                  <c:v>20.780336151031289</c:v>
                </c:pt>
                <c:pt idx="1168">
                  <c:v>20.966997531898407</c:v>
                </c:pt>
                <c:pt idx="1169">
                  <c:v>20.830251280857173</c:v>
                </c:pt>
                <c:pt idx="1170">
                  <c:v>20.829464184832325</c:v>
                </c:pt>
                <c:pt idx="1171">
                  <c:v>20.639775219293401</c:v>
                </c:pt>
                <c:pt idx="1172">
                  <c:v>20.402947952423926</c:v>
                </c:pt>
                <c:pt idx="1173">
                  <c:v>20.337637608930816</c:v>
                </c:pt>
                <c:pt idx="1174">
                  <c:v>20.621801755094086</c:v>
                </c:pt>
                <c:pt idx="1175">
                  <c:v>20.525575063092294</c:v>
                </c:pt>
                <c:pt idx="1176">
                  <c:v>20.144611140374099</c:v>
                </c:pt>
                <c:pt idx="1177">
                  <c:v>19.721272699160433</c:v>
                </c:pt>
                <c:pt idx="1178">
                  <c:v>19.650897251819554</c:v>
                </c:pt>
                <c:pt idx="1179">
                  <c:v>19.573292969258659</c:v>
                </c:pt>
                <c:pt idx="1180">
                  <c:v>19.510875624827829</c:v>
                </c:pt>
                <c:pt idx="1181">
                  <c:v>19.365084976021212</c:v>
                </c:pt>
                <c:pt idx="1182">
                  <c:v>19.351223563361792</c:v>
                </c:pt>
                <c:pt idx="1183">
                  <c:v>19.617690219511331</c:v>
                </c:pt>
                <c:pt idx="1184">
                  <c:v>19.502998098401989</c:v>
                </c:pt>
                <c:pt idx="1185">
                  <c:v>19.269747585786558</c:v>
                </c:pt>
                <c:pt idx="1186">
                  <c:v>19.329329913912449</c:v>
                </c:pt>
                <c:pt idx="1187">
                  <c:v>19.220109134586799</c:v>
                </c:pt>
                <c:pt idx="1188">
                  <c:v>19.284047303558104</c:v>
                </c:pt>
                <c:pt idx="1189">
                  <c:v>19.194140661072787</c:v>
                </c:pt>
                <c:pt idx="1190">
                  <c:v>19.178459986183945</c:v>
                </c:pt>
                <c:pt idx="1191">
                  <c:v>18.977499700388883</c:v>
                </c:pt>
                <c:pt idx="1192">
                  <c:v>18.977319794125719</c:v>
                </c:pt>
                <c:pt idx="1193">
                  <c:v>18.925732356313031</c:v>
                </c:pt>
                <c:pt idx="1194">
                  <c:v>18.929989720308708</c:v>
                </c:pt>
                <c:pt idx="1195">
                  <c:v>18.953254377599002</c:v>
                </c:pt>
                <c:pt idx="1196">
                  <c:v>18.031577194180244</c:v>
                </c:pt>
                <c:pt idx="1197">
                  <c:v>17.8688495881159</c:v>
                </c:pt>
                <c:pt idx="1198">
                  <c:v>18.001298218842262</c:v>
                </c:pt>
                <c:pt idx="1199">
                  <c:v>18.034986712539038</c:v>
                </c:pt>
                <c:pt idx="1200">
                  <c:v>18.301840961061622</c:v>
                </c:pt>
                <c:pt idx="1201">
                  <c:v>18.369254784155075</c:v>
                </c:pt>
                <c:pt idx="1202">
                  <c:v>18.481975403571504</c:v>
                </c:pt>
                <c:pt idx="1203">
                  <c:v>19.380804225150236</c:v>
                </c:pt>
                <c:pt idx="1204">
                  <c:v>19.232518087231458</c:v>
                </c:pt>
                <c:pt idx="1205">
                  <c:v>18.847194124064572</c:v>
                </c:pt>
                <c:pt idx="1206">
                  <c:v>18.868892386124823</c:v>
                </c:pt>
                <c:pt idx="1207">
                  <c:v>20.008329163086778</c:v>
                </c:pt>
                <c:pt idx="1208">
                  <c:v>19.356563432869279</c:v>
                </c:pt>
                <c:pt idx="1209">
                  <c:v>19.345337410686525</c:v>
                </c:pt>
                <c:pt idx="1210">
                  <c:v>19.388310347794484</c:v>
                </c:pt>
                <c:pt idx="1211">
                  <c:v>19.617044918323046</c:v>
                </c:pt>
                <c:pt idx="1212">
                  <c:v>19.350837743152333</c:v>
                </c:pt>
                <c:pt idx="1213">
                  <c:v>19.301139442299615</c:v>
                </c:pt>
                <c:pt idx="1214">
                  <c:v>19.043083915236281</c:v>
                </c:pt>
                <c:pt idx="1215">
                  <c:v>19.229844536686215</c:v>
                </c:pt>
                <c:pt idx="1216">
                  <c:v>18.87890039959882</c:v>
                </c:pt>
                <c:pt idx="1217">
                  <c:v>16.988984109392739</c:v>
                </c:pt>
                <c:pt idx="1218">
                  <c:v>18.039927745776573</c:v>
                </c:pt>
                <c:pt idx="1219">
                  <c:v>17.652175474918749</c:v>
                </c:pt>
                <c:pt idx="1220">
                  <c:v>17.561101139705276</c:v>
                </c:pt>
                <c:pt idx="1221">
                  <c:v>17.665511651135077</c:v>
                </c:pt>
                <c:pt idx="1222">
                  <c:v>17.710117774202118</c:v>
                </c:pt>
                <c:pt idx="1223">
                  <c:v>17.802606078065814</c:v>
                </c:pt>
                <c:pt idx="1224">
                  <c:v>17.889555611328575</c:v>
                </c:pt>
                <c:pt idx="1225">
                  <c:v>18.193053750331377</c:v>
                </c:pt>
                <c:pt idx="1226">
                  <c:v>18.292219972676786</c:v>
                </c:pt>
                <c:pt idx="1227">
                  <c:v>18.26419859304545</c:v>
                </c:pt>
                <c:pt idx="1228">
                  <c:v>18.225403271576631</c:v>
                </c:pt>
                <c:pt idx="1229">
                  <c:v>18.018257878413422</c:v>
                </c:pt>
                <c:pt idx="1230">
                  <c:v>17.907417123887338</c:v>
                </c:pt>
                <c:pt idx="1231">
                  <c:v>17.865264250945838</c:v>
                </c:pt>
                <c:pt idx="1232">
                  <c:v>17.635634339673359</c:v>
                </c:pt>
                <c:pt idx="1233">
                  <c:v>17.571670518231478</c:v>
                </c:pt>
                <c:pt idx="1234">
                  <c:v>17.554626085096835</c:v>
                </c:pt>
                <c:pt idx="1235">
                  <c:v>17.756840416117626</c:v>
                </c:pt>
                <c:pt idx="1236">
                  <c:v>17.635085701000758</c:v>
                </c:pt>
                <c:pt idx="1237">
                  <c:v>17.509559968772741</c:v>
                </c:pt>
                <c:pt idx="1238">
                  <c:v>17.460038898694229</c:v>
                </c:pt>
                <c:pt idx="1239">
                  <c:v>17.371236353886502</c:v>
                </c:pt>
                <c:pt idx="1240">
                  <c:v>16.585851528632137</c:v>
                </c:pt>
                <c:pt idx="1241">
                  <c:v>16.879223172865075</c:v>
                </c:pt>
                <c:pt idx="1242">
                  <c:v>17.131487108904398</c:v>
                </c:pt>
                <c:pt idx="1243">
                  <c:v>17.264914524092177</c:v>
                </c:pt>
                <c:pt idx="1244">
                  <c:v>17.022546630967849</c:v>
                </c:pt>
                <c:pt idx="1245">
                  <c:v>16.893123205127544</c:v>
                </c:pt>
                <c:pt idx="1246">
                  <c:v>16.847607839885391</c:v>
                </c:pt>
                <c:pt idx="1247">
                  <c:v>16.796198791849704</c:v>
                </c:pt>
                <c:pt idx="1248">
                  <c:v>16.813496443197092</c:v>
                </c:pt>
                <c:pt idx="1249">
                  <c:v>16.83319038968947</c:v>
                </c:pt>
                <c:pt idx="1250">
                  <c:v>16.900589028112293</c:v>
                </c:pt>
                <c:pt idx="1251">
                  <c:v>16.981851015958551</c:v>
                </c:pt>
                <c:pt idx="1252">
                  <c:v>16.872092204981364</c:v>
                </c:pt>
                <c:pt idx="1253">
                  <c:v>16.795985583412495</c:v>
                </c:pt>
                <c:pt idx="1254">
                  <c:v>16.860259778620048</c:v>
                </c:pt>
                <c:pt idx="1255">
                  <c:v>17.020054288233581</c:v>
                </c:pt>
                <c:pt idx="1256">
                  <c:v>17.285380587616807</c:v>
                </c:pt>
                <c:pt idx="1257">
                  <c:v>17.34323376248102</c:v>
                </c:pt>
                <c:pt idx="1258">
                  <c:v>17.164262986335473</c:v>
                </c:pt>
                <c:pt idx="1259">
                  <c:v>17.309040024125913</c:v>
                </c:pt>
                <c:pt idx="1260">
                  <c:v>17.058288394336685</c:v>
                </c:pt>
                <c:pt idx="1261">
                  <c:v>16.781682247947796</c:v>
                </c:pt>
                <c:pt idx="1262">
                  <c:v>16.415796507043471</c:v>
                </c:pt>
                <c:pt idx="1263">
                  <c:v>16.302364863595759</c:v>
                </c:pt>
                <c:pt idx="1264">
                  <c:v>16.292055472011906</c:v>
                </c:pt>
                <c:pt idx="1265">
                  <c:v>15.992550462115016</c:v>
                </c:pt>
                <c:pt idx="1266">
                  <c:v>15.87998542877625</c:v>
                </c:pt>
                <c:pt idx="1267">
                  <c:v>15.778402366243281</c:v>
                </c:pt>
                <c:pt idx="1268">
                  <c:v>15.43911631074562</c:v>
                </c:pt>
                <c:pt idx="1269">
                  <c:v>15.197031910840501</c:v>
                </c:pt>
                <c:pt idx="1270">
                  <c:v>15.664989175063194</c:v>
                </c:pt>
                <c:pt idx="1271">
                  <c:v>15.243280053941501</c:v>
                </c:pt>
                <c:pt idx="1272">
                  <c:v>15.124721492760628</c:v>
                </c:pt>
                <c:pt idx="1273">
                  <c:v>15.344758424632305</c:v>
                </c:pt>
                <c:pt idx="1274">
                  <c:v>15.641483904799605</c:v>
                </c:pt>
                <c:pt idx="1275">
                  <c:v>15.7202144006802</c:v>
                </c:pt>
                <c:pt idx="1276">
                  <c:v>15.881059670513</c:v>
                </c:pt>
                <c:pt idx="1277">
                  <c:v>15.711862051808076</c:v>
                </c:pt>
                <c:pt idx="1278">
                  <c:v>15.48339535917477</c:v>
                </c:pt>
                <c:pt idx="1279">
                  <c:v>15.404894292383453</c:v>
                </c:pt>
                <c:pt idx="1280">
                  <c:v>15.15916635143512</c:v>
                </c:pt>
                <c:pt idx="1281">
                  <c:v>14.748593552945165</c:v>
                </c:pt>
                <c:pt idx="1282">
                  <c:v>15.187815851959749</c:v>
                </c:pt>
                <c:pt idx="1283">
                  <c:v>15.717431948121941</c:v>
                </c:pt>
                <c:pt idx="1284">
                  <c:v>15.359557081157469</c:v>
                </c:pt>
                <c:pt idx="1285">
                  <c:v>15.410440353411444</c:v>
                </c:pt>
                <c:pt idx="1286">
                  <c:v>15.498898868155653</c:v>
                </c:pt>
                <c:pt idx="1287">
                  <c:v>15.69475673015363</c:v>
                </c:pt>
                <c:pt idx="1288">
                  <c:v>15.599147992571085</c:v>
                </c:pt>
                <c:pt idx="1289">
                  <c:v>15.58567496162998</c:v>
                </c:pt>
                <c:pt idx="1290">
                  <c:v>15.066125413228139</c:v>
                </c:pt>
                <c:pt idx="1291">
                  <c:v>14.893409508849178</c:v>
                </c:pt>
                <c:pt idx="1292">
                  <c:v>14.72043041073994</c:v>
                </c:pt>
                <c:pt idx="1293">
                  <c:v>14.480204634741984</c:v>
                </c:pt>
                <c:pt idx="1294">
                  <c:v>14.24284272776473</c:v>
                </c:pt>
                <c:pt idx="1295">
                  <c:v>14.167197766376045</c:v>
                </c:pt>
                <c:pt idx="1296">
                  <c:v>13.958089519590093</c:v>
                </c:pt>
                <c:pt idx="1297">
                  <c:v>13.850345489913355</c:v>
                </c:pt>
                <c:pt idx="1298">
                  <c:v>13.809783872921479</c:v>
                </c:pt>
                <c:pt idx="1299">
                  <c:v>13.735237155400529</c:v>
                </c:pt>
                <c:pt idx="1300">
                  <c:v>13.974378789362971</c:v>
                </c:pt>
                <c:pt idx="1301">
                  <c:v>13.695687020026023</c:v>
                </c:pt>
                <c:pt idx="1302">
                  <c:v>13.338627470816405</c:v>
                </c:pt>
                <c:pt idx="1303">
                  <c:v>13.453656057601178</c:v>
                </c:pt>
                <c:pt idx="1304">
                  <c:v>13.54404544927125</c:v>
                </c:pt>
                <c:pt idx="1305">
                  <c:v>13.663330625849728</c:v>
                </c:pt>
                <c:pt idx="1306">
                  <c:v>14.001283388390013</c:v>
                </c:pt>
                <c:pt idx="1307">
                  <c:v>13.663576347220769</c:v>
                </c:pt>
                <c:pt idx="1308">
                  <c:v>13.735655052347775</c:v>
                </c:pt>
                <c:pt idx="1309">
                  <c:v>13.526062658907872</c:v>
                </c:pt>
                <c:pt idx="1310">
                  <c:v>13.629327440633972</c:v>
                </c:pt>
                <c:pt idx="1311">
                  <c:v>13.969016992663224</c:v>
                </c:pt>
                <c:pt idx="1312">
                  <c:v>14.232643310468601</c:v>
                </c:pt>
                <c:pt idx="1313">
                  <c:v>14.3492140563242</c:v>
                </c:pt>
                <c:pt idx="1314">
                  <c:v>14.702066078121659</c:v>
                </c:pt>
                <c:pt idx="1315">
                  <c:v>14.501628209759605</c:v>
                </c:pt>
                <c:pt idx="1316">
                  <c:v>14.26259436970169</c:v>
                </c:pt>
                <c:pt idx="1317">
                  <c:v>14.061513694962386</c:v>
                </c:pt>
                <c:pt idx="1318">
                  <c:v>13.834041800539049</c:v>
                </c:pt>
                <c:pt idx="1319">
                  <c:v>13.305931009805569</c:v>
                </c:pt>
                <c:pt idx="1320">
                  <c:v>13.166831994897096</c:v>
                </c:pt>
                <c:pt idx="1321">
                  <c:v>13.203314808435575</c:v>
                </c:pt>
                <c:pt idx="1322">
                  <c:v>12.853710900701094</c:v>
                </c:pt>
                <c:pt idx="1323">
                  <c:v>13.3883062895225</c:v>
                </c:pt>
                <c:pt idx="1324">
                  <c:v>13.499442040732752</c:v>
                </c:pt>
                <c:pt idx="1325">
                  <c:v>13.895457113611094</c:v>
                </c:pt>
                <c:pt idx="1326">
                  <c:v>14.050542574170503</c:v>
                </c:pt>
                <c:pt idx="1327">
                  <c:v>13.88563807786889</c:v>
                </c:pt>
                <c:pt idx="1328">
                  <c:v>13.570784081327723</c:v>
                </c:pt>
                <c:pt idx="1329">
                  <c:v>12.875173288090703</c:v>
                </c:pt>
                <c:pt idx="1330">
                  <c:v>13.177728132555204</c:v>
                </c:pt>
                <c:pt idx="1331">
                  <c:v>13.27145098749706</c:v>
                </c:pt>
                <c:pt idx="1332">
                  <c:v>12.794476568870715</c:v>
                </c:pt>
                <c:pt idx="1333">
                  <c:v>12.854584224881856</c:v>
                </c:pt>
                <c:pt idx="1334">
                  <c:v>12.575408949649248</c:v>
                </c:pt>
                <c:pt idx="1335">
                  <c:v>12.493130273504377</c:v>
                </c:pt>
                <c:pt idx="1336">
                  <c:v>11.975049908888284</c:v>
                </c:pt>
                <c:pt idx="1337">
                  <c:v>12.129116067224164</c:v>
                </c:pt>
                <c:pt idx="1338">
                  <c:v>12.378211902109992</c:v>
                </c:pt>
                <c:pt idx="1339">
                  <c:v>12.014516417968398</c:v>
                </c:pt>
                <c:pt idx="1340">
                  <c:v>12.449085791319837</c:v>
                </c:pt>
                <c:pt idx="1341">
                  <c:v>12.633568471880888</c:v>
                </c:pt>
                <c:pt idx="1342">
                  <c:v>12.56277591689461</c:v>
                </c:pt>
                <c:pt idx="1343">
                  <c:v>12.349634267244966</c:v>
                </c:pt>
                <c:pt idx="1344">
                  <c:v>12.024837892640342</c:v>
                </c:pt>
                <c:pt idx="1345">
                  <c:v>13.406222163192467</c:v>
                </c:pt>
                <c:pt idx="1346">
                  <c:v>12.928636861305673</c:v>
                </c:pt>
                <c:pt idx="1347">
                  <c:v>12.906519301649102</c:v>
                </c:pt>
                <c:pt idx="1348">
                  <c:v>13.036986309876601</c:v>
                </c:pt>
                <c:pt idx="1349">
                  <c:v>13.356878420885225</c:v>
                </c:pt>
                <c:pt idx="1350">
                  <c:v>13.411440935831402</c:v>
                </c:pt>
                <c:pt idx="1351">
                  <c:v>13.332388093385967</c:v>
                </c:pt>
                <c:pt idx="1352">
                  <c:v>13.426943551220008</c:v>
                </c:pt>
                <c:pt idx="1353">
                  <c:v>13.118356364483763</c:v>
                </c:pt>
                <c:pt idx="1354">
                  <c:v>12.930999113721036</c:v>
                </c:pt>
                <c:pt idx="1355">
                  <c:v>13.211722559549184</c:v>
                </c:pt>
                <c:pt idx="1356">
                  <c:v>13.521944569021514</c:v>
                </c:pt>
                <c:pt idx="1357">
                  <c:v>13.327643802602816</c:v>
                </c:pt>
                <c:pt idx="1358">
                  <c:v>12.956616229344677</c:v>
                </c:pt>
                <c:pt idx="1359">
                  <c:v>12.79543770052098</c:v>
                </c:pt>
                <c:pt idx="1360">
                  <c:v>12.794493561584401</c:v>
                </c:pt>
                <c:pt idx="1361">
                  <c:v>12.738356213689878</c:v>
                </c:pt>
                <c:pt idx="1362">
                  <c:v>12.664011183810306</c:v>
                </c:pt>
                <c:pt idx="1363">
                  <c:v>12.60101552415137</c:v>
                </c:pt>
                <c:pt idx="1364">
                  <c:v>12.524093627688297</c:v>
                </c:pt>
                <c:pt idx="1365">
                  <c:v>13.452640856948925</c:v>
                </c:pt>
                <c:pt idx="1366">
                  <c:v>13.109137430945976</c:v>
                </c:pt>
                <c:pt idx="1367">
                  <c:v>13.15551349169251</c:v>
                </c:pt>
                <c:pt idx="1368">
                  <c:v>13.160359233614624</c:v>
                </c:pt>
                <c:pt idx="1369">
                  <c:v>13.329350279918891</c:v>
                </c:pt>
                <c:pt idx="1370">
                  <c:v>13.45038546321679</c:v>
                </c:pt>
                <c:pt idx="1371">
                  <c:v>13.478908827205743</c:v>
                </c:pt>
                <c:pt idx="1372">
                  <c:v>13.503813462236838</c:v>
                </c:pt>
                <c:pt idx="1373">
                  <c:v>13.241206604809243</c:v>
                </c:pt>
                <c:pt idx="1374">
                  <c:v>13.279836043273058</c:v>
                </c:pt>
                <c:pt idx="1375">
                  <c:v>13.443689398071962</c:v>
                </c:pt>
                <c:pt idx="1376">
                  <c:v>13.613041607389846</c:v>
                </c:pt>
                <c:pt idx="1377">
                  <c:v>13.619815115295387</c:v>
                </c:pt>
                <c:pt idx="1378">
                  <c:v>13.715062830289185</c:v>
                </c:pt>
                <c:pt idx="1379">
                  <c:v>13.728369052132393</c:v>
                </c:pt>
                <c:pt idx="1380">
                  <c:v>13.786948486374415</c:v>
                </c:pt>
                <c:pt idx="1381">
                  <c:v>13.630346518380511</c:v>
                </c:pt>
                <c:pt idx="1382">
                  <c:v>13.673810505659604</c:v>
                </c:pt>
                <c:pt idx="1383">
                  <c:v>13.844734713327892</c:v>
                </c:pt>
                <c:pt idx="1384">
                  <c:v>13.693436948798205</c:v>
                </c:pt>
                <c:pt idx="1385">
                  <c:v>13.449894369625484</c:v>
                </c:pt>
                <c:pt idx="1386">
                  <c:v>14.35537974758768</c:v>
                </c:pt>
                <c:pt idx="1387">
                  <c:v>14.124543605845886</c:v>
                </c:pt>
                <c:pt idx="1388">
                  <c:v>14.507670221958689</c:v>
                </c:pt>
                <c:pt idx="1389">
                  <c:v>14.57776434139614</c:v>
                </c:pt>
                <c:pt idx="1390">
                  <c:v>14.623253991472932</c:v>
                </c:pt>
                <c:pt idx="1391">
                  <c:v>14.808223037620238</c:v>
                </c:pt>
                <c:pt idx="1392">
                  <c:v>14.848922869645811</c:v>
                </c:pt>
                <c:pt idx="1393">
                  <c:v>14.530265220495139</c:v>
                </c:pt>
                <c:pt idx="1394">
                  <c:v>14.540205068385541</c:v>
                </c:pt>
                <c:pt idx="1395">
                  <c:v>14.540826215667893</c:v>
                </c:pt>
                <c:pt idx="1396">
                  <c:v>14.527673702064876</c:v>
                </c:pt>
                <c:pt idx="1397">
                  <c:v>14.440117035715176</c:v>
                </c:pt>
                <c:pt idx="1398">
                  <c:v>14.535514271499292</c:v>
                </c:pt>
                <c:pt idx="1399">
                  <c:v>14.677474748114509</c:v>
                </c:pt>
                <c:pt idx="1400">
                  <c:v>14.933605530594726</c:v>
                </c:pt>
                <c:pt idx="1401">
                  <c:v>15.113027851993479</c:v>
                </c:pt>
                <c:pt idx="1402">
                  <c:v>15.108075194326949</c:v>
                </c:pt>
                <c:pt idx="1403">
                  <c:v>15.216849391635904</c:v>
                </c:pt>
                <c:pt idx="1404">
                  <c:v>15.05644790331163</c:v>
                </c:pt>
                <c:pt idx="1405">
                  <c:v>14.834190250699447</c:v>
                </c:pt>
                <c:pt idx="1406">
                  <c:v>14.870654640022481</c:v>
                </c:pt>
                <c:pt idx="1407">
                  <c:v>15.256929964770006</c:v>
                </c:pt>
                <c:pt idx="1408">
                  <c:v>16.486102385632808</c:v>
                </c:pt>
                <c:pt idx="1409">
                  <c:v>15.746215368334891</c:v>
                </c:pt>
                <c:pt idx="1410">
                  <c:v>15.629092317147283</c:v>
                </c:pt>
                <c:pt idx="1411">
                  <c:v>15.610650382618196</c:v>
                </c:pt>
                <c:pt idx="1412">
                  <c:v>15.923438267094522</c:v>
                </c:pt>
                <c:pt idx="1413">
                  <c:v>16.137781593600078</c:v>
                </c:pt>
                <c:pt idx="1414">
                  <c:v>16.117387478160989</c:v>
                </c:pt>
                <c:pt idx="1415">
                  <c:v>15.976697676783086</c:v>
                </c:pt>
                <c:pt idx="1416">
                  <c:v>15.874808670414081</c:v>
                </c:pt>
                <c:pt idx="1417">
                  <c:v>15.764501676879426</c:v>
                </c:pt>
                <c:pt idx="1418">
                  <c:v>15.690430392316076</c:v>
                </c:pt>
                <c:pt idx="1419">
                  <c:v>15.721157243425978</c:v>
                </c:pt>
                <c:pt idx="1420">
                  <c:v>15.604595388266969</c:v>
                </c:pt>
                <c:pt idx="1421">
                  <c:v>15.608040191105864</c:v>
                </c:pt>
                <c:pt idx="1422">
                  <c:v>15.240968559808351</c:v>
                </c:pt>
                <c:pt idx="1423">
                  <c:v>15.14598117037721</c:v>
                </c:pt>
                <c:pt idx="1424">
                  <c:v>14.992077351482308</c:v>
                </c:pt>
                <c:pt idx="1425">
                  <c:v>15.062690875305469</c:v>
                </c:pt>
                <c:pt idx="1426">
                  <c:v>14.883241149528784</c:v>
                </c:pt>
                <c:pt idx="1427">
                  <c:v>14.704298987651882</c:v>
                </c:pt>
                <c:pt idx="1428">
                  <c:v>14.945575062233731</c:v>
                </c:pt>
                <c:pt idx="1429">
                  <c:v>15.008072519166253</c:v>
                </c:pt>
                <c:pt idx="1430">
                  <c:v>14.862339567990574</c:v>
                </c:pt>
                <c:pt idx="1431">
                  <c:v>14.785329401221123</c:v>
                </c:pt>
                <c:pt idx="1432">
                  <c:v>14.968577003102357</c:v>
                </c:pt>
                <c:pt idx="1433">
                  <c:v>15.010149362976883</c:v>
                </c:pt>
                <c:pt idx="1434">
                  <c:v>15.199230946131051</c:v>
                </c:pt>
                <c:pt idx="1435">
                  <c:v>15.335497821247879</c:v>
                </c:pt>
                <c:pt idx="1436">
                  <c:v>15.213915869431315</c:v>
                </c:pt>
                <c:pt idx="1437">
                  <c:v>15.247458230341513</c:v>
                </c:pt>
                <c:pt idx="1438">
                  <c:v>15.305057672970339</c:v>
                </c:pt>
                <c:pt idx="1439">
                  <c:v>15.231682070257646</c:v>
                </c:pt>
                <c:pt idx="1440">
                  <c:v>15.246587810683213</c:v>
                </c:pt>
                <c:pt idx="1441">
                  <c:v>15.289856541717695</c:v>
                </c:pt>
                <c:pt idx="1442">
                  <c:v>15.265529541167712</c:v>
                </c:pt>
                <c:pt idx="1443">
                  <c:v>15.432845808988047</c:v>
                </c:pt>
                <c:pt idx="1444">
                  <c:v>15.416095968927001</c:v>
                </c:pt>
                <c:pt idx="1445">
                  <c:v>15.514076959370751</c:v>
                </c:pt>
                <c:pt idx="1446">
                  <c:v>15.331500188159795</c:v>
                </c:pt>
                <c:pt idx="1447">
                  <c:v>15.602590175552349</c:v>
                </c:pt>
                <c:pt idx="1448">
                  <c:v>15.793686141696885</c:v>
                </c:pt>
                <c:pt idx="1449">
                  <c:v>16.062952090648221</c:v>
                </c:pt>
                <c:pt idx="1450">
                  <c:v>16.11656580482968</c:v>
                </c:pt>
                <c:pt idx="1451">
                  <c:v>15.306210020316923</c:v>
                </c:pt>
                <c:pt idx="1452">
                  <c:v>15.346761919412248</c:v>
                </c:pt>
                <c:pt idx="1453">
                  <c:v>15.390865811619248</c:v>
                </c:pt>
                <c:pt idx="1454">
                  <c:v>15.341595436062574</c:v>
                </c:pt>
                <c:pt idx="1455">
                  <c:v>15.460369592448981</c:v>
                </c:pt>
                <c:pt idx="1456">
                  <c:v>15.274698843536804</c:v>
                </c:pt>
                <c:pt idx="1457">
                  <c:v>15.040171796509238</c:v>
                </c:pt>
                <c:pt idx="1458">
                  <c:v>14.644784576375109</c:v>
                </c:pt>
                <c:pt idx="1459">
                  <c:v>14.701183925749961</c:v>
                </c:pt>
                <c:pt idx="1460">
                  <c:v>14.532010526955016</c:v>
                </c:pt>
                <c:pt idx="1461">
                  <c:v>14.614865045813911</c:v>
                </c:pt>
                <c:pt idx="1462">
                  <c:v>14.831758937332916</c:v>
                </c:pt>
                <c:pt idx="1463">
                  <c:v>14.909628769923149</c:v>
                </c:pt>
                <c:pt idx="1464">
                  <c:v>15.173194232320867</c:v>
                </c:pt>
                <c:pt idx="1465">
                  <c:v>14.990965010805921</c:v>
                </c:pt>
                <c:pt idx="1466">
                  <c:v>15.164286393158617</c:v>
                </c:pt>
                <c:pt idx="1467">
                  <c:v>14.970318096693447</c:v>
                </c:pt>
                <c:pt idx="1468">
                  <c:v>14.907036922316857</c:v>
                </c:pt>
                <c:pt idx="1469">
                  <c:v>15.153177114649925</c:v>
                </c:pt>
                <c:pt idx="1470">
                  <c:v>15.062440793307504</c:v>
                </c:pt>
                <c:pt idx="1471">
                  <c:v>15.218851066671647</c:v>
                </c:pt>
                <c:pt idx="1472">
                  <c:v>15.313375338339236</c:v>
                </c:pt>
                <c:pt idx="1473">
                  <c:v>15.197175996580601</c:v>
                </c:pt>
                <c:pt idx="1474">
                  <c:v>13.437377549510567</c:v>
                </c:pt>
                <c:pt idx="1475">
                  <c:v>14.230560570734612</c:v>
                </c:pt>
                <c:pt idx="1476">
                  <c:v>13.911244984387865</c:v>
                </c:pt>
                <c:pt idx="1477">
                  <c:v>13.999305236259913</c:v>
                </c:pt>
                <c:pt idx="1478">
                  <c:v>14.095408314576446</c:v>
                </c:pt>
                <c:pt idx="1479">
                  <c:v>14.317211754995013</c:v>
                </c:pt>
                <c:pt idx="1480">
                  <c:v>14.497093520311369</c:v>
                </c:pt>
                <c:pt idx="1481">
                  <c:v>14.45724306737581</c:v>
                </c:pt>
                <c:pt idx="1482">
                  <c:v>14.249573336980317</c:v>
                </c:pt>
                <c:pt idx="1483">
                  <c:v>14.124134338061454</c:v>
                </c:pt>
                <c:pt idx="1484">
                  <c:v>14.250603822499684</c:v>
                </c:pt>
                <c:pt idx="1485">
                  <c:v>14.144152746355559</c:v>
                </c:pt>
                <c:pt idx="1486">
                  <c:v>14.291883025702493</c:v>
                </c:pt>
                <c:pt idx="1487">
                  <c:v>14.399683220009162</c:v>
                </c:pt>
                <c:pt idx="1488">
                  <c:v>14.367901079240079</c:v>
                </c:pt>
                <c:pt idx="1489">
                  <c:v>14.277007329099423</c:v>
                </c:pt>
                <c:pt idx="1490">
                  <c:v>14.401170222131418</c:v>
                </c:pt>
                <c:pt idx="1491">
                  <c:v>14.44218760201294</c:v>
                </c:pt>
                <c:pt idx="1492">
                  <c:v>14.231898579948563</c:v>
                </c:pt>
                <c:pt idx="1493">
                  <c:v>14.332698915106485</c:v>
                </c:pt>
                <c:pt idx="1494">
                  <c:v>13.993038422683846</c:v>
                </c:pt>
                <c:pt idx="1495">
                  <c:v>13.886704146693633</c:v>
                </c:pt>
                <c:pt idx="1496">
                  <c:v>12.819488355194778</c:v>
                </c:pt>
                <c:pt idx="1497">
                  <c:v>13.205500159354429</c:v>
                </c:pt>
                <c:pt idx="1498">
                  <c:v>13.266006339194924</c:v>
                </c:pt>
                <c:pt idx="1499">
                  <c:v>13.436618971080637</c:v>
                </c:pt>
                <c:pt idx="1500">
                  <c:v>13.6552942527809</c:v>
                </c:pt>
                <c:pt idx="1501">
                  <c:v>13.346342454443754</c:v>
                </c:pt>
                <c:pt idx="1502">
                  <c:v>13.612348759957538</c:v>
                </c:pt>
                <c:pt idx="1503">
                  <c:v>13.73823896462577</c:v>
                </c:pt>
                <c:pt idx="1504">
                  <c:v>13.75015447897443</c:v>
                </c:pt>
                <c:pt idx="1505">
                  <c:v>13.618729542071161</c:v>
                </c:pt>
                <c:pt idx="1506">
                  <c:v>13.643478817318291</c:v>
                </c:pt>
                <c:pt idx="1507">
                  <c:v>13.649534816146605</c:v>
                </c:pt>
                <c:pt idx="1508">
                  <c:v>13.443219264053285</c:v>
                </c:pt>
                <c:pt idx="1509">
                  <c:v>13.468944792723933</c:v>
                </c:pt>
                <c:pt idx="1510">
                  <c:v>13.119941891148512</c:v>
                </c:pt>
                <c:pt idx="1511">
                  <c:v>13.181650839157586</c:v>
                </c:pt>
                <c:pt idx="1512">
                  <c:v>13.325856250236463</c:v>
                </c:pt>
                <c:pt idx="1513">
                  <c:v>13.489842429910555</c:v>
                </c:pt>
                <c:pt idx="1514">
                  <c:v>13.633768113533016</c:v>
                </c:pt>
                <c:pt idx="1515">
                  <c:v>13.553381010482042</c:v>
                </c:pt>
                <c:pt idx="1516">
                  <c:v>13.746425520278487</c:v>
                </c:pt>
                <c:pt idx="1517">
                  <c:v>13.479976057275728</c:v>
                </c:pt>
                <c:pt idx="1518">
                  <c:v>13.085420362215658</c:v>
                </c:pt>
                <c:pt idx="1519">
                  <c:v>13.138752545237786</c:v>
                </c:pt>
                <c:pt idx="1520">
                  <c:v>12.875099939799016</c:v>
                </c:pt>
                <c:pt idx="1521">
                  <c:v>13.242101204209915</c:v>
                </c:pt>
                <c:pt idx="1522">
                  <c:v>13.209935850911553</c:v>
                </c:pt>
                <c:pt idx="1523">
                  <c:v>13.159123552297832</c:v>
                </c:pt>
                <c:pt idx="1524">
                  <c:v>13.255344617119547</c:v>
                </c:pt>
                <c:pt idx="1525">
                  <c:v>13.51272789487258</c:v>
                </c:pt>
                <c:pt idx="1526">
                  <c:v>13.719955769920672</c:v>
                </c:pt>
                <c:pt idx="1527">
                  <c:v>14.076998555564494</c:v>
                </c:pt>
                <c:pt idx="1528">
                  <c:v>14.225144788721003</c:v>
                </c:pt>
                <c:pt idx="1529">
                  <c:v>13.885023285827245</c:v>
                </c:pt>
                <c:pt idx="1530">
                  <c:v>13.764822445819577</c:v>
                </c:pt>
                <c:pt idx="1531">
                  <c:v>13.962356909760921</c:v>
                </c:pt>
                <c:pt idx="1532">
                  <c:v>14.343348692282341</c:v>
                </c:pt>
                <c:pt idx="1533">
                  <c:v>14.650600403353252</c:v>
                </c:pt>
                <c:pt idx="1534">
                  <c:v>14.648701945223429</c:v>
                </c:pt>
                <c:pt idx="1535">
                  <c:v>14.715019479822143</c:v>
                </c:pt>
                <c:pt idx="1536">
                  <c:v>14.601816128624908</c:v>
                </c:pt>
                <c:pt idx="1537">
                  <c:v>14.684593910506468</c:v>
                </c:pt>
                <c:pt idx="1538">
                  <c:v>14.596621694695392</c:v>
                </c:pt>
                <c:pt idx="1539">
                  <c:v>14.650317309554708</c:v>
                </c:pt>
                <c:pt idx="1540">
                  <c:v>14.750864484846964</c:v>
                </c:pt>
                <c:pt idx="1541">
                  <c:v>14.306603043894095</c:v>
                </c:pt>
                <c:pt idx="1542">
                  <c:v>14.277947016498416</c:v>
                </c:pt>
                <c:pt idx="1543">
                  <c:v>14.55783891461278</c:v>
                </c:pt>
                <c:pt idx="1544">
                  <c:v>14.710348231266344</c:v>
                </c:pt>
                <c:pt idx="1545">
                  <c:v>14.861405077902448</c:v>
                </c:pt>
                <c:pt idx="1546">
                  <c:v>15.166483648173106</c:v>
                </c:pt>
                <c:pt idx="1547">
                  <c:v>14.566078668655935</c:v>
                </c:pt>
                <c:pt idx="1548">
                  <c:v>14.988519518002487</c:v>
                </c:pt>
                <c:pt idx="1549">
                  <c:v>14.82586233447612</c:v>
                </c:pt>
                <c:pt idx="1550">
                  <c:v>14.627289860212196</c:v>
                </c:pt>
                <c:pt idx="1551">
                  <c:v>15.137226533232996</c:v>
                </c:pt>
                <c:pt idx="1552">
                  <c:v>15.227976826580004</c:v>
                </c:pt>
                <c:pt idx="1553">
                  <c:v>15.233096442148307</c:v>
                </c:pt>
                <c:pt idx="1554">
                  <c:v>15.338340826448928</c:v>
                </c:pt>
                <c:pt idx="1555">
                  <c:v>15.13411985096633</c:v>
                </c:pt>
                <c:pt idx="1556">
                  <c:v>15.074013590499074</c:v>
                </c:pt>
                <c:pt idx="1557">
                  <c:v>15.128690656215687</c:v>
                </c:pt>
                <c:pt idx="1558">
                  <c:v>15.432989492942845</c:v>
                </c:pt>
                <c:pt idx="1559">
                  <c:v>15.355000760488021</c:v>
                </c:pt>
                <c:pt idx="1560">
                  <c:v>14.578233168848076</c:v>
                </c:pt>
                <c:pt idx="1561">
                  <c:v>14.700046535522505</c:v>
                </c:pt>
                <c:pt idx="1562">
                  <c:v>14.925101632040278</c:v>
                </c:pt>
                <c:pt idx="1563">
                  <c:v>15.104467660071807</c:v>
                </c:pt>
                <c:pt idx="1564">
                  <c:v>15.363871190401452</c:v>
                </c:pt>
                <c:pt idx="1565">
                  <c:v>16.018179663619623</c:v>
                </c:pt>
                <c:pt idx="1566">
                  <c:v>15.839407661271794</c:v>
                </c:pt>
                <c:pt idx="1567">
                  <c:v>16.028007153480381</c:v>
                </c:pt>
                <c:pt idx="1568">
                  <c:v>15.845512937006411</c:v>
                </c:pt>
                <c:pt idx="1569">
                  <c:v>15.661009960992827</c:v>
                </c:pt>
                <c:pt idx="1570">
                  <c:v>15.583991242650839</c:v>
                </c:pt>
                <c:pt idx="1571">
                  <c:v>15.725410681844204</c:v>
                </c:pt>
                <c:pt idx="1572">
                  <c:v>15.543756658483417</c:v>
                </c:pt>
                <c:pt idx="1573">
                  <c:v>15.873698849714721</c:v>
                </c:pt>
                <c:pt idx="1574">
                  <c:v>15.631352516923677</c:v>
                </c:pt>
                <c:pt idx="1575">
                  <c:v>15.416163247829362</c:v>
                </c:pt>
                <c:pt idx="1576">
                  <c:v>15.62447007019302</c:v>
                </c:pt>
                <c:pt idx="1577">
                  <c:v>15.79631802609385</c:v>
                </c:pt>
                <c:pt idx="1578">
                  <c:v>15.582401263353743</c:v>
                </c:pt>
                <c:pt idx="1579">
                  <c:v>16.020130013953079</c:v>
                </c:pt>
                <c:pt idx="1580">
                  <c:v>15.441197001946877</c:v>
                </c:pt>
                <c:pt idx="1581">
                  <c:v>15.238822543183757</c:v>
                </c:pt>
                <c:pt idx="1582">
                  <c:v>15.356020356044779</c:v>
                </c:pt>
                <c:pt idx="1583">
                  <c:v>15.457029189725997</c:v>
                </c:pt>
                <c:pt idx="1584">
                  <c:v>15.718612497684024</c:v>
                </c:pt>
                <c:pt idx="1585">
                  <c:v>15.721420987138398</c:v>
                </c:pt>
                <c:pt idx="1586">
                  <c:v>15.971246456924741</c:v>
                </c:pt>
                <c:pt idx="1587">
                  <c:v>16.216912667751529</c:v>
                </c:pt>
                <c:pt idx="1588">
                  <c:v>16.658046055505281</c:v>
                </c:pt>
                <c:pt idx="1589">
                  <c:v>16.677561194463127</c:v>
                </c:pt>
                <c:pt idx="1590">
                  <c:v>16.508417433243313</c:v>
                </c:pt>
                <c:pt idx="1591">
                  <c:v>16.32413643853755</c:v>
                </c:pt>
                <c:pt idx="1592">
                  <c:v>16.397562300681997</c:v>
                </c:pt>
                <c:pt idx="1593">
                  <c:v>16.39944270334178</c:v>
                </c:pt>
                <c:pt idx="1594">
                  <c:v>16.227677017245369</c:v>
                </c:pt>
                <c:pt idx="1595">
                  <c:v>16.712458036492063</c:v>
                </c:pt>
                <c:pt idx="1596">
                  <c:v>16.643174519328742</c:v>
                </c:pt>
                <c:pt idx="1597">
                  <c:v>16.760935673341002</c:v>
                </c:pt>
                <c:pt idx="1598">
                  <c:v>16.734453062027814</c:v>
                </c:pt>
                <c:pt idx="1599">
                  <c:v>16.811556629548065</c:v>
                </c:pt>
                <c:pt idx="1600">
                  <c:v>16.65180283794383</c:v>
                </c:pt>
                <c:pt idx="1601">
                  <c:v>16.873341626244962</c:v>
                </c:pt>
                <c:pt idx="1602">
                  <c:v>18.463985985525845</c:v>
                </c:pt>
                <c:pt idx="1603">
                  <c:v>17.631050490928331</c:v>
                </c:pt>
                <c:pt idx="1604">
                  <c:v>17.707755599432929</c:v>
                </c:pt>
                <c:pt idx="1605">
                  <c:v>17.529361099035807</c:v>
                </c:pt>
                <c:pt idx="1606">
                  <c:v>17.228105196450997</c:v>
                </c:pt>
                <c:pt idx="1607">
                  <c:v>17.162385994045856</c:v>
                </c:pt>
                <c:pt idx="1608">
                  <c:v>17.380415586726262</c:v>
                </c:pt>
                <c:pt idx="1609">
                  <c:v>17.29997448832291</c:v>
                </c:pt>
                <c:pt idx="1610">
                  <c:v>17.341743996987024</c:v>
                </c:pt>
                <c:pt idx="1611">
                  <c:v>17.630937526359542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'M18'!$X$6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'M18'!$X$7:$X$1618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'M18'!$Y$6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'M18'!$Y$7:$Y$1618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747711</xdr:colOff>
      <xdr:row>21</xdr:row>
      <xdr:rowOff>152400</xdr:rowOff>
    </xdr:from>
    <xdr:to>
      <xdr:col>22</xdr:col>
      <xdr:colOff>342899</xdr:colOff>
      <xdr:row>67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K2132"/>
  <sheetViews>
    <sheetView tabSelected="1" workbookViewId="0">
      <selection activeCell="C6" sqref="C6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7" width="14.75" style="7" customWidth="1"/>
    <col min="8" max="8" width="21" style="7" bestFit="1" customWidth="1"/>
    <col min="9" max="9" width="15.125" style="7" bestFit="1" customWidth="1"/>
    <col min="10" max="19" width="15.125" style="7" customWidth="1"/>
    <col min="20" max="20" width="41" style="7" customWidth="1"/>
    <col min="21" max="21" width="14.25" style="8" bestFit="1" customWidth="1"/>
    <col min="22" max="22" width="18.75" style="8" bestFit="1" customWidth="1"/>
    <col min="23" max="23" width="9" style="14"/>
    <col min="26" max="26" width="19.625" customWidth="1"/>
    <col min="28" max="28" width="13.375" bestFit="1" customWidth="1"/>
    <col min="29" max="29" width="14" bestFit="1" customWidth="1"/>
  </cols>
  <sheetData>
    <row r="1" spans="1:37" x14ac:dyDescent="0.25">
      <c r="Y1" s="6">
        <f>+COUNT(C:C)</f>
        <v>1612</v>
      </c>
      <c r="Z1" s="6">
        <f>+COUNT(F7:S7)</f>
        <v>14</v>
      </c>
      <c r="AB1">
        <v>0</v>
      </c>
      <c r="AC1">
        <v>0</v>
      </c>
    </row>
    <row r="2" spans="1:37" x14ac:dyDescent="0.25">
      <c r="A2" t="s">
        <v>55</v>
      </c>
      <c r="B2" s="27" t="str">
        <f>+"2015-01-01"</f>
        <v>2015-01-01</v>
      </c>
      <c r="D2" s="11" t="s">
        <v>15</v>
      </c>
      <c r="E2" s="30" t="s">
        <v>58</v>
      </c>
      <c r="F2" s="30" t="s">
        <v>59</v>
      </c>
      <c r="G2" s="30" t="s">
        <v>67</v>
      </c>
      <c r="H2" s="30" t="s">
        <v>60</v>
      </c>
      <c r="I2" s="7" t="s">
        <v>61</v>
      </c>
      <c r="J2" s="7" t="s">
        <v>68</v>
      </c>
      <c r="AB2">
        <v>0</v>
      </c>
      <c r="AC2">
        <v>0</v>
      </c>
    </row>
    <row r="3" spans="1:37" x14ac:dyDescent="0.25">
      <c r="D3" s="11" t="s">
        <v>16</v>
      </c>
      <c r="E3" s="30" t="s">
        <v>62</v>
      </c>
      <c r="F3" s="30" t="s">
        <v>63</v>
      </c>
      <c r="G3" s="30" t="s">
        <v>69</v>
      </c>
      <c r="H3" s="30" t="s">
        <v>64</v>
      </c>
      <c r="I3" s="7" t="s">
        <v>20</v>
      </c>
      <c r="J3" s="7" t="s">
        <v>70</v>
      </c>
      <c r="V3" s="8" t="s">
        <v>47</v>
      </c>
      <c r="W3" s="18">
        <v>35</v>
      </c>
      <c r="AA3" t="s">
        <v>52</v>
      </c>
      <c r="AB3" s="22" cm="1">
        <f t="array" aca="1" ref="AB3" ca="1">+_xlfn.T.TEST(IF($Z$7:$Z$1610=1,$AB$7:$AB$1610,""),AB1:AB2,1,3)</f>
        <v>4.9557096699299058E-2</v>
      </c>
      <c r="AC3" s="22" cm="1">
        <f t="array" aca="1" ref="AC3" ca="1">+_xlfn.T.TEST(IF($AA$7:$AA$1610=1,$AC$7:$AC$1610,""),AC1:AC2,1,3)</f>
        <v>9.5808184478225303E-6</v>
      </c>
      <c r="AH3" t="str">
        <f>+AB6</f>
        <v>bullish returns</v>
      </c>
    </row>
    <row r="4" spans="1:37" x14ac:dyDescent="0.25">
      <c r="D4" s="11" t="s">
        <v>17</v>
      </c>
      <c r="E4" s="30" t="s">
        <v>19</v>
      </c>
      <c r="F4" s="30" t="s">
        <v>18</v>
      </c>
      <c r="G4" s="30" t="s">
        <v>71</v>
      </c>
      <c r="H4" s="30" t="s">
        <v>18</v>
      </c>
      <c r="J4"/>
      <c r="AE4" s="32">
        <v>0.99</v>
      </c>
      <c r="AF4" s="32">
        <v>0.95</v>
      </c>
      <c r="AG4" s="32">
        <v>0.9</v>
      </c>
      <c r="AH4" s="7" t="s">
        <v>66</v>
      </c>
      <c r="AI4" s="32">
        <v>0.9</v>
      </c>
      <c r="AJ4" s="32">
        <v>0.95</v>
      </c>
      <c r="AK4" s="32">
        <v>0.99</v>
      </c>
    </row>
    <row r="5" spans="1:37" x14ac:dyDescent="0.25">
      <c r="I5" s="10">
        <v>250</v>
      </c>
      <c r="V5" s="31">
        <v>35</v>
      </c>
      <c r="X5" s="6">
        <v>0</v>
      </c>
      <c r="AB5" s="23">
        <f t="array" aca="1" ref="AB5" ca="1">+SUM(IF($Z$7:$Z$1610=1,$AB$7:$AB$1610,""))/SUM(IF($Z$7:$Z$1610=1,1,""))</f>
        <v>5.000629669506363E-3</v>
      </c>
      <c r="AC5" s="23" cm="1">
        <f t="array" aca="1" ref="AC5" ca="1">+SUM(IF($AA$7:$AA$1610=1,$AC$7:$AC$1610,""))/SUM(IF($AA$7:$AA$1610=1,1,""))</f>
        <v>-1.9325113180148075E-2</v>
      </c>
      <c r="AE5" s="36" cm="1">
        <f t="array" aca="1" ref="AE5" ca="1">AH5-(2.58*(STDEV(IF($Z$7:$Z$1608=1,$AB$7:$AB$1608,""))/SQRT(SUM(IF($Z$7:$Z$1608=1,1,"")))))</f>
        <v>-2.9036336531705325E-3</v>
      </c>
      <c r="AF5" s="35" cm="1">
        <f t="array" aca="1" ref="AF5" ca="1">AH5-(1.96*(STDEV(IF($Z$7:$Z$1608=1,$AB$7:$AB$1608,""))/SQRT(SUM(IF($Z$7:$Z$1608=1,1,"")))))</f>
        <v>-1.0041595213644561E-3</v>
      </c>
      <c r="AG5" s="36" cm="1">
        <f t="array" aca="1" ref="AG5" ca="1">AH5-(1.645*(STDEV(IF($Z$7:$Z$1608=1,$AB$7:$AB$1608,""))/SQRT(SUM(IF($Z$7:$Z$1608=1,1,"")))))</f>
        <v>-3.9104115688789153E-5</v>
      </c>
      <c r="AH5" s="34">
        <f ca="1">+AB5</f>
        <v>5.000629669506363E-3</v>
      </c>
      <c r="AI5" s="34" cm="1">
        <f t="array" aca="1" ref="AI5" ca="1">AH5+(1.645*(STDEV(IF($Z$7:$Z$1608=1,$AB$7:$AB$1608,""))/SQRT(SUM(IF($Z$7:$Z$1608=1,1,"")))))</f>
        <v>1.0040363454701516E-2</v>
      </c>
      <c r="AJ5" s="33" cm="1">
        <f t="array" aca="1" ref="AJ5" ca="1">AH5+(1.96*(STDEV(IF($Z$7:$Z$1608=1,$AB$7:$AB$1608,""))/SQRT(SUM(IF($Z$7:$Z$1608=1,1,"")))))</f>
        <v>1.1005418860377182E-2</v>
      </c>
      <c r="AK5" s="33" cm="1">
        <f t="array" aca="1" ref="AK5" ca="1">AH5+(2.58*(STDEV(IF($Z$7:$Z$1608=1,$AB$7:$AB$1608,""))/SQRT(SUM(IF($Z$7:$Z$1608=1,1,"")))))</f>
        <v>1.2904892992183259E-2</v>
      </c>
    </row>
    <row r="6" spans="1:37" x14ac:dyDescent="0.25">
      <c r="C6" s="6" t="s">
        <v>72</v>
      </c>
      <c r="D6" s="37" t="s">
        <v>73</v>
      </c>
      <c r="E6" s="10" t="s">
        <v>74</v>
      </c>
      <c r="F6" s="10" t="s">
        <v>75</v>
      </c>
      <c r="G6" s="10" t="s">
        <v>76</v>
      </c>
      <c r="H6" s="10" t="s">
        <v>77</v>
      </c>
      <c r="I6" s="38" t="s">
        <v>78</v>
      </c>
      <c r="J6" s="38" t="s">
        <v>79</v>
      </c>
      <c r="K6" s="38" t="s">
        <v>80</v>
      </c>
      <c r="L6" s="38" t="s">
        <v>81</v>
      </c>
      <c r="M6" s="38" t="s">
        <v>82</v>
      </c>
      <c r="N6" s="38" t="s">
        <v>83</v>
      </c>
      <c r="O6" s="38" t="s">
        <v>84</v>
      </c>
      <c r="P6" s="38" t="s">
        <v>85</v>
      </c>
      <c r="Q6" s="38" t="s">
        <v>86</v>
      </c>
      <c r="R6" s="38" t="s">
        <v>87</v>
      </c>
      <c r="S6" s="38" t="s">
        <v>88</v>
      </c>
      <c r="T6" s="8" t="s">
        <v>45</v>
      </c>
      <c r="U6" s="8" t="s">
        <v>57</v>
      </c>
      <c r="V6" s="8" t="s">
        <v>65</v>
      </c>
      <c r="W6" s="16" t="s">
        <v>46</v>
      </c>
      <c r="X6" s="19">
        <v>0.1</v>
      </c>
      <c r="Y6" s="19">
        <f>1-X6</f>
        <v>0.9</v>
      </c>
      <c r="Z6" s="7" t="s">
        <v>48</v>
      </c>
      <c r="AA6" t="s">
        <v>49</v>
      </c>
      <c r="AB6" s="16" t="s">
        <v>50</v>
      </c>
      <c r="AC6" s="16" t="s">
        <v>51</v>
      </c>
    </row>
    <row r="7" spans="1:37" x14ac:dyDescent="0.25">
      <c r="C7" s="6">
        <v>0</v>
      </c>
      <c r="D7" s="37">
        <v>42006</v>
      </c>
      <c r="E7" s="39">
        <v>19.725999999999999</v>
      </c>
      <c r="F7" s="39">
        <v>2.8172586533322459</v>
      </c>
      <c r="G7" s="39">
        <v>56.8205498673261</v>
      </c>
      <c r="H7" s="39">
        <v>50.358189608671978</v>
      </c>
      <c r="I7" s="10">
        <v>1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29" t="str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9" t="str" cm="1">
        <f t="array" aca="1" ref="U7" ca="1">z_score_diff(OFFSET(T7,0,0,$I$5*-1,1),OFFSET(E7,0,0,$I$5*-1,1))</f>
        <v/>
      </c>
      <c r="V7" s="9" t="str">
        <f ca="1">+IF(ISERROR(AVERAGE(OFFSET(U7,0,0,$V$5*-1,1))),"",AVERAGE(OFFSET(U7,0,0,$V$5*-1,1)))</f>
        <v/>
      </c>
      <c r="W7" s="17">
        <f t="shared" ref="W7:W70" ca="1" si="0">+LN(OFFSET(E7,$W$3,0,1,1)/E7)</f>
        <v>7.4278146401699871E-2</v>
      </c>
      <c r="X7" s="13">
        <f ca="1">+PERCENTILE(V7:V1610,X6)*$X$5</f>
        <v>0</v>
      </c>
      <c r="Y7" s="13">
        <f ca="1">+PERCENTILE(V7:V1610,Y6)*$X$5</f>
        <v>0</v>
      </c>
      <c r="Z7" t="str">
        <f ca="1">+IF(V7="","",IF(V7&lt;X7,1,0))</f>
        <v/>
      </c>
      <c r="AA7" t="str">
        <f ca="1">+IF(V7="","",IF(V7&gt;Y7,1,0))</f>
        <v/>
      </c>
      <c r="AB7" s="24" t="str">
        <f ca="1">+IF(ISERROR(Z7*W7),"",Z7*W7)</f>
        <v/>
      </c>
      <c r="AC7" s="24" t="str">
        <f ca="1">+IF(ISERROR(AA7*W7),"",AA7*W7)</f>
        <v/>
      </c>
    </row>
    <row r="8" spans="1:37" x14ac:dyDescent="0.25">
      <c r="C8" s="6">
        <v>1</v>
      </c>
      <c r="D8" s="37">
        <v>42009</v>
      </c>
      <c r="E8" s="39">
        <v>19.512</v>
      </c>
      <c r="F8" s="39">
        <v>2.767327478957212</v>
      </c>
      <c r="G8" s="39">
        <v>56.608541824614605</v>
      </c>
      <c r="H8" s="39">
        <v>49.44910221303369</v>
      </c>
      <c r="I8" s="10">
        <v>1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29" t="str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9" t="str" cm="1">
        <f t="array" aca="1" ref="U8" ca="1">z_score_diff(OFFSET(T8,0,0,$I$5*-1,1),OFFSET(E8,0,0,$I$5*-1,1))</f>
        <v/>
      </c>
      <c r="V8" s="9" t="str">
        <f ca="1">+IF(ISERROR(AVERAGE(OFFSET(U8,0,0,$V$5*-1,1))),"",AVERAGE(OFFSET(U8,0,0,$V$5*-1,1)))</f>
        <v/>
      </c>
      <c r="W8" s="17">
        <f t="shared" ca="1" si="0"/>
        <v>7.4967878787921938E-2</v>
      </c>
      <c r="X8" s="13">
        <f ca="1">+X7</f>
        <v>0</v>
      </c>
      <c r="Y8" s="13">
        <f ca="1">+Y7</f>
        <v>0</v>
      </c>
      <c r="Z8" t="str">
        <f t="shared" ref="Z8:Z10" ca="1" si="1">+IF(V8="","",IF(V8&lt;X8,1,0))</f>
        <v/>
      </c>
      <c r="AA8" t="str">
        <f t="shared" ref="AA8:AA10" ca="1" si="2">+IF(V8="","",IF(V8&gt;Y8,1,0))</f>
        <v/>
      </c>
      <c r="AB8" s="24" t="str">
        <f t="shared" ref="AB8:AB10" ca="1" si="3">+IF(ISERROR(Z8*W8),"",Z8*W8)</f>
        <v/>
      </c>
      <c r="AC8" s="24" t="str">
        <f t="shared" ref="AC8:AC10" ca="1" si="4">+IF(ISERROR(AA8*W8),"",AA8*W8)</f>
        <v/>
      </c>
      <c r="AH8" t="str">
        <f>+AC6</f>
        <v>bearish returns</v>
      </c>
    </row>
    <row r="9" spans="1:37" x14ac:dyDescent="0.25">
      <c r="C9" s="6">
        <v>2</v>
      </c>
      <c r="D9" s="37">
        <v>42010</v>
      </c>
      <c r="E9" s="39">
        <v>19.033999999999999</v>
      </c>
      <c r="F9" s="39">
        <v>2.7713798694549538</v>
      </c>
      <c r="G9" s="39">
        <v>55.120610194604097</v>
      </c>
      <c r="H9" s="39">
        <v>49.099904377832281</v>
      </c>
      <c r="I9" s="10">
        <v>1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29" t="str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9" t="str" cm="1">
        <f t="array" aca="1" ref="U9" ca="1">z_score_diff(OFFSET(T9,0,0,$I$5*-1,1),OFFSET(E9,0,0,$I$5*-1,1))</f>
        <v/>
      </c>
      <c r="V9" s="9" t="str">
        <f ca="1">+IF(ISERROR(AVERAGE(OFFSET(U9,0,0,$V$5*-1,1))),"",AVERAGE(OFFSET(U9,0,0,$V$5*-1,1)))</f>
        <v/>
      </c>
      <c r="W9" s="17">
        <f t="shared" ca="1" si="0"/>
        <v>0.11003591964387181</v>
      </c>
      <c r="X9" s="13">
        <f t="shared" ref="X9:X72" ca="1" si="5">+X8</f>
        <v>0</v>
      </c>
      <c r="Y9" s="13">
        <f t="shared" ref="Y9:Y72" ca="1" si="6">+Y8</f>
        <v>0</v>
      </c>
      <c r="Z9" t="str">
        <f t="shared" ca="1" si="1"/>
        <v/>
      </c>
      <c r="AA9" t="str">
        <f t="shared" ca="1" si="2"/>
        <v/>
      </c>
      <c r="AB9" s="24" t="str">
        <f t="shared" ca="1" si="3"/>
        <v/>
      </c>
      <c r="AC9" s="24" t="str">
        <f t="shared" ca="1" si="4"/>
        <v/>
      </c>
      <c r="AE9" s="32">
        <v>0.99</v>
      </c>
      <c r="AF9" s="32">
        <v>0.95</v>
      </c>
      <c r="AG9" s="32">
        <v>0.9</v>
      </c>
      <c r="AH9" s="7" t="s">
        <v>66</v>
      </c>
      <c r="AI9" s="32">
        <v>0.9</v>
      </c>
      <c r="AJ9" s="32">
        <v>0.95</v>
      </c>
      <c r="AK9" s="32">
        <v>0.99</v>
      </c>
    </row>
    <row r="10" spans="1:37" x14ac:dyDescent="0.25">
      <c r="C10" s="6">
        <v>3</v>
      </c>
      <c r="D10" s="37">
        <v>42011</v>
      </c>
      <c r="E10" s="39">
        <v>19.021000000000001</v>
      </c>
      <c r="F10" s="39">
        <v>2.7596852087888957</v>
      </c>
      <c r="G10" s="39">
        <v>55.053330152081514</v>
      </c>
      <c r="H10" s="39">
        <v>49.1130418513278</v>
      </c>
      <c r="I10" s="10">
        <v>1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29" t="str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9" t="str" cm="1">
        <f t="array" aca="1" ref="U10" ca="1">z_score_diff(OFFSET(T10,0,0,$I$5*-1,1),OFFSET(E10,0,0,$I$5*-1,1))</f>
        <v/>
      </c>
      <c r="V10" s="9" t="str">
        <f ca="1">+IF(ISERROR(AVERAGE(OFFSET(U10,0,0,$V$5*-1,1))),"",AVERAGE(OFFSET(U10,0,0,$V$5*-1,1)))</f>
        <v/>
      </c>
      <c r="W10" s="17">
        <f t="shared" ca="1" si="0"/>
        <v>0.13061589069590165</v>
      </c>
      <c r="X10" s="13">
        <f t="shared" ca="1" si="5"/>
        <v>0</v>
      </c>
      <c r="Y10" s="13">
        <f t="shared" ca="1" si="6"/>
        <v>0</v>
      </c>
      <c r="Z10" t="str">
        <f t="shared" ca="1" si="1"/>
        <v/>
      </c>
      <c r="AA10" t="str">
        <f t="shared" ca="1" si="2"/>
        <v/>
      </c>
      <c r="AB10" s="24" t="str">
        <f t="shared" ca="1" si="3"/>
        <v/>
      </c>
      <c r="AC10" s="24" t="str">
        <f t="shared" ca="1" si="4"/>
        <v/>
      </c>
      <c r="AE10" s="33" cm="1">
        <f t="array" aca="1" ref="AE10" ca="1">AH10-(2.58*(STDEV(IF($AA$7:$AA$1608=1,$AC$7:$AC$1608,""))/SQRT(SUM(IF($AA$7:$AA$1608=1,1,"")))))</f>
        <v>-3.0991396383521323E-2</v>
      </c>
      <c r="AF10" s="33" cm="1">
        <f t="array" aca="1" ref="AF10" ca="1">AH10-(1.96*(STDEV(IF($AA$7:$AA$1608=1,$AC$7:$AC$1608,""))/SQRT(SUM(IF($AA$7:$AA$1608=1,1,"")))))</f>
        <v>-2.818787096255566E-2</v>
      </c>
      <c r="AG10" s="33" cm="1">
        <f t="array" aca="1" ref="AG10" ca="1">AH10-(1.645*(STDEV(IF($AA$7:$AA$1608=1,$AC$7:$AC$1608,""))/SQRT(SUM(IF($AA$7:$AA$1608=1,1,"")))))</f>
        <v>-2.67634991760973E-2</v>
      </c>
      <c r="AH10" s="34">
        <f ca="1">+AC5</f>
        <v>-1.9325113180148075E-2</v>
      </c>
      <c r="AI10" s="34" cm="1">
        <f t="array" aca="1" ref="AI10" ca="1">AH10+(1.645*(STDEV(IF($AA$7:$AA$1608=1,$AC$7:$AC$1608,""))/SQRT(SUM(IF($AA$7:$AA$1608=1,1,"")))))</f>
        <v>-1.188672718419885E-2</v>
      </c>
      <c r="AJ10" s="35" cm="1">
        <f t="array" aca="1" ref="AJ10" ca="1">AH10+(1.96*(STDEV(IF($AA$7:$AA$1608=1,$AC$7:$AC$1608,""))/SQRT(SUM(IF($AA$7:$AA$1608=1,1,"")))))</f>
        <v>-1.0462355397740489E-2</v>
      </c>
      <c r="AK10" s="33" cm="1">
        <f t="array" aca="1" ref="AK10" ca="1">AH10+(2.58*(STDEV(IF($AA$7:$AA$1608=1,$AC$7:$AC$1608,""))/SQRT(SUM(IF($AA$7:$AA$1608=1,1,"")))))</f>
        <v>-7.6588299767748249E-3</v>
      </c>
    </row>
    <row r="11" spans="1:37" x14ac:dyDescent="0.25">
      <c r="C11" s="6">
        <v>4</v>
      </c>
      <c r="D11" s="37">
        <v>42012</v>
      </c>
      <c r="E11" s="39">
        <v>19.178000000000001</v>
      </c>
      <c r="F11" s="39">
        <v>2.7939189302467504</v>
      </c>
      <c r="G11" s="39">
        <v>55.204249399266473</v>
      </c>
      <c r="H11" s="39">
        <v>49.373484845944674</v>
      </c>
      <c r="I11" s="10">
        <v>1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29" t="str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9" t="str" cm="1">
        <f t="array" aca="1" ref="U11" ca="1">z_score_diff(OFFSET(T11,0,0,$I$5*-1,1),OFFSET(E11,0,0,$I$5*-1,1))</f>
        <v/>
      </c>
      <c r="V11" s="9" t="str">
        <f t="shared" ref="V11:V74" ca="1" si="7">+IF(ISERROR(AVERAGE(OFFSET(U11,0,0,$V$5*-1,1))),"",AVERAGE(OFFSET(U11,0,0,$V$5*-1,1)))</f>
        <v/>
      </c>
      <c r="W11" s="17">
        <f t="shared" ca="1" si="0"/>
        <v>0.13020827367190962</v>
      </c>
      <c r="X11" s="13">
        <f t="shared" ca="1" si="5"/>
        <v>0</v>
      </c>
      <c r="Y11" s="13">
        <f t="shared" ca="1" si="6"/>
        <v>0</v>
      </c>
      <c r="Z11" t="str">
        <f t="shared" ref="Z11:Z74" ca="1" si="8">+IF(V11="","",IF(V11&lt;X11,1,0))</f>
        <v/>
      </c>
      <c r="AA11" t="str">
        <f t="shared" ref="AA11:AA74" ca="1" si="9">+IF(V11="","",IF(V11&gt;Y11,1,0))</f>
        <v/>
      </c>
      <c r="AB11" s="24" t="str">
        <f t="shared" ref="AB11:AB74" ca="1" si="10">+IF(ISERROR(Z11*W11),"",Z11*W11)</f>
        <v/>
      </c>
      <c r="AC11" s="24" t="str">
        <f t="shared" ref="AC11:AC74" ca="1" si="11">+IF(ISERROR(AA11*W11),"",AA11*W11)</f>
        <v/>
      </c>
    </row>
    <row r="12" spans="1:37" x14ac:dyDescent="0.25">
      <c r="C12" s="6">
        <v>5</v>
      </c>
      <c r="D12" s="37">
        <v>42013</v>
      </c>
      <c r="E12" s="39">
        <v>19.187000000000001</v>
      </c>
      <c r="F12" s="39">
        <v>2.8050971380823064</v>
      </c>
      <c r="G12" s="39">
        <v>55.276120943747294</v>
      </c>
      <c r="H12" s="39">
        <v>49.174848548151246</v>
      </c>
      <c r="I12" s="10">
        <v>1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29" t="str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9" t="str" cm="1">
        <f t="array" aca="1" ref="U12" ca="1">z_score_diff(OFFSET(T12,0,0,$I$5*-1,1),OFFSET(E12,0,0,$I$5*-1,1))</f>
        <v/>
      </c>
      <c r="V12" s="9" t="str">
        <f t="shared" ca="1" si="7"/>
        <v/>
      </c>
      <c r="W12" s="17">
        <f t="shared" ca="1" si="0"/>
        <v>0.12937281242826848</v>
      </c>
      <c r="X12" s="13">
        <f t="shared" ca="1" si="5"/>
        <v>0</v>
      </c>
      <c r="Y12" s="13">
        <f t="shared" ca="1" si="6"/>
        <v>0</v>
      </c>
      <c r="Z12" t="str">
        <f t="shared" ca="1" si="8"/>
        <v/>
      </c>
      <c r="AA12" t="str">
        <f t="shared" ca="1" si="9"/>
        <v/>
      </c>
      <c r="AB12" s="24" t="str">
        <f t="shared" ca="1" si="10"/>
        <v/>
      </c>
      <c r="AC12" s="24" t="str">
        <f t="shared" ca="1" si="11"/>
        <v/>
      </c>
    </row>
    <row r="13" spans="1:37" x14ac:dyDescent="0.25">
      <c r="C13" s="6">
        <v>6</v>
      </c>
      <c r="D13" s="37">
        <v>42016</v>
      </c>
      <c r="E13" s="39">
        <v>19.178000000000001</v>
      </c>
      <c r="F13" s="39">
        <v>2.7549591354695764</v>
      </c>
      <c r="G13" s="39">
        <v>55.297236913346531</v>
      </c>
      <c r="H13" s="39">
        <v>48.20133358416421</v>
      </c>
      <c r="I13" s="10">
        <v>1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29" t="str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9" t="str" cm="1">
        <f t="array" aca="1" ref="U13" ca="1">z_score_diff(OFFSET(T13,0,0,$I$5*-1,1),OFFSET(E13,0,0,$I$5*-1,1))</f>
        <v/>
      </c>
      <c r="V13" s="9" t="str">
        <f t="shared" ca="1" si="7"/>
        <v/>
      </c>
      <c r="W13" s="17">
        <f t="shared" ca="1" si="0"/>
        <v>0.11130796290111439</v>
      </c>
      <c r="X13" s="13">
        <f t="shared" ca="1" si="5"/>
        <v>0</v>
      </c>
      <c r="Y13" s="13">
        <f t="shared" ca="1" si="6"/>
        <v>0</v>
      </c>
      <c r="Z13" t="str">
        <f t="shared" ca="1" si="8"/>
        <v/>
      </c>
      <c r="AA13" t="str">
        <f t="shared" ca="1" si="9"/>
        <v/>
      </c>
      <c r="AB13" s="24" t="str">
        <f t="shared" ca="1" si="10"/>
        <v/>
      </c>
      <c r="AC13" s="24" t="str">
        <f t="shared" ca="1" si="11"/>
        <v/>
      </c>
    </row>
    <row r="14" spans="1:37" x14ac:dyDescent="0.25">
      <c r="C14" s="6">
        <v>7</v>
      </c>
      <c r="D14" s="37">
        <v>42017</v>
      </c>
      <c r="E14" s="39">
        <v>19.486999999999998</v>
      </c>
      <c r="F14" s="39">
        <v>2.8282919974045275</v>
      </c>
      <c r="G14" s="39">
        <v>56.193585117615513</v>
      </c>
      <c r="H14" s="39">
        <v>49.505616239859329</v>
      </c>
      <c r="I14" s="10">
        <v>1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29" t="str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9" t="str" cm="1">
        <f t="array" aca="1" ref="U14" ca="1">z_score_diff(OFFSET(T14,0,0,$I$5*-1,1),OFFSET(E14,0,0,$I$5*-1,1))</f>
        <v/>
      </c>
      <c r="V14" s="9" t="str">
        <f t="shared" ca="1" si="7"/>
        <v/>
      </c>
      <c r="W14" s="17">
        <f t="shared" ca="1" si="0"/>
        <v>8.4347940268908669E-2</v>
      </c>
      <c r="X14" s="13">
        <f t="shared" ca="1" si="5"/>
        <v>0</v>
      </c>
      <c r="Y14" s="13">
        <f t="shared" ca="1" si="6"/>
        <v>0</v>
      </c>
      <c r="Z14" t="str">
        <f t="shared" ca="1" si="8"/>
        <v/>
      </c>
      <c r="AA14" t="str">
        <f t="shared" ca="1" si="9"/>
        <v/>
      </c>
      <c r="AB14" s="24" t="str">
        <f t="shared" ca="1" si="10"/>
        <v/>
      </c>
      <c r="AC14" s="24" t="str">
        <f t="shared" ca="1" si="11"/>
        <v/>
      </c>
    </row>
    <row r="15" spans="1:37" x14ac:dyDescent="0.25">
      <c r="C15" s="6">
        <v>8</v>
      </c>
      <c r="D15" s="37">
        <v>42018</v>
      </c>
      <c r="E15" s="39">
        <v>19.355</v>
      </c>
      <c r="F15" s="39">
        <v>2.8798143485280625</v>
      </c>
      <c r="G15" s="39">
        <v>55.951007412007165</v>
      </c>
      <c r="H15" s="39">
        <v>48.696569158783561</v>
      </c>
      <c r="I15" s="10">
        <v>1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29" t="str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9" t="str" cm="1">
        <f t="array" aca="1" ref="U15" ca="1">z_score_diff(OFFSET(T15,0,0,$I$5*-1,1),OFFSET(E15,0,0,$I$5*-1,1))</f>
        <v/>
      </c>
      <c r="V15" s="9" t="str">
        <f t="shared" ca="1" si="7"/>
        <v/>
      </c>
      <c r="W15" s="17">
        <f t="shared" ca="1" si="0"/>
        <v>9.8147792955632279E-2</v>
      </c>
      <c r="X15" s="13">
        <f t="shared" ca="1" si="5"/>
        <v>0</v>
      </c>
      <c r="Y15" s="13">
        <f t="shared" ca="1" si="6"/>
        <v>0</v>
      </c>
      <c r="Z15" t="str">
        <f t="shared" ca="1" si="8"/>
        <v/>
      </c>
      <c r="AA15" t="str">
        <f t="shared" ca="1" si="9"/>
        <v/>
      </c>
      <c r="AB15" s="24" t="str">
        <f t="shared" ca="1" si="10"/>
        <v/>
      </c>
      <c r="AC15" s="24" t="str">
        <f t="shared" ca="1" si="11"/>
        <v/>
      </c>
    </row>
    <row r="16" spans="1:37" x14ac:dyDescent="0.25">
      <c r="C16" s="6">
        <v>9</v>
      </c>
      <c r="D16" s="37">
        <v>42019</v>
      </c>
      <c r="E16" s="39">
        <v>19.289000000000001</v>
      </c>
      <c r="F16" s="39">
        <v>2.8711419562444784</v>
      </c>
      <c r="G16" s="39">
        <v>55.604947716100753</v>
      </c>
      <c r="H16" s="39">
        <v>48.391947511776365</v>
      </c>
      <c r="I16" s="10">
        <v>1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29" t="str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9" t="str" cm="1">
        <f t="array" aca="1" ref="U16" ca="1">z_score_diff(OFFSET(T16,0,0,$I$5*-1,1),OFFSET(E16,0,0,$I$5*-1,1))</f>
        <v/>
      </c>
      <c r="V16" s="9" t="str">
        <f t="shared" ca="1" si="7"/>
        <v/>
      </c>
      <c r="W16" s="17">
        <f t="shared" ca="1" si="0"/>
        <v>8.479695814795013E-2</v>
      </c>
      <c r="X16" s="13">
        <f t="shared" ca="1" si="5"/>
        <v>0</v>
      </c>
      <c r="Y16" s="13">
        <f t="shared" ca="1" si="6"/>
        <v>0</v>
      </c>
      <c r="Z16" t="str">
        <f t="shared" ca="1" si="8"/>
        <v/>
      </c>
      <c r="AA16" t="str">
        <f t="shared" ca="1" si="9"/>
        <v/>
      </c>
      <c r="AB16" s="24" t="str">
        <f t="shared" ca="1" si="10"/>
        <v/>
      </c>
      <c r="AC16" s="24" t="str">
        <f t="shared" ca="1" si="11"/>
        <v/>
      </c>
    </row>
    <row r="17" spans="2:29" x14ac:dyDescent="0.25">
      <c r="C17" s="6">
        <v>10</v>
      </c>
      <c r="D17" s="37">
        <v>42020</v>
      </c>
      <c r="E17" s="39">
        <v>19.084</v>
      </c>
      <c r="F17" s="39">
        <v>2.8895705311680362</v>
      </c>
      <c r="G17" s="39">
        <v>54.813287787242082</v>
      </c>
      <c r="H17" s="39">
        <v>47.917286470996572</v>
      </c>
      <c r="I17" s="10">
        <v>1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29" t="str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9" t="str" cm="1">
        <f t="array" aca="1" ref="U17" ca="1">z_score_diff(OFFSET(T17,0,0,$I$5*-1,1),OFFSET(E17,0,0,$I$5*-1,1))</f>
        <v/>
      </c>
      <c r="V17" s="9" t="str">
        <f t="shared" ca="1" si="7"/>
        <v/>
      </c>
      <c r="W17" s="17">
        <f t="shared" ca="1" si="0"/>
        <v>7.6489330652788359E-2</v>
      </c>
      <c r="X17" s="13">
        <f t="shared" ca="1" si="5"/>
        <v>0</v>
      </c>
      <c r="Y17" s="13">
        <f t="shared" ca="1" si="6"/>
        <v>0</v>
      </c>
      <c r="Z17" t="str">
        <f t="shared" ca="1" si="8"/>
        <v/>
      </c>
      <c r="AA17" t="str">
        <f t="shared" ca="1" si="9"/>
        <v/>
      </c>
      <c r="AB17" s="24" t="str">
        <f t="shared" ca="1" si="10"/>
        <v/>
      </c>
      <c r="AC17" s="24" t="str">
        <f t="shared" ca="1" si="11"/>
        <v/>
      </c>
    </row>
    <row r="18" spans="2:29" x14ac:dyDescent="0.25">
      <c r="C18" s="6">
        <v>11</v>
      </c>
      <c r="D18" s="37">
        <v>42023</v>
      </c>
      <c r="E18" s="39">
        <v>18.783999999999999</v>
      </c>
      <c r="F18" s="39">
        <v>2.8795022039266871</v>
      </c>
      <c r="G18" s="39">
        <v>53.946390934946315</v>
      </c>
      <c r="H18" s="39">
        <v>47.963305941145705</v>
      </c>
      <c r="I18" s="10">
        <v>1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29" t="str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9" t="str" cm="1">
        <f t="array" aca="1" ref="U18" ca="1">z_score_diff(OFFSET(T18,0,0,$I$5*-1,1),OFFSET(E18,0,0,$I$5*-1,1))</f>
        <v/>
      </c>
      <c r="V18" s="9" t="str">
        <f t="shared" ca="1" si="7"/>
        <v/>
      </c>
      <c r="W18" s="17">
        <f t="shared" ca="1" si="0"/>
        <v>0.11027813176652759</v>
      </c>
      <c r="X18" s="13">
        <f t="shared" ca="1" si="5"/>
        <v>0</v>
      </c>
      <c r="Y18" s="13">
        <f t="shared" ca="1" si="6"/>
        <v>0</v>
      </c>
      <c r="Z18" t="str">
        <f t="shared" ca="1" si="8"/>
        <v/>
      </c>
      <c r="AA18" t="str">
        <f t="shared" ca="1" si="9"/>
        <v/>
      </c>
      <c r="AB18" s="24" t="str">
        <f t="shared" ca="1" si="10"/>
        <v/>
      </c>
      <c r="AC18" s="24" t="str">
        <f t="shared" ca="1" si="11"/>
        <v/>
      </c>
    </row>
    <row r="19" spans="2:29" x14ac:dyDescent="0.25">
      <c r="C19" s="6">
        <v>12</v>
      </c>
      <c r="D19" s="37">
        <v>42024</v>
      </c>
      <c r="E19" s="39">
        <v>18.812999999999999</v>
      </c>
      <c r="F19" s="39">
        <v>2.8134112782881315</v>
      </c>
      <c r="G19" s="39">
        <v>54.073101028865764</v>
      </c>
      <c r="H19" s="39">
        <v>48.344810591021727</v>
      </c>
      <c r="I19" s="10">
        <v>1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29" t="str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9" t="str" cm="1">
        <f t="array" aca="1" ref="U19" ca="1">z_score_diff(OFFSET(T19,0,0,$I$5*-1,1),OFFSET(E19,0,0,$I$5*-1,1))</f>
        <v/>
      </c>
      <c r="V19" s="9" t="str">
        <f t="shared" ca="1" si="7"/>
        <v/>
      </c>
      <c r="W19" s="17">
        <f t="shared" ca="1" si="0"/>
        <v>0.1086400944812931</v>
      </c>
      <c r="X19" s="13">
        <f t="shared" ca="1" si="5"/>
        <v>0</v>
      </c>
      <c r="Y19" s="13">
        <f t="shared" ca="1" si="6"/>
        <v>0</v>
      </c>
      <c r="Z19" t="str">
        <f t="shared" ca="1" si="8"/>
        <v/>
      </c>
      <c r="AA19" t="str">
        <f t="shared" ca="1" si="9"/>
        <v/>
      </c>
      <c r="AB19" s="24" t="str">
        <f t="shared" ca="1" si="10"/>
        <v/>
      </c>
      <c r="AC19" s="24" t="str">
        <f t="shared" ca="1" si="11"/>
        <v/>
      </c>
    </row>
    <row r="20" spans="2:29" x14ac:dyDescent="0.25">
      <c r="C20" s="6">
        <v>13</v>
      </c>
      <c r="D20" s="37">
        <v>42025</v>
      </c>
      <c r="E20" s="39">
        <v>18.981999999999999</v>
      </c>
      <c r="F20" s="39">
        <v>2.8613632431170024</v>
      </c>
      <c r="G20" s="39">
        <v>54.782964265305885</v>
      </c>
      <c r="H20" s="39">
        <v>48.754833930977817</v>
      </c>
      <c r="I20" s="10">
        <v>1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29" t="str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9" t="str" cm="1">
        <f t="array" aca="1" ref="U20" ca="1">z_score_diff(OFFSET(T20,0,0,$I$5*-1,1),OFFSET(E20,0,0,$I$5*-1,1))</f>
        <v/>
      </c>
      <c r="V20" s="9" t="str">
        <f t="shared" ca="1" si="7"/>
        <v/>
      </c>
      <c r="W20" s="17">
        <f t="shared" ca="1" si="0"/>
        <v>0.10833785119756074</v>
      </c>
      <c r="X20" s="13">
        <f t="shared" ca="1" si="5"/>
        <v>0</v>
      </c>
      <c r="Y20" s="13">
        <f t="shared" ca="1" si="6"/>
        <v>0</v>
      </c>
      <c r="Z20" t="str">
        <f t="shared" ca="1" si="8"/>
        <v/>
      </c>
      <c r="AA20" t="str">
        <f t="shared" ca="1" si="9"/>
        <v/>
      </c>
      <c r="AB20" s="24" t="str">
        <f t="shared" ca="1" si="10"/>
        <v/>
      </c>
      <c r="AC20" s="24" t="str">
        <f t="shared" ca="1" si="11"/>
        <v/>
      </c>
    </row>
    <row r="21" spans="2:29" x14ac:dyDescent="0.25">
      <c r="C21" s="6">
        <v>14</v>
      </c>
      <c r="D21" s="37">
        <v>42026</v>
      </c>
      <c r="E21" s="39">
        <v>18.940999999999999</v>
      </c>
      <c r="F21" s="39">
        <v>2.8996502978137073</v>
      </c>
      <c r="G21" s="39">
        <v>54.893397231793188</v>
      </c>
      <c r="H21" s="39">
        <v>49.533875764155958</v>
      </c>
      <c r="I21" s="10">
        <v>1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29" t="str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9" t="str" cm="1">
        <f t="array" aca="1" ref="U21" ca="1">z_score_diff(OFFSET(T21,0,0,$I$5*-1,1),OFFSET(E21,0,0,$I$5*-1,1))</f>
        <v/>
      </c>
      <c r="V21" s="9" t="str">
        <f t="shared" ca="1" si="7"/>
        <v/>
      </c>
      <c r="W21" s="17">
        <f t="shared" ca="1" si="0"/>
        <v>0.10713814386325184</v>
      </c>
      <c r="X21" s="13">
        <f t="shared" ca="1" si="5"/>
        <v>0</v>
      </c>
      <c r="Y21" s="13">
        <f t="shared" ca="1" si="6"/>
        <v>0</v>
      </c>
      <c r="Z21" t="str">
        <f t="shared" ca="1" si="8"/>
        <v/>
      </c>
      <c r="AA21" t="str">
        <f t="shared" ca="1" si="9"/>
        <v/>
      </c>
      <c r="AB21" s="24" t="str">
        <f t="shared" ca="1" si="10"/>
        <v/>
      </c>
      <c r="AC21" s="24" t="str">
        <f t="shared" ca="1" si="11"/>
        <v/>
      </c>
    </row>
    <row r="22" spans="2:29" x14ac:dyDescent="0.25">
      <c r="C22" s="6">
        <v>15</v>
      </c>
      <c r="D22" s="37">
        <v>42027</v>
      </c>
      <c r="E22" s="39">
        <v>19.053999999999998</v>
      </c>
      <c r="F22" s="39">
        <v>2.9669119266863464</v>
      </c>
      <c r="G22" s="39">
        <v>55.198825455684343</v>
      </c>
      <c r="H22" s="39">
        <v>49.25761113803587</v>
      </c>
      <c r="I22" s="10">
        <v>1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29" t="str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9" t="str" cm="1">
        <f t="array" aca="1" ref="U22" ca="1">z_score_diff(OFFSET(T22,0,0,$I$5*-1,1),OFFSET(E22,0,0,$I$5*-1,1))</f>
        <v/>
      </c>
      <c r="V22" s="9" t="str">
        <f t="shared" ca="1" si="7"/>
        <v/>
      </c>
      <c r="W22" s="17">
        <f t="shared" ca="1" si="0"/>
        <v>9.3476385916923685E-2</v>
      </c>
      <c r="X22" s="13">
        <f t="shared" ca="1" si="5"/>
        <v>0</v>
      </c>
      <c r="Y22" s="13">
        <f t="shared" ca="1" si="6"/>
        <v>0</v>
      </c>
      <c r="Z22" t="str">
        <f t="shared" ca="1" si="8"/>
        <v/>
      </c>
      <c r="AA22" t="str">
        <f t="shared" ca="1" si="9"/>
        <v/>
      </c>
      <c r="AB22" s="24" t="str">
        <f t="shared" ca="1" si="10"/>
        <v/>
      </c>
      <c r="AC22" s="24" t="str">
        <f t="shared" ca="1" si="11"/>
        <v/>
      </c>
    </row>
    <row r="23" spans="2:29" x14ac:dyDescent="0.25">
      <c r="C23" s="6">
        <v>16</v>
      </c>
      <c r="D23" s="37">
        <v>42030</v>
      </c>
      <c r="E23" s="39">
        <v>19.050999999999998</v>
      </c>
      <c r="F23" s="39">
        <v>2.9480251307060321</v>
      </c>
      <c r="G23" s="39">
        <v>55.328591387615624</v>
      </c>
      <c r="H23" s="39">
        <v>49.20697684636</v>
      </c>
      <c r="I23" s="10">
        <v>1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29" t="str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9" t="str" cm="1">
        <f t="array" aca="1" ref="U23" ca="1">z_score_diff(OFFSET(T23,0,0,$I$5*-1,1),OFFSET(E23,0,0,$I$5*-1,1))</f>
        <v/>
      </c>
      <c r="V23" s="9" t="str">
        <f t="shared" ca="1" si="7"/>
        <v/>
      </c>
      <c r="W23" s="17">
        <f t="shared" ca="1" si="0"/>
        <v>7.7880177601261286E-2</v>
      </c>
      <c r="X23" s="13">
        <f t="shared" ca="1" si="5"/>
        <v>0</v>
      </c>
      <c r="Y23" s="13">
        <f t="shared" ca="1" si="6"/>
        <v>0</v>
      </c>
      <c r="Z23" t="str">
        <f t="shared" ca="1" si="8"/>
        <v/>
      </c>
      <c r="AA23" t="str">
        <f t="shared" ca="1" si="9"/>
        <v/>
      </c>
      <c r="AB23" s="24" t="str">
        <f t="shared" ca="1" si="10"/>
        <v/>
      </c>
      <c r="AC23" s="24" t="str">
        <f t="shared" ca="1" si="11"/>
        <v/>
      </c>
    </row>
    <row r="24" spans="2:29" x14ac:dyDescent="0.25">
      <c r="C24" s="6">
        <v>17</v>
      </c>
      <c r="D24" s="37">
        <v>42031</v>
      </c>
      <c r="E24" s="39">
        <v>19.231999999999999</v>
      </c>
      <c r="F24" s="39">
        <v>2.9407162726008345</v>
      </c>
      <c r="G24" s="39">
        <v>55.562601058939165</v>
      </c>
      <c r="H24" s="39">
        <v>49.06988873435327</v>
      </c>
      <c r="I24" s="10">
        <v>1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29" t="str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9" t="str" cm="1">
        <f t="array" aca="1" ref="U24" ca="1">z_score_diff(OFFSET(T24,0,0,$I$5*-1,1),OFFSET(E24,0,0,$I$5*-1,1))</f>
        <v/>
      </c>
      <c r="V24" s="9" t="str">
        <f t="shared" ca="1" si="7"/>
        <v/>
      </c>
      <c r="W24" s="17">
        <f t="shared" ca="1" si="0"/>
        <v>5.9988224781127066E-2</v>
      </c>
      <c r="X24" s="13">
        <f t="shared" ca="1" si="5"/>
        <v>0</v>
      </c>
      <c r="Y24" s="13">
        <f t="shared" ca="1" si="6"/>
        <v>0</v>
      </c>
      <c r="Z24" t="str">
        <f t="shared" ca="1" si="8"/>
        <v/>
      </c>
      <c r="AA24" t="str">
        <f t="shared" ca="1" si="9"/>
        <v/>
      </c>
      <c r="AB24" s="24" t="str">
        <f t="shared" ca="1" si="10"/>
        <v/>
      </c>
      <c r="AC24" s="24" t="str">
        <f t="shared" ca="1" si="11"/>
        <v/>
      </c>
    </row>
    <row r="25" spans="2:29" x14ac:dyDescent="0.25">
      <c r="C25" s="6">
        <v>18</v>
      </c>
      <c r="D25" s="37">
        <v>42032</v>
      </c>
      <c r="E25" s="39">
        <v>19.352</v>
      </c>
      <c r="F25" s="39">
        <v>2.926401613115329</v>
      </c>
      <c r="G25" s="39">
        <v>56.119700801065605</v>
      </c>
      <c r="H25" s="39">
        <v>50.760531276026825</v>
      </c>
      <c r="I25" s="10">
        <v>1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29" t="str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9" t="str" cm="1">
        <f t="array" aca="1" ref="U25" ca="1">z_score_diff(OFFSET(T25,0,0,$I$5*-1,1),OFFSET(E25,0,0,$I$5*-1,1))</f>
        <v/>
      </c>
      <c r="V25" s="9" t="str">
        <f t="shared" ca="1" si="7"/>
        <v/>
      </c>
      <c r="W25" s="17">
        <f t="shared" ca="1" si="0"/>
        <v>6.0357095822257026E-2</v>
      </c>
      <c r="X25" s="13">
        <f t="shared" ca="1" si="5"/>
        <v>0</v>
      </c>
      <c r="Y25" s="13">
        <f t="shared" ca="1" si="6"/>
        <v>0</v>
      </c>
      <c r="Z25" t="str">
        <f t="shared" ca="1" si="8"/>
        <v/>
      </c>
      <c r="AA25" t="str">
        <f t="shared" ca="1" si="9"/>
        <v/>
      </c>
      <c r="AB25" s="24" t="str">
        <f t="shared" ca="1" si="10"/>
        <v/>
      </c>
      <c r="AC25" s="24" t="str">
        <f t="shared" ca="1" si="11"/>
        <v/>
      </c>
    </row>
    <row r="26" spans="2:29" x14ac:dyDescent="0.25">
      <c r="C26" s="6">
        <v>19</v>
      </c>
      <c r="D26" s="37">
        <v>42033</v>
      </c>
      <c r="E26" s="39">
        <v>19.623999999999999</v>
      </c>
      <c r="F26" s="39">
        <v>2.8640702474825801</v>
      </c>
      <c r="G26" s="39">
        <v>56.493310002762826</v>
      </c>
      <c r="H26" s="39">
        <v>50.239182193486378</v>
      </c>
      <c r="I26" s="10">
        <v>1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29" t="str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9" t="str" cm="1">
        <f t="array" aca="1" ref="U26" ca="1">z_score_diff(OFFSET(T26,0,0,$I$5*-1,1),OFFSET(E26,0,0,$I$5*-1,1))</f>
        <v/>
      </c>
      <c r="V26" s="9" t="str">
        <f t="shared" ca="1" si="7"/>
        <v/>
      </c>
      <c r="W26" s="17">
        <f t="shared" ca="1" si="0"/>
        <v>4.7080396708677703E-2</v>
      </c>
      <c r="X26" s="13">
        <f t="shared" ca="1" si="5"/>
        <v>0</v>
      </c>
      <c r="Y26" s="13">
        <f t="shared" ca="1" si="6"/>
        <v>0</v>
      </c>
      <c r="Z26" t="str">
        <f t="shared" ca="1" si="8"/>
        <v/>
      </c>
      <c r="AA26" t="str">
        <f t="shared" ca="1" si="9"/>
        <v/>
      </c>
      <c r="AB26" s="24" t="str">
        <f t="shared" ca="1" si="10"/>
        <v/>
      </c>
      <c r="AC26" s="24" t="str">
        <f t="shared" ca="1" si="11"/>
        <v/>
      </c>
    </row>
    <row r="27" spans="2:29" x14ac:dyDescent="0.25">
      <c r="B27" s="13"/>
      <c r="C27" s="6">
        <v>20</v>
      </c>
      <c r="D27" s="37">
        <v>42034</v>
      </c>
      <c r="E27" s="39">
        <v>19.5</v>
      </c>
      <c r="F27" s="39">
        <v>2.8427463523638434</v>
      </c>
      <c r="G27" s="39">
        <v>57.621826081333083</v>
      </c>
      <c r="H27" s="39">
        <v>50.256320378565476</v>
      </c>
      <c r="I27" s="10">
        <v>1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>
        <v>0</v>
      </c>
      <c r="S27" s="40">
        <v>0</v>
      </c>
      <c r="T27" s="29" t="str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9" t="str" cm="1">
        <f t="array" aca="1" ref="U27" ca="1">z_score_diff(OFFSET(T27,0,0,$I$5*-1,1),OFFSET(E27,0,0,$I$5*-1,1))</f>
        <v/>
      </c>
      <c r="V27" s="9" t="str">
        <f t="shared" ca="1" si="7"/>
        <v/>
      </c>
      <c r="W27" s="17">
        <f t="shared" ca="1" si="0"/>
        <v>5.1570179128355549E-2</v>
      </c>
      <c r="X27" s="13">
        <f t="shared" ca="1" si="5"/>
        <v>0</v>
      </c>
      <c r="Y27" s="13">
        <f t="shared" ca="1" si="6"/>
        <v>0</v>
      </c>
      <c r="Z27" t="str">
        <f t="shared" ca="1" si="8"/>
        <v/>
      </c>
      <c r="AA27" t="str">
        <f t="shared" ca="1" si="9"/>
        <v/>
      </c>
      <c r="AB27" s="24" t="str">
        <f t="shared" ca="1" si="10"/>
        <v/>
      </c>
      <c r="AC27" s="24" t="str">
        <f t="shared" ca="1" si="11"/>
        <v/>
      </c>
    </row>
    <row r="28" spans="2:29" x14ac:dyDescent="0.25">
      <c r="B28" s="13"/>
      <c r="C28" s="6">
        <v>21</v>
      </c>
      <c r="D28" s="37">
        <v>42037</v>
      </c>
      <c r="E28" s="39">
        <v>19.684000000000001</v>
      </c>
      <c r="F28" s="39">
        <v>2.8116197336635649</v>
      </c>
      <c r="G28" s="39">
        <v>57.751289512402508</v>
      </c>
      <c r="H28" s="39">
        <v>51.235316176406464</v>
      </c>
      <c r="I28" s="10">
        <v>0</v>
      </c>
      <c r="J28" s="40">
        <v>1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29" t="str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9" t="str" cm="1">
        <f t="array" aca="1" ref="U28" ca="1">z_score_diff(OFFSET(T28,0,0,$I$5*-1,1),OFFSET(E28,0,0,$I$5*-1,1))</f>
        <v/>
      </c>
      <c r="V28" s="9" t="str">
        <f t="shared" ca="1" si="7"/>
        <v/>
      </c>
      <c r="W28" s="17">
        <f t="shared" ca="1" si="0"/>
        <v>3.6757660130192119E-2</v>
      </c>
      <c r="X28" s="13">
        <f t="shared" ca="1" si="5"/>
        <v>0</v>
      </c>
      <c r="Y28" s="13">
        <f t="shared" ca="1" si="6"/>
        <v>0</v>
      </c>
      <c r="Z28" t="str">
        <f t="shared" ca="1" si="8"/>
        <v/>
      </c>
      <c r="AA28" t="str">
        <f t="shared" ca="1" si="9"/>
        <v/>
      </c>
      <c r="AB28" s="24" t="str">
        <f t="shared" ca="1" si="10"/>
        <v/>
      </c>
      <c r="AC28" s="24" t="str">
        <f t="shared" ca="1" si="11"/>
        <v/>
      </c>
    </row>
    <row r="29" spans="2:29" x14ac:dyDescent="0.25">
      <c r="B29" s="13"/>
      <c r="C29" s="6">
        <v>22</v>
      </c>
      <c r="D29" s="37">
        <v>42038</v>
      </c>
      <c r="E29" s="39">
        <v>19.847000000000001</v>
      </c>
      <c r="F29" s="39">
        <v>2.8027571488808767</v>
      </c>
      <c r="G29" s="39">
        <v>58.153796371683264</v>
      </c>
      <c r="H29" s="39">
        <v>51.072654831464547</v>
      </c>
      <c r="I29" s="10">
        <v>0</v>
      </c>
      <c r="J29" s="40">
        <v>1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29" t="str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9" t="str" cm="1">
        <f t="array" aca="1" ref="U29" ca="1">z_score_diff(OFFSET(T29,0,0,$I$5*-1,1),OFFSET(E29,0,0,$I$5*-1,1))</f>
        <v/>
      </c>
      <c r="V29" s="9" t="str">
        <f t="shared" ca="1" si="7"/>
        <v/>
      </c>
      <c r="W29" s="17">
        <f t="shared" ca="1" si="0"/>
        <v>3.3054717675097572E-2</v>
      </c>
      <c r="X29" s="13">
        <f t="shared" ca="1" si="5"/>
        <v>0</v>
      </c>
      <c r="Y29" s="13">
        <f t="shared" ca="1" si="6"/>
        <v>0</v>
      </c>
      <c r="Z29" t="str">
        <f t="shared" ca="1" si="8"/>
        <v/>
      </c>
      <c r="AA29" t="str">
        <f t="shared" ca="1" si="9"/>
        <v/>
      </c>
      <c r="AB29" s="24" t="str">
        <f t="shared" ca="1" si="10"/>
        <v/>
      </c>
      <c r="AC29" s="24" t="str">
        <f t="shared" ca="1" si="11"/>
        <v/>
      </c>
    </row>
    <row r="30" spans="2:29" x14ac:dyDescent="0.25">
      <c r="B30" s="13"/>
      <c r="C30" s="6">
        <v>23</v>
      </c>
      <c r="D30" s="37">
        <v>42039</v>
      </c>
      <c r="E30" s="39">
        <v>20.058</v>
      </c>
      <c r="F30" s="39">
        <v>2.8094720834238545</v>
      </c>
      <c r="G30" s="39">
        <v>58.975868468501766</v>
      </c>
      <c r="H30" s="39">
        <v>51.314360199869654</v>
      </c>
      <c r="I30" s="10">
        <v>0</v>
      </c>
      <c r="J30" s="40">
        <v>1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29" t="str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9" t="str" cm="1">
        <f t="array" aca="1" ref="U30" ca="1">z_score_diff(OFFSET(T30,0,0,$I$5*-1,1),OFFSET(E30,0,0,$I$5*-1,1))</f>
        <v/>
      </c>
      <c r="V30" s="9" t="str">
        <f t="shared" ca="1" si="7"/>
        <v/>
      </c>
      <c r="W30" s="17">
        <f t="shared" ca="1" si="0"/>
        <v>1.675975454641571E-2</v>
      </c>
      <c r="X30" s="13">
        <f t="shared" ca="1" si="5"/>
        <v>0</v>
      </c>
      <c r="Y30" s="13">
        <f t="shared" ca="1" si="6"/>
        <v>0</v>
      </c>
      <c r="Z30" t="str">
        <f t="shared" ca="1" si="8"/>
        <v/>
      </c>
      <c r="AA30" t="str">
        <f t="shared" ca="1" si="9"/>
        <v/>
      </c>
      <c r="AB30" s="24" t="str">
        <f t="shared" ca="1" si="10"/>
        <v/>
      </c>
      <c r="AC30" s="24" t="str">
        <f t="shared" ca="1" si="11"/>
        <v/>
      </c>
    </row>
    <row r="31" spans="2:29" x14ac:dyDescent="0.25">
      <c r="B31" s="13"/>
      <c r="C31" s="6">
        <v>24</v>
      </c>
      <c r="D31" s="37">
        <v>42040</v>
      </c>
      <c r="E31" s="39">
        <v>20.864000000000001</v>
      </c>
      <c r="F31" s="39">
        <v>2.7414244386279103</v>
      </c>
      <c r="G31" s="39">
        <v>61.169778096448162</v>
      </c>
      <c r="H31" s="39">
        <v>51.875258300041324</v>
      </c>
      <c r="I31" s="10">
        <v>0</v>
      </c>
      <c r="J31" s="40">
        <v>1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29" t="str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9" t="str" cm="1">
        <f t="array" aca="1" ref="U31" ca="1">z_score_diff(OFFSET(T31,0,0,$I$5*-1,1),OFFSET(E31,0,0,$I$5*-1,1))</f>
        <v/>
      </c>
      <c r="V31" s="9" t="str">
        <f t="shared" ca="1" si="7"/>
        <v/>
      </c>
      <c r="W31" s="17">
        <f t="shared" ca="1" si="0"/>
        <v>1.5325673497782106E-3</v>
      </c>
      <c r="X31" s="13">
        <f t="shared" ca="1" si="5"/>
        <v>0</v>
      </c>
      <c r="Y31" s="13">
        <f t="shared" ca="1" si="6"/>
        <v>0</v>
      </c>
      <c r="Z31" t="str">
        <f t="shared" ca="1" si="8"/>
        <v/>
      </c>
      <c r="AA31" t="str">
        <f t="shared" ca="1" si="9"/>
        <v/>
      </c>
      <c r="AB31" s="24" t="str">
        <f t="shared" ca="1" si="10"/>
        <v/>
      </c>
      <c r="AC31" s="24" t="str">
        <f t="shared" ca="1" si="11"/>
        <v/>
      </c>
    </row>
    <row r="32" spans="2:29" x14ac:dyDescent="0.25">
      <c r="B32" s="13"/>
      <c r="C32" s="6">
        <v>25</v>
      </c>
      <c r="D32" s="37">
        <v>42041</v>
      </c>
      <c r="E32" s="39">
        <v>20.759</v>
      </c>
      <c r="F32" s="39">
        <v>2.7848840503283898</v>
      </c>
      <c r="G32" s="39">
        <v>60.852034731610914</v>
      </c>
      <c r="H32" s="39">
        <v>52.211128204904711</v>
      </c>
      <c r="I32" s="10">
        <v>0</v>
      </c>
      <c r="J32" s="40">
        <v>1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29" t="str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9" t="str" cm="1">
        <f t="array" aca="1" ref="U32" ca="1">z_score_diff(OFFSET(T32,0,0,$I$5*-1,1),OFFSET(E32,0,0,$I$5*-1,1))</f>
        <v/>
      </c>
      <c r="V32" s="9" t="str">
        <f t="shared" ca="1" si="7"/>
        <v/>
      </c>
      <c r="W32" s="17">
        <f t="shared" ca="1" si="0"/>
        <v>4.3740606641529886E-3</v>
      </c>
      <c r="X32" s="13">
        <f t="shared" ca="1" si="5"/>
        <v>0</v>
      </c>
      <c r="Y32" s="13">
        <f t="shared" ca="1" si="6"/>
        <v>0</v>
      </c>
      <c r="Z32" t="str">
        <f t="shared" ca="1" si="8"/>
        <v/>
      </c>
      <c r="AA32" t="str">
        <f t="shared" ca="1" si="9"/>
        <v/>
      </c>
      <c r="AB32" s="24" t="str">
        <f t="shared" ca="1" si="10"/>
        <v/>
      </c>
      <c r="AC32" s="24" t="str">
        <f t="shared" ca="1" si="11"/>
        <v/>
      </c>
    </row>
    <row r="33" spans="2:29" x14ac:dyDescent="0.25">
      <c r="B33" s="13"/>
      <c r="C33" s="6">
        <v>26</v>
      </c>
      <c r="D33" s="37">
        <v>42044</v>
      </c>
      <c r="E33" s="39">
        <v>21.460999999999999</v>
      </c>
      <c r="F33" s="39">
        <v>2.7919358786845057</v>
      </c>
      <c r="G33" s="39">
        <v>61.619800000795436</v>
      </c>
      <c r="H33" s="39">
        <v>52.74624569558403</v>
      </c>
      <c r="I33" s="10">
        <v>0</v>
      </c>
      <c r="J33" s="40">
        <v>1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>
        <v>0</v>
      </c>
      <c r="S33" s="40">
        <v>0</v>
      </c>
      <c r="T33" s="29" t="str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9" t="str" cm="1">
        <f t="array" aca="1" ref="U33" ca="1">z_score_diff(OFFSET(T33,0,0,$I$5*-1,1),OFFSET(E33,0,0,$I$5*-1,1))</f>
        <v/>
      </c>
      <c r="V33" s="9" t="str">
        <f t="shared" ca="1" si="7"/>
        <v/>
      </c>
      <c r="W33" s="17">
        <f t="shared" ca="1" si="0"/>
        <v>-3.3739281695030668E-2</v>
      </c>
      <c r="X33" s="13">
        <f t="shared" ca="1" si="5"/>
        <v>0</v>
      </c>
      <c r="Y33" s="13">
        <f t="shared" ca="1" si="6"/>
        <v>0</v>
      </c>
      <c r="Z33" t="str">
        <f t="shared" ca="1" si="8"/>
        <v/>
      </c>
      <c r="AA33" t="str">
        <f t="shared" ca="1" si="9"/>
        <v/>
      </c>
      <c r="AB33" s="24" t="str">
        <f t="shared" ca="1" si="10"/>
        <v/>
      </c>
      <c r="AC33" s="24" t="str">
        <f t="shared" ca="1" si="11"/>
        <v/>
      </c>
    </row>
    <row r="34" spans="2:29" x14ac:dyDescent="0.25">
      <c r="B34" s="13"/>
      <c r="C34" s="6">
        <v>27</v>
      </c>
      <c r="D34" s="37">
        <v>42045</v>
      </c>
      <c r="E34" s="39">
        <v>21.448</v>
      </c>
      <c r="F34" s="39">
        <v>2.8258387302030035</v>
      </c>
      <c r="G34" s="39">
        <v>63.17043783097985</v>
      </c>
      <c r="H34" s="39">
        <v>52.25448237991057</v>
      </c>
      <c r="I34" s="10">
        <v>0</v>
      </c>
      <c r="J34" s="40">
        <v>1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  <c r="T34" s="29" t="str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9" t="str" cm="1">
        <f t="array" aca="1" ref="U34" ca="1">z_score_diff(OFFSET(T34,0,0,$I$5*-1,1),OFFSET(E34,0,0,$I$5*-1,1))</f>
        <v/>
      </c>
      <c r="V34" s="9" t="str">
        <f t="shared" ca="1" si="7"/>
        <v/>
      </c>
      <c r="W34" s="17">
        <f t="shared" ca="1" si="0"/>
        <v>9.7896715217007033E-3</v>
      </c>
      <c r="X34" s="13">
        <f t="shared" ca="1" si="5"/>
        <v>0</v>
      </c>
      <c r="Y34" s="13">
        <f t="shared" ca="1" si="6"/>
        <v>0</v>
      </c>
      <c r="Z34" t="str">
        <f t="shared" ca="1" si="8"/>
        <v/>
      </c>
      <c r="AA34" t="str">
        <f t="shared" ca="1" si="9"/>
        <v/>
      </c>
      <c r="AB34" s="24" t="str">
        <f t="shared" ca="1" si="10"/>
        <v/>
      </c>
      <c r="AC34" s="24" t="str">
        <f t="shared" ca="1" si="11"/>
        <v/>
      </c>
    </row>
    <row r="35" spans="2:29" x14ac:dyDescent="0.25">
      <c r="B35" s="13"/>
      <c r="C35" s="6">
        <v>28</v>
      </c>
      <c r="D35" s="37">
        <v>42046</v>
      </c>
      <c r="E35" s="39">
        <v>21.638000000000002</v>
      </c>
      <c r="F35" s="39">
        <v>2.8531019189467615</v>
      </c>
      <c r="G35" s="39">
        <v>63.367005785914515</v>
      </c>
      <c r="H35" s="39">
        <v>52.38253217160517</v>
      </c>
      <c r="I35" s="10">
        <v>0</v>
      </c>
      <c r="J35" s="40">
        <v>1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>
        <v>0</v>
      </c>
      <c r="S35" s="40">
        <v>0</v>
      </c>
      <c r="T35" s="29" t="str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9" t="str" cm="1">
        <f t="array" aca="1" ref="U35" ca="1">z_score_diff(OFFSET(T35,0,0,$I$5*-1,1),OFFSET(E35,0,0,$I$5*-1,1))</f>
        <v/>
      </c>
      <c r="V35" s="9" t="str">
        <f t="shared" ca="1" si="7"/>
        <v/>
      </c>
      <c r="W35" s="17">
        <f t="shared" ca="1" si="0"/>
        <v>5.024788721468651E-3</v>
      </c>
      <c r="X35" s="13">
        <f t="shared" ca="1" si="5"/>
        <v>0</v>
      </c>
      <c r="Y35" s="13">
        <f t="shared" ca="1" si="6"/>
        <v>0</v>
      </c>
      <c r="Z35" t="str">
        <f t="shared" ca="1" si="8"/>
        <v/>
      </c>
      <c r="AA35" t="str">
        <f t="shared" ca="1" si="9"/>
        <v/>
      </c>
      <c r="AB35" s="24" t="str">
        <f t="shared" ca="1" si="10"/>
        <v/>
      </c>
      <c r="AC35" s="24" t="str">
        <f t="shared" ca="1" si="11"/>
        <v/>
      </c>
    </row>
    <row r="36" spans="2:29" x14ac:dyDescent="0.25">
      <c r="B36" s="13"/>
      <c r="C36" s="6">
        <v>29</v>
      </c>
      <c r="D36" s="37">
        <v>42047</v>
      </c>
      <c r="E36" s="39">
        <v>22.106999999999999</v>
      </c>
      <c r="F36" s="39">
        <v>2.7977648995890219</v>
      </c>
      <c r="G36" s="39">
        <v>65.075055361068692</v>
      </c>
      <c r="H36" s="39">
        <v>51.988124408489234</v>
      </c>
      <c r="I36" s="10">
        <v>0</v>
      </c>
      <c r="J36" s="40">
        <v>1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  <c r="T36" s="29" t="str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9" t="str" cm="1">
        <f t="array" aca="1" ref="U36" ca="1">z_score_diff(OFFSET(T36,0,0,$I$5*-1,1),OFFSET(E36,0,0,$I$5*-1,1))</f>
        <v/>
      </c>
      <c r="V36" s="9" t="str">
        <f t="shared" ca="1" si="7"/>
        <v/>
      </c>
      <c r="W36" s="17">
        <f t="shared" ca="1" si="0"/>
        <v>-1.554518117910208E-2</v>
      </c>
      <c r="X36" s="13">
        <f t="shared" ca="1" si="5"/>
        <v>0</v>
      </c>
      <c r="Y36" s="13">
        <f t="shared" ca="1" si="6"/>
        <v>0</v>
      </c>
      <c r="Z36" t="str">
        <f t="shared" ca="1" si="8"/>
        <v/>
      </c>
      <c r="AA36" t="str">
        <f t="shared" ca="1" si="9"/>
        <v/>
      </c>
      <c r="AB36" s="24" t="str">
        <f t="shared" ca="1" si="10"/>
        <v/>
      </c>
      <c r="AC36" s="24" t="str">
        <f t="shared" ca="1" si="11"/>
        <v/>
      </c>
    </row>
    <row r="37" spans="2:29" x14ac:dyDescent="0.25">
      <c r="B37" s="13"/>
      <c r="C37" s="6">
        <v>30</v>
      </c>
      <c r="D37" s="37">
        <v>42048</v>
      </c>
      <c r="E37" s="39">
        <v>22.097999999999999</v>
      </c>
      <c r="F37" s="39">
        <v>2.8309194213534927</v>
      </c>
      <c r="G37" s="39">
        <v>64.507777897879151</v>
      </c>
      <c r="H37" s="39">
        <v>52.836328545897508</v>
      </c>
      <c r="I37" s="10">
        <v>0</v>
      </c>
      <c r="J37" s="40">
        <v>1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  <c r="T37" s="29" t="str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9" t="str" cm="1">
        <f t="array" aca="1" ref="U37" ca="1">z_score_diff(OFFSET(T37,0,0,$I$5*-1,1),OFFSET(E37,0,0,$I$5*-1,1))</f>
        <v/>
      </c>
      <c r="V37" s="9" t="str">
        <f t="shared" ca="1" si="7"/>
        <v/>
      </c>
      <c r="W37" s="17">
        <f t="shared" ca="1" si="0"/>
        <v>-2.1405866726015878E-2</v>
      </c>
      <c r="X37" s="13">
        <f t="shared" ca="1" si="5"/>
        <v>0</v>
      </c>
      <c r="Y37" s="13">
        <f t="shared" ca="1" si="6"/>
        <v>0</v>
      </c>
      <c r="Z37" t="str">
        <f t="shared" ca="1" si="8"/>
        <v/>
      </c>
      <c r="AA37" t="str">
        <f t="shared" ca="1" si="9"/>
        <v/>
      </c>
      <c r="AB37" s="24" t="str">
        <f t="shared" ca="1" si="10"/>
        <v/>
      </c>
      <c r="AC37" s="24" t="str">
        <f t="shared" ca="1" si="11"/>
        <v/>
      </c>
    </row>
    <row r="38" spans="2:29" x14ac:dyDescent="0.25">
      <c r="B38" s="13"/>
      <c r="C38" s="6">
        <v>31</v>
      </c>
      <c r="D38" s="37">
        <v>42051</v>
      </c>
      <c r="E38" s="39">
        <v>21.795000000000002</v>
      </c>
      <c r="F38" s="39">
        <v>2.8431116905693172</v>
      </c>
      <c r="G38" s="39">
        <v>64.007693746159802</v>
      </c>
      <c r="H38" s="39">
        <v>53.976531942633635</v>
      </c>
      <c r="I38" s="10">
        <v>0</v>
      </c>
      <c r="J38" s="40">
        <v>1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>
        <v>0</v>
      </c>
      <c r="S38" s="40">
        <v>0</v>
      </c>
      <c r="T38" s="29" t="str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9" t="str" cm="1">
        <f t="array" aca="1" ref="U38" ca="1">z_score_diff(OFFSET(T38,0,0,$I$5*-1,1),OFFSET(E38,0,0,$I$5*-1,1))</f>
        <v/>
      </c>
      <c r="V38" s="9" t="str">
        <f t="shared" ca="1" si="7"/>
        <v/>
      </c>
      <c r="W38" s="17">
        <f t="shared" ca="1" si="0"/>
        <v>-2.5267039972926685E-3</v>
      </c>
      <c r="X38" s="13">
        <f t="shared" ca="1" si="5"/>
        <v>0</v>
      </c>
      <c r="Y38" s="13">
        <f t="shared" ca="1" si="6"/>
        <v>0</v>
      </c>
      <c r="Z38" t="str">
        <f t="shared" ca="1" si="8"/>
        <v/>
      </c>
      <c r="AA38" t="str">
        <f t="shared" ca="1" si="9"/>
        <v/>
      </c>
      <c r="AB38" s="24" t="str">
        <f t="shared" ca="1" si="10"/>
        <v/>
      </c>
      <c r="AC38" s="24" t="str">
        <f t="shared" ca="1" si="11"/>
        <v/>
      </c>
    </row>
    <row r="39" spans="2:29" x14ac:dyDescent="0.25">
      <c r="C39" s="6">
        <v>32</v>
      </c>
      <c r="D39" s="37">
        <v>42052</v>
      </c>
      <c r="E39" s="39">
        <v>21.594000000000001</v>
      </c>
      <c r="F39" s="39">
        <v>2.8029272715497702</v>
      </c>
      <c r="G39" s="39">
        <v>63.884009598545866</v>
      </c>
      <c r="H39" s="39">
        <v>52.371392180990007</v>
      </c>
      <c r="I39" s="10">
        <v>0</v>
      </c>
      <c r="J39" s="40">
        <v>1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  <c r="Q39" s="40">
        <v>0</v>
      </c>
      <c r="R39" s="40">
        <v>0</v>
      </c>
      <c r="S39" s="40">
        <v>0</v>
      </c>
      <c r="T39" s="29" t="str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9" t="str" cm="1">
        <f t="array" aca="1" ref="U39" ca="1">z_score_diff(OFFSET(T39,0,0,$I$5*-1,1),OFFSET(E39,0,0,$I$5*-1,1))</f>
        <v/>
      </c>
      <c r="V39" s="9" t="str">
        <f t="shared" ca="1" si="7"/>
        <v/>
      </c>
      <c r="W39" s="17">
        <f t="shared" ca="1" si="0"/>
        <v>1.3248882729649558E-2</v>
      </c>
      <c r="X39" s="13">
        <f t="shared" ca="1" si="5"/>
        <v>0</v>
      </c>
      <c r="Y39" s="13">
        <f t="shared" ca="1" si="6"/>
        <v>0</v>
      </c>
      <c r="Z39" t="str">
        <f t="shared" ca="1" si="8"/>
        <v/>
      </c>
      <c r="AA39" t="str">
        <f t="shared" ca="1" si="9"/>
        <v/>
      </c>
      <c r="AB39" s="24" t="str">
        <f t="shared" ca="1" si="10"/>
        <v/>
      </c>
      <c r="AC39" s="24" t="str">
        <f t="shared" ca="1" si="11"/>
        <v/>
      </c>
    </row>
    <row r="40" spans="2:29" x14ac:dyDescent="0.25">
      <c r="C40" s="6">
        <v>33</v>
      </c>
      <c r="D40" s="37">
        <v>42053</v>
      </c>
      <c r="E40" s="39">
        <v>21.689</v>
      </c>
      <c r="F40" s="39">
        <v>2.8172061623680111</v>
      </c>
      <c r="G40" s="39">
        <v>63.670442005926176</v>
      </c>
      <c r="H40" s="39">
        <v>51.454041890254459</v>
      </c>
      <c r="I40" s="10">
        <v>0</v>
      </c>
      <c r="J40" s="40">
        <v>1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  <c r="R40" s="40">
        <v>0</v>
      </c>
      <c r="S40" s="40">
        <v>0</v>
      </c>
      <c r="T40" s="29" t="str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9" t="str" cm="1">
        <f t="array" aca="1" ref="U40" ca="1">z_score_diff(OFFSET(T40,0,0,$I$5*-1,1),OFFSET(E40,0,0,$I$5*-1,1))</f>
        <v/>
      </c>
      <c r="V40" s="9" t="str">
        <f t="shared" ca="1" si="7"/>
        <v/>
      </c>
      <c r="W40" s="17">
        <f t="shared" ca="1" si="0"/>
        <v>7.9447502911735319E-3</v>
      </c>
      <c r="X40" s="13">
        <f t="shared" ca="1" si="5"/>
        <v>0</v>
      </c>
      <c r="Y40" s="13">
        <f t="shared" ca="1" si="6"/>
        <v>0</v>
      </c>
      <c r="Z40" t="str">
        <f t="shared" ca="1" si="8"/>
        <v/>
      </c>
      <c r="AA40" t="str">
        <f t="shared" ca="1" si="9"/>
        <v/>
      </c>
      <c r="AB40" s="24" t="str">
        <f t="shared" ca="1" si="10"/>
        <v/>
      </c>
      <c r="AC40" s="24" t="str">
        <f t="shared" ca="1" si="11"/>
        <v/>
      </c>
    </row>
    <row r="41" spans="2:29" x14ac:dyDescent="0.25">
      <c r="C41" s="6">
        <v>34</v>
      </c>
      <c r="D41" s="37">
        <v>42054</v>
      </c>
      <c r="E41" s="39">
        <v>21.126000000000001</v>
      </c>
      <c r="F41" s="39">
        <v>2.8152640231814656</v>
      </c>
      <c r="G41" s="39">
        <v>61.903354257594465</v>
      </c>
      <c r="H41" s="39">
        <v>50.882969170906918</v>
      </c>
      <c r="I41" s="10">
        <v>0</v>
      </c>
      <c r="J41" s="40">
        <v>1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40">
        <v>0</v>
      </c>
      <c r="Q41" s="40">
        <v>0</v>
      </c>
      <c r="R41" s="40">
        <v>0</v>
      </c>
      <c r="S41" s="40">
        <v>0</v>
      </c>
      <c r="T41" s="29" t="str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9" t="str" cm="1">
        <f t="array" aca="1" ref="U41" ca="1">z_score_diff(OFFSET(T41,0,0,$I$5*-1,1),OFFSET(E41,0,0,$I$5*-1,1))</f>
        <v/>
      </c>
      <c r="V41" s="9" t="str">
        <f t="shared" ca="1" si="7"/>
        <v/>
      </c>
      <c r="W41" s="17">
        <f t="shared" ca="1" si="0"/>
        <v>4.8686472521250385E-2</v>
      </c>
      <c r="X41" s="13">
        <f t="shared" ca="1" si="5"/>
        <v>0</v>
      </c>
      <c r="Y41" s="13">
        <f t="shared" ca="1" si="6"/>
        <v>0</v>
      </c>
      <c r="Z41" t="str">
        <f t="shared" ca="1" si="8"/>
        <v/>
      </c>
      <c r="AA41" t="str">
        <f t="shared" ca="1" si="9"/>
        <v/>
      </c>
      <c r="AB41" s="24" t="str">
        <f t="shared" ca="1" si="10"/>
        <v/>
      </c>
      <c r="AC41" s="24" t="str">
        <f t="shared" ca="1" si="11"/>
        <v/>
      </c>
    </row>
    <row r="42" spans="2:29" x14ac:dyDescent="0.25">
      <c r="C42" s="6">
        <v>35</v>
      </c>
      <c r="D42" s="37">
        <v>42055</v>
      </c>
      <c r="E42" s="39">
        <v>21.247</v>
      </c>
      <c r="F42" s="39">
        <v>2.8284841526029592</v>
      </c>
      <c r="G42" s="39">
        <v>62.301014376336013</v>
      </c>
      <c r="H42" s="39">
        <v>51.300938061916426</v>
      </c>
      <c r="I42" s="10">
        <v>0</v>
      </c>
      <c r="J42" s="40">
        <v>1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>
        <v>0</v>
      </c>
      <c r="S42" s="40">
        <v>0</v>
      </c>
      <c r="T42" s="29" t="str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9" t="str" cm="1">
        <f t="array" aca="1" ref="U42" ca="1">z_score_diff(OFFSET(T42,0,0,$I$5*-1,1),OFFSET(E42,0,0,$I$5*-1,1))</f>
        <v/>
      </c>
      <c r="V42" s="9" t="str">
        <f t="shared" ca="1" si="7"/>
        <v/>
      </c>
      <c r="W42" s="17">
        <f t="shared" ca="1" si="0"/>
        <v>3.5871652863252244E-2</v>
      </c>
      <c r="X42" s="13">
        <f t="shared" ca="1" si="5"/>
        <v>0</v>
      </c>
      <c r="Y42" s="13">
        <f t="shared" ca="1" si="6"/>
        <v>0</v>
      </c>
      <c r="Z42" t="str">
        <f t="shared" ca="1" si="8"/>
        <v/>
      </c>
      <c r="AA42" t="str">
        <f t="shared" ca="1" si="9"/>
        <v/>
      </c>
      <c r="AB42" s="24" t="str">
        <f t="shared" ca="1" si="10"/>
        <v/>
      </c>
      <c r="AC42" s="24" t="str">
        <f t="shared" ca="1" si="11"/>
        <v/>
      </c>
    </row>
    <row r="43" spans="2:29" x14ac:dyDescent="0.25">
      <c r="C43" s="6">
        <v>36</v>
      </c>
      <c r="D43" s="37">
        <v>42058</v>
      </c>
      <c r="E43" s="39">
        <v>21.030999999999999</v>
      </c>
      <c r="F43" s="39">
        <v>2.7936071549751609</v>
      </c>
      <c r="G43" s="39">
        <v>61.763779781848712</v>
      </c>
      <c r="H43" s="39">
        <v>51.069679226733719</v>
      </c>
      <c r="I43" s="10">
        <v>0</v>
      </c>
      <c r="J43" s="40">
        <v>1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>
        <v>0</v>
      </c>
      <c r="S43" s="40">
        <v>0</v>
      </c>
      <c r="T43" s="29" t="str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9" t="str" cm="1">
        <f t="array" aca="1" ref="U43" ca="1">z_score_diff(OFFSET(T43,0,0,$I$5*-1,1),OFFSET(E43,0,0,$I$5*-1,1))</f>
        <v/>
      </c>
      <c r="V43" s="9" t="str">
        <f t="shared" ca="1" si="7"/>
        <v/>
      </c>
      <c r="W43" s="17">
        <f t="shared" ca="1" si="0"/>
        <v>5.4635143677819777E-2</v>
      </c>
      <c r="X43" s="13">
        <f t="shared" ca="1" si="5"/>
        <v>0</v>
      </c>
      <c r="Y43" s="13">
        <f t="shared" ca="1" si="6"/>
        <v>0</v>
      </c>
      <c r="Z43" t="str">
        <f t="shared" ca="1" si="8"/>
        <v/>
      </c>
      <c r="AA43" t="str">
        <f t="shared" ca="1" si="9"/>
        <v/>
      </c>
      <c r="AB43" s="24" t="str">
        <f t="shared" ca="1" si="10"/>
        <v/>
      </c>
      <c r="AC43" s="24" t="str">
        <f t="shared" ca="1" si="11"/>
        <v/>
      </c>
    </row>
    <row r="44" spans="2:29" x14ac:dyDescent="0.25">
      <c r="C44" s="6">
        <v>37</v>
      </c>
      <c r="D44" s="37">
        <v>42059</v>
      </c>
      <c r="E44" s="39">
        <v>21.248000000000001</v>
      </c>
      <c r="F44" s="39">
        <v>2.7871562826313956</v>
      </c>
      <c r="G44" s="39">
        <v>62.257332097322426</v>
      </c>
      <c r="H44" s="39">
        <v>51.296554124608427</v>
      </c>
      <c r="I44" s="10">
        <v>0</v>
      </c>
      <c r="J44" s="40">
        <v>1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29" t="str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9" t="str" cm="1">
        <f t="array" aca="1" ref="U44" ca="1">z_score_diff(OFFSET(T44,0,0,$I$5*-1,1),OFFSET(E44,0,0,$I$5*-1,1))</f>
        <v/>
      </c>
      <c r="V44" s="9" t="str">
        <f t="shared" ca="1" si="7"/>
        <v/>
      </c>
      <c r="W44" s="17">
        <f t="shared" ca="1" si="0"/>
        <v>4.3784469524606788E-2</v>
      </c>
      <c r="X44" s="13">
        <f t="shared" ca="1" si="5"/>
        <v>0</v>
      </c>
      <c r="Y44" s="13">
        <f t="shared" ca="1" si="6"/>
        <v>0</v>
      </c>
      <c r="Z44" t="str">
        <f t="shared" ca="1" si="8"/>
        <v/>
      </c>
      <c r="AA44" t="str">
        <f t="shared" ca="1" si="9"/>
        <v/>
      </c>
      <c r="AB44" s="24" t="str">
        <f t="shared" ca="1" si="10"/>
        <v/>
      </c>
      <c r="AC44" s="24" t="str">
        <f t="shared" ca="1" si="11"/>
        <v/>
      </c>
    </row>
    <row r="45" spans="2:29" x14ac:dyDescent="0.25">
      <c r="C45" s="6">
        <v>38</v>
      </c>
      <c r="D45" s="37">
        <v>42060</v>
      </c>
      <c r="E45" s="39">
        <v>21.675000000000001</v>
      </c>
      <c r="F45" s="39">
        <v>2.7863158808717552</v>
      </c>
      <c r="G45" s="39">
        <v>63.700360402842804</v>
      </c>
      <c r="H45" s="39">
        <v>51.4891030650343</v>
      </c>
      <c r="I45" s="10">
        <v>0</v>
      </c>
      <c r="J45" s="40">
        <v>1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>
        <v>0</v>
      </c>
      <c r="S45" s="40">
        <v>0</v>
      </c>
      <c r="T45" s="29" t="str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9" t="str" cm="1">
        <f t="array" aca="1" ref="U45" ca="1">z_score_diff(OFFSET(T45,0,0,$I$5*-1,1),OFFSET(E45,0,0,$I$5*-1,1))</f>
        <v/>
      </c>
      <c r="V45" s="9" t="str">
        <f t="shared" ca="1" si="7"/>
        <v/>
      </c>
      <c r="W45" s="17">
        <f t="shared" ca="1" si="0"/>
        <v>1.5791608627928378E-2</v>
      </c>
      <c r="X45" s="13">
        <f t="shared" ca="1" si="5"/>
        <v>0</v>
      </c>
      <c r="Y45" s="13">
        <f t="shared" ca="1" si="6"/>
        <v>0</v>
      </c>
      <c r="Z45" t="str">
        <f t="shared" ca="1" si="8"/>
        <v/>
      </c>
      <c r="AA45" t="str">
        <f t="shared" ca="1" si="9"/>
        <v/>
      </c>
      <c r="AB45" s="24" t="str">
        <f t="shared" ca="1" si="10"/>
        <v/>
      </c>
      <c r="AC45" s="24" t="str">
        <f t="shared" ca="1" si="11"/>
        <v/>
      </c>
    </row>
    <row r="46" spans="2:29" x14ac:dyDescent="0.25">
      <c r="C46" s="6">
        <v>39</v>
      </c>
      <c r="D46" s="37">
        <v>42061</v>
      </c>
      <c r="E46" s="39">
        <v>21.844999999999999</v>
      </c>
      <c r="F46" s="39">
        <v>2.7658937657353122</v>
      </c>
      <c r="G46" s="39">
        <v>64.021962788590528</v>
      </c>
      <c r="H46" s="39">
        <v>52.377682705681437</v>
      </c>
      <c r="I46" s="10">
        <v>0</v>
      </c>
      <c r="J46" s="40">
        <v>1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29" t="str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9" t="str" cm="1">
        <f t="array" aca="1" ref="U46" ca="1">z_score_diff(OFFSET(T46,0,0,$I$5*-1,1),OFFSET(E46,0,0,$I$5*-1,1))</f>
        <v/>
      </c>
      <c r="V46" s="9" t="str">
        <f t="shared" ca="1" si="7"/>
        <v/>
      </c>
      <c r="W46" s="17">
        <f t="shared" ca="1" si="0"/>
        <v>6.9794777315258967E-3</v>
      </c>
      <c r="X46" s="13">
        <f t="shared" ca="1" si="5"/>
        <v>0</v>
      </c>
      <c r="Y46" s="13">
        <f t="shared" ca="1" si="6"/>
        <v>0</v>
      </c>
      <c r="Z46" t="str">
        <f t="shared" ca="1" si="8"/>
        <v/>
      </c>
      <c r="AA46" t="str">
        <f t="shared" ca="1" si="9"/>
        <v/>
      </c>
      <c r="AB46" s="24" t="str">
        <f t="shared" ca="1" si="10"/>
        <v/>
      </c>
      <c r="AC46" s="24" t="str">
        <f t="shared" ca="1" si="11"/>
        <v/>
      </c>
    </row>
    <row r="47" spans="2:29" x14ac:dyDescent="0.25">
      <c r="C47" s="6">
        <v>40</v>
      </c>
      <c r="D47" s="37">
        <v>42062</v>
      </c>
      <c r="E47" s="39">
        <v>21.837</v>
      </c>
      <c r="F47" s="39">
        <v>2.7732413028071363</v>
      </c>
      <c r="G47" s="39">
        <v>62.691110718508355</v>
      </c>
      <c r="H47" s="39">
        <v>53.880116740252937</v>
      </c>
      <c r="I47" s="10">
        <v>0</v>
      </c>
      <c r="J47" s="40">
        <v>1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29" t="str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9" t="str" cm="1">
        <f t="array" aca="1" ref="U47" ca="1">z_score_diff(OFFSET(T47,0,0,$I$5*-1,1),OFFSET(E47,0,0,$I$5*-1,1))</f>
        <v/>
      </c>
      <c r="V47" s="9" t="str">
        <f t="shared" ca="1" si="7"/>
        <v/>
      </c>
      <c r="W47" s="17">
        <f t="shared" ca="1" si="0"/>
        <v>1.1338144820708378E-2</v>
      </c>
      <c r="X47" s="13">
        <f t="shared" ca="1" si="5"/>
        <v>0</v>
      </c>
      <c r="Y47" s="13">
        <f t="shared" ca="1" si="6"/>
        <v>0</v>
      </c>
      <c r="Z47" t="str">
        <f t="shared" ca="1" si="8"/>
        <v/>
      </c>
      <c r="AA47" t="str">
        <f t="shared" ca="1" si="9"/>
        <v/>
      </c>
      <c r="AB47" s="24" t="str">
        <f t="shared" ca="1" si="10"/>
        <v/>
      </c>
      <c r="AC47" s="24" t="str">
        <f t="shared" ca="1" si="11"/>
        <v/>
      </c>
    </row>
    <row r="48" spans="2:29" x14ac:dyDescent="0.25">
      <c r="C48" s="6">
        <v>41</v>
      </c>
      <c r="D48" s="37">
        <v>42065</v>
      </c>
      <c r="E48" s="39">
        <v>21.436</v>
      </c>
      <c r="F48" s="39">
        <v>2.7693799303688689</v>
      </c>
      <c r="G48" s="39">
        <v>61.671396386638357</v>
      </c>
      <c r="H48" s="39">
        <v>53.413247543078761</v>
      </c>
      <c r="I48" s="10">
        <v>0</v>
      </c>
      <c r="J48" s="40">
        <v>0</v>
      </c>
      <c r="K48" s="40">
        <v>1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29" t="str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9" t="str" cm="1">
        <f t="array" aca="1" ref="U48" ca="1">z_score_diff(OFFSET(T48,0,0,$I$5*-1,1),OFFSET(E48,0,0,$I$5*-1,1))</f>
        <v/>
      </c>
      <c r="V48" s="9" t="str">
        <f t="shared" ca="1" si="7"/>
        <v/>
      </c>
      <c r="W48" s="17">
        <f t="shared" ca="1" si="0"/>
        <v>3.0686835988511518E-2</v>
      </c>
      <c r="X48" s="13">
        <f t="shared" ca="1" si="5"/>
        <v>0</v>
      </c>
      <c r="Y48" s="13">
        <f t="shared" ca="1" si="6"/>
        <v>0</v>
      </c>
      <c r="Z48" t="str">
        <f t="shared" ca="1" si="8"/>
        <v/>
      </c>
      <c r="AA48" t="str">
        <f t="shared" ca="1" si="9"/>
        <v/>
      </c>
      <c r="AB48" s="24" t="str">
        <f t="shared" ca="1" si="10"/>
        <v/>
      </c>
      <c r="AC48" s="24" t="str">
        <f t="shared" ca="1" si="11"/>
        <v/>
      </c>
    </row>
    <row r="49" spans="3:29" x14ac:dyDescent="0.25">
      <c r="C49" s="6">
        <v>42</v>
      </c>
      <c r="D49" s="37">
        <v>42066</v>
      </c>
      <c r="E49" s="39">
        <v>21.202000000000002</v>
      </c>
      <c r="F49" s="39">
        <v>2.7902661688163946</v>
      </c>
      <c r="G49" s="39">
        <v>61.004185233844858</v>
      </c>
      <c r="H49" s="39">
        <v>52.780477308363217</v>
      </c>
      <c r="I49" s="10">
        <v>0</v>
      </c>
      <c r="J49" s="40">
        <v>0</v>
      </c>
      <c r="K49" s="40">
        <v>1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  <c r="R49" s="40">
        <v>0</v>
      </c>
      <c r="S49" s="40">
        <v>0</v>
      </c>
      <c r="T49" s="29" t="str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9" t="str" cm="1">
        <f t="array" aca="1" ref="U49" ca="1">z_score_diff(OFFSET(T49,0,0,$I$5*-1,1),OFFSET(E49,0,0,$I$5*-1,1))</f>
        <v/>
      </c>
      <c r="V49" s="9" t="str">
        <f t="shared" ca="1" si="7"/>
        <v/>
      </c>
      <c r="W49" s="17">
        <f t="shared" ca="1" si="0"/>
        <v>3.2299791600327088E-2</v>
      </c>
      <c r="X49" s="13">
        <f t="shared" ca="1" si="5"/>
        <v>0</v>
      </c>
      <c r="Y49" s="13">
        <f t="shared" ca="1" si="6"/>
        <v>0</v>
      </c>
      <c r="Z49" t="str">
        <f t="shared" ca="1" si="8"/>
        <v/>
      </c>
      <c r="AA49" t="str">
        <f t="shared" ca="1" si="9"/>
        <v/>
      </c>
      <c r="AB49" s="24" t="str">
        <f t="shared" ca="1" si="10"/>
        <v/>
      </c>
      <c r="AC49" s="24" t="str">
        <f t="shared" ca="1" si="11"/>
        <v/>
      </c>
    </row>
    <row r="50" spans="3:29" x14ac:dyDescent="0.25">
      <c r="C50" s="6">
        <v>43</v>
      </c>
      <c r="D50" s="37">
        <v>42067</v>
      </c>
      <c r="E50" s="39">
        <v>21.350999999999999</v>
      </c>
      <c r="F50" s="39">
        <v>2.8303398187870483</v>
      </c>
      <c r="G50" s="39">
        <v>61.148627550009088</v>
      </c>
      <c r="H50" s="39">
        <v>53.04662050305285</v>
      </c>
      <c r="I50" s="10">
        <v>0</v>
      </c>
      <c r="J50" s="40">
        <v>0</v>
      </c>
      <c r="K50" s="40">
        <v>1</v>
      </c>
      <c r="L50" s="40">
        <v>0</v>
      </c>
      <c r="M50" s="40">
        <v>0</v>
      </c>
      <c r="N50" s="40">
        <v>0</v>
      </c>
      <c r="O50" s="40">
        <v>0</v>
      </c>
      <c r="P50" s="40">
        <v>0</v>
      </c>
      <c r="Q50" s="40">
        <v>0</v>
      </c>
      <c r="R50" s="40">
        <v>0</v>
      </c>
      <c r="S50" s="40">
        <v>0</v>
      </c>
      <c r="T50" s="29" t="str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9" t="str" cm="1">
        <f t="array" aca="1" ref="U50" ca="1">z_score_diff(OFFSET(T50,0,0,$I$5*-1,1),OFFSET(E50,0,0,$I$5*-1,1))</f>
        <v/>
      </c>
      <c r="V50" s="9" t="str">
        <f t="shared" ca="1" si="7"/>
        <v/>
      </c>
      <c r="W50" s="17">
        <f t="shared" ca="1" si="0"/>
        <v>3.2486096736252024E-2</v>
      </c>
      <c r="X50" s="13">
        <f t="shared" ca="1" si="5"/>
        <v>0</v>
      </c>
      <c r="Y50" s="13">
        <f t="shared" ca="1" si="6"/>
        <v>0</v>
      </c>
      <c r="Z50" t="str">
        <f t="shared" ca="1" si="8"/>
        <v/>
      </c>
      <c r="AA50" t="str">
        <f t="shared" ca="1" si="9"/>
        <v/>
      </c>
      <c r="AB50" s="24" t="str">
        <f t="shared" ca="1" si="10"/>
        <v/>
      </c>
      <c r="AC50" s="24" t="str">
        <f t="shared" ca="1" si="11"/>
        <v/>
      </c>
    </row>
    <row r="51" spans="3:29" x14ac:dyDescent="0.25">
      <c r="C51" s="6">
        <v>44</v>
      </c>
      <c r="D51" s="37">
        <v>42068</v>
      </c>
      <c r="E51" s="39">
        <v>20.995999999999999</v>
      </c>
      <c r="F51" s="39">
        <v>2.8601955375942705</v>
      </c>
      <c r="G51" s="39">
        <v>60.130341437897108</v>
      </c>
      <c r="H51" s="39">
        <v>52.393703814637156</v>
      </c>
      <c r="I51" s="10">
        <v>0</v>
      </c>
      <c r="J51" s="40">
        <v>0</v>
      </c>
      <c r="K51" s="40">
        <v>1</v>
      </c>
      <c r="L51" s="40">
        <v>0</v>
      </c>
      <c r="M51" s="40">
        <v>0</v>
      </c>
      <c r="N51" s="40">
        <v>0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29" t="str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9" t="str" cm="1">
        <f t="array" aca="1" ref="U51" ca="1">z_score_diff(OFFSET(T51,0,0,$I$5*-1,1),OFFSET(E51,0,0,$I$5*-1,1))</f>
        <v/>
      </c>
      <c r="V51" s="9" t="str">
        <f t="shared" ca="1" si="7"/>
        <v/>
      </c>
      <c r="W51" s="17">
        <f t="shared" ca="1" si="0"/>
        <v>4.3158755403478341E-2</v>
      </c>
      <c r="X51" s="13">
        <f t="shared" ca="1" si="5"/>
        <v>0</v>
      </c>
      <c r="Y51" s="13">
        <f t="shared" ca="1" si="6"/>
        <v>0</v>
      </c>
      <c r="Z51" t="str">
        <f t="shared" ca="1" si="8"/>
        <v/>
      </c>
      <c r="AA51" t="str">
        <f t="shared" ca="1" si="9"/>
        <v/>
      </c>
      <c r="AB51" s="24" t="str">
        <f t="shared" ca="1" si="10"/>
        <v/>
      </c>
      <c r="AC51" s="24" t="str">
        <f t="shared" ca="1" si="11"/>
        <v/>
      </c>
    </row>
    <row r="52" spans="3:29" x14ac:dyDescent="0.25">
      <c r="C52" s="6">
        <v>45</v>
      </c>
      <c r="D52" s="37">
        <v>42069</v>
      </c>
      <c r="E52" s="39">
        <v>20.600999999999999</v>
      </c>
      <c r="F52" s="39">
        <v>2.9196166108669273</v>
      </c>
      <c r="G52" s="39">
        <v>58.89937931637381</v>
      </c>
      <c r="H52" s="39">
        <v>52.003118371984741</v>
      </c>
      <c r="I52" s="10">
        <v>0</v>
      </c>
      <c r="J52" s="40">
        <v>0</v>
      </c>
      <c r="K52" s="40">
        <v>1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  <c r="T52" s="29" t="str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9" t="str" cm="1">
        <f t="array" aca="1" ref="U52" ca="1">z_score_diff(OFFSET(T52,0,0,$I$5*-1,1),OFFSET(E52,0,0,$I$5*-1,1))</f>
        <v/>
      </c>
      <c r="V52" s="9" t="str">
        <f t="shared" ca="1" si="7"/>
        <v/>
      </c>
      <c r="W52" s="17">
        <f t="shared" ca="1" si="0"/>
        <v>6.0918681946712759E-2</v>
      </c>
      <c r="X52" s="13">
        <f t="shared" ca="1" si="5"/>
        <v>0</v>
      </c>
      <c r="Y52" s="13">
        <f t="shared" ca="1" si="6"/>
        <v>0</v>
      </c>
      <c r="Z52" t="str">
        <f t="shared" ca="1" si="8"/>
        <v/>
      </c>
      <c r="AA52" t="str">
        <f t="shared" ca="1" si="9"/>
        <v/>
      </c>
      <c r="AB52" s="24" t="str">
        <f t="shared" ca="1" si="10"/>
        <v/>
      </c>
      <c r="AC52" s="24" t="str">
        <f t="shared" ca="1" si="11"/>
        <v/>
      </c>
    </row>
    <row r="53" spans="3:29" x14ac:dyDescent="0.25">
      <c r="C53" s="6">
        <v>46</v>
      </c>
      <c r="D53" s="37">
        <v>42072</v>
      </c>
      <c r="E53" s="39">
        <v>20.974</v>
      </c>
      <c r="F53" s="39">
        <v>2.8532534712768851</v>
      </c>
      <c r="G53" s="39">
        <v>60.147692645565108</v>
      </c>
      <c r="H53" s="39">
        <v>52.137217533351482</v>
      </c>
      <c r="I53" s="10">
        <v>0</v>
      </c>
      <c r="J53" s="40">
        <v>0</v>
      </c>
      <c r="K53" s="40">
        <v>1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29" t="str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9" t="str" cm="1">
        <f t="array" aca="1" ref="U53" ca="1">z_score_diff(OFFSET(T53,0,0,$I$5*-1,1),OFFSET(E53,0,0,$I$5*-1,1))</f>
        <v/>
      </c>
      <c r="V53" s="9" t="str">
        <f t="shared" ca="1" si="7"/>
        <v/>
      </c>
      <c r="W53" s="17">
        <f t="shared" ca="1" si="0"/>
        <v>4.4070265189001465E-2</v>
      </c>
      <c r="X53" s="13">
        <f t="shared" ca="1" si="5"/>
        <v>0</v>
      </c>
      <c r="Y53" s="13">
        <f t="shared" ca="1" si="6"/>
        <v>0</v>
      </c>
      <c r="Z53" t="str">
        <f t="shared" ca="1" si="8"/>
        <v/>
      </c>
      <c r="AA53" t="str">
        <f t="shared" ca="1" si="9"/>
        <v/>
      </c>
      <c r="AB53" s="24" t="str">
        <f t="shared" ca="1" si="10"/>
        <v/>
      </c>
      <c r="AC53" s="24" t="str">
        <f t="shared" ca="1" si="11"/>
        <v/>
      </c>
    </row>
    <row r="54" spans="3:29" x14ac:dyDescent="0.25">
      <c r="C54" s="6">
        <v>47</v>
      </c>
      <c r="D54" s="37">
        <v>42073</v>
      </c>
      <c r="E54" s="39">
        <v>20.972000000000001</v>
      </c>
      <c r="F54" s="39">
        <v>2.9144200193557306</v>
      </c>
      <c r="G54" s="39">
        <v>60.100092760771638</v>
      </c>
      <c r="H54" s="39">
        <v>52.398728051983959</v>
      </c>
      <c r="I54" s="10">
        <v>0</v>
      </c>
      <c r="J54" s="40">
        <v>0</v>
      </c>
      <c r="K54" s="40">
        <v>1</v>
      </c>
      <c r="L54" s="40">
        <v>0</v>
      </c>
      <c r="M54" s="40">
        <v>0</v>
      </c>
      <c r="N54" s="40">
        <v>0</v>
      </c>
      <c r="O54" s="40">
        <v>0</v>
      </c>
      <c r="P54" s="40">
        <v>0</v>
      </c>
      <c r="Q54" s="40">
        <v>0</v>
      </c>
      <c r="R54" s="40">
        <v>0</v>
      </c>
      <c r="S54" s="40">
        <v>0</v>
      </c>
      <c r="T54" s="29" t="str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9" t="str" cm="1">
        <f t="array" aca="1" ref="U54" ca="1">z_score_diff(OFFSET(T54,0,0,$I$5*-1,1),OFFSET(E54,0,0,$I$5*-1,1))</f>
        <v/>
      </c>
      <c r="V54" s="9" t="str">
        <f t="shared" ca="1" si="7"/>
        <v/>
      </c>
      <c r="W54" s="17">
        <f t="shared" ca="1" si="0"/>
        <v>5.4784712790251933E-2</v>
      </c>
      <c r="X54" s="13">
        <f t="shared" ca="1" si="5"/>
        <v>0</v>
      </c>
      <c r="Y54" s="13">
        <f t="shared" ca="1" si="6"/>
        <v>0</v>
      </c>
      <c r="Z54" t="str">
        <f t="shared" ca="1" si="8"/>
        <v/>
      </c>
      <c r="AA54" t="str">
        <f t="shared" ca="1" si="9"/>
        <v/>
      </c>
      <c r="AB54" s="24" t="str">
        <f t="shared" ca="1" si="10"/>
        <v/>
      </c>
      <c r="AC54" s="24" t="str">
        <f t="shared" ca="1" si="11"/>
        <v/>
      </c>
    </row>
    <row r="55" spans="3:29" x14ac:dyDescent="0.25">
      <c r="C55" s="6">
        <v>48</v>
      </c>
      <c r="D55" s="37">
        <v>42074</v>
      </c>
      <c r="E55" s="39">
        <v>21.154</v>
      </c>
      <c r="F55" s="39">
        <v>2.9683925486717397</v>
      </c>
      <c r="G55" s="39">
        <v>60.67185568247465</v>
      </c>
      <c r="H55" s="39">
        <v>53.317148326252394</v>
      </c>
      <c r="I55" s="10">
        <v>0</v>
      </c>
      <c r="J55" s="40">
        <v>0</v>
      </c>
      <c r="K55" s="40">
        <v>1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29" t="str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9" t="str" cm="1">
        <f t="array" aca="1" ref="U55" ca="1">z_score_diff(OFFSET(T55,0,0,$I$5*-1,1),OFFSET(E55,0,0,$I$5*-1,1))</f>
        <v/>
      </c>
      <c r="V55" s="9" t="str">
        <f t="shared" ca="1" si="7"/>
        <v/>
      </c>
      <c r="W55" s="17">
        <f t="shared" ca="1" si="0"/>
        <v>3.3469704007172779E-2</v>
      </c>
      <c r="X55" s="13">
        <f t="shared" ca="1" si="5"/>
        <v>0</v>
      </c>
      <c r="Y55" s="13">
        <f t="shared" ca="1" si="6"/>
        <v>0</v>
      </c>
      <c r="Z55" t="str">
        <f t="shared" ca="1" si="8"/>
        <v/>
      </c>
      <c r="AA55" t="str">
        <f t="shared" ca="1" si="9"/>
        <v/>
      </c>
      <c r="AB55" s="24" t="str">
        <f t="shared" ca="1" si="10"/>
        <v/>
      </c>
      <c r="AC55" s="24" t="str">
        <f t="shared" ca="1" si="11"/>
        <v/>
      </c>
    </row>
    <row r="56" spans="3:29" x14ac:dyDescent="0.25">
      <c r="C56" s="6">
        <v>49</v>
      </c>
      <c r="D56" s="37">
        <v>42075</v>
      </c>
      <c r="E56" s="39">
        <v>21.082999999999998</v>
      </c>
      <c r="F56" s="39">
        <v>2.9217439651577628</v>
      </c>
      <c r="G56" s="39">
        <v>60.212428342376704</v>
      </c>
      <c r="H56" s="39">
        <v>52.587684751888055</v>
      </c>
      <c r="I56" s="10">
        <v>0</v>
      </c>
      <c r="J56" s="40">
        <v>0</v>
      </c>
      <c r="K56" s="40">
        <v>1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29" t="str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9" t="str" cm="1">
        <f t="array" aca="1" ref="U56" ca="1">z_score_diff(OFFSET(T56,0,0,$I$5*-1,1),OFFSET(E56,0,0,$I$5*-1,1))</f>
        <v/>
      </c>
      <c r="V56" s="9" t="str">
        <f t="shared" ca="1" si="7"/>
        <v/>
      </c>
      <c r="W56" s="17">
        <f t="shared" ca="1" si="0"/>
        <v>3.68316883751778E-2</v>
      </c>
      <c r="X56" s="13">
        <f t="shared" ca="1" si="5"/>
        <v>0</v>
      </c>
      <c r="Y56" s="13">
        <f t="shared" ca="1" si="6"/>
        <v>0</v>
      </c>
      <c r="Z56" t="str">
        <f t="shared" ca="1" si="8"/>
        <v/>
      </c>
      <c r="AA56" t="str">
        <f t="shared" ca="1" si="9"/>
        <v/>
      </c>
      <c r="AB56" s="24" t="str">
        <f t="shared" ca="1" si="10"/>
        <v/>
      </c>
      <c r="AC56" s="24" t="str">
        <f t="shared" ca="1" si="11"/>
        <v/>
      </c>
    </row>
    <row r="57" spans="3:29" x14ac:dyDescent="0.25">
      <c r="C57" s="6">
        <v>50</v>
      </c>
      <c r="D57" s="37">
        <v>42076</v>
      </c>
      <c r="E57" s="39">
        <v>20.920999999999999</v>
      </c>
      <c r="F57" s="39">
        <v>2.9437578909326438</v>
      </c>
      <c r="G57" s="39">
        <v>60.18642401689268</v>
      </c>
      <c r="H57" s="39">
        <v>53.08338926410746</v>
      </c>
      <c r="I57" s="10">
        <v>0</v>
      </c>
      <c r="J57" s="40">
        <v>0</v>
      </c>
      <c r="K57" s="40">
        <v>1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29" t="str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9" t="str" cm="1">
        <f t="array" aca="1" ref="U57" ca="1">z_score_diff(OFFSET(T57,0,0,$I$5*-1,1),OFFSET(E57,0,0,$I$5*-1,1))</f>
        <v/>
      </c>
      <c r="V57" s="9" t="str">
        <f t="shared" ca="1" si="7"/>
        <v/>
      </c>
      <c r="W57" s="17">
        <f t="shared" ca="1" si="0"/>
        <v>6.0284348497750564E-2</v>
      </c>
      <c r="X57" s="13">
        <f t="shared" ca="1" si="5"/>
        <v>0</v>
      </c>
      <c r="Y57" s="13">
        <f t="shared" ca="1" si="6"/>
        <v>0</v>
      </c>
      <c r="Z57" t="str">
        <f t="shared" ca="1" si="8"/>
        <v/>
      </c>
      <c r="AA57" t="str">
        <f t="shared" ca="1" si="9"/>
        <v/>
      </c>
      <c r="AB57" s="24" t="str">
        <f t="shared" ca="1" si="10"/>
        <v/>
      </c>
      <c r="AC57" s="24" t="str">
        <f t="shared" ca="1" si="11"/>
        <v/>
      </c>
    </row>
    <row r="58" spans="3:29" x14ac:dyDescent="0.25">
      <c r="C58" s="6">
        <v>51</v>
      </c>
      <c r="D58" s="37">
        <v>42079</v>
      </c>
      <c r="E58" s="39">
        <v>20.594000000000001</v>
      </c>
      <c r="F58" s="39">
        <v>2.898942365932069</v>
      </c>
      <c r="G58" s="39">
        <v>59.204419858933015</v>
      </c>
      <c r="H58" s="39">
        <v>51.949867213343893</v>
      </c>
      <c r="I58" s="10">
        <v>0</v>
      </c>
      <c r="J58" s="40">
        <v>0</v>
      </c>
      <c r="K58" s="40">
        <v>1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29" t="str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9" t="str" cm="1">
        <f t="array" aca="1" ref="U58" ca="1">z_score_diff(OFFSET(T58,0,0,$I$5*-1,1),OFFSET(E58,0,0,$I$5*-1,1))</f>
        <v/>
      </c>
      <c r="V58" s="9" t="str">
        <f t="shared" ca="1" si="7"/>
        <v/>
      </c>
      <c r="W58" s="17">
        <f t="shared" ca="1" si="0"/>
        <v>7.7297292547461482E-2</v>
      </c>
      <c r="X58" s="13">
        <f t="shared" ca="1" si="5"/>
        <v>0</v>
      </c>
      <c r="Y58" s="13">
        <f t="shared" ca="1" si="6"/>
        <v>0</v>
      </c>
      <c r="Z58" t="str">
        <f t="shared" ca="1" si="8"/>
        <v/>
      </c>
      <c r="AA58" t="str">
        <f t="shared" ca="1" si="9"/>
        <v/>
      </c>
      <c r="AB58" s="24" t="str">
        <f t="shared" ca="1" si="10"/>
        <v/>
      </c>
      <c r="AC58" s="24" t="str">
        <f t="shared" ca="1" si="11"/>
        <v/>
      </c>
    </row>
    <row r="59" spans="3:29" x14ac:dyDescent="0.25">
      <c r="C59" s="6">
        <v>52</v>
      </c>
      <c r="D59" s="37">
        <v>42080</v>
      </c>
      <c r="E59" s="39">
        <v>20.420999999999999</v>
      </c>
      <c r="F59" s="39">
        <v>2.9190620328571111</v>
      </c>
      <c r="G59" s="39">
        <v>58.693654777087524</v>
      </c>
      <c r="H59" s="39">
        <v>51.966741285577228</v>
      </c>
      <c r="I59" s="10">
        <v>0</v>
      </c>
      <c r="J59" s="40">
        <v>0</v>
      </c>
      <c r="K59" s="40">
        <v>1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29" t="str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9" t="str" cm="1">
        <f t="array" aca="1" ref="U59" ca="1">z_score_diff(OFFSET(T59,0,0,$I$5*-1,1),OFFSET(E59,0,0,$I$5*-1,1))</f>
        <v/>
      </c>
      <c r="V59" s="9" t="str">
        <f t="shared" ca="1" si="7"/>
        <v/>
      </c>
      <c r="W59" s="17">
        <f t="shared" ca="1" si="0"/>
        <v>7.8380140491014993E-2</v>
      </c>
      <c r="X59" s="13">
        <f t="shared" ca="1" si="5"/>
        <v>0</v>
      </c>
      <c r="Y59" s="13">
        <f t="shared" ca="1" si="6"/>
        <v>0</v>
      </c>
      <c r="Z59" t="str">
        <f t="shared" ca="1" si="8"/>
        <v/>
      </c>
      <c r="AA59" t="str">
        <f t="shared" ca="1" si="9"/>
        <v/>
      </c>
      <c r="AB59" s="24" t="str">
        <f t="shared" ca="1" si="10"/>
        <v/>
      </c>
      <c r="AC59" s="24" t="str">
        <f t="shared" ca="1" si="11"/>
        <v/>
      </c>
    </row>
    <row r="60" spans="3:29" x14ac:dyDescent="0.25">
      <c r="C60" s="6">
        <v>53</v>
      </c>
      <c r="D60" s="37">
        <v>42081</v>
      </c>
      <c r="E60" s="39">
        <v>20.556000000000001</v>
      </c>
      <c r="F60" s="39">
        <v>2.8816377504528936</v>
      </c>
      <c r="G60" s="39">
        <v>59.01959101725366</v>
      </c>
      <c r="H60" s="39">
        <v>51.234157799390822</v>
      </c>
      <c r="I60" s="10">
        <v>0</v>
      </c>
      <c r="J60" s="40">
        <v>0</v>
      </c>
      <c r="K60" s="40">
        <v>1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  <c r="T60" s="29" t="str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9" t="str" cm="1">
        <f t="array" aca="1" ref="U60" ca="1">z_score_diff(OFFSET(T60,0,0,$I$5*-1,1),OFFSET(E60,0,0,$I$5*-1,1))</f>
        <v/>
      </c>
      <c r="V60" s="9" t="str">
        <f t="shared" ca="1" si="7"/>
        <v/>
      </c>
      <c r="W60" s="17">
        <f t="shared" ca="1" si="0"/>
        <v>7.8199886287691714E-2</v>
      </c>
      <c r="X60" s="13">
        <f t="shared" ca="1" si="5"/>
        <v>0</v>
      </c>
      <c r="Y60" s="13">
        <f t="shared" ca="1" si="6"/>
        <v>0</v>
      </c>
      <c r="Z60" t="str">
        <f t="shared" ca="1" si="8"/>
        <v/>
      </c>
      <c r="AA60" t="str">
        <f t="shared" ca="1" si="9"/>
        <v/>
      </c>
      <c r="AB60" s="24" t="str">
        <f t="shared" ca="1" si="10"/>
        <v/>
      </c>
      <c r="AC60" s="24" t="str">
        <f t="shared" ca="1" si="11"/>
        <v/>
      </c>
    </row>
    <row r="61" spans="3:29" x14ac:dyDescent="0.25">
      <c r="C61" s="6">
        <v>54</v>
      </c>
      <c r="D61" s="37">
        <v>42082</v>
      </c>
      <c r="E61" s="39">
        <v>20.57</v>
      </c>
      <c r="F61" s="39">
        <v>2.9076275498404178</v>
      </c>
      <c r="G61" s="39">
        <v>58.720755644126562</v>
      </c>
      <c r="H61" s="39">
        <v>51.112447384245336</v>
      </c>
      <c r="I61" s="10">
        <v>0</v>
      </c>
      <c r="J61" s="40">
        <v>0</v>
      </c>
      <c r="K61" s="40">
        <v>1</v>
      </c>
      <c r="L61" s="40">
        <v>0</v>
      </c>
      <c r="M61" s="40">
        <v>0</v>
      </c>
      <c r="N61" s="40">
        <v>0</v>
      </c>
      <c r="O61" s="40">
        <v>0</v>
      </c>
      <c r="P61" s="40">
        <v>0</v>
      </c>
      <c r="Q61" s="40">
        <v>0</v>
      </c>
      <c r="R61" s="40">
        <v>0</v>
      </c>
      <c r="S61" s="40">
        <v>0</v>
      </c>
      <c r="T61" s="29" t="str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9" t="str" cm="1">
        <f t="array" aca="1" ref="U61" ca="1">z_score_diff(OFFSET(T61,0,0,$I$5*-1,1),OFFSET(E61,0,0,$I$5*-1,1))</f>
        <v/>
      </c>
      <c r="V61" s="9" t="str">
        <f t="shared" ca="1" si="7"/>
        <v/>
      </c>
      <c r="W61" s="17">
        <f t="shared" ca="1" si="0"/>
        <v>9.6635151290451193E-2</v>
      </c>
      <c r="X61" s="13">
        <f t="shared" ca="1" si="5"/>
        <v>0</v>
      </c>
      <c r="Y61" s="13">
        <f t="shared" ca="1" si="6"/>
        <v>0</v>
      </c>
      <c r="Z61" t="str">
        <f t="shared" ca="1" si="8"/>
        <v/>
      </c>
      <c r="AA61" t="str">
        <f t="shared" ca="1" si="9"/>
        <v/>
      </c>
      <c r="AB61" s="24" t="str">
        <f t="shared" ca="1" si="10"/>
        <v/>
      </c>
      <c r="AC61" s="24" t="str">
        <f t="shared" ca="1" si="11"/>
        <v/>
      </c>
    </row>
    <row r="62" spans="3:29" x14ac:dyDescent="0.25">
      <c r="C62" s="6">
        <v>55</v>
      </c>
      <c r="D62" s="37">
        <v>42083</v>
      </c>
      <c r="E62" s="39">
        <v>20.532</v>
      </c>
      <c r="F62" s="39">
        <v>2.8524939050832878</v>
      </c>
      <c r="G62" s="39">
        <v>58.75898198293865</v>
      </c>
      <c r="H62" s="39">
        <v>50.381000623157398</v>
      </c>
      <c r="I62" s="10">
        <v>0</v>
      </c>
      <c r="J62" s="40">
        <v>0</v>
      </c>
      <c r="K62" s="40">
        <v>1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29" t="str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9" t="str" cm="1">
        <f t="array" aca="1" ref="U62" ca="1">z_score_diff(OFFSET(T62,0,0,$I$5*-1,1),OFFSET(E62,0,0,$I$5*-1,1))</f>
        <v/>
      </c>
      <c r="V62" s="9" t="str">
        <f t="shared" ca="1" si="7"/>
        <v/>
      </c>
      <c r="W62" s="17">
        <f t="shared" ca="1" si="0"/>
        <v>9.5788254764959002E-2</v>
      </c>
      <c r="X62" s="13">
        <f t="shared" ca="1" si="5"/>
        <v>0</v>
      </c>
      <c r="Y62" s="13">
        <f t="shared" ca="1" si="6"/>
        <v>0</v>
      </c>
      <c r="Z62" t="str">
        <f t="shared" ca="1" si="8"/>
        <v/>
      </c>
      <c r="AA62" t="str">
        <f t="shared" ca="1" si="9"/>
        <v/>
      </c>
      <c r="AB62" s="24" t="str">
        <f t="shared" ca="1" si="10"/>
        <v/>
      </c>
      <c r="AC62" s="24" t="str">
        <f t="shared" ca="1" si="11"/>
        <v/>
      </c>
    </row>
    <row r="63" spans="3:29" x14ac:dyDescent="0.25">
      <c r="C63" s="6">
        <v>56</v>
      </c>
      <c r="D63" s="37">
        <v>42086</v>
      </c>
      <c r="E63" s="39">
        <v>20.420999999999999</v>
      </c>
      <c r="F63" s="39">
        <v>2.8141744337881041</v>
      </c>
      <c r="G63" s="39">
        <v>58.286783923528603</v>
      </c>
      <c r="H63" s="39">
        <v>49.88968436219551</v>
      </c>
      <c r="I63" s="10">
        <v>0</v>
      </c>
      <c r="J63" s="40">
        <v>0</v>
      </c>
      <c r="K63" s="40">
        <v>1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29" t="str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9" t="str" cm="1">
        <f t="array" aca="1" ref="U63" ca="1">z_score_diff(OFFSET(T63,0,0,$I$5*-1,1),OFFSET(E63,0,0,$I$5*-1,1))</f>
        <v/>
      </c>
      <c r="V63" s="9" t="str">
        <f t="shared" ca="1" si="7"/>
        <v/>
      </c>
      <c r="W63" s="17">
        <f t="shared" ca="1" si="0"/>
        <v>9.7706796343599023E-2</v>
      </c>
      <c r="X63" s="13">
        <f t="shared" ca="1" si="5"/>
        <v>0</v>
      </c>
      <c r="Y63" s="13">
        <f t="shared" ca="1" si="6"/>
        <v>0</v>
      </c>
      <c r="Z63" t="str">
        <f t="shared" ca="1" si="8"/>
        <v/>
      </c>
      <c r="AA63" t="str">
        <f t="shared" ca="1" si="9"/>
        <v/>
      </c>
      <c r="AB63" s="24" t="str">
        <f t="shared" ca="1" si="10"/>
        <v/>
      </c>
      <c r="AC63" s="24" t="str">
        <f t="shared" ca="1" si="11"/>
        <v/>
      </c>
    </row>
    <row r="64" spans="3:29" x14ac:dyDescent="0.25">
      <c r="C64" s="6">
        <v>57</v>
      </c>
      <c r="D64" s="37">
        <v>42087</v>
      </c>
      <c r="E64" s="39">
        <v>20.513999999999999</v>
      </c>
      <c r="F64" s="39">
        <v>2.8455394612156493</v>
      </c>
      <c r="G64" s="39">
        <v>58.619556396171625</v>
      </c>
      <c r="H64" s="39">
        <v>50.268489689093457</v>
      </c>
      <c r="I64" s="10">
        <v>0</v>
      </c>
      <c r="J64" s="40">
        <v>0</v>
      </c>
      <c r="K64" s="40">
        <v>1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>
        <v>0</v>
      </c>
      <c r="S64" s="40">
        <v>0</v>
      </c>
      <c r="T64" s="29" t="str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9" t="str" cm="1">
        <f t="array" aca="1" ref="U64" ca="1">z_score_diff(OFFSET(T64,0,0,$I$5*-1,1),OFFSET(E64,0,0,$I$5*-1,1))</f>
        <v/>
      </c>
      <c r="V64" s="9" t="str">
        <f t="shared" ca="1" si="7"/>
        <v/>
      </c>
      <c r="W64" s="17">
        <f t="shared" ca="1" si="0"/>
        <v>8.616606840167923E-2</v>
      </c>
      <c r="X64" s="13">
        <f t="shared" ca="1" si="5"/>
        <v>0</v>
      </c>
      <c r="Y64" s="13">
        <f t="shared" ca="1" si="6"/>
        <v>0</v>
      </c>
      <c r="Z64" t="str">
        <f t="shared" ca="1" si="8"/>
        <v/>
      </c>
      <c r="AA64" t="str">
        <f t="shared" ca="1" si="9"/>
        <v/>
      </c>
      <c r="AB64" s="24" t="str">
        <f t="shared" ca="1" si="10"/>
        <v/>
      </c>
      <c r="AC64" s="24" t="str">
        <f t="shared" ca="1" si="11"/>
        <v/>
      </c>
    </row>
    <row r="65" spans="3:29" x14ac:dyDescent="0.25">
      <c r="C65" s="6">
        <v>58</v>
      </c>
      <c r="D65" s="37">
        <v>42088</v>
      </c>
      <c r="E65" s="39">
        <v>20.396999999999998</v>
      </c>
      <c r="F65" s="39">
        <v>2.7995148465926958</v>
      </c>
      <c r="G65" s="39">
        <v>59.151400277887092</v>
      </c>
      <c r="H65" s="39">
        <v>50.222361978347777</v>
      </c>
      <c r="I65" s="10">
        <v>0</v>
      </c>
      <c r="J65" s="40">
        <v>0</v>
      </c>
      <c r="K65" s="40">
        <v>1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29" t="str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9" t="str" cm="1">
        <f t="array" aca="1" ref="U65" ca="1">z_score_diff(OFFSET(T65,0,0,$I$5*-1,1),OFFSET(E65,0,0,$I$5*-1,1))</f>
        <v/>
      </c>
      <c r="V65" s="9" t="str">
        <f t="shared" ca="1" si="7"/>
        <v/>
      </c>
      <c r="W65" s="17">
        <f t="shared" ca="1" si="0"/>
        <v>8.9602353278080554E-2</v>
      </c>
      <c r="X65" s="13">
        <f t="shared" ca="1" si="5"/>
        <v>0</v>
      </c>
      <c r="Y65" s="13">
        <f t="shared" ca="1" si="6"/>
        <v>0</v>
      </c>
      <c r="Z65" t="str">
        <f t="shared" ca="1" si="8"/>
        <v/>
      </c>
      <c r="AA65" t="str">
        <f t="shared" ca="1" si="9"/>
        <v/>
      </c>
      <c r="AB65" s="24" t="str">
        <f t="shared" ca="1" si="10"/>
        <v/>
      </c>
      <c r="AC65" s="24" t="str">
        <f t="shared" ca="1" si="11"/>
        <v/>
      </c>
    </row>
    <row r="66" spans="3:29" x14ac:dyDescent="0.25">
      <c r="C66" s="6">
        <v>59</v>
      </c>
      <c r="D66" s="37">
        <v>42089</v>
      </c>
      <c r="E66" s="39">
        <v>20.896000000000001</v>
      </c>
      <c r="F66" s="39">
        <v>2.8008208489840904</v>
      </c>
      <c r="G66" s="39">
        <v>60.727927578716148</v>
      </c>
      <c r="H66" s="39">
        <v>51.439023682798428</v>
      </c>
      <c r="I66" s="10">
        <v>0</v>
      </c>
      <c r="J66" s="40">
        <v>0</v>
      </c>
      <c r="K66" s="40">
        <v>1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29" t="str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9" t="str" cm="1">
        <f t="array" aca="1" ref="U66" ca="1">z_score_diff(OFFSET(T66,0,0,$I$5*-1,1),OFFSET(E66,0,0,$I$5*-1,1))</f>
        <v/>
      </c>
      <c r="V66" s="9" t="str">
        <f t="shared" ca="1" si="7"/>
        <v/>
      </c>
      <c r="W66" s="17">
        <f t="shared" ca="1" si="0"/>
        <v>5.9362678256139202E-2</v>
      </c>
      <c r="X66" s="13">
        <f t="shared" ca="1" si="5"/>
        <v>0</v>
      </c>
      <c r="Y66" s="13">
        <f t="shared" ca="1" si="6"/>
        <v>0</v>
      </c>
      <c r="Z66" t="str">
        <f t="shared" ca="1" si="8"/>
        <v/>
      </c>
      <c r="AA66" t="str">
        <f t="shared" ca="1" si="9"/>
        <v/>
      </c>
      <c r="AB66" s="24" t="str">
        <f t="shared" ca="1" si="10"/>
        <v/>
      </c>
      <c r="AC66" s="24" t="str">
        <f t="shared" ca="1" si="11"/>
        <v/>
      </c>
    </row>
    <row r="67" spans="3:29" x14ac:dyDescent="0.25">
      <c r="C67" s="6">
        <v>60</v>
      </c>
      <c r="D67" s="37">
        <v>42090</v>
      </c>
      <c r="E67" s="39">
        <v>20.85</v>
      </c>
      <c r="F67" s="39">
        <v>2.7788247573624814</v>
      </c>
      <c r="G67" s="39">
        <v>60.711819790273168</v>
      </c>
      <c r="H67" s="39">
        <v>51.372469430209549</v>
      </c>
      <c r="I67" s="10">
        <v>0</v>
      </c>
      <c r="J67" s="40">
        <v>0</v>
      </c>
      <c r="K67" s="40">
        <v>1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29" t="str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9" t="str" cm="1">
        <f t="array" aca="1" ref="U67" ca="1">z_score_diff(OFFSET(T67,0,0,$I$5*-1,1),OFFSET(E67,0,0,$I$5*-1,1))</f>
        <v/>
      </c>
      <c r="V67" s="9" t="str">
        <f t="shared" ca="1" si="7"/>
        <v/>
      </c>
      <c r="W67" s="17">
        <f t="shared" ca="1" si="0"/>
        <v>6.4628445151839714E-2</v>
      </c>
      <c r="X67" s="13">
        <f t="shared" ca="1" si="5"/>
        <v>0</v>
      </c>
      <c r="Y67" s="13">
        <f t="shared" ca="1" si="6"/>
        <v>0</v>
      </c>
      <c r="Z67" t="str">
        <f t="shared" ca="1" si="8"/>
        <v/>
      </c>
      <c r="AA67" t="str">
        <f t="shared" ca="1" si="9"/>
        <v/>
      </c>
      <c r="AB67" s="24" t="str">
        <f t="shared" ca="1" si="10"/>
        <v/>
      </c>
      <c r="AC67" s="24" t="str">
        <f t="shared" ca="1" si="11"/>
        <v/>
      </c>
    </row>
    <row r="68" spans="3:29" x14ac:dyDescent="0.25">
      <c r="C68" s="6">
        <v>61</v>
      </c>
      <c r="D68" s="37">
        <v>42093</v>
      </c>
      <c r="E68" s="39">
        <v>20.748999999999999</v>
      </c>
      <c r="F68" s="39">
        <v>2.8190059678374562</v>
      </c>
      <c r="G68" s="39">
        <v>60.440413283933623</v>
      </c>
      <c r="H68" s="39">
        <v>51.06828846066238</v>
      </c>
      <c r="I68" s="10">
        <v>0</v>
      </c>
      <c r="J68" s="40">
        <v>0</v>
      </c>
      <c r="K68" s="40">
        <v>1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29" t="str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9" t="str" cm="1">
        <f t="array" aca="1" ref="U68" ca="1">z_score_diff(OFFSET(T68,0,0,$I$5*-1,1),OFFSET(E68,0,0,$I$5*-1,1))</f>
        <v/>
      </c>
      <c r="V68" s="9" t="str">
        <f t="shared" ca="1" si="7"/>
        <v/>
      </c>
      <c r="W68" s="17">
        <f t="shared" ca="1" si="0"/>
        <v>7.3522574703799956E-2</v>
      </c>
      <c r="X68" s="13">
        <f t="shared" ca="1" si="5"/>
        <v>0</v>
      </c>
      <c r="Y68" s="13">
        <f t="shared" ca="1" si="6"/>
        <v>0</v>
      </c>
      <c r="Z68" t="str">
        <f t="shared" ca="1" si="8"/>
        <v/>
      </c>
      <c r="AA68" t="str">
        <f t="shared" ca="1" si="9"/>
        <v/>
      </c>
      <c r="AB68" s="24" t="str">
        <f t="shared" ca="1" si="10"/>
        <v/>
      </c>
      <c r="AC68" s="24" t="str">
        <f t="shared" ca="1" si="11"/>
        <v/>
      </c>
    </row>
    <row r="69" spans="3:29" x14ac:dyDescent="0.25">
      <c r="C69" s="6">
        <v>62</v>
      </c>
      <c r="D69" s="37">
        <v>42094</v>
      </c>
      <c r="E69" s="39">
        <v>21.658999999999999</v>
      </c>
      <c r="F69" s="39">
        <v>2.8454115556600903</v>
      </c>
      <c r="G69" s="39">
        <v>62.774989746433739</v>
      </c>
      <c r="H69" s="39">
        <v>51.129206675002912</v>
      </c>
      <c r="I69" s="10">
        <v>0</v>
      </c>
      <c r="J69" s="40">
        <v>0</v>
      </c>
      <c r="K69" s="40">
        <v>1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29" t="str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9" t="str" cm="1">
        <f t="array" aca="1" ref="U69" ca="1">z_score_diff(OFFSET(T69,0,0,$I$5*-1,1),OFFSET(E69,0,0,$I$5*-1,1))</f>
        <v/>
      </c>
      <c r="V69" s="9" t="str">
        <f t="shared" ca="1" si="7"/>
        <v/>
      </c>
      <c r="W69" s="17">
        <f t="shared" ca="1" si="0"/>
        <v>3.0644332782978474E-2</v>
      </c>
      <c r="X69" s="13">
        <f t="shared" ca="1" si="5"/>
        <v>0</v>
      </c>
      <c r="Y69" s="13">
        <f t="shared" ca="1" si="6"/>
        <v>0</v>
      </c>
      <c r="Z69" t="str">
        <f t="shared" ca="1" si="8"/>
        <v/>
      </c>
      <c r="AA69" t="str">
        <f t="shared" ca="1" si="9"/>
        <v/>
      </c>
      <c r="AB69" s="24" t="str">
        <f t="shared" ca="1" si="10"/>
        <v/>
      </c>
      <c r="AC69" s="24" t="str">
        <f t="shared" ca="1" si="11"/>
        <v/>
      </c>
    </row>
    <row r="70" spans="3:29" x14ac:dyDescent="0.25">
      <c r="C70" s="6">
        <v>63</v>
      </c>
      <c r="D70" s="37">
        <v>42095</v>
      </c>
      <c r="E70" s="39">
        <v>21.747</v>
      </c>
      <c r="F70" s="39">
        <v>2.8169427099465385</v>
      </c>
      <c r="G70" s="39">
        <v>63.193127543618473</v>
      </c>
      <c r="H70" s="39">
        <v>50.309093941465505</v>
      </c>
      <c r="I70" s="10">
        <v>0</v>
      </c>
      <c r="J70" s="40">
        <v>0</v>
      </c>
      <c r="K70" s="40">
        <v>0</v>
      </c>
      <c r="L70" s="40">
        <v>1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29" t="str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9" t="str" cm="1">
        <f t="array" aca="1" ref="U70" ca="1">z_score_diff(OFFSET(T70,0,0,$I$5*-1,1),OFFSET(E70,0,0,$I$5*-1,1))</f>
        <v/>
      </c>
      <c r="V70" s="9" t="str">
        <f t="shared" ca="1" si="7"/>
        <v/>
      </c>
      <c r="W70" s="17">
        <f t="shared" ca="1" si="0"/>
        <v>2.5066017424415752E-2</v>
      </c>
      <c r="X70" s="13">
        <f t="shared" ca="1" si="5"/>
        <v>0</v>
      </c>
      <c r="Y70" s="13">
        <f t="shared" ca="1" si="6"/>
        <v>0</v>
      </c>
      <c r="Z70" t="str">
        <f t="shared" ca="1" si="8"/>
        <v/>
      </c>
      <c r="AA70" t="str">
        <f t="shared" ca="1" si="9"/>
        <v/>
      </c>
      <c r="AB70" s="24" t="str">
        <f t="shared" ca="1" si="10"/>
        <v/>
      </c>
      <c r="AC70" s="24" t="str">
        <f t="shared" ca="1" si="11"/>
        <v/>
      </c>
    </row>
    <row r="71" spans="3:29" x14ac:dyDescent="0.25">
      <c r="C71" s="6">
        <v>64</v>
      </c>
      <c r="D71" s="37">
        <v>42096</v>
      </c>
      <c r="E71" s="39">
        <v>21.765999999999998</v>
      </c>
      <c r="F71" s="39">
        <v>2.8213742893317972</v>
      </c>
      <c r="G71" s="39">
        <v>62.878958005838761</v>
      </c>
      <c r="H71" s="39">
        <v>49.575706272550377</v>
      </c>
      <c r="I71" s="10">
        <v>0</v>
      </c>
      <c r="J71" s="40">
        <v>0</v>
      </c>
      <c r="K71" s="40">
        <v>0</v>
      </c>
      <c r="L71" s="40">
        <v>1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29" t="str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9" t="str" cm="1">
        <f t="array" aca="1" ref="U71" ca="1">z_score_diff(OFFSET(T71,0,0,$I$5*-1,1),OFFSET(E71,0,0,$I$5*-1,1))</f>
        <v/>
      </c>
      <c r="V71" s="9" t="str">
        <f t="shared" ca="1" si="7"/>
        <v/>
      </c>
      <c r="W71" s="17">
        <f t="shared" ref="W71:W134" ca="1" si="12">+LN(OFFSET(E71,$W$3,0,1,1)/E71)</f>
        <v>2.4192715137396282E-2</v>
      </c>
      <c r="X71" s="13">
        <f t="shared" ca="1" si="5"/>
        <v>0</v>
      </c>
      <c r="Y71" s="13">
        <f t="shared" ca="1" si="6"/>
        <v>0</v>
      </c>
      <c r="Z71" t="str">
        <f t="shared" ca="1" si="8"/>
        <v/>
      </c>
      <c r="AA71" t="str">
        <f t="shared" ca="1" si="9"/>
        <v/>
      </c>
      <c r="AB71" s="24" t="str">
        <f t="shared" ca="1" si="10"/>
        <v/>
      </c>
      <c r="AC71" s="24" t="str">
        <f t="shared" ca="1" si="11"/>
        <v/>
      </c>
    </row>
    <row r="72" spans="3:29" x14ac:dyDescent="0.25">
      <c r="C72" s="6">
        <v>65</v>
      </c>
      <c r="D72" s="37">
        <v>42101</v>
      </c>
      <c r="E72" s="39">
        <v>21.63</v>
      </c>
      <c r="F72" s="39">
        <v>2.8373323601861142</v>
      </c>
      <c r="G72" s="39">
        <v>62.642045838411626</v>
      </c>
      <c r="H72" s="39">
        <v>49.174345406441013</v>
      </c>
      <c r="I72" s="10">
        <v>0</v>
      </c>
      <c r="J72" s="40">
        <v>0</v>
      </c>
      <c r="K72" s="40">
        <v>0</v>
      </c>
      <c r="L72" s="40">
        <v>1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29" t="str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9" t="str" cm="1">
        <f t="array" aca="1" ref="U72" ca="1">z_score_diff(OFFSET(T72,0,0,$I$5*-1,1),OFFSET(E72,0,0,$I$5*-1,1))</f>
        <v/>
      </c>
      <c r="V72" s="9" t="str">
        <f t="shared" ca="1" si="7"/>
        <v/>
      </c>
      <c r="W72" s="17">
        <f t="shared" ca="1" si="12"/>
        <v>3.4220502192519708E-2</v>
      </c>
      <c r="X72" s="13">
        <f t="shared" ca="1" si="5"/>
        <v>0</v>
      </c>
      <c r="Y72" s="13">
        <f t="shared" ca="1" si="6"/>
        <v>0</v>
      </c>
      <c r="Z72" t="str">
        <f t="shared" ca="1" si="8"/>
        <v/>
      </c>
      <c r="AA72" t="str">
        <f t="shared" ca="1" si="9"/>
        <v/>
      </c>
      <c r="AB72" s="24" t="str">
        <f t="shared" ca="1" si="10"/>
        <v/>
      </c>
      <c r="AC72" s="24" t="str">
        <f t="shared" ca="1" si="11"/>
        <v/>
      </c>
    </row>
    <row r="73" spans="3:29" x14ac:dyDescent="0.25">
      <c r="C73" s="6">
        <v>66</v>
      </c>
      <c r="D73" s="37">
        <v>42102</v>
      </c>
      <c r="E73" s="39">
        <v>21.74</v>
      </c>
      <c r="F73" s="39">
        <v>2.8256393832639426</v>
      </c>
      <c r="G73" s="39">
        <v>62.62318227508225</v>
      </c>
      <c r="H73" s="39">
        <v>49.22907992862698</v>
      </c>
      <c r="I73" s="10">
        <v>0</v>
      </c>
      <c r="J73" s="40">
        <v>0</v>
      </c>
      <c r="K73" s="40">
        <v>0</v>
      </c>
      <c r="L73" s="40">
        <v>1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29" t="str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9" t="str" cm="1">
        <f t="array" aca="1" ref="U73" ca="1">z_score_diff(OFFSET(T73,0,0,$I$5*-1,1),OFFSET(E73,0,0,$I$5*-1,1))</f>
        <v/>
      </c>
      <c r="V73" s="9" t="str">
        <f t="shared" ca="1" si="7"/>
        <v/>
      </c>
      <c r="W73" s="17">
        <f t="shared" ca="1" si="12"/>
        <v>2.5567316872757543E-2</v>
      </c>
      <c r="X73" s="13">
        <f t="shared" ref="X73:X136" ca="1" si="13">+X72</f>
        <v>0</v>
      </c>
      <c r="Y73" s="13">
        <f t="shared" ref="Y73:Y136" ca="1" si="14">+Y72</f>
        <v>0</v>
      </c>
      <c r="Z73" t="str">
        <f t="shared" ca="1" si="8"/>
        <v/>
      </c>
      <c r="AA73" t="str">
        <f t="shared" ca="1" si="9"/>
        <v/>
      </c>
      <c r="AB73" s="24" t="str">
        <f t="shared" ca="1" si="10"/>
        <v/>
      </c>
      <c r="AC73" s="24" t="str">
        <f t="shared" ca="1" si="11"/>
        <v/>
      </c>
    </row>
    <row r="74" spans="3:29" x14ac:dyDescent="0.25">
      <c r="C74" s="6">
        <v>67</v>
      </c>
      <c r="D74" s="37">
        <v>42103</v>
      </c>
      <c r="E74" s="39">
        <v>21.882000000000001</v>
      </c>
      <c r="F74" s="39">
        <v>2.8230206691392006</v>
      </c>
      <c r="G74" s="39">
        <v>63.231738464158013</v>
      </c>
      <c r="H74" s="39">
        <v>50.397860798239179</v>
      </c>
      <c r="I74" s="10">
        <v>0</v>
      </c>
      <c r="J74" s="40">
        <v>0</v>
      </c>
      <c r="K74" s="40">
        <v>0</v>
      </c>
      <c r="L74" s="40">
        <v>1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>
        <v>0</v>
      </c>
      <c r="S74" s="40">
        <v>0</v>
      </c>
      <c r="T74" s="29" t="str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9" t="str" cm="1">
        <f t="array" aca="1" ref="U74" ca="1">z_score_diff(OFFSET(T74,0,0,$I$5*-1,1),OFFSET(E74,0,0,$I$5*-1,1))</f>
        <v/>
      </c>
      <c r="V74" s="9" t="str">
        <f t="shared" ca="1" si="7"/>
        <v/>
      </c>
      <c r="W74" s="17">
        <f t="shared" ca="1" si="12"/>
        <v>1.8608346788843589E-2</v>
      </c>
      <c r="X74" s="13">
        <f t="shared" ca="1" si="13"/>
        <v>0</v>
      </c>
      <c r="Y74" s="13">
        <f t="shared" ca="1" si="14"/>
        <v>0</v>
      </c>
      <c r="Z74" t="str">
        <f t="shared" ca="1" si="8"/>
        <v/>
      </c>
      <c r="AA74" t="str">
        <f t="shared" ca="1" si="9"/>
        <v/>
      </c>
      <c r="AB74" s="24" t="str">
        <f t="shared" ca="1" si="10"/>
        <v/>
      </c>
      <c r="AC74" s="24" t="str">
        <f t="shared" ca="1" si="11"/>
        <v/>
      </c>
    </row>
    <row r="75" spans="3:29" x14ac:dyDescent="0.25">
      <c r="C75" s="6">
        <v>68</v>
      </c>
      <c r="D75" s="37">
        <v>42104</v>
      </c>
      <c r="E75" s="39">
        <v>21.861999999999998</v>
      </c>
      <c r="F75" s="39">
        <v>2.8276518304859937</v>
      </c>
      <c r="G75" s="39">
        <v>63.167555378841932</v>
      </c>
      <c r="H75" s="39">
        <v>50.600085387644093</v>
      </c>
      <c r="I75" s="10">
        <v>0</v>
      </c>
      <c r="J75" s="40">
        <v>0</v>
      </c>
      <c r="K75" s="40">
        <v>0</v>
      </c>
      <c r="L75" s="40">
        <v>1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29" t="str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9" t="str" cm="1">
        <f t="array" aca="1" ref="U75" ca="1">z_score_diff(OFFSET(T75,0,0,$I$5*-1,1),OFFSET(E75,0,0,$I$5*-1,1))</f>
        <v/>
      </c>
      <c r="V75" s="9" t="str">
        <f t="shared" ref="V75:V138" ca="1" si="15">+IF(ISERROR(AVERAGE(OFFSET(U75,0,0,$V$5*-1,1))),"",AVERAGE(OFFSET(U75,0,0,$V$5*-1,1)))</f>
        <v/>
      </c>
      <c r="W75" s="17">
        <f t="shared" ca="1" si="12"/>
        <v>3.381921364140969E-2</v>
      </c>
      <c r="X75" s="13">
        <f t="shared" ca="1" si="13"/>
        <v>0</v>
      </c>
      <c r="Y75" s="13">
        <f t="shared" ca="1" si="14"/>
        <v>0</v>
      </c>
      <c r="Z75" t="str">
        <f t="shared" ref="Z75:Z138" ca="1" si="16">+IF(V75="","",IF(V75&lt;X75,1,0))</f>
        <v/>
      </c>
      <c r="AA75" t="str">
        <f t="shared" ref="AA75:AA138" ca="1" si="17">+IF(V75="","",IF(V75&gt;Y75,1,0))</f>
        <v/>
      </c>
      <c r="AB75" s="24" t="str">
        <f t="shared" ref="AB75:AB138" ca="1" si="18">+IF(ISERROR(Z75*W75),"",Z75*W75)</f>
        <v/>
      </c>
      <c r="AC75" s="24" t="str">
        <f t="shared" ref="AC75:AC138" ca="1" si="19">+IF(ISERROR(AA75*W75),"",AA75*W75)</f>
        <v/>
      </c>
    </row>
    <row r="76" spans="3:29" x14ac:dyDescent="0.25">
      <c r="C76" s="6">
        <v>69</v>
      </c>
      <c r="D76" s="37">
        <v>42107</v>
      </c>
      <c r="E76" s="39">
        <v>22.18</v>
      </c>
      <c r="F76" s="39">
        <v>2.8131560531840449</v>
      </c>
      <c r="G76" s="39">
        <v>63.94264604801586</v>
      </c>
      <c r="H76" s="39">
        <v>50.571495218101241</v>
      </c>
      <c r="I76" s="10">
        <v>0</v>
      </c>
      <c r="J76" s="40">
        <v>0</v>
      </c>
      <c r="K76" s="40">
        <v>0</v>
      </c>
      <c r="L76" s="40">
        <v>1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29" t="str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9" t="str" cm="1">
        <f t="array" aca="1" ref="U76" ca="1">z_score_diff(OFFSET(T76,0,0,$I$5*-1,1),OFFSET(E76,0,0,$I$5*-1,1))</f>
        <v/>
      </c>
      <c r="V76" s="9" t="str">
        <f t="shared" ca="1" si="15"/>
        <v/>
      </c>
      <c r="W76" s="17">
        <f t="shared" ca="1" si="12"/>
        <v>9.1107602352659862E-3</v>
      </c>
      <c r="X76" s="13">
        <f t="shared" ca="1" si="13"/>
        <v>0</v>
      </c>
      <c r="Y76" s="13">
        <f t="shared" ca="1" si="14"/>
        <v>0</v>
      </c>
      <c r="Z76" t="str">
        <f t="shared" ca="1" si="16"/>
        <v/>
      </c>
      <c r="AA76" t="str">
        <f t="shared" ca="1" si="17"/>
        <v/>
      </c>
      <c r="AB76" s="24" t="str">
        <f t="shared" ca="1" si="18"/>
        <v/>
      </c>
      <c r="AC76" s="24" t="str">
        <f t="shared" ca="1" si="19"/>
        <v/>
      </c>
    </row>
    <row r="77" spans="3:29" x14ac:dyDescent="0.25">
      <c r="C77" s="6">
        <v>70</v>
      </c>
      <c r="D77" s="37">
        <v>42108</v>
      </c>
      <c r="E77" s="39">
        <v>22.023</v>
      </c>
      <c r="F77" s="39">
        <v>2.8124421403443804</v>
      </c>
      <c r="G77" s="39">
        <v>63.697928927673978</v>
      </c>
      <c r="H77" s="39">
        <v>50.45361970005554</v>
      </c>
      <c r="I77" s="10">
        <v>0</v>
      </c>
      <c r="J77" s="40">
        <v>0</v>
      </c>
      <c r="K77" s="40">
        <v>0</v>
      </c>
      <c r="L77" s="40">
        <v>1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  <c r="R77" s="40">
        <v>0</v>
      </c>
      <c r="S77" s="40">
        <v>0</v>
      </c>
      <c r="T77" s="29" t="str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9" t="str" cm="1">
        <f t="array" aca="1" ref="U77" ca="1">z_score_diff(OFFSET(T77,0,0,$I$5*-1,1),OFFSET(E77,0,0,$I$5*-1,1))</f>
        <v/>
      </c>
      <c r="V77" s="9" t="str">
        <f t="shared" ca="1" si="15"/>
        <v/>
      </c>
      <c r="W77" s="17">
        <f t="shared" ca="1" si="12"/>
        <v>1.6928953210575332E-2</v>
      </c>
      <c r="X77" s="13">
        <f t="shared" ca="1" si="13"/>
        <v>0</v>
      </c>
      <c r="Y77" s="13">
        <f t="shared" ca="1" si="14"/>
        <v>0</v>
      </c>
      <c r="Z77" t="str">
        <f t="shared" ca="1" si="16"/>
        <v/>
      </c>
      <c r="AA77" t="str">
        <f t="shared" ca="1" si="17"/>
        <v/>
      </c>
      <c r="AB77" s="24" t="str">
        <f t="shared" ca="1" si="18"/>
        <v/>
      </c>
      <c r="AC77" s="24" t="str">
        <f t="shared" ca="1" si="19"/>
        <v/>
      </c>
    </row>
    <row r="78" spans="3:29" x14ac:dyDescent="0.25">
      <c r="C78" s="6">
        <v>71</v>
      </c>
      <c r="D78" s="37">
        <v>42109</v>
      </c>
      <c r="E78" s="39">
        <v>22.212</v>
      </c>
      <c r="F78" s="39">
        <v>2.8436980992803096</v>
      </c>
      <c r="G78" s="39">
        <v>63.980244696374456</v>
      </c>
      <c r="H78" s="39">
        <v>50.793504336593458</v>
      </c>
      <c r="I78" s="10">
        <v>0</v>
      </c>
      <c r="J78" s="40">
        <v>0</v>
      </c>
      <c r="K78" s="40">
        <v>0</v>
      </c>
      <c r="L78" s="40">
        <v>1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29" t="str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9" t="str" cm="1">
        <f t="array" aca="1" ref="U78" ca="1">z_score_diff(OFFSET(T78,0,0,$I$5*-1,1),OFFSET(E78,0,0,$I$5*-1,1))</f>
        <v/>
      </c>
      <c r="V78" s="9" t="str">
        <f t="shared" ca="1" si="15"/>
        <v/>
      </c>
      <c r="W78" s="17">
        <f t="shared" ca="1" si="12"/>
        <v>7.132793850406648E-3</v>
      </c>
      <c r="X78" s="13">
        <f t="shared" ca="1" si="13"/>
        <v>0</v>
      </c>
      <c r="Y78" s="13">
        <f t="shared" ca="1" si="14"/>
        <v>0</v>
      </c>
      <c r="Z78" t="str">
        <f t="shared" ca="1" si="16"/>
        <v/>
      </c>
      <c r="AA78" t="str">
        <f t="shared" ca="1" si="17"/>
        <v/>
      </c>
      <c r="AB78" s="24" t="str">
        <f t="shared" ca="1" si="18"/>
        <v/>
      </c>
      <c r="AC78" s="24" t="str">
        <f t="shared" ca="1" si="19"/>
        <v/>
      </c>
    </row>
    <row r="79" spans="3:29" x14ac:dyDescent="0.25">
      <c r="C79" s="6">
        <v>72</v>
      </c>
      <c r="D79" s="37">
        <v>42110</v>
      </c>
      <c r="E79" s="39">
        <v>22.199000000000002</v>
      </c>
      <c r="F79" s="39">
        <v>2.8609314247016959</v>
      </c>
      <c r="G79" s="39">
        <v>63.898856222785533</v>
      </c>
      <c r="H79" s="39">
        <v>51.225517822173224</v>
      </c>
      <c r="I79" s="10">
        <v>0</v>
      </c>
      <c r="J79" s="40">
        <v>0</v>
      </c>
      <c r="K79" s="40">
        <v>0</v>
      </c>
      <c r="L79" s="40">
        <v>1</v>
      </c>
      <c r="M79" s="40">
        <v>0</v>
      </c>
      <c r="N79" s="40">
        <v>0</v>
      </c>
      <c r="O79" s="40">
        <v>0</v>
      </c>
      <c r="P79" s="40">
        <v>0</v>
      </c>
      <c r="Q79" s="40">
        <v>0</v>
      </c>
      <c r="R79" s="40">
        <v>0</v>
      </c>
      <c r="S79" s="40">
        <v>0</v>
      </c>
      <c r="T79" s="29" t="str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9" t="str" cm="1">
        <f t="array" aca="1" ref="U79" ca="1">z_score_diff(OFFSET(T79,0,0,$I$5*-1,1),OFFSET(E79,0,0,$I$5*-1,1))</f>
        <v/>
      </c>
      <c r="V79" s="9" t="str">
        <f t="shared" ca="1" si="15"/>
        <v/>
      </c>
      <c r="W79" s="17">
        <f t="shared" ca="1" si="12"/>
        <v>1.0355463431867241E-3</v>
      </c>
      <c r="X79" s="13">
        <f t="shared" ca="1" si="13"/>
        <v>0</v>
      </c>
      <c r="Y79" s="13">
        <f t="shared" ca="1" si="14"/>
        <v>0</v>
      </c>
      <c r="Z79" t="str">
        <f t="shared" ca="1" si="16"/>
        <v/>
      </c>
      <c r="AA79" t="str">
        <f t="shared" ca="1" si="17"/>
        <v/>
      </c>
      <c r="AB79" s="24" t="str">
        <f t="shared" ca="1" si="18"/>
        <v/>
      </c>
      <c r="AC79" s="24" t="str">
        <f t="shared" ca="1" si="19"/>
        <v/>
      </c>
    </row>
    <row r="80" spans="3:29" x14ac:dyDescent="0.25">
      <c r="C80" s="6">
        <v>73</v>
      </c>
      <c r="D80" s="37">
        <v>42111</v>
      </c>
      <c r="E80" s="39">
        <v>22.02</v>
      </c>
      <c r="F80" s="39">
        <v>2.8253330899799232</v>
      </c>
      <c r="G80" s="39">
        <v>63.204443430794008</v>
      </c>
      <c r="H80" s="39">
        <v>50.73918598284358</v>
      </c>
      <c r="I80" s="10">
        <v>0</v>
      </c>
      <c r="J80" s="40">
        <v>0</v>
      </c>
      <c r="K80" s="40">
        <v>0</v>
      </c>
      <c r="L80" s="40">
        <v>1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29" t="str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9" t="str" cm="1">
        <f t="array" aca="1" ref="U80" ca="1">z_score_diff(OFFSET(T80,0,0,$I$5*-1,1),OFFSET(E80,0,0,$I$5*-1,1))</f>
        <v/>
      </c>
      <c r="V80" s="9" t="str">
        <f t="shared" ca="1" si="15"/>
        <v/>
      </c>
      <c r="W80" s="17">
        <f t="shared" ca="1" si="12"/>
        <v>1.4964671220072208E-2</v>
      </c>
      <c r="X80" s="13">
        <f t="shared" ca="1" si="13"/>
        <v>0</v>
      </c>
      <c r="Y80" s="13">
        <f t="shared" ca="1" si="14"/>
        <v>0</v>
      </c>
      <c r="Z80" t="str">
        <f t="shared" ca="1" si="16"/>
        <v/>
      </c>
      <c r="AA80" t="str">
        <f t="shared" ca="1" si="17"/>
        <v/>
      </c>
      <c r="AB80" s="24" t="str">
        <f t="shared" ca="1" si="18"/>
        <v/>
      </c>
      <c r="AC80" s="24" t="str">
        <f t="shared" ca="1" si="19"/>
        <v/>
      </c>
    </row>
    <row r="81" spans="3:29" x14ac:dyDescent="0.25">
      <c r="C81" s="6">
        <v>74</v>
      </c>
      <c r="D81" s="37">
        <v>42114</v>
      </c>
      <c r="E81" s="39">
        <v>21.998000000000001</v>
      </c>
      <c r="F81" s="39">
        <v>2.7912955651455333</v>
      </c>
      <c r="G81" s="39">
        <v>63.253894179054228</v>
      </c>
      <c r="H81" s="39">
        <v>50.775869984390781</v>
      </c>
      <c r="I81" s="10">
        <v>0</v>
      </c>
      <c r="J81" s="40">
        <v>0</v>
      </c>
      <c r="K81" s="40">
        <v>0</v>
      </c>
      <c r="L81" s="40">
        <v>1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29" t="str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9" t="str" cm="1">
        <f t="array" aca="1" ref="U81" ca="1">z_score_diff(OFFSET(T81,0,0,$I$5*-1,1),OFFSET(E81,0,0,$I$5*-1,1))</f>
        <v/>
      </c>
      <c r="V81" s="9" t="str">
        <f t="shared" ca="1" si="15"/>
        <v/>
      </c>
      <c r="W81" s="17">
        <f t="shared" ca="1" si="12"/>
        <v>2.2430426852437145E-2</v>
      </c>
      <c r="X81" s="13">
        <f t="shared" ca="1" si="13"/>
        <v>0</v>
      </c>
      <c r="Y81" s="13">
        <f t="shared" ca="1" si="14"/>
        <v>0</v>
      </c>
      <c r="Z81" t="str">
        <f t="shared" ca="1" si="16"/>
        <v/>
      </c>
      <c r="AA81" t="str">
        <f t="shared" ca="1" si="17"/>
        <v/>
      </c>
      <c r="AB81" s="24" t="str">
        <f t="shared" ca="1" si="18"/>
        <v/>
      </c>
      <c r="AC81" s="24" t="str">
        <f t="shared" ca="1" si="19"/>
        <v/>
      </c>
    </row>
    <row r="82" spans="3:29" x14ac:dyDescent="0.25">
      <c r="C82" s="6">
        <v>75</v>
      </c>
      <c r="D82" s="37">
        <v>42115</v>
      </c>
      <c r="E82" s="39">
        <v>22.085999999999999</v>
      </c>
      <c r="F82" s="39">
        <v>2.8196006805996037</v>
      </c>
      <c r="G82" s="39">
        <v>63.636525719991056</v>
      </c>
      <c r="H82" s="39">
        <v>50.760162138523334</v>
      </c>
      <c r="I82" s="10">
        <v>0</v>
      </c>
      <c r="J82" s="40">
        <v>0</v>
      </c>
      <c r="K82" s="40">
        <v>0</v>
      </c>
      <c r="L82" s="40">
        <v>1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>
        <v>0</v>
      </c>
      <c r="S82" s="40">
        <v>0</v>
      </c>
      <c r="T82" s="29" t="str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9" t="str" cm="1">
        <f t="array" aca="1" ref="U82" ca="1">z_score_diff(OFFSET(T82,0,0,$I$5*-1,1),OFFSET(E82,0,0,$I$5*-1,1))</f>
        <v/>
      </c>
      <c r="V82" s="9" t="str">
        <f t="shared" ca="1" si="15"/>
        <v/>
      </c>
      <c r="W82" s="17">
        <f t="shared" ca="1" si="12"/>
        <v>1.6925587558094146E-2</v>
      </c>
      <c r="X82" s="13">
        <f t="shared" ca="1" si="13"/>
        <v>0</v>
      </c>
      <c r="Y82" s="13">
        <f t="shared" ca="1" si="14"/>
        <v>0</v>
      </c>
      <c r="Z82" t="str">
        <f t="shared" ca="1" si="16"/>
        <v/>
      </c>
      <c r="AA82" t="str">
        <f t="shared" ca="1" si="17"/>
        <v/>
      </c>
      <c r="AB82" s="24" t="str">
        <f t="shared" ca="1" si="18"/>
        <v/>
      </c>
      <c r="AC82" s="24" t="str">
        <f t="shared" ca="1" si="19"/>
        <v/>
      </c>
    </row>
    <row r="83" spans="3:29" x14ac:dyDescent="0.25">
      <c r="C83" s="6">
        <v>76</v>
      </c>
      <c r="D83" s="37">
        <v>42116</v>
      </c>
      <c r="E83" s="39">
        <v>22.103999999999999</v>
      </c>
      <c r="F83" s="39">
        <v>2.8457190128222805</v>
      </c>
      <c r="G83" s="39">
        <v>63.50684318354817</v>
      </c>
      <c r="H83" s="39">
        <v>50.645709821223406</v>
      </c>
      <c r="I83" s="10">
        <v>0</v>
      </c>
      <c r="J83" s="40">
        <v>0</v>
      </c>
      <c r="K83" s="40">
        <v>0</v>
      </c>
      <c r="L83" s="40">
        <v>1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29" t="str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9" t="str" cm="1">
        <f t="array" aca="1" ref="U83" ca="1">z_score_diff(OFFSET(T83,0,0,$I$5*-1,1),OFFSET(E83,0,0,$I$5*-1,1))</f>
        <v/>
      </c>
      <c r="V83" s="9" t="str">
        <f t="shared" ca="1" si="15"/>
        <v/>
      </c>
      <c r="W83" s="17">
        <f t="shared" ca="1" si="12"/>
        <v>1.9799079001224042E-2</v>
      </c>
      <c r="X83" s="13">
        <f t="shared" ca="1" si="13"/>
        <v>0</v>
      </c>
      <c r="Y83" s="13">
        <f t="shared" ca="1" si="14"/>
        <v>0</v>
      </c>
      <c r="Z83" t="str">
        <f t="shared" ca="1" si="16"/>
        <v/>
      </c>
      <c r="AA83" t="str">
        <f t="shared" ca="1" si="17"/>
        <v/>
      </c>
      <c r="AB83" s="24" t="str">
        <f t="shared" ca="1" si="18"/>
        <v/>
      </c>
      <c r="AC83" s="24" t="str">
        <f t="shared" ca="1" si="19"/>
        <v/>
      </c>
    </row>
    <row r="84" spans="3:29" x14ac:dyDescent="0.25">
      <c r="C84" s="6">
        <v>77</v>
      </c>
      <c r="D84" s="37">
        <v>42117</v>
      </c>
      <c r="E84" s="39">
        <v>21.898</v>
      </c>
      <c r="F84" s="39">
        <v>2.7790432801822322</v>
      </c>
      <c r="G84" s="39">
        <v>62.995170141797402</v>
      </c>
      <c r="H84" s="39">
        <v>50.205011389521644</v>
      </c>
      <c r="I84" s="10">
        <v>0</v>
      </c>
      <c r="J84" s="40">
        <v>0</v>
      </c>
      <c r="K84" s="40">
        <v>0</v>
      </c>
      <c r="L84" s="40">
        <v>1</v>
      </c>
      <c r="M84" s="40">
        <v>0</v>
      </c>
      <c r="N84" s="40">
        <v>0</v>
      </c>
      <c r="O84" s="40">
        <v>0</v>
      </c>
      <c r="P84" s="40">
        <v>0</v>
      </c>
      <c r="Q84" s="40">
        <v>0</v>
      </c>
      <c r="R84" s="40">
        <v>0</v>
      </c>
      <c r="S84" s="40">
        <v>0</v>
      </c>
      <c r="T84" s="29" t="str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9" t="str" cm="1">
        <f t="array" aca="1" ref="U84" ca="1">z_score_diff(OFFSET(T84,0,0,$I$5*-1,1),OFFSET(E84,0,0,$I$5*-1,1))</f>
        <v/>
      </c>
      <c r="V84" s="9" t="str">
        <f t="shared" ca="1" si="15"/>
        <v/>
      </c>
      <c r="W84" s="17">
        <f t="shared" ca="1" si="12"/>
        <v>2.0788890396900857E-2</v>
      </c>
      <c r="X84" s="13">
        <f t="shared" ca="1" si="13"/>
        <v>0</v>
      </c>
      <c r="Y84" s="13">
        <f t="shared" ca="1" si="14"/>
        <v>0</v>
      </c>
      <c r="Z84" t="str">
        <f t="shared" ca="1" si="16"/>
        <v/>
      </c>
      <c r="AA84" t="str">
        <f t="shared" ca="1" si="17"/>
        <v/>
      </c>
      <c r="AB84" s="24" t="str">
        <f t="shared" ca="1" si="18"/>
        <v/>
      </c>
      <c r="AC84" s="24" t="str">
        <f t="shared" ca="1" si="19"/>
        <v/>
      </c>
    </row>
    <row r="85" spans="3:29" x14ac:dyDescent="0.25">
      <c r="C85" s="6">
        <v>78</v>
      </c>
      <c r="D85" s="37">
        <v>42118</v>
      </c>
      <c r="E85" s="39">
        <v>22.056000000000001</v>
      </c>
      <c r="F85" s="39">
        <v>2.7636528438703829</v>
      </c>
      <c r="G85" s="39">
        <v>63.660776840415849</v>
      </c>
      <c r="H85" s="39">
        <v>50.759120779515065</v>
      </c>
      <c r="I85" s="10">
        <v>0</v>
      </c>
      <c r="J85" s="40">
        <v>0</v>
      </c>
      <c r="K85" s="40">
        <v>0</v>
      </c>
      <c r="L85" s="40">
        <v>1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0</v>
      </c>
      <c r="T85" s="29" t="str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9" t="str" cm="1">
        <f t="array" aca="1" ref="U85" ca="1">z_score_diff(OFFSET(T85,0,0,$I$5*-1,1),OFFSET(E85,0,0,$I$5*-1,1))</f>
        <v/>
      </c>
      <c r="V85" s="9" t="str">
        <f t="shared" ca="1" si="15"/>
        <v/>
      </c>
      <c r="W85" s="17">
        <f t="shared" ca="1" si="12"/>
        <v>1.2480731516841793E-2</v>
      </c>
      <c r="X85" s="13">
        <f t="shared" ca="1" si="13"/>
        <v>0</v>
      </c>
      <c r="Y85" s="13">
        <f t="shared" ca="1" si="14"/>
        <v>0</v>
      </c>
      <c r="Z85" t="str">
        <f t="shared" ca="1" si="16"/>
        <v/>
      </c>
      <c r="AA85" t="str">
        <f t="shared" ca="1" si="17"/>
        <v/>
      </c>
      <c r="AB85" s="24" t="str">
        <f t="shared" ca="1" si="18"/>
        <v/>
      </c>
      <c r="AC85" s="24" t="str">
        <f t="shared" ca="1" si="19"/>
        <v/>
      </c>
    </row>
    <row r="86" spans="3:29" x14ac:dyDescent="0.25">
      <c r="C86" s="6">
        <v>79</v>
      </c>
      <c r="D86" s="37">
        <v>42121</v>
      </c>
      <c r="E86" s="39">
        <v>21.922000000000001</v>
      </c>
      <c r="F86" s="39">
        <v>2.7427898763978811</v>
      </c>
      <c r="G86" s="39">
        <v>63.139253914137235</v>
      </c>
      <c r="H86" s="39">
        <v>50.799112600172052</v>
      </c>
      <c r="I86" s="10">
        <v>0</v>
      </c>
      <c r="J86" s="40">
        <v>0</v>
      </c>
      <c r="K86" s="40">
        <v>0</v>
      </c>
      <c r="L86" s="40">
        <v>1</v>
      </c>
      <c r="M86" s="40">
        <v>0</v>
      </c>
      <c r="N86" s="40">
        <v>0</v>
      </c>
      <c r="O86" s="40">
        <v>0</v>
      </c>
      <c r="P86" s="40">
        <v>0</v>
      </c>
      <c r="Q86" s="40">
        <v>0</v>
      </c>
      <c r="R86" s="40">
        <v>0</v>
      </c>
      <c r="S86" s="40">
        <v>0</v>
      </c>
      <c r="T86" s="29" t="str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9" t="str" cm="1">
        <f t="array" aca="1" ref="U86" ca="1">z_score_diff(OFFSET(T86,0,0,$I$5*-1,1),OFFSET(E86,0,0,$I$5*-1,1))</f>
        <v/>
      </c>
      <c r="V86" s="9" t="str">
        <f t="shared" ca="1" si="15"/>
        <v/>
      </c>
      <c r="W86" s="17">
        <f t="shared" ca="1" si="12"/>
        <v>1.6064057289205257E-2</v>
      </c>
      <c r="X86" s="13">
        <f t="shared" ca="1" si="13"/>
        <v>0</v>
      </c>
      <c r="Y86" s="13">
        <f t="shared" ca="1" si="14"/>
        <v>0</v>
      </c>
      <c r="Z86" t="str">
        <f t="shared" ca="1" si="16"/>
        <v/>
      </c>
      <c r="AA86" t="str">
        <f t="shared" ca="1" si="17"/>
        <v/>
      </c>
      <c r="AB86" s="24" t="str">
        <f t="shared" ca="1" si="18"/>
        <v/>
      </c>
      <c r="AC86" s="24" t="str">
        <f t="shared" ca="1" si="19"/>
        <v/>
      </c>
    </row>
    <row r="87" spans="3:29" x14ac:dyDescent="0.25">
      <c r="C87" s="6">
        <v>80</v>
      </c>
      <c r="D87" s="37">
        <v>42122</v>
      </c>
      <c r="E87" s="39">
        <v>21.895</v>
      </c>
      <c r="F87" s="39">
        <v>2.730704577454671</v>
      </c>
      <c r="G87" s="39">
        <v>63.098472149972068</v>
      </c>
      <c r="H87" s="39">
        <v>50.375707594609352</v>
      </c>
      <c r="I87" s="10">
        <v>0</v>
      </c>
      <c r="J87" s="40">
        <v>0</v>
      </c>
      <c r="K87" s="40">
        <v>0</v>
      </c>
      <c r="L87" s="40">
        <v>1</v>
      </c>
      <c r="M87" s="40">
        <v>0</v>
      </c>
      <c r="N87" s="40">
        <v>0</v>
      </c>
      <c r="O87" s="40">
        <v>0</v>
      </c>
      <c r="P87" s="40">
        <v>0</v>
      </c>
      <c r="Q87" s="40">
        <v>0</v>
      </c>
      <c r="R87" s="40">
        <v>0</v>
      </c>
      <c r="S87" s="40">
        <v>0</v>
      </c>
      <c r="T87" s="29" t="str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9" t="str" cm="1">
        <f t="array" aca="1" ref="U87" ca="1">z_score_diff(OFFSET(T87,0,0,$I$5*-1,1),OFFSET(E87,0,0,$I$5*-1,1))</f>
        <v/>
      </c>
      <c r="V87" s="9" t="str">
        <f t="shared" ca="1" si="15"/>
        <v/>
      </c>
      <c r="W87" s="17">
        <f t="shared" ca="1" si="12"/>
        <v>3.1337561057469862E-2</v>
      </c>
      <c r="X87" s="13">
        <f t="shared" ca="1" si="13"/>
        <v>0</v>
      </c>
      <c r="Y87" s="13">
        <f t="shared" ca="1" si="14"/>
        <v>0</v>
      </c>
      <c r="Z87" t="str">
        <f t="shared" ca="1" si="16"/>
        <v/>
      </c>
      <c r="AA87" t="str">
        <f t="shared" ca="1" si="17"/>
        <v/>
      </c>
      <c r="AB87" s="24" t="str">
        <f t="shared" ca="1" si="18"/>
        <v/>
      </c>
      <c r="AC87" s="24" t="str">
        <f t="shared" ca="1" si="19"/>
        <v/>
      </c>
    </row>
    <row r="88" spans="3:29" x14ac:dyDescent="0.25">
      <c r="C88" s="6">
        <v>81</v>
      </c>
      <c r="D88" s="37">
        <v>42123</v>
      </c>
      <c r="E88" s="39">
        <v>21.919</v>
      </c>
      <c r="F88" s="39">
        <v>2.8088094478135974</v>
      </c>
      <c r="G88" s="39">
        <v>63.100411007227493</v>
      </c>
      <c r="H88" s="39">
        <v>50.448629286803559</v>
      </c>
      <c r="I88" s="10">
        <v>0</v>
      </c>
      <c r="J88" s="40">
        <v>0</v>
      </c>
      <c r="K88" s="40">
        <v>0</v>
      </c>
      <c r="L88" s="40">
        <v>1</v>
      </c>
      <c r="M88" s="40">
        <v>0</v>
      </c>
      <c r="N88" s="40">
        <v>0</v>
      </c>
      <c r="O88" s="40">
        <v>0</v>
      </c>
      <c r="P88" s="40">
        <v>0</v>
      </c>
      <c r="Q88" s="40">
        <v>0</v>
      </c>
      <c r="R88" s="40">
        <v>0</v>
      </c>
      <c r="S88" s="40">
        <v>0</v>
      </c>
      <c r="T88" s="29" t="str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9" t="str" cm="1">
        <f t="array" aca="1" ref="U88" ca="1">z_score_diff(OFFSET(T88,0,0,$I$5*-1,1),OFFSET(E88,0,0,$I$5*-1,1))</f>
        <v/>
      </c>
      <c r="V88" s="9" t="str">
        <f t="shared" ca="1" si="15"/>
        <v/>
      </c>
      <c r="W88" s="17">
        <f t="shared" ca="1" si="12"/>
        <v>2.9400661200225942E-2</v>
      </c>
      <c r="X88" s="13">
        <f t="shared" ca="1" si="13"/>
        <v>0</v>
      </c>
      <c r="Y88" s="13">
        <f t="shared" ca="1" si="14"/>
        <v>0</v>
      </c>
      <c r="Z88" t="str">
        <f t="shared" ca="1" si="16"/>
        <v/>
      </c>
      <c r="AA88" t="str">
        <f t="shared" ca="1" si="17"/>
        <v/>
      </c>
      <c r="AB88" s="24" t="str">
        <f t="shared" ca="1" si="18"/>
        <v/>
      </c>
      <c r="AC88" s="24" t="str">
        <f t="shared" ca="1" si="19"/>
        <v/>
      </c>
    </row>
    <row r="89" spans="3:29" x14ac:dyDescent="0.25">
      <c r="C89" s="6">
        <v>82</v>
      </c>
      <c r="D89" s="37">
        <v>42124</v>
      </c>
      <c r="E89" s="39">
        <v>22.152999999999999</v>
      </c>
      <c r="F89" s="39">
        <v>2.8146845460540777</v>
      </c>
      <c r="G89" s="39">
        <v>67.542684629486487</v>
      </c>
      <c r="H89" s="39">
        <v>50.252802813805225</v>
      </c>
      <c r="I89" s="10">
        <v>0</v>
      </c>
      <c r="J89" s="40">
        <v>0</v>
      </c>
      <c r="K89" s="40">
        <v>0</v>
      </c>
      <c r="L89" s="40">
        <v>1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0</v>
      </c>
      <c r="T89" s="29" t="str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9" t="str" cm="1">
        <f t="array" aca="1" ref="U89" ca="1">z_score_diff(OFFSET(T89,0,0,$I$5*-1,1),OFFSET(E89,0,0,$I$5*-1,1))</f>
        <v/>
      </c>
      <c r="V89" s="9" t="str">
        <f t="shared" ca="1" si="15"/>
        <v/>
      </c>
      <c r="W89" s="17">
        <f t="shared" ca="1" si="12"/>
        <v>2.1303532144907582E-2</v>
      </c>
      <c r="X89" s="13">
        <f t="shared" ca="1" si="13"/>
        <v>0</v>
      </c>
      <c r="Y89" s="13">
        <f t="shared" ca="1" si="14"/>
        <v>0</v>
      </c>
      <c r="Z89" t="str">
        <f t="shared" ca="1" si="16"/>
        <v/>
      </c>
      <c r="AA89" t="str">
        <f t="shared" ca="1" si="17"/>
        <v/>
      </c>
      <c r="AB89" s="24" t="str">
        <f t="shared" ca="1" si="18"/>
        <v/>
      </c>
      <c r="AC89" s="24" t="str">
        <f t="shared" ca="1" si="19"/>
        <v/>
      </c>
    </row>
    <row r="90" spans="3:29" x14ac:dyDescent="0.25">
      <c r="C90" s="6">
        <v>83</v>
      </c>
      <c r="D90" s="37">
        <v>42125</v>
      </c>
      <c r="E90" s="39">
        <v>21.873999999999999</v>
      </c>
      <c r="F90" s="39">
        <v>2.8319908446674589</v>
      </c>
      <c r="G90" s="39">
        <v>66.865795943208127</v>
      </c>
      <c r="H90" s="39">
        <v>50.706457150402748</v>
      </c>
      <c r="I90" s="10">
        <v>0</v>
      </c>
      <c r="J90" s="40">
        <v>0</v>
      </c>
      <c r="K90" s="40">
        <v>0</v>
      </c>
      <c r="L90" s="40">
        <v>0</v>
      </c>
      <c r="M90" s="40">
        <v>1</v>
      </c>
      <c r="N90" s="40">
        <v>0</v>
      </c>
      <c r="O90" s="40">
        <v>0</v>
      </c>
      <c r="P90" s="40">
        <v>0</v>
      </c>
      <c r="Q90" s="40">
        <v>0</v>
      </c>
      <c r="R90" s="40">
        <v>0</v>
      </c>
      <c r="S90" s="40">
        <v>0</v>
      </c>
      <c r="T90" s="29" t="str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9" t="str" cm="1">
        <f t="array" aca="1" ref="U90" ca="1">z_score_diff(OFFSET(T90,0,0,$I$5*-1,1),OFFSET(E90,0,0,$I$5*-1,1))</f>
        <v/>
      </c>
      <c r="V90" s="9" t="str">
        <f t="shared" ca="1" si="15"/>
        <v/>
      </c>
      <c r="W90" s="17">
        <f t="shared" ca="1" si="12"/>
        <v>3.93982879219558E-2</v>
      </c>
      <c r="X90" s="13">
        <f t="shared" ca="1" si="13"/>
        <v>0</v>
      </c>
      <c r="Y90" s="13">
        <f t="shared" ca="1" si="14"/>
        <v>0</v>
      </c>
      <c r="Z90" t="str">
        <f t="shared" ca="1" si="16"/>
        <v/>
      </c>
      <c r="AA90" t="str">
        <f t="shared" ca="1" si="17"/>
        <v/>
      </c>
      <c r="AB90" s="24" t="str">
        <f t="shared" ca="1" si="18"/>
        <v/>
      </c>
      <c r="AC90" s="24" t="str">
        <f t="shared" ca="1" si="19"/>
        <v/>
      </c>
    </row>
    <row r="91" spans="3:29" x14ac:dyDescent="0.25">
      <c r="C91" s="6">
        <v>84</v>
      </c>
      <c r="D91" s="37">
        <v>42128</v>
      </c>
      <c r="E91" s="39">
        <v>21.873999999999999</v>
      </c>
      <c r="F91" s="39">
        <v>2.8667674475414304</v>
      </c>
      <c r="G91" s="39">
        <v>66.967955632726884</v>
      </c>
      <c r="H91" s="39">
        <v>50.980489341891442</v>
      </c>
      <c r="I91" s="10">
        <v>0</v>
      </c>
      <c r="J91" s="40">
        <v>0</v>
      </c>
      <c r="K91" s="40">
        <v>0</v>
      </c>
      <c r="L91" s="40">
        <v>0</v>
      </c>
      <c r="M91" s="40">
        <v>1</v>
      </c>
      <c r="N91" s="40">
        <v>0</v>
      </c>
      <c r="O91" s="40">
        <v>0</v>
      </c>
      <c r="P91" s="40">
        <v>0</v>
      </c>
      <c r="Q91" s="40">
        <v>0</v>
      </c>
      <c r="R91" s="40">
        <v>0</v>
      </c>
      <c r="S91" s="40">
        <v>0</v>
      </c>
      <c r="T91" s="29" t="str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9" t="str" cm="1">
        <f t="array" aca="1" ref="U91" ca="1">z_score_diff(OFFSET(T91,0,0,$I$5*-1,1),OFFSET(E91,0,0,$I$5*-1,1))</f>
        <v/>
      </c>
      <c r="V91" s="9" t="str">
        <f t="shared" ca="1" si="15"/>
        <v/>
      </c>
      <c r="W91" s="17">
        <f t="shared" ca="1" si="12"/>
        <v>4.7626985817163653E-2</v>
      </c>
      <c r="X91" s="13">
        <f t="shared" ca="1" si="13"/>
        <v>0</v>
      </c>
      <c r="Y91" s="13">
        <f t="shared" ca="1" si="14"/>
        <v>0</v>
      </c>
      <c r="Z91" t="str">
        <f t="shared" ca="1" si="16"/>
        <v/>
      </c>
      <c r="AA91" t="str">
        <f t="shared" ca="1" si="17"/>
        <v/>
      </c>
      <c r="AB91" s="24" t="str">
        <f t="shared" ca="1" si="18"/>
        <v/>
      </c>
      <c r="AC91" s="24" t="str">
        <f t="shared" ca="1" si="19"/>
        <v/>
      </c>
    </row>
    <row r="92" spans="3:29" x14ac:dyDescent="0.25">
      <c r="C92" s="6">
        <v>85</v>
      </c>
      <c r="D92" s="37">
        <v>42129</v>
      </c>
      <c r="E92" s="39">
        <v>22.221</v>
      </c>
      <c r="F92" s="39">
        <v>2.8571428571428572</v>
      </c>
      <c r="G92" s="39">
        <v>68.069290360242391</v>
      </c>
      <c r="H92" s="39">
        <v>50.850445051555475</v>
      </c>
      <c r="I92" s="10">
        <v>0</v>
      </c>
      <c r="J92" s="40">
        <v>0</v>
      </c>
      <c r="K92" s="40">
        <v>0</v>
      </c>
      <c r="L92" s="40">
        <v>0</v>
      </c>
      <c r="M92" s="40">
        <v>1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29" t="str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9" t="str" cm="1">
        <f t="array" aca="1" ref="U92" ca="1">z_score_diff(OFFSET(T92,0,0,$I$5*-1,1),OFFSET(E92,0,0,$I$5*-1,1))</f>
        <v/>
      </c>
      <c r="V92" s="9" t="str">
        <f t="shared" ca="1" si="15"/>
        <v/>
      </c>
      <c r="W92" s="17">
        <f t="shared" ca="1" si="12"/>
        <v>3.1364697229594875E-2</v>
      </c>
      <c r="X92" s="13">
        <f t="shared" ca="1" si="13"/>
        <v>0</v>
      </c>
      <c r="Y92" s="13">
        <f t="shared" ca="1" si="14"/>
        <v>0</v>
      </c>
      <c r="Z92" t="str">
        <f t="shared" ca="1" si="16"/>
        <v/>
      </c>
      <c r="AA92" t="str">
        <f t="shared" ca="1" si="17"/>
        <v/>
      </c>
      <c r="AB92" s="24" t="str">
        <f t="shared" ca="1" si="18"/>
        <v/>
      </c>
      <c r="AC92" s="24" t="str">
        <f t="shared" ca="1" si="19"/>
        <v/>
      </c>
    </row>
    <row r="93" spans="3:29" x14ac:dyDescent="0.25">
      <c r="C93" s="6">
        <v>86</v>
      </c>
      <c r="D93" s="37">
        <v>42130</v>
      </c>
      <c r="E93" s="39">
        <v>22.248999999999999</v>
      </c>
      <c r="F93" s="39">
        <v>2.8224685523663915</v>
      </c>
      <c r="G93" s="39">
        <v>67.848588010503036</v>
      </c>
      <c r="H93" s="39">
        <v>50.081659601084162</v>
      </c>
      <c r="I93" s="10">
        <v>0</v>
      </c>
      <c r="J93" s="40">
        <v>0</v>
      </c>
      <c r="K93" s="40">
        <v>0</v>
      </c>
      <c r="L93" s="40">
        <v>0</v>
      </c>
      <c r="M93" s="40">
        <v>1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29" t="str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9" t="str" cm="1">
        <f t="array" aca="1" ref="U93" ca="1">z_score_diff(OFFSET(T93,0,0,$I$5*-1,1),OFFSET(E93,0,0,$I$5*-1,1))</f>
        <v/>
      </c>
      <c r="V93" s="9" t="str">
        <f t="shared" ca="1" si="15"/>
        <v/>
      </c>
      <c r="W93" s="17">
        <f t="shared" ca="1" si="12"/>
        <v>2.8403070182454738E-2</v>
      </c>
      <c r="X93" s="13">
        <f t="shared" ca="1" si="13"/>
        <v>0</v>
      </c>
      <c r="Y93" s="13">
        <f t="shared" ca="1" si="14"/>
        <v>0</v>
      </c>
      <c r="Z93" t="str">
        <f t="shared" ca="1" si="16"/>
        <v/>
      </c>
      <c r="AA93" t="str">
        <f t="shared" ca="1" si="17"/>
        <v/>
      </c>
      <c r="AB93" s="24" t="str">
        <f t="shared" ca="1" si="18"/>
        <v/>
      </c>
      <c r="AC93" s="24" t="str">
        <f t="shared" ca="1" si="19"/>
        <v/>
      </c>
    </row>
    <row r="94" spans="3:29" x14ac:dyDescent="0.25">
      <c r="C94" s="6">
        <v>87</v>
      </c>
      <c r="D94" s="37">
        <v>42131</v>
      </c>
      <c r="E94" s="39">
        <v>22.085999999999999</v>
      </c>
      <c r="F94" s="39">
        <v>2.8410184618076819</v>
      </c>
      <c r="G94" s="39">
        <v>68.120110972679313</v>
      </c>
      <c r="H94" s="39">
        <v>49.479394522705398</v>
      </c>
      <c r="I94" s="10">
        <v>0</v>
      </c>
      <c r="J94" s="40">
        <v>0</v>
      </c>
      <c r="K94" s="40">
        <v>0</v>
      </c>
      <c r="L94" s="40">
        <v>0</v>
      </c>
      <c r="M94" s="40">
        <v>1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29" t="str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9" t="str" cm="1">
        <f t="array" aca="1" ref="U94" ca="1">z_score_diff(OFFSET(T94,0,0,$I$5*-1,1),OFFSET(E94,0,0,$I$5*-1,1))</f>
        <v/>
      </c>
      <c r="V94" s="9" t="str">
        <f t="shared" ca="1" si="15"/>
        <v/>
      </c>
      <c r="W94" s="17">
        <f t="shared" ca="1" si="12"/>
        <v>3.2737241058334837E-2</v>
      </c>
      <c r="X94" s="13">
        <f t="shared" ca="1" si="13"/>
        <v>0</v>
      </c>
      <c r="Y94" s="13">
        <f t="shared" ca="1" si="14"/>
        <v>0</v>
      </c>
      <c r="Z94" t="str">
        <f t="shared" ca="1" si="16"/>
        <v/>
      </c>
      <c r="AA94" t="str">
        <f t="shared" ca="1" si="17"/>
        <v/>
      </c>
      <c r="AB94" s="24" t="str">
        <f t="shared" ca="1" si="18"/>
        <v/>
      </c>
      <c r="AC94" s="24" t="str">
        <f t="shared" ca="1" si="19"/>
        <v/>
      </c>
    </row>
    <row r="95" spans="3:29" x14ac:dyDescent="0.25">
      <c r="C95" s="6">
        <v>88</v>
      </c>
      <c r="D95" s="37">
        <v>42132</v>
      </c>
      <c r="E95" s="39">
        <v>22.228000000000002</v>
      </c>
      <c r="F95" s="39">
        <v>2.8963766240397502</v>
      </c>
      <c r="G95" s="39">
        <v>68.305546682253464</v>
      </c>
      <c r="H95" s="39">
        <v>49.608152815999972</v>
      </c>
      <c r="I95" s="10">
        <v>0</v>
      </c>
      <c r="J95" s="40">
        <v>0</v>
      </c>
      <c r="K95" s="40">
        <v>0</v>
      </c>
      <c r="L95" s="40">
        <v>0</v>
      </c>
      <c r="M95" s="40">
        <v>1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29" t="str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9" t="str" cm="1">
        <f t="array" aca="1" ref="U95" ca="1">z_score_diff(OFFSET(T95,0,0,$I$5*-1,1),OFFSET(E95,0,0,$I$5*-1,1))</f>
        <v/>
      </c>
      <c r="V95" s="9" t="str">
        <f t="shared" ca="1" si="15"/>
        <v/>
      </c>
      <c r="W95" s="17">
        <f t="shared" ca="1" si="12"/>
        <v>3.0177091033535986E-2</v>
      </c>
      <c r="X95" s="13">
        <f t="shared" ca="1" si="13"/>
        <v>0</v>
      </c>
      <c r="Y95" s="13">
        <f t="shared" ca="1" si="14"/>
        <v>0</v>
      </c>
      <c r="Z95" t="str">
        <f t="shared" ca="1" si="16"/>
        <v/>
      </c>
      <c r="AA95" t="str">
        <f t="shared" ca="1" si="17"/>
        <v/>
      </c>
      <c r="AB95" s="24" t="str">
        <f t="shared" ca="1" si="18"/>
        <v/>
      </c>
      <c r="AC95" s="24" t="str">
        <f t="shared" ca="1" si="19"/>
        <v/>
      </c>
    </row>
    <row r="96" spans="3:29" x14ac:dyDescent="0.25">
      <c r="C96" s="6">
        <v>89</v>
      </c>
      <c r="D96" s="37">
        <v>42135</v>
      </c>
      <c r="E96" s="39">
        <v>22.657</v>
      </c>
      <c r="F96" s="39">
        <v>2.868797385990721</v>
      </c>
      <c r="G96" s="39">
        <v>69.50833921279812</v>
      </c>
      <c r="H96" s="39">
        <v>50.170801742672857</v>
      </c>
      <c r="I96" s="10">
        <v>0</v>
      </c>
      <c r="J96" s="40">
        <v>0</v>
      </c>
      <c r="K96" s="40">
        <v>0</v>
      </c>
      <c r="L96" s="40">
        <v>0</v>
      </c>
      <c r="M96" s="40">
        <v>1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29" t="str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9" t="str" cm="1">
        <f t="array" aca="1" ref="U96" ca="1">z_score_diff(OFFSET(T96,0,0,$I$5*-1,1),OFFSET(E96,0,0,$I$5*-1,1))</f>
        <v/>
      </c>
      <c r="V96" s="9" t="str">
        <f t="shared" ca="1" si="15"/>
        <v/>
      </c>
      <c r="W96" s="17">
        <f t="shared" ca="1" si="12"/>
        <v>5.5018955224031682E-3</v>
      </c>
      <c r="X96" s="13">
        <f t="shared" ca="1" si="13"/>
        <v>0</v>
      </c>
      <c r="Y96" s="13">
        <f t="shared" ca="1" si="14"/>
        <v>0</v>
      </c>
      <c r="Z96" t="str">
        <f t="shared" ca="1" si="16"/>
        <v/>
      </c>
      <c r="AA96" t="str">
        <f t="shared" ca="1" si="17"/>
        <v/>
      </c>
      <c r="AB96" s="24" t="str">
        <f t="shared" ca="1" si="18"/>
        <v/>
      </c>
      <c r="AC96" s="24" t="str">
        <f t="shared" ca="1" si="19"/>
        <v/>
      </c>
    </row>
    <row r="97" spans="3:29" x14ac:dyDescent="0.25">
      <c r="C97" s="6">
        <v>90</v>
      </c>
      <c r="D97" s="37">
        <v>42136</v>
      </c>
      <c r="E97" s="39">
        <v>22.596</v>
      </c>
      <c r="F97" s="39">
        <v>2.8820269200316702</v>
      </c>
      <c r="G97" s="39">
        <v>69.485731272294885</v>
      </c>
      <c r="H97" s="39">
        <v>49.925222134248258</v>
      </c>
      <c r="I97" s="10">
        <v>0</v>
      </c>
      <c r="J97" s="40">
        <v>0</v>
      </c>
      <c r="K97" s="40">
        <v>0</v>
      </c>
      <c r="L97" s="40">
        <v>0</v>
      </c>
      <c r="M97" s="40">
        <v>1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29" t="str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9" t="str" cm="1">
        <f t="array" aca="1" ref="U97" ca="1">z_score_diff(OFFSET(T97,0,0,$I$5*-1,1),OFFSET(E97,0,0,$I$5*-1,1))</f>
        <v/>
      </c>
      <c r="V97" s="9" t="str">
        <f t="shared" ca="1" si="15"/>
        <v/>
      </c>
      <c r="W97" s="17">
        <f t="shared" ca="1" si="12"/>
        <v>2.6336274831992561E-2</v>
      </c>
      <c r="X97" s="13">
        <f t="shared" ca="1" si="13"/>
        <v>0</v>
      </c>
      <c r="Y97" s="13">
        <f t="shared" ca="1" si="14"/>
        <v>0</v>
      </c>
      <c r="Z97" t="str">
        <f t="shared" ca="1" si="16"/>
        <v/>
      </c>
      <c r="AA97" t="str">
        <f t="shared" ca="1" si="17"/>
        <v/>
      </c>
      <c r="AB97" s="24" t="str">
        <f t="shared" ca="1" si="18"/>
        <v/>
      </c>
      <c r="AC97" s="24" t="str">
        <f t="shared" ca="1" si="19"/>
        <v/>
      </c>
    </row>
    <row r="98" spans="3:29" x14ac:dyDescent="0.25">
      <c r="C98" s="6">
        <v>91</v>
      </c>
      <c r="D98" s="37">
        <v>42137</v>
      </c>
      <c r="E98" s="39">
        <v>22.516999999999999</v>
      </c>
      <c r="F98" s="39">
        <v>2.8573912287564656</v>
      </c>
      <c r="G98" s="39">
        <v>69.031765270135296</v>
      </c>
      <c r="H98" s="39">
        <v>49.767462076759244</v>
      </c>
      <c r="I98" s="10">
        <v>0</v>
      </c>
      <c r="J98" s="40">
        <v>0</v>
      </c>
      <c r="K98" s="40">
        <v>0</v>
      </c>
      <c r="L98" s="40">
        <v>0</v>
      </c>
      <c r="M98" s="40">
        <v>1</v>
      </c>
      <c r="N98" s="40">
        <v>0</v>
      </c>
      <c r="O98" s="40">
        <v>0</v>
      </c>
      <c r="P98" s="40">
        <v>0</v>
      </c>
      <c r="Q98" s="40">
        <v>0</v>
      </c>
      <c r="R98" s="40">
        <v>0</v>
      </c>
      <c r="S98" s="40">
        <v>0</v>
      </c>
      <c r="T98" s="29" t="str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9" t="str" cm="1">
        <f t="array" aca="1" ref="U98" ca="1">z_score_diff(OFFSET(T98,0,0,$I$5*-1,1),OFFSET(E98,0,0,$I$5*-1,1))</f>
        <v/>
      </c>
      <c r="V98" s="9" t="str">
        <f t="shared" ca="1" si="15"/>
        <v/>
      </c>
      <c r="W98" s="17">
        <f t="shared" ca="1" si="12"/>
        <v>3.3882306771694244E-2</v>
      </c>
      <c r="X98" s="13">
        <f t="shared" ca="1" si="13"/>
        <v>0</v>
      </c>
      <c r="Y98" s="13">
        <f t="shared" ca="1" si="14"/>
        <v>0</v>
      </c>
      <c r="Z98" t="str">
        <f t="shared" ca="1" si="16"/>
        <v/>
      </c>
      <c r="AA98" t="str">
        <f t="shared" ca="1" si="17"/>
        <v/>
      </c>
      <c r="AB98" s="24" t="str">
        <f t="shared" ca="1" si="18"/>
        <v/>
      </c>
      <c r="AC98" s="24" t="str">
        <f t="shared" ca="1" si="19"/>
        <v/>
      </c>
    </row>
    <row r="99" spans="3:29" x14ac:dyDescent="0.25">
      <c r="C99" s="6">
        <v>92</v>
      </c>
      <c r="D99" s="37">
        <v>42138</v>
      </c>
      <c r="E99" s="39">
        <v>22.36</v>
      </c>
      <c r="F99" s="39">
        <v>2.8451939326758584</v>
      </c>
      <c r="G99" s="39">
        <v>68.45486423550328</v>
      </c>
      <c r="H99" s="39">
        <v>49.496682770395104</v>
      </c>
      <c r="I99" s="10">
        <v>0</v>
      </c>
      <c r="J99" s="40">
        <v>0</v>
      </c>
      <c r="K99" s="40">
        <v>0</v>
      </c>
      <c r="L99" s="40">
        <v>0</v>
      </c>
      <c r="M99" s="40">
        <v>1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29" t="str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9" t="str" cm="1">
        <f t="array" aca="1" ref="U99" ca="1">z_score_diff(OFFSET(T99,0,0,$I$5*-1,1),OFFSET(E99,0,0,$I$5*-1,1))</f>
        <v/>
      </c>
      <c r="V99" s="9" t="str">
        <f t="shared" ca="1" si="15"/>
        <v/>
      </c>
      <c r="W99" s="17">
        <f t="shared" ca="1" si="12"/>
        <v>4.1651703883486879E-2</v>
      </c>
      <c r="X99" s="13">
        <f t="shared" ca="1" si="13"/>
        <v>0</v>
      </c>
      <c r="Y99" s="13">
        <f t="shared" ca="1" si="14"/>
        <v>0</v>
      </c>
      <c r="Z99" t="str">
        <f t="shared" ca="1" si="16"/>
        <v/>
      </c>
      <c r="AA99" t="str">
        <f t="shared" ca="1" si="17"/>
        <v/>
      </c>
      <c r="AB99" s="24" t="str">
        <f t="shared" ca="1" si="18"/>
        <v/>
      </c>
      <c r="AC99" s="24" t="str">
        <f t="shared" ca="1" si="19"/>
        <v/>
      </c>
    </row>
    <row r="100" spans="3:29" x14ac:dyDescent="0.25">
      <c r="C100" s="6">
        <v>93</v>
      </c>
      <c r="D100" s="37">
        <v>42139</v>
      </c>
      <c r="E100" s="39">
        <v>22.309000000000001</v>
      </c>
      <c r="F100" s="39">
        <v>2.833735770955502</v>
      </c>
      <c r="G100" s="39">
        <v>67.890567290815326</v>
      </c>
      <c r="H100" s="39">
        <v>49.154880993446021</v>
      </c>
      <c r="I100" s="10">
        <v>0</v>
      </c>
      <c r="J100" s="40">
        <v>0</v>
      </c>
      <c r="K100" s="40">
        <v>0</v>
      </c>
      <c r="L100" s="40">
        <v>0</v>
      </c>
      <c r="M100" s="40">
        <v>1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29" t="str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9" t="str" cm="1">
        <f t="array" aca="1" ref="U100" ca="1">z_score_diff(OFFSET(T100,0,0,$I$5*-1,1),OFFSET(E100,0,0,$I$5*-1,1))</f>
        <v/>
      </c>
      <c r="V100" s="9" t="str">
        <f t="shared" ca="1" si="15"/>
        <v/>
      </c>
      <c r="W100" s="17">
        <f t="shared" ca="1" si="12"/>
        <v>3.8903440043998684E-2</v>
      </c>
      <c r="X100" s="13">
        <f t="shared" ca="1" si="13"/>
        <v>0</v>
      </c>
      <c r="Y100" s="13">
        <f t="shared" ca="1" si="14"/>
        <v>0</v>
      </c>
      <c r="Z100" t="str">
        <f t="shared" ca="1" si="16"/>
        <v/>
      </c>
      <c r="AA100" t="str">
        <f t="shared" ca="1" si="17"/>
        <v/>
      </c>
      <c r="AB100" s="24" t="str">
        <f t="shared" ca="1" si="18"/>
        <v/>
      </c>
      <c r="AC100" s="24" t="str">
        <f t="shared" ca="1" si="19"/>
        <v/>
      </c>
    </row>
    <row r="101" spans="3:29" x14ac:dyDescent="0.25">
      <c r="C101" s="6">
        <v>94</v>
      </c>
      <c r="D101" s="37">
        <v>42142</v>
      </c>
      <c r="E101" s="39">
        <v>22.173999999999999</v>
      </c>
      <c r="F101" s="39">
        <v>2.8679903993017675</v>
      </c>
      <c r="G101" s="39">
        <v>67.966503879999081</v>
      </c>
      <c r="H101" s="39">
        <v>49.530874972725286</v>
      </c>
      <c r="I101" s="10">
        <v>0</v>
      </c>
      <c r="J101" s="40">
        <v>0</v>
      </c>
      <c r="K101" s="40">
        <v>0</v>
      </c>
      <c r="L101" s="40">
        <v>0</v>
      </c>
      <c r="M101" s="40">
        <v>1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29" t="str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9" t="str" cm="1">
        <f t="array" aca="1" ref="U101" ca="1">z_score_diff(OFFSET(T101,0,0,$I$5*-1,1),OFFSET(E101,0,0,$I$5*-1,1))</f>
        <v/>
      </c>
      <c r="V101" s="9" t="str">
        <f t="shared" ca="1" si="15"/>
        <v/>
      </c>
      <c r="W101" s="17">
        <f t="shared" ca="1" si="12"/>
        <v>3.3918087421831021E-2</v>
      </c>
      <c r="X101" s="13">
        <f t="shared" ca="1" si="13"/>
        <v>0</v>
      </c>
      <c r="Y101" s="13">
        <f t="shared" ca="1" si="14"/>
        <v>0</v>
      </c>
      <c r="Z101" t="str">
        <f t="shared" ca="1" si="16"/>
        <v/>
      </c>
      <c r="AA101" t="str">
        <f t="shared" ca="1" si="17"/>
        <v/>
      </c>
      <c r="AB101" s="24" t="str">
        <f t="shared" ca="1" si="18"/>
        <v/>
      </c>
      <c r="AC101" s="24" t="str">
        <f t="shared" ca="1" si="19"/>
        <v/>
      </c>
    </row>
    <row r="102" spans="3:29" x14ac:dyDescent="0.25">
      <c r="C102" s="6">
        <v>95</v>
      </c>
      <c r="D102" s="37">
        <v>42143</v>
      </c>
      <c r="E102" s="39">
        <v>22.242000000000001</v>
      </c>
      <c r="F102" s="39">
        <v>2.8954352441613587</v>
      </c>
      <c r="G102" s="39">
        <v>67.682521403552059</v>
      </c>
      <c r="H102" s="39">
        <v>49.495753715498935</v>
      </c>
      <c r="I102" s="10">
        <v>0</v>
      </c>
      <c r="J102" s="40">
        <v>0</v>
      </c>
      <c r="K102" s="40">
        <v>0</v>
      </c>
      <c r="L102" s="40">
        <v>0</v>
      </c>
      <c r="M102" s="40">
        <v>1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29" t="str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9" t="str" cm="1">
        <f t="array" aca="1" ref="U102" ca="1">z_score_diff(OFFSET(T102,0,0,$I$5*-1,1),OFFSET(E102,0,0,$I$5*-1,1))</f>
        <v/>
      </c>
      <c r="V102" s="9" t="str">
        <f t="shared" ca="1" si="15"/>
        <v/>
      </c>
      <c r="W102" s="17">
        <f t="shared" ca="1" si="12"/>
        <v>2.3988357081070007E-2</v>
      </c>
      <c r="X102" s="13">
        <f t="shared" ca="1" si="13"/>
        <v>0</v>
      </c>
      <c r="Y102" s="13">
        <f t="shared" ca="1" si="14"/>
        <v>0</v>
      </c>
      <c r="Z102" t="str">
        <f t="shared" ca="1" si="16"/>
        <v/>
      </c>
      <c r="AA102" t="str">
        <f t="shared" ca="1" si="17"/>
        <v/>
      </c>
      <c r="AB102" s="24" t="str">
        <f t="shared" ca="1" si="18"/>
        <v/>
      </c>
      <c r="AC102" s="24" t="str">
        <f t="shared" ca="1" si="19"/>
        <v/>
      </c>
    </row>
    <row r="103" spans="3:29" x14ac:dyDescent="0.25">
      <c r="C103" s="6">
        <v>96</v>
      </c>
      <c r="D103" s="37">
        <v>42144</v>
      </c>
      <c r="E103" s="39">
        <v>22.332000000000001</v>
      </c>
      <c r="F103" s="39">
        <v>2.9136658664532766</v>
      </c>
      <c r="G103" s="39">
        <v>68.215082361607529</v>
      </c>
      <c r="H103" s="39">
        <v>49.74659909309149</v>
      </c>
      <c r="I103" s="10">
        <v>0</v>
      </c>
      <c r="J103" s="40">
        <v>0</v>
      </c>
      <c r="K103" s="40">
        <v>0</v>
      </c>
      <c r="L103" s="40">
        <v>0</v>
      </c>
      <c r="M103" s="40">
        <v>1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29" t="str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9" t="str" cm="1">
        <f t="array" aca="1" ref="U103" ca="1">z_score_diff(OFFSET(T103,0,0,$I$5*-1,1),OFFSET(E103,0,0,$I$5*-1,1))</f>
        <v/>
      </c>
      <c r="V103" s="9" t="str">
        <f t="shared" ca="1" si="15"/>
        <v/>
      </c>
      <c r="W103" s="17">
        <f t="shared" ca="1" si="12"/>
        <v>8.1611263054209727E-3</v>
      </c>
      <c r="X103" s="13">
        <f t="shared" ca="1" si="13"/>
        <v>0</v>
      </c>
      <c r="Y103" s="13">
        <f t="shared" ca="1" si="14"/>
        <v>0</v>
      </c>
      <c r="Z103" t="str">
        <f t="shared" ca="1" si="16"/>
        <v/>
      </c>
      <c r="AA103" t="str">
        <f t="shared" ca="1" si="17"/>
        <v/>
      </c>
      <c r="AB103" s="24" t="str">
        <f t="shared" ca="1" si="18"/>
        <v/>
      </c>
      <c r="AC103" s="24" t="str">
        <f t="shared" ca="1" si="19"/>
        <v/>
      </c>
    </row>
    <row r="104" spans="3:29" x14ac:dyDescent="0.25">
      <c r="C104" s="6">
        <v>97</v>
      </c>
      <c r="D104" s="37">
        <v>42145</v>
      </c>
      <c r="E104" s="39">
        <v>22.332999999999998</v>
      </c>
      <c r="F104" s="39">
        <v>2.9106398083237197</v>
      </c>
      <c r="G104" s="39">
        <v>68.329129282544145</v>
      </c>
      <c r="H104" s="39">
        <v>49.82695891383441</v>
      </c>
      <c r="I104" s="10">
        <v>0</v>
      </c>
      <c r="J104" s="40">
        <v>0</v>
      </c>
      <c r="K104" s="40">
        <v>0</v>
      </c>
      <c r="L104" s="40">
        <v>0</v>
      </c>
      <c r="M104" s="40">
        <v>1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29" t="str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9" t="str" cm="1">
        <f t="array" aca="1" ref="U104" ca="1">z_score_diff(OFFSET(T104,0,0,$I$5*-1,1),OFFSET(E104,0,0,$I$5*-1,1))</f>
        <v/>
      </c>
      <c r="V104" s="9" t="str">
        <f t="shared" ca="1" si="15"/>
        <v/>
      </c>
      <c r="W104" s="17">
        <f t="shared" ca="1" si="12"/>
        <v>1.6431669107150645E-2</v>
      </c>
      <c r="X104" s="13">
        <f t="shared" ca="1" si="13"/>
        <v>0</v>
      </c>
      <c r="Y104" s="13">
        <f t="shared" ca="1" si="14"/>
        <v>0</v>
      </c>
      <c r="Z104" t="str">
        <f t="shared" ca="1" si="16"/>
        <v/>
      </c>
      <c r="AA104" t="str">
        <f t="shared" ca="1" si="17"/>
        <v/>
      </c>
      <c r="AB104" s="24" t="str">
        <f t="shared" ca="1" si="18"/>
        <v/>
      </c>
      <c r="AC104" s="24" t="str">
        <f t="shared" ca="1" si="19"/>
        <v/>
      </c>
    </row>
    <row r="105" spans="3:29" x14ac:dyDescent="0.25">
      <c r="C105" s="6">
        <v>98</v>
      </c>
      <c r="D105" s="37">
        <v>42146</v>
      </c>
      <c r="E105" s="39">
        <v>22.298999999999999</v>
      </c>
      <c r="F105" s="39">
        <v>2.9184011458752961</v>
      </c>
      <c r="G105" s="39">
        <v>68.074661637452863</v>
      </c>
      <c r="H105" s="39">
        <v>50.490130253793467</v>
      </c>
      <c r="I105" s="10">
        <v>0</v>
      </c>
      <c r="J105" s="40">
        <v>0</v>
      </c>
      <c r="K105" s="40">
        <v>0</v>
      </c>
      <c r="L105" s="40">
        <v>0</v>
      </c>
      <c r="M105" s="40">
        <v>1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29" t="str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9" t="str" cm="1">
        <f t="array" aca="1" ref="U105" ca="1">z_score_diff(OFFSET(T105,0,0,$I$5*-1,1),OFFSET(E105,0,0,$I$5*-1,1))</f>
        <v/>
      </c>
      <c r="V105" s="9" t="str">
        <f t="shared" ca="1" si="15"/>
        <v/>
      </c>
      <c r="W105" s="17">
        <f t="shared" ca="1" si="12"/>
        <v>1.7823090076090828E-2</v>
      </c>
      <c r="X105" s="13">
        <f t="shared" ca="1" si="13"/>
        <v>0</v>
      </c>
      <c r="Y105" s="13">
        <f t="shared" ca="1" si="14"/>
        <v>0</v>
      </c>
      <c r="Z105" t="str">
        <f t="shared" ca="1" si="16"/>
        <v/>
      </c>
      <c r="AA105" t="str">
        <f t="shared" ca="1" si="17"/>
        <v/>
      </c>
      <c r="AB105" s="24" t="str">
        <f t="shared" ca="1" si="18"/>
        <v/>
      </c>
      <c r="AC105" s="24" t="str">
        <f t="shared" ca="1" si="19"/>
        <v/>
      </c>
    </row>
    <row r="106" spans="3:29" x14ac:dyDescent="0.25">
      <c r="C106" s="6">
        <v>99</v>
      </c>
      <c r="D106" s="37">
        <v>42149</v>
      </c>
      <c r="E106" s="39">
        <v>22.298999999999999</v>
      </c>
      <c r="F106" s="39">
        <v>2.9282313841731789</v>
      </c>
      <c r="G106" s="39">
        <v>68.088635897094491</v>
      </c>
      <c r="H106" s="39">
        <v>50.66019940716788</v>
      </c>
      <c r="I106" s="10">
        <v>0</v>
      </c>
      <c r="J106" s="40">
        <v>0</v>
      </c>
      <c r="K106" s="40">
        <v>0</v>
      </c>
      <c r="L106" s="40">
        <v>0</v>
      </c>
      <c r="M106" s="40">
        <v>1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29" t="str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9" t="str" cm="1">
        <f t="array" aca="1" ref="U106" ca="1">z_score_diff(OFFSET(T106,0,0,$I$5*-1,1),OFFSET(E106,0,0,$I$5*-1,1))</f>
        <v/>
      </c>
      <c r="V106" s="9" t="str">
        <f t="shared" ca="1" si="15"/>
        <v/>
      </c>
      <c r="W106" s="17">
        <f t="shared" ca="1" si="12"/>
        <v>1.7250238803457593E-2</v>
      </c>
      <c r="X106" s="13">
        <f t="shared" ca="1" si="13"/>
        <v>0</v>
      </c>
      <c r="Y106" s="13">
        <f t="shared" ca="1" si="14"/>
        <v>0</v>
      </c>
      <c r="Z106" t="str">
        <f t="shared" ca="1" si="16"/>
        <v/>
      </c>
      <c r="AA106" t="str">
        <f t="shared" ca="1" si="17"/>
        <v/>
      </c>
      <c r="AB106" s="24" t="str">
        <f t="shared" ca="1" si="18"/>
        <v/>
      </c>
      <c r="AC106" s="24" t="str">
        <f t="shared" ca="1" si="19"/>
        <v/>
      </c>
    </row>
    <row r="107" spans="3:29" x14ac:dyDescent="0.25">
      <c r="C107" s="6">
        <v>100</v>
      </c>
      <c r="D107" s="37">
        <v>42150</v>
      </c>
      <c r="E107" s="39">
        <v>22.382999999999999</v>
      </c>
      <c r="F107" s="39">
        <v>2.9293279232969542</v>
      </c>
      <c r="G107" s="39">
        <v>68.186850912291604</v>
      </c>
      <c r="H107" s="39">
        <v>50.832455139564793</v>
      </c>
      <c r="I107" s="10">
        <v>0</v>
      </c>
      <c r="J107" s="40">
        <v>0</v>
      </c>
      <c r="K107" s="40">
        <v>0</v>
      </c>
      <c r="L107" s="40">
        <v>0</v>
      </c>
      <c r="M107" s="40">
        <v>1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29" t="str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9" t="str" cm="1">
        <f t="array" aca="1" ref="U107" ca="1">z_score_diff(OFFSET(T107,0,0,$I$5*-1,1),OFFSET(E107,0,0,$I$5*-1,1))</f>
        <v/>
      </c>
      <c r="V107" s="9" t="str">
        <f t="shared" ca="1" si="15"/>
        <v/>
      </c>
      <c r="W107" s="17">
        <f t="shared" ca="1" si="12"/>
        <v>7.2559244648525137E-3</v>
      </c>
      <c r="X107" s="13">
        <f t="shared" ca="1" si="13"/>
        <v>0</v>
      </c>
      <c r="Y107" s="13">
        <f t="shared" ca="1" si="14"/>
        <v>0</v>
      </c>
      <c r="Z107" t="str">
        <f t="shared" ca="1" si="16"/>
        <v/>
      </c>
      <c r="AA107" t="str">
        <f t="shared" ca="1" si="17"/>
        <v/>
      </c>
      <c r="AB107" s="24" t="str">
        <f t="shared" ca="1" si="18"/>
        <v/>
      </c>
      <c r="AC107" s="24" t="str">
        <f t="shared" ca="1" si="19"/>
        <v/>
      </c>
    </row>
    <row r="108" spans="3:29" x14ac:dyDescent="0.25">
      <c r="C108" s="6">
        <v>101</v>
      </c>
      <c r="D108" s="37">
        <v>42151</v>
      </c>
      <c r="E108" s="39">
        <v>22.303000000000001</v>
      </c>
      <c r="F108" s="39">
        <v>2.9135932417658439</v>
      </c>
      <c r="G108" s="39">
        <v>67.904104361100508</v>
      </c>
      <c r="H108" s="39">
        <v>50.95623189742561</v>
      </c>
      <c r="I108" s="10">
        <v>0</v>
      </c>
      <c r="J108" s="40">
        <v>0</v>
      </c>
      <c r="K108" s="40">
        <v>0</v>
      </c>
      <c r="L108" s="40">
        <v>0</v>
      </c>
      <c r="M108" s="40">
        <v>1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29" t="str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9" t="str" cm="1">
        <f t="array" aca="1" ref="U108" ca="1">z_score_diff(OFFSET(T108,0,0,$I$5*-1,1),OFFSET(E108,0,0,$I$5*-1,1))</f>
        <v/>
      </c>
      <c r="V108" s="9" t="str">
        <f t="shared" ca="1" si="15"/>
        <v/>
      </c>
      <c r="W108" s="17">
        <f t="shared" ca="1" si="12"/>
        <v>1.4334291020168883E-2</v>
      </c>
      <c r="X108" s="13">
        <f t="shared" ca="1" si="13"/>
        <v>0</v>
      </c>
      <c r="Y108" s="13">
        <f t="shared" ca="1" si="14"/>
        <v>0</v>
      </c>
      <c r="Z108" t="str">
        <f t="shared" ca="1" si="16"/>
        <v/>
      </c>
      <c r="AA108" t="str">
        <f t="shared" ca="1" si="17"/>
        <v/>
      </c>
      <c r="AB108" s="24" t="str">
        <f t="shared" ca="1" si="18"/>
        <v/>
      </c>
      <c r="AC108" s="24" t="str">
        <f t="shared" ca="1" si="19"/>
        <v/>
      </c>
    </row>
    <row r="109" spans="3:29" x14ac:dyDescent="0.25">
      <c r="C109" s="6">
        <v>102</v>
      </c>
      <c r="D109" s="37">
        <v>42152</v>
      </c>
      <c r="E109" s="39">
        <v>22.292999999999999</v>
      </c>
      <c r="F109" s="39">
        <v>2.9955035971223021</v>
      </c>
      <c r="G109" s="39">
        <v>67.522512096463089</v>
      </c>
      <c r="H109" s="39">
        <v>50.449640287769782</v>
      </c>
      <c r="I109" s="10">
        <v>0</v>
      </c>
      <c r="J109" s="40">
        <v>0</v>
      </c>
      <c r="K109" s="40">
        <v>0</v>
      </c>
      <c r="L109" s="40">
        <v>0</v>
      </c>
      <c r="M109" s="40">
        <v>1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29" t="str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9" t="str" cm="1">
        <f t="array" aca="1" ref="U109" ca="1">z_score_diff(OFFSET(T109,0,0,$I$5*-1,1),OFFSET(E109,0,0,$I$5*-1,1))</f>
        <v/>
      </c>
      <c r="V109" s="9" t="str">
        <f t="shared" ca="1" si="15"/>
        <v/>
      </c>
      <c r="W109" s="17">
        <f t="shared" ca="1" si="12"/>
        <v>1.1994347339286714E-2</v>
      </c>
      <c r="X109" s="13">
        <f t="shared" ca="1" si="13"/>
        <v>0</v>
      </c>
      <c r="Y109" s="13">
        <f t="shared" ca="1" si="14"/>
        <v>0</v>
      </c>
      <c r="Z109" t="str">
        <f t="shared" ca="1" si="16"/>
        <v/>
      </c>
      <c r="AA109" t="str">
        <f t="shared" ca="1" si="17"/>
        <v/>
      </c>
      <c r="AB109" s="24" t="str">
        <f t="shared" ca="1" si="18"/>
        <v/>
      </c>
      <c r="AC109" s="24" t="str">
        <f t="shared" ca="1" si="19"/>
        <v/>
      </c>
    </row>
    <row r="110" spans="3:29" x14ac:dyDescent="0.25">
      <c r="C110" s="6">
        <v>103</v>
      </c>
      <c r="D110" s="37">
        <v>42153</v>
      </c>
      <c r="E110" s="39">
        <v>22.614000000000001</v>
      </c>
      <c r="F110" s="39">
        <v>2.970180572253593</v>
      </c>
      <c r="G110" s="39">
        <v>70.156177092196629</v>
      </c>
      <c r="H110" s="39">
        <v>51.268836359032697</v>
      </c>
      <c r="I110" s="10">
        <v>0</v>
      </c>
      <c r="J110" s="40">
        <v>0</v>
      </c>
      <c r="K110" s="40">
        <v>0</v>
      </c>
      <c r="L110" s="40">
        <v>0</v>
      </c>
      <c r="M110" s="40">
        <v>1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29" t="str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9" t="str" cm="1">
        <f t="array" aca="1" ref="U110" ca="1">z_score_diff(OFFSET(T110,0,0,$I$5*-1,1),OFFSET(E110,0,0,$I$5*-1,1))</f>
        <v/>
      </c>
      <c r="V110" s="9" t="str">
        <f t="shared" ca="1" si="15"/>
        <v/>
      </c>
      <c r="W110" s="17">
        <f t="shared" ca="1" si="12"/>
        <v>-1.3266998361086176E-4</v>
      </c>
      <c r="X110" s="13">
        <f t="shared" ca="1" si="13"/>
        <v>0</v>
      </c>
      <c r="Y110" s="13">
        <f t="shared" ca="1" si="14"/>
        <v>0</v>
      </c>
      <c r="Z110" t="str">
        <f t="shared" ca="1" si="16"/>
        <v/>
      </c>
      <c r="AA110" t="str">
        <f t="shared" ca="1" si="17"/>
        <v/>
      </c>
      <c r="AB110" s="24" t="str">
        <f t="shared" ca="1" si="18"/>
        <v/>
      </c>
      <c r="AC110" s="24" t="str">
        <f t="shared" ca="1" si="19"/>
        <v/>
      </c>
    </row>
    <row r="111" spans="3:29" x14ac:dyDescent="0.25">
      <c r="C111" s="6">
        <v>104</v>
      </c>
      <c r="D111" s="37">
        <v>42156</v>
      </c>
      <c r="E111" s="39">
        <v>22.382999999999999</v>
      </c>
      <c r="F111" s="39">
        <v>2.9958491247067314</v>
      </c>
      <c r="G111" s="39">
        <v>69.783278594633558</v>
      </c>
      <c r="H111" s="39">
        <v>51.209168020212957</v>
      </c>
      <c r="I111" s="1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1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29" t="str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9" t="str" cm="1">
        <f t="array" aca="1" ref="U111" ca="1">z_score_diff(OFFSET(T111,0,0,$I$5*-1,1),OFFSET(E111,0,0,$I$5*-1,1))</f>
        <v/>
      </c>
      <c r="V111" s="9" t="str">
        <f t="shared" ca="1" si="15"/>
        <v/>
      </c>
      <c r="W111" s="17">
        <f t="shared" ca="1" si="12"/>
        <v>6.0576551547155029E-3</v>
      </c>
      <c r="X111" s="13">
        <f t="shared" ca="1" si="13"/>
        <v>0</v>
      </c>
      <c r="Y111" s="13">
        <f t="shared" ca="1" si="14"/>
        <v>0</v>
      </c>
      <c r="Z111" t="str">
        <f t="shared" ca="1" si="16"/>
        <v/>
      </c>
      <c r="AA111" t="str">
        <f t="shared" ca="1" si="17"/>
        <v/>
      </c>
      <c r="AB111" s="24" t="str">
        <f t="shared" ca="1" si="18"/>
        <v/>
      </c>
      <c r="AC111" s="24" t="str">
        <f t="shared" ca="1" si="19"/>
        <v/>
      </c>
    </row>
    <row r="112" spans="3:29" x14ac:dyDescent="0.25">
      <c r="C112" s="6">
        <v>105</v>
      </c>
      <c r="D112" s="37">
        <v>42157</v>
      </c>
      <c r="E112" s="39">
        <v>22.399000000000001</v>
      </c>
      <c r="F112" s="39">
        <v>2.9625044216483905</v>
      </c>
      <c r="G112" s="39">
        <v>69.762460584074205</v>
      </c>
      <c r="H112" s="39">
        <v>50.848956490979837</v>
      </c>
      <c r="I112" s="1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1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29" t="str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9" t="str" cm="1">
        <f t="array" aca="1" ref="U112" ca="1">z_score_diff(OFFSET(T112,0,0,$I$5*-1,1),OFFSET(E112,0,0,$I$5*-1,1))</f>
        <v/>
      </c>
      <c r="V112" s="9" t="str">
        <f t="shared" ca="1" si="15"/>
        <v/>
      </c>
      <c r="W112" s="17">
        <f t="shared" ca="1" si="12"/>
        <v>8.0328458442963796E-4</v>
      </c>
      <c r="X112" s="13">
        <f t="shared" ca="1" si="13"/>
        <v>0</v>
      </c>
      <c r="Y112" s="13">
        <f t="shared" ca="1" si="14"/>
        <v>0</v>
      </c>
      <c r="Z112" t="str">
        <f t="shared" ca="1" si="16"/>
        <v/>
      </c>
      <c r="AA112" t="str">
        <f t="shared" ca="1" si="17"/>
        <v/>
      </c>
      <c r="AB112" s="24" t="str">
        <f t="shared" ca="1" si="18"/>
        <v/>
      </c>
      <c r="AC112" s="24" t="str">
        <f t="shared" ca="1" si="19"/>
        <v/>
      </c>
    </row>
    <row r="113" spans="3:29" x14ac:dyDescent="0.25">
      <c r="C113" s="6">
        <v>106</v>
      </c>
      <c r="D113" s="37">
        <v>42158</v>
      </c>
      <c r="E113" s="39">
        <v>22.370999999999999</v>
      </c>
      <c r="F113" s="39">
        <v>2.9004197952994826</v>
      </c>
      <c r="G113" s="39">
        <v>69.660583931821904</v>
      </c>
      <c r="H113" s="39">
        <v>49.827724688478291</v>
      </c>
      <c r="I113" s="1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1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29" t="str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9" t="str" cm="1">
        <f t="array" aca="1" ref="U113" ca="1">z_score_diff(OFFSET(T113,0,0,$I$5*-1,1),OFFSET(E113,0,0,$I$5*-1,1))</f>
        <v/>
      </c>
      <c r="V113" s="9" t="str">
        <f t="shared" ca="1" si="15"/>
        <v/>
      </c>
      <c r="W113" s="17">
        <f t="shared" ca="1" si="12"/>
        <v>-3.8067986049051239E-3</v>
      </c>
      <c r="X113" s="13">
        <f t="shared" ca="1" si="13"/>
        <v>0</v>
      </c>
      <c r="Y113" s="13">
        <f t="shared" ca="1" si="14"/>
        <v>0</v>
      </c>
      <c r="Z113" t="str">
        <f t="shared" ca="1" si="16"/>
        <v/>
      </c>
      <c r="AA113" t="str">
        <f t="shared" ca="1" si="17"/>
        <v/>
      </c>
      <c r="AB113" s="24" t="str">
        <f t="shared" ca="1" si="18"/>
        <v/>
      </c>
      <c r="AC113" s="24" t="str">
        <f t="shared" ca="1" si="19"/>
        <v/>
      </c>
    </row>
    <row r="114" spans="3:29" x14ac:dyDescent="0.25">
      <c r="C114" s="6">
        <v>107</v>
      </c>
      <c r="D114" s="37">
        <v>42159</v>
      </c>
      <c r="E114" s="39">
        <v>22.222000000000001</v>
      </c>
      <c r="F114" s="39">
        <v>2.9064560203153373</v>
      </c>
      <c r="G114" s="39">
        <v>69.610134717987293</v>
      </c>
      <c r="H114" s="39">
        <v>50.094657389422956</v>
      </c>
      <c r="I114" s="1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1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29" t="str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9" t="str" cm="1">
        <f t="array" aca="1" ref="U114" ca="1">z_score_diff(OFFSET(T114,0,0,$I$5*-1,1),OFFSET(E114,0,0,$I$5*-1,1))</f>
        <v/>
      </c>
      <c r="V114" s="9" t="str">
        <f t="shared" ca="1" si="15"/>
        <v/>
      </c>
      <c r="W114" s="17">
        <f t="shared" ca="1" si="12"/>
        <v>1.7085566855817443E-3</v>
      </c>
      <c r="X114" s="13">
        <f t="shared" ca="1" si="13"/>
        <v>0</v>
      </c>
      <c r="Y114" s="13">
        <f t="shared" ca="1" si="14"/>
        <v>0</v>
      </c>
      <c r="Z114" t="str">
        <f t="shared" ca="1" si="16"/>
        <v/>
      </c>
      <c r="AA114" t="str">
        <f t="shared" ca="1" si="17"/>
        <v/>
      </c>
      <c r="AB114" s="24" t="str">
        <f t="shared" ca="1" si="18"/>
        <v/>
      </c>
      <c r="AC114" s="24" t="str">
        <f t="shared" ca="1" si="19"/>
        <v/>
      </c>
    </row>
    <row r="115" spans="3:29" x14ac:dyDescent="0.25">
      <c r="C115" s="6">
        <v>108</v>
      </c>
      <c r="D115" s="37">
        <v>42160</v>
      </c>
      <c r="E115" s="39">
        <v>22.352</v>
      </c>
      <c r="F115" s="39">
        <v>2.91378651213989</v>
      </c>
      <c r="G115" s="39">
        <v>69.835957258986056</v>
      </c>
      <c r="H115" s="39">
        <v>50.603202592870844</v>
      </c>
      <c r="I115" s="1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1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29" t="str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9" t="str" cm="1">
        <f t="array" aca="1" ref="U115" ca="1">z_score_diff(OFFSET(T115,0,0,$I$5*-1,1),OFFSET(E115,0,0,$I$5*-1,1))</f>
        <v/>
      </c>
      <c r="V115" s="9" t="str">
        <f t="shared" ca="1" si="15"/>
        <v/>
      </c>
      <c r="W115" s="17">
        <f t="shared" ca="1" si="12"/>
        <v>-6.6883876311670228E-3</v>
      </c>
      <c r="X115" s="13">
        <f t="shared" ca="1" si="13"/>
        <v>0</v>
      </c>
      <c r="Y115" s="13">
        <f t="shared" ca="1" si="14"/>
        <v>0</v>
      </c>
      <c r="Z115" t="str">
        <f t="shared" ca="1" si="16"/>
        <v/>
      </c>
      <c r="AA115" t="str">
        <f t="shared" ca="1" si="17"/>
        <v/>
      </c>
      <c r="AB115" s="24" t="str">
        <f t="shared" ca="1" si="18"/>
        <v/>
      </c>
      <c r="AC115" s="24" t="str">
        <f t="shared" ca="1" si="19"/>
        <v/>
      </c>
    </row>
    <row r="116" spans="3:29" x14ac:dyDescent="0.25">
      <c r="C116" s="6">
        <v>109</v>
      </c>
      <c r="D116" s="37">
        <v>42163</v>
      </c>
      <c r="E116" s="39">
        <v>22.497</v>
      </c>
      <c r="F116" s="39">
        <v>2.9154442513050021</v>
      </c>
      <c r="G116" s="39">
        <v>69.923128821930092</v>
      </c>
      <c r="H116" s="39">
        <v>49.726851888265777</v>
      </c>
      <c r="I116" s="10">
        <v>0</v>
      </c>
      <c r="J116" s="40">
        <v>0</v>
      </c>
      <c r="K116" s="40">
        <v>0</v>
      </c>
      <c r="L116" s="40">
        <v>0</v>
      </c>
      <c r="M116" s="40">
        <v>0</v>
      </c>
      <c r="N116" s="40">
        <v>1</v>
      </c>
      <c r="O116" s="40">
        <v>0</v>
      </c>
      <c r="P116" s="40">
        <v>0</v>
      </c>
      <c r="Q116" s="40">
        <v>0</v>
      </c>
      <c r="R116" s="40">
        <v>0</v>
      </c>
      <c r="S116" s="40">
        <v>0</v>
      </c>
      <c r="T116" s="29" t="str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9" t="str" cm="1">
        <f t="array" aca="1" ref="U116" ca="1">z_score_diff(OFFSET(T116,0,0,$I$5*-1,1),OFFSET(E116,0,0,$I$5*-1,1))</f>
        <v/>
      </c>
      <c r="V116" s="9" t="str">
        <f t="shared" ca="1" si="15"/>
        <v/>
      </c>
      <c r="W116" s="17">
        <f t="shared" ca="1" si="12"/>
        <v>-1.6944999311738783E-2</v>
      </c>
      <c r="X116" s="13">
        <f t="shared" ca="1" si="13"/>
        <v>0</v>
      </c>
      <c r="Y116" s="13">
        <f t="shared" ca="1" si="14"/>
        <v>0</v>
      </c>
      <c r="Z116" t="str">
        <f t="shared" ca="1" si="16"/>
        <v/>
      </c>
      <c r="AA116" t="str">
        <f t="shared" ca="1" si="17"/>
        <v/>
      </c>
      <c r="AB116" s="24" t="str">
        <f t="shared" ca="1" si="18"/>
        <v/>
      </c>
      <c r="AC116" s="24" t="str">
        <f t="shared" ca="1" si="19"/>
        <v/>
      </c>
    </row>
    <row r="117" spans="3:29" x14ac:dyDescent="0.25">
      <c r="C117" s="6">
        <v>110</v>
      </c>
      <c r="D117" s="37">
        <v>42164</v>
      </c>
      <c r="E117" s="39">
        <v>22.463000000000001</v>
      </c>
      <c r="F117" s="39">
        <v>2.9709227166767622</v>
      </c>
      <c r="G117" s="39">
        <v>70.060524546065906</v>
      </c>
      <c r="H117" s="39">
        <v>49.690190186252998</v>
      </c>
      <c r="I117" s="10">
        <v>0</v>
      </c>
      <c r="J117" s="40">
        <v>0</v>
      </c>
      <c r="K117" s="40">
        <v>0</v>
      </c>
      <c r="L117" s="40">
        <v>0</v>
      </c>
      <c r="M117" s="40">
        <v>0</v>
      </c>
      <c r="N117" s="40">
        <v>1</v>
      </c>
      <c r="O117" s="40">
        <v>0</v>
      </c>
      <c r="P117" s="40">
        <v>0</v>
      </c>
      <c r="Q117" s="40">
        <v>0</v>
      </c>
      <c r="R117" s="40">
        <v>0</v>
      </c>
      <c r="S117" s="40">
        <v>0</v>
      </c>
      <c r="T117" s="29" t="str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9" t="str" cm="1">
        <f t="array" aca="1" ref="U117" ca="1">z_score_diff(OFFSET(T117,0,0,$I$5*-1,1),OFFSET(E117,0,0,$I$5*-1,1))</f>
        <v/>
      </c>
      <c r="V117" s="9" t="str">
        <f t="shared" ca="1" si="15"/>
        <v/>
      </c>
      <c r="W117" s="17">
        <f t="shared" ca="1" si="12"/>
        <v>-1.8874420008832302E-2</v>
      </c>
      <c r="X117" s="13">
        <f t="shared" ca="1" si="13"/>
        <v>0</v>
      </c>
      <c r="Y117" s="13">
        <f t="shared" ca="1" si="14"/>
        <v>0</v>
      </c>
      <c r="Z117" t="str">
        <f t="shared" ca="1" si="16"/>
        <v/>
      </c>
      <c r="AA117" t="str">
        <f t="shared" ca="1" si="17"/>
        <v/>
      </c>
      <c r="AB117" s="24" t="str">
        <f t="shared" ca="1" si="18"/>
        <v/>
      </c>
      <c r="AC117" s="24" t="str">
        <f t="shared" ca="1" si="19"/>
        <v/>
      </c>
    </row>
    <row r="118" spans="3:29" x14ac:dyDescent="0.25">
      <c r="C118" s="6">
        <v>111</v>
      </c>
      <c r="D118" s="37">
        <v>42165</v>
      </c>
      <c r="E118" s="39">
        <v>22.545999999999999</v>
      </c>
      <c r="F118" s="39">
        <v>2.9734332662315501</v>
      </c>
      <c r="G118" s="39">
        <v>70.46783941874169</v>
      </c>
      <c r="H118" s="39">
        <v>49.629779260673018</v>
      </c>
      <c r="I118" s="10">
        <v>0</v>
      </c>
      <c r="J118" s="40">
        <v>0</v>
      </c>
      <c r="K118" s="40">
        <v>0</v>
      </c>
      <c r="L118" s="40">
        <v>0</v>
      </c>
      <c r="M118" s="40">
        <v>0</v>
      </c>
      <c r="N118" s="40">
        <v>1</v>
      </c>
      <c r="O118" s="40">
        <v>0</v>
      </c>
      <c r="P118" s="40">
        <v>0</v>
      </c>
      <c r="Q118" s="40">
        <v>0</v>
      </c>
      <c r="R118" s="40">
        <v>0</v>
      </c>
      <c r="S118" s="40">
        <v>0</v>
      </c>
      <c r="T118" s="29" t="str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9" t="str" cm="1">
        <f t="array" aca="1" ref="U118" ca="1">z_score_diff(OFFSET(T118,0,0,$I$5*-1,1),OFFSET(E118,0,0,$I$5*-1,1))</f>
        <v/>
      </c>
      <c r="V118" s="9" t="str">
        <f t="shared" ca="1" si="15"/>
        <v/>
      </c>
      <c r="W118" s="17">
        <f t="shared" ca="1" si="12"/>
        <v>-2.0930736094133911E-2</v>
      </c>
      <c r="X118" s="13">
        <f t="shared" ca="1" si="13"/>
        <v>0</v>
      </c>
      <c r="Y118" s="13">
        <f t="shared" ca="1" si="14"/>
        <v>0</v>
      </c>
      <c r="Z118" t="str">
        <f t="shared" ca="1" si="16"/>
        <v/>
      </c>
      <c r="AA118" t="str">
        <f t="shared" ca="1" si="17"/>
        <v/>
      </c>
      <c r="AB118" s="24" t="str">
        <f t="shared" ca="1" si="18"/>
        <v/>
      </c>
      <c r="AC118" s="24" t="str">
        <f t="shared" ca="1" si="19"/>
        <v/>
      </c>
    </row>
    <row r="119" spans="3:29" x14ac:dyDescent="0.25">
      <c r="C119" s="6">
        <v>112</v>
      </c>
      <c r="D119" s="37">
        <v>42166</v>
      </c>
      <c r="E119" s="39">
        <v>22.358000000000001</v>
      </c>
      <c r="F119" s="39">
        <v>2.9794946328821337</v>
      </c>
      <c r="G119" s="39">
        <v>69.991536349544688</v>
      </c>
      <c r="H119" s="39">
        <v>50.606755739226365</v>
      </c>
      <c r="I119" s="10">
        <v>0</v>
      </c>
      <c r="J119" s="40">
        <v>0</v>
      </c>
      <c r="K119" s="40">
        <v>0</v>
      </c>
      <c r="L119" s="40">
        <v>0</v>
      </c>
      <c r="M119" s="40">
        <v>0</v>
      </c>
      <c r="N119" s="40">
        <v>1</v>
      </c>
      <c r="O119" s="40">
        <v>0</v>
      </c>
      <c r="P119" s="40">
        <v>0</v>
      </c>
      <c r="Q119" s="40">
        <v>0</v>
      </c>
      <c r="R119" s="40">
        <v>0</v>
      </c>
      <c r="S119" s="40">
        <v>0</v>
      </c>
      <c r="T119" s="29" t="str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9" t="str" cm="1">
        <f t="array" aca="1" ref="U119" ca="1">z_score_diff(OFFSET(T119,0,0,$I$5*-1,1),OFFSET(E119,0,0,$I$5*-1,1))</f>
        <v/>
      </c>
      <c r="V119" s="9" t="str">
        <f t="shared" ca="1" si="15"/>
        <v/>
      </c>
      <c r="W119" s="17">
        <f t="shared" ca="1" si="12"/>
        <v>-8.6246154946726834E-3</v>
      </c>
      <c r="X119" s="13">
        <f t="shared" ca="1" si="13"/>
        <v>0</v>
      </c>
      <c r="Y119" s="13">
        <f t="shared" ca="1" si="14"/>
        <v>0</v>
      </c>
      <c r="Z119" t="str">
        <f t="shared" ca="1" si="16"/>
        <v/>
      </c>
      <c r="AA119" t="str">
        <f t="shared" ca="1" si="17"/>
        <v/>
      </c>
      <c r="AB119" s="24" t="str">
        <f t="shared" ca="1" si="18"/>
        <v/>
      </c>
      <c r="AC119" s="24" t="str">
        <f t="shared" ca="1" si="19"/>
        <v/>
      </c>
    </row>
    <row r="120" spans="3:29" x14ac:dyDescent="0.25">
      <c r="C120" s="6">
        <v>113</v>
      </c>
      <c r="D120" s="37">
        <v>42167</v>
      </c>
      <c r="E120" s="39">
        <v>22.332999999999998</v>
      </c>
      <c r="F120" s="39">
        <v>2.9479229429907909</v>
      </c>
      <c r="G120" s="39">
        <v>70.077762743919806</v>
      </c>
      <c r="H120" s="39">
        <v>50.545816109423825</v>
      </c>
      <c r="I120" s="10">
        <v>0</v>
      </c>
      <c r="J120" s="40">
        <v>0</v>
      </c>
      <c r="K120" s="40">
        <v>0</v>
      </c>
      <c r="L120" s="40">
        <v>0</v>
      </c>
      <c r="M120" s="40">
        <v>0</v>
      </c>
      <c r="N120" s="40">
        <v>1</v>
      </c>
      <c r="O120" s="40">
        <v>0</v>
      </c>
      <c r="P120" s="40">
        <v>0</v>
      </c>
      <c r="Q120" s="40">
        <v>0</v>
      </c>
      <c r="R120" s="40">
        <v>0</v>
      </c>
      <c r="S120" s="40">
        <v>0</v>
      </c>
      <c r="T120" s="29" t="str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9" t="str" cm="1">
        <f t="array" aca="1" ref="U120" ca="1">z_score_diff(OFFSET(T120,0,0,$I$5*-1,1),OFFSET(E120,0,0,$I$5*-1,1))</f>
        <v/>
      </c>
      <c r="V120" s="9" t="str">
        <f t="shared" ca="1" si="15"/>
        <v/>
      </c>
      <c r="W120" s="17">
        <f t="shared" ca="1" si="12"/>
        <v>-2.7141540797582079E-2</v>
      </c>
      <c r="X120" s="13">
        <f t="shared" ca="1" si="13"/>
        <v>0</v>
      </c>
      <c r="Y120" s="13">
        <f t="shared" ca="1" si="14"/>
        <v>0</v>
      </c>
      <c r="Z120" t="str">
        <f t="shared" ca="1" si="16"/>
        <v/>
      </c>
      <c r="AA120" t="str">
        <f t="shared" ca="1" si="17"/>
        <v/>
      </c>
      <c r="AB120" s="24" t="str">
        <f t="shared" ca="1" si="18"/>
        <v/>
      </c>
      <c r="AC120" s="24" t="str">
        <f t="shared" ca="1" si="19"/>
        <v/>
      </c>
    </row>
    <row r="121" spans="3:29" x14ac:dyDescent="0.25">
      <c r="C121" s="6">
        <v>114</v>
      </c>
      <c r="D121" s="37">
        <v>42170</v>
      </c>
      <c r="E121" s="39">
        <v>22.277000000000001</v>
      </c>
      <c r="F121" s="39">
        <v>2.9837053863964003</v>
      </c>
      <c r="G121" s="39">
        <v>69.761483593309208</v>
      </c>
      <c r="H121" s="39">
        <v>50.849678913109962</v>
      </c>
      <c r="I121" s="10">
        <v>0</v>
      </c>
      <c r="J121" s="40">
        <v>0</v>
      </c>
      <c r="K121" s="40">
        <v>0</v>
      </c>
      <c r="L121" s="40">
        <v>0</v>
      </c>
      <c r="M121" s="40">
        <v>0</v>
      </c>
      <c r="N121" s="40">
        <v>1</v>
      </c>
      <c r="O121" s="40">
        <v>0</v>
      </c>
      <c r="P121" s="40">
        <v>0</v>
      </c>
      <c r="Q121" s="40">
        <v>0</v>
      </c>
      <c r="R121" s="40">
        <v>0</v>
      </c>
      <c r="S121" s="40">
        <v>0</v>
      </c>
      <c r="T121" s="29" t="str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9" t="str" cm="1">
        <f t="array" aca="1" ref="U121" ca="1">z_score_diff(OFFSET(T121,0,0,$I$5*-1,1),OFFSET(E121,0,0,$I$5*-1,1))</f>
        <v/>
      </c>
      <c r="V121" s="9" t="str">
        <f t="shared" ca="1" si="15"/>
        <v/>
      </c>
      <c r="W121" s="17">
        <f t="shared" ca="1" si="12"/>
        <v>-3.7969980629912546E-2</v>
      </c>
      <c r="X121" s="13">
        <f t="shared" ca="1" si="13"/>
        <v>0</v>
      </c>
      <c r="Y121" s="13">
        <f t="shared" ca="1" si="14"/>
        <v>0</v>
      </c>
      <c r="Z121" t="str">
        <f t="shared" ca="1" si="16"/>
        <v/>
      </c>
      <c r="AA121" t="str">
        <f t="shared" ca="1" si="17"/>
        <v/>
      </c>
      <c r="AB121" s="24" t="str">
        <f t="shared" ca="1" si="18"/>
        <v/>
      </c>
      <c r="AC121" s="24" t="str">
        <f t="shared" ca="1" si="19"/>
        <v/>
      </c>
    </row>
    <row r="122" spans="3:29" x14ac:dyDescent="0.25">
      <c r="C122" s="6">
        <v>115</v>
      </c>
      <c r="D122" s="37">
        <v>42171</v>
      </c>
      <c r="E122" s="39">
        <v>22.591999999999999</v>
      </c>
      <c r="F122" s="39">
        <v>2.9968454258675079</v>
      </c>
      <c r="G122" s="39">
        <v>70.066520061453687</v>
      </c>
      <c r="H122" s="39">
        <v>50.823694356817384</v>
      </c>
      <c r="I122" s="10">
        <v>0</v>
      </c>
      <c r="J122" s="40">
        <v>0</v>
      </c>
      <c r="K122" s="40">
        <v>0</v>
      </c>
      <c r="L122" s="40">
        <v>0</v>
      </c>
      <c r="M122" s="40">
        <v>0</v>
      </c>
      <c r="N122" s="40">
        <v>1</v>
      </c>
      <c r="O122" s="40">
        <v>0</v>
      </c>
      <c r="P122" s="40">
        <v>0</v>
      </c>
      <c r="Q122" s="40">
        <v>0</v>
      </c>
      <c r="R122" s="40">
        <v>0</v>
      </c>
      <c r="S122" s="40">
        <v>0</v>
      </c>
      <c r="T122" s="29" t="str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9" t="str" cm="1">
        <f t="array" aca="1" ref="U122" ca="1">z_score_diff(OFFSET(T122,0,0,$I$5*-1,1),OFFSET(E122,0,0,$I$5*-1,1))</f>
        <v/>
      </c>
      <c r="V122" s="9" t="str">
        <f t="shared" ca="1" si="15"/>
        <v/>
      </c>
      <c r="W122" s="17">
        <f t="shared" ca="1" si="12"/>
        <v>-5.4859358976366748E-2</v>
      </c>
      <c r="X122" s="13">
        <f t="shared" ca="1" si="13"/>
        <v>0</v>
      </c>
      <c r="Y122" s="13">
        <f t="shared" ca="1" si="14"/>
        <v>0</v>
      </c>
      <c r="Z122" t="str">
        <f t="shared" ca="1" si="16"/>
        <v/>
      </c>
      <c r="AA122" t="str">
        <f t="shared" ca="1" si="17"/>
        <v/>
      </c>
      <c r="AB122" s="24" t="str">
        <f t="shared" ca="1" si="18"/>
        <v/>
      </c>
      <c r="AC122" s="24" t="str">
        <f t="shared" ca="1" si="19"/>
        <v/>
      </c>
    </row>
    <row r="123" spans="3:29" x14ac:dyDescent="0.25">
      <c r="C123" s="6">
        <v>116</v>
      </c>
      <c r="D123" s="37">
        <v>42172</v>
      </c>
      <c r="E123" s="39">
        <v>22.573</v>
      </c>
      <c r="F123" s="39">
        <v>2.9664240489251066</v>
      </c>
      <c r="G123" s="39">
        <v>70.108226389942743</v>
      </c>
      <c r="H123" s="39">
        <v>50.484916325603344</v>
      </c>
      <c r="I123" s="10">
        <v>0</v>
      </c>
      <c r="J123" s="40">
        <v>0</v>
      </c>
      <c r="K123" s="40">
        <v>0</v>
      </c>
      <c r="L123" s="40">
        <v>0</v>
      </c>
      <c r="M123" s="40">
        <v>0</v>
      </c>
      <c r="N123" s="40">
        <v>1</v>
      </c>
      <c r="O123" s="40">
        <v>0</v>
      </c>
      <c r="P123" s="40">
        <v>0</v>
      </c>
      <c r="Q123" s="40">
        <v>0</v>
      </c>
      <c r="R123" s="40">
        <v>0</v>
      </c>
      <c r="S123" s="40">
        <v>0</v>
      </c>
      <c r="T123" s="29" t="str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9" t="str" cm="1">
        <f t="array" aca="1" ref="U123" ca="1">z_score_diff(OFFSET(T123,0,0,$I$5*-1,1),OFFSET(E123,0,0,$I$5*-1,1))</f>
        <v/>
      </c>
      <c r="V123" s="9" t="str">
        <f t="shared" ca="1" si="15"/>
        <v/>
      </c>
      <c r="W123" s="17">
        <f t="shared" ca="1" si="12"/>
        <v>-4.9213325501016841E-2</v>
      </c>
      <c r="X123" s="13">
        <f t="shared" ca="1" si="13"/>
        <v>0</v>
      </c>
      <c r="Y123" s="13">
        <f t="shared" ca="1" si="14"/>
        <v>0</v>
      </c>
      <c r="Z123" t="str">
        <f t="shared" ca="1" si="16"/>
        <v/>
      </c>
      <c r="AA123" t="str">
        <f t="shared" ca="1" si="17"/>
        <v/>
      </c>
      <c r="AB123" s="24" t="str">
        <f t="shared" ca="1" si="18"/>
        <v/>
      </c>
      <c r="AC123" s="24" t="str">
        <f t="shared" ca="1" si="19"/>
        <v/>
      </c>
    </row>
    <row r="124" spans="3:29" x14ac:dyDescent="0.25">
      <c r="C124" s="6">
        <v>117</v>
      </c>
      <c r="D124" s="37">
        <v>42173</v>
      </c>
      <c r="E124" s="39">
        <v>22.63</v>
      </c>
      <c r="F124" s="39">
        <v>2.9406019248049802</v>
      </c>
      <c r="G124" s="39">
        <v>70.399947138092102</v>
      </c>
      <c r="H124" s="39">
        <v>51.006897868996923</v>
      </c>
      <c r="I124" s="10">
        <v>0</v>
      </c>
      <c r="J124" s="40">
        <v>0</v>
      </c>
      <c r="K124" s="40">
        <v>0</v>
      </c>
      <c r="L124" s="40">
        <v>0</v>
      </c>
      <c r="M124" s="40">
        <v>0</v>
      </c>
      <c r="N124" s="40">
        <v>1</v>
      </c>
      <c r="O124" s="40">
        <v>0</v>
      </c>
      <c r="P124" s="40">
        <v>0</v>
      </c>
      <c r="Q124" s="40">
        <v>0</v>
      </c>
      <c r="R124" s="40">
        <v>0</v>
      </c>
      <c r="S124" s="40">
        <v>0</v>
      </c>
      <c r="T124" s="29" t="str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9" t="str" cm="1">
        <f t="array" aca="1" ref="U124" ca="1">z_score_diff(OFFSET(T124,0,0,$I$5*-1,1),OFFSET(E124,0,0,$I$5*-1,1))</f>
        <v/>
      </c>
      <c r="V124" s="9" t="str">
        <f t="shared" ca="1" si="15"/>
        <v/>
      </c>
      <c r="W124" s="17">
        <f t="shared" ca="1" si="12"/>
        <v>-5.4391327403138373E-2</v>
      </c>
      <c r="X124" s="13">
        <f t="shared" ca="1" si="13"/>
        <v>0</v>
      </c>
      <c r="Y124" s="13">
        <f t="shared" ca="1" si="14"/>
        <v>0</v>
      </c>
      <c r="Z124" t="str">
        <f t="shared" ca="1" si="16"/>
        <v/>
      </c>
      <c r="AA124" t="str">
        <f t="shared" ca="1" si="17"/>
        <v/>
      </c>
      <c r="AB124" s="24" t="str">
        <f t="shared" ca="1" si="18"/>
        <v/>
      </c>
      <c r="AC124" s="24" t="str">
        <f t="shared" ca="1" si="19"/>
        <v/>
      </c>
    </row>
    <row r="125" spans="3:29" x14ac:dyDescent="0.25">
      <c r="C125" s="6">
        <v>118</v>
      </c>
      <c r="D125" s="37">
        <v>42174</v>
      </c>
      <c r="E125" s="39">
        <v>22.753</v>
      </c>
      <c r="F125" s="39">
        <v>2.9635655256504854</v>
      </c>
      <c r="G125" s="39">
        <v>70.358501847478976</v>
      </c>
      <c r="H125" s="39">
        <v>50.710864639796426</v>
      </c>
      <c r="I125" s="10">
        <v>0</v>
      </c>
      <c r="J125" s="40">
        <v>0</v>
      </c>
      <c r="K125" s="40">
        <v>0</v>
      </c>
      <c r="L125" s="40">
        <v>0</v>
      </c>
      <c r="M125" s="40">
        <v>0</v>
      </c>
      <c r="N125" s="40">
        <v>1</v>
      </c>
      <c r="O125" s="40">
        <v>0</v>
      </c>
      <c r="P125" s="40">
        <v>0</v>
      </c>
      <c r="Q125" s="40">
        <v>0</v>
      </c>
      <c r="R125" s="40">
        <v>0</v>
      </c>
      <c r="S125" s="40">
        <v>0</v>
      </c>
      <c r="T125" s="29" t="str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9" t="str" cm="1">
        <f t="array" aca="1" ref="U125" ca="1">z_score_diff(OFFSET(T125,0,0,$I$5*-1,1),OFFSET(E125,0,0,$I$5*-1,1))</f>
        <v/>
      </c>
      <c r="V125" s="9" t="str">
        <f t="shared" ca="1" si="15"/>
        <v/>
      </c>
      <c r="W125" s="17">
        <f t="shared" ca="1" si="12"/>
        <v>-6.3832636343216467E-2</v>
      </c>
      <c r="X125" s="13">
        <f t="shared" ca="1" si="13"/>
        <v>0</v>
      </c>
      <c r="Y125" s="13">
        <f t="shared" ca="1" si="14"/>
        <v>0</v>
      </c>
      <c r="Z125" t="str">
        <f t="shared" ca="1" si="16"/>
        <v/>
      </c>
      <c r="AA125" t="str">
        <f t="shared" ca="1" si="17"/>
        <v/>
      </c>
      <c r="AB125" s="24" t="str">
        <f t="shared" ca="1" si="18"/>
        <v/>
      </c>
      <c r="AC125" s="24" t="str">
        <f t="shared" ca="1" si="19"/>
        <v/>
      </c>
    </row>
    <row r="126" spans="3:29" x14ac:dyDescent="0.25">
      <c r="C126" s="6">
        <v>119</v>
      </c>
      <c r="D126" s="37">
        <v>42177</v>
      </c>
      <c r="E126" s="39">
        <v>22.940999999999999</v>
      </c>
      <c r="F126" s="39">
        <v>2.9372371172780039</v>
      </c>
      <c r="G126" s="39">
        <v>71.110536813758571</v>
      </c>
      <c r="H126" s="39">
        <v>51.608344016173518</v>
      </c>
      <c r="I126" s="10">
        <v>0</v>
      </c>
      <c r="J126" s="40">
        <v>0</v>
      </c>
      <c r="K126" s="40">
        <v>0</v>
      </c>
      <c r="L126" s="40">
        <v>0</v>
      </c>
      <c r="M126" s="40">
        <v>0</v>
      </c>
      <c r="N126" s="40">
        <v>1</v>
      </c>
      <c r="O126" s="40">
        <v>0</v>
      </c>
      <c r="P126" s="40">
        <v>0</v>
      </c>
      <c r="Q126" s="40">
        <v>0</v>
      </c>
      <c r="R126" s="40">
        <v>0</v>
      </c>
      <c r="S126" s="40">
        <v>0</v>
      </c>
      <c r="T126" s="29" t="str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9" t="str" cm="1">
        <f t="array" aca="1" ref="U126" ca="1">z_score_diff(OFFSET(T126,0,0,$I$5*-1,1),OFFSET(E126,0,0,$I$5*-1,1))</f>
        <v/>
      </c>
      <c r="V126" s="9" t="str">
        <f t="shared" ca="1" si="15"/>
        <v/>
      </c>
      <c r="W126" s="17">
        <f t="shared" ca="1" si="12"/>
        <v>-7.1171633634209475E-2</v>
      </c>
      <c r="X126" s="13">
        <f t="shared" ca="1" si="13"/>
        <v>0</v>
      </c>
      <c r="Y126" s="13">
        <f t="shared" ca="1" si="14"/>
        <v>0</v>
      </c>
      <c r="Z126" t="str">
        <f t="shared" ca="1" si="16"/>
        <v/>
      </c>
      <c r="AA126" t="str">
        <f t="shared" ca="1" si="17"/>
        <v/>
      </c>
      <c r="AB126" s="24" t="str">
        <f t="shared" ca="1" si="18"/>
        <v/>
      </c>
      <c r="AC126" s="24" t="str">
        <f t="shared" ca="1" si="19"/>
        <v/>
      </c>
    </row>
    <row r="127" spans="3:29" x14ac:dyDescent="0.25">
      <c r="C127" s="6">
        <v>120</v>
      </c>
      <c r="D127" s="37">
        <v>42178</v>
      </c>
      <c r="E127" s="39">
        <v>22.928999999999998</v>
      </c>
      <c r="F127" s="39">
        <v>2.9900596421471173</v>
      </c>
      <c r="G127" s="39">
        <v>71.220585440425936</v>
      </c>
      <c r="H127" s="39">
        <v>52.52926883145571</v>
      </c>
      <c r="I127" s="10">
        <v>0</v>
      </c>
      <c r="J127" s="40">
        <v>0</v>
      </c>
      <c r="K127" s="40">
        <v>0</v>
      </c>
      <c r="L127" s="40">
        <v>0</v>
      </c>
      <c r="M127" s="40">
        <v>0</v>
      </c>
      <c r="N127" s="40">
        <v>1</v>
      </c>
      <c r="O127" s="40">
        <v>0</v>
      </c>
      <c r="P127" s="40">
        <v>0</v>
      </c>
      <c r="Q127" s="40">
        <v>0</v>
      </c>
      <c r="R127" s="40">
        <v>0</v>
      </c>
      <c r="S127" s="40">
        <v>0</v>
      </c>
      <c r="T127" s="29" t="str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9" t="str" cm="1">
        <f t="array" aca="1" ref="U127" ca="1">z_score_diff(OFFSET(T127,0,0,$I$5*-1,1),OFFSET(E127,0,0,$I$5*-1,1))</f>
        <v/>
      </c>
      <c r="V127" s="9" t="str">
        <f t="shared" ca="1" si="15"/>
        <v/>
      </c>
      <c r="W127" s="17">
        <f t="shared" ca="1" si="12"/>
        <v>-7.2616182584759756E-2</v>
      </c>
      <c r="X127" s="13">
        <f t="shared" ca="1" si="13"/>
        <v>0</v>
      </c>
      <c r="Y127" s="13">
        <f t="shared" ca="1" si="14"/>
        <v>0</v>
      </c>
      <c r="Z127" t="str">
        <f t="shared" ca="1" si="16"/>
        <v/>
      </c>
      <c r="AA127" t="str">
        <f t="shared" ca="1" si="17"/>
        <v/>
      </c>
      <c r="AB127" s="24" t="str">
        <f t="shared" ca="1" si="18"/>
        <v/>
      </c>
      <c r="AC127" s="24" t="str">
        <f t="shared" ca="1" si="19"/>
        <v/>
      </c>
    </row>
    <row r="128" spans="3:29" x14ac:dyDescent="0.25">
      <c r="C128" s="6">
        <v>121</v>
      </c>
      <c r="D128" s="37">
        <v>42179</v>
      </c>
      <c r="E128" s="39">
        <v>22.89</v>
      </c>
      <c r="F128" s="39">
        <v>2.9954087416994697</v>
      </c>
      <c r="G128" s="39">
        <v>70.675080760687777</v>
      </c>
      <c r="H128" s="39">
        <v>52.197395939693962</v>
      </c>
      <c r="I128" s="10">
        <v>0</v>
      </c>
      <c r="J128" s="40">
        <v>0</v>
      </c>
      <c r="K128" s="40">
        <v>0</v>
      </c>
      <c r="L128" s="40">
        <v>0</v>
      </c>
      <c r="M128" s="40">
        <v>0</v>
      </c>
      <c r="N128" s="40">
        <v>1</v>
      </c>
      <c r="O128" s="40">
        <v>0</v>
      </c>
      <c r="P128" s="40">
        <v>0</v>
      </c>
      <c r="Q128" s="40">
        <v>0</v>
      </c>
      <c r="R128" s="40">
        <v>0</v>
      </c>
      <c r="S128" s="40">
        <v>0</v>
      </c>
      <c r="T128" s="29" t="str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9" t="str" cm="1">
        <f t="array" aca="1" ref="U128" ca="1">z_score_diff(OFFSET(T128,0,0,$I$5*-1,1),OFFSET(E128,0,0,$I$5*-1,1))</f>
        <v/>
      </c>
      <c r="V128" s="9" t="str">
        <f t="shared" ca="1" si="15"/>
        <v/>
      </c>
      <c r="W128" s="17">
        <f t="shared" ca="1" si="12"/>
        <v>-7.410797215372196E-2</v>
      </c>
      <c r="X128" s="13">
        <f t="shared" ca="1" si="13"/>
        <v>0</v>
      </c>
      <c r="Y128" s="13">
        <f t="shared" ca="1" si="14"/>
        <v>0</v>
      </c>
      <c r="Z128" t="str">
        <f t="shared" ca="1" si="16"/>
        <v/>
      </c>
      <c r="AA128" t="str">
        <f t="shared" ca="1" si="17"/>
        <v/>
      </c>
      <c r="AB128" s="24" t="str">
        <f t="shared" ca="1" si="18"/>
        <v/>
      </c>
      <c r="AC128" s="24" t="str">
        <f t="shared" ca="1" si="19"/>
        <v/>
      </c>
    </row>
    <row r="129" spans="3:29" x14ac:dyDescent="0.25">
      <c r="C129" s="6">
        <v>122</v>
      </c>
      <c r="D129" s="37">
        <v>42180</v>
      </c>
      <c r="E129" s="39">
        <v>22.821000000000002</v>
      </c>
      <c r="F129" s="39">
        <v>3.0147835269271384</v>
      </c>
      <c r="G129" s="39">
        <v>70.687847664991338</v>
      </c>
      <c r="H129" s="39">
        <v>52.666314677930302</v>
      </c>
      <c r="I129" s="10">
        <v>0</v>
      </c>
      <c r="J129" s="40">
        <v>0</v>
      </c>
      <c r="K129" s="40">
        <v>0</v>
      </c>
      <c r="L129" s="40">
        <v>0</v>
      </c>
      <c r="M129" s="40">
        <v>0</v>
      </c>
      <c r="N129" s="40">
        <v>1</v>
      </c>
      <c r="O129" s="40">
        <v>0</v>
      </c>
      <c r="P129" s="40">
        <v>0</v>
      </c>
      <c r="Q129" s="40">
        <v>0</v>
      </c>
      <c r="R129" s="40">
        <v>0</v>
      </c>
      <c r="S129" s="40">
        <v>0</v>
      </c>
      <c r="T129" s="29" t="str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9" t="str" cm="1">
        <f t="array" aca="1" ref="U129" ca="1">z_score_diff(OFFSET(T129,0,0,$I$5*-1,1),OFFSET(E129,0,0,$I$5*-1,1))</f>
        <v/>
      </c>
      <c r="V129" s="9" t="str">
        <f t="shared" ca="1" si="15"/>
        <v/>
      </c>
      <c r="W129" s="17">
        <f t="shared" ca="1" si="12"/>
        <v>-6.7004202488900794E-2</v>
      </c>
      <c r="X129" s="13">
        <f t="shared" ca="1" si="13"/>
        <v>0</v>
      </c>
      <c r="Y129" s="13">
        <f t="shared" ca="1" si="14"/>
        <v>0</v>
      </c>
      <c r="Z129" t="str">
        <f t="shared" ca="1" si="16"/>
        <v/>
      </c>
      <c r="AA129" t="str">
        <f t="shared" ca="1" si="17"/>
        <v/>
      </c>
      <c r="AB129" s="24" t="str">
        <f t="shared" ca="1" si="18"/>
        <v/>
      </c>
      <c r="AC129" s="24" t="str">
        <f t="shared" ca="1" si="19"/>
        <v/>
      </c>
    </row>
    <row r="130" spans="3:29" x14ac:dyDescent="0.25">
      <c r="C130" s="6">
        <v>123</v>
      </c>
      <c r="D130" s="37">
        <v>42181</v>
      </c>
      <c r="E130" s="39">
        <v>22.908999999999999</v>
      </c>
      <c r="F130" s="39">
        <v>2.9927587424938182</v>
      </c>
      <c r="G130" s="39">
        <v>70.548864342116943</v>
      </c>
      <c r="H130" s="39">
        <v>52.410808901448249</v>
      </c>
      <c r="I130" s="10">
        <v>0</v>
      </c>
      <c r="J130" s="40">
        <v>0</v>
      </c>
      <c r="K130" s="40">
        <v>0</v>
      </c>
      <c r="L130" s="40">
        <v>0</v>
      </c>
      <c r="M130" s="40">
        <v>0</v>
      </c>
      <c r="N130" s="40">
        <v>1</v>
      </c>
      <c r="O130" s="40">
        <v>0</v>
      </c>
      <c r="P130" s="40">
        <v>0</v>
      </c>
      <c r="Q130" s="40">
        <v>0</v>
      </c>
      <c r="R130" s="40">
        <v>0</v>
      </c>
      <c r="S130" s="40">
        <v>0</v>
      </c>
      <c r="T130" s="29" t="str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9" t="str" cm="1">
        <f t="array" aca="1" ref="U130" ca="1">z_score_diff(OFFSET(T130,0,0,$I$5*-1,1),OFFSET(E130,0,0,$I$5*-1,1))</f>
        <v/>
      </c>
      <c r="V130" s="9" t="str">
        <f t="shared" ca="1" si="15"/>
        <v/>
      </c>
      <c r="W130" s="17">
        <f t="shared" ca="1" si="12"/>
        <v>-8.0646728432371834E-2</v>
      </c>
      <c r="X130" s="13">
        <f t="shared" ca="1" si="13"/>
        <v>0</v>
      </c>
      <c r="Y130" s="13">
        <f t="shared" ca="1" si="14"/>
        <v>0</v>
      </c>
      <c r="Z130" t="str">
        <f t="shared" ca="1" si="16"/>
        <v/>
      </c>
      <c r="AA130" t="str">
        <f t="shared" ca="1" si="17"/>
        <v/>
      </c>
      <c r="AB130" s="24" t="str">
        <f t="shared" ca="1" si="18"/>
        <v/>
      </c>
      <c r="AC130" s="24" t="str">
        <f t="shared" ca="1" si="19"/>
        <v/>
      </c>
    </row>
    <row r="131" spans="3:29" x14ac:dyDescent="0.25">
      <c r="C131" s="6">
        <v>124</v>
      </c>
      <c r="D131" s="37">
        <v>42184</v>
      </c>
      <c r="E131" s="39">
        <v>22.782</v>
      </c>
      <c r="F131" s="39">
        <v>3.0863710137298765</v>
      </c>
      <c r="G131" s="39">
        <v>70.010365779694098</v>
      </c>
      <c r="H131" s="39">
        <v>52.068254594902839</v>
      </c>
      <c r="I131" s="10">
        <v>0</v>
      </c>
      <c r="J131" s="40">
        <v>0</v>
      </c>
      <c r="K131" s="40">
        <v>0</v>
      </c>
      <c r="L131" s="40">
        <v>0</v>
      </c>
      <c r="M131" s="40">
        <v>0</v>
      </c>
      <c r="N131" s="40">
        <v>1</v>
      </c>
      <c r="O131" s="40">
        <v>0</v>
      </c>
      <c r="P131" s="40">
        <v>0</v>
      </c>
      <c r="Q131" s="40">
        <v>0</v>
      </c>
      <c r="R131" s="40">
        <v>0</v>
      </c>
      <c r="S131" s="40">
        <v>0</v>
      </c>
      <c r="T131" s="29" t="str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9" t="str" cm="1">
        <f t="array" aca="1" ref="U131" ca="1">z_score_diff(OFFSET(T131,0,0,$I$5*-1,1),OFFSET(E131,0,0,$I$5*-1,1))</f>
        <v/>
      </c>
      <c r="V131" s="9" t="str">
        <f t="shared" ca="1" si="15"/>
        <v/>
      </c>
      <c r="W131" s="17">
        <f t="shared" ca="1" si="12"/>
        <v>-6.7968151197604534E-2</v>
      </c>
      <c r="X131" s="13">
        <f t="shared" ca="1" si="13"/>
        <v>0</v>
      </c>
      <c r="Y131" s="13">
        <f t="shared" ca="1" si="14"/>
        <v>0</v>
      </c>
      <c r="Z131" t="str">
        <f t="shared" ca="1" si="16"/>
        <v/>
      </c>
      <c r="AA131" t="str">
        <f t="shared" ca="1" si="17"/>
        <v/>
      </c>
      <c r="AB131" s="24" t="str">
        <f t="shared" ca="1" si="18"/>
        <v/>
      </c>
      <c r="AC131" s="24" t="str">
        <f t="shared" ca="1" si="19"/>
        <v/>
      </c>
    </row>
    <row r="132" spans="3:29" x14ac:dyDescent="0.25">
      <c r="C132" s="6">
        <v>125</v>
      </c>
      <c r="D132" s="37">
        <v>42185</v>
      </c>
      <c r="E132" s="39">
        <v>23.199000000000002</v>
      </c>
      <c r="F132" s="39">
        <v>3.1216533168119662</v>
      </c>
      <c r="G132" s="39">
        <v>71.464247065678848</v>
      </c>
      <c r="H132" s="39">
        <v>52.794618754701951</v>
      </c>
      <c r="I132" s="10">
        <v>0</v>
      </c>
      <c r="J132" s="40">
        <v>0</v>
      </c>
      <c r="K132" s="40">
        <v>0</v>
      </c>
      <c r="L132" s="40">
        <v>0</v>
      </c>
      <c r="M132" s="40">
        <v>0</v>
      </c>
      <c r="N132" s="40">
        <v>1</v>
      </c>
      <c r="O132" s="40">
        <v>0</v>
      </c>
      <c r="P132" s="40">
        <v>0</v>
      </c>
      <c r="Q132" s="40">
        <v>0</v>
      </c>
      <c r="R132" s="40">
        <v>0</v>
      </c>
      <c r="S132" s="40">
        <v>0</v>
      </c>
      <c r="T132" s="29" t="str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9" t="str" cm="1">
        <f t="array" aca="1" ref="U132" ca="1">z_score_diff(OFFSET(T132,0,0,$I$5*-1,1),OFFSET(E132,0,0,$I$5*-1,1))</f>
        <v/>
      </c>
      <c r="V132" s="9" t="str">
        <f t="shared" ca="1" si="15"/>
        <v/>
      </c>
      <c r="W132" s="17">
        <f t="shared" ca="1" si="12"/>
        <v>-8.2167900630681773E-2</v>
      </c>
      <c r="X132" s="13">
        <f t="shared" ca="1" si="13"/>
        <v>0</v>
      </c>
      <c r="Y132" s="13">
        <f t="shared" ca="1" si="14"/>
        <v>0</v>
      </c>
      <c r="Z132" t="str">
        <f t="shared" ca="1" si="16"/>
        <v/>
      </c>
      <c r="AA132" t="str">
        <f t="shared" ca="1" si="17"/>
        <v/>
      </c>
      <c r="AB132" s="24" t="str">
        <f t="shared" ca="1" si="18"/>
        <v/>
      </c>
      <c r="AC132" s="24" t="str">
        <f t="shared" ca="1" si="19"/>
        <v/>
      </c>
    </row>
    <row r="133" spans="3:29" x14ac:dyDescent="0.25">
      <c r="C133" s="6">
        <v>126</v>
      </c>
      <c r="D133" s="37">
        <v>42186</v>
      </c>
      <c r="E133" s="39">
        <v>23.292999999999999</v>
      </c>
      <c r="F133" s="39">
        <v>3.1357101844157786</v>
      </c>
      <c r="G133" s="39">
        <v>71.906317294797802</v>
      </c>
      <c r="H133" s="39">
        <v>52.692769945684539</v>
      </c>
      <c r="I133" s="10">
        <v>0</v>
      </c>
      <c r="J133" s="40">
        <v>0</v>
      </c>
      <c r="K133" s="40">
        <v>0</v>
      </c>
      <c r="L133" s="40">
        <v>0</v>
      </c>
      <c r="M133" s="40">
        <v>0</v>
      </c>
      <c r="N133" s="40">
        <v>0</v>
      </c>
      <c r="O133" s="40">
        <v>1</v>
      </c>
      <c r="P133" s="40">
        <v>0</v>
      </c>
      <c r="Q133" s="40">
        <v>0</v>
      </c>
      <c r="R133" s="40">
        <v>0</v>
      </c>
      <c r="S133" s="40">
        <v>0</v>
      </c>
      <c r="T133" s="29" t="str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9" t="str" cm="1">
        <f t="array" aca="1" ref="U133" ca="1">z_score_diff(OFFSET(T133,0,0,$I$5*-1,1),OFFSET(E133,0,0,$I$5*-1,1))</f>
        <v/>
      </c>
      <c r="V133" s="9" t="str">
        <f t="shared" ca="1" si="15"/>
        <v/>
      </c>
      <c r="W133" s="17">
        <f t="shared" ca="1" si="12"/>
        <v>-8.8366583905120463E-2</v>
      </c>
      <c r="X133" s="13">
        <f t="shared" ca="1" si="13"/>
        <v>0</v>
      </c>
      <c r="Y133" s="13">
        <f t="shared" ca="1" si="14"/>
        <v>0</v>
      </c>
      <c r="Z133" t="str">
        <f t="shared" ca="1" si="16"/>
        <v/>
      </c>
      <c r="AA133" t="str">
        <f t="shared" ca="1" si="17"/>
        <v/>
      </c>
      <c r="AB133" s="24" t="str">
        <f t="shared" ca="1" si="18"/>
        <v/>
      </c>
      <c r="AC133" s="24" t="str">
        <f t="shared" ca="1" si="19"/>
        <v/>
      </c>
    </row>
    <row r="134" spans="3:29" x14ac:dyDescent="0.25">
      <c r="C134" s="6">
        <v>127</v>
      </c>
      <c r="D134" s="37">
        <v>42187</v>
      </c>
      <c r="E134" s="39">
        <v>23.311</v>
      </c>
      <c r="F134" s="39">
        <v>3.1461841509527946</v>
      </c>
      <c r="G134" s="39">
        <v>71.724478213083373</v>
      </c>
      <c r="H134" s="39">
        <v>52.436402515879912</v>
      </c>
      <c r="I134" s="10">
        <v>0</v>
      </c>
      <c r="J134" s="40">
        <v>0</v>
      </c>
      <c r="K134" s="40">
        <v>0</v>
      </c>
      <c r="L134" s="40">
        <v>0</v>
      </c>
      <c r="M134" s="40">
        <v>0</v>
      </c>
      <c r="N134" s="40">
        <v>0</v>
      </c>
      <c r="O134" s="40">
        <v>1</v>
      </c>
      <c r="P134" s="40">
        <v>0</v>
      </c>
      <c r="Q134" s="40">
        <v>0</v>
      </c>
      <c r="R134" s="40">
        <v>0</v>
      </c>
      <c r="S134" s="40">
        <v>0</v>
      </c>
      <c r="T134" s="29" t="str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9" t="str" cm="1">
        <f t="array" aca="1" ref="U134" ca="1">z_score_diff(OFFSET(T134,0,0,$I$5*-1,1),OFFSET(E134,0,0,$I$5*-1,1))</f>
        <v/>
      </c>
      <c r="V134" s="9" t="str">
        <f t="shared" ca="1" si="15"/>
        <v/>
      </c>
      <c r="W134" s="17">
        <f t="shared" ca="1" si="12"/>
        <v>-0.10716864030511496</v>
      </c>
      <c r="X134" s="13">
        <f t="shared" ca="1" si="13"/>
        <v>0</v>
      </c>
      <c r="Y134" s="13">
        <f t="shared" ca="1" si="14"/>
        <v>0</v>
      </c>
      <c r="Z134" t="str">
        <f t="shared" ca="1" si="16"/>
        <v/>
      </c>
      <c r="AA134" t="str">
        <f t="shared" ca="1" si="17"/>
        <v/>
      </c>
      <c r="AB134" s="24" t="str">
        <f t="shared" ca="1" si="18"/>
        <v/>
      </c>
      <c r="AC134" s="24" t="str">
        <f t="shared" ca="1" si="19"/>
        <v/>
      </c>
    </row>
    <row r="135" spans="3:29" x14ac:dyDescent="0.25">
      <c r="C135" s="6">
        <v>128</v>
      </c>
      <c r="D135" s="37">
        <v>42188</v>
      </c>
      <c r="E135" s="39">
        <v>23.193999999999999</v>
      </c>
      <c r="F135" s="39">
        <v>3.1387715041788171</v>
      </c>
      <c r="G135" s="39">
        <v>71.015908225595524</v>
      </c>
      <c r="H135" s="39">
        <v>51.957894139007557</v>
      </c>
      <c r="I135" s="10">
        <v>0</v>
      </c>
      <c r="J135" s="40">
        <v>0</v>
      </c>
      <c r="K135" s="40">
        <v>0</v>
      </c>
      <c r="L135" s="40">
        <v>0</v>
      </c>
      <c r="M135" s="40">
        <v>0</v>
      </c>
      <c r="N135" s="40">
        <v>0</v>
      </c>
      <c r="O135" s="40">
        <v>1</v>
      </c>
      <c r="P135" s="40">
        <v>0</v>
      </c>
      <c r="Q135" s="40">
        <v>0</v>
      </c>
      <c r="R135" s="40">
        <v>0</v>
      </c>
      <c r="S135" s="40">
        <v>0</v>
      </c>
      <c r="T135" s="29" t="str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9" t="str" cm="1">
        <f t="array" aca="1" ref="U135" ca="1">z_score_diff(OFFSET(T135,0,0,$I$5*-1,1),OFFSET(E135,0,0,$I$5*-1,1))</f>
        <v/>
      </c>
      <c r="V135" s="9" t="str">
        <f t="shared" ca="1" si="15"/>
        <v/>
      </c>
      <c r="W135" s="17">
        <f t="shared" ref="W135:W198" ca="1" si="20">+LN(OFFSET(E135,$W$3,0,1,1)/E135)</f>
        <v>-0.11081739784009932</v>
      </c>
      <c r="X135" s="13">
        <f t="shared" ca="1" si="13"/>
        <v>0</v>
      </c>
      <c r="Y135" s="13">
        <f t="shared" ca="1" si="14"/>
        <v>0</v>
      </c>
      <c r="Z135" t="str">
        <f t="shared" ca="1" si="16"/>
        <v/>
      </c>
      <c r="AA135" t="str">
        <f t="shared" ca="1" si="17"/>
        <v/>
      </c>
      <c r="AB135" s="24" t="str">
        <f t="shared" ca="1" si="18"/>
        <v/>
      </c>
      <c r="AC135" s="24" t="str">
        <f t="shared" ca="1" si="19"/>
        <v/>
      </c>
    </row>
    <row r="136" spans="3:29" x14ac:dyDescent="0.25">
      <c r="C136" s="6">
        <v>129</v>
      </c>
      <c r="D136" s="37">
        <v>42191</v>
      </c>
      <c r="E136" s="39">
        <v>22.939</v>
      </c>
      <c r="F136" s="39">
        <v>3.1143812709030096</v>
      </c>
      <c r="G136" s="39">
        <v>70.796534073354508</v>
      </c>
      <c r="H136" s="39">
        <v>51.817168338907464</v>
      </c>
      <c r="I136" s="10">
        <v>0</v>
      </c>
      <c r="J136" s="40">
        <v>0</v>
      </c>
      <c r="K136" s="40">
        <v>0</v>
      </c>
      <c r="L136" s="40">
        <v>0</v>
      </c>
      <c r="M136" s="40">
        <v>0</v>
      </c>
      <c r="N136" s="40">
        <v>0</v>
      </c>
      <c r="O136" s="40">
        <v>1</v>
      </c>
      <c r="P136" s="40">
        <v>0</v>
      </c>
      <c r="Q136" s="40">
        <v>0</v>
      </c>
      <c r="R136" s="40">
        <v>0</v>
      </c>
      <c r="S136" s="40">
        <v>0</v>
      </c>
      <c r="T136" s="29" t="str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9" t="str" cm="1">
        <f t="array" aca="1" ref="U136" ca="1">z_score_diff(OFFSET(T136,0,0,$I$5*-1,1),OFFSET(E136,0,0,$I$5*-1,1))</f>
        <v/>
      </c>
      <c r="V136" s="9" t="str">
        <f t="shared" ca="1" si="15"/>
        <v/>
      </c>
      <c r="W136" s="17">
        <f t="shared" ca="1" si="20"/>
        <v>-0.1220206077999591</v>
      </c>
      <c r="X136" s="13">
        <f t="shared" ca="1" si="13"/>
        <v>0</v>
      </c>
      <c r="Y136" s="13">
        <f t="shared" ca="1" si="14"/>
        <v>0</v>
      </c>
      <c r="Z136" t="str">
        <f t="shared" ca="1" si="16"/>
        <v/>
      </c>
      <c r="AA136" t="str">
        <f t="shared" ca="1" si="17"/>
        <v/>
      </c>
      <c r="AB136" s="24" t="str">
        <f t="shared" ca="1" si="18"/>
        <v/>
      </c>
      <c r="AC136" s="24" t="str">
        <f t="shared" ca="1" si="19"/>
        <v/>
      </c>
    </row>
    <row r="137" spans="3:29" x14ac:dyDescent="0.25">
      <c r="C137" s="6">
        <v>130</v>
      </c>
      <c r="D137" s="37">
        <v>42192</v>
      </c>
      <c r="E137" s="39">
        <v>22.782</v>
      </c>
      <c r="F137" s="39">
        <v>3.116545731434202</v>
      </c>
      <c r="G137" s="39">
        <v>69.799333834272247</v>
      </c>
      <c r="H137" s="39">
        <v>51.688614171817612</v>
      </c>
      <c r="I137" s="10">
        <v>0</v>
      </c>
      <c r="J137" s="40">
        <v>0</v>
      </c>
      <c r="K137" s="40">
        <v>0</v>
      </c>
      <c r="L137" s="40">
        <v>0</v>
      </c>
      <c r="M137" s="40">
        <v>0</v>
      </c>
      <c r="N137" s="40">
        <v>0</v>
      </c>
      <c r="O137" s="40">
        <v>1</v>
      </c>
      <c r="P137" s="40">
        <v>0</v>
      </c>
      <c r="Q137" s="40">
        <v>0</v>
      </c>
      <c r="R137" s="40">
        <v>0</v>
      </c>
      <c r="S137" s="40">
        <v>0</v>
      </c>
      <c r="T137" s="29" t="str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9" t="str" cm="1">
        <f t="array" aca="1" ref="U137" ca="1">z_score_diff(OFFSET(T137,0,0,$I$5*-1,1),OFFSET(E137,0,0,$I$5*-1,1))</f>
        <v/>
      </c>
      <c r="V137" s="9" t="str">
        <f t="shared" ca="1" si="15"/>
        <v/>
      </c>
      <c r="W137" s="17">
        <f t="shared" ca="1" si="20"/>
        <v>-0.1022829009103977</v>
      </c>
      <c r="X137" s="13">
        <f t="shared" ref="X137:X200" ca="1" si="21">+X136</f>
        <v>0</v>
      </c>
      <c r="Y137" s="13">
        <f t="shared" ref="Y137:Y200" ca="1" si="22">+Y136</f>
        <v>0</v>
      </c>
      <c r="Z137" t="str">
        <f t="shared" ca="1" si="16"/>
        <v/>
      </c>
      <c r="AA137" t="str">
        <f t="shared" ca="1" si="17"/>
        <v/>
      </c>
      <c r="AB137" s="24" t="str">
        <f t="shared" ca="1" si="18"/>
        <v/>
      </c>
      <c r="AC137" s="24" t="str">
        <f t="shared" ca="1" si="19"/>
        <v/>
      </c>
    </row>
    <row r="138" spans="3:29" x14ac:dyDescent="0.25">
      <c r="C138" s="6">
        <v>131</v>
      </c>
      <c r="D138" s="37">
        <v>42193</v>
      </c>
      <c r="E138" s="39">
        <v>22.515000000000001</v>
      </c>
      <c r="F138" s="39">
        <v>3.1009754576633557</v>
      </c>
      <c r="G138" s="39">
        <v>68.644603695554494</v>
      </c>
      <c r="H138" s="39">
        <v>51.623535699968826</v>
      </c>
      <c r="I138" s="10">
        <v>0</v>
      </c>
      <c r="J138" s="40">
        <v>0</v>
      </c>
      <c r="K138" s="40">
        <v>0</v>
      </c>
      <c r="L138" s="40">
        <v>0</v>
      </c>
      <c r="M138" s="40">
        <v>0</v>
      </c>
      <c r="N138" s="40">
        <v>0</v>
      </c>
      <c r="O138" s="40">
        <v>1</v>
      </c>
      <c r="P138" s="40">
        <v>0</v>
      </c>
      <c r="Q138" s="40">
        <v>0</v>
      </c>
      <c r="R138" s="40">
        <v>0</v>
      </c>
      <c r="S138" s="40">
        <v>0</v>
      </c>
      <c r="T138" s="29" t="str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9" t="str" cm="1">
        <f t="array" aca="1" ref="U138" ca="1">z_score_diff(OFFSET(T138,0,0,$I$5*-1,1),OFFSET(E138,0,0,$I$5*-1,1))</f>
        <v/>
      </c>
      <c r="V138" s="9" t="str">
        <f t="shared" ca="1" si="15"/>
        <v/>
      </c>
      <c r="W138" s="17">
        <f t="shared" ca="1" si="20"/>
        <v>-0.1055332549329976</v>
      </c>
      <c r="X138" s="13">
        <f t="shared" ca="1" si="21"/>
        <v>0</v>
      </c>
      <c r="Y138" s="13">
        <f t="shared" ca="1" si="22"/>
        <v>0</v>
      </c>
      <c r="Z138" t="str">
        <f t="shared" ca="1" si="16"/>
        <v/>
      </c>
      <c r="AA138" t="str">
        <f t="shared" ca="1" si="17"/>
        <v/>
      </c>
      <c r="AB138" s="24" t="str">
        <f t="shared" ca="1" si="18"/>
        <v/>
      </c>
      <c r="AC138" s="24" t="str">
        <f t="shared" ca="1" si="19"/>
        <v/>
      </c>
    </row>
    <row r="139" spans="3:29" x14ac:dyDescent="0.25">
      <c r="C139" s="6">
        <v>132</v>
      </c>
      <c r="D139" s="37">
        <v>42194</v>
      </c>
      <c r="E139" s="39">
        <v>22.702999999999999</v>
      </c>
      <c r="F139" s="39">
        <v>3.1290230296094981</v>
      </c>
      <c r="G139" s="39">
        <v>69.283937875036358</v>
      </c>
      <c r="H139" s="39">
        <v>51.852381633528822</v>
      </c>
      <c r="I139" s="10">
        <v>0</v>
      </c>
      <c r="J139" s="40">
        <v>0</v>
      </c>
      <c r="K139" s="40">
        <v>0</v>
      </c>
      <c r="L139" s="40">
        <v>0</v>
      </c>
      <c r="M139" s="40">
        <v>0</v>
      </c>
      <c r="N139" s="40">
        <v>0</v>
      </c>
      <c r="O139" s="40">
        <v>1</v>
      </c>
      <c r="P139" s="40">
        <v>0</v>
      </c>
      <c r="Q139" s="40">
        <v>0</v>
      </c>
      <c r="R139" s="40">
        <v>0</v>
      </c>
      <c r="S139" s="40">
        <v>0</v>
      </c>
      <c r="T139" s="29" t="str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9" t="str" cm="1">
        <f t="array" aca="1" ref="U139" ca="1">z_score_diff(OFFSET(T139,0,0,$I$5*-1,1),OFFSET(E139,0,0,$I$5*-1,1))</f>
        <v/>
      </c>
      <c r="V139" s="9" t="str">
        <f t="shared" ref="V139:V202" ca="1" si="23">+IF(ISERROR(AVERAGE(OFFSET(U139,0,0,$V$5*-1,1))),"",AVERAGE(OFFSET(U139,0,0,$V$5*-1,1)))</f>
        <v/>
      </c>
      <c r="W139" s="17">
        <f t="shared" ca="1" si="20"/>
        <v>-0.10270653569842632</v>
      </c>
      <c r="X139" s="13">
        <f t="shared" ca="1" si="21"/>
        <v>0</v>
      </c>
      <c r="Y139" s="13">
        <f t="shared" ca="1" si="22"/>
        <v>0</v>
      </c>
      <c r="Z139" t="str">
        <f t="shared" ref="Z139:Z202" ca="1" si="24">+IF(V139="","",IF(V139&lt;X139,1,0))</f>
        <v/>
      </c>
      <c r="AA139" t="str">
        <f t="shared" ref="AA139:AA202" ca="1" si="25">+IF(V139="","",IF(V139&gt;Y139,1,0))</f>
        <v/>
      </c>
      <c r="AB139" s="24" t="str">
        <f t="shared" ref="AB139:AB202" ca="1" si="26">+IF(ISERROR(Z139*W139),"",Z139*W139)</f>
        <v/>
      </c>
      <c r="AC139" s="24" t="str">
        <f t="shared" ref="AC139:AC202" ca="1" si="27">+IF(ISERROR(AA139*W139),"",AA139*W139)</f>
        <v/>
      </c>
    </row>
    <row r="140" spans="3:29" x14ac:dyDescent="0.25">
      <c r="C140" s="6">
        <v>133</v>
      </c>
      <c r="D140" s="37">
        <v>42195</v>
      </c>
      <c r="E140" s="39">
        <v>22.7</v>
      </c>
      <c r="F140" s="39">
        <v>3.1150364318834183</v>
      </c>
      <c r="G140" s="39">
        <v>69.502766821162922</v>
      </c>
      <c r="H140" s="39">
        <v>51.357915654669902</v>
      </c>
      <c r="I140" s="10">
        <v>0</v>
      </c>
      <c r="J140" s="40">
        <v>0</v>
      </c>
      <c r="K140" s="40">
        <v>0</v>
      </c>
      <c r="L140" s="40">
        <v>0</v>
      </c>
      <c r="M140" s="40">
        <v>0</v>
      </c>
      <c r="N140" s="40">
        <v>0</v>
      </c>
      <c r="O140" s="40">
        <v>1</v>
      </c>
      <c r="P140" s="40">
        <v>0</v>
      </c>
      <c r="Q140" s="40">
        <v>0</v>
      </c>
      <c r="R140" s="40">
        <v>0</v>
      </c>
      <c r="S140" s="40">
        <v>0</v>
      </c>
      <c r="T140" s="29" t="str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9" t="str" cm="1">
        <f t="array" aca="1" ref="U140" ca="1">z_score_diff(OFFSET(T140,0,0,$I$5*-1,1),OFFSET(E140,0,0,$I$5*-1,1))</f>
        <v/>
      </c>
      <c r="V140" s="9" t="str">
        <f t="shared" ca="1" si="23"/>
        <v/>
      </c>
      <c r="W140" s="17">
        <f t="shared" ca="1" si="20"/>
        <v>-9.7316596599312952E-2</v>
      </c>
      <c r="X140" s="13">
        <f t="shared" ca="1" si="21"/>
        <v>0</v>
      </c>
      <c r="Y140" s="13">
        <f t="shared" ca="1" si="22"/>
        <v>0</v>
      </c>
      <c r="Z140" t="str">
        <f t="shared" ca="1" si="24"/>
        <v/>
      </c>
      <c r="AA140" t="str">
        <f t="shared" ca="1" si="25"/>
        <v/>
      </c>
      <c r="AB140" s="24" t="str">
        <f t="shared" ca="1" si="26"/>
        <v/>
      </c>
      <c r="AC140" s="24" t="str">
        <f t="shared" ca="1" si="27"/>
        <v/>
      </c>
    </row>
    <row r="141" spans="3:29" x14ac:dyDescent="0.25">
      <c r="C141" s="6">
        <v>134</v>
      </c>
      <c r="D141" s="37">
        <v>42198</v>
      </c>
      <c r="E141" s="39">
        <v>22.687000000000001</v>
      </c>
      <c r="F141" s="39">
        <v>3.1730621975717077</v>
      </c>
      <c r="G141" s="39">
        <v>69.446755638388751</v>
      </c>
      <c r="H141" s="39">
        <v>51.630549164552335</v>
      </c>
      <c r="I141" s="10">
        <v>0</v>
      </c>
      <c r="J141" s="40">
        <v>0</v>
      </c>
      <c r="K141" s="40">
        <v>0</v>
      </c>
      <c r="L141" s="40">
        <v>0</v>
      </c>
      <c r="M141" s="40">
        <v>0</v>
      </c>
      <c r="N141" s="40">
        <v>0</v>
      </c>
      <c r="O141" s="40">
        <v>1</v>
      </c>
      <c r="P141" s="40">
        <v>0</v>
      </c>
      <c r="Q141" s="40">
        <v>0</v>
      </c>
      <c r="R141" s="40">
        <v>0</v>
      </c>
      <c r="S141" s="40">
        <v>0</v>
      </c>
      <c r="T141" s="29" t="str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9" t="str" cm="1">
        <f t="array" aca="1" ref="U141" ca="1">z_score_diff(OFFSET(T141,0,0,$I$5*-1,1),OFFSET(E141,0,0,$I$5*-1,1))</f>
        <v/>
      </c>
      <c r="V141" s="9" t="str">
        <f t="shared" ca="1" si="23"/>
        <v/>
      </c>
      <c r="W141" s="17">
        <f t="shared" ca="1" si="20"/>
        <v>-0.11719917122853613</v>
      </c>
      <c r="X141" s="13">
        <f t="shared" ca="1" si="21"/>
        <v>0</v>
      </c>
      <c r="Y141" s="13">
        <f t="shared" ca="1" si="22"/>
        <v>0</v>
      </c>
      <c r="Z141" t="str">
        <f t="shared" ca="1" si="24"/>
        <v/>
      </c>
      <c r="AA141" t="str">
        <f t="shared" ca="1" si="25"/>
        <v/>
      </c>
      <c r="AB141" s="24" t="str">
        <f t="shared" ca="1" si="26"/>
        <v/>
      </c>
      <c r="AC141" s="24" t="str">
        <f t="shared" ca="1" si="27"/>
        <v/>
      </c>
    </row>
    <row r="142" spans="3:29" x14ac:dyDescent="0.25">
      <c r="C142" s="6">
        <v>135</v>
      </c>
      <c r="D142" s="37">
        <v>42199</v>
      </c>
      <c r="E142" s="39">
        <v>22.545999999999999</v>
      </c>
      <c r="F142" s="39">
        <v>3.1543876089276068</v>
      </c>
      <c r="G142" s="39">
        <v>69.432608458763738</v>
      </c>
      <c r="H142" s="39">
        <v>51.736973705075066</v>
      </c>
      <c r="I142" s="10">
        <v>0</v>
      </c>
      <c r="J142" s="40">
        <v>0</v>
      </c>
      <c r="K142" s="40">
        <v>0</v>
      </c>
      <c r="L142" s="40">
        <v>0</v>
      </c>
      <c r="M142" s="40">
        <v>0</v>
      </c>
      <c r="N142" s="40">
        <v>0</v>
      </c>
      <c r="O142" s="40">
        <v>1</v>
      </c>
      <c r="P142" s="40">
        <v>0</v>
      </c>
      <c r="Q142" s="40">
        <v>0</v>
      </c>
      <c r="R142" s="40">
        <v>0</v>
      </c>
      <c r="S142" s="40">
        <v>0</v>
      </c>
      <c r="T142" s="29" t="str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9" t="str" cm="1">
        <f t="array" aca="1" ref="U142" ca="1">z_score_diff(OFFSET(T142,0,0,$I$5*-1,1),OFFSET(E142,0,0,$I$5*-1,1))</f>
        <v/>
      </c>
      <c r="V142" s="9" t="str">
        <f t="shared" ca="1" si="23"/>
        <v/>
      </c>
      <c r="W142" s="17">
        <f t="shared" ca="1" si="20"/>
        <v>-9.9140801875515952E-2</v>
      </c>
      <c r="X142" s="13">
        <f t="shared" ca="1" si="21"/>
        <v>0</v>
      </c>
      <c r="Y142" s="13">
        <f t="shared" ca="1" si="22"/>
        <v>0</v>
      </c>
      <c r="Z142" t="str">
        <f t="shared" ca="1" si="24"/>
        <v/>
      </c>
      <c r="AA142" t="str">
        <f t="shared" ca="1" si="25"/>
        <v/>
      </c>
      <c r="AB142" s="24" t="str">
        <f t="shared" ca="1" si="26"/>
        <v/>
      </c>
      <c r="AC142" s="24" t="str">
        <f t="shared" ca="1" si="27"/>
        <v/>
      </c>
    </row>
    <row r="143" spans="3:29" x14ac:dyDescent="0.25">
      <c r="C143" s="6">
        <v>136</v>
      </c>
      <c r="D143" s="37">
        <v>42200</v>
      </c>
      <c r="E143" s="39">
        <v>22.625</v>
      </c>
      <c r="F143" s="39">
        <v>3.1830902718998408</v>
      </c>
      <c r="G143" s="39">
        <v>69.733597728781348</v>
      </c>
      <c r="H143" s="39">
        <v>51.640799743551874</v>
      </c>
      <c r="I143" s="10">
        <v>0</v>
      </c>
      <c r="J143" s="40">
        <v>0</v>
      </c>
      <c r="K143" s="40">
        <v>0</v>
      </c>
      <c r="L143" s="40">
        <v>0</v>
      </c>
      <c r="M143" s="40">
        <v>0</v>
      </c>
      <c r="N143" s="40">
        <v>0</v>
      </c>
      <c r="O143" s="40">
        <v>1</v>
      </c>
      <c r="P143" s="40">
        <v>0</v>
      </c>
      <c r="Q143" s="40">
        <v>0</v>
      </c>
      <c r="R143" s="40">
        <v>0</v>
      </c>
      <c r="S143" s="40">
        <v>0</v>
      </c>
      <c r="T143" s="29" t="str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9" t="str" cm="1">
        <f t="array" aca="1" ref="U143" ca="1">z_score_diff(OFFSET(T143,0,0,$I$5*-1,1),OFFSET(E143,0,0,$I$5*-1,1))</f>
        <v/>
      </c>
      <c r="V143" s="9" t="str">
        <f t="shared" ca="1" si="23"/>
        <v/>
      </c>
      <c r="W143" s="17">
        <f t="shared" ca="1" si="20"/>
        <v>-0.1016595763959726</v>
      </c>
      <c r="X143" s="13">
        <f t="shared" ca="1" si="21"/>
        <v>0</v>
      </c>
      <c r="Y143" s="13">
        <f t="shared" ca="1" si="22"/>
        <v>0</v>
      </c>
      <c r="Z143" t="str">
        <f t="shared" ca="1" si="24"/>
        <v/>
      </c>
      <c r="AA143" t="str">
        <f t="shared" ca="1" si="25"/>
        <v/>
      </c>
      <c r="AB143" s="24" t="str">
        <f t="shared" ca="1" si="26"/>
        <v/>
      </c>
      <c r="AC143" s="24" t="str">
        <f t="shared" ca="1" si="27"/>
        <v/>
      </c>
    </row>
    <row r="144" spans="3:29" x14ac:dyDescent="0.25">
      <c r="C144" s="6">
        <v>137</v>
      </c>
      <c r="D144" s="37">
        <v>42201</v>
      </c>
      <c r="E144" s="39">
        <v>22.562000000000001</v>
      </c>
      <c r="F144" s="39">
        <v>3.1774161545382151</v>
      </c>
      <c r="G144" s="39">
        <v>69.906194493000214</v>
      </c>
      <c r="H144" s="39">
        <v>51.915011592540552</v>
      </c>
      <c r="I144" s="10">
        <v>0</v>
      </c>
      <c r="J144" s="40">
        <v>0</v>
      </c>
      <c r="K144" s="40">
        <v>0</v>
      </c>
      <c r="L144" s="40">
        <v>0</v>
      </c>
      <c r="M144" s="40">
        <v>0</v>
      </c>
      <c r="N144" s="40">
        <v>0</v>
      </c>
      <c r="O144" s="40">
        <v>1</v>
      </c>
      <c r="P144" s="40">
        <v>0</v>
      </c>
      <c r="Q144" s="40">
        <v>0</v>
      </c>
      <c r="R144" s="40">
        <v>0</v>
      </c>
      <c r="S144" s="40">
        <v>0</v>
      </c>
      <c r="T144" s="29" t="str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9" t="str" cm="1">
        <f t="array" aca="1" ref="U144" ca="1">z_score_diff(OFFSET(T144,0,0,$I$5*-1,1),OFFSET(E144,0,0,$I$5*-1,1))</f>
        <v/>
      </c>
      <c r="V144" s="9" t="str">
        <f t="shared" ca="1" si="23"/>
        <v/>
      </c>
      <c r="W144" s="17">
        <f t="shared" ca="1" si="20"/>
        <v>-8.7003318419945366E-2</v>
      </c>
      <c r="X144" s="13">
        <f t="shared" ca="1" si="21"/>
        <v>0</v>
      </c>
      <c r="Y144" s="13">
        <f t="shared" ca="1" si="22"/>
        <v>0</v>
      </c>
      <c r="Z144" t="str">
        <f t="shared" ca="1" si="24"/>
        <v/>
      </c>
      <c r="AA144" t="str">
        <f t="shared" ca="1" si="25"/>
        <v/>
      </c>
      <c r="AB144" s="24" t="str">
        <f t="shared" ca="1" si="26"/>
        <v/>
      </c>
      <c r="AC144" s="24" t="str">
        <f t="shared" ca="1" si="27"/>
        <v/>
      </c>
    </row>
    <row r="145" spans="3:29" x14ac:dyDescent="0.25">
      <c r="C145" s="6">
        <v>138</v>
      </c>
      <c r="D145" s="37">
        <v>42202</v>
      </c>
      <c r="E145" s="39">
        <v>22.611000000000001</v>
      </c>
      <c r="F145" s="39">
        <v>3.1943938842373498</v>
      </c>
      <c r="G145" s="39">
        <v>69.633782081227608</v>
      </c>
      <c r="H145" s="39">
        <v>51.829268292682933</v>
      </c>
      <c r="I145" s="10">
        <v>0</v>
      </c>
      <c r="J145" s="40">
        <v>0</v>
      </c>
      <c r="K145" s="40">
        <v>0</v>
      </c>
      <c r="L145" s="40">
        <v>0</v>
      </c>
      <c r="M145" s="40">
        <v>0</v>
      </c>
      <c r="N145" s="40">
        <v>0</v>
      </c>
      <c r="O145" s="40">
        <v>1</v>
      </c>
      <c r="P145" s="40">
        <v>0</v>
      </c>
      <c r="Q145" s="40">
        <v>0</v>
      </c>
      <c r="R145" s="40">
        <v>0</v>
      </c>
      <c r="S145" s="40">
        <v>0</v>
      </c>
      <c r="T145" s="29" t="str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9" t="str" cm="1">
        <f t="array" aca="1" ref="U145" ca="1">z_score_diff(OFFSET(T145,0,0,$I$5*-1,1),OFFSET(E145,0,0,$I$5*-1,1))</f>
        <v/>
      </c>
      <c r="V145" s="9" t="str">
        <f t="shared" ca="1" si="23"/>
        <v/>
      </c>
      <c r="W145" s="17">
        <f t="shared" ca="1" si="20"/>
        <v>-9.8157979557451466E-2</v>
      </c>
      <c r="X145" s="13">
        <f t="shared" ca="1" si="21"/>
        <v>0</v>
      </c>
      <c r="Y145" s="13">
        <f t="shared" ca="1" si="22"/>
        <v>0</v>
      </c>
      <c r="Z145" t="str">
        <f t="shared" ca="1" si="24"/>
        <v/>
      </c>
      <c r="AA145" t="str">
        <f t="shared" ca="1" si="25"/>
        <v/>
      </c>
      <c r="AB145" s="24" t="str">
        <f t="shared" ca="1" si="26"/>
        <v/>
      </c>
      <c r="AC145" s="24" t="str">
        <f t="shared" ca="1" si="27"/>
        <v/>
      </c>
    </row>
    <row r="146" spans="3:29" x14ac:dyDescent="0.25">
      <c r="C146" s="6">
        <v>139</v>
      </c>
      <c r="D146" s="37">
        <v>42205</v>
      </c>
      <c r="E146" s="39">
        <v>22.518999999999998</v>
      </c>
      <c r="F146" s="39">
        <v>3.1801377422750865</v>
      </c>
      <c r="G146" s="39">
        <v>69.827326552342925</v>
      </c>
      <c r="H146" s="39">
        <v>52.0013939831248</v>
      </c>
      <c r="I146" s="10">
        <v>0</v>
      </c>
      <c r="J146" s="40">
        <v>0</v>
      </c>
      <c r="K146" s="40">
        <v>0</v>
      </c>
      <c r="L146" s="40">
        <v>0</v>
      </c>
      <c r="M146" s="40">
        <v>0</v>
      </c>
      <c r="N146" s="40">
        <v>0</v>
      </c>
      <c r="O146" s="40">
        <v>1</v>
      </c>
      <c r="P146" s="40">
        <v>0</v>
      </c>
      <c r="Q146" s="40">
        <v>0</v>
      </c>
      <c r="R146" s="40">
        <v>0</v>
      </c>
      <c r="S146" s="40">
        <v>0</v>
      </c>
      <c r="T146" s="29" t="str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9" t="str" cm="1">
        <f t="array" aca="1" ref="U146" ca="1">z_score_diff(OFFSET(T146,0,0,$I$5*-1,1),OFFSET(E146,0,0,$I$5*-1,1))</f>
        <v/>
      </c>
      <c r="V146" s="9" t="str">
        <f t="shared" ca="1" si="23"/>
        <v/>
      </c>
      <c r="W146" s="17">
        <f t="shared" ca="1" si="20"/>
        <v>-9.8873517271375125E-2</v>
      </c>
      <c r="X146" s="13">
        <f t="shared" ca="1" si="21"/>
        <v>0</v>
      </c>
      <c r="Y146" s="13">
        <f t="shared" ca="1" si="22"/>
        <v>0</v>
      </c>
      <c r="Z146" t="str">
        <f t="shared" ca="1" si="24"/>
        <v/>
      </c>
      <c r="AA146" t="str">
        <f t="shared" ca="1" si="25"/>
        <v/>
      </c>
      <c r="AB146" s="24" t="str">
        <f t="shared" ca="1" si="26"/>
        <v/>
      </c>
      <c r="AC146" s="24" t="str">
        <f t="shared" ca="1" si="27"/>
        <v/>
      </c>
    </row>
    <row r="147" spans="3:29" x14ac:dyDescent="0.25">
      <c r="C147" s="6">
        <v>140</v>
      </c>
      <c r="D147" s="37">
        <v>42206</v>
      </c>
      <c r="E147" s="39">
        <v>22.417000000000002</v>
      </c>
      <c r="F147" s="39">
        <v>3.1754782810798248</v>
      </c>
      <c r="G147" s="39">
        <v>69.022365093604236</v>
      </c>
      <c r="H147" s="39">
        <v>51.753539644832891</v>
      </c>
      <c r="I147" s="10">
        <v>0</v>
      </c>
      <c r="J147" s="40">
        <v>0</v>
      </c>
      <c r="K147" s="40">
        <v>0</v>
      </c>
      <c r="L147" s="40">
        <v>0</v>
      </c>
      <c r="M147" s="40">
        <v>0</v>
      </c>
      <c r="N147" s="40">
        <v>0</v>
      </c>
      <c r="O147" s="40">
        <v>1</v>
      </c>
      <c r="P147" s="40">
        <v>0</v>
      </c>
      <c r="Q147" s="40">
        <v>0</v>
      </c>
      <c r="R147" s="40">
        <v>0</v>
      </c>
      <c r="S147" s="40">
        <v>0</v>
      </c>
      <c r="T147" s="29" t="str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9" t="str" cm="1">
        <f t="array" aca="1" ref="U147" ca="1">z_score_diff(OFFSET(T147,0,0,$I$5*-1,1),OFFSET(E147,0,0,$I$5*-1,1))</f>
        <v/>
      </c>
      <c r="V147" s="9" t="str">
        <f t="shared" ca="1" si="23"/>
        <v/>
      </c>
      <c r="W147" s="17">
        <f t="shared" ca="1" si="20"/>
        <v>-9.5756369353044532E-2</v>
      </c>
      <c r="X147" s="13">
        <f t="shared" ca="1" si="21"/>
        <v>0</v>
      </c>
      <c r="Y147" s="13">
        <f t="shared" ca="1" si="22"/>
        <v>0</v>
      </c>
      <c r="Z147" t="str">
        <f t="shared" ca="1" si="24"/>
        <v/>
      </c>
      <c r="AA147" t="str">
        <f t="shared" ca="1" si="25"/>
        <v/>
      </c>
      <c r="AB147" s="24" t="str">
        <f t="shared" ca="1" si="26"/>
        <v/>
      </c>
      <c r="AC147" s="24" t="str">
        <f t="shared" ca="1" si="27"/>
        <v/>
      </c>
    </row>
    <row r="148" spans="3:29" x14ac:dyDescent="0.25">
      <c r="C148" s="6">
        <v>141</v>
      </c>
      <c r="D148" s="37">
        <v>42207</v>
      </c>
      <c r="E148" s="39">
        <v>22.286000000000001</v>
      </c>
      <c r="F148" s="39">
        <v>3.1753156388125778</v>
      </c>
      <c r="G148" s="39">
        <v>68.790023829775265</v>
      </c>
      <c r="H148" s="39">
        <v>51.05921968172936</v>
      </c>
      <c r="I148" s="10">
        <v>0</v>
      </c>
      <c r="J148" s="40">
        <v>0</v>
      </c>
      <c r="K148" s="40">
        <v>0</v>
      </c>
      <c r="L148" s="40">
        <v>0</v>
      </c>
      <c r="M148" s="40">
        <v>0</v>
      </c>
      <c r="N148" s="40">
        <v>0</v>
      </c>
      <c r="O148" s="40">
        <v>1</v>
      </c>
      <c r="P148" s="40">
        <v>0</v>
      </c>
      <c r="Q148" s="40">
        <v>0</v>
      </c>
      <c r="R148" s="40">
        <v>0</v>
      </c>
      <c r="S148" s="40">
        <v>0</v>
      </c>
      <c r="T148" s="29" t="str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9" t="str" cm="1">
        <f t="array" aca="1" ref="U148" ca="1">z_score_diff(OFFSET(T148,0,0,$I$5*-1,1),OFFSET(E148,0,0,$I$5*-1,1))</f>
        <v/>
      </c>
      <c r="V148" s="9" t="str">
        <f t="shared" ca="1" si="23"/>
        <v/>
      </c>
      <c r="W148" s="17">
        <f t="shared" ca="1" si="20"/>
        <v>-8.7345927491515929E-2</v>
      </c>
      <c r="X148" s="13">
        <f t="shared" ca="1" si="21"/>
        <v>0</v>
      </c>
      <c r="Y148" s="13">
        <f t="shared" ca="1" si="22"/>
        <v>0</v>
      </c>
      <c r="Z148" t="str">
        <f t="shared" ca="1" si="24"/>
        <v/>
      </c>
      <c r="AA148" t="str">
        <f t="shared" ca="1" si="25"/>
        <v/>
      </c>
      <c r="AB148" s="24" t="str">
        <f t="shared" ca="1" si="26"/>
        <v/>
      </c>
      <c r="AC148" s="24" t="str">
        <f t="shared" ca="1" si="27"/>
        <v/>
      </c>
    </row>
    <row r="149" spans="3:29" x14ac:dyDescent="0.25">
      <c r="C149" s="6">
        <v>142</v>
      </c>
      <c r="D149" s="37">
        <v>42208</v>
      </c>
      <c r="E149" s="39">
        <v>22.26</v>
      </c>
      <c r="F149" s="39">
        <v>3.1232065997130563</v>
      </c>
      <c r="G149" s="39">
        <v>68.453951937769133</v>
      </c>
      <c r="H149" s="39">
        <v>50.43938307030129</v>
      </c>
      <c r="I149" s="10">
        <v>0</v>
      </c>
      <c r="J149" s="40">
        <v>0</v>
      </c>
      <c r="K149" s="40">
        <v>0</v>
      </c>
      <c r="L149" s="40">
        <v>0</v>
      </c>
      <c r="M149" s="40">
        <v>0</v>
      </c>
      <c r="N149" s="40">
        <v>0</v>
      </c>
      <c r="O149" s="40">
        <v>1</v>
      </c>
      <c r="P149" s="40">
        <v>0</v>
      </c>
      <c r="Q149" s="40">
        <v>0</v>
      </c>
      <c r="R149" s="40">
        <v>0</v>
      </c>
      <c r="S149" s="40">
        <v>0</v>
      </c>
      <c r="T149" s="29" t="str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9" t="str" cm="1">
        <f t="array" aca="1" ref="U149" ca="1">z_score_diff(OFFSET(T149,0,0,$I$5*-1,1),OFFSET(E149,0,0,$I$5*-1,1))</f>
        <v/>
      </c>
      <c r="V149" s="9" t="str">
        <f t="shared" ca="1" si="23"/>
        <v/>
      </c>
      <c r="W149" s="17">
        <f t="shared" ca="1" si="20"/>
        <v>-8.456399446603706E-2</v>
      </c>
      <c r="X149" s="13">
        <f t="shared" ca="1" si="21"/>
        <v>0</v>
      </c>
      <c r="Y149" s="13">
        <f t="shared" ca="1" si="22"/>
        <v>0</v>
      </c>
      <c r="Z149" t="str">
        <f t="shared" ca="1" si="24"/>
        <v/>
      </c>
      <c r="AA149" t="str">
        <f t="shared" ca="1" si="25"/>
        <v/>
      </c>
      <c r="AB149" s="24" t="str">
        <f t="shared" ca="1" si="26"/>
        <v/>
      </c>
      <c r="AC149" s="24" t="str">
        <f t="shared" ca="1" si="27"/>
        <v/>
      </c>
    </row>
    <row r="150" spans="3:29" x14ac:dyDescent="0.25">
      <c r="C150" s="6">
        <v>143</v>
      </c>
      <c r="D150" s="37">
        <v>42209</v>
      </c>
      <c r="E150" s="39">
        <v>22.202999999999999</v>
      </c>
      <c r="F150" s="39">
        <v>3.1096959368553234</v>
      </c>
      <c r="G150" s="39">
        <v>68.420453061485333</v>
      </c>
      <c r="H150" s="39">
        <v>50.497802493497169</v>
      </c>
      <c r="I150" s="10">
        <v>0</v>
      </c>
      <c r="J150" s="40">
        <v>0</v>
      </c>
      <c r="K150" s="40">
        <v>0</v>
      </c>
      <c r="L150" s="40">
        <v>0</v>
      </c>
      <c r="M150" s="40">
        <v>0</v>
      </c>
      <c r="N150" s="40">
        <v>0</v>
      </c>
      <c r="O150" s="40">
        <v>1</v>
      </c>
      <c r="P150" s="40">
        <v>0</v>
      </c>
      <c r="Q150" s="40">
        <v>0</v>
      </c>
      <c r="R150" s="40">
        <v>0</v>
      </c>
      <c r="S150" s="40">
        <v>0</v>
      </c>
      <c r="T150" s="29" t="str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9" t="str" cm="1">
        <f t="array" aca="1" ref="U150" ca="1">z_score_diff(OFFSET(T150,0,0,$I$5*-1,1),OFFSET(E150,0,0,$I$5*-1,1))</f>
        <v/>
      </c>
      <c r="V150" s="9" t="str">
        <f t="shared" ca="1" si="23"/>
        <v/>
      </c>
      <c r="W150" s="17">
        <f t="shared" ca="1" si="20"/>
        <v>-8.8966339711821024E-2</v>
      </c>
      <c r="X150" s="13">
        <f t="shared" ca="1" si="21"/>
        <v>0</v>
      </c>
      <c r="Y150" s="13">
        <f t="shared" ca="1" si="22"/>
        <v>0</v>
      </c>
      <c r="Z150" t="str">
        <f t="shared" ca="1" si="24"/>
        <v/>
      </c>
      <c r="AA150" t="str">
        <f t="shared" ca="1" si="25"/>
        <v/>
      </c>
      <c r="AB150" s="24" t="str">
        <f t="shared" ca="1" si="26"/>
        <v/>
      </c>
      <c r="AC150" s="24" t="str">
        <f t="shared" ca="1" si="27"/>
        <v/>
      </c>
    </row>
    <row r="151" spans="3:29" x14ac:dyDescent="0.25">
      <c r="C151" s="6">
        <v>144</v>
      </c>
      <c r="D151" s="37">
        <v>42212</v>
      </c>
      <c r="E151" s="39">
        <v>22.119</v>
      </c>
      <c r="F151" s="39">
        <v>3.0916200124411271</v>
      </c>
      <c r="G151" s="39">
        <v>68.118611722532307</v>
      </c>
      <c r="H151" s="39">
        <v>49.986670221274331</v>
      </c>
      <c r="I151" s="10">
        <v>0</v>
      </c>
      <c r="J151" s="40">
        <v>0</v>
      </c>
      <c r="K151" s="40">
        <v>0</v>
      </c>
      <c r="L151" s="40">
        <v>0</v>
      </c>
      <c r="M151" s="40">
        <v>0</v>
      </c>
      <c r="N151" s="40">
        <v>0</v>
      </c>
      <c r="O151" s="40">
        <v>1</v>
      </c>
      <c r="P151" s="40">
        <v>0</v>
      </c>
      <c r="Q151" s="40">
        <v>0</v>
      </c>
      <c r="R151" s="40">
        <v>0</v>
      </c>
      <c r="S151" s="40">
        <v>0</v>
      </c>
      <c r="T151" s="29" t="str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9" t="str" cm="1">
        <f t="array" aca="1" ref="U151" ca="1">z_score_diff(OFFSET(T151,0,0,$I$5*-1,1),OFFSET(E151,0,0,$I$5*-1,1))</f>
        <v/>
      </c>
      <c r="V151" s="9" t="str">
        <f t="shared" ca="1" si="23"/>
        <v/>
      </c>
      <c r="W151" s="17">
        <f t="shared" ca="1" si="20"/>
        <v>-9.1200007107386183E-2</v>
      </c>
      <c r="X151" s="13">
        <f t="shared" ca="1" si="21"/>
        <v>0</v>
      </c>
      <c r="Y151" s="13">
        <f t="shared" ca="1" si="22"/>
        <v>0</v>
      </c>
      <c r="Z151" t="str">
        <f t="shared" ca="1" si="24"/>
        <v/>
      </c>
      <c r="AA151" t="str">
        <f t="shared" ca="1" si="25"/>
        <v/>
      </c>
      <c r="AB151" s="24" t="str">
        <f t="shared" ca="1" si="26"/>
        <v/>
      </c>
      <c r="AC151" s="24" t="str">
        <f t="shared" ca="1" si="27"/>
        <v/>
      </c>
    </row>
    <row r="152" spans="3:29" x14ac:dyDescent="0.25">
      <c r="C152" s="6">
        <v>145</v>
      </c>
      <c r="D152" s="37">
        <v>42213</v>
      </c>
      <c r="E152" s="39">
        <v>22.042999999999999</v>
      </c>
      <c r="F152" s="39">
        <v>3.1171853215226548</v>
      </c>
      <c r="G152" s="39">
        <v>68.117639051520214</v>
      </c>
      <c r="H152" s="39">
        <v>50.067394989875162</v>
      </c>
      <c r="I152" s="10">
        <v>0</v>
      </c>
      <c r="J152" s="40">
        <v>0</v>
      </c>
      <c r="K152" s="40">
        <v>0</v>
      </c>
      <c r="L152" s="40">
        <v>0</v>
      </c>
      <c r="M152" s="40">
        <v>0</v>
      </c>
      <c r="N152" s="40">
        <v>0</v>
      </c>
      <c r="O152" s="40">
        <v>1</v>
      </c>
      <c r="P152" s="40">
        <v>0</v>
      </c>
      <c r="Q152" s="40">
        <v>0</v>
      </c>
      <c r="R152" s="40">
        <v>0</v>
      </c>
      <c r="S152" s="40">
        <v>0</v>
      </c>
      <c r="T152" s="29" t="str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9" t="str" cm="1">
        <f t="array" aca="1" ref="U152" ca="1">z_score_diff(OFFSET(T152,0,0,$I$5*-1,1),OFFSET(E152,0,0,$I$5*-1,1))</f>
        <v/>
      </c>
      <c r="V152" s="9" t="str">
        <f t="shared" ca="1" si="23"/>
        <v/>
      </c>
      <c r="W152" s="17">
        <f t="shared" ca="1" si="20"/>
        <v>-9.3519831341375523E-2</v>
      </c>
      <c r="X152" s="13">
        <f t="shared" ca="1" si="21"/>
        <v>0</v>
      </c>
      <c r="Y152" s="13">
        <f t="shared" ca="1" si="22"/>
        <v>0</v>
      </c>
      <c r="Z152" t="str">
        <f t="shared" ca="1" si="24"/>
        <v/>
      </c>
      <c r="AA152" t="str">
        <f t="shared" ca="1" si="25"/>
        <v/>
      </c>
      <c r="AB152" s="24" t="str">
        <f t="shared" ca="1" si="26"/>
        <v/>
      </c>
      <c r="AC152" s="24" t="str">
        <f t="shared" ca="1" si="27"/>
        <v/>
      </c>
    </row>
    <row r="153" spans="3:29" x14ac:dyDescent="0.25">
      <c r="C153" s="6">
        <v>146</v>
      </c>
      <c r="D153" s="37">
        <v>42214</v>
      </c>
      <c r="E153" s="39">
        <v>22.079000000000001</v>
      </c>
      <c r="F153" s="39">
        <v>3.1418807682266316</v>
      </c>
      <c r="G153" s="39">
        <v>68.264062508739258</v>
      </c>
      <c r="H153" s="39">
        <v>50.914258594192276</v>
      </c>
      <c r="I153" s="10">
        <v>0</v>
      </c>
      <c r="J153" s="40">
        <v>0</v>
      </c>
      <c r="K153" s="40">
        <v>0</v>
      </c>
      <c r="L153" s="40">
        <v>0</v>
      </c>
      <c r="M153" s="40">
        <v>0</v>
      </c>
      <c r="N153" s="40">
        <v>0</v>
      </c>
      <c r="O153" s="40">
        <v>1</v>
      </c>
      <c r="P153" s="40">
        <v>0</v>
      </c>
      <c r="Q153" s="40">
        <v>0</v>
      </c>
      <c r="R153" s="40">
        <v>0</v>
      </c>
      <c r="S153" s="40">
        <v>0</v>
      </c>
      <c r="T153" s="29" t="str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9" t="str" cm="1">
        <f t="array" aca="1" ref="U153" ca="1">z_score_diff(OFFSET(T153,0,0,$I$5*-1,1),OFFSET(E153,0,0,$I$5*-1,1))</f>
        <v/>
      </c>
      <c r="V153" s="9" t="str">
        <f t="shared" ca="1" si="23"/>
        <v/>
      </c>
      <c r="W153" s="17">
        <f t="shared" ca="1" si="20"/>
        <v>-8.5139691741878826E-2</v>
      </c>
      <c r="X153" s="13">
        <f t="shared" ca="1" si="21"/>
        <v>0</v>
      </c>
      <c r="Y153" s="13">
        <f t="shared" ca="1" si="22"/>
        <v>0</v>
      </c>
      <c r="Z153" t="str">
        <f t="shared" ca="1" si="24"/>
        <v/>
      </c>
      <c r="AA153" t="str">
        <f t="shared" ca="1" si="25"/>
        <v/>
      </c>
      <c r="AB153" s="24" t="str">
        <f t="shared" ca="1" si="26"/>
        <v/>
      </c>
      <c r="AC153" s="24" t="str">
        <f t="shared" ca="1" si="27"/>
        <v/>
      </c>
    </row>
    <row r="154" spans="3:29" x14ac:dyDescent="0.25">
      <c r="C154" s="6">
        <v>147</v>
      </c>
      <c r="D154" s="37">
        <v>42215</v>
      </c>
      <c r="E154" s="39">
        <v>22.166</v>
      </c>
      <c r="F154" s="39">
        <v>3.1116360232679026</v>
      </c>
      <c r="G154" s="39">
        <v>68.319845154775095</v>
      </c>
      <c r="H154" s="39">
        <v>50.8095749022321</v>
      </c>
      <c r="I154" s="10">
        <v>0</v>
      </c>
      <c r="J154" s="40">
        <v>0</v>
      </c>
      <c r="K154" s="40">
        <v>0</v>
      </c>
      <c r="L154" s="40">
        <v>0</v>
      </c>
      <c r="M154" s="40">
        <v>0</v>
      </c>
      <c r="N154" s="40">
        <v>0</v>
      </c>
      <c r="O154" s="40">
        <v>1</v>
      </c>
      <c r="P154" s="40">
        <v>0</v>
      </c>
      <c r="Q154" s="40">
        <v>0</v>
      </c>
      <c r="R154" s="40">
        <v>0</v>
      </c>
      <c r="S154" s="40">
        <v>0</v>
      </c>
      <c r="T154" s="29" t="str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9" t="str" cm="1">
        <f t="array" aca="1" ref="U154" ca="1">z_score_diff(OFFSET(T154,0,0,$I$5*-1,1),OFFSET(E154,0,0,$I$5*-1,1))</f>
        <v/>
      </c>
      <c r="V154" s="9" t="str">
        <f t="shared" ca="1" si="23"/>
        <v/>
      </c>
      <c r="W154" s="17">
        <f t="shared" ca="1" si="20"/>
        <v>-9.6894941146362198E-2</v>
      </c>
      <c r="X154" s="13">
        <f t="shared" ca="1" si="21"/>
        <v>0</v>
      </c>
      <c r="Y154" s="13">
        <f t="shared" ca="1" si="22"/>
        <v>0</v>
      </c>
      <c r="Z154" t="str">
        <f t="shared" ca="1" si="24"/>
        <v/>
      </c>
      <c r="AA154" t="str">
        <f t="shared" ca="1" si="25"/>
        <v/>
      </c>
      <c r="AB154" s="24" t="str">
        <f t="shared" ca="1" si="26"/>
        <v/>
      </c>
      <c r="AC154" s="24" t="str">
        <f t="shared" ca="1" si="27"/>
        <v/>
      </c>
    </row>
    <row r="155" spans="3:29" x14ac:dyDescent="0.25">
      <c r="C155" s="6">
        <v>148</v>
      </c>
      <c r="D155" s="37">
        <v>42216</v>
      </c>
      <c r="E155" s="39">
        <v>21.734999999999999</v>
      </c>
      <c r="F155" s="39">
        <v>3.0718162651953529</v>
      </c>
      <c r="G155" s="39">
        <v>67.569363890898359</v>
      </c>
      <c r="H155" s="39">
        <v>49.836271475351005</v>
      </c>
      <c r="I155" s="10">
        <v>0</v>
      </c>
      <c r="J155" s="40">
        <v>0</v>
      </c>
      <c r="K155" s="40">
        <v>0</v>
      </c>
      <c r="L155" s="40">
        <v>0</v>
      </c>
      <c r="M155" s="40">
        <v>0</v>
      </c>
      <c r="N155" s="40">
        <v>0</v>
      </c>
      <c r="O155" s="40">
        <v>1</v>
      </c>
      <c r="P155" s="40">
        <v>0</v>
      </c>
      <c r="Q155" s="40">
        <v>0</v>
      </c>
      <c r="R155" s="40">
        <v>0</v>
      </c>
      <c r="S155" s="40">
        <v>0</v>
      </c>
      <c r="T155" s="29" t="str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9" t="str" cm="1">
        <f t="array" aca="1" ref="U155" ca="1">z_score_diff(OFFSET(T155,0,0,$I$5*-1,1),OFFSET(E155,0,0,$I$5*-1,1))</f>
        <v/>
      </c>
      <c r="V155" s="9" t="str">
        <f t="shared" ca="1" si="23"/>
        <v/>
      </c>
      <c r="W155" s="17">
        <f t="shared" ca="1" si="20"/>
        <v>-8.3891836001157793E-2</v>
      </c>
      <c r="X155" s="13">
        <f t="shared" ca="1" si="21"/>
        <v>0</v>
      </c>
      <c r="Y155" s="13">
        <f t="shared" ca="1" si="22"/>
        <v>0</v>
      </c>
      <c r="Z155" t="str">
        <f t="shared" ca="1" si="24"/>
        <v/>
      </c>
      <c r="AA155" t="str">
        <f t="shared" ca="1" si="25"/>
        <v/>
      </c>
      <c r="AB155" s="24" t="str">
        <f t="shared" ca="1" si="26"/>
        <v/>
      </c>
      <c r="AC155" s="24" t="str">
        <f t="shared" ca="1" si="27"/>
        <v/>
      </c>
    </row>
    <row r="156" spans="3:29" x14ac:dyDescent="0.25">
      <c r="C156" s="6">
        <v>149</v>
      </c>
      <c r="D156" s="37">
        <v>42219</v>
      </c>
      <c r="E156" s="39">
        <v>21.446999999999999</v>
      </c>
      <c r="F156" s="39">
        <v>3.0727563929529054</v>
      </c>
      <c r="G156" s="39">
        <v>66.538739850882678</v>
      </c>
      <c r="H156" s="39">
        <v>49.847936799294565</v>
      </c>
      <c r="I156" s="10">
        <v>0</v>
      </c>
      <c r="J156" s="40">
        <v>0</v>
      </c>
      <c r="K156" s="40">
        <v>0</v>
      </c>
      <c r="L156" s="40">
        <v>0</v>
      </c>
      <c r="M156" s="40">
        <v>0</v>
      </c>
      <c r="N156" s="40">
        <v>0</v>
      </c>
      <c r="O156" s="40">
        <v>0</v>
      </c>
      <c r="P156" s="40">
        <v>1</v>
      </c>
      <c r="Q156" s="40">
        <v>0</v>
      </c>
      <c r="R156" s="40">
        <v>0</v>
      </c>
      <c r="S156" s="40">
        <v>0</v>
      </c>
      <c r="T156" s="29" t="str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9" t="str" cm="1">
        <f t="array" aca="1" ref="U156" ca="1">z_score_diff(OFFSET(T156,0,0,$I$5*-1,1),OFFSET(E156,0,0,$I$5*-1,1))</f>
        <v/>
      </c>
      <c r="V156" s="9" t="str">
        <f t="shared" ca="1" si="23"/>
        <v/>
      </c>
      <c r="W156" s="17">
        <f t="shared" ca="1" si="20"/>
        <v>-7.8540130296398919E-2</v>
      </c>
      <c r="X156" s="13">
        <f t="shared" ca="1" si="21"/>
        <v>0</v>
      </c>
      <c r="Y156" s="13">
        <f t="shared" ca="1" si="22"/>
        <v>0</v>
      </c>
      <c r="Z156" t="str">
        <f t="shared" ca="1" si="24"/>
        <v/>
      </c>
      <c r="AA156" t="str">
        <f t="shared" ca="1" si="25"/>
        <v/>
      </c>
      <c r="AB156" s="24" t="str">
        <f t="shared" ca="1" si="26"/>
        <v/>
      </c>
      <c r="AC156" s="24" t="str">
        <f t="shared" ca="1" si="27"/>
        <v/>
      </c>
    </row>
    <row r="157" spans="3:29" x14ac:dyDescent="0.25">
      <c r="C157" s="6">
        <v>150</v>
      </c>
      <c r="D157" s="37">
        <v>42220</v>
      </c>
      <c r="E157" s="39">
        <v>21.385999999999999</v>
      </c>
      <c r="F157" s="39">
        <v>3.0840889049675542</v>
      </c>
      <c r="G157" s="39">
        <v>66.46492496645071</v>
      </c>
      <c r="H157" s="39">
        <v>50.466909354014518</v>
      </c>
      <c r="I157" s="10">
        <v>0</v>
      </c>
      <c r="J157" s="40">
        <v>0</v>
      </c>
      <c r="K157" s="40">
        <v>0</v>
      </c>
      <c r="L157" s="40">
        <v>0</v>
      </c>
      <c r="M157" s="40">
        <v>0</v>
      </c>
      <c r="N157" s="40">
        <v>0</v>
      </c>
      <c r="O157" s="40">
        <v>0</v>
      </c>
      <c r="P157" s="40">
        <v>1</v>
      </c>
      <c r="Q157" s="40">
        <v>0</v>
      </c>
      <c r="R157" s="40">
        <v>0</v>
      </c>
      <c r="S157" s="40">
        <v>0</v>
      </c>
      <c r="T157" s="29" t="str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9" t="str" cm="1">
        <f t="array" aca="1" ref="U157" ca="1">z_score_diff(OFFSET(T157,0,0,$I$5*-1,1),OFFSET(E157,0,0,$I$5*-1,1))</f>
        <v/>
      </c>
      <c r="V157" s="9" t="str">
        <f t="shared" ca="1" si="23"/>
        <v/>
      </c>
      <c r="W157" s="17">
        <f t="shared" ca="1" si="20"/>
        <v>-7.1564611536805461E-2</v>
      </c>
      <c r="X157" s="13">
        <f t="shared" ca="1" si="21"/>
        <v>0</v>
      </c>
      <c r="Y157" s="13">
        <f t="shared" ca="1" si="22"/>
        <v>0</v>
      </c>
      <c r="Z157" t="str">
        <f t="shared" ca="1" si="24"/>
        <v/>
      </c>
      <c r="AA157" t="str">
        <f t="shared" ca="1" si="25"/>
        <v/>
      </c>
      <c r="AB157" s="24" t="str">
        <f t="shared" ca="1" si="26"/>
        <v/>
      </c>
      <c r="AC157" s="24" t="str">
        <f t="shared" ca="1" si="27"/>
        <v/>
      </c>
    </row>
    <row r="158" spans="3:29" x14ac:dyDescent="0.25">
      <c r="C158" s="6">
        <v>151</v>
      </c>
      <c r="D158" s="37">
        <v>42221</v>
      </c>
      <c r="E158" s="39">
        <v>21.489000000000001</v>
      </c>
      <c r="F158" s="39">
        <v>3.0720162973986289</v>
      </c>
      <c r="G158" s="39">
        <v>66.26114321583286</v>
      </c>
      <c r="H158" s="39">
        <v>50.071517839727804</v>
      </c>
      <c r="I158" s="10">
        <v>0</v>
      </c>
      <c r="J158" s="40">
        <v>0</v>
      </c>
      <c r="K158" s="40">
        <v>0</v>
      </c>
      <c r="L158" s="40">
        <v>0</v>
      </c>
      <c r="M158" s="40">
        <v>0</v>
      </c>
      <c r="N158" s="40">
        <v>0</v>
      </c>
      <c r="O158" s="40">
        <v>0</v>
      </c>
      <c r="P158" s="40">
        <v>1</v>
      </c>
      <c r="Q158" s="40">
        <v>0</v>
      </c>
      <c r="R158" s="40">
        <v>0</v>
      </c>
      <c r="S158" s="40">
        <v>0</v>
      </c>
      <c r="T158" s="29" t="str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9" t="str" cm="1">
        <f t="array" aca="1" ref="U158" ca="1">z_score_diff(OFFSET(T158,0,0,$I$5*-1,1),OFFSET(E158,0,0,$I$5*-1,1))</f>
        <v/>
      </c>
      <c r="V158" s="9" t="str">
        <f t="shared" ca="1" si="23"/>
        <v/>
      </c>
      <c r="W158" s="17">
        <f t="shared" ca="1" si="20"/>
        <v>-7.9337169167224372E-2</v>
      </c>
      <c r="X158" s="13">
        <f t="shared" ca="1" si="21"/>
        <v>0</v>
      </c>
      <c r="Y158" s="13">
        <f t="shared" ca="1" si="22"/>
        <v>0</v>
      </c>
      <c r="Z158" t="str">
        <f t="shared" ca="1" si="24"/>
        <v/>
      </c>
      <c r="AA158" t="str">
        <f t="shared" ca="1" si="25"/>
        <v/>
      </c>
      <c r="AB158" s="24" t="str">
        <f t="shared" ca="1" si="26"/>
        <v/>
      </c>
      <c r="AC158" s="24" t="str">
        <f t="shared" ca="1" si="27"/>
        <v/>
      </c>
    </row>
    <row r="159" spans="3:29" x14ac:dyDescent="0.25">
      <c r="C159" s="6">
        <v>152</v>
      </c>
      <c r="D159" s="37">
        <v>42222</v>
      </c>
      <c r="E159" s="39">
        <v>21.431999999999999</v>
      </c>
      <c r="F159" s="39">
        <v>3.0781690801388195</v>
      </c>
      <c r="G159" s="39">
        <v>66.313349438935404</v>
      </c>
      <c r="H159" s="39">
        <v>49.78462737288686</v>
      </c>
      <c r="I159" s="10">
        <v>0</v>
      </c>
      <c r="J159" s="40">
        <v>0</v>
      </c>
      <c r="K159" s="40">
        <v>0</v>
      </c>
      <c r="L159" s="40">
        <v>0</v>
      </c>
      <c r="M159" s="40">
        <v>0</v>
      </c>
      <c r="N159" s="40">
        <v>0</v>
      </c>
      <c r="O159" s="40">
        <v>0</v>
      </c>
      <c r="P159" s="40">
        <v>1</v>
      </c>
      <c r="Q159" s="40">
        <v>0</v>
      </c>
      <c r="R159" s="40">
        <v>0</v>
      </c>
      <c r="S159" s="40">
        <v>0</v>
      </c>
      <c r="T159" s="29" t="str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9" t="str" cm="1">
        <f t="array" aca="1" ref="U159" ca="1">z_score_diff(OFFSET(T159,0,0,$I$5*-1,1),OFFSET(E159,0,0,$I$5*-1,1))</f>
        <v/>
      </c>
      <c r="V159" s="9" t="str">
        <f t="shared" ca="1" si="23"/>
        <v/>
      </c>
      <c r="W159" s="17">
        <f t="shared" ca="1" si="20"/>
        <v>-8.8488594995058956E-2</v>
      </c>
      <c r="X159" s="13">
        <f t="shared" ca="1" si="21"/>
        <v>0</v>
      </c>
      <c r="Y159" s="13">
        <f t="shared" ca="1" si="22"/>
        <v>0</v>
      </c>
      <c r="Z159" t="str">
        <f t="shared" ca="1" si="24"/>
        <v/>
      </c>
      <c r="AA159" t="str">
        <f t="shared" ca="1" si="25"/>
        <v/>
      </c>
      <c r="AB159" s="24" t="str">
        <f t="shared" ca="1" si="26"/>
        <v/>
      </c>
      <c r="AC159" s="24" t="str">
        <f t="shared" ca="1" si="27"/>
        <v/>
      </c>
    </row>
    <row r="160" spans="3:29" x14ac:dyDescent="0.25">
      <c r="C160" s="6">
        <v>153</v>
      </c>
      <c r="D160" s="37">
        <v>42223</v>
      </c>
      <c r="E160" s="39">
        <v>21.346</v>
      </c>
      <c r="F160" s="39">
        <v>3.0593197523108673</v>
      </c>
      <c r="G160" s="39">
        <v>65.870642895251635</v>
      </c>
      <c r="H160" s="39">
        <v>48.595530826527863</v>
      </c>
      <c r="I160" s="10">
        <v>0</v>
      </c>
      <c r="J160" s="40">
        <v>0</v>
      </c>
      <c r="K160" s="40">
        <v>0</v>
      </c>
      <c r="L160" s="40">
        <v>0</v>
      </c>
      <c r="M160" s="40">
        <v>0</v>
      </c>
      <c r="N160" s="40">
        <v>0</v>
      </c>
      <c r="O160" s="40">
        <v>0</v>
      </c>
      <c r="P160" s="40">
        <v>1</v>
      </c>
      <c r="Q160" s="40">
        <v>0</v>
      </c>
      <c r="R160" s="40">
        <v>0</v>
      </c>
      <c r="S160" s="40">
        <v>0</v>
      </c>
      <c r="T160" s="29" t="str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9" t="str" cm="1">
        <f t="array" aca="1" ref="U160" ca="1">z_score_diff(OFFSET(T160,0,0,$I$5*-1,1),OFFSET(E160,0,0,$I$5*-1,1))</f>
        <v/>
      </c>
      <c r="V160" s="9" t="str">
        <f t="shared" ca="1" si="23"/>
        <v/>
      </c>
      <c r="W160" s="17">
        <f t="shared" ca="1" si="20"/>
        <v>-8.1159856014979506E-2</v>
      </c>
      <c r="X160" s="13">
        <f t="shared" ca="1" si="21"/>
        <v>0</v>
      </c>
      <c r="Y160" s="13">
        <f t="shared" ca="1" si="22"/>
        <v>0</v>
      </c>
      <c r="Z160" t="str">
        <f t="shared" ca="1" si="24"/>
        <v/>
      </c>
      <c r="AA160" t="str">
        <f t="shared" ca="1" si="25"/>
        <v/>
      </c>
      <c r="AB160" s="24" t="str">
        <f t="shared" ca="1" si="26"/>
        <v/>
      </c>
      <c r="AC160" s="24" t="str">
        <f t="shared" ca="1" si="27"/>
        <v/>
      </c>
    </row>
    <row r="161" spans="3:29" x14ac:dyDescent="0.25">
      <c r="C161" s="6">
        <v>154</v>
      </c>
      <c r="D161" s="37">
        <v>42226</v>
      </c>
      <c r="E161" s="39">
        <v>21.364999999999998</v>
      </c>
      <c r="F161" s="39">
        <v>3.0580220145423556</v>
      </c>
      <c r="G161" s="39">
        <v>66.111195357747548</v>
      </c>
      <c r="H161" s="39">
        <v>48.510252816140778</v>
      </c>
      <c r="I161" s="10">
        <v>0</v>
      </c>
      <c r="J161" s="40">
        <v>0</v>
      </c>
      <c r="K161" s="40">
        <v>0</v>
      </c>
      <c r="L161" s="40">
        <v>0</v>
      </c>
      <c r="M161" s="40">
        <v>0</v>
      </c>
      <c r="N161" s="40">
        <v>0</v>
      </c>
      <c r="O161" s="40">
        <v>0</v>
      </c>
      <c r="P161" s="40">
        <v>1</v>
      </c>
      <c r="Q161" s="40">
        <v>0</v>
      </c>
      <c r="R161" s="40">
        <v>0</v>
      </c>
      <c r="S161" s="40">
        <v>0</v>
      </c>
      <c r="T161" s="29" t="str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9" t="str" cm="1">
        <f t="array" aca="1" ref="U161" ca="1">z_score_diff(OFFSET(T161,0,0,$I$5*-1,1),OFFSET(E161,0,0,$I$5*-1,1))</f>
        <v/>
      </c>
      <c r="V161" s="9" t="str">
        <f t="shared" ca="1" si="23"/>
        <v/>
      </c>
      <c r="W161" s="17">
        <f t="shared" ca="1" si="20"/>
        <v>-8.7092226161288908E-2</v>
      </c>
      <c r="X161" s="13">
        <f t="shared" ca="1" si="21"/>
        <v>0</v>
      </c>
      <c r="Y161" s="13">
        <f t="shared" ca="1" si="22"/>
        <v>0</v>
      </c>
      <c r="Z161" t="str">
        <f t="shared" ca="1" si="24"/>
        <v/>
      </c>
      <c r="AA161" t="str">
        <f t="shared" ca="1" si="25"/>
        <v/>
      </c>
      <c r="AB161" s="24" t="str">
        <f t="shared" ca="1" si="26"/>
        <v/>
      </c>
      <c r="AC161" s="24" t="str">
        <f t="shared" ca="1" si="27"/>
        <v/>
      </c>
    </row>
    <row r="162" spans="3:29" x14ac:dyDescent="0.25">
      <c r="C162" s="6">
        <v>155</v>
      </c>
      <c r="D162" s="37">
        <v>42227</v>
      </c>
      <c r="E162" s="39">
        <v>21.323</v>
      </c>
      <c r="F162" s="39">
        <v>3.0504833129016085</v>
      </c>
      <c r="G162" s="39">
        <v>66.444813582297684</v>
      </c>
      <c r="H162" s="39">
        <v>48.35805661283041</v>
      </c>
      <c r="I162" s="10">
        <v>0</v>
      </c>
      <c r="J162" s="40">
        <v>0</v>
      </c>
      <c r="K162" s="40">
        <v>0</v>
      </c>
      <c r="L162" s="40">
        <v>0</v>
      </c>
      <c r="M162" s="40">
        <v>0</v>
      </c>
      <c r="N162" s="40">
        <v>0</v>
      </c>
      <c r="O162" s="40">
        <v>0</v>
      </c>
      <c r="P162" s="40">
        <v>1</v>
      </c>
      <c r="Q162" s="40">
        <v>0</v>
      </c>
      <c r="R162" s="40">
        <v>0</v>
      </c>
      <c r="S162" s="40">
        <v>0</v>
      </c>
      <c r="T162" s="29" t="str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9" t="str" cm="1">
        <f t="array" aca="1" ref="U162" ca="1">z_score_diff(OFFSET(T162,0,0,$I$5*-1,1),OFFSET(E162,0,0,$I$5*-1,1))</f>
        <v/>
      </c>
      <c r="V162" s="9" t="str">
        <f t="shared" ca="1" si="23"/>
        <v/>
      </c>
      <c r="W162" s="17">
        <f t="shared" ca="1" si="20"/>
        <v>-8.9012926831301284E-2</v>
      </c>
      <c r="X162" s="13">
        <f t="shared" ca="1" si="21"/>
        <v>0</v>
      </c>
      <c r="Y162" s="13">
        <f t="shared" ca="1" si="22"/>
        <v>0</v>
      </c>
      <c r="Z162" t="str">
        <f t="shared" ca="1" si="24"/>
        <v/>
      </c>
      <c r="AA162" t="str">
        <f t="shared" ca="1" si="25"/>
        <v/>
      </c>
      <c r="AB162" s="24" t="str">
        <f t="shared" ca="1" si="26"/>
        <v/>
      </c>
      <c r="AC162" s="24" t="str">
        <f t="shared" ca="1" si="27"/>
        <v/>
      </c>
    </row>
    <row r="163" spans="3:29" x14ac:dyDescent="0.25">
      <c r="C163" s="6">
        <v>156</v>
      </c>
      <c r="D163" s="37">
        <v>42228</v>
      </c>
      <c r="E163" s="39">
        <v>21.254999999999999</v>
      </c>
      <c r="F163" s="39">
        <v>3.0445324682434425</v>
      </c>
      <c r="G163" s="39">
        <v>65.979392813126395</v>
      </c>
      <c r="H163" s="39">
        <v>47.725342200857902</v>
      </c>
      <c r="I163" s="10">
        <v>0</v>
      </c>
      <c r="J163" s="40">
        <v>0</v>
      </c>
      <c r="K163" s="40">
        <v>0</v>
      </c>
      <c r="L163" s="40">
        <v>0</v>
      </c>
      <c r="M163" s="40">
        <v>0</v>
      </c>
      <c r="N163" s="40">
        <v>0</v>
      </c>
      <c r="O163" s="40">
        <v>0</v>
      </c>
      <c r="P163" s="40">
        <v>1</v>
      </c>
      <c r="Q163" s="40">
        <v>0</v>
      </c>
      <c r="R163" s="40">
        <v>0</v>
      </c>
      <c r="S163" s="40">
        <v>0</v>
      </c>
      <c r="T163" s="29" t="str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9" t="str" cm="1">
        <f t="array" aca="1" ref="U163" ca="1">z_score_diff(OFFSET(T163,0,0,$I$5*-1,1),OFFSET(E163,0,0,$I$5*-1,1))</f>
        <v/>
      </c>
      <c r="V163" s="9" t="str">
        <f t="shared" ca="1" si="23"/>
        <v/>
      </c>
      <c r="W163" s="17">
        <f t="shared" ca="1" si="20"/>
        <v>-0.13682342706380127</v>
      </c>
      <c r="X163" s="13">
        <f t="shared" ca="1" si="21"/>
        <v>0</v>
      </c>
      <c r="Y163" s="13">
        <f t="shared" ca="1" si="22"/>
        <v>0</v>
      </c>
      <c r="Z163" t="str">
        <f t="shared" ca="1" si="24"/>
        <v/>
      </c>
      <c r="AA163" t="str">
        <f t="shared" ca="1" si="25"/>
        <v/>
      </c>
      <c r="AB163" s="24" t="str">
        <f t="shared" ca="1" si="26"/>
        <v/>
      </c>
      <c r="AC163" s="24" t="str">
        <f t="shared" ca="1" si="27"/>
        <v/>
      </c>
    </row>
    <row r="164" spans="3:29" x14ac:dyDescent="0.25">
      <c r="C164" s="6">
        <v>157</v>
      </c>
      <c r="D164" s="37">
        <v>42229</v>
      </c>
      <c r="E164" s="39">
        <v>21.341999999999999</v>
      </c>
      <c r="F164" s="39">
        <v>3.0060049452490283</v>
      </c>
      <c r="G164" s="39">
        <v>66.126247531805774</v>
      </c>
      <c r="H164" s="39">
        <v>47.598021900388552</v>
      </c>
      <c r="I164" s="10">
        <v>0</v>
      </c>
      <c r="J164" s="40">
        <v>0</v>
      </c>
      <c r="K164" s="40">
        <v>0</v>
      </c>
      <c r="L164" s="40">
        <v>0</v>
      </c>
      <c r="M164" s="40">
        <v>0</v>
      </c>
      <c r="N164" s="40">
        <v>0</v>
      </c>
      <c r="O164" s="40">
        <v>0</v>
      </c>
      <c r="P164" s="40">
        <v>1</v>
      </c>
      <c r="Q164" s="40">
        <v>0</v>
      </c>
      <c r="R164" s="40">
        <v>0</v>
      </c>
      <c r="S164" s="40">
        <v>0</v>
      </c>
      <c r="T164" s="29" t="str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9" t="str" cm="1">
        <f t="array" aca="1" ref="U164" ca="1">z_score_diff(OFFSET(T164,0,0,$I$5*-1,1),OFFSET(E164,0,0,$I$5*-1,1))</f>
        <v/>
      </c>
      <c r="V164" s="9" t="str">
        <f t="shared" ca="1" si="23"/>
        <v/>
      </c>
      <c r="W164" s="17">
        <f t="shared" ca="1" si="20"/>
        <v>-0.14751141229734452</v>
      </c>
      <c r="X164" s="13">
        <f t="shared" ca="1" si="21"/>
        <v>0</v>
      </c>
      <c r="Y164" s="13">
        <f t="shared" ca="1" si="22"/>
        <v>0</v>
      </c>
      <c r="Z164" t="str">
        <f t="shared" ca="1" si="24"/>
        <v/>
      </c>
      <c r="AA164" t="str">
        <f t="shared" ca="1" si="25"/>
        <v/>
      </c>
      <c r="AB164" s="24" t="str">
        <f t="shared" ca="1" si="26"/>
        <v/>
      </c>
      <c r="AC164" s="24" t="str">
        <f t="shared" ca="1" si="27"/>
        <v/>
      </c>
    </row>
    <row r="165" spans="3:29" x14ac:dyDescent="0.25">
      <c r="C165" s="6">
        <v>158</v>
      </c>
      <c r="D165" s="37">
        <v>42230</v>
      </c>
      <c r="E165" s="39">
        <v>21.134</v>
      </c>
      <c r="F165" s="39">
        <v>3.0263565891472868</v>
      </c>
      <c r="G165" s="39">
        <v>66.45020324639674</v>
      </c>
      <c r="H165" s="39">
        <v>47.751937984496124</v>
      </c>
      <c r="I165" s="10">
        <v>0</v>
      </c>
      <c r="J165" s="40">
        <v>0</v>
      </c>
      <c r="K165" s="40">
        <v>0</v>
      </c>
      <c r="L165" s="40">
        <v>0</v>
      </c>
      <c r="M165" s="40">
        <v>0</v>
      </c>
      <c r="N165" s="40">
        <v>0</v>
      </c>
      <c r="O165" s="40">
        <v>0</v>
      </c>
      <c r="P165" s="40">
        <v>1</v>
      </c>
      <c r="Q165" s="40">
        <v>0</v>
      </c>
      <c r="R165" s="40">
        <v>0</v>
      </c>
      <c r="S165" s="40">
        <v>0</v>
      </c>
      <c r="T165" s="29" t="str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9" t="str" cm="1">
        <f t="array" aca="1" ref="U165" ca="1">z_score_diff(OFFSET(T165,0,0,$I$5*-1,1),OFFSET(E165,0,0,$I$5*-1,1))</f>
        <v/>
      </c>
      <c r="V165" s="9" t="str">
        <f t="shared" ca="1" si="23"/>
        <v/>
      </c>
      <c r="W165" s="17">
        <f t="shared" ca="1" si="20"/>
        <v>-0.147430620584144</v>
      </c>
      <c r="X165" s="13">
        <f t="shared" ca="1" si="21"/>
        <v>0</v>
      </c>
      <c r="Y165" s="13">
        <f t="shared" ca="1" si="22"/>
        <v>0</v>
      </c>
      <c r="Z165" t="str">
        <f t="shared" ca="1" si="24"/>
        <v/>
      </c>
      <c r="AA165" t="str">
        <f t="shared" ca="1" si="25"/>
        <v/>
      </c>
      <c r="AB165" s="24" t="str">
        <f t="shared" ca="1" si="26"/>
        <v/>
      </c>
      <c r="AC165" s="24" t="str">
        <f t="shared" ca="1" si="27"/>
        <v/>
      </c>
    </row>
    <row r="166" spans="3:29" x14ac:dyDescent="0.25">
      <c r="C166" s="6">
        <v>159</v>
      </c>
      <c r="D166" s="37">
        <v>42233</v>
      </c>
      <c r="E166" s="39">
        <v>21.285</v>
      </c>
      <c r="F166" s="39">
        <v>3.0126051167173356</v>
      </c>
      <c r="G166" s="39">
        <v>66.114443228567865</v>
      </c>
      <c r="H166" s="39">
        <v>47.469198357245716</v>
      </c>
      <c r="I166" s="10">
        <v>0</v>
      </c>
      <c r="J166" s="40">
        <v>0</v>
      </c>
      <c r="K166" s="40">
        <v>0</v>
      </c>
      <c r="L166" s="40">
        <v>0</v>
      </c>
      <c r="M166" s="40">
        <v>0</v>
      </c>
      <c r="N166" s="40">
        <v>0</v>
      </c>
      <c r="O166" s="40">
        <v>0</v>
      </c>
      <c r="P166" s="40">
        <v>1</v>
      </c>
      <c r="Q166" s="40">
        <v>0</v>
      </c>
      <c r="R166" s="40">
        <v>0</v>
      </c>
      <c r="S166" s="40">
        <v>0</v>
      </c>
      <c r="T166" s="29" t="str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9" t="str" cm="1">
        <f t="array" aca="1" ref="U166" ca="1">z_score_diff(OFFSET(T166,0,0,$I$5*-1,1),OFFSET(E166,0,0,$I$5*-1,1))</f>
        <v/>
      </c>
      <c r="V166" s="9" t="str">
        <f t="shared" ca="1" si="23"/>
        <v/>
      </c>
      <c r="W166" s="17">
        <f t="shared" ca="1" si="20"/>
        <v>-0.15301593903286981</v>
      </c>
      <c r="X166" s="13">
        <f t="shared" ca="1" si="21"/>
        <v>0</v>
      </c>
      <c r="Y166" s="13">
        <f t="shared" ca="1" si="22"/>
        <v>0</v>
      </c>
      <c r="Z166" t="str">
        <f t="shared" ca="1" si="24"/>
        <v/>
      </c>
      <c r="AA166" t="str">
        <f t="shared" ca="1" si="25"/>
        <v/>
      </c>
      <c r="AB166" s="24" t="str">
        <f t="shared" ca="1" si="26"/>
        <v/>
      </c>
      <c r="AC166" s="24" t="str">
        <f t="shared" ca="1" si="27"/>
        <v/>
      </c>
    </row>
    <row r="167" spans="3:29" x14ac:dyDescent="0.25">
      <c r="C167" s="6">
        <v>160</v>
      </c>
      <c r="D167" s="37">
        <v>42234</v>
      </c>
      <c r="E167" s="39">
        <v>21.369</v>
      </c>
      <c r="F167" s="39">
        <v>3.003169218408249</v>
      </c>
      <c r="G167" s="39">
        <v>66.346444188465284</v>
      </c>
      <c r="H167" s="39">
        <v>47.002633575860372</v>
      </c>
      <c r="I167" s="10">
        <v>0</v>
      </c>
      <c r="J167" s="40">
        <v>0</v>
      </c>
      <c r="K167" s="40">
        <v>0</v>
      </c>
      <c r="L167" s="40">
        <v>0</v>
      </c>
      <c r="M167" s="40">
        <v>0</v>
      </c>
      <c r="N167" s="40">
        <v>0</v>
      </c>
      <c r="O167" s="40">
        <v>0</v>
      </c>
      <c r="P167" s="40">
        <v>1</v>
      </c>
      <c r="Q167" s="40">
        <v>0</v>
      </c>
      <c r="R167" s="40">
        <v>0</v>
      </c>
      <c r="S167" s="40">
        <v>0</v>
      </c>
      <c r="T167" s="29" t="str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9" t="str" cm="1">
        <f t="array" aca="1" ref="U167" ca="1">z_score_diff(OFFSET(T167,0,0,$I$5*-1,1),OFFSET(E167,0,0,$I$5*-1,1))</f>
        <v/>
      </c>
      <c r="V167" s="9" t="str">
        <f t="shared" ca="1" si="23"/>
        <v/>
      </c>
      <c r="W167" s="17">
        <f t="shared" ca="1" si="20"/>
        <v>-0.13964027819621841</v>
      </c>
      <c r="X167" s="13">
        <f t="shared" ca="1" si="21"/>
        <v>0</v>
      </c>
      <c r="Y167" s="13">
        <f t="shared" ca="1" si="22"/>
        <v>0</v>
      </c>
      <c r="Z167" t="str">
        <f t="shared" ca="1" si="24"/>
        <v/>
      </c>
      <c r="AA167" t="str">
        <f t="shared" ca="1" si="25"/>
        <v/>
      </c>
      <c r="AB167" s="24" t="str">
        <f t="shared" ca="1" si="26"/>
        <v/>
      </c>
      <c r="AC167" s="24" t="str">
        <f t="shared" ca="1" si="27"/>
        <v/>
      </c>
    </row>
    <row r="168" spans="3:29" x14ac:dyDescent="0.25">
      <c r="C168" s="6">
        <v>161</v>
      </c>
      <c r="D168" s="37">
        <v>42235</v>
      </c>
      <c r="E168" s="39">
        <v>21.323</v>
      </c>
      <c r="F168" s="39">
        <v>2.9673932305511252</v>
      </c>
      <c r="G168" s="39">
        <v>65.603964851943118</v>
      </c>
      <c r="H168" s="39">
        <v>46.340598972177915</v>
      </c>
      <c r="I168" s="10">
        <v>0</v>
      </c>
      <c r="J168" s="40">
        <v>0</v>
      </c>
      <c r="K168" s="40">
        <v>0</v>
      </c>
      <c r="L168" s="40">
        <v>0</v>
      </c>
      <c r="M168" s="40">
        <v>0</v>
      </c>
      <c r="N168" s="40">
        <v>0</v>
      </c>
      <c r="O168" s="40">
        <v>0</v>
      </c>
      <c r="P168" s="40">
        <v>1</v>
      </c>
      <c r="Q168" s="40">
        <v>0</v>
      </c>
      <c r="R168" s="40">
        <v>0</v>
      </c>
      <c r="S168" s="40">
        <v>0</v>
      </c>
      <c r="T168" s="29" t="str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9" t="str" cm="1">
        <f t="array" aca="1" ref="U168" ca="1">z_score_diff(OFFSET(T168,0,0,$I$5*-1,1),OFFSET(E168,0,0,$I$5*-1,1))</f>
        <v/>
      </c>
      <c r="V168" s="9" t="str">
        <f t="shared" ca="1" si="23"/>
        <v/>
      </c>
      <c r="W168" s="17">
        <f t="shared" ca="1" si="20"/>
        <v>-0.13888533941310929</v>
      </c>
      <c r="X168" s="13">
        <f t="shared" ca="1" si="21"/>
        <v>0</v>
      </c>
      <c r="Y168" s="13">
        <f t="shared" ca="1" si="22"/>
        <v>0</v>
      </c>
      <c r="Z168" t="str">
        <f t="shared" ca="1" si="24"/>
        <v/>
      </c>
      <c r="AA168" t="str">
        <f t="shared" ca="1" si="25"/>
        <v/>
      </c>
      <c r="AB168" s="24" t="str">
        <f t="shared" ca="1" si="26"/>
        <v/>
      </c>
      <c r="AC168" s="24" t="str">
        <f t="shared" ca="1" si="27"/>
        <v/>
      </c>
    </row>
    <row r="169" spans="3:29" x14ac:dyDescent="0.25">
      <c r="C169" s="6">
        <v>162</v>
      </c>
      <c r="D169" s="37">
        <v>42236</v>
      </c>
      <c r="E169" s="39">
        <v>20.942</v>
      </c>
      <c r="F169" s="39">
        <v>2.9429086243523499</v>
      </c>
      <c r="G169" s="39">
        <v>64.702364997216435</v>
      </c>
      <c r="H169" s="39">
        <v>45.528321332669613</v>
      </c>
      <c r="I169" s="10">
        <v>0</v>
      </c>
      <c r="J169" s="40">
        <v>0</v>
      </c>
      <c r="K169" s="40">
        <v>0</v>
      </c>
      <c r="L169" s="40">
        <v>0</v>
      </c>
      <c r="M169" s="40">
        <v>0</v>
      </c>
      <c r="N169" s="40">
        <v>0</v>
      </c>
      <c r="O169" s="40">
        <v>0</v>
      </c>
      <c r="P169" s="40">
        <v>1</v>
      </c>
      <c r="Q169" s="40">
        <v>0</v>
      </c>
      <c r="R169" s="40">
        <v>0</v>
      </c>
      <c r="S169" s="40">
        <v>0</v>
      </c>
      <c r="T169" s="29" t="str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9" t="str" cm="1">
        <f t="array" aca="1" ref="U169" ca="1">z_score_diff(OFFSET(T169,0,0,$I$5*-1,1),OFFSET(E169,0,0,$I$5*-1,1))</f>
        <v/>
      </c>
      <c r="V169" s="9" t="str">
        <f t="shared" ca="1" si="23"/>
        <v/>
      </c>
      <c r="W169" s="17">
        <f t="shared" ca="1" si="20"/>
        <v>-0.11843385382941966</v>
      </c>
      <c r="X169" s="13">
        <f t="shared" ca="1" si="21"/>
        <v>0</v>
      </c>
      <c r="Y169" s="13">
        <f t="shared" ca="1" si="22"/>
        <v>0</v>
      </c>
      <c r="Z169" t="str">
        <f t="shared" ca="1" si="24"/>
        <v/>
      </c>
      <c r="AA169" t="str">
        <f t="shared" ca="1" si="25"/>
        <v/>
      </c>
      <c r="AB169" s="24" t="str">
        <f t="shared" ca="1" si="26"/>
        <v/>
      </c>
      <c r="AC169" s="24" t="str">
        <f t="shared" ca="1" si="27"/>
        <v/>
      </c>
    </row>
    <row r="170" spans="3:29" x14ac:dyDescent="0.25">
      <c r="C170" s="6">
        <v>163</v>
      </c>
      <c r="D170" s="37">
        <v>42237</v>
      </c>
      <c r="E170" s="39">
        <v>20.760999999999999</v>
      </c>
      <c r="F170" s="39">
        <v>2.8664234549795777</v>
      </c>
      <c r="G170" s="39">
        <v>64.136251851912206</v>
      </c>
      <c r="H170" s="39">
        <v>44.714820733825185</v>
      </c>
      <c r="I170" s="10">
        <v>0</v>
      </c>
      <c r="J170" s="40">
        <v>0</v>
      </c>
      <c r="K170" s="40">
        <v>0</v>
      </c>
      <c r="L170" s="40">
        <v>0</v>
      </c>
      <c r="M170" s="40">
        <v>0</v>
      </c>
      <c r="N170" s="40">
        <v>0</v>
      </c>
      <c r="O170" s="40">
        <v>0</v>
      </c>
      <c r="P170" s="40">
        <v>1</v>
      </c>
      <c r="Q170" s="40">
        <v>0</v>
      </c>
      <c r="R170" s="40">
        <v>0</v>
      </c>
      <c r="S170" s="40">
        <v>0</v>
      </c>
      <c r="T170" s="29" t="str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9" t="str" cm="1">
        <f t="array" aca="1" ref="U170" ca="1">z_score_diff(OFFSET(T170,0,0,$I$5*-1,1),OFFSET(E170,0,0,$I$5*-1,1))</f>
        <v/>
      </c>
      <c r="V170" s="9" t="str">
        <f t="shared" ca="1" si="23"/>
        <v/>
      </c>
      <c r="W170" s="17">
        <f t="shared" ca="1" si="20"/>
        <v>-0.11023727866074587</v>
      </c>
      <c r="X170" s="13">
        <f t="shared" ca="1" si="21"/>
        <v>0</v>
      </c>
      <c r="Y170" s="13">
        <f t="shared" ca="1" si="22"/>
        <v>0</v>
      </c>
      <c r="Z170" t="str">
        <f t="shared" ca="1" si="24"/>
        <v/>
      </c>
      <c r="AA170" t="str">
        <f t="shared" ca="1" si="25"/>
        <v/>
      </c>
      <c r="AB170" s="24" t="str">
        <f t="shared" ca="1" si="26"/>
        <v/>
      </c>
      <c r="AC170" s="24" t="str">
        <f t="shared" ca="1" si="27"/>
        <v/>
      </c>
    </row>
    <row r="171" spans="3:29" x14ac:dyDescent="0.25">
      <c r="C171" s="6">
        <v>164</v>
      </c>
      <c r="D171" s="37">
        <v>42240</v>
      </c>
      <c r="E171" s="39">
        <v>20.303999999999998</v>
      </c>
      <c r="F171" s="39">
        <v>2.7763483024212237</v>
      </c>
      <c r="G171" s="39">
        <v>62.614755746163638</v>
      </c>
      <c r="H171" s="39">
        <v>43.082733308098952</v>
      </c>
      <c r="I171" s="10">
        <v>0</v>
      </c>
      <c r="J171" s="40">
        <v>0</v>
      </c>
      <c r="K171" s="40">
        <v>0</v>
      </c>
      <c r="L171" s="40">
        <v>0</v>
      </c>
      <c r="M171" s="40">
        <v>0</v>
      </c>
      <c r="N171" s="40">
        <v>0</v>
      </c>
      <c r="O171" s="40">
        <v>0</v>
      </c>
      <c r="P171" s="40">
        <v>1</v>
      </c>
      <c r="Q171" s="40">
        <v>0</v>
      </c>
      <c r="R171" s="40">
        <v>0</v>
      </c>
      <c r="S171" s="40">
        <v>0</v>
      </c>
      <c r="T171" s="29" t="str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9" t="str" cm="1">
        <f t="array" aca="1" ref="U171" ca="1">z_score_diff(OFFSET(T171,0,0,$I$5*-1,1),OFFSET(E171,0,0,$I$5*-1,1))</f>
        <v/>
      </c>
      <c r="V171" s="9" t="str">
        <f t="shared" ca="1" si="23"/>
        <v/>
      </c>
      <c r="W171" s="17">
        <f t="shared" ca="1" si="20"/>
        <v>-9.8412900007794527E-2</v>
      </c>
      <c r="X171" s="13">
        <f t="shared" ca="1" si="21"/>
        <v>0</v>
      </c>
      <c r="Y171" s="13">
        <f t="shared" ca="1" si="22"/>
        <v>0</v>
      </c>
      <c r="Z171" t="str">
        <f t="shared" ca="1" si="24"/>
        <v/>
      </c>
      <c r="AA171" t="str">
        <f t="shared" ca="1" si="25"/>
        <v/>
      </c>
      <c r="AB171" s="24" t="str">
        <f t="shared" ca="1" si="26"/>
        <v/>
      </c>
      <c r="AC171" s="24" t="str">
        <f t="shared" ca="1" si="27"/>
        <v/>
      </c>
    </row>
    <row r="172" spans="3:29" x14ac:dyDescent="0.25">
      <c r="C172" s="6">
        <v>165</v>
      </c>
      <c r="D172" s="37">
        <v>42241</v>
      </c>
      <c r="E172" s="39">
        <v>20.567</v>
      </c>
      <c r="F172" s="39">
        <v>2.7838231514009082</v>
      </c>
      <c r="G172" s="39">
        <v>62.836998489172402</v>
      </c>
      <c r="H172" s="39">
        <v>43.483848856139147</v>
      </c>
      <c r="I172" s="10">
        <v>0</v>
      </c>
      <c r="J172" s="40">
        <v>0</v>
      </c>
      <c r="K172" s="40">
        <v>0</v>
      </c>
      <c r="L172" s="40">
        <v>0</v>
      </c>
      <c r="M172" s="40">
        <v>0</v>
      </c>
      <c r="N172" s="40">
        <v>0</v>
      </c>
      <c r="O172" s="40">
        <v>0</v>
      </c>
      <c r="P172" s="40">
        <v>1</v>
      </c>
      <c r="Q172" s="40">
        <v>0</v>
      </c>
      <c r="R172" s="40">
        <v>0</v>
      </c>
      <c r="S172" s="40">
        <v>0</v>
      </c>
      <c r="T172" s="29" t="str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9" t="str" cm="1">
        <f t="array" aca="1" ref="U172" ca="1">z_score_diff(OFFSET(T172,0,0,$I$5*-1,1),OFFSET(E172,0,0,$I$5*-1,1))</f>
        <v/>
      </c>
      <c r="V172" s="9" t="str">
        <f t="shared" ca="1" si="23"/>
        <v/>
      </c>
      <c r="W172" s="17">
        <f t="shared" ca="1" si="20"/>
        <v>-0.12353079093636085</v>
      </c>
      <c r="X172" s="13">
        <f t="shared" ca="1" si="21"/>
        <v>0</v>
      </c>
      <c r="Y172" s="13">
        <f t="shared" ca="1" si="22"/>
        <v>0</v>
      </c>
      <c r="Z172" t="str">
        <f t="shared" ca="1" si="24"/>
        <v/>
      </c>
      <c r="AA172" t="str">
        <f t="shared" ca="1" si="25"/>
        <v/>
      </c>
      <c r="AB172" s="24" t="str">
        <f t="shared" ca="1" si="26"/>
        <v/>
      </c>
      <c r="AC172" s="24" t="str">
        <f t="shared" ca="1" si="27"/>
        <v/>
      </c>
    </row>
    <row r="173" spans="3:29" x14ac:dyDescent="0.25">
      <c r="C173" s="6">
        <v>166</v>
      </c>
      <c r="D173" s="37">
        <v>42242</v>
      </c>
      <c r="E173" s="39">
        <v>20.260000000000002</v>
      </c>
      <c r="F173" s="39">
        <v>2.8476763449298108</v>
      </c>
      <c r="G173" s="39">
        <v>62.606769668522276</v>
      </c>
      <c r="H173" s="39">
        <v>44.467695527072976</v>
      </c>
      <c r="I173" s="10">
        <v>0</v>
      </c>
      <c r="J173" s="40">
        <v>0</v>
      </c>
      <c r="K173" s="40">
        <v>0</v>
      </c>
      <c r="L173" s="40">
        <v>0</v>
      </c>
      <c r="M173" s="40">
        <v>0</v>
      </c>
      <c r="N173" s="40">
        <v>0</v>
      </c>
      <c r="O173" s="40">
        <v>0</v>
      </c>
      <c r="P173" s="40">
        <v>1</v>
      </c>
      <c r="Q173" s="40">
        <v>0</v>
      </c>
      <c r="R173" s="40">
        <v>0</v>
      </c>
      <c r="S173" s="40">
        <v>0</v>
      </c>
      <c r="T173" s="29" t="str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9" t="str" cm="1">
        <f t="array" aca="1" ref="U173" ca="1">z_score_diff(OFFSET(T173,0,0,$I$5*-1,1),OFFSET(E173,0,0,$I$5*-1,1))</f>
        <v/>
      </c>
      <c r="V173" s="9" t="str">
        <f t="shared" ca="1" si="23"/>
        <v/>
      </c>
      <c r="W173" s="17">
        <f t="shared" ca="1" si="20"/>
        <v>-0.11699977880986935</v>
      </c>
      <c r="X173" s="13">
        <f t="shared" ca="1" si="21"/>
        <v>0</v>
      </c>
      <c r="Y173" s="13">
        <f t="shared" ca="1" si="22"/>
        <v>0</v>
      </c>
      <c r="Z173" t="str">
        <f t="shared" ca="1" si="24"/>
        <v/>
      </c>
      <c r="AA173" t="str">
        <f t="shared" ca="1" si="25"/>
        <v/>
      </c>
      <c r="AB173" s="24" t="str">
        <f t="shared" ca="1" si="26"/>
        <v/>
      </c>
      <c r="AC173" s="24" t="str">
        <f t="shared" ca="1" si="27"/>
        <v/>
      </c>
    </row>
    <row r="174" spans="3:29" x14ac:dyDescent="0.25">
      <c r="C174" s="6">
        <v>167</v>
      </c>
      <c r="D174" s="37">
        <v>42243</v>
      </c>
      <c r="E174" s="39">
        <v>20.486999999999998</v>
      </c>
      <c r="F174" s="39">
        <v>2.863399023075627</v>
      </c>
      <c r="G174" s="39">
        <v>63.059230296522891</v>
      </c>
      <c r="H174" s="39">
        <v>45.617876593116613</v>
      </c>
      <c r="I174" s="10">
        <v>0</v>
      </c>
      <c r="J174" s="40">
        <v>0</v>
      </c>
      <c r="K174" s="40">
        <v>0</v>
      </c>
      <c r="L174" s="40">
        <v>0</v>
      </c>
      <c r="M174" s="40">
        <v>0</v>
      </c>
      <c r="N174" s="40">
        <v>0</v>
      </c>
      <c r="O174" s="40">
        <v>0</v>
      </c>
      <c r="P174" s="40">
        <v>1</v>
      </c>
      <c r="Q174" s="40">
        <v>0</v>
      </c>
      <c r="R174" s="40">
        <v>0</v>
      </c>
      <c r="S174" s="40">
        <v>0</v>
      </c>
      <c r="T174" s="29" t="str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9" t="str" cm="1">
        <f t="array" aca="1" ref="U174" ca="1">z_score_diff(OFFSET(T174,0,0,$I$5*-1,1),OFFSET(E174,0,0,$I$5*-1,1))</f>
        <v/>
      </c>
      <c r="V174" s="9" t="str">
        <f t="shared" ca="1" si="23"/>
        <v/>
      </c>
      <c r="W174" s="17">
        <f t="shared" ca="1" si="20"/>
        <v>-0.12282942719309138</v>
      </c>
      <c r="X174" s="13">
        <f t="shared" ca="1" si="21"/>
        <v>0</v>
      </c>
      <c r="Y174" s="13">
        <f t="shared" ca="1" si="22"/>
        <v>0</v>
      </c>
      <c r="Z174" t="str">
        <f t="shared" ca="1" si="24"/>
        <v/>
      </c>
      <c r="AA174" t="str">
        <f t="shared" ca="1" si="25"/>
        <v/>
      </c>
      <c r="AB174" s="24" t="str">
        <f t="shared" ca="1" si="26"/>
        <v/>
      </c>
      <c r="AC174" s="24" t="str">
        <f t="shared" ca="1" si="27"/>
        <v/>
      </c>
    </row>
    <row r="175" spans="3:29" x14ac:dyDescent="0.25">
      <c r="C175" s="6">
        <v>168</v>
      </c>
      <c r="D175" s="37">
        <v>42244</v>
      </c>
      <c r="E175" s="39">
        <v>20.594999999999999</v>
      </c>
      <c r="F175" s="39">
        <v>2.8450518593406358</v>
      </c>
      <c r="G175" s="39">
        <v>62.112810733353733</v>
      </c>
      <c r="H175" s="39">
        <v>46.006032392128418</v>
      </c>
      <c r="I175" s="10">
        <v>0</v>
      </c>
      <c r="J175" s="40">
        <v>0</v>
      </c>
      <c r="K175" s="40">
        <v>0</v>
      </c>
      <c r="L175" s="40">
        <v>0</v>
      </c>
      <c r="M175" s="40">
        <v>0</v>
      </c>
      <c r="N175" s="40">
        <v>0</v>
      </c>
      <c r="O175" s="40">
        <v>0</v>
      </c>
      <c r="P175" s="40">
        <v>1</v>
      </c>
      <c r="Q175" s="40">
        <v>0</v>
      </c>
      <c r="R175" s="40">
        <v>0</v>
      </c>
      <c r="S175" s="40">
        <v>0</v>
      </c>
      <c r="T175" s="29" t="str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9" t="str" cm="1">
        <f t="array" aca="1" ref="U175" ca="1">z_score_diff(OFFSET(T175,0,0,$I$5*-1,1),OFFSET(E175,0,0,$I$5*-1,1))</f>
        <v/>
      </c>
      <c r="V175" s="9" t="str">
        <f t="shared" ca="1" si="23"/>
        <v/>
      </c>
      <c r="W175" s="17">
        <f t="shared" ca="1" si="20"/>
        <v>-0.12836320793528724</v>
      </c>
      <c r="X175" s="13">
        <f t="shared" ca="1" si="21"/>
        <v>0</v>
      </c>
      <c r="Y175" s="13">
        <f t="shared" ca="1" si="22"/>
        <v>0</v>
      </c>
      <c r="Z175" t="str">
        <f t="shared" ca="1" si="24"/>
        <v/>
      </c>
      <c r="AA175" t="str">
        <f t="shared" ca="1" si="25"/>
        <v/>
      </c>
      <c r="AB175" s="24" t="str">
        <f t="shared" ca="1" si="26"/>
        <v/>
      </c>
      <c r="AC175" s="24" t="str">
        <f t="shared" ca="1" si="27"/>
        <v/>
      </c>
    </row>
    <row r="176" spans="3:29" x14ac:dyDescent="0.25">
      <c r="C176" s="6">
        <v>169</v>
      </c>
      <c r="D176" s="37">
        <v>42247</v>
      </c>
      <c r="E176" s="39">
        <v>20.178000000000001</v>
      </c>
      <c r="F176" s="39">
        <v>2.8244811818501585</v>
      </c>
      <c r="G176" s="39">
        <v>61.851860343732341</v>
      </c>
      <c r="H176" s="39">
        <v>45.858248329229689</v>
      </c>
      <c r="I176" s="10">
        <v>0</v>
      </c>
      <c r="J176" s="40">
        <v>0</v>
      </c>
      <c r="K176" s="40">
        <v>0</v>
      </c>
      <c r="L176" s="40">
        <v>0</v>
      </c>
      <c r="M176" s="40">
        <v>0</v>
      </c>
      <c r="N176" s="40">
        <v>0</v>
      </c>
      <c r="O176" s="40">
        <v>0</v>
      </c>
      <c r="P176" s="40">
        <v>1</v>
      </c>
      <c r="Q176" s="40">
        <v>0</v>
      </c>
      <c r="R176" s="40">
        <v>0</v>
      </c>
      <c r="S176" s="40">
        <v>0</v>
      </c>
      <c r="T176" s="29" t="str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9" t="str" cm="1">
        <f t="array" aca="1" ref="U176" ca="1">z_score_diff(OFFSET(T176,0,0,$I$5*-1,1),OFFSET(E176,0,0,$I$5*-1,1))</f>
        <v/>
      </c>
      <c r="V176" s="9" t="str">
        <f t="shared" ca="1" si="23"/>
        <v/>
      </c>
      <c r="W176" s="17">
        <f t="shared" ca="1" si="20"/>
        <v>-0.10114040455149258</v>
      </c>
      <c r="X176" s="13">
        <f t="shared" ca="1" si="21"/>
        <v>0</v>
      </c>
      <c r="Y176" s="13">
        <f t="shared" ca="1" si="22"/>
        <v>0</v>
      </c>
      <c r="Z176" t="str">
        <f t="shared" ca="1" si="24"/>
        <v/>
      </c>
      <c r="AA176" t="str">
        <f t="shared" ca="1" si="25"/>
        <v/>
      </c>
      <c r="AB176" s="24" t="str">
        <f t="shared" ca="1" si="26"/>
        <v/>
      </c>
      <c r="AC176" s="24" t="str">
        <f t="shared" ca="1" si="27"/>
        <v/>
      </c>
    </row>
    <row r="177" spans="3:29" x14ac:dyDescent="0.25">
      <c r="C177" s="6">
        <v>170</v>
      </c>
      <c r="D177" s="37">
        <v>42248</v>
      </c>
      <c r="E177" s="39">
        <v>20.417999999999999</v>
      </c>
      <c r="F177" s="39">
        <v>2.8056112224448899</v>
      </c>
      <c r="G177" s="39">
        <v>61.984599057514515</v>
      </c>
      <c r="H177" s="39">
        <v>45.177311144027186</v>
      </c>
      <c r="I177" s="10">
        <v>0</v>
      </c>
      <c r="J177" s="40">
        <v>0</v>
      </c>
      <c r="K177" s="40">
        <v>0</v>
      </c>
      <c r="L177" s="40">
        <v>0</v>
      </c>
      <c r="M177" s="40">
        <v>0</v>
      </c>
      <c r="N177" s="40">
        <v>0</v>
      </c>
      <c r="O177" s="40">
        <v>0</v>
      </c>
      <c r="P177" s="40">
        <v>0</v>
      </c>
      <c r="Q177" s="40">
        <v>1</v>
      </c>
      <c r="R177" s="40">
        <v>0</v>
      </c>
      <c r="S177" s="40">
        <v>0</v>
      </c>
      <c r="T177" s="29" t="str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9" t="str" cm="1">
        <f t="array" aca="1" ref="U177" ca="1">z_score_diff(OFFSET(T177,0,0,$I$5*-1,1),OFFSET(E177,0,0,$I$5*-1,1))</f>
        <v/>
      </c>
      <c r="V177" s="9" t="str">
        <f t="shared" ca="1" si="23"/>
        <v/>
      </c>
      <c r="W177" s="17">
        <f t="shared" ca="1" si="20"/>
        <v>-0.125989552838256</v>
      </c>
      <c r="X177" s="13">
        <f t="shared" ca="1" si="21"/>
        <v>0</v>
      </c>
      <c r="Y177" s="13">
        <f t="shared" ca="1" si="22"/>
        <v>0</v>
      </c>
      <c r="Z177" t="str">
        <f t="shared" ca="1" si="24"/>
        <v/>
      </c>
      <c r="AA177" t="str">
        <f t="shared" ca="1" si="25"/>
        <v/>
      </c>
      <c r="AB177" s="24" t="str">
        <f t="shared" ca="1" si="26"/>
        <v/>
      </c>
      <c r="AC177" s="24" t="str">
        <f t="shared" ca="1" si="27"/>
        <v/>
      </c>
    </row>
    <row r="178" spans="3:29" x14ac:dyDescent="0.25">
      <c r="C178" s="6">
        <v>171</v>
      </c>
      <c r="D178" s="37">
        <v>42249</v>
      </c>
      <c r="E178" s="39">
        <v>20.437999999999999</v>
      </c>
      <c r="F178" s="39">
        <v>2.8097607576519885</v>
      </c>
      <c r="G178" s="39">
        <v>62.452824613665491</v>
      </c>
      <c r="H178" s="39">
        <v>45.263489705299996</v>
      </c>
      <c r="I178" s="10">
        <v>0</v>
      </c>
      <c r="J178" s="40">
        <v>0</v>
      </c>
      <c r="K178" s="40">
        <v>0</v>
      </c>
      <c r="L178" s="40">
        <v>0</v>
      </c>
      <c r="M178" s="40">
        <v>0</v>
      </c>
      <c r="N178" s="40">
        <v>0</v>
      </c>
      <c r="O178" s="40">
        <v>0</v>
      </c>
      <c r="P178" s="40">
        <v>0</v>
      </c>
      <c r="Q178" s="40">
        <v>1</v>
      </c>
      <c r="R178" s="40">
        <v>0</v>
      </c>
      <c r="S178" s="40">
        <v>0</v>
      </c>
      <c r="T178" s="29" t="str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9" t="str" cm="1">
        <f t="array" aca="1" ref="U178" ca="1">z_score_diff(OFFSET(T178,0,0,$I$5*-1,1),OFFSET(E178,0,0,$I$5*-1,1))</f>
        <v/>
      </c>
      <c r="V178" s="9" t="str">
        <f t="shared" ca="1" si="23"/>
        <v/>
      </c>
      <c r="W178" s="17">
        <f t="shared" ca="1" si="20"/>
        <v>-0.13365721659695137</v>
      </c>
      <c r="X178" s="13">
        <f t="shared" ca="1" si="21"/>
        <v>0</v>
      </c>
      <c r="Y178" s="13">
        <f t="shared" ca="1" si="22"/>
        <v>0</v>
      </c>
      <c r="Z178" t="str">
        <f t="shared" ca="1" si="24"/>
        <v/>
      </c>
      <c r="AA178" t="str">
        <f t="shared" ca="1" si="25"/>
        <v/>
      </c>
      <c r="AB178" s="24" t="str">
        <f t="shared" ca="1" si="26"/>
        <v/>
      </c>
      <c r="AC178" s="24" t="str">
        <f t="shared" ca="1" si="27"/>
        <v/>
      </c>
    </row>
    <row r="179" spans="3:29" x14ac:dyDescent="0.25">
      <c r="C179" s="6">
        <v>172</v>
      </c>
      <c r="D179" s="37">
        <v>42250</v>
      </c>
      <c r="E179" s="39">
        <v>20.681999999999999</v>
      </c>
      <c r="F179" s="39">
        <v>2.8546114999557011</v>
      </c>
      <c r="G179" s="39">
        <v>62.978194661102222</v>
      </c>
      <c r="H179" s="39">
        <v>46.159298307787722</v>
      </c>
      <c r="I179" s="10">
        <v>0</v>
      </c>
      <c r="J179" s="40">
        <v>0</v>
      </c>
      <c r="K179" s="40">
        <v>0</v>
      </c>
      <c r="L179" s="40">
        <v>0</v>
      </c>
      <c r="M179" s="40">
        <v>0</v>
      </c>
      <c r="N179" s="40">
        <v>0</v>
      </c>
      <c r="O179" s="40">
        <v>0</v>
      </c>
      <c r="P179" s="40">
        <v>0</v>
      </c>
      <c r="Q179" s="40">
        <v>1</v>
      </c>
      <c r="R179" s="40">
        <v>0</v>
      </c>
      <c r="S179" s="40">
        <v>0</v>
      </c>
      <c r="T179" s="29" t="str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9" t="str" cm="1">
        <f t="array" aca="1" ref="U179" ca="1">z_score_diff(OFFSET(T179,0,0,$I$5*-1,1),OFFSET(E179,0,0,$I$5*-1,1))</f>
        <v/>
      </c>
      <c r="V179" s="9" t="str">
        <f t="shared" ca="1" si="23"/>
        <v/>
      </c>
      <c r="W179" s="17">
        <f t="shared" ca="1" si="20"/>
        <v>-0.14172935368677866</v>
      </c>
      <c r="X179" s="13">
        <f t="shared" ca="1" si="21"/>
        <v>0</v>
      </c>
      <c r="Y179" s="13">
        <f t="shared" ca="1" si="22"/>
        <v>0</v>
      </c>
      <c r="Z179" t="str">
        <f t="shared" ca="1" si="24"/>
        <v/>
      </c>
      <c r="AA179" t="str">
        <f t="shared" ca="1" si="25"/>
        <v/>
      </c>
      <c r="AB179" s="24" t="str">
        <f t="shared" ca="1" si="26"/>
        <v/>
      </c>
      <c r="AC179" s="24" t="str">
        <f t="shared" ca="1" si="27"/>
        <v/>
      </c>
    </row>
    <row r="180" spans="3:29" x14ac:dyDescent="0.25">
      <c r="C180" s="6">
        <v>173</v>
      </c>
      <c r="D180" s="37">
        <v>42251</v>
      </c>
      <c r="E180" s="39">
        <v>20.497</v>
      </c>
      <c r="F180" s="39">
        <v>2.8474745234103587</v>
      </c>
      <c r="G180" s="39">
        <v>62.346031213290821</v>
      </c>
      <c r="H180" s="39">
        <v>45.381072866890733</v>
      </c>
      <c r="I180" s="10">
        <v>0</v>
      </c>
      <c r="J180" s="40">
        <v>0</v>
      </c>
      <c r="K180" s="40">
        <v>0</v>
      </c>
      <c r="L180" s="40">
        <v>0</v>
      </c>
      <c r="M180" s="40">
        <v>0</v>
      </c>
      <c r="N180" s="40">
        <v>0</v>
      </c>
      <c r="O180" s="40">
        <v>0</v>
      </c>
      <c r="P180" s="40">
        <v>0</v>
      </c>
      <c r="Q180" s="40">
        <v>1</v>
      </c>
      <c r="R180" s="40">
        <v>0</v>
      </c>
      <c r="S180" s="40">
        <v>0</v>
      </c>
      <c r="T180" s="29" t="str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9" t="str" cm="1">
        <f t="array" aca="1" ref="U180" ca="1">z_score_diff(OFFSET(T180,0,0,$I$5*-1,1),OFFSET(E180,0,0,$I$5*-1,1))</f>
        <v/>
      </c>
      <c r="V180" s="9" t="str">
        <f t="shared" ca="1" si="23"/>
        <v/>
      </c>
      <c r="W180" s="17">
        <f t="shared" ca="1" si="20"/>
        <v>-0.1295179627846226</v>
      </c>
      <c r="X180" s="13">
        <f t="shared" ca="1" si="21"/>
        <v>0</v>
      </c>
      <c r="Y180" s="13">
        <f t="shared" ca="1" si="22"/>
        <v>0</v>
      </c>
      <c r="Z180" t="str">
        <f t="shared" ca="1" si="24"/>
        <v/>
      </c>
      <c r="AA180" t="str">
        <f t="shared" ca="1" si="25"/>
        <v/>
      </c>
      <c r="AB180" s="24" t="str">
        <f t="shared" ca="1" si="26"/>
        <v/>
      </c>
      <c r="AC180" s="24" t="str">
        <f t="shared" ca="1" si="27"/>
        <v/>
      </c>
    </row>
    <row r="181" spans="3:29" x14ac:dyDescent="0.25">
      <c r="C181" s="6">
        <v>174</v>
      </c>
      <c r="D181" s="37">
        <v>42254</v>
      </c>
      <c r="E181" s="39">
        <v>20.399000000000001</v>
      </c>
      <c r="F181" s="39">
        <v>2.8439106154127245</v>
      </c>
      <c r="G181" s="39">
        <v>62.247045491338838</v>
      </c>
      <c r="H181" s="39">
        <v>44.088558423297826</v>
      </c>
      <c r="I181" s="10">
        <v>0</v>
      </c>
      <c r="J181" s="40">
        <v>0</v>
      </c>
      <c r="K181" s="40">
        <v>0</v>
      </c>
      <c r="L181" s="40">
        <v>0</v>
      </c>
      <c r="M181" s="40">
        <v>0</v>
      </c>
      <c r="N181" s="40">
        <v>0</v>
      </c>
      <c r="O181" s="40">
        <v>0</v>
      </c>
      <c r="P181" s="40">
        <v>0</v>
      </c>
      <c r="Q181" s="40">
        <v>1</v>
      </c>
      <c r="R181" s="40">
        <v>0</v>
      </c>
      <c r="S181" s="40">
        <v>0</v>
      </c>
      <c r="T181" s="29" t="str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9" t="str" cm="1">
        <f t="array" aca="1" ref="U181" ca="1">z_score_diff(OFFSET(T181,0,0,$I$5*-1,1),OFFSET(E181,0,0,$I$5*-1,1))</f>
        <v/>
      </c>
      <c r="V181" s="9" t="str">
        <f t="shared" ca="1" si="23"/>
        <v/>
      </c>
      <c r="W181" s="17">
        <f t="shared" ca="1" si="20"/>
        <v>-0.13443520657045124</v>
      </c>
      <c r="X181" s="13">
        <f t="shared" ca="1" si="21"/>
        <v>0</v>
      </c>
      <c r="Y181" s="13">
        <f t="shared" ca="1" si="22"/>
        <v>0</v>
      </c>
      <c r="Z181" t="str">
        <f t="shared" ca="1" si="24"/>
        <v/>
      </c>
      <c r="AA181" t="str">
        <f t="shared" ca="1" si="25"/>
        <v/>
      </c>
      <c r="AB181" s="24" t="str">
        <f t="shared" ca="1" si="26"/>
        <v/>
      </c>
      <c r="AC181" s="24" t="str">
        <f t="shared" ca="1" si="27"/>
        <v/>
      </c>
    </row>
    <row r="182" spans="3:29" x14ac:dyDescent="0.25">
      <c r="C182" s="6">
        <v>175</v>
      </c>
      <c r="D182" s="37">
        <v>42255</v>
      </c>
      <c r="E182" s="39">
        <v>20.37</v>
      </c>
      <c r="F182" s="39">
        <v>2.852911482353107</v>
      </c>
      <c r="G182" s="39">
        <v>62.081188925853262</v>
      </c>
      <c r="H182" s="39">
        <v>44.587734943064895</v>
      </c>
      <c r="I182" s="10">
        <v>0</v>
      </c>
      <c r="J182" s="40">
        <v>0</v>
      </c>
      <c r="K182" s="40">
        <v>0</v>
      </c>
      <c r="L182" s="40">
        <v>0</v>
      </c>
      <c r="M182" s="40">
        <v>0</v>
      </c>
      <c r="N182" s="40">
        <v>0</v>
      </c>
      <c r="O182" s="40">
        <v>0</v>
      </c>
      <c r="P182" s="40">
        <v>0</v>
      </c>
      <c r="Q182" s="40">
        <v>1</v>
      </c>
      <c r="R182" s="40">
        <v>0</v>
      </c>
      <c r="S182" s="40">
        <v>0</v>
      </c>
      <c r="T182" s="29" t="str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9" t="str" cm="1">
        <f t="array" aca="1" ref="U182" ca="1">z_score_diff(OFFSET(T182,0,0,$I$5*-1,1),OFFSET(E182,0,0,$I$5*-1,1))</f>
        <v/>
      </c>
      <c r="V182" s="9" t="str">
        <f t="shared" ca="1" si="23"/>
        <v/>
      </c>
      <c r="W182" s="17">
        <f t="shared" ca="1" si="20"/>
        <v>-0.13908715782052322</v>
      </c>
      <c r="X182" s="13">
        <f t="shared" ca="1" si="21"/>
        <v>0</v>
      </c>
      <c r="Y182" s="13">
        <f t="shared" ca="1" si="22"/>
        <v>0</v>
      </c>
      <c r="Z182" t="str">
        <f t="shared" ca="1" si="24"/>
        <v/>
      </c>
      <c r="AA182" t="str">
        <f t="shared" ca="1" si="25"/>
        <v/>
      </c>
      <c r="AB182" s="24" t="str">
        <f t="shared" ca="1" si="26"/>
        <v/>
      </c>
      <c r="AC182" s="24" t="str">
        <f t="shared" ca="1" si="27"/>
        <v/>
      </c>
    </row>
    <row r="183" spans="3:29" x14ac:dyDescent="0.25">
      <c r="C183" s="6">
        <v>176</v>
      </c>
      <c r="D183" s="37">
        <v>42256</v>
      </c>
      <c r="E183" s="39">
        <v>20.422000000000001</v>
      </c>
      <c r="F183" s="39">
        <v>2.8417980767540394</v>
      </c>
      <c r="G183" s="39">
        <v>62.058868813358799</v>
      </c>
      <c r="H183" s="39">
        <v>44.213561169417929</v>
      </c>
      <c r="I183" s="10">
        <v>0</v>
      </c>
      <c r="J183" s="40">
        <v>0</v>
      </c>
      <c r="K183" s="40">
        <v>0</v>
      </c>
      <c r="L183" s="40">
        <v>0</v>
      </c>
      <c r="M183" s="40">
        <v>0</v>
      </c>
      <c r="N183" s="40">
        <v>0</v>
      </c>
      <c r="O183" s="40">
        <v>0</v>
      </c>
      <c r="P183" s="40">
        <v>0</v>
      </c>
      <c r="Q183" s="40">
        <v>1</v>
      </c>
      <c r="R183" s="40">
        <v>0</v>
      </c>
      <c r="S183" s="40">
        <v>0</v>
      </c>
      <c r="T183" s="29" t="str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9" t="str" cm="1">
        <f t="array" aca="1" ref="U183" ca="1">z_score_diff(OFFSET(T183,0,0,$I$5*-1,1),OFFSET(E183,0,0,$I$5*-1,1))</f>
        <v/>
      </c>
      <c r="V183" s="9" t="str">
        <f t="shared" ca="1" si="23"/>
        <v/>
      </c>
      <c r="W183" s="17">
        <f t="shared" ca="1" si="20"/>
        <v>-0.14079077425191294</v>
      </c>
      <c r="X183" s="13">
        <f t="shared" ca="1" si="21"/>
        <v>0</v>
      </c>
      <c r="Y183" s="13">
        <f t="shared" ca="1" si="22"/>
        <v>0</v>
      </c>
      <c r="Z183" t="str">
        <f t="shared" ca="1" si="24"/>
        <v/>
      </c>
      <c r="AA183" t="str">
        <f t="shared" ca="1" si="25"/>
        <v/>
      </c>
      <c r="AB183" s="24" t="str">
        <f t="shared" ca="1" si="26"/>
        <v/>
      </c>
      <c r="AC183" s="24" t="str">
        <f t="shared" ca="1" si="27"/>
        <v/>
      </c>
    </row>
    <row r="184" spans="3:29" x14ac:dyDescent="0.25">
      <c r="C184" s="6">
        <v>177</v>
      </c>
      <c r="D184" s="37">
        <v>42257</v>
      </c>
      <c r="E184" s="39">
        <v>20.454999999999998</v>
      </c>
      <c r="F184" s="39">
        <v>2.8308118139213039</v>
      </c>
      <c r="G184" s="39">
        <v>61.990916636861179</v>
      </c>
      <c r="H184" s="39">
        <v>44.253277276269763</v>
      </c>
      <c r="I184" s="10">
        <v>0</v>
      </c>
      <c r="J184" s="40">
        <v>0</v>
      </c>
      <c r="K184" s="40">
        <v>0</v>
      </c>
      <c r="L184" s="40">
        <v>0</v>
      </c>
      <c r="M184" s="40">
        <v>0</v>
      </c>
      <c r="N184" s="40">
        <v>0</v>
      </c>
      <c r="O184" s="40">
        <v>0</v>
      </c>
      <c r="P184" s="40">
        <v>0</v>
      </c>
      <c r="Q184" s="40">
        <v>1</v>
      </c>
      <c r="R184" s="40">
        <v>0</v>
      </c>
      <c r="S184" s="40">
        <v>0</v>
      </c>
      <c r="T184" s="29" t="str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9" t="str" cm="1">
        <f t="array" aca="1" ref="U184" ca="1">z_score_diff(OFFSET(T184,0,0,$I$5*-1,1),OFFSET(E184,0,0,$I$5*-1,1))</f>
        <v/>
      </c>
      <c r="V184" s="9" t="str">
        <f t="shared" ca="1" si="23"/>
        <v/>
      </c>
      <c r="W184" s="17">
        <f t="shared" ca="1" si="20"/>
        <v>-0.14127861381733775</v>
      </c>
      <c r="X184" s="13">
        <f t="shared" ca="1" si="21"/>
        <v>0</v>
      </c>
      <c r="Y184" s="13">
        <f t="shared" ca="1" si="22"/>
        <v>0</v>
      </c>
      <c r="Z184" t="str">
        <f t="shared" ca="1" si="24"/>
        <v/>
      </c>
      <c r="AA184" t="str">
        <f t="shared" ca="1" si="25"/>
        <v/>
      </c>
      <c r="AB184" s="24" t="str">
        <f t="shared" ca="1" si="26"/>
        <v/>
      </c>
      <c r="AC184" s="24" t="str">
        <f t="shared" ca="1" si="27"/>
        <v/>
      </c>
    </row>
    <row r="185" spans="3:29" x14ac:dyDescent="0.25">
      <c r="C185" s="6">
        <v>178</v>
      </c>
      <c r="D185" s="37">
        <v>42258</v>
      </c>
      <c r="E185" s="39">
        <v>20.312999999999999</v>
      </c>
      <c r="F185" s="39">
        <v>2.8007163855377715</v>
      </c>
      <c r="G185" s="39">
        <v>61.728229428842816</v>
      </c>
      <c r="H185" s="39">
        <v>43.92684247252074</v>
      </c>
      <c r="I185" s="10">
        <v>0</v>
      </c>
      <c r="J185" s="40">
        <v>0</v>
      </c>
      <c r="K185" s="40">
        <v>0</v>
      </c>
      <c r="L185" s="40">
        <v>0</v>
      </c>
      <c r="M185" s="40">
        <v>0</v>
      </c>
      <c r="N185" s="40">
        <v>0</v>
      </c>
      <c r="O185" s="40">
        <v>0</v>
      </c>
      <c r="P185" s="40">
        <v>0</v>
      </c>
      <c r="Q185" s="40">
        <v>1</v>
      </c>
      <c r="R185" s="40">
        <v>0</v>
      </c>
      <c r="S185" s="40">
        <v>0</v>
      </c>
      <c r="T185" s="29" t="str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9" t="str" cm="1">
        <f t="array" aca="1" ref="U185" ca="1">z_score_diff(OFFSET(T185,0,0,$I$5*-1,1),OFFSET(E185,0,0,$I$5*-1,1))</f>
        <v/>
      </c>
      <c r="V185" s="9" t="str">
        <f t="shared" ca="1" si="23"/>
        <v/>
      </c>
      <c r="W185" s="17">
        <f t="shared" ca="1" si="20"/>
        <v>-0.14820341852216784</v>
      </c>
      <c r="X185" s="13">
        <f t="shared" ca="1" si="21"/>
        <v>0</v>
      </c>
      <c r="Y185" s="13">
        <f t="shared" ca="1" si="22"/>
        <v>0</v>
      </c>
      <c r="Z185" t="str">
        <f t="shared" ca="1" si="24"/>
        <v/>
      </c>
      <c r="AA185" t="str">
        <f t="shared" ca="1" si="25"/>
        <v/>
      </c>
      <c r="AB185" s="24" t="str">
        <f t="shared" ca="1" si="26"/>
        <v/>
      </c>
      <c r="AC185" s="24" t="str">
        <f t="shared" ca="1" si="27"/>
        <v/>
      </c>
    </row>
    <row r="186" spans="3:29" x14ac:dyDescent="0.25">
      <c r="C186" s="6">
        <v>179</v>
      </c>
      <c r="D186" s="37">
        <v>42261</v>
      </c>
      <c r="E186" s="39">
        <v>20.190999999999999</v>
      </c>
      <c r="F186" s="39">
        <v>2.8290389972144845</v>
      </c>
      <c r="G186" s="39">
        <v>61.420711079872412</v>
      </c>
      <c r="H186" s="39">
        <v>43.828342618384397</v>
      </c>
      <c r="I186" s="10">
        <v>0</v>
      </c>
      <c r="J186" s="40">
        <v>0</v>
      </c>
      <c r="K186" s="40">
        <v>0</v>
      </c>
      <c r="L186" s="40">
        <v>0</v>
      </c>
      <c r="M186" s="40">
        <v>0</v>
      </c>
      <c r="N186" s="40">
        <v>0</v>
      </c>
      <c r="O186" s="40">
        <v>0</v>
      </c>
      <c r="P186" s="40">
        <v>0</v>
      </c>
      <c r="Q186" s="40">
        <v>1</v>
      </c>
      <c r="R186" s="40">
        <v>0</v>
      </c>
      <c r="S186" s="40">
        <v>0</v>
      </c>
      <c r="T186" s="29" t="str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9" t="str" cm="1">
        <f t="array" aca="1" ref="U186" ca="1">z_score_diff(OFFSET(T186,0,0,$I$5*-1,1),OFFSET(E186,0,0,$I$5*-1,1))</f>
        <v/>
      </c>
      <c r="V186" s="9" t="str">
        <f t="shared" ca="1" si="23"/>
        <v/>
      </c>
      <c r="W186" s="17">
        <f t="shared" ca="1" si="20"/>
        <v>-0.14945664744169132</v>
      </c>
      <c r="X186" s="13">
        <f t="shared" ca="1" si="21"/>
        <v>0</v>
      </c>
      <c r="Y186" s="13">
        <f t="shared" ca="1" si="22"/>
        <v>0</v>
      </c>
      <c r="Z186" t="str">
        <f t="shared" ca="1" si="24"/>
        <v/>
      </c>
      <c r="AA186" t="str">
        <f t="shared" ca="1" si="25"/>
        <v/>
      </c>
      <c r="AB186" s="24" t="str">
        <f t="shared" ca="1" si="26"/>
        <v/>
      </c>
      <c r="AC186" s="24" t="str">
        <f t="shared" ca="1" si="27"/>
        <v/>
      </c>
    </row>
    <row r="187" spans="3:29" x14ac:dyDescent="0.25">
      <c r="C187" s="6">
        <v>180</v>
      </c>
      <c r="D187" s="37">
        <v>42262</v>
      </c>
      <c r="E187" s="39">
        <v>20.074999999999999</v>
      </c>
      <c r="F187" s="39">
        <v>2.8361571162911763</v>
      </c>
      <c r="G187" s="39">
        <v>60.994659447602118</v>
      </c>
      <c r="H187" s="39">
        <v>43.673500404853343</v>
      </c>
      <c r="I187" s="10">
        <v>0</v>
      </c>
      <c r="J187" s="40">
        <v>0</v>
      </c>
      <c r="K187" s="40">
        <v>0</v>
      </c>
      <c r="L187" s="40">
        <v>0</v>
      </c>
      <c r="M187" s="40">
        <v>0</v>
      </c>
      <c r="N187" s="40">
        <v>0</v>
      </c>
      <c r="O187" s="40">
        <v>0</v>
      </c>
      <c r="P187" s="40">
        <v>0</v>
      </c>
      <c r="Q187" s="40">
        <v>1</v>
      </c>
      <c r="R187" s="40">
        <v>0</v>
      </c>
      <c r="S187" s="40">
        <v>0</v>
      </c>
      <c r="T187" s="29" t="str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9" t="str" cm="1">
        <f t="array" aca="1" ref="U187" ca="1">z_score_diff(OFFSET(T187,0,0,$I$5*-1,1),OFFSET(E187,0,0,$I$5*-1,1))</f>
        <v/>
      </c>
      <c r="V187" s="9" t="str">
        <f t="shared" ca="1" si="23"/>
        <v/>
      </c>
      <c r="W187" s="17">
        <f t="shared" ca="1" si="20"/>
        <v>-0.13836068300377841</v>
      </c>
      <c r="X187" s="13">
        <f t="shared" ca="1" si="21"/>
        <v>0</v>
      </c>
      <c r="Y187" s="13">
        <f t="shared" ca="1" si="22"/>
        <v>0</v>
      </c>
      <c r="Z187" t="str">
        <f t="shared" ca="1" si="24"/>
        <v/>
      </c>
      <c r="AA187" t="str">
        <f t="shared" ca="1" si="25"/>
        <v/>
      </c>
      <c r="AB187" s="24" t="str">
        <f t="shared" ca="1" si="26"/>
        <v/>
      </c>
      <c r="AC187" s="24" t="str">
        <f t="shared" ca="1" si="27"/>
        <v/>
      </c>
    </row>
    <row r="188" spans="3:29" x14ac:dyDescent="0.25">
      <c r="C188" s="6">
        <v>181</v>
      </c>
      <c r="D188" s="37">
        <v>42263</v>
      </c>
      <c r="E188" s="39">
        <v>20.277000000000001</v>
      </c>
      <c r="F188" s="39">
        <v>2.7954460466709605</v>
      </c>
      <c r="G188" s="39">
        <v>61.858261077533612</v>
      </c>
      <c r="H188" s="39">
        <v>44.06292412198848</v>
      </c>
      <c r="I188" s="10">
        <v>0</v>
      </c>
      <c r="J188" s="40">
        <v>0</v>
      </c>
      <c r="K188" s="40">
        <v>0</v>
      </c>
      <c r="L188" s="40">
        <v>0</v>
      </c>
      <c r="M188" s="40">
        <v>0</v>
      </c>
      <c r="N188" s="40">
        <v>0</v>
      </c>
      <c r="O188" s="40">
        <v>0</v>
      </c>
      <c r="P188" s="40">
        <v>0</v>
      </c>
      <c r="Q188" s="40">
        <v>1</v>
      </c>
      <c r="R188" s="40">
        <v>0</v>
      </c>
      <c r="S188" s="40">
        <v>0</v>
      </c>
      <c r="T188" s="29" t="str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9" t="str" cm="1">
        <f t="array" aca="1" ref="U188" ca="1">z_score_diff(OFFSET(T188,0,0,$I$5*-1,1),OFFSET(E188,0,0,$I$5*-1,1))</f>
        <v/>
      </c>
      <c r="V188" s="9" t="str">
        <f t="shared" ca="1" si="23"/>
        <v/>
      </c>
      <c r="W188" s="17">
        <f t="shared" ca="1" si="20"/>
        <v>-0.1492883605275315</v>
      </c>
      <c r="X188" s="13">
        <f t="shared" ca="1" si="21"/>
        <v>0</v>
      </c>
      <c r="Y188" s="13">
        <f t="shared" ca="1" si="22"/>
        <v>0</v>
      </c>
      <c r="Z188" t="str">
        <f t="shared" ca="1" si="24"/>
        <v/>
      </c>
      <c r="AA188" t="str">
        <f t="shared" ca="1" si="25"/>
        <v/>
      </c>
      <c r="AB188" s="24" t="str">
        <f t="shared" ca="1" si="26"/>
        <v/>
      </c>
      <c r="AC188" s="24" t="str">
        <f t="shared" ca="1" si="27"/>
        <v/>
      </c>
    </row>
    <row r="189" spans="3:29" x14ac:dyDescent="0.25">
      <c r="C189" s="6">
        <v>182</v>
      </c>
      <c r="D189" s="37">
        <v>42264</v>
      </c>
      <c r="E189" s="39">
        <v>20.119</v>
      </c>
      <c r="F189" s="39">
        <v>2.7524359748210747</v>
      </c>
      <c r="G189" s="39">
        <v>61.038377141476701</v>
      </c>
      <c r="H189" s="39">
        <v>43.416400793308618</v>
      </c>
      <c r="I189" s="10">
        <v>0</v>
      </c>
      <c r="J189" s="40">
        <v>0</v>
      </c>
      <c r="K189" s="40">
        <v>0</v>
      </c>
      <c r="L189" s="40">
        <v>0</v>
      </c>
      <c r="M189" s="40">
        <v>0</v>
      </c>
      <c r="N189" s="40">
        <v>0</v>
      </c>
      <c r="O189" s="40">
        <v>0</v>
      </c>
      <c r="P189" s="40">
        <v>0</v>
      </c>
      <c r="Q189" s="40">
        <v>1</v>
      </c>
      <c r="R189" s="40">
        <v>0</v>
      </c>
      <c r="S189" s="40">
        <v>0</v>
      </c>
      <c r="T189" s="29" t="str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9" t="str" cm="1">
        <f t="array" aca="1" ref="U189" ca="1">z_score_diff(OFFSET(T189,0,0,$I$5*-1,1),OFFSET(E189,0,0,$I$5*-1,1))</f>
        <v/>
      </c>
      <c r="V189" s="9" t="str">
        <f t="shared" ca="1" si="23"/>
        <v/>
      </c>
      <c r="W189" s="17">
        <f t="shared" ca="1" si="20"/>
        <v>-0.1610084765568674</v>
      </c>
      <c r="X189" s="13">
        <f t="shared" ca="1" si="21"/>
        <v>0</v>
      </c>
      <c r="Y189" s="13">
        <f t="shared" ca="1" si="22"/>
        <v>0</v>
      </c>
      <c r="Z189" t="str">
        <f t="shared" ca="1" si="24"/>
        <v/>
      </c>
      <c r="AA189" t="str">
        <f t="shared" ca="1" si="25"/>
        <v/>
      </c>
      <c r="AB189" s="24" t="str">
        <f t="shared" ca="1" si="26"/>
        <v/>
      </c>
      <c r="AC189" s="24" t="str">
        <f t="shared" ca="1" si="27"/>
        <v/>
      </c>
    </row>
    <row r="190" spans="3:29" x14ac:dyDescent="0.25">
      <c r="C190" s="6">
        <v>183</v>
      </c>
      <c r="D190" s="37">
        <v>42265</v>
      </c>
      <c r="E190" s="39">
        <v>19.986000000000001</v>
      </c>
      <c r="F190" s="39">
        <v>2.7527012896479608</v>
      </c>
      <c r="G190" s="39">
        <v>61.203520319270922</v>
      </c>
      <c r="H190" s="39">
        <v>43.394911118856747</v>
      </c>
      <c r="I190" s="10">
        <v>0</v>
      </c>
      <c r="J190" s="40">
        <v>0</v>
      </c>
      <c r="K190" s="40">
        <v>0</v>
      </c>
      <c r="L190" s="40">
        <v>0</v>
      </c>
      <c r="M190" s="40">
        <v>0</v>
      </c>
      <c r="N190" s="40">
        <v>0</v>
      </c>
      <c r="O190" s="40">
        <v>0</v>
      </c>
      <c r="P190" s="40">
        <v>0</v>
      </c>
      <c r="Q190" s="40">
        <v>1</v>
      </c>
      <c r="R190" s="40">
        <v>0</v>
      </c>
      <c r="S190" s="40">
        <v>0</v>
      </c>
      <c r="T190" s="29" t="str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9" t="str" cm="1">
        <f t="array" aca="1" ref="U190" ca="1">z_score_diff(OFFSET(T190,0,0,$I$5*-1,1),OFFSET(E190,0,0,$I$5*-1,1))</f>
        <v/>
      </c>
      <c r="V190" s="9" t="str">
        <f t="shared" ca="1" si="23"/>
        <v/>
      </c>
      <c r="W190" s="17">
        <f t="shared" ca="1" si="20"/>
        <v>-0.16193633836316301</v>
      </c>
      <c r="X190" s="13">
        <f t="shared" ca="1" si="21"/>
        <v>0</v>
      </c>
      <c r="Y190" s="13">
        <f t="shared" ca="1" si="22"/>
        <v>0</v>
      </c>
      <c r="Z190" t="str">
        <f t="shared" ca="1" si="24"/>
        <v/>
      </c>
      <c r="AA190" t="str">
        <f t="shared" ca="1" si="25"/>
        <v/>
      </c>
      <c r="AB190" s="24" t="str">
        <f t="shared" ca="1" si="26"/>
        <v/>
      </c>
      <c r="AC190" s="24" t="str">
        <f t="shared" ca="1" si="27"/>
        <v/>
      </c>
    </row>
    <row r="191" spans="3:29" x14ac:dyDescent="0.25">
      <c r="C191" s="6">
        <v>184</v>
      </c>
      <c r="D191" s="37">
        <v>42268</v>
      </c>
      <c r="E191" s="39">
        <v>19.827000000000002</v>
      </c>
      <c r="F191" s="39">
        <v>2.7676056338028174</v>
      </c>
      <c r="G191" s="39">
        <v>61.066765602920078</v>
      </c>
      <c r="H191" s="39">
        <v>43.661971830985919</v>
      </c>
      <c r="I191" s="10">
        <v>0</v>
      </c>
      <c r="J191" s="40">
        <v>0</v>
      </c>
      <c r="K191" s="40">
        <v>0</v>
      </c>
      <c r="L191" s="40">
        <v>0</v>
      </c>
      <c r="M191" s="40">
        <v>0</v>
      </c>
      <c r="N191" s="40">
        <v>0</v>
      </c>
      <c r="O191" s="40">
        <v>0</v>
      </c>
      <c r="P191" s="40">
        <v>0</v>
      </c>
      <c r="Q191" s="40">
        <v>1</v>
      </c>
      <c r="R191" s="40">
        <v>0</v>
      </c>
      <c r="S191" s="40">
        <v>0</v>
      </c>
      <c r="T191" s="29" t="str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9" t="str" cm="1">
        <f t="array" aca="1" ref="U191" ca="1">z_score_diff(OFFSET(T191,0,0,$I$5*-1,1),OFFSET(E191,0,0,$I$5*-1,1))</f>
        <v/>
      </c>
      <c r="V191" s="9" t="str">
        <f t="shared" ca="1" si="23"/>
        <v/>
      </c>
      <c r="W191" s="17">
        <f t="shared" ca="1" si="20"/>
        <v>-0.17969224298035319</v>
      </c>
      <c r="X191" s="13">
        <f t="shared" ca="1" si="21"/>
        <v>0</v>
      </c>
      <c r="Y191" s="13">
        <f t="shared" ca="1" si="22"/>
        <v>0</v>
      </c>
      <c r="Z191" t="str">
        <f t="shared" ca="1" si="24"/>
        <v/>
      </c>
      <c r="AA191" t="str">
        <f t="shared" ca="1" si="25"/>
        <v/>
      </c>
      <c r="AB191" s="24" t="str">
        <f t="shared" ca="1" si="26"/>
        <v/>
      </c>
      <c r="AC191" s="24" t="str">
        <f t="shared" ca="1" si="27"/>
        <v/>
      </c>
    </row>
    <row r="192" spans="3:29" x14ac:dyDescent="0.25">
      <c r="C192" s="6">
        <v>185</v>
      </c>
      <c r="D192" s="37">
        <v>42269</v>
      </c>
      <c r="E192" s="39">
        <v>19.908999999999999</v>
      </c>
      <c r="F192" s="39">
        <v>2.7813788413312364</v>
      </c>
      <c r="G192" s="39">
        <v>61.017225674003782</v>
      </c>
      <c r="H192" s="39">
        <v>43.611240985534344</v>
      </c>
      <c r="I192" s="10">
        <v>0</v>
      </c>
      <c r="J192" s="40">
        <v>0</v>
      </c>
      <c r="K192" s="40">
        <v>0</v>
      </c>
      <c r="L192" s="40">
        <v>0</v>
      </c>
      <c r="M192" s="40">
        <v>0</v>
      </c>
      <c r="N192" s="40">
        <v>0</v>
      </c>
      <c r="O192" s="40">
        <v>0</v>
      </c>
      <c r="P192" s="40">
        <v>0</v>
      </c>
      <c r="Q192" s="40">
        <v>1</v>
      </c>
      <c r="R192" s="40">
        <v>0</v>
      </c>
      <c r="S192" s="40">
        <v>0</v>
      </c>
      <c r="T192" s="29" t="str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9" t="str" cm="1">
        <f t="array" aca="1" ref="U192" ca="1">z_score_diff(OFFSET(T192,0,0,$I$5*-1,1),OFFSET(E192,0,0,$I$5*-1,1))</f>
        <v/>
      </c>
      <c r="V192" s="9" t="str">
        <f t="shared" ca="1" si="23"/>
        <v/>
      </c>
      <c r="W192" s="17">
        <f t="shared" ca="1" si="20"/>
        <v>-0.1887816773210883</v>
      </c>
      <c r="X192" s="13">
        <f t="shared" ca="1" si="21"/>
        <v>0</v>
      </c>
      <c r="Y192" s="13">
        <f t="shared" ca="1" si="22"/>
        <v>0</v>
      </c>
      <c r="Z192" t="str">
        <f t="shared" ca="1" si="24"/>
        <v/>
      </c>
      <c r="AA192" t="str">
        <f t="shared" ca="1" si="25"/>
        <v/>
      </c>
      <c r="AB192" s="24" t="str">
        <f t="shared" ca="1" si="26"/>
        <v/>
      </c>
      <c r="AC192" s="24" t="str">
        <f t="shared" ca="1" si="27"/>
        <v/>
      </c>
    </row>
    <row r="193" spans="3:29" x14ac:dyDescent="0.25">
      <c r="C193" s="6">
        <v>186</v>
      </c>
      <c r="D193" s="37">
        <v>42270</v>
      </c>
      <c r="E193" s="39">
        <v>19.850000000000001</v>
      </c>
      <c r="F193" s="39">
        <v>2.7699781924769327</v>
      </c>
      <c r="G193" s="39">
        <v>60.436637578988098</v>
      </c>
      <c r="H193" s="39">
        <v>43.465317583064113</v>
      </c>
      <c r="I193" s="10">
        <v>0</v>
      </c>
      <c r="J193" s="40">
        <v>0</v>
      </c>
      <c r="K193" s="40">
        <v>0</v>
      </c>
      <c r="L193" s="40">
        <v>0</v>
      </c>
      <c r="M193" s="40">
        <v>0</v>
      </c>
      <c r="N193" s="40">
        <v>0</v>
      </c>
      <c r="O193" s="40">
        <v>0</v>
      </c>
      <c r="P193" s="40">
        <v>0</v>
      </c>
      <c r="Q193" s="40">
        <v>1</v>
      </c>
      <c r="R193" s="40">
        <v>0</v>
      </c>
      <c r="S193" s="40">
        <v>0</v>
      </c>
      <c r="T193" s="29" t="str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9" t="str" cm="1">
        <f t="array" aca="1" ref="U193" ca="1">z_score_diff(OFFSET(T193,0,0,$I$5*-1,1),OFFSET(E193,0,0,$I$5*-1,1))</f>
        <v/>
      </c>
      <c r="V193" s="9" t="str">
        <f t="shared" ca="1" si="23"/>
        <v/>
      </c>
      <c r="W193" s="17">
        <f t="shared" ca="1" si="20"/>
        <v>-0.20498449253739276</v>
      </c>
      <c r="X193" s="13">
        <f t="shared" ca="1" si="21"/>
        <v>0</v>
      </c>
      <c r="Y193" s="13">
        <f t="shared" ca="1" si="22"/>
        <v>0</v>
      </c>
      <c r="Z193" t="str">
        <f t="shared" ca="1" si="24"/>
        <v/>
      </c>
      <c r="AA193" t="str">
        <f t="shared" ca="1" si="25"/>
        <v/>
      </c>
      <c r="AB193" s="24" t="str">
        <f t="shared" ca="1" si="26"/>
        <v/>
      </c>
      <c r="AC193" s="24" t="str">
        <f t="shared" ca="1" si="27"/>
        <v/>
      </c>
    </row>
    <row r="194" spans="3:29" x14ac:dyDescent="0.25">
      <c r="C194" s="6">
        <v>187</v>
      </c>
      <c r="D194" s="37">
        <v>42271</v>
      </c>
      <c r="E194" s="39">
        <v>19.617000000000001</v>
      </c>
      <c r="F194" s="39">
        <v>2.8034504004929142</v>
      </c>
      <c r="G194" s="39">
        <v>60.206810124716029</v>
      </c>
      <c r="H194" s="39">
        <v>43.262036792535866</v>
      </c>
      <c r="I194" s="10">
        <v>0</v>
      </c>
      <c r="J194" s="40">
        <v>0</v>
      </c>
      <c r="K194" s="40">
        <v>0</v>
      </c>
      <c r="L194" s="40">
        <v>0</v>
      </c>
      <c r="M194" s="40">
        <v>0</v>
      </c>
      <c r="N194" s="40">
        <v>0</v>
      </c>
      <c r="O194" s="40">
        <v>0</v>
      </c>
      <c r="P194" s="40">
        <v>0</v>
      </c>
      <c r="Q194" s="40">
        <v>1</v>
      </c>
      <c r="R194" s="40">
        <v>0</v>
      </c>
      <c r="S194" s="40">
        <v>0</v>
      </c>
      <c r="T194" s="29" t="str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9" t="str" cm="1">
        <f t="array" aca="1" ref="U194" ca="1">z_score_diff(OFFSET(T194,0,0,$I$5*-1,1),OFFSET(E194,0,0,$I$5*-1,1))</f>
        <v/>
      </c>
      <c r="V194" s="9" t="str">
        <f t="shared" ca="1" si="23"/>
        <v/>
      </c>
      <c r="W194" s="17">
        <f t="shared" ca="1" si="20"/>
        <v>-0.20074999490822945</v>
      </c>
      <c r="X194" s="13">
        <f t="shared" ca="1" si="21"/>
        <v>0</v>
      </c>
      <c r="Y194" s="13">
        <f t="shared" ca="1" si="22"/>
        <v>0</v>
      </c>
      <c r="Z194" t="str">
        <f t="shared" ca="1" si="24"/>
        <v/>
      </c>
      <c r="AA194" t="str">
        <f t="shared" ca="1" si="25"/>
        <v/>
      </c>
      <c r="AB194" s="24" t="str">
        <f t="shared" ca="1" si="26"/>
        <v/>
      </c>
      <c r="AC194" s="24" t="str">
        <f t="shared" ca="1" si="27"/>
        <v/>
      </c>
    </row>
    <row r="195" spans="3:29" x14ac:dyDescent="0.25">
      <c r="C195" s="6">
        <v>188</v>
      </c>
      <c r="D195" s="37">
        <v>42272</v>
      </c>
      <c r="E195" s="39">
        <v>19.681999999999999</v>
      </c>
      <c r="F195" s="39">
        <v>2.7716127668569013</v>
      </c>
      <c r="G195" s="39">
        <v>60.046244969956817</v>
      </c>
      <c r="H195" s="39">
        <v>43.37525540759529</v>
      </c>
      <c r="I195" s="10">
        <v>0</v>
      </c>
      <c r="J195" s="40">
        <v>0</v>
      </c>
      <c r="K195" s="40">
        <v>0</v>
      </c>
      <c r="L195" s="40">
        <v>0</v>
      </c>
      <c r="M195" s="40">
        <v>0</v>
      </c>
      <c r="N195" s="40">
        <v>0</v>
      </c>
      <c r="O195" s="40">
        <v>0</v>
      </c>
      <c r="P195" s="40">
        <v>0</v>
      </c>
      <c r="Q195" s="40">
        <v>1</v>
      </c>
      <c r="R195" s="40">
        <v>0</v>
      </c>
      <c r="S195" s="40">
        <v>0</v>
      </c>
      <c r="T195" s="29" t="str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9" t="str" cm="1">
        <f t="array" aca="1" ref="U195" ca="1">z_score_diff(OFFSET(T195,0,0,$I$5*-1,1),OFFSET(E195,0,0,$I$5*-1,1))</f>
        <v/>
      </c>
      <c r="V195" s="9" t="str">
        <f t="shared" ca="1" si="23"/>
        <v/>
      </c>
      <c r="W195" s="17">
        <f t="shared" ca="1" si="20"/>
        <v>-0.19531074478724986</v>
      </c>
      <c r="X195" s="13">
        <f t="shared" ca="1" si="21"/>
        <v>0</v>
      </c>
      <c r="Y195" s="13">
        <f t="shared" ca="1" si="22"/>
        <v>0</v>
      </c>
      <c r="Z195" t="str">
        <f t="shared" ca="1" si="24"/>
        <v/>
      </c>
      <c r="AA195" t="str">
        <f t="shared" ca="1" si="25"/>
        <v/>
      </c>
      <c r="AB195" s="24" t="str">
        <f t="shared" ca="1" si="26"/>
        <v/>
      </c>
      <c r="AC195" s="24" t="str">
        <f t="shared" ca="1" si="27"/>
        <v/>
      </c>
    </row>
    <row r="196" spans="3:29" x14ac:dyDescent="0.25">
      <c r="C196" s="6">
        <v>189</v>
      </c>
      <c r="D196" s="37">
        <v>42275</v>
      </c>
      <c r="E196" s="39">
        <v>19.582999999999998</v>
      </c>
      <c r="F196" s="39">
        <v>2.7634229657528246</v>
      </c>
      <c r="G196" s="39">
        <v>59.183160715781248</v>
      </c>
      <c r="H196" s="39">
        <v>42.568100201453973</v>
      </c>
      <c r="I196" s="10">
        <v>0</v>
      </c>
      <c r="J196" s="40">
        <v>0</v>
      </c>
      <c r="K196" s="40">
        <v>0</v>
      </c>
      <c r="L196" s="40">
        <v>0</v>
      </c>
      <c r="M196" s="40">
        <v>0</v>
      </c>
      <c r="N196" s="40">
        <v>0</v>
      </c>
      <c r="O196" s="40">
        <v>0</v>
      </c>
      <c r="P196" s="40">
        <v>0</v>
      </c>
      <c r="Q196" s="40">
        <v>1</v>
      </c>
      <c r="R196" s="40">
        <v>0</v>
      </c>
      <c r="S196" s="40">
        <v>0</v>
      </c>
      <c r="T196" s="29" t="str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9" t="str" cm="1">
        <f t="array" aca="1" ref="U196" ca="1">z_score_diff(OFFSET(T196,0,0,$I$5*-1,1),OFFSET(E196,0,0,$I$5*-1,1))</f>
        <v/>
      </c>
      <c r="V196" s="9" t="str">
        <f t="shared" ca="1" si="23"/>
        <v/>
      </c>
      <c r="W196" s="17">
        <f t="shared" ca="1" si="20"/>
        <v>-0.17099847762954298</v>
      </c>
      <c r="X196" s="13">
        <f t="shared" ca="1" si="21"/>
        <v>0</v>
      </c>
      <c r="Y196" s="13">
        <f t="shared" ca="1" si="22"/>
        <v>0</v>
      </c>
      <c r="Z196" t="str">
        <f t="shared" ca="1" si="24"/>
        <v/>
      </c>
      <c r="AA196" t="str">
        <f t="shared" ca="1" si="25"/>
        <v/>
      </c>
      <c r="AB196" s="24" t="str">
        <f t="shared" ca="1" si="26"/>
        <v/>
      </c>
      <c r="AC196" s="24" t="str">
        <f t="shared" ca="1" si="27"/>
        <v/>
      </c>
    </row>
    <row r="197" spans="3:29" x14ac:dyDescent="0.25">
      <c r="C197" s="6">
        <v>190</v>
      </c>
      <c r="D197" s="37">
        <v>42276</v>
      </c>
      <c r="E197" s="39">
        <v>19.507000000000001</v>
      </c>
      <c r="F197" s="39">
        <v>2.5280308339173092</v>
      </c>
      <c r="G197" s="39">
        <v>59.15832152866377</v>
      </c>
      <c r="H197" s="39">
        <v>42.528030833917306</v>
      </c>
      <c r="I197" s="10">
        <v>0</v>
      </c>
      <c r="J197" s="40">
        <v>0</v>
      </c>
      <c r="K197" s="40">
        <v>0</v>
      </c>
      <c r="L197" s="40">
        <v>0</v>
      </c>
      <c r="M197" s="40">
        <v>0</v>
      </c>
      <c r="N197" s="40">
        <v>0</v>
      </c>
      <c r="O197" s="40">
        <v>0</v>
      </c>
      <c r="P197" s="40">
        <v>0</v>
      </c>
      <c r="Q197" s="40">
        <v>1</v>
      </c>
      <c r="R197" s="40">
        <v>0</v>
      </c>
      <c r="S197" s="40">
        <v>0</v>
      </c>
      <c r="T197" s="29" t="str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9" t="str" cm="1">
        <f t="array" aca="1" ref="U197" ca="1">z_score_diff(OFFSET(T197,0,0,$I$5*-1,1),OFFSET(E197,0,0,$I$5*-1,1))</f>
        <v/>
      </c>
      <c r="V197" s="9" t="str">
        <f t="shared" ca="1" si="23"/>
        <v/>
      </c>
      <c r="W197" s="17">
        <f t="shared" ca="1" si="20"/>
        <v>-0.12475995020874678</v>
      </c>
      <c r="X197" s="13">
        <f t="shared" ca="1" si="21"/>
        <v>0</v>
      </c>
      <c r="Y197" s="13">
        <f t="shared" ca="1" si="22"/>
        <v>0</v>
      </c>
      <c r="Z197" t="str">
        <f t="shared" ca="1" si="24"/>
        <v/>
      </c>
      <c r="AA197" t="str">
        <f t="shared" ca="1" si="25"/>
        <v/>
      </c>
      <c r="AB197" s="24" t="str">
        <f t="shared" ca="1" si="26"/>
        <v/>
      </c>
      <c r="AC197" s="24" t="str">
        <f t="shared" ca="1" si="27"/>
        <v/>
      </c>
    </row>
    <row r="198" spans="3:29" x14ac:dyDescent="0.25">
      <c r="C198" s="6">
        <v>191</v>
      </c>
      <c r="D198" s="37">
        <v>42277</v>
      </c>
      <c r="E198" s="39">
        <v>18.536999999999999</v>
      </c>
      <c r="F198" s="39">
        <v>2.515207617032531</v>
      </c>
      <c r="G198" s="39">
        <v>55.993297347489303</v>
      </c>
      <c r="H198" s="39">
        <v>42.316847394869079</v>
      </c>
      <c r="I198" s="10">
        <v>0</v>
      </c>
      <c r="J198" s="40">
        <v>0</v>
      </c>
      <c r="K198" s="40">
        <v>0</v>
      </c>
      <c r="L198" s="40">
        <v>0</v>
      </c>
      <c r="M198" s="40">
        <v>0</v>
      </c>
      <c r="N198" s="40">
        <v>0</v>
      </c>
      <c r="O198" s="40">
        <v>0</v>
      </c>
      <c r="P198" s="40">
        <v>0</v>
      </c>
      <c r="Q198" s="40">
        <v>1</v>
      </c>
      <c r="R198" s="40">
        <v>0</v>
      </c>
      <c r="S198" s="40">
        <v>0</v>
      </c>
      <c r="T198" s="29" t="str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9" t="str" cm="1">
        <f t="array" aca="1" ref="U198" ca="1">z_score_diff(OFFSET(T198,0,0,$I$5*-1,1),OFFSET(E198,0,0,$I$5*-1,1))</f>
        <v/>
      </c>
      <c r="V198" s="9" t="str">
        <f t="shared" ca="1" si="23"/>
        <v/>
      </c>
      <c r="W198" s="17">
        <f t="shared" ca="1" si="20"/>
        <v>-9.003201538814283E-2</v>
      </c>
      <c r="X198" s="13">
        <f t="shared" ca="1" si="21"/>
        <v>0</v>
      </c>
      <c r="Y198" s="13">
        <f t="shared" ca="1" si="22"/>
        <v>0</v>
      </c>
      <c r="Z198" t="str">
        <f t="shared" ca="1" si="24"/>
        <v/>
      </c>
      <c r="AA198" t="str">
        <f t="shared" ca="1" si="25"/>
        <v/>
      </c>
      <c r="AB198" s="24" t="str">
        <f t="shared" ca="1" si="26"/>
        <v/>
      </c>
      <c r="AC198" s="24" t="str">
        <f t="shared" ca="1" si="27"/>
        <v/>
      </c>
    </row>
    <row r="199" spans="3:29" x14ac:dyDescent="0.25">
      <c r="C199" s="6">
        <v>192</v>
      </c>
      <c r="D199" s="37">
        <v>42278</v>
      </c>
      <c r="E199" s="39">
        <v>18.414999999999999</v>
      </c>
      <c r="F199" s="39">
        <v>2.4686291226018278</v>
      </c>
      <c r="G199" s="39">
        <v>55.642068440943085</v>
      </c>
      <c r="H199" s="39">
        <v>42.00984985662047</v>
      </c>
      <c r="I199" s="10">
        <v>0</v>
      </c>
      <c r="J199" s="40">
        <v>0</v>
      </c>
      <c r="K199" s="40">
        <v>0</v>
      </c>
      <c r="L199" s="40">
        <v>0</v>
      </c>
      <c r="M199" s="40">
        <v>0</v>
      </c>
      <c r="N199" s="40">
        <v>0</v>
      </c>
      <c r="O199" s="40">
        <v>0</v>
      </c>
      <c r="P199" s="40">
        <v>0</v>
      </c>
      <c r="Q199" s="40">
        <v>0</v>
      </c>
      <c r="R199" s="40">
        <v>1</v>
      </c>
      <c r="S199" s="40">
        <v>0</v>
      </c>
      <c r="T199" s="29" t="str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9" t="str" cm="1">
        <f t="array" aca="1" ref="U199" ca="1">z_score_diff(OFFSET(T199,0,0,$I$5*-1,1),OFFSET(E199,0,0,$I$5*-1,1))</f>
        <v/>
      </c>
      <c r="V199" s="9" t="str">
        <f t="shared" ca="1" si="23"/>
        <v/>
      </c>
      <c r="W199" s="17">
        <f t="shared" ref="W199:W262" ca="1" si="28">+LN(OFFSET(E199,$W$3,0,1,1)/E199)</f>
        <v>-7.7895498784098668E-2</v>
      </c>
      <c r="X199" s="13">
        <f t="shared" ca="1" si="21"/>
        <v>0</v>
      </c>
      <c r="Y199" s="13">
        <f t="shared" ca="1" si="22"/>
        <v>0</v>
      </c>
      <c r="Z199" t="str">
        <f t="shared" ca="1" si="24"/>
        <v/>
      </c>
      <c r="AA199" t="str">
        <f t="shared" ca="1" si="25"/>
        <v/>
      </c>
      <c r="AB199" s="24" t="str">
        <f t="shared" ca="1" si="26"/>
        <v/>
      </c>
      <c r="AC199" s="24" t="str">
        <f t="shared" ca="1" si="27"/>
        <v/>
      </c>
    </row>
    <row r="200" spans="3:29" x14ac:dyDescent="0.25">
      <c r="C200" s="6">
        <v>193</v>
      </c>
      <c r="D200" s="37">
        <v>42279</v>
      </c>
      <c r="E200" s="39">
        <v>18.236999999999998</v>
      </c>
      <c r="F200" s="39">
        <v>2.4859254046446164</v>
      </c>
      <c r="G200" s="39">
        <v>55.629553133303851</v>
      </c>
      <c r="H200" s="39">
        <v>42.091836734693878</v>
      </c>
      <c r="I200" s="10">
        <v>0</v>
      </c>
      <c r="J200" s="40">
        <v>0</v>
      </c>
      <c r="K200" s="40">
        <v>0</v>
      </c>
      <c r="L200" s="40">
        <v>0</v>
      </c>
      <c r="M200" s="40">
        <v>0</v>
      </c>
      <c r="N200" s="40">
        <v>0</v>
      </c>
      <c r="O200" s="40">
        <v>0</v>
      </c>
      <c r="P200" s="40">
        <v>0</v>
      </c>
      <c r="Q200" s="40">
        <v>0</v>
      </c>
      <c r="R200" s="40">
        <v>1</v>
      </c>
      <c r="S200" s="40">
        <v>0</v>
      </c>
      <c r="T200" s="29" t="str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9" t="str" cm="1">
        <f t="array" aca="1" ref="U200" ca="1">z_score_diff(OFFSET(T200,0,0,$I$5*-1,1),OFFSET(E200,0,0,$I$5*-1,1))</f>
        <v/>
      </c>
      <c r="V200" s="9" t="str">
        <f t="shared" ca="1" si="23"/>
        <v/>
      </c>
      <c r="W200" s="17">
        <f t="shared" ca="1" si="28"/>
        <v>-7.448344175880614E-2</v>
      </c>
      <c r="X200" s="13">
        <f t="shared" ca="1" si="21"/>
        <v>0</v>
      </c>
      <c r="Y200" s="13">
        <f t="shared" ca="1" si="22"/>
        <v>0</v>
      </c>
      <c r="Z200" t="str">
        <f t="shared" ca="1" si="24"/>
        <v/>
      </c>
      <c r="AA200" t="str">
        <f t="shared" ca="1" si="25"/>
        <v/>
      </c>
      <c r="AB200" s="24" t="str">
        <f t="shared" ca="1" si="26"/>
        <v/>
      </c>
      <c r="AC200" s="24" t="str">
        <f t="shared" ca="1" si="27"/>
        <v/>
      </c>
    </row>
    <row r="201" spans="3:29" x14ac:dyDescent="0.25">
      <c r="C201" s="6">
        <v>194</v>
      </c>
      <c r="D201" s="37">
        <v>42282</v>
      </c>
      <c r="E201" s="39">
        <v>18.265000000000001</v>
      </c>
      <c r="F201" s="39">
        <v>2.5038222259798637</v>
      </c>
      <c r="G201" s="39">
        <v>55.575269405320597</v>
      </c>
      <c r="H201" s="39">
        <v>43.066094565745807</v>
      </c>
      <c r="I201" s="10">
        <v>0</v>
      </c>
      <c r="J201" s="40">
        <v>0</v>
      </c>
      <c r="K201" s="40">
        <v>0</v>
      </c>
      <c r="L201" s="40">
        <v>0</v>
      </c>
      <c r="M201" s="40">
        <v>0</v>
      </c>
      <c r="N201" s="40">
        <v>0</v>
      </c>
      <c r="O201" s="40">
        <v>0</v>
      </c>
      <c r="P201" s="40">
        <v>0</v>
      </c>
      <c r="Q201" s="40">
        <v>0</v>
      </c>
      <c r="R201" s="40">
        <v>1</v>
      </c>
      <c r="S201" s="40">
        <v>0</v>
      </c>
      <c r="T201" s="29" t="str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9" t="str" cm="1">
        <f t="array" aca="1" ref="U201" ca="1">z_score_diff(OFFSET(T201,0,0,$I$5*-1,1),OFFSET(E201,0,0,$I$5*-1,1))</f>
        <v/>
      </c>
      <c r="V201" s="9" t="str">
        <f t="shared" ca="1" si="23"/>
        <v/>
      </c>
      <c r="W201" s="17">
        <f t="shared" ca="1" si="28"/>
        <v>-7.9034911992898624E-2</v>
      </c>
      <c r="X201" s="13">
        <f t="shared" ref="X201:X264" ca="1" si="29">+X200</f>
        <v>0</v>
      </c>
      <c r="Y201" s="13">
        <f t="shared" ref="Y201:Y264" ca="1" si="30">+Y200</f>
        <v>0</v>
      </c>
      <c r="Z201" t="str">
        <f t="shared" ca="1" si="24"/>
        <v/>
      </c>
      <c r="AA201" t="str">
        <f t="shared" ca="1" si="25"/>
        <v/>
      </c>
      <c r="AB201" s="24" t="str">
        <f t="shared" ca="1" si="26"/>
        <v/>
      </c>
      <c r="AC201" s="24" t="str">
        <f t="shared" ca="1" si="27"/>
        <v/>
      </c>
    </row>
    <row r="202" spans="3:29" x14ac:dyDescent="0.25">
      <c r="C202" s="6">
        <v>195</v>
      </c>
      <c r="D202" s="37">
        <v>42283</v>
      </c>
      <c r="E202" s="39">
        <v>18.584</v>
      </c>
      <c r="F202" s="39">
        <v>2.4954756929471542</v>
      </c>
      <c r="G202" s="39">
        <v>56.647234239041481</v>
      </c>
      <c r="H202" s="39">
        <v>43.16569416296602</v>
      </c>
      <c r="I202" s="10">
        <v>0</v>
      </c>
      <c r="J202" s="40">
        <v>0</v>
      </c>
      <c r="K202" s="40">
        <v>0</v>
      </c>
      <c r="L202" s="40">
        <v>0</v>
      </c>
      <c r="M202" s="40">
        <v>0</v>
      </c>
      <c r="N202" s="40">
        <v>0</v>
      </c>
      <c r="O202" s="40">
        <v>0</v>
      </c>
      <c r="P202" s="40">
        <v>0</v>
      </c>
      <c r="Q202" s="40">
        <v>0</v>
      </c>
      <c r="R202" s="40">
        <v>1</v>
      </c>
      <c r="S202" s="40">
        <v>0</v>
      </c>
      <c r="T202" s="29" t="str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9" t="str" cm="1">
        <f t="array" aca="1" ref="U202" ca="1">z_score_diff(OFFSET(T202,0,0,$I$5*-1,1),OFFSET(E202,0,0,$I$5*-1,1))</f>
        <v/>
      </c>
      <c r="V202" s="9" t="str">
        <f t="shared" ca="1" si="23"/>
        <v/>
      </c>
      <c r="W202" s="17">
        <f t="shared" ca="1" si="28"/>
        <v>-8.3339497864066123E-2</v>
      </c>
      <c r="X202" s="13">
        <f t="shared" ca="1" si="29"/>
        <v>0</v>
      </c>
      <c r="Y202" s="13">
        <f t="shared" ca="1" si="30"/>
        <v>0</v>
      </c>
      <c r="Z202" t="str">
        <f t="shared" ca="1" si="24"/>
        <v/>
      </c>
      <c r="AA202" t="str">
        <f t="shared" ca="1" si="25"/>
        <v/>
      </c>
      <c r="AB202" s="24" t="str">
        <f t="shared" ca="1" si="26"/>
        <v/>
      </c>
      <c r="AC202" s="24" t="str">
        <f t="shared" ca="1" si="27"/>
        <v/>
      </c>
    </row>
    <row r="203" spans="3:29" x14ac:dyDescent="0.25">
      <c r="C203" s="6">
        <v>196</v>
      </c>
      <c r="D203" s="37">
        <v>42284</v>
      </c>
      <c r="E203" s="39">
        <v>18.558</v>
      </c>
      <c r="F203" s="39">
        <v>2.5013160203544484</v>
      </c>
      <c r="G203" s="39">
        <v>56.576079585207232</v>
      </c>
      <c r="H203" s="39">
        <v>42.726794174416568</v>
      </c>
      <c r="I203" s="10">
        <v>0</v>
      </c>
      <c r="J203" s="40">
        <v>0</v>
      </c>
      <c r="K203" s="40">
        <v>0</v>
      </c>
      <c r="L203" s="40">
        <v>0</v>
      </c>
      <c r="M203" s="40">
        <v>0</v>
      </c>
      <c r="N203" s="40">
        <v>0</v>
      </c>
      <c r="O203" s="40">
        <v>0</v>
      </c>
      <c r="P203" s="40">
        <v>0</v>
      </c>
      <c r="Q203" s="40">
        <v>0</v>
      </c>
      <c r="R203" s="40">
        <v>1</v>
      </c>
      <c r="S203" s="40">
        <v>0</v>
      </c>
      <c r="T203" s="29" t="str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9" t="str" cm="1">
        <f t="array" aca="1" ref="U203" ca="1">z_score_diff(OFFSET(T203,0,0,$I$5*-1,1),OFFSET(E203,0,0,$I$5*-1,1))</f>
        <v/>
      </c>
      <c r="V203" s="9" t="str">
        <f t="shared" ref="V203:V266" ca="1" si="31">+IF(ISERROR(AVERAGE(OFFSET(U203,0,0,$V$5*-1,1))),"",AVERAGE(OFFSET(U203,0,0,$V$5*-1,1)))</f>
        <v/>
      </c>
      <c r="W203" s="17">
        <f t="shared" ca="1" si="28"/>
        <v>-7.0714828008335257E-2</v>
      </c>
      <c r="X203" s="13">
        <f t="shared" ca="1" si="29"/>
        <v>0</v>
      </c>
      <c r="Y203" s="13">
        <f t="shared" ca="1" si="30"/>
        <v>0</v>
      </c>
      <c r="Z203" t="str">
        <f t="shared" ref="Z203:Z266" ca="1" si="32">+IF(V203="","",IF(V203&lt;X203,1,0))</f>
        <v/>
      </c>
      <c r="AA203" t="str">
        <f t="shared" ref="AA203:AA266" ca="1" si="33">+IF(V203="","",IF(V203&gt;Y203,1,0))</f>
        <v/>
      </c>
      <c r="AB203" s="24" t="str">
        <f t="shared" ref="AB203:AB266" ca="1" si="34">+IF(ISERROR(Z203*W203),"",Z203*W203)</f>
        <v/>
      </c>
      <c r="AC203" s="24" t="str">
        <f t="shared" ref="AC203:AC266" ca="1" si="35">+IF(ISERROR(AA203*W203),"",AA203*W203)</f>
        <v/>
      </c>
    </row>
    <row r="204" spans="3:29" x14ac:dyDescent="0.25">
      <c r="C204" s="6">
        <v>197</v>
      </c>
      <c r="D204" s="37">
        <v>42285</v>
      </c>
      <c r="E204" s="39">
        <v>18.603000000000002</v>
      </c>
      <c r="F204" s="39">
        <v>2.5118156789073951</v>
      </c>
      <c r="G204" s="39">
        <v>56.660453015408955</v>
      </c>
      <c r="H204" s="39">
        <v>42.417500148679892</v>
      </c>
      <c r="I204" s="10">
        <v>0</v>
      </c>
      <c r="J204" s="40">
        <v>0</v>
      </c>
      <c r="K204" s="40">
        <v>0</v>
      </c>
      <c r="L204" s="40">
        <v>0</v>
      </c>
      <c r="M204" s="40">
        <v>0</v>
      </c>
      <c r="N204" s="40">
        <v>0</v>
      </c>
      <c r="O204" s="40">
        <v>0</v>
      </c>
      <c r="P204" s="40">
        <v>0</v>
      </c>
      <c r="Q204" s="40">
        <v>0</v>
      </c>
      <c r="R204" s="40">
        <v>1</v>
      </c>
      <c r="S204" s="40">
        <v>0</v>
      </c>
      <c r="T204" s="29" t="str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9" t="str" cm="1">
        <f t="array" aca="1" ref="U204" ca="1">z_score_diff(OFFSET(T204,0,0,$I$5*-1,1),OFFSET(E204,0,0,$I$5*-1,1))</f>
        <v/>
      </c>
      <c r="V204" s="9" t="str">
        <f t="shared" ca="1" si="31"/>
        <v/>
      </c>
      <c r="W204" s="17">
        <f t="shared" ca="1" si="28"/>
        <v>-7.0422233589401959E-2</v>
      </c>
      <c r="X204" s="13">
        <f t="shared" ca="1" si="29"/>
        <v>0</v>
      </c>
      <c r="Y204" s="13">
        <f t="shared" ca="1" si="30"/>
        <v>0</v>
      </c>
      <c r="Z204" t="str">
        <f t="shared" ca="1" si="32"/>
        <v/>
      </c>
      <c r="AA204" t="str">
        <f t="shared" ca="1" si="33"/>
        <v/>
      </c>
      <c r="AB204" s="24" t="str">
        <f t="shared" ca="1" si="34"/>
        <v/>
      </c>
      <c r="AC204" s="24" t="str">
        <f t="shared" ca="1" si="35"/>
        <v/>
      </c>
    </row>
    <row r="205" spans="3:29" x14ac:dyDescent="0.25">
      <c r="C205" s="6">
        <v>198</v>
      </c>
      <c r="D205" s="37">
        <v>42286</v>
      </c>
      <c r="E205" s="39">
        <v>18.594000000000001</v>
      </c>
      <c r="F205" s="39">
        <v>2.4899005256070548</v>
      </c>
      <c r="G205" s="39">
        <v>56.608185269915161</v>
      </c>
      <c r="H205" s="39">
        <v>42.700143347378486</v>
      </c>
      <c r="I205" s="10">
        <v>0</v>
      </c>
      <c r="J205" s="40">
        <v>0</v>
      </c>
      <c r="K205" s="40">
        <v>0</v>
      </c>
      <c r="L205" s="40">
        <v>0</v>
      </c>
      <c r="M205" s="40">
        <v>0</v>
      </c>
      <c r="N205" s="40">
        <v>0</v>
      </c>
      <c r="O205" s="40">
        <v>0</v>
      </c>
      <c r="P205" s="40">
        <v>0</v>
      </c>
      <c r="Q205" s="40">
        <v>0</v>
      </c>
      <c r="R205" s="40">
        <v>1</v>
      </c>
      <c r="S205" s="40">
        <v>0</v>
      </c>
      <c r="T205" s="29" t="str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9" t="str" cm="1">
        <f t="array" aca="1" ref="U205" ca="1">z_score_diff(OFFSET(T205,0,0,$I$5*-1,1),OFFSET(E205,0,0,$I$5*-1,1))</f>
        <v/>
      </c>
      <c r="V205" s="9" t="str">
        <f t="shared" ca="1" si="31"/>
        <v/>
      </c>
      <c r="W205" s="17">
        <f t="shared" ca="1" si="28"/>
        <v>-7.1439045369595111E-2</v>
      </c>
      <c r="X205" s="13">
        <f t="shared" ca="1" si="29"/>
        <v>0</v>
      </c>
      <c r="Y205" s="13">
        <f t="shared" ca="1" si="30"/>
        <v>0</v>
      </c>
      <c r="Z205" t="str">
        <f t="shared" ca="1" si="32"/>
        <v/>
      </c>
      <c r="AA205" t="str">
        <f t="shared" ca="1" si="33"/>
        <v/>
      </c>
      <c r="AB205" s="24" t="str">
        <f t="shared" ca="1" si="34"/>
        <v/>
      </c>
      <c r="AC205" s="24" t="str">
        <f t="shared" ca="1" si="35"/>
        <v/>
      </c>
    </row>
    <row r="206" spans="3:29" x14ac:dyDescent="0.25">
      <c r="C206" s="6">
        <v>199</v>
      </c>
      <c r="D206" s="37">
        <v>42289</v>
      </c>
      <c r="E206" s="39">
        <v>18.401</v>
      </c>
      <c r="F206" s="39">
        <v>2.5018555573399772</v>
      </c>
      <c r="G206" s="39">
        <v>56.212911394764554</v>
      </c>
      <c r="H206" s="39">
        <v>42.146109406265055</v>
      </c>
      <c r="I206" s="10">
        <v>0</v>
      </c>
      <c r="J206" s="40">
        <v>0</v>
      </c>
      <c r="K206" s="40">
        <v>0</v>
      </c>
      <c r="L206" s="40">
        <v>0</v>
      </c>
      <c r="M206" s="40">
        <v>0</v>
      </c>
      <c r="N206" s="40">
        <v>0</v>
      </c>
      <c r="O206" s="40">
        <v>0</v>
      </c>
      <c r="P206" s="40">
        <v>0</v>
      </c>
      <c r="Q206" s="40">
        <v>0</v>
      </c>
      <c r="R206" s="40">
        <v>1</v>
      </c>
      <c r="S206" s="40">
        <v>0</v>
      </c>
      <c r="T206" s="29" t="str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9" t="str" cm="1">
        <f t="array" aca="1" ref="U206" ca="1">z_score_diff(OFFSET(T206,0,0,$I$5*-1,1),OFFSET(E206,0,0,$I$5*-1,1))</f>
        <v/>
      </c>
      <c r="V206" s="9" t="str">
        <f t="shared" ca="1" si="31"/>
        <v/>
      </c>
      <c r="W206" s="17">
        <f t="shared" ca="1" si="28"/>
        <v>-5.4786039539880461E-2</v>
      </c>
      <c r="X206" s="13">
        <f t="shared" ca="1" si="29"/>
        <v>0</v>
      </c>
      <c r="Y206" s="13">
        <f t="shared" ca="1" si="30"/>
        <v>0</v>
      </c>
      <c r="Z206" t="str">
        <f t="shared" ca="1" si="32"/>
        <v/>
      </c>
      <c r="AA206" t="str">
        <f t="shared" ca="1" si="33"/>
        <v/>
      </c>
      <c r="AB206" s="24" t="str">
        <f t="shared" ca="1" si="34"/>
        <v/>
      </c>
      <c r="AC206" s="24" t="str">
        <f t="shared" ca="1" si="35"/>
        <v/>
      </c>
    </row>
    <row r="207" spans="3:29" x14ac:dyDescent="0.25">
      <c r="C207" s="6">
        <v>200</v>
      </c>
      <c r="D207" s="37">
        <v>42290</v>
      </c>
      <c r="E207" s="39">
        <v>18.177</v>
      </c>
      <c r="F207" s="39">
        <v>2.4960514562610516</v>
      </c>
      <c r="G207" s="39">
        <v>55.429223026316663</v>
      </c>
      <c r="H207" s="39">
        <v>41.803013802358819</v>
      </c>
      <c r="I207" s="10">
        <v>0</v>
      </c>
      <c r="J207" s="40">
        <v>0</v>
      </c>
      <c r="K207" s="40">
        <v>0</v>
      </c>
      <c r="L207" s="40">
        <v>0</v>
      </c>
      <c r="M207" s="40">
        <v>0</v>
      </c>
      <c r="N207" s="40">
        <v>0</v>
      </c>
      <c r="O207" s="40">
        <v>0</v>
      </c>
      <c r="P207" s="40">
        <v>0</v>
      </c>
      <c r="Q207" s="40">
        <v>0</v>
      </c>
      <c r="R207" s="40">
        <v>1</v>
      </c>
      <c r="S207" s="40">
        <v>0</v>
      </c>
      <c r="T207" s="29" t="str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9" t="str" cm="1">
        <f t="array" aca="1" ref="U207" ca="1">z_score_diff(OFFSET(T207,0,0,$I$5*-1,1),OFFSET(E207,0,0,$I$5*-1,1))</f>
        <v/>
      </c>
      <c r="V207" s="9" t="str">
        <f t="shared" ca="1" si="31"/>
        <v/>
      </c>
      <c r="W207" s="17">
        <f t="shared" ca="1" si="28"/>
        <v>-3.3338285170309158E-2</v>
      </c>
      <c r="X207" s="13">
        <f t="shared" ca="1" si="29"/>
        <v>0</v>
      </c>
      <c r="Y207" s="13">
        <f t="shared" ca="1" si="30"/>
        <v>0</v>
      </c>
      <c r="Z207" t="str">
        <f t="shared" ca="1" si="32"/>
        <v/>
      </c>
      <c r="AA207" t="str">
        <f t="shared" ca="1" si="33"/>
        <v/>
      </c>
      <c r="AB207" s="24" t="str">
        <f t="shared" ca="1" si="34"/>
        <v/>
      </c>
      <c r="AC207" s="24" t="str">
        <f t="shared" ca="1" si="35"/>
        <v/>
      </c>
    </row>
    <row r="208" spans="3:29" x14ac:dyDescent="0.25">
      <c r="C208" s="6">
        <v>201</v>
      </c>
      <c r="D208" s="37">
        <v>42291</v>
      </c>
      <c r="E208" s="39">
        <v>18.023</v>
      </c>
      <c r="F208" s="39">
        <v>2.4880328458176453</v>
      </c>
      <c r="G208" s="39">
        <v>55.19425692521051</v>
      </c>
      <c r="H208" s="39">
        <v>41.194874979144558</v>
      </c>
      <c r="I208" s="10">
        <v>0</v>
      </c>
      <c r="J208" s="40">
        <v>0</v>
      </c>
      <c r="K208" s="40">
        <v>0</v>
      </c>
      <c r="L208" s="40">
        <v>0</v>
      </c>
      <c r="M208" s="40">
        <v>0</v>
      </c>
      <c r="N208" s="40">
        <v>0</v>
      </c>
      <c r="O208" s="40">
        <v>0</v>
      </c>
      <c r="P208" s="40">
        <v>0</v>
      </c>
      <c r="Q208" s="40">
        <v>0</v>
      </c>
      <c r="R208" s="40">
        <v>1</v>
      </c>
      <c r="S208" s="40">
        <v>0</v>
      </c>
      <c r="T208" s="29" t="str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9" t="str" cm="1">
        <f t="array" aca="1" ref="U208" ca="1">z_score_diff(OFFSET(T208,0,0,$I$5*-1,1),OFFSET(E208,0,0,$I$5*-1,1))</f>
        <v/>
      </c>
      <c r="V208" s="9" t="str">
        <f t="shared" ca="1" si="31"/>
        <v/>
      </c>
      <c r="W208" s="17">
        <f t="shared" ca="1" si="28"/>
        <v>-4.094221850693483E-2</v>
      </c>
      <c r="X208" s="13">
        <f t="shared" ca="1" si="29"/>
        <v>0</v>
      </c>
      <c r="Y208" s="13">
        <f t="shared" ca="1" si="30"/>
        <v>0</v>
      </c>
      <c r="Z208" t="str">
        <f t="shared" ca="1" si="32"/>
        <v/>
      </c>
      <c r="AA208" t="str">
        <f t="shared" ca="1" si="33"/>
        <v/>
      </c>
      <c r="AB208" s="24" t="str">
        <f t="shared" ca="1" si="34"/>
        <v/>
      </c>
      <c r="AC208" s="24" t="str">
        <f t="shared" ca="1" si="35"/>
        <v/>
      </c>
    </row>
    <row r="209" spans="3:29" x14ac:dyDescent="0.25">
      <c r="C209" s="6">
        <v>202</v>
      </c>
      <c r="D209" s="37">
        <v>42292</v>
      </c>
      <c r="E209" s="39">
        <v>18.119</v>
      </c>
      <c r="F209" s="39">
        <v>2.479088111645646</v>
      </c>
      <c r="G209" s="39">
        <v>55.483883093189561</v>
      </c>
      <c r="H209" s="39">
        <v>41.563732501191872</v>
      </c>
      <c r="I209" s="10">
        <v>0</v>
      </c>
      <c r="J209" s="40">
        <v>0</v>
      </c>
      <c r="K209" s="40">
        <v>0</v>
      </c>
      <c r="L209" s="40">
        <v>0</v>
      </c>
      <c r="M209" s="40">
        <v>0</v>
      </c>
      <c r="N209" s="40">
        <v>0</v>
      </c>
      <c r="O209" s="40">
        <v>0</v>
      </c>
      <c r="P209" s="40">
        <v>0</v>
      </c>
      <c r="Q209" s="40">
        <v>0</v>
      </c>
      <c r="R209" s="40">
        <v>1</v>
      </c>
      <c r="S209" s="40">
        <v>0</v>
      </c>
      <c r="T209" s="29" t="str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9" t="str" cm="1">
        <f t="array" aca="1" ref="U209" ca="1">z_score_diff(OFFSET(T209,0,0,$I$5*-1,1),OFFSET(E209,0,0,$I$5*-1,1))</f>
        <v/>
      </c>
      <c r="V209" s="9" t="str">
        <f t="shared" ca="1" si="31"/>
        <v/>
      </c>
      <c r="W209" s="17">
        <f t="shared" ca="1" si="28"/>
        <v>-7.0180175755762617E-2</v>
      </c>
      <c r="X209" s="13">
        <f t="shared" ca="1" si="29"/>
        <v>0</v>
      </c>
      <c r="Y209" s="13">
        <f t="shared" ca="1" si="30"/>
        <v>0</v>
      </c>
      <c r="Z209" t="str">
        <f t="shared" ca="1" si="32"/>
        <v/>
      </c>
      <c r="AA209" t="str">
        <f t="shared" ca="1" si="33"/>
        <v/>
      </c>
      <c r="AB209" s="24" t="str">
        <f t="shared" ca="1" si="34"/>
        <v/>
      </c>
      <c r="AC209" s="24" t="str">
        <f t="shared" ca="1" si="35"/>
        <v/>
      </c>
    </row>
    <row r="210" spans="3:29" x14ac:dyDescent="0.25">
      <c r="C210" s="6">
        <v>203</v>
      </c>
      <c r="D210" s="37">
        <v>42293</v>
      </c>
      <c r="E210" s="39">
        <v>18.114000000000001</v>
      </c>
      <c r="F210" s="39">
        <v>2.4856525076921336</v>
      </c>
      <c r="G210" s="39">
        <v>55.346519380000942</v>
      </c>
      <c r="H210" s="39">
        <v>41.210188480100435</v>
      </c>
      <c r="I210" s="10">
        <v>0</v>
      </c>
      <c r="J210" s="40">
        <v>0</v>
      </c>
      <c r="K210" s="40">
        <v>0</v>
      </c>
      <c r="L210" s="40">
        <v>0</v>
      </c>
      <c r="M210" s="40">
        <v>0</v>
      </c>
      <c r="N210" s="40">
        <v>0</v>
      </c>
      <c r="O210" s="40">
        <v>0</v>
      </c>
      <c r="P210" s="40">
        <v>0</v>
      </c>
      <c r="Q210" s="40">
        <v>0</v>
      </c>
      <c r="R210" s="40">
        <v>1</v>
      </c>
      <c r="S210" s="40">
        <v>0</v>
      </c>
      <c r="T210" s="29" t="str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9" t="str" cm="1">
        <f t="array" aca="1" ref="U210" ca="1">z_score_diff(OFFSET(T210,0,0,$I$5*-1,1),OFFSET(E210,0,0,$I$5*-1,1))</f>
        <v/>
      </c>
      <c r="V210" s="9" t="str">
        <f t="shared" ca="1" si="31"/>
        <v/>
      </c>
      <c r="W210" s="17">
        <f t="shared" ca="1" si="28"/>
        <v>-6.0945557709657282E-2</v>
      </c>
      <c r="X210" s="13">
        <f t="shared" ca="1" si="29"/>
        <v>0</v>
      </c>
      <c r="Y210" s="13">
        <f t="shared" ca="1" si="30"/>
        <v>0</v>
      </c>
      <c r="Z210" t="str">
        <f t="shared" ca="1" si="32"/>
        <v/>
      </c>
      <c r="AA210" t="str">
        <f t="shared" ca="1" si="33"/>
        <v/>
      </c>
      <c r="AB210" s="24" t="str">
        <f t="shared" ca="1" si="34"/>
        <v/>
      </c>
      <c r="AC210" s="24" t="str">
        <f t="shared" ca="1" si="35"/>
        <v/>
      </c>
    </row>
    <row r="211" spans="3:29" x14ac:dyDescent="0.25">
      <c r="C211" s="6">
        <v>204</v>
      </c>
      <c r="D211" s="37">
        <v>42296</v>
      </c>
      <c r="E211" s="39">
        <v>18.236999999999998</v>
      </c>
      <c r="F211" s="39">
        <v>2.4995015797093756</v>
      </c>
      <c r="G211" s="39">
        <v>55.426120265797721</v>
      </c>
      <c r="H211" s="39">
        <v>41.310118410731405</v>
      </c>
      <c r="I211" s="10">
        <v>0</v>
      </c>
      <c r="J211" s="40">
        <v>0</v>
      </c>
      <c r="K211" s="40">
        <v>0</v>
      </c>
      <c r="L211" s="40">
        <v>0</v>
      </c>
      <c r="M211" s="40">
        <v>0</v>
      </c>
      <c r="N211" s="40">
        <v>0</v>
      </c>
      <c r="O211" s="40">
        <v>0</v>
      </c>
      <c r="P211" s="40">
        <v>0</v>
      </c>
      <c r="Q211" s="40">
        <v>0</v>
      </c>
      <c r="R211" s="40">
        <v>1</v>
      </c>
      <c r="S211" s="40">
        <v>0</v>
      </c>
      <c r="T211" s="29" t="str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9" t="str" cm="1">
        <f t="array" aca="1" ref="U211" ca="1">z_score_diff(OFFSET(T211,0,0,$I$5*-1,1),OFFSET(E211,0,0,$I$5*-1,1))</f>
        <v/>
      </c>
      <c r="V211" s="9" t="str">
        <f t="shared" ca="1" si="31"/>
        <v/>
      </c>
      <c r="W211" s="17">
        <f t="shared" ca="1" si="28"/>
        <v>-9.9667964069290987E-2</v>
      </c>
      <c r="X211" s="13">
        <f t="shared" ca="1" si="29"/>
        <v>0</v>
      </c>
      <c r="Y211" s="13">
        <f t="shared" ca="1" si="30"/>
        <v>0</v>
      </c>
      <c r="Z211" t="str">
        <f t="shared" ca="1" si="32"/>
        <v/>
      </c>
      <c r="AA211" t="str">
        <f t="shared" ca="1" si="33"/>
        <v/>
      </c>
      <c r="AB211" s="24" t="str">
        <f t="shared" ca="1" si="34"/>
        <v/>
      </c>
      <c r="AC211" s="24" t="str">
        <f t="shared" ca="1" si="35"/>
        <v/>
      </c>
    </row>
    <row r="212" spans="3:29" x14ac:dyDescent="0.25">
      <c r="C212" s="6">
        <v>205</v>
      </c>
      <c r="D212" s="37">
        <v>42297</v>
      </c>
      <c r="E212" s="39">
        <v>18.001000000000001</v>
      </c>
      <c r="F212" s="39">
        <v>2.499784950721132</v>
      </c>
      <c r="G212" s="39">
        <v>54.638429655034528</v>
      </c>
      <c r="H212" s="39">
        <v>40.750752238033051</v>
      </c>
      <c r="I212" s="10">
        <v>0</v>
      </c>
      <c r="J212" s="40">
        <v>0</v>
      </c>
      <c r="K212" s="40">
        <v>0</v>
      </c>
      <c r="L212" s="40">
        <v>0</v>
      </c>
      <c r="M212" s="40">
        <v>0</v>
      </c>
      <c r="N212" s="40">
        <v>0</v>
      </c>
      <c r="O212" s="40">
        <v>0</v>
      </c>
      <c r="P212" s="40">
        <v>0</v>
      </c>
      <c r="Q212" s="40">
        <v>0</v>
      </c>
      <c r="R212" s="40">
        <v>1</v>
      </c>
      <c r="S212" s="40">
        <v>0</v>
      </c>
      <c r="T212" s="29" t="str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9" t="str" cm="1">
        <f t="array" aca="1" ref="U212" ca="1">z_score_diff(OFFSET(T212,0,0,$I$5*-1,1),OFFSET(E212,0,0,$I$5*-1,1))</f>
        <v/>
      </c>
      <c r="V212" s="9" t="str">
        <f t="shared" ca="1" si="31"/>
        <v/>
      </c>
      <c r="W212" s="17">
        <f t="shared" ca="1" si="28"/>
        <v>-8.5855543815735583E-2</v>
      </c>
      <c r="X212" s="13">
        <f t="shared" ca="1" si="29"/>
        <v>0</v>
      </c>
      <c r="Y212" s="13">
        <f t="shared" ca="1" si="30"/>
        <v>0</v>
      </c>
      <c r="Z212" t="str">
        <f t="shared" ca="1" si="32"/>
        <v/>
      </c>
      <c r="AA212" t="str">
        <f t="shared" ca="1" si="33"/>
        <v/>
      </c>
      <c r="AB212" s="24" t="str">
        <f t="shared" ca="1" si="34"/>
        <v/>
      </c>
      <c r="AC212" s="24" t="str">
        <f t="shared" ca="1" si="35"/>
        <v/>
      </c>
    </row>
    <row r="213" spans="3:29" x14ac:dyDescent="0.25">
      <c r="C213" s="6">
        <v>206</v>
      </c>
      <c r="D213" s="37">
        <v>42298</v>
      </c>
      <c r="E213" s="39">
        <v>17.881</v>
      </c>
      <c r="F213" s="39">
        <v>2.4926074099843452</v>
      </c>
      <c r="G213" s="39">
        <v>54.254179355252241</v>
      </c>
      <c r="H213" s="39">
        <v>40.398330144372942</v>
      </c>
      <c r="I213" s="10">
        <v>0</v>
      </c>
      <c r="J213" s="40">
        <v>0</v>
      </c>
      <c r="K213" s="40">
        <v>0</v>
      </c>
      <c r="L213" s="40">
        <v>0</v>
      </c>
      <c r="M213" s="40">
        <v>0</v>
      </c>
      <c r="N213" s="40">
        <v>0</v>
      </c>
      <c r="O213" s="40">
        <v>0</v>
      </c>
      <c r="P213" s="40">
        <v>0</v>
      </c>
      <c r="Q213" s="40">
        <v>0</v>
      </c>
      <c r="R213" s="40">
        <v>1</v>
      </c>
      <c r="S213" s="40">
        <v>0</v>
      </c>
      <c r="T213" s="29" t="str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9" t="str" cm="1">
        <f t="array" aca="1" ref="U213" ca="1">z_score_diff(OFFSET(T213,0,0,$I$5*-1,1),OFFSET(E213,0,0,$I$5*-1,1))</f>
        <v/>
      </c>
      <c r="V213" s="9" t="str">
        <f t="shared" ca="1" si="31"/>
        <v/>
      </c>
      <c r="W213" s="17">
        <f t="shared" ca="1" si="28"/>
        <v>-8.5604067385545934E-2</v>
      </c>
      <c r="X213" s="13">
        <f t="shared" ca="1" si="29"/>
        <v>0</v>
      </c>
      <c r="Y213" s="13">
        <f t="shared" ca="1" si="30"/>
        <v>0</v>
      </c>
      <c r="Z213" t="str">
        <f t="shared" ca="1" si="32"/>
        <v/>
      </c>
      <c r="AA213" t="str">
        <f t="shared" ca="1" si="33"/>
        <v/>
      </c>
      <c r="AB213" s="24" t="str">
        <f t="shared" ca="1" si="34"/>
        <v/>
      </c>
      <c r="AC213" s="24" t="str">
        <f t="shared" ca="1" si="35"/>
        <v/>
      </c>
    </row>
    <row r="214" spans="3:29" x14ac:dyDescent="0.25">
      <c r="C214" s="6">
        <v>207</v>
      </c>
      <c r="D214" s="37">
        <v>42299</v>
      </c>
      <c r="E214" s="39">
        <v>17.949000000000002</v>
      </c>
      <c r="F214" s="39">
        <v>2.5307020657343648</v>
      </c>
      <c r="G214" s="39">
        <v>54.898221783898521</v>
      </c>
      <c r="H214" s="39">
        <v>40.862142400795058</v>
      </c>
      <c r="I214" s="10">
        <v>0</v>
      </c>
      <c r="J214" s="40">
        <v>0</v>
      </c>
      <c r="K214" s="40">
        <v>0</v>
      </c>
      <c r="L214" s="40">
        <v>0</v>
      </c>
      <c r="M214" s="40">
        <v>0</v>
      </c>
      <c r="N214" s="40">
        <v>0</v>
      </c>
      <c r="O214" s="40">
        <v>0</v>
      </c>
      <c r="P214" s="40">
        <v>0</v>
      </c>
      <c r="Q214" s="40">
        <v>0</v>
      </c>
      <c r="R214" s="40">
        <v>1</v>
      </c>
      <c r="S214" s="40">
        <v>0</v>
      </c>
      <c r="T214" s="29" t="str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9" t="str" cm="1">
        <f t="array" aca="1" ref="U214" ca="1">z_score_diff(OFFSET(T214,0,0,$I$5*-1,1),OFFSET(E214,0,0,$I$5*-1,1))</f>
        <v/>
      </c>
      <c r="V214" s="9" t="str">
        <f t="shared" ca="1" si="31"/>
        <v/>
      </c>
      <c r="W214" s="17">
        <f t="shared" ca="1" si="28"/>
        <v>-9.2267290552257658E-2</v>
      </c>
      <c r="X214" s="13">
        <f t="shared" ca="1" si="29"/>
        <v>0</v>
      </c>
      <c r="Y214" s="13">
        <f t="shared" ca="1" si="30"/>
        <v>0</v>
      </c>
      <c r="Z214" t="str">
        <f t="shared" ca="1" si="32"/>
        <v/>
      </c>
      <c r="AA214" t="str">
        <f t="shared" ca="1" si="33"/>
        <v/>
      </c>
      <c r="AB214" s="24" t="str">
        <f t="shared" ca="1" si="34"/>
        <v/>
      </c>
      <c r="AC214" s="24" t="str">
        <f t="shared" ca="1" si="35"/>
        <v/>
      </c>
    </row>
    <row r="215" spans="3:29" x14ac:dyDescent="0.25">
      <c r="C215" s="6">
        <v>208</v>
      </c>
      <c r="D215" s="37">
        <v>42300</v>
      </c>
      <c r="E215" s="39">
        <v>18.007000000000001</v>
      </c>
      <c r="F215" s="39">
        <v>2.5084897229669347</v>
      </c>
      <c r="G215" s="39">
        <v>54.989420900359391</v>
      </c>
      <c r="H215" s="39">
        <v>41.465594280607682</v>
      </c>
      <c r="I215" s="10">
        <v>0</v>
      </c>
      <c r="J215" s="40">
        <v>0</v>
      </c>
      <c r="K215" s="40">
        <v>0</v>
      </c>
      <c r="L215" s="40">
        <v>0</v>
      </c>
      <c r="M215" s="40">
        <v>0</v>
      </c>
      <c r="N215" s="40">
        <v>0</v>
      </c>
      <c r="O215" s="40">
        <v>0</v>
      </c>
      <c r="P215" s="40">
        <v>0</v>
      </c>
      <c r="Q215" s="40">
        <v>0</v>
      </c>
      <c r="R215" s="40">
        <v>1</v>
      </c>
      <c r="S215" s="40">
        <v>0</v>
      </c>
      <c r="T215" s="29" t="str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9" t="str" cm="1">
        <f t="array" aca="1" ref="U215" ca="1">z_score_diff(OFFSET(T215,0,0,$I$5*-1,1),OFFSET(E215,0,0,$I$5*-1,1))</f>
        <v/>
      </c>
      <c r="V215" s="9" t="str">
        <f t="shared" ca="1" si="31"/>
        <v/>
      </c>
      <c r="W215" s="17">
        <f t="shared" ca="1" si="28"/>
        <v>-0.10303696136331718</v>
      </c>
      <c r="X215" s="13">
        <f t="shared" ca="1" si="29"/>
        <v>0</v>
      </c>
      <c r="Y215" s="13">
        <f t="shared" ca="1" si="30"/>
        <v>0</v>
      </c>
      <c r="Z215" t="str">
        <f t="shared" ca="1" si="32"/>
        <v/>
      </c>
      <c r="AA215" t="str">
        <f t="shared" ca="1" si="33"/>
        <v/>
      </c>
      <c r="AB215" s="24" t="str">
        <f t="shared" ca="1" si="34"/>
        <v/>
      </c>
      <c r="AC215" s="24" t="str">
        <f t="shared" ca="1" si="35"/>
        <v/>
      </c>
    </row>
    <row r="216" spans="3:29" x14ac:dyDescent="0.25">
      <c r="C216" s="6">
        <v>209</v>
      </c>
      <c r="D216" s="37">
        <v>42303</v>
      </c>
      <c r="E216" s="39">
        <v>17.832999999999998</v>
      </c>
      <c r="F216" s="39">
        <v>2.4410661964430433</v>
      </c>
      <c r="G216" s="39">
        <v>54.161245530979741</v>
      </c>
      <c r="H216" s="39">
        <v>41.946084586817712</v>
      </c>
      <c r="I216" s="10">
        <v>0</v>
      </c>
      <c r="J216" s="40">
        <v>0</v>
      </c>
      <c r="K216" s="40">
        <v>0</v>
      </c>
      <c r="L216" s="40">
        <v>0</v>
      </c>
      <c r="M216" s="40">
        <v>0</v>
      </c>
      <c r="N216" s="40">
        <v>0</v>
      </c>
      <c r="O216" s="40">
        <v>0</v>
      </c>
      <c r="P216" s="40">
        <v>0</v>
      </c>
      <c r="Q216" s="40">
        <v>0</v>
      </c>
      <c r="R216" s="40">
        <v>1</v>
      </c>
      <c r="S216" s="40">
        <v>0</v>
      </c>
      <c r="T216" s="29" t="str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9" t="str" cm="1">
        <f t="array" aca="1" ref="U216" ca="1">z_score_diff(OFFSET(T216,0,0,$I$5*-1,1),OFFSET(E216,0,0,$I$5*-1,1))</f>
        <v/>
      </c>
      <c r="V216" s="9" t="str">
        <f t="shared" ca="1" si="31"/>
        <v/>
      </c>
      <c r="W216" s="17">
        <f t="shared" ca="1" si="28"/>
        <v>-0.11246997262813369</v>
      </c>
      <c r="X216" s="13">
        <f t="shared" ca="1" si="29"/>
        <v>0</v>
      </c>
      <c r="Y216" s="13">
        <f t="shared" ca="1" si="30"/>
        <v>0</v>
      </c>
      <c r="Z216" t="str">
        <f t="shared" ca="1" si="32"/>
        <v/>
      </c>
      <c r="AA216" t="str">
        <f t="shared" ca="1" si="33"/>
        <v/>
      </c>
      <c r="AB216" s="24" t="str">
        <f t="shared" ca="1" si="34"/>
        <v/>
      </c>
      <c r="AC216" s="24" t="str">
        <f t="shared" ca="1" si="35"/>
        <v/>
      </c>
    </row>
    <row r="217" spans="3:29" x14ac:dyDescent="0.25">
      <c r="C217" s="6">
        <v>210</v>
      </c>
      <c r="D217" s="37">
        <v>42304</v>
      </c>
      <c r="E217" s="39">
        <v>17.725000000000001</v>
      </c>
      <c r="F217" s="39">
        <v>2.4463060333303628</v>
      </c>
      <c r="G217" s="39">
        <v>53.87103419016789</v>
      </c>
      <c r="H217" s="39">
        <v>41.707512699402898</v>
      </c>
      <c r="I217" s="10">
        <v>0</v>
      </c>
      <c r="J217" s="40">
        <v>0</v>
      </c>
      <c r="K217" s="40">
        <v>0</v>
      </c>
      <c r="L217" s="40">
        <v>0</v>
      </c>
      <c r="M217" s="40">
        <v>0</v>
      </c>
      <c r="N217" s="40">
        <v>0</v>
      </c>
      <c r="O217" s="40">
        <v>0</v>
      </c>
      <c r="P217" s="40">
        <v>0</v>
      </c>
      <c r="Q217" s="40">
        <v>0</v>
      </c>
      <c r="R217" s="40">
        <v>1</v>
      </c>
      <c r="S217" s="40">
        <v>0</v>
      </c>
      <c r="T217" s="29" t="str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9" t="str" cm="1">
        <f t="array" aca="1" ref="U217" ca="1">z_score_diff(OFFSET(T217,0,0,$I$5*-1,1),OFFSET(E217,0,0,$I$5*-1,1))</f>
        <v/>
      </c>
      <c r="V217" s="9" t="str">
        <f t="shared" ca="1" si="31"/>
        <v/>
      </c>
      <c r="W217" s="17">
        <f t="shared" ca="1" si="28"/>
        <v>-9.5908384080701015E-2</v>
      </c>
      <c r="X217" s="13">
        <f t="shared" ca="1" si="29"/>
        <v>0</v>
      </c>
      <c r="Y217" s="13">
        <f t="shared" ca="1" si="30"/>
        <v>0</v>
      </c>
      <c r="Z217" t="str">
        <f t="shared" ca="1" si="32"/>
        <v/>
      </c>
      <c r="AA217" t="str">
        <f t="shared" ca="1" si="33"/>
        <v/>
      </c>
      <c r="AB217" s="24" t="str">
        <f t="shared" ca="1" si="34"/>
        <v/>
      </c>
      <c r="AC217" s="24" t="str">
        <f t="shared" ca="1" si="35"/>
        <v/>
      </c>
    </row>
    <row r="218" spans="3:29" x14ac:dyDescent="0.25">
      <c r="C218" s="6">
        <v>211</v>
      </c>
      <c r="D218" s="37">
        <v>42305</v>
      </c>
      <c r="E218" s="39">
        <v>17.739999999999998</v>
      </c>
      <c r="F218" s="39">
        <v>2.4545374238083819</v>
      </c>
      <c r="G218" s="39">
        <v>54.511933004985799</v>
      </c>
      <c r="H218" s="39">
        <v>42.140883056570637</v>
      </c>
      <c r="I218" s="10">
        <v>0</v>
      </c>
      <c r="J218" s="40">
        <v>0</v>
      </c>
      <c r="K218" s="40">
        <v>0</v>
      </c>
      <c r="L218" s="40">
        <v>0</v>
      </c>
      <c r="M218" s="40">
        <v>0</v>
      </c>
      <c r="N218" s="40">
        <v>0</v>
      </c>
      <c r="O218" s="40">
        <v>0</v>
      </c>
      <c r="P218" s="40">
        <v>0</v>
      </c>
      <c r="Q218" s="40">
        <v>0</v>
      </c>
      <c r="R218" s="40">
        <v>1</v>
      </c>
      <c r="S218" s="40">
        <v>0</v>
      </c>
      <c r="T218" s="29" t="str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9" t="str" cm="1">
        <f t="array" aca="1" ref="U218" ca="1">z_score_diff(OFFSET(T218,0,0,$I$5*-1,1),OFFSET(E218,0,0,$I$5*-1,1))</f>
        <v/>
      </c>
      <c r="V218" s="9" t="str">
        <f t="shared" ca="1" si="31"/>
        <v/>
      </c>
      <c r="W218" s="17">
        <f t="shared" ca="1" si="28"/>
        <v>-0.1161285426273848</v>
      </c>
      <c r="X218" s="13">
        <f t="shared" ca="1" si="29"/>
        <v>0</v>
      </c>
      <c r="Y218" s="13">
        <f t="shared" ca="1" si="30"/>
        <v>0</v>
      </c>
      <c r="Z218" t="str">
        <f t="shared" ca="1" si="32"/>
        <v/>
      </c>
      <c r="AA218" t="str">
        <f t="shared" ca="1" si="33"/>
        <v/>
      </c>
      <c r="AB218" s="24" t="str">
        <f t="shared" ca="1" si="34"/>
        <v/>
      </c>
      <c r="AC218" s="24" t="str">
        <f t="shared" ca="1" si="35"/>
        <v/>
      </c>
    </row>
    <row r="219" spans="3:29" x14ac:dyDescent="0.25">
      <c r="C219" s="6">
        <v>212</v>
      </c>
      <c r="D219" s="37">
        <v>42306</v>
      </c>
      <c r="E219" s="39">
        <v>17.760000000000002</v>
      </c>
      <c r="F219" s="39">
        <v>2.4065912117773398</v>
      </c>
      <c r="G219" s="39">
        <v>54.022094460471827</v>
      </c>
      <c r="H219" s="39">
        <v>42.319104859128878</v>
      </c>
      <c r="I219" s="10">
        <v>0</v>
      </c>
      <c r="J219" s="40">
        <v>0</v>
      </c>
      <c r="K219" s="40">
        <v>0</v>
      </c>
      <c r="L219" s="40">
        <v>0</v>
      </c>
      <c r="M219" s="40">
        <v>0</v>
      </c>
      <c r="N219" s="40">
        <v>0</v>
      </c>
      <c r="O219" s="40">
        <v>0</v>
      </c>
      <c r="P219" s="40">
        <v>0</v>
      </c>
      <c r="Q219" s="40">
        <v>0</v>
      </c>
      <c r="R219" s="40">
        <v>1</v>
      </c>
      <c r="S219" s="40">
        <v>0</v>
      </c>
      <c r="T219" s="29" t="str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9" t="str" cm="1">
        <f t="array" aca="1" ref="U219" ca="1">z_score_diff(OFFSET(T219,0,0,$I$5*-1,1),OFFSET(E219,0,0,$I$5*-1,1))</f>
        <v/>
      </c>
      <c r="V219" s="9" t="str">
        <f t="shared" ca="1" si="31"/>
        <v/>
      </c>
      <c r="W219" s="17">
        <f t="shared" ca="1" si="28"/>
        <v>-0.1178252662778134</v>
      </c>
      <c r="X219" s="13">
        <f t="shared" ca="1" si="29"/>
        <v>0</v>
      </c>
      <c r="Y219" s="13">
        <f t="shared" ca="1" si="30"/>
        <v>0</v>
      </c>
      <c r="Z219" t="str">
        <f t="shared" ca="1" si="32"/>
        <v/>
      </c>
      <c r="AA219" t="str">
        <f t="shared" ca="1" si="33"/>
        <v/>
      </c>
      <c r="AB219" s="24" t="str">
        <f t="shared" ca="1" si="34"/>
        <v/>
      </c>
      <c r="AC219" s="24" t="str">
        <f t="shared" ca="1" si="35"/>
        <v/>
      </c>
    </row>
    <row r="220" spans="3:29" x14ac:dyDescent="0.25">
      <c r="C220" s="6">
        <v>213</v>
      </c>
      <c r="D220" s="37">
        <v>42307</v>
      </c>
      <c r="E220" s="39">
        <v>17.515000000000001</v>
      </c>
      <c r="F220" s="39">
        <v>2.4143478179315569</v>
      </c>
      <c r="G220" s="39">
        <v>48.988094416929926</v>
      </c>
      <c r="H220" s="39">
        <v>42.11487222178058</v>
      </c>
      <c r="I220" s="10">
        <v>0</v>
      </c>
      <c r="J220" s="40">
        <v>0</v>
      </c>
      <c r="K220" s="40">
        <v>0</v>
      </c>
      <c r="L220" s="40">
        <v>0</v>
      </c>
      <c r="M220" s="40">
        <v>0</v>
      </c>
      <c r="N220" s="40">
        <v>0</v>
      </c>
      <c r="O220" s="40">
        <v>0</v>
      </c>
      <c r="P220" s="40">
        <v>0</v>
      </c>
      <c r="Q220" s="40">
        <v>0</v>
      </c>
      <c r="R220" s="40">
        <v>1</v>
      </c>
      <c r="S220" s="40">
        <v>0</v>
      </c>
      <c r="T220" s="29" t="str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9" t="str" cm="1">
        <f t="array" aca="1" ref="U220" ca="1">z_score_diff(OFFSET(T220,0,0,$I$5*-1,1),OFFSET(E220,0,0,$I$5*-1,1))</f>
        <v/>
      </c>
      <c r="V220" s="9" t="str">
        <f t="shared" ca="1" si="31"/>
        <v/>
      </c>
      <c r="W220" s="17">
        <f t="shared" ca="1" si="28"/>
        <v>-0.12189510409703781</v>
      </c>
      <c r="X220" s="13">
        <f t="shared" ca="1" si="29"/>
        <v>0</v>
      </c>
      <c r="Y220" s="13">
        <f t="shared" ca="1" si="30"/>
        <v>0</v>
      </c>
      <c r="Z220" t="str">
        <f t="shared" ca="1" si="32"/>
        <v/>
      </c>
      <c r="AA220" t="str">
        <f t="shared" ca="1" si="33"/>
        <v/>
      </c>
      <c r="AB220" s="24" t="str">
        <f t="shared" ca="1" si="34"/>
        <v/>
      </c>
      <c r="AC220" s="24" t="str">
        <f t="shared" ca="1" si="35"/>
        <v/>
      </c>
    </row>
    <row r="221" spans="3:29" x14ac:dyDescent="0.25">
      <c r="C221" s="6">
        <v>214</v>
      </c>
      <c r="D221" s="37">
        <v>42310</v>
      </c>
      <c r="E221" s="39">
        <v>17.388000000000002</v>
      </c>
      <c r="F221" s="39">
        <v>2.4119237078437976</v>
      </c>
      <c r="G221" s="39">
        <v>48.327004469215289</v>
      </c>
      <c r="H221" s="39">
        <v>42.237686553503003</v>
      </c>
      <c r="I221" s="10">
        <v>0</v>
      </c>
      <c r="J221" s="40">
        <v>0</v>
      </c>
      <c r="K221" s="40">
        <v>0</v>
      </c>
      <c r="L221" s="40">
        <v>0</v>
      </c>
      <c r="M221" s="40">
        <v>0</v>
      </c>
      <c r="N221" s="40">
        <v>0</v>
      </c>
      <c r="O221" s="40">
        <v>0</v>
      </c>
      <c r="P221" s="40">
        <v>0</v>
      </c>
      <c r="Q221" s="40">
        <v>0</v>
      </c>
      <c r="R221" s="40">
        <v>0</v>
      </c>
      <c r="S221" s="40">
        <v>1</v>
      </c>
      <c r="T221" s="29" t="str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9" t="str" cm="1">
        <f t="array" aca="1" ref="U221" ca="1">z_score_diff(OFFSET(T221,0,0,$I$5*-1,1),OFFSET(E221,0,0,$I$5*-1,1))</f>
        <v/>
      </c>
      <c r="V221" s="9" t="str">
        <f t="shared" ca="1" si="31"/>
        <v/>
      </c>
      <c r="W221" s="17">
        <f t="shared" ca="1" si="28"/>
        <v>-0.12799284634130381</v>
      </c>
      <c r="X221" s="13">
        <f t="shared" ca="1" si="29"/>
        <v>0</v>
      </c>
      <c r="Y221" s="13">
        <f t="shared" ca="1" si="30"/>
        <v>0</v>
      </c>
      <c r="Z221" t="str">
        <f t="shared" ca="1" si="32"/>
        <v/>
      </c>
      <c r="AA221" t="str">
        <f t="shared" ca="1" si="33"/>
        <v/>
      </c>
      <c r="AB221" s="24" t="str">
        <f t="shared" ca="1" si="34"/>
        <v/>
      </c>
      <c r="AC221" s="24" t="str">
        <f t="shared" ca="1" si="35"/>
        <v/>
      </c>
    </row>
    <row r="222" spans="3:29" x14ac:dyDescent="0.25">
      <c r="C222" s="6">
        <v>215</v>
      </c>
      <c r="D222" s="37">
        <v>42311</v>
      </c>
      <c r="E222" s="39">
        <v>17.481000000000002</v>
      </c>
      <c r="F222" s="39">
        <v>2.4287251210328136</v>
      </c>
      <c r="G222" s="39">
        <v>48.209766419117948</v>
      </c>
      <c r="H222" s="39">
        <v>42.944235251927559</v>
      </c>
      <c r="I222" s="10">
        <v>0</v>
      </c>
      <c r="J222" s="40">
        <v>0</v>
      </c>
      <c r="K222" s="40">
        <v>0</v>
      </c>
      <c r="L222" s="40">
        <v>0</v>
      </c>
      <c r="M222" s="40">
        <v>0</v>
      </c>
      <c r="N222" s="40">
        <v>0</v>
      </c>
      <c r="O222" s="40">
        <v>0</v>
      </c>
      <c r="P222" s="40">
        <v>0</v>
      </c>
      <c r="Q222" s="40">
        <v>0</v>
      </c>
      <c r="R222" s="40">
        <v>0</v>
      </c>
      <c r="S222" s="40">
        <v>1</v>
      </c>
      <c r="T222" s="29" t="str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9" t="str" cm="1">
        <f t="array" aca="1" ref="U222" ca="1">z_score_diff(OFFSET(T222,0,0,$I$5*-1,1),OFFSET(E222,0,0,$I$5*-1,1))</f>
        <v/>
      </c>
      <c r="V222" s="9" t="str">
        <f t="shared" ca="1" si="31"/>
        <v/>
      </c>
      <c r="W222" s="17">
        <f t="shared" ca="1" si="28"/>
        <v>-0.1352899476276723</v>
      </c>
      <c r="X222" s="13">
        <f t="shared" ca="1" si="29"/>
        <v>0</v>
      </c>
      <c r="Y222" s="13">
        <f t="shared" ca="1" si="30"/>
        <v>0</v>
      </c>
      <c r="Z222" t="str">
        <f t="shared" ca="1" si="32"/>
        <v/>
      </c>
      <c r="AA222" t="str">
        <f t="shared" ca="1" si="33"/>
        <v/>
      </c>
      <c r="AB222" s="24" t="str">
        <f t="shared" ca="1" si="34"/>
        <v/>
      </c>
      <c r="AC222" s="24" t="str">
        <f t="shared" ca="1" si="35"/>
        <v/>
      </c>
    </row>
    <row r="223" spans="3:29" x14ac:dyDescent="0.25">
      <c r="C223" s="6">
        <v>216</v>
      </c>
      <c r="D223" s="37">
        <v>42312</v>
      </c>
      <c r="E223" s="39">
        <v>17.465</v>
      </c>
      <c r="F223" s="39">
        <v>2.45378123888809</v>
      </c>
      <c r="G223" s="39">
        <v>48.002427965033959</v>
      </c>
      <c r="H223" s="39">
        <v>42.841645155365434</v>
      </c>
      <c r="I223" s="10">
        <v>0</v>
      </c>
      <c r="J223" s="40">
        <v>0</v>
      </c>
      <c r="K223" s="40">
        <v>0</v>
      </c>
      <c r="L223" s="40">
        <v>0</v>
      </c>
      <c r="M223" s="40">
        <v>0</v>
      </c>
      <c r="N223" s="40">
        <v>0</v>
      </c>
      <c r="O223" s="40">
        <v>0</v>
      </c>
      <c r="P223" s="40">
        <v>0</v>
      </c>
      <c r="Q223" s="40">
        <v>0</v>
      </c>
      <c r="R223" s="40">
        <v>0</v>
      </c>
      <c r="S223" s="40">
        <v>1</v>
      </c>
      <c r="T223" s="29" t="str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9" t="str" cm="1">
        <f t="array" aca="1" ref="U223" ca="1">z_score_diff(OFFSET(T223,0,0,$I$5*-1,1),OFFSET(E223,0,0,$I$5*-1,1))</f>
        <v/>
      </c>
      <c r="V223" s="9" t="str">
        <f t="shared" ca="1" si="31"/>
        <v/>
      </c>
      <c r="W223" s="17">
        <f t="shared" ca="1" si="28"/>
        <v>-0.14391599223010887</v>
      </c>
      <c r="X223" s="13">
        <f t="shared" ca="1" si="29"/>
        <v>0</v>
      </c>
      <c r="Y223" s="13">
        <f t="shared" ca="1" si="30"/>
        <v>0</v>
      </c>
      <c r="Z223" t="str">
        <f t="shared" ca="1" si="32"/>
        <v/>
      </c>
      <c r="AA223" t="str">
        <f t="shared" ca="1" si="33"/>
        <v/>
      </c>
      <c r="AB223" s="24" t="str">
        <f t="shared" ca="1" si="34"/>
        <v/>
      </c>
      <c r="AC223" s="24" t="str">
        <f t="shared" ca="1" si="35"/>
        <v/>
      </c>
    </row>
    <row r="224" spans="3:29" x14ac:dyDescent="0.25">
      <c r="C224" s="6">
        <v>217</v>
      </c>
      <c r="D224" s="37">
        <v>42313</v>
      </c>
      <c r="E224" s="39">
        <v>17.126999999999999</v>
      </c>
      <c r="F224" s="39">
        <v>2.4669663988701802</v>
      </c>
      <c r="G224" s="39">
        <v>46.527935322870057</v>
      </c>
      <c r="H224" s="39">
        <v>42.350191840048112</v>
      </c>
      <c r="I224" s="10">
        <v>0</v>
      </c>
      <c r="J224" s="40">
        <v>0</v>
      </c>
      <c r="K224" s="40">
        <v>0</v>
      </c>
      <c r="L224" s="40">
        <v>0</v>
      </c>
      <c r="M224" s="40">
        <v>0</v>
      </c>
      <c r="N224" s="40">
        <v>0</v>
      </c>
      <c r="O224" s="40">
        <v>0</v>
      </c>
      <c r="P224" s="40">
        <v>0</v>
      </c>
      <c r="Q224" s="40">
        <v>0</v>
      </c>
      <c r="R224" s="40">
        <v>0</v>
      </c>
      <c r="S224" s="40">
        <v>1</v>
      </c>
      <c r="T224" s="29" t="str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9" t="str" cm="1">
        <f t="array" aca="1" ref="U224" ca="1">z_score_diff(OFFSET(T224,0,0,$I$5*-1,1),OFFSET(E224,0,0,$I$5*-1,1))</f>
        <v/>
      </c>
      <c r="V224" s="9" t="str">
        <f t="shared" ca="1" si="31"/>
        <v/>
      </c>
      <c r="W224" s="17">
        <f t="shared" ca="1" si="28"/>
        <v>-0.13047490353906757</v>
      </c>
      <c r="X224" s="13">
        <f t="shared" ca="1" si="29"/>
        <v>0</v>
      </c>
      <c r="Y224" s="13">
        <f t="shared" ca="1" si="30"/>
        <v>0</v>
      </c>
      <c r="Z224" t="str">
        <f t="shared" ca="1" si="32"/>
        <v/>
      </c>
      <c r="AA224" t="str">
        <f t="shared" ca="1" si="33"/>
        <v/>
      </c>
      <c r="AB224" s="24" t="str">
        <f t="shared" ca="1" si="34"/>
        <v/>
      </c>
      <c r="AC224" s="24" t="str">
        <f t="shared" ca="1" si="35"/>
        <v/>
      </c>
    </row>
    <row r="225" spans="3:29" x14ac:dyDescent="0.25">
      <c r="C225" s="6">
        <v>218</v>
      </c>
      <c r="D225" s="37">
        <v>42314</v>
      </c>
      <c r="E225" s="39">
        <v>16.998000000000001</v>
      </c>
      <c r="F225" s="39">
        <v>2.5033336654050986</v>
      </c>
      <c r="G225" s="39">
        <v>46.405407118895418</v>
      </c>
      <c r="H225" s="39">
        <v>42.681884693106284</v>
      </c>
      <c r="I225" s="10">
        <v>0</v>
      </c>
      <c r="J225" s="40">
        <v>0</v>
      </c>
      <c r="K225" s="40">
        <v>0</v>
      </c>
      <c r="L225" s="40">
        <v>0</v>
      </c>
      <c r="M225" s="40">
        <v>0</v>
      </c>
      <c r="N225" s="40">
        <v>0</v>
      </c>
      <c r="O225" s="40">
        <v>0</v>
      </c>
      <c r="P225" s="40">
        <v>0</v>
      </c>
      <c r="Q225" s="40">
        <v>0</v>
      </c>
      <c r="R225" s="40">
        <v>0</v>
      </c>
      <c r="S225" s="40">
        <v>1</v>
      </c>
      <c r="T225" s="29" t="str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9" t="str" cm="1">
        <f t="array" aca="1" ref="U225" ca="1">z_score_diff(OFFSET(T225,0,0,$I$5*-1,1),OFFSET(E225,0,0,$I$5*-1,1))</f>
        <v/>
      </c>
      <c r="V225" s="9" t="str">
        <f t="shared" ca="1" si="31"/>
        <v/>
      </c>
      <c r="W225" s="17">
        <f t="shared" ca="1" si="28"/>
        <v>-9.8728180656851072E-2</v>
      </c>
      <c r="X225" s="13">
        <f t="shared" ca="1" si="29"/>
        <v>0</v>
      </c>
      <c r="Y225" s="13">
        <f t="shared" ca="1" si="30"/>
        <v>0</v>
      </c>
      <c r="Z225" t="str">
        <f t="shared" ca="1" si="32"/>
        <v/>
      </c>
      <c r="AA225" t="str">
        <f t="shared" ca="1" si="33"/>
        <v/>
      </c>
      <c r="AB225" s="24" t="str">
        <f t="shared" ca="1" si="34"/>
        <v/>
      </c>
      <c r="AC225" s="24" t="str">
        <f t="shared" ca="1" si="35"/>
        <v/>
      </c>
    </row>
    <row r="226" spans="3:29" x14ac:dyDescent="0.25">
      <c r="C226" s="6">
        <v>219</v>
      </c>
      <c r="D226" s="37">
        <v>42317</v>
      </c>
      <c r="E226" s="39">
        <v>16.565999999999999</v>
      </c>
      <c r="F226" s="39">
        <v>2.475849757745801</v>
      </c>
      <c r="G226" s="39">
        <v>45.597851551971743</v>
      </c>
      <c r="H226" s="39">
        <v>41.87165858241427</v>
      </c>
      <c r="I226" s="10">
        <v>0</v>
      </c>
      <c r="J226" s="40">
        <v>0</v>
      </c>
      <c r="K226" s="40">
        <v>0</v>
      </c>
      <c r="L226" s="40">
        <v>0</v>
      </c>
      <c r="M226" s="40">
        <v>0</v>
      </c>
      <c r="N226" s="40">
        <v>0</v>
      </c>
      <c r="O226" s="40">
        <v>0</v>
      </c>
      <c r="P226" s="40">
        <v>0</v>
      </c>
      <c r="Q226" s="40">
        <v>0</v>
      </c>
      <c r="R226" s="40">
        <v>0</v>
      </c>
      <c r="S226" s="40">
        <v>1</v>
      </c>
      <c r="T226" s="29" t="str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9" t="str" cm="1">
        <f t="array" aca="1" ref="U226" ca="1">z_score_diff(OFFSET(T226,0,0,$I$5*-1,1),OFFSET(E226,0,0,$I$5*-1,1))</f>
        <v/>
      </c>
      <c r="V226" s="9" t="str">
        <f t="shared" ca="1" si="31"/>
        <v/>
      </c>
      <c r="W226" s="17">
        <f t="shared" ca="1" si="28"/>
        <v>-5.8672224987966766E-2</v>
      </c>
      <c r="X226" s="13">
        <f t="shared" ca="1" si="29"/>
        <v>0</v>
      </c>
      <c r="Y226" s="13">
        <f t="shared" ca="1" si="30"/>
        <v>0</v>
      </c>
      <c r="Z226" t="str">
        <f t="shared" ca="1" si="32"/>
        <v/>
      </c>
      <c r="AA226" t="str">
        <f t="shared" ca="1" si="33"/>
        <v/>
      </c>
      <c r="AB226" s="24" t="str">
        <f t="shared" ca="1" si="34"/>
        <v/>
      </c>
      <c r="AC226" s="24" t="str">
        <f t="shared" ca="1" si="35"/>
        <v/>
      </c>
    </row>
    <row r="227" spans="3:29" x14ac:dyDescent="0.25">
      <c r="C227" s="6">
        <v>220</v>
      </c>
      <c r="D227" s="37">
        <v>42318</v>
      </c>
      <c r="E227" s="39">
        <v>16.484000000000002</v>
      </c>
      <c r="F227" s="39">
        <v>2.5127512065411999</v>
      </c>
      <c r="G227" s="39">
        <v>45.185923849652085</v>
      </c>
      <c r="H227" s="39">
        <v>41.742027867032661</v>
      </c>
      <c r="I227" s="10">
        <v>0</v>
      </c>
      <c r="J227" s="40">
        <v>0</v>
      </c>
      <c r="K227" s="40">
        <v>0</v>
      </c>
      <c r="L227" s="40">
        <v>0</v>
      </c>
      <c r="M227" s="40">
        <v>0</v>
      </c>
      <c r="N227" s="40">
        <v>0</v>
      </c>
      <c r="O227" s="40">
        <v>0</v>
      </c>
      <c r="P227" s="40">
        <v>0</v>
      </c>
      <c r="Q227" s="40">
        <v>0</v>
      </c>
      <c r="R227" s="40">
        <v>0</v>
      </c>
      <c r="S227" s="40">
        <v>1</v>
      </c>
      <c r="T227" s="29" t="str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9" t="str" cm="1">
        <f t="array" aca="1" ref="U227" ca="1">z_score_diff(OFFSET(T227,0,0,$I$5*-1,1),OFFSET(E227,0,0,$I$5*-1,1))</f>
        <v/>
      </c>
      <c r="V227" s="9" t="str">
        <f t="shared" ca="1" si="31"/>
        <v/>
      </c>
      <c r="W227" s="17">
        <f t="shared" ca="1" si="28"/>
        <v>-7.1665695335488666E-2</v>
      </c>
      <c r="X227" s="13">
        <f t="shared" ca="1" si="29"/>
        <v>0</v>
      </c>
      <c r="Y227" s="13">
        <f t="shared" ca="1" si="30"/>
        <v>0</v>
      </c>
      <c r="Z227" t="str">
        <f t="shared" ca="1" si="32"/>
        <v/>
      </c>
      <c r="AA227" t="str">
        <f t="shared" ca="1" si="33"/>
        <v/>
      </c>
      <c r="AB227" s="24" t="str">
        <f t="shared" ca="1" si="34"/>
        <v/>
      </c>
      <c r="AC227" s="24" t="str">
        <f t="shared" ca="1" si="35"/>
        <v/>
      </c>
    </row>
    <row r="228" spans="3:29" x14ac:dyDescent="0.25">
      <c r="C228" s="6">
        <v>221</v>
      </c>
      <c r="D228" s="37">
        <v>42319</v>
      </c>
      <c r="E228" s="39">
        <v>16.170999999999999</v>
      </c>
      <c r="F228" s="39">
        <v>2.5095156269819472</v>
      </c>
      <c r="G228" s="39">
        <v>44.320287573321444</v>
      </c>
      <c r="H228" s="39">
        <v>41.201683839358147</v>
      </c>
      <c r="I228" s="10">
        <v>0</v>
      </c>
      <c r="J228" s="40">
        <v>0</v>
      </c>
      <c r="K228" s="40">
        <v>0</v>
      </c>
      <c r="L228" s="40">
        <v>0</v>
      </c>
      <c r="M228" s="40">
        <v>0</v>
      </c>
      <c r="N228" s="40">
        <v>0</v>
      </c>
      <c r="O228" s="40">
        <v>0</v>
      </c>
      <c r="P228" s="40">
        <v>0</v>
      </c>
      <c r="Q228" s="40">
        <v>0</v>
      </c>
      <c r="R228" s="40">
        <v>0</v>
      </c>
      <c r="S228" s="40">
        <v>1</v>
      </c>
      <c r="T228" s="29" t="str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9" t="str" cm="1">
        <f t="array" aca="1" ref="U228" ca="1">z_score_diff(OFFSET(T228,0,0,$I$5*-1,1),OFFSET(E228,0,0,$I$5*-1,1))</f>
        <v/>
      </c>
      <c r="V228" s="9" t="str">
        <f t="shared" ca="1" si="31"/>
        <v/>
      </c>
      <c r="W228" s="17">
        <f t="shared" ca="1" si="28"/>
        <v>-7.0314450767414508E-2</v>
      </c>
      <c r="X228" s="13">
        <f t="shared" ca="1" si="29"/>
        <v>0</v>
      </c>
      <c r="Y228" s="13">
        <f t="shared" ca="1" si="30"/>
        <v>0</v>
      </c>
      <c r="Z228" t="str">
        <f t="shared" ca="1" si="32"/>
        <v/>
      </c>
      <c r="AA228" t="str">
        <f t="shared" ca="1" si="33"/>
        <v/>
      </c>
      <c r="AB228" s="24" t="str">
        <f t="shared" ca="1" si="34"/>
        <v/>
      </c>
      <c r="AC228" s="24" t="str">
        <f t="shared" ca="1" si="35"/>
        <v/>
      </c>
    </row>
    <row r="229" spans="3:29" x14ac:dyDescent="0.25">
      <c r="C229" s="6">
        <v>222</v>
      </c>
      <c r="D229" s="37">
        <v>42320</v>
      </c>
      <c r="E229" s="39">
        <v>16.048999999999999</v>
      </c>
      <c r="F229" s="39">
        <v>2.5014795889235204</v>
      </c>
      <c r="G229" s="39">
        <v>44.006943656161667</v>
      </c>
      <c r="H229" s="39">
        <v>40.195876727810926</v>
      </c>
      <c r="I229" s="10">
        <v>0</v>
      </c>
      <c r="J229" s="40">
        <v>0</v>
      </c>
      <c r="K229" s="40">
        <v>0</v>
      </c>
      <c r="L229" s="40">
        <v>0</v>
      </c>
      <c r="M229" s="40">
        <v>0</v>
      </c>
      <c r="N229" s="40">
        <v>0</v>
      </c>
      <c r="O229" s="40">
        <v>0</v>
      </c>
      <c r="P229" s="40">
        <v>0</v>
      </c>
      <c r="Q229" s="40">
        <v>0</v>
      </c>
      <c r="R229" s="40">
        <v>0</v>
      </c>
      <c r="S229" s="40">
        <v>1</v>
      </c>
      <c r="T229" s="29" t="str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9" t="str" cm="1">
        <f t="array" aca="1" ref="U229" ca="1">z_score_diff(OFFSET(T229,0,0,$I$5*-1,1),OFFSET(E229,0,0,$I$5*-1,1))</f>
        <v/>
      </c>
      <c r="V229" s="9" t="str">
        <f t="shared" ca="1" si="31"/>
        <v/>
      </c>
      <c r="W229" s="17">
        <f t="shared" ca="1" si="28"/>
        <v>-7.7983434123295947E-2</v>
      </c>
      <c r="X229" s="13">
        <f t="shared" ca="1" si="29"/>
        <v>0</v>
      </c>
      <c r="Y229" s="13">
        <f t="shared" ca="1" si="30"/>
        <v>0</v>
      </c>
      <c r="Z229" t="str">
        <f t="shared" ca="1" si="32"/>
        <v/>
      </c>
      <c r="AA229" t="str">
        <f t="shared" ca="1" si="33"/>
        <v/>
      </c>
      <c r="AB229" s="24" t="str">
        <f t="shared" ca="1" si="34"/>
        <v/>
      </c>
      <c r="AC229" s="24" t="str">
        <f t="shared" ca="1" si="35"/>
        <v/>
      </c>
    </row>
    <row r="230" spans="3:29" x14ac:dyDescent="0.25">
      <c r="C230" s="6">
        <v>223</v>
      </c>
      <c r="D230" s="37">
        <v>42321</v>
      </c>
      <c r="E230" s="39">
        <v>16.190000000000001</v>
      </c>
      <c r="F230" s="39">
        <v>2.5355709595038305</v>
      </c>
      <c r="G230" s="39">
        <v>44.831058355581732</v>
      </c>
      <c r="H230" s="39">
        <v>40.860999635169641</v>
      </c>
      <c r="I230" s="10">
        <v>0</v>
      </c>
      <c r="J230" s="40">
        <v>0</v>
      </c>
      <c r="K230" s="40">
        <v>0</v>
      </c>
      <c r="L230" s="40">
        <v>0</v>
      </c>
      <c r="M230" s="40">
        <v>0</v>
      </c>
      <c r="N230" s="40">
        <v>0</v>
      </c>
      <c r="O230" s="40">
        <v>0</v>
      </c>
      <c r="P230" s="40">
        <v>0</v>
      </c>
      <c r="Q230" s="40">
        <v>0</v>
      </c>
      <c r="R230" s="40">
        <v>0</v>
      </c>
      <c r="S230" s="40">
        <v>1</v>
      </c>
      <c r="T230" s="29" t="str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9" t="str" cm="1">
        <f t="array" aca="1" ref="U230" ca="1">z_score_diff(OFFSET(T230,0,0,$I$5*-1,1),OFFSET(E230,0,0,$I$5*-1,1))</f>
        <v/>
      </c>
      <c r="V230" s="9" t="str">
        <f t="shared" ca="1" si="31"/>
        <v/>
      </c>
      <c r="W230" s="17">
        <f t="shared" ca="1" si="28"/>
        <v>-8.3166791935459353E-2</v>
      </c>
      <c r="X230" s="13">
        <f t="shared" ca="1" si="29"/>
        <v>0</v>
      </c>
      <c r="Y230" s="13">
        <f t="shared" ca="1" si="30"/>
        <v>0</v>
      </c>
      <c r="Z230" t="str">
        <f t="shared" ca="1" si="32"/>
        <v/>
      </c>
      <c r="AA230" t="str">
        <f t="shared" ca="1" si="33"/>
        <v/>
      </c>
      <c r="AB230" s="24" t="str">
        <f t="shared" ca="1" si="34"/>
        <v/>
      </c>
      <c r="AC230" s="24" t="str">
        <f t="shared" ca="1" si="35"/>
        <v/>
      </c>
    </row>
    <row r="231" spans="3:29" x14ac:dyDescent="0.25">
      <c r="C231" s="6">
        <v>224</v>
      </c>
      <c r="D231" s="37">
        <v>42324</v>
      </c>
      <c r="E231" s="39">
        <v>16.504999999999999</v>
      </c>
      <c r="F231" s="39">
        <v>2.5545877974388054</v>
      </c>
      <c r="G231" s="39">
        <v>45.776229667643022</v>
      </c>
      <c r="H231" s="39">
        <v>41.062429574492292</v>
      </c>
      <c r="I231" s="10">
        <v>0</v>
      </c>
      <c r="J231" s="40">
        <v>0</v>
      </c>
      <c r="K231" s="40">
        <v>0</v>
      </c>
      <c r="L231" s="40">
        <v>0</v>
      </c>
      <c r="M231" s="40">
        <v>0</v>
      </c>
      <c r="N231" s="40">
        <v>0</v>
      </c>
      <c r="O231" s="40">
        <v>0</v>
      </c>
      <c r="P231" s="40">
        <v>0</v>
      </c>
      <c r="Q231" s="40">
        <v>0</v>
      </c>
      <c r="R231" s="40">
        <v>0</v>
      </c>
      <c r="S231" s="40">
        <v>1</v>
      </c>
      <c r="T231" s="29" t="str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9" t="str" cm="1">
        <f t="array" aca="1" ref="U231" ca="1">z_score_diff(OFFSET(T231,0,0,$I$5*-1,1),OFFSET(E231,0,0,$I$5*-1,1))</f>
        <v/>
      </c>
      <c r="V231" s="9" t="str">
        <f t="shared" ca="1" si="31"/>
        <v/>
      </c>
      <c r="W231" s="17">
        <f t="shared" ca="1" si="28"/>
        <v>-0.10775322409711476</v>
      </c>
      <c r="X231" s="13">
        <f t="shared" ca="1" si="29"/>
        <v>0</v>
      </c>
      <c r="Y231" s="13">
        <f t="shared" ca="1" si="30"/>
        <v>0</v>
      </c>
      <c r="Z231" t="str">
        <f t="shared" ca="1" si="32"/>
        <v/>
      </c>
      <c r="AA231" t="str">
        <f t="shared" ca="1" si="33"/>
        <v/>
      </c>
      <c r="AB231" s="24" t="str">
        <f t="shared" ca="1" si="34"/>
        <v/>
      </c>
      <c r="AC231" s="24" t="str">
        <f t="shared" ca="1" si="35"/>
        <v/>
      </c>
    </row>
    <row r="232" spans="3:29" x14ac:dyDescent="0.25">
      <c r="C232" s="6">
        <v>225</v>
      </c>
      <c r="D232" s="37">
        <v>42325</v>
      </c>
      <c r="E232" s="39">
        <v>17.219000000000001</v>
      </c>
      <c r="F232" s="39">
        <v>2.5546464185238098</v>
      </c>
      <c r="G232" s="39">
        <v>47.993166312618719</v>
      </c>
      <c r="H232" s="39">
        <v>41.564787674360367</v>
      </c>
      <c r="I232" s="10">
        <v>0</v>
      </c>
      <c r="J232" s="40">
        <v>0</v>
      </c>
      <c r="K232" s="40">
        <v>0</v>
      </c>
      <c r="L232" s="40">
        <v>0</v>
      </c>
      <c r="M232" s="40">
        <v>0</v>
      </c>
      <c r="N232" s="40">
        <v>0</v>
      </c>
      <c r="O232" s="40">
        <v>0</v>
      </c>
      <c r="P232" s="40">
        <v>0</v>
      </c>
      <c r="Q232" s="40">
        <v>0</v>
      </c>
      <c r="R232" s="40">
        <v>0</v>
      </c>
      <c r="S232" s="40">
        <v>1</v>
      </c>
      <c r="T232" s="29" t="str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9" t="str" cm="1">
        <f t="array" aca="1" ref="U232" ca="1">z_score_diff(OFFSET(T232,0,0,$I$5*-1,1),OFFSET(E232,0,0,$I$5*-1,1))</f>
        <v/>
      </c>
      <c r="V232" s="9" t="str">
        <f t="shared" ca="1" si="31"/>
        <v/>
      </c>
      <c r="W232" s="17">
        <f t="shared" ca="1" si="28"/>
        <v>-0.14331083052843413</v>
      </c>
      <c r="X232" s="13">
        <f t="shared" ca="1" si="29"/>
        <v>0</v>
      </c>
      <c r="Y232" s="13">
        <f t="shared" ca="1" si="30"/>
        <v>0</v>
      </c>
      <c r="Z232" t="str">
        <f t="shared" ca="1" si="32"/>
        <v/>
      </c>
      <c r="AA232" t="str">
        <f t="shared" ca="1" si="33"/>
        <v/>
      </c>
      <c r="AB232" s="24" t="str">
        <f t="shared" ca="1" si="34"/>
        <v/>
      </c>
      <c r="AC232" s="24" t="str">
        <f t="shared" ca="1" si="35"/>
        <v/>
      </c>
    </row>
    <row r="233" spans="3:29" x14ac:dyDescent="0.25">
      <c r="C233" s="6">
        <v>226</v>
      </c>
      <c r="D233" s="37">
        <v>42326</v>
      </c>
      <c r="E233" s="39">
        <v>16.940999999999999</v>
      </c>
      <c r="F233" s="39">
        <v>2.5097737708868086</v>
      </c>
      <c r="G233" s="39">
        <v>46.815017379793858</v>
      </c>
      <c r="H233" s="39">
        <v>41.477023476363158</v>
      </c>
      <c r="I233" s="10">
        <v>0</v>
      </c>
      <c r="J233" s="40">
        <v>0</v>
      </c>
      <c r="K233" s="40">
        <v>0</v>
      </c>
      <c r="L233" s="40">
        <v>0</v>
      </c>
      <c r="M233" s="40">
        <v>0</v>
      </c>
      <c r="N233" s="40">
        <v>0</v>
      </c>
      <c r="O233" s="40">
        <v>0</v>
      </c>
      <c r="P233" s="40">
        <v>0</v>
      </c>
      <c r="Q233" s="40">
        <v>0</v>
      </c>
      <c r="R233" s="40">
        <v>0</v>
      </c>
      <c r="S233" s="40">
        <v>1</v>
      </c>
      <c r="T233" s="29" t="str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9" t="str" cm="1">
        <f t="array" aca="1" ref="U233" ca="1">z_score_diff(OFFSET(T233,0,0,$I$5*-1,1),OFFSET(E233,0,0,$I$5*-1,1))</f>
        <v/>
      </c>
      <c r="V233" s="9" t="str">
        <f t="shared" ca="1" si="31"/>
        <v/>
      </c>
      <c r="W233" s="17">
        <f t="shared" ca="1" si="28"/>
        <v>-0.1603580489048686</v>
      </c>
      <c r="X233" s="13">
        <f t="shared" ca="1" si="29"/>
        <v>0</v>
      </c>
      <c r="Y233" s="13">
        <f t="shared" ca="1" si="30"/>
        <v>0</v>
      </c>
      <c r="Z233" t="str">
        <f t="shared" ca="1" si="32"/>
        <v/>
      </c>
      <c r="AA233" t="str">
        <f t="shared" ca="1" si="33"/>
        <v/>
      </c>
      <c r="AB233" s="24" t="str">
        <f t="shared" ca="1" si="34"/>
        <v/>
      </c>
      <c r="AC233" s="24" t="str">
        <f t="shared" ca="1" si="35"/>
        <v/>
      </c>
    </row>
    <row r="234" spans="3:29" x14ac:dyDescent="0.25">
      <c r="C234" s="6">
        <v>227</v>
      </c>
      <c r="D234" s="37">
        <v>42327</v>
      </c>
      <c r="E234" s="39">
        <v>17.035</v>
      </c>
      <c r="F234" s="39">
        <v>2.4530143227918533</v>
      </c>
      <c r="G234" s="39">
        <v>46.925668340582305</v>
      </c>
      <c r="H234" s="39">
        <v>41.537830921856838</v>
      </c>
      <c r="I234" s="10">
        <v>0</v>
      </c>
      <c r="J234" s="40">
        <v>0</v>
      </c>
      <c r="K234" s="40">
        <v>0</v>
      </c>
      <c r="L234" s="40">
        <v>0</v>
      </c>
      <c r="M234" s="40">
        <v>0</v>
      </c>
      <c r="N234" s="40">
        <v>0</v>
      </c>
      <c r="O234" s="40">
        <v>0</v>
      </c>
      <c r="P234" s="40">
        <v>0</v>
      </c>
      <c r="Q234" s="40">
        <v>0</v>
      </c>
      <c r="R234" s="40">
        <v>0</v>
      </c>
      <c r="S234" s="40">
        <v>1</v>
      </c>
      <c r="T234" s="29" t="str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9" t="str" cm="1">
        <f t="array" aca="1" ref="U234" ca="1">z_score_diff(OFFSET(T234,0,0,$I$5*-1,1),OFFSET(E234,0,0,$I$5*-1,1))</f>
        <v/>
      </c>
      <c r="V234" s="9" t="str">
        <f t="shared" ca="1" si="31"/>
        <v/>
      </c>
      <c r="W234" s="17">
        <f t="shared" ca="1" si="28"/>
        <v>-0.18040967852483883</v>
      </c>
      <c r="X234" s="13">
        <f t="shared" ca="1" si="29"/>
        <v>0</v>
      </c>
      <c r="Y234" s="13">
        <f t="shared" ca="1" si="30"/>
        <v>0</v>
      </c>
      <c r="Z234" t="str">
        <f t="shared" ca="1" si="32"/>
        <v/>
      </c>
      <c r="AA234" t="str">
        <f t="shared" ca="1" si="33"/>
        <v/>
      </c>
      <c r="AB234" s="24" t="str">
        <f t="shared" ca="1" si="34"/>
        <v/>
      </c>
      <c r="AC234" s="24" t="str">
        <f t="shared" ca="1" si="35"/>
        <v/>
      </c>
    </row>
    <row r="235" spans="3:29" x14ac:dyDescent="0.25">
      <c r="C235" s="6">
        <v>228</v>
      </c>
      <c r="D235" s="37">
        <v>42328</v>
      </c>
      <c r="E235" s="39">
        <v>16.928000000000001</v>
      </c>
      <c r="F235" s="39">
        <v>2.4246517611161309</v>
      </c>
      <c r="G235" s="39">
        <v>46.707198634712654</v>
      </c>
      <c r="H235" s="39">
        <v>41.453723657791919</v>
      </c>
      <c r="I235" s="10">
        <v>0</v>
      </c>
      <c r="J235" s="40">
        <v>0</v>
      </c>
      <c r="K235" s="40">
        <v>0</v>
      </c>
      <c r="L235" s="40">
        <v>0</v>
      </c>
      <c r="M235" s="40">
        <v>0</v>
      </c>
      <c r="N235" s="40">
        <v>0</v>
      </c>
      <c r="O235" s="40">
        <v>0</v>
      </c>
      <c r="P235" s="40">
        <v>0</v>
      </c>
      <c r="Q235" s="40">
        <v>0</v>
      </c>
      <c r="R235" s="40">
        <v>0</v>
      </c>
      <c r="S235" s="40">
        <v>1</v>
      </c>
      <c r="T235" s="29" t="str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9" t="str" cm="1">
        <f t="array" aca="1" ref="U235" ca="1">z_score_diff(OFFSET(T235,0,0,$I$5*-1,1),OFFSET(E235,0,0,$I$5*-1,1))</f>
        <v/>
      </c>
      <c r="V235" s="9" t="str">
        <f t="shared" ca="1" si="31"/>
        <v/>
      </c>
      <c r="W235" s="17">
        <f t="shared" ca="1" si="28"/>
        <v>-0.20785750693508132</v>
      </c>
      <c r="X235" s="13">
        <f t="shared" ca="1" si="29"/>
        <v>0</v>
      </c>
      <c r="Y235" s="13">
        <f t="shared" ca="1" si="30"/>
        <v>0</v>
      </c>
      <c r="Z235" t="str">
        <f t="shared" ca="1" si="32"/>
        <v/>
      </c>
      <c r="AA235" t="str">
        <f t="shared" ca="1" si="33"/>
        <v/>
      </c>
      <c r="AB235" s="24" t="str">
        <f t="shared" ca="1" si="34"/>
        <v/>
      </c>
      <c r="AC235" s="24" t="str">
        <f t="shared" ca="1" si="35"/>
        <v/>
      </c>
    </row>
    <row r="236" spans="3:29" x14ac:dyDescent="0.25">
      <c r="C236" s="6">
        <v>229</v>
      </c>
      <c r="D236" s="37">
        <v>42331</v>
      </c>
      <c r="E236" s="39">
        <v>16.876999999999999</v>
      </c>
      <c r="F236" s="39">
        <v>2.4621492887482352</v>
      </c>
      <c r="G236" s="39">
        <v>46.484455799236343</v>
      </c>
      <c r="H236" s="39">
        <v>41.296707404771261</v>
      </c>
      <c r="I236" s="10">
        <v>0</v>
      </c>
      <c r="J236" s="40">
        <v>0</v>
      </c>
      <c r="K236" s="40">
        <v>0</v>
      </c>
      <c r="L236" s="40">
        <v>0</v>
      </c>
      <c r="M236" s="40">
        <v>0</v>
      </c>
      <c r="N236" s="40">
        <v>0</v>
      </c>
      <c r="O236" s="40">
        <v>0</v>
      </c>
      <c r="P236" s="40">
        <v>0</v>
      </c>
      <c r="Q236" s="40">
        <v>0</v>
      </c>
      <c r="R236" s="40">
        <v>0</v>
      </c>
      <c r="S236" s="40">
        <v>1</v>
      </c>
      <c r="T236" s="29" t="str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9" t="str" cm="1">
        <f t="array" aca="1" ref="U236" ca="1">z_score_diff(OFFSET(T236,0,0,$I$5*-1,1),OFFSET(E236,0,0,$I$5*-1,1))</f>
        <v/>
      </c>
      <c r="V236" s="9" t="str">
        <f t="shared" ca="1" si="31"/>
        <v/>
      </c>
      <c r="W236" s="17">
        <f t="shared" ca="1" si="28"/>
        <v>-0.204767480173799</v>
      </c>
      <c r="X236" s="13">
        <f t="shared" ca="1" si="29"/>
        <v>0</v>
      </c>
      <c r="Y236" s="13">
        <f t="shared" ca="1" si="30"/>
        <v>0</v>
      </c>
      <c r="Z236" t="str">
        <f t="shared" ca="1" si="32"/>
        <v/>
      </c>
      <c r="AA236" t="str">
        <f t="shared" ca="1" si="33"/>
        <v/>
      </c>
      <c r="AB236" s="24" t="str">
        <f t="shared" ca="1" si="34"/>
        <v/>
      </c>
      <c r="AC236" s="24" t="str">
        <f t="shared" ca="1" si="35"/>
        <v/>
      </c>
    </row>
    <row r="237" spans="3:29" x14ac:dyDescent="0.25">
      <c r="C237" s="6">
        <v>230</v>
      </c>
      <c r="D237" s="37">
        <v>42332</v>
      </c>
      <c r="E237" s="39">
        <v>17.097999999999999</v>
      </c>
      <c r="F237" s="39">
        <v>2.4638308708814725</v>
      </c>
      <c r="G237" s="39">
        <v>47.128043483103518</v>
      </c>
      <c r="H237" s="39">
        <v>41.462228461475526</v>
      </c>
      <c r="I237" s="10">
        <v>0</v>
      </c>
      <c r="J237" s="40">
        <v>0</v>
      </c>
      <c r="K237" s="40">
        <v>0</v>
      </c>
      <c r="L237" s="40">
        <v>0</v>
      </c>
      <c r="M237" s="40">
        <v>0</v>
      </c>
      <c r="N237" s="40">
        <v>0</v>
      </c>
      <c r="O237" s="40">
        <v>0</v>
      </c>
      <c r="P237" s="40">
        <v>0</v>
      </c>
      <c r="Q237" s="40">
        <v>0</v>
      </c>
      <c r="R237" s="40">
        <v>0</v>
      </c>
      <c r="S237" s="40">
        <v>1</v>
      </c>
      <c r="T237" s="29" t="str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9" t="str" cm="1">
        <f t="array" aca="1" ref="U237" ca="1">z_score_diff(OFFSET(T237,0,0,$I$5*-1,1),OFFSET(E237,0,0,$I$5*-1,1))</f>
        <v/>
      </c>
      <c r="V237" s="9" t="str">
        <f t="shared" ca="1" si="31"/>
        <v/>
      </c>
      <c r="W237" s="17">
        <f t="shared" ca="1" si="28"/>
        <v>-0.24214085318837303</v>
      </c>
      <c r="X237" s="13">
        <f t="shared" ca="1" si="29"/>
        <v>0</v>
      </c>
      <c r="Y237" s="13">
        <f t="shared" ca="1" si="30"/>
        <v>0</v>
      </c>
      <c r="Z237" t="str">
        <f t="shared" ca="1" si="32"/>
        <v/>
      </c>
      <c r="AA237" t="str">
        <f t="shared" ca="1" si="33"/>
        <v/>
      </c>
      <c r="AB237" s="24" t="str">
        <f t="shared" ca="1" si="34"/>
        <v/>
      </c>
      <c r="AC237" s="24" t="str">
        <f t="shared" ca="1" si="35"/>
        <v/>
      </c>
    </row>
    <row r="238" spans="3:29" x14ac:dyDescent="0.25">
      <c r="C238" s="6">
        <v>231</v>
      </c>
      <c r="D238" s="37">
        <v>42333</v>
      </c>
      <c r="E238" s="39">
        <v>17.291</v>
      </c>
      <c r="F238" s="39">
        <v>2.4655514078989813</v>
      </c>
      <c r="G238" s="39">
        <v>47.778121426962031</v>
      </c>
      <c r="H238" s="39">
        <v>41.614820959491219</v>
      </c>
      <c r="I238" s="10">
        <v>0</v>
      </c>
      <c r="J238" s="40">
        <v>0</v>
      </c>
      <c r="K238" s="40">
        <v>0</v>
      </c>
      <c r="L238" s="40">
        <v>0</v>
      </c>
      <c r="M238" s="40">
        <v>0</v>
      </c>
      <c r="N238" s="40">
        <v>0</v>
      </c>
      <c r="O238" s="40">
        <v>0</v>
      </c>
      <c r="P238" s="40">
        <v>0</v>
      </c>
      <c r="Q238" s="40">
        <v>0</v>
      </c>
      <c r="R238" s="40">
        <v>0</v>
      </c>
      <c r="S238" s="40">
        <v>1</v>
      </c>
      <c r="T238" s="29" t="str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9" t="str" cm="1">
        <f t="array" aca="1" ref="U238" ca="1">z_score_diff(OFFSET(T238,0,0,$I$5*-1,1),OFFSET(E238,0,0,$I$5*-1,1))</f>
        <v/>
      </c>
      <c r="V238" s="9" t="str">
        <f t="shared" ca="1" si="31"/>
        <v/>
      </c>
      <c r="W238" s="17">
        <f t="shared" ca="1" si="28"/>
        <v>-0.27971359680500535</v>
      </c>
      <c r="X238" s="13">
        <f t="shared" ca="1" si="29"/>
        <v>0</v>
      </c>
      <c r="Y238" s="13">
        <f t="shared" ca="1" si="30"/>
        <v>0</v>
      </c>
      <c r="Z238" t="str">
        <f t="shared" ca="1" si="32"/>
        <v/>
      </c>
      <c r="AA238" t="str">
        <f t="shared" ca="1" si="33"/>
        <v/>
      </c>
      <c r="AB238" s="24" t="str">
        <f t="shared" ca="1" si="34"/>
        <v/>
      </c>
      <c r="AC238" s="24" t="str">
        <f t="shared" ca="1" si="35"/>
        <v/>
      </c>
    </row>
    <row r="239" spans="3:29" x14ac:dyDescent="0.25">
      <c r="C239" s="6">
        <v>232</v>
      </c>
      <c r="D239" s="37">
        <v>42334</v>
      </c>
      <c r="E239" s="39">
        <v>17.338000000000001</v>
      </c>
      <c r="F239" s="39">
        <v>2.4670339703660802</v>
      </c>
      <c r="G239" s="39">
        <v>47.672187634598075</v>
      </c>
      <c r="H239" s="39">
        <v>41.916521103976955</v>
      </c>
      <c r="I239" s="10">
        <v>0</v>
      </c>
      <c r="J239" s="40">
        <v>0</v>
      </c>
      <c r="K239" s="40">
        <v>0</v>
      </c>
      <c r="L239" s="40">
        <v>0</v>
      </c>
      <c r="M239" s="40">
        <v>0</v>
      </c>
      <c r="N239" s="40">
        <v>0</v>
      </c>
      <c r="O239" s="40">
        <v>0</v>
      </c>
      <c r="P239" s="40">
        <v>0</v>
      </c>
      <c r="Q239" s="40">
        <v>0</v>
      </c>
      <c r="R239" s="40">
        <v>0</v>
      </c>
      <c r="S239" s="40">
        <v>1</v>
      </c>
      <c r="T239" s="29" t="str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9" t="str" cm="1">
        <f t="array" aca="1" ref="U239" ca="1">z_score_diff(OFFSET(T239,0,0,$I$5*-1,1),OFFSET(E239,0,0,$I$5*-1,1))</f>
        <v/>
      </c>
      <c r="V239" s="9" t="str">
        <f t="shared" ca="1" si="31"/>
        <v/>
      </c>
      <c r="W239" s="17">
        <f t="shared" ca="1" si="28"/>
        <v>-0.27693524371148176</v>
      </c>
      <c r="X239" s="13">
        <f t="shared" ca="1" si="29"/>
        <v>0</v>
      </c>
      <c r="Y239" s="13">
        <f t="shared" ca="1" si="30"/>
        <v>0</v>
      </c>
      <c r="Z239" t="str">
        <f t="shared" ca="1" si="32"/>
        <v/>
      </c>
      <c r="AA239" t="str">
        <f t="shared" ca="1" si="33"/>
        <v/>
      </c>
      <c r="AB239" s="24" t="str">
        <f t="shared" ca="1" si="34"/>
        <v/>
      </c>
      <c r="AC239" s="24" t="str">
        <f t="shared" ca="1" si="35"/>
        <v/>
      </c>
    </row>
    <row r="240" spans="3:29" x14ac:dyDescent="0.25">
      <c r="C240" s="6">
        <v>233</v>
      </c>
      <c r="D240" s="37">
        <v>42335</v>
      </c>
      <c r="E240" s="39">
        <v>17.312000000000001</v>
      </c>
      <c r="F240" s="39">
        <v>2.4864271740997785</v>
      </c>
      <c r="G240" s="39">
        <v>47.678928423054302</v>
      </c>
      <c r="H240" s="39">
        <v>42.117785712834284</v>
      </c>
      <c r="I240" s="10">
        <v>0</v>
      </c>
      <c r="J240" s="40">
        <v>0</v>
      </c>
      <c r="K240" s="40">
        <v>0</v>
      </c>
      <c r="L240" s="40">
        <v>0</v>
      </c>
      <c r="M240" s="40">
        <v>0</v>
      </c>
      <c r="N240" s="40">
        <v>0</v>
      </c>
      <c r="O240" s="40">
        <v>0</v>
      </c>
      <c r="P240" s="40">
        <v>0</v>
      </c>
      <c r="Q240" s="40">
        <v>0</v>
      </c>
      <c r="R240" s="40">
        <v>0</v>
      </c>
      <c r="S240" s="40">
        <v>1</v>
      </c>
      <c r="T240" s="29" t="str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9" t="str" cm="1">
        <f t="array" aca="1" ref="U240" ca="1">z_score_diff(OFFSET(T240,0,0,$I$5*-1,1),OFFSET(E240,0,0,$I$5*-1,1))</f>
        <v/>
      </c>
      <c r="V240" s="9" t="str">
        <f t="shared" ca="1" si="31"/>
        <v/>
      </c>
      <c r="W240" s="17">
        <f t="shared" ca="1" si="28"/>
        <v>-0.27695728756521582</v>
      </c>
      <c r="X240" s="13">
        <f t="shared" ca="1" si="29"/>
        <v>0</v>
      </c>
      <c r="Y240" s="13">
        <f t="shared" ca="1" si="30"/>
        <v>0</v>
      </c>
      <c r="Z240" t="str">
        <f t="shared" ca="1" si="32"/>
        <v/>
      </c>
      <c r="AA240" t="str">
        <f t="shared" ca="1" si="33"/>
        <v/>
      </c>
      <c r="AB240" s="24" t="str">
        <f t="shared" ca="1" si="34"/>
        <v/>
      </c>
      <c r="AC240" s="24" t="str">
        <f t="shared" ca="1" si="35"/>
        <v/>
      </c>
    </row>
    <row r="241" spans="3:29" x14ac:dyDescent="0.25">
      <c r="C241" s="6">
        <v>234</v>
      </c>
      <c r="D241" s="37">
        <v>42338</v>
      </c>
      <c r="E241" s="39">
        <v>17.420000000000002</v>
      </c>
      <c r="F241" s="39">
        <v>2.4947466836994452</v>
      </c>
      <c r="G241" s="39">
        <v>48.685846109051816</v>
      </c>
      <c r="H241" s="39">
        <v>42.119099854665961</v>
      </c>
      <c r="I241" s="10">
        <v>0</v>
      </c>
      <c r="J241" s="40">
        <v>0</v>
      </c>
      <c r="K241" s="40">
        <v>0</v>
      </c>
      <c r="L241" s="40">
        <v>0</v>
      </c>
      <c r="M241" s="40">
        <v>0</v>
      </c>
      <c r="N241" s="40">
        <v>0</v>
      </c>
      <c r="O241" s="40">
        <v>0</v>
      </c>
      <c r="P241" s="40">
        <v>0</v>
      </c>
      <c r="Q241" s="40">
        <v>0</v>
      </c>
      <c r="R241" s="40">
        <v>0</v>
      </c>
      <c r="S241" s="40">
        <v>1</v>
      </c>
      <c r="T241" s="29" t="str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9" t="str" cm="1">
        <f t="array" aca="1" ref="U241" ca="1">z_score_diff(OFFSET(T241,0,0,$I$5*-1,1),OFFSET(E241,0,0,$I$5*-1,1))</f>
        <v/>
      </c>
      <c r="V241" s="9" t="str">
        <f t="shared" ca="1" si="31"/>
        <v/>
      </c>
      <c r="W241" s="17">
        <f t="shared" ca="1" si="28"/>
        <v>-0.31830305360758571</v>
      </c>
      <c r="X241" s="13">
        <f t="shared" ca="1" si="29"/>
        <v>0</v>
      </c>
      <c r="Y241" s="13">
        <f t="shared" ca="1" si="30"/>
        <v>0</v>
      </c>
      <c r="Z241" t="str">
        <f t="shared" ca="1" si="32"/>
        <v/>
      </c>
      <c r="AA241" t="str">
        <f t="shared" ca="1" si="33"/>
        <v/>
      </c>
      <c r="AB241" s="24" t="str">
        <f t="shared" ca="1" si="34"/>
        <v/>
      </c>
      <c r="AC241" s="24" t="str">
        <f t="shared" ca="1" si="35"/>
        <v/>
      </c>
    </row>
    <row r="242" spans="3:29" x14ac:dyDescent="0.25">
      <c r="C242" s="6">
        <v>235</v>
      </c>
      <c r="D242" s="37">
        <v>42339</v>
      </c>
      <c r="E242" s="39">
        <v>17.581</v>
      </c>
      <c r="F242" s="39">
        <v>2.4778940201139115</v>
      </c>
      <c r="G242" s="39">
        <v>49.327373000472235</v>
      </c>
      <c r="H242" s="39">
        <v>41.543600077290414</v>
      </c>
      <c r="I242" s="10">
        <v>0</v>
      </c>
      <c r="J242" s="40">
        <v>0</v>
      </c>
      <c r="K242" s="40">
        <v>0</v>
      </c>
      <c r="L242" s="40">
        <v>0</v>
      </c>
      <c r="M242" s="40">
        <v>0</v>
      </c>
      <c r="N242" s="40">
        <v>0</v>
      </c>
      <c r="O242" s="40">
        <v>0</v>
      </c>
      <c r="P242" s="40">
        <v>0</v>
      </c>
      <c r="Q242" s="40">
        <v>0</v>
      </c>
      <c r="R242" s="40">
        <v>0</v>
      </c>
      <c r="S242" s="40">
        <v>0</v>
      </c>
      <c r="T242" s="29" t="str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9" t="str" cm="1">
        <f t="array" aca="1" ref="U242" ca="1">z_score_diff(OFFSET(T242,0,0,$I$5*-1,1),OFFSET(E242,0,0,$I$5*-1,1))</f>
        <v/>
      </c>
      <c r="V242" s="9" t="str">
        <f t="shared" ca="1" si="31"/>
        <v/>
      </c>
      <c r="W242" s="17">
        <f t="shared" ca="1" si="28"/>
        <v>-0.32916155828712323</v>
      </c>
      <c r="X242" s="13">
        <f t="shared" ca="1" si="29"/>
        <v>0</v>
      </c>
      <c r="Y242" s="13">
        <f t="shared" ca="1" si="30"/>
        <v>0</v>
      </c>
      <c r="Z242" t="str">
        <f t="shared" ca="1" si="32"/>
        <v/>
      </c>
      <c r="AA242" t="str">
        <f t="shared" ca="1" si="33"/>
        <v/>
      </c>
      <c r="AB242" s="24" t="str">
        <f t="shared" ca="1" si="34"/>
        <v/>
      </c>
      <c r="AC242" s="24" t="str">
        <f t="shared" ca="1" si="35"/>
        <v/>
      </c>
    </row>
    <row r="243" spans="3:29" x14ac:dyDescent="0.25">
      <c r="C243" s="6">
        <v>236</v>
      </c>
      <c r="D243" s="37">
        <v>42340</v>
      </c>
      <c r="E243" s="39">
        <v>17.3</v>
      </c>
      <c r="F243" s="39">
        <v>2.4693906133671431</v>
      </c>
      <c r="G243" s="39">
        <v>48.112539944050688</v>
      </c>
      <c r="H243" s="39">
        <v>40.910799713992965</v>
      </c>
      <c r="I243" s="10">
        <v>0</v>
      </c>
      <c r="J243" s="40">
        <v>0</v>
      </c>
      <c r="K243" s="40">
        <v>0</v>
      </c>
      <c r="L243" s="40">
        <v>0</v>
      </c>
      <c r="M243" s="40">
        <v>0</v>
      </c>
      <c r="N243" s="40">
        <v>0</v>
      </c>
      <c r="O243" s="40">
        <v>0</v>
      </c>
      <c r="P243" s="40">
        <v>0</v>
      </c>
      <c r="Q243" s="40">
        <v>0</v>
      </c>
      <c r="R243" s="40">
        <v>0</v>
      </c>
      <c r="S243" s="40">
        <v>0</v>
      </c>
      <c r="T243" s="29" t="str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9" t="str" cm="1">
        <f t="array" aca="1" ref="U243" ca="1">z_score_diff(OFFSET(T243,0,0,$I$5*-1,1),OFFSET(E243,0,0,$I$5*-1,1))</f>
        <v/>
      </c>
      <c r="V243" s="9" t="str">
        <f t="shared" ca="1" si="31"/>
        <v/>
      </c>
      <c r="W243" s="17">
        <f t="shared" ca="1" si="28"/>
        <v>-0.2276333843327292</v>
      </c>
      <c r="X243" s="13">
        <f t="shared" ca="1" si="29"/>
        <v>0</v>
      </c>
      <c r="Y243" s="13">
        <f t="shared" ca="1" si="30"/>
        <v>0</v>
      </c>
      <c r="Z243" t="str">
        <f t="shared" ca="1" si="32"/>
        <v/>
      </c>
      <c r="AA243" t="str">
        <f t="shared" ca="1" si="33"/>
        <v/>
      </c>
      <c r="AB243" s="24" t="str">
        <f t="shared" ca="1" si="34"/>
        <v/>
      </c>
      <c r="AC243" s="24" t="str">
        <f t="shared" ca="1" si="35"/>
        <v/>
      </c>
    </row>
    <row r="244" spans="3:29" x14ac:dyDescent="0.25">
      <c r="C244" s="6">
        <v>237</v>
      </c>
      <c r="D244" s="37">
        <v>42341</v>
      </c>
      <c r="E244" s="39">
        <v>16.890999999999998</v>
      </c>
      <c r="F244" s="39">
        <v>2.3963448803080785</v>
      </c>
      <c r="G244" s="39">
        <v>46.974813822655442</v>
      </c>
      <c r="H244" s="39">
        <v>40.103194111991748</v>
      </c>
      <c r="I244" s="10">
        <v>0</v>
      </c>
      <c r="J244" s="40">
        <v>0</v>
      </c>
      <c r="K244" s="40">
        <v>0</v>
      </c>
      <c r="L244" s="40">
        <v>0</v>
      </c>
      <c r="M244" s="40">
        <v>0</v>
      </c>
      <c r="N244" s="40">
        <v>0</v>
      </c>
      <c r="O244" s="40">
        <v>0</v>
      </c>
      <c r="P244" s="40">
        <v>0</v>
      </c>
      <c r="Q244" s="40">
        <v>0</v>
      </c>
      <c r="R244" s="40">
        <v>0</v>
      </c>
      <c r="S244" s="40">
        <v>0</v>
      </c>
      <c r="T244" s="29" t="str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9" t="str" cm="1">
        <f t="array" aca="1" ref="U244" ca="1">z_score_diff(OFFSET(T244,0,0,$I$5*-1,1),OFFSET(E244,0,0,$I$5*-1,1))</f>
        <v/>
      </c>
      <c r="V244" s="9" t="str">
        <f t="shared" ca="1" si="31"/>
        <v/>
      </c>
      <c r="W244" s="17">
        <f t="shared" ca="1" si="28"/>
        <v>-0.23758934847931434</v>
      </c>
      <c r="X244" s="13">
        <f t="shared" ca="1" si="29"/>
        <v>0</v>
      </c>
      <c r="Y244" s="13">
        <f t="shared" ca="1" si="30"/>
        <v>0</v>
      </c>
      <c r="Z244" t="str">
        <f t="shared" ca="1" si="32"/>
        <v/>
      </c>
      <c r="AA244" t="str">
        <f t="shared" ca="1" si="33"/>
        <v/>
      </c>
      <c r="AB244" s="24" t="str">
        <f t="shared" ca="1" si="34"/>
        <v/>
      </c>
      <c r="AC244" s="24" t="str">
        <f t="shared" ca="1" si="35"/>
        <v/>
      </c>
    </row>
    <row r="245" spans="3:29" x14ac:dyDescent="0.25">
      <c r="C245" s="6">
        <v>238</v>
      </c>
      <c r="D245" s="37">
        <v>42342</v>
      </c>
      <c r="E245" s="39">
        <v>17.042999999999999</v>
      </c>
      <c r="F245" s="39">
        <v>2.4183393589012101</v>
      </c>
      <c r="G245" s="39">
        <v>47.555359438461508</v>
      </c>
      <c r="H245" s="39">
        <v>40.606108132128035</v>
      </c>
      <c r="I245" s="10">
        <v>0</v>
      </c>
      <c r="J245" s="40">
        <v>0</v>
      </c>
      <c r="K245" s="40">
        <v>0</v>
      </c>
      <c r="L245" s="40">
        <v>0</v>
      </c>
      <c r="M245" s="40">
        <v>0</v>
      </c>
      <c r="N245" s="40">
        <v>0</v>
      </c>
      <c r="O245" s="40">
        <v>0</v>
      </c>
      <c r="P245" s="40">
        <v>0</v>
      </c>
      <c r="Q245" s="40">
        <v>0</v>
      </c>
      <c r="R245" s="40">
        <v>0</v>
      </c>
      <c r="S245" s="40">
        <v>0</v>
      </c>
      <c r="T245" s="29" t="str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9" t="str" cm="1">
        <f t="array" aca="1" ref="U245" ca="1">z_score_diff(OFFSET(T245,0,0,$I$5*-1,1),OFFSET(E245,0,0,$I$5*-1,1))</f>
        <v/>
      </c>
      <c r="V245" s="9" t="str">
        <f t="shared" ca="1" si="31"/>
        <v/>
      </c>
      <c r="W245" s="17">
        <f t="shared" ca="1" si="28"/>
        <v>-0.22832033797970736</v>
      </c>
      <c r="X245" s="13">
        <f t="shared" ca="1" si="29"/>
        <v>0</v>
      </c>
      <c r="Y245" s="13">
        <f t="shared" ca="1" si="30"/>
        <v>0</v>
      </c>
      <c r="Z245" t="str">
        <f t="shared" ca="1" si="32"/>
        <v/>
      </c>
      <c r="AA245" t="str">
        <f t="shared" ca="1" si="33"/>
        <v/>
      </c>
      <c r="AB245" s="24" t="str">
        <f t="shared" ca="1" si="34"/>
        <v/>
      </c>
      <c r="AC245" s="24" t="str">
        <f t="shared" ca="1" si="35"/>
        <v/>
      </c>
    </row>
    <row r="246" spans="3:29" x14ac:dyDescent="0.25">
      <c r="C246" s="6">
        <v>239</v>
      </c>
      <c r="D246" s="37">
        <v>42345</v>
      </c>
      <c r="E246" s="39">
        <v>16.507000000000001</v>
      </c>
      <c r="F246" s="39">
        <v>2.4023209782814998</v>
      </c>
      <c r="G246" s="39">
        <v>46.229401626291626</v>
      </c>
      <c r="H246" s="39">
        <v>39.857921422954909</v>
      </c>
      <c r="I246" s="10">
        <v>0</v>
      </c>
      <c r="J246" s="40">
        <v>0</v>
      </c>
      <c r="K246" s="40">
        <v>0</v>
      </c>
      <c r="L246" s="40">
        <v>0</v>
      </c>
      <c r="M246" s="40">
        <v>0</v>
      </c>
      <c r="N246" s="40">
        <v>0</v>
      </c>
      <c r="O246" s="40">
        <v>0</v>
      </c>
      <c r="P246" s="40">
        <v>0</v>
      </c>
      <c r="Q246" s="40">
        <v>0</v>
      </c>
      <c r="R246" s="40">
        <v>0</v>
      </c>
      <c r="S246" s="40">
        <v>0</v>
      </c>
      <c r="T246" s="29" t="str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9" t="str" cm="1">
        <f t="array" aca="1" ref="U246" ca="1">z_score_diff(OFFSET(T246,0,0,$I$5*-1,1),OFFSET(E246,0,0,$I$5*-1,1))</f>
        <v/>
      </c>
      <c r="V246" s="9" t="str">
        <f t="shared" ca="1" si="31"/>
        <v/>
      </c>
      <c r="W246" s="17">
        <f t="shared" ca="1" si="28"/>
        <v>-0.17211154386095914</v>
      </c>
      <c r="X246" s="13">
        <f t="shared" ca="1" si="29"/>
        <v>0</v>
      </c>
      <c r="Y246" s="13">
        <f t="shared" ca="1" si="30"/>
        <v>0</v>
      </c>
      <c r="Z246" t="str">
        <f t="shared" ca="1" si="32"/>
        <v/>
      </c>
      <c r="AA246" t="str">
        <f t="shared" ca="1" si="33"/>
        <v/>
      </c>
      <c r="AB246" s="24" t="str">
        <f t="shared" ca="1" si="34"/>
        <v/>
      </c>
      <c r="AC246" s="24" t="str">
        <f t="shared" ca="1" si="35"/>
        <v/>
      </c>
    </row>
    <row r="247" spans="3:29" x14ac:dyDescent="0.25">
      <c r="C247" s="6">
        <v>240</v>
      </c>
      <c r="D247" s="37">
        <v>42346</v>
      </c>
      <c r="E247" s="39">
        <v>16.52</v>
      </c>
      <c r="F247" s="39">
        <v>2.3948229377813668</v>
      </c>
      <c r="G247" s="39">
        <v>45.986848519645974</v>
      </c>
      <c r="H247" s="39">
        <v>40.1085629083924</v>
      </c>
      <c r="I247" s="10">
        <v>0</v>
      </c>
      <c r="J247" s="40">
        <v>0</v>
      </c>
      <c r="K247" s="40">
        <v>0</v>
      </c>
      <c r="L247" s="40">
        <v>0</v>
      </c>
      <c r="M247" s="40">
        <v>0</v>
      </c>
      <c r="N247" s="40">
        <v>0</v>
      </c>
      <c r="O247" s="40">
        <v>0</v>
      </c>
      <c r="P247" s="40">
        <v>0</v>
      </c>
      <c r="Q247" s="40">
        <v>0</v>
      </c>
      <c r="R247" s="40">
        <v>0</v>
      </c>
      <c r="S247" s="40">
        <v>0</v>
      </c>
      <c r="T247" s="29" t="str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9" t="str" cm="1">
        <f t="array" aca="1" ref="U247" ca="1">z_score_diff(OFFSET(T247,0,0,$I$5*-1,1),OFFSET(E247,0,0,$I$5*-1,1))</f>
        <v/>
      </c>
      <c r="V247" s="9" t="str">
        <f t="shared" ca="1" si="31"/>
        <v/>
      </c>
      <c r="W247" s="17">
        <f t="shared" ca="1" si="28"/>
        <v>-0.13360057523204263</v>
      </c>
      <c r="X247" s="13">
        <f t="shared" ca="1" si="29"/>
        <v>0</v>
      </c>
      <c r="Y247" s="13">
        <f t="shared" ca="1" si="30"/>
        <v>0</v>
      </c>
      <c r="Z247" t="str">
        <f t="shared" ca="1" si="32"/>
        <v/>
      </c>
      <c r="AA247" t="str">
        <f t="shared" ca="1" si="33"/>
        <v/>
      </c>
      <c r="AB247" s="24" t="str">
        <f t="shared" ca="1" si="34"/>
        <v/>
      </c>
      <c r="AC247" s="24" t="str">
        <f t="shared" ca="1" si="35"/>
        <v/>
      </c>
    </row>
    <row r="248" spans="3:29" x14ac:dyDescent="0.25">
      <c r="C248" s="6">
        <v>241</v>
      </c>
      <c r="D248" s="37">
        <v>42347</v>
      </c>
      <c r="E248" s="39">
        <v>16.414000000000001</v>
      </c>
      <c r="F248" s="39">
        <v>2.3720058869115754</v>
      </c>
      <c r="G248" s="39">
        <v>45.520767326866725</v>
      </c>
      <c r="H248" s="39">
        <v>39.370498610034765</v>
      </c>
      <c r="I248" s="10">
        <v>0</v>
      </c>
      <c r="J248" s="40">
        <v>0</v>
      </c>
      <c r="K248" s="40">
        <v>0</v>
      </c>
      <c r="L248" s="40">
        <v>0</v>
      </c>
      <c r="M248" s="40">
        <v>0</v>
      </c>
      <c r="N248" s="40">
        <v>0</v>
      </c>
      <c r="O248" s="40">
        <v>0</v>
      </c>
      <c r="P248" s="40">
        <v>0</v>
      </c>
      <c r="Q248" s="40">
        <v>0</v>
      </c>
      <c r="R248" s="40">
        <v>0</v>
      </c>
      <c r="S248" s="40">
        <v>0</v>
      </c>
      <c r="T248" s="29" t="str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9" t="str" cm="1">
        <f t="array" aca="1" ref="U248" ca="1">z_score_diff(OFFSET(T248,0,0,$I$5*-1,1),OFFSET(E248,0,0,$I$5*-1,1))</f>
        <v/>
      </c>
      <c r="V248" s="9" t="str">
        <f t="shared" ca="1" si="31"/>
        <v/>
      </c>
      <c r="W248" s="17">
        <f t="shared" ca="1" si="28"/>
        <v>-0.12495196343438561</v>
      </c>
      <c r="X248" s="13">
        <f t="shared" ca="1" si="29"/>
        <v>0</v>
      </c>
      <c r="Y248" s="13">
        <f t="shared" ca="1" si="30"/>
        <v>0</v>
      </c>
      <c r="Z248" t="str">
        <f t="shared" ca="1" si="32"/>
        <v/>
      </c>
      <c r="AA248" t="str">
        <f t="shared" ca="1" si="33"/>
        <v/>
      </c>
      <c r="AB248" s="24" t="str">
        <f t="shared" ca="1" si="34"/>
        <v/>
      </c>
      <c r="AC248" s="24" t="str">
        <f t="shared" ca="1" si="35"/>
        <v/>
      </c>
    </row>
    <row r="249" spans="3:29" x14ac:dyDescent="0.25">
      <c r="C249" s="6">
        <v>242</v>
      </c>
      <c r="D249" s="37">
        <v>42348</v>
      </c>
      <c r="E249" s="39">
        <v>16.367000000000001</v>
      </c>
      <c r="F249" s="39">
        <v>2.3862076125930183</v>
      </c>
      <c r="G249" s="39">
        <v>45.561002178649233</v>
      </c>
      <c r="H249" s="39">
        <v>39.203260852053333</v>
      </c>
      <c r="I249" s="10">
        <v>0</v>
      </c>
      <c r="J249" s="40">
        <v>0</v>
      </c>
      <c r="K249" s="40">
        <v>0</v>
      </c>
      <c r="L249" s="40">
        <v>0</v>
      </c>
      <c r="M249" s="40">
        <v>0</v>
      </c>
      <c r="N249" s="40">
        <v>0</v>
      </c>
      <c r="O249" s="40">
        <v>0</v>
      </c>
      <c r="P249" s="40">
        <v>0</v>
      </c>
      <c r="Q249" s="40">
        <v>0</v>
      </c>
      <c r="R249" s="40">
        <v>0</v>
      </c>
      <c r="S249" s="40">
        <v>0</v>
      </c>
      <c r="T249" s="29" t="str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9" t="str" cm="1">
        <f t="array" aca="1" ref="U249" ca="1">z_score_diff(OFFSET(T249,0,0,$I$5*-1,1),OFFSET(E249,0,0,$I$5*-1,1))</f>
        <v/>
      </c>
      <c r="V249" s="9" t="str">
        <f t="shared" ca="1" si="31"/>
        <v/>
      </c>
      <c r="W249" s="17">
        <f t="shared" ca="1" si="28"/>
        <v>-0.1532142739286898</v>
      </c>
      <c r="X249" s="13">
        <f t="shared" ca="1" si="29"/>
        <v>0</v>
      </c>
      <c r="Y249" s="13">
        <f t="shared" ca="1" si="30"/>
        <v>0</v>
      </c>
      <c r="Z249" t="str">
        <f t="shared" ca="1" si="32"/>
        <v/>
      </c>
      <c r="AA249" t="str">
        <f t="shared" ca="1" si="33"/>
        <v/>
      </c>
      <c r="AB249" s="24" t="str">
        <f t="shared" ca="1" si="34"/>
        <v/>
      </c>
      <c r="AC249" s="24" t="str">
        <f t="shared" ca="1" si="35"/>
        <v/>
      </c>
    </row>
    <row r="250" spans="3:29" x14ac:dyDescent="0.25">
      <c r="C250" s="6">
        <v>243</v>
      </c>
      <c r="D250" s="37">
        <v>42349</v>
      </c>
      <c r="E250" s="39">
        <v>16.244</v>
      </c>
      <c r="F250" s="39">
        <v>2.3745995484602136</v>
      </c>
      <c r="G250" s="39">
        <v>45.153029952190906</v>
      </c>
      <c r="H250" s="39">
        <v>38.282721018016971</v>
      </c>
      <c r="I250" s="10">
        <v>0</v>
      </c>
      <c r="J250" s="40">
        <v>0</v>
      </c>
      <c r="K250" s="40">
        <v>0</v>
      </c>
      <c r="L250" s="40">
        <v>0</v>
      </c>
      <c r="M250" s="40">
        <v>0</v>
      </c>
      <c r="N250" s="40">
        <v>0</v>
      </c>
      <c r="O250" s="40">
        <v>0</v>
      </c>
      <c r="P250" s="40">
        <v>0</v>
      </c>
      <c r="Q250" s="40">
        <v>0</v>
      </c>
      <c r="R250" s="40">
        <v>0</v>
      </c>
      <c r="S250" s="40">
        <v>0</v>
      </c>
      <c r="T250" s="29" t="str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9" t="str" cm="1">
        <f t="array" aca="1" ref="U250" ca="1">z_score_diff(OFFSET(T250,0,0,$I$5*-1,1),OFFSET(E250,0,0,$I$5*-1,1))</f>
        <v/>
      </c>
      <c r="V250" s="9" t="str">
        <f t="shared" ca="1" si="31"/>
        <v/>
      </c>
      <c r="W250" s="17">
        <f t="shared" ca="1" si="28"/>
        <v>-0.15756288071654809</v>
      </c>
      <c r="X250" s="13">
        <f t="shared" ca="1" si="29"/>
        <v>0</v>
      </c>
      <c r="Y250" s="13">
        <f t="shared" ca="1" si="30"/>
        <v>0</v>
      </c>
      <c r="Z250" t="str">
        <f t="shared" ca="1" si="32"/>
        <v/>
      </c>
      <c r="AA250" t="str">
        <f t="shared" ca="1" si="33"/>
        <v/>
      </c>
      <c r="AB250" s="24" t="str">
        <f t="shared" ca="1" si="34"/>
        <v/>
      </c>
      <c r="AC250" s="24" t="str">
        <f t="shared" ca="1" si="35"/>
        <v/>
      </c>
    </row>
    <row r="251" spans="3:29" x14ac:dyDescent="0.25">
      <c r="C251" s="6">
        <v>244</v>
      </c>
      <c r="D251" s="37">
        <v>42352</v>
      </c>
      <c r="E251" s="39">
        <v>15.936</v>
      </c>
      <c r="F251" s="39">
        <v>2.317977290773809</v>
      </c>
      <c r="G251" s="39">
        <v>44.331135721477054</v>
      </c>
      <c r="H251" s="39">
        <v>38.142802016577861</v>
      </c>
      <c r="I251" s="10">
        <v>0</v>
      </c>
      <c r="J251" s="40">
        <v>0</v>
      </c>
      <c r="K251" s="40">
        <v>0</v>
      </c>
      <c r="L251" s="40">
        <v>0</v>
      </c>
      <c r="M251" s="40">
        <v>0</v>
      </c>
      <c r="N251" s="40">
        <v>0</v>
      </c>
      <c r="O251" s="40">
        <v>0</v>
      </c>
      <c r="P251" s="40">
        <v>0</v>
      </c>
      <c r="Q251" s="40">
        <v>0</v>
      </c>
      <c r="R251" s="40">
        <v>0</v>
      </c>
      <c r="S251" s="40">
        <v>0</v>
      </c>
      <c r="T251" s="29" t="str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9" t="str" cm="1">
        <f t="array" aca="1" ref="U251" ca="1">z_score_diff(OFFSET(T251,0,0,$I$5*-1,1),OFFSET(E251,0,0,$I$5*-1,1))</f>
        <v/>
      </c>
      <c r="V251" s="9" t="str">
        <f t="shared" ca="1" si="31"/>
        <v/>
      </c>
      <c r="W251" s="17">
        <f t="shared" ca="1" si="28"/>
        <v>-0.13016643509109357</v>
      </c>
      <c r="X251" s="13">
        <f t="shared" ca="1" si="29"/>
        <v>0</v>
      </c>
      <c r="Y251" s="13">
        <f t="shared" ca="1" si="30"/>
        <v>0</v>
      </c>
      <c r="Z251" t="str">
        <f t="shared" ca="1" si="32"/>
        <v/>
      </c>
      <c r="AA251" t="str">
        <f t="shared" ca="1" si="33"/>
        <v/>
      </c>
      <c r="AB251" s="24" t="str">
        <f t="shared" ca="1" si="34"/>
        <v/>
      </c>
      <c r="AC251" s="24" t="str">
        <f t="shared" ca="1" si="35"/>
        <v/>
      </c>
    </row>
    <row r="252" spans="3:29" x14ac:dyDescent="0.25">
      <c r="C252" s="6">
        <v>245</v>
      </c>
      <c r="D252" s="37">
        <v>42353</v>
      </c>
      <c r="E252" s="39">
        <v>16.103999999999999</v>
      </c>
      <c r="F252" s="39">
        <v>2.3028483069269212</v>
      </c>
      <c r="G252" s="39">
        <v>44.418963449345483</v>
      </c>
      <c r="H252" s="39">
        <v>38.321045200905367</v>
      </c>
      <c r="I252" s="10">
        <v>0</v>
      </c>
      <c r="J252" s="40">
        <v>0</v>
      </c>
      <c r="K252" s="40">
        <v>0</v>
      </c>
      <c r="L252" s="40">
        <v>0</v>
      </c>
      <c r="M252" s="40">
        <v>0</v>
      </c>
      <c r="N252" s="40">
        <v>0</v>
      </c>
      <c r="O252" s="40">
        <v>0</v>
      </c>
      <c r="P252" s="40">
        <v>0</v>
      </c>
      <c r="Q252" s="40">
        <v>0</v>
      </c>
      <c r="R252" s="40">
        <v>0</v>
      </c>
      <c r="S252" s="40">
        <v>0</v>
      </c>
      <c r="T252" s="29" t="str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9" t="str" cm="1">
        <f t="array" aca="1" ref="U252" ca="1">z_score_diff(OFFSET(T252,0,0,$I$5*-1,1),OFFSET(E252,0,0,$I$5*-1,1))</f>
        <v/>
      </c>
      <c r="V252" s="9" t="str">
        <f t="shared" ca="1" si="31"/>
        <v/>
      </c>
      <c r="W252" s="17">
        <f t="shared" ca="1" si="28"/>
        <v>-0.15737453289181078</v>
      </c>
      <c r="X252" s="13">
        <f t="shared" ca="1" si="29"/>
        <v>0</v>
      </c>
      <c r="Y252" s="13">
        <f t="shared" ca="1" si="30"/>
        <v>0</v>
      </c>
      <c r="Z252" t="str">
        <f t="shared" ca="1" si="32"/>
        <v/>
      </c>
      <c r="AA252" t="str">
        <f t="shared" ca="1" si="33"/>
        <v/>
      </c>
      <c r="AB252" s="24" t="str">
        <f t="shared" ca="1" si="34"/>
        <v/>
      </c>
      <c r="AC252" s="24" t="str">
        <f t="shared" ca="1" si="35"/>
        <v/>
      </c>
    </row>
    <row r="253" spans="3:29" x14ac:dyDescent="0.25">
      <c r="C253" s="6">
        <v>246</v>
      </c>
      <c r="D253" s="37">
        <v>42354</v>
      </c>
      <c r="E253" s="39">
        <v>15.795</v>
      </c>
      <c r="F253" s="39">
        <v>2.3383151564112921</v>
      </c>
      <c r="G253" s="39">
        <v>43.697297151087703</v>
      </c>
      <c r="H253" s="39">
        <v>38.37350208697994</v>
      </c>
      <c r="I253" s="10">
        <v>0</v>
      </c>
      <c r="J253" s="40">
        <v>0</v>
      </c>
      <c r="K253" s="40">
        <v>0</v>
      </c>
      <c r="L253" s="40">
        <v>0</v>
      </c>
      <c r="M253" s="40">
        <v>0</v>
      </c>
      <c r="N253" s="40">
        <v>0</v>
      </c>
      <c r="O253" s="40">
        <v>0</v>
      </c>
      <c r="P253" s="40">
        <v>0</v>
      </c>
      <c r="Q253" s="40">
        <v>0</v>
      </c>
      <c r="R253" s="40">
        <v>0</v>
      </c>
      <c r="S253" s="40">
        <v>0</v>
      </c>
      <c r="T253" s="29" t="str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9" t="str" cm="1">
        <f t="array" aca="1" ref="U253" ca="1">z_score_diff(OFFSET(T253,0,0,$I$5*-1,1),OFFSET(E253,0,0,$I$5*-1,1))</f>
        <v/>
      </c>
      <c r="V253" s="9" t="str">
        <f t="shared" ca="1" si="31"/>
        <v/>
      </c>
      <c r="W253" s="17">
        <f t="shared" ca="1" si="28"/>
        <v>-0.14580740320958802</v>
      </c>
      <c r="X253" s="13">
        <f t="shared" ca="1" si="29"/>
        <v>0</v>
      </c>
      <c r="Y253" s="13">
        <f t="shared" ca="1" si="30"/>
        <v>0</v>
      </c>
      <c r="Z253" t="str">
        <f t="shared" ca="1" si="32"/>
        <v/>
      </c>
      <c r="AA253" t="str">
        <f t="shared" ca="1" si="33"/>
        <v/>
      </c>
      <c r="AB253" s="24" t="str">
        <f t="shared" ca="1" si="34"/>
        <v/>
      </c>
      <c r="AC253" s="24" t="str">
        <f t="shared" ca="1" si="35"/>
        <v/>
      </c>
    </row>
    <row r="254" spans="3:29" x14ac:dyDescent="0.25">
      <c r="C254" s="6">
        <v>247</v>
      </c>
      <c r="D254" s="37">
        <v>42355</v>
      </c>
      <c r="E254" s="39">
        <v>15.786</v>
      </c>
      <c r="F254" s="39">
        <v>2.3804263579929446</v>
      </c>
      <c r="G254" s="39">
        <v>43.505291202368682</v>
      </c>
      <c r="H254" s="39">
        <v>38.481597647280388</v>
      </c>
      <c r="I254" s="10">
        <v>0</v>
      </c>
      <c r="J254" s="40">
        <v>0</v>
      </c>
      <c r="K254" s="40">
        <v>0</v>
      </c>
      <c r="L254" s="40">
        <v>0</v>
      </c>
      <c r="M254" s="40">
        <v>0</v>
      </c>
      <c r="N254" s="40">
        <v>0</v>
      </c>
      <c r="O254" s="40">
        <v>0</v>
      </c>
      <c r="P254" s="40">
        <v>0</v>
      </c>
      <c r="Q254" s="40">
        <v>0</v>
      </c>
      <c r="R254" s="40">
        <v>0</v>
      </c>
      <c r="S254" s="40">
        <v>0</v>
      </c>
      <c r="T254" s="29" t="str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9" t="str" cm="1">
        <f t="array" aca="1" ref="U254" ca="1">z_score_diff(OFFSET(T254,0,0,$I$5*-1,1),OFFSET(E254,0,0,$I$5*-1,1))</f>
        <v/>
      </c>
      <c r="V254" s="9" t="str">
        <f t="shared" ca="1" si="31"/>
        <v/>
      </c>
      <c r="W254" s="17">
        <f t="shared" ca="1" si="28"/>
        <v>-0.16640930219733235</v>
      </c>
      <c r="X254" s="13">
        <f t="shared" ca="1" si="29"/>
        <v>0</v>
      </c>
      <c r="Y254" s="13">
        <f t="shared" ca="1" si="30"/>
        <v>0</v>
      </c>
      <c r="Z254" t="str">
        <f t="shared" ca="1" si="32"/>
        <v/>
      </c>
      <c r="AA254" t="str">
        <f t="shared" ca="1" si="33"/>
        <v/>
      </c>
      <c r="AB254" s="24" t="str">
        <f t="shared" ca="1" si="34"/>
        <v/>
      </c>
      <c r="AC254" s="24" t="str">
        <f t="shared" ca="1" si="35"/>
        <v/>
      </c>
    </row>
    <row r="255" spans="3:29" x14ac:dyDescent="0.25">
      <c r="C255" s="6">
        <v>248</v>
      </c>
      <c r="D255" s="37">
        <v>42356</v>
      </c>
      <c r="E255" s="39">
        <v>15.505000000000001</v>
      </c>
      <c r="F255" s="39">
        <v>2.3788898093552837</v>
      </c>
      <c r="G255" s="39">
        <v>42.715010368048851</v>
      </c>
      <c r="H255" s="39">
        <v>38.130746091598525</v>
      </c>
      <c r="I255" s="10">
        <v>0</v>
      </c>
      <c r="J255" s="40">
        <v>0</v>
      </c>
      <c r="K255" s="40">
        <v>0</v>
      </c>
      <c r="L255" s="40">
        <v>0</v>
      </c>
      <c r="M255" s="40">
        <v>0</v>
      </c>
      <c r="N255" s="40">
        <v>0</v>
      </c>
      <c r="O255" s="40">
        <v>0</v>
      </c>
      <c r="P255" s="40">
        <v>0</v>
      </c>
      <c r="Q255" s="40">
        <v>0</v>
      </c>
      <c r="R255" s="40">
        <v>0</v>
      </c>
      <c r="S255" s="40">
        <v>0</v>
      </c>
      <c r="T255" s="29" t="str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9" t="str" cm="1">
        <f t="array" aca="1" ref="U255" ca="1">z_score_diff(OFFSET(T255,0,0,$I$5*-1,1),OFFSET(E255,0,0,$I$5*-1,1))</f>
        <v/>
      </c>
      <c r="V255" s="9" t="str">
        <f t="shared" ca="1" si="31"/>
        <v/>
      </c>
      <c r="W255" s="17">
        <f t="shared" ca="1" si="28"/>
        <v>-0.16504502271102783</v>
      </c>
      <c r="X255" s="13">
        <f t="shared" ca="1" si="29"/>
        <v>0</v>
      </c>
      <c r="Y255" s="13">
        <f t="shared" ca="1" si="30"/>
        <v>0</v>
      </c>
      <c r="Z255" t="str">
        <f t="shared" ca="1" si="32"/>
        <v/>
      </c>
      <c r="AA255" t="str">
        <f t="shared" ca="1" si="33"/>
        <v/>
      </c>
      <c r="AB255" s="24" t="str">
        <f t="shared" ca="1" si="34"/>
        <v/>
      </c>
      <c r="AC255" s="24" t="str">
        <f t="shared" ca="1" si="35"/>
        <v/>
      </c>
    </row>
    <row r="256" spans="3:29" x14ac:dyDescent="0.25">
      <c r="C256" s="6">
        <v>249</v>
      </c>
      <c r="D256" s="37">
        <v>42359</v>
      </c>
      <c r="E256" s="39">
        <v>15.298999999999999</v>
      </c>
      <c r="F256" s="39">
        <v>2.3860932029533739</v>
      </c>
      <c r="G256" s="39">
        <v>41.980976490116838</v>
      </c>
      <c r="H256" s="39">
        <v>37.809709964091986</v>
      </c>
      <c r="I256" s="10">
        <v>0</v>
      </c>
      <c r="J256" s="40">
        <v>0</v>
      </c>
      <c r="K256" s="40">
        <v>0</v>
      </c>
      <c r="L256" s="40">
        <v>0</v>
      </c>
      <c r="M256" s="40">
        <v>0</v>
      </c>
      <c r="N256" s="40">
        <v>0</v>
      </c>
      <c r="O256" s="40">
        <v>0</v>
      </c>
      <c r="P256" s="40">
        <v>0</v>
      </c>
      <c r="Q256" s="40">
        <v>0</v>
      </c>
      <c r="R256" s="40">
        <v>0</v>
      </c>
      <c r="S256" s="40">
        <v>0</v>
      </c>
      <c r="T256" s="29" t="str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9" t="str" cm="1">
        <f t="array" aca="1" ref="U256" ca="1">z_score_diff(OFFSET(T256,0,0,$I$5*-1,1),OFFSET(E256,0,0,$I$5*-1,1))</f>
        <v/>
      </c>
      <c r="V256" s="9" t="str">
        <f t="shared" ca="1" si="31"/>
        <v/>
      </c>
      <c r="W256" s="17">
        <f t="shared" ca="1" si="28"/>
        <v>-0.1641466574071255</v>
      </c>
      <c r="X256" s="13">
        <f t="shared" ca="1" si="29"/>
        <v>0</v>
      </c>
      <c r="Y256" s="13">
        <f t="shared" ca="1" si="30"/>
        <v>0</v>
      </c>
      <c r="Z256" t="str">
        <f t="shared" ca="1" si="32"/>
        <v/>
      </c>
      <c r="AA256" t="str">
        <f t="shared" ca="1" si="33"/>
        <v/>
      </c>
      <c r="AB256" s="24" t="str">
        <f t="shared" ca="1" si="34"/>
        <v/>
      </c>
      <c r="AC256" s="24" t="str">
        <f t="shared" ca="1" si="35"/>
        <v/>
      </c>
    </row>
    <row r="257" spans="3:29" x14ac:dyDescent="0.25">
      <c r="C257" s="6">
        <v>250</v>
      </c>
      <c r="D257" s="37">
        <v>42360</v>
      </c>
      <c r="E257" s="39">
        <v>15.269</v>
      </c>
      <c r="F257" s="39">
        <v>2.3559926317134843</v>
      </c>
      <c r="G257" s="39">
        <v>42.031626203351614</v>
      </c>
      <c r="H257" s="39">
        <v>37.806710288877227</v>
      </c>
      <c r="I257" s="10">
        <v>0</v>
      </c>
      <c r="J257" s="40">
        <v>0</v>
      </c>
      <c r="K257" s="40">
        <v>0</v>
      </c>
      <c r="L257" s="40">
        <v>0</v>
      </c>
      <c r="M257" s="40">
        <v>0</v>
      </c>
      <c r="N257" s="40">
        <v>0</v>
      </c>
      <c r="O257" s="40">
        <v>0</v>
      </c>
      <c r="P257" s="40">
        <v>0</v>
      </c>
      <c r="Q257" s="40">
        <v>0</v>
      </c>
      <c r="R257" s="40">
        <v>0</v>
      </c>
      <c r="S257" s="40">
        <v>0</v>
      </c>
      <c r="T257" s="29">
        <f t="array" aca="1" ref="T257" ca="1">+fair_value_gap(OFFSET(S256,0,0,-1*$I$5,-1*$Z$1),OFFSET(E256,0,0,-1*$I$5,1),F257:S257,0)</f>
        <v>15.290539404698539</v>
      </c>
      <c r="U257" s="9" t="str" cm="1">
        <f t="array" aca="1" ref="U257" ca="1">z_score_diff(OFFSET(T257,0,0,$I$5*-1,1),OFFSET(E257,0,0,$I$5*-1,1))</f>
        <v/>
      </c>
      <c r="V257" s="9" t="str">
        <f t="shared" ca="1" si="31"/>
        <v/>
      </c>
      <c r="W257" s="17">
        <f t="shared" ca="1" si="28"/>
        <v>-0.1717806739130727</v>
      </c>
      <c r="X257" s="13">
        <f t="shared" ca="1" si="29"/>
        <v>0</v>
      </c>
      <c r="Y257" s="13">
        <f t="shared" ca="1" si="30"/>
        <v>0</v>
      </c>
      <c r="Z257" t="str">
        <f t="shared" ca="1" si="32"/>
        <v/>
      </c>
      <c r="AA257" t="str">
        <f t="shared" ca="1" si="33"/>
        <v/>
      </c>
      <c r="AB257" s="24" t="str">
        <f t="shared" ca="1" si="34"/>
        <v/>
      </c>
      <c r="AC257" s="24" t="str">
        <f t="shared" ca="1" si="35"/>
        <v/>
      </c>
    </row>
    <row r="258" spans="3:29" x14ac:dyDescent="0.25">
      <c r="C258" s="6">
        <v>251</v>
      </c>
      <c r="D258" s="37">
        <v>42361</v>
      </c>
      <c r="E258" s="39">
        <v>15.124000000000001</v>
      </c>
      <c r="F258" s="39">
        <v>2.3762706634181696</v>
      </c>
      <c r="G258" s="39">
        <v>41.704580937307774</v>
      </c>
      <c r="H258" s="39">
        <v>37.944978883574393</v>
      </c>
      <c r="I258" s="10">
        <v>0</v>
      </c>
      <c r="J258" s="40">
        <v>0</v>
      </c>
      <c r="K258" s="40">
        <v>0</v>
      </c>
      <c r="L258" s="40">
        <v>0</v>
      </c>
      <c r="M258" s="40">
        <v>0</v>
      </c>
      <c r="N258" s="40">
        <v>0</v>
      </c>
      <c r="O258" s="40">
        <v>0</v>
      </c>
      <c r="P258" s="40">
        <v>0</v>
      </c>
      <c r="Q258" s="40">
        <v>0</v>
      </c>
      <c r="R258" s="40">
        <v>0</v>
      </c>
      <c r="S258" s="40">
        <v>0</v>
      </c>
      <c r="T258" s="29">
        <f t="array" aca="1" ref="T258" ca="1">+fair_value_gap(OFFSET(S257,0,0,-1*$I$5,-1*$Z$1),OFFSET(E257,0,0,-1*$I$5,1),F258:S258,0)</f>
        <v>15.221046635337036</v>
      </c>
      <c r="U258" s="9" t="str" cm="1">
        <f t="array" aca="1" ref="U258" ca="1">z_score_diff(OFFSET(T258,0,0,$I$5*-1,1),OFFSET(E258,0,0,$I$5*-1,1))</f>
        <v/>
      </c>
      <c r="V258" s="9" t="str">
        <f t="shared" ca="1" si="31"/>
        <v/>
      </c>
      <c r="W258" s="17">
        <f t="shared" ca="1" si="28"/>
        <v>-0.12574075838842896</v>
      </c>
      <c r="X258" s="13">
        <f t="shared" ca="1" si="29"/>
        <v>0</v>
      </c>
      <c r="Y258" s="13">
        <f t="shared" ca="1" si="30"/>
        <v>0</v>
      </c>
      <c r="Z258" t="str">
        <f t="shared" ca="1" si="32"/>
        <v/>
      </c>
      <c r="AA258" t="str">
        <f t="shared" ca="1" si="33"/>
        <v/>
      </c>
      <c r="AB258" s="24" t="str">
        <f t="shared" ca="1" si="34"/>
        <v/>
      </c>
      <c r="AC258" s="24" t="str">
        <f t="shared" ca="1" si="35"/>
        <v/>
      </c>
    </row>
    <row r="259" spans="3:29" x14ac:dyDescent="0.25">
      <c r="C259" s="6">
        <v>252</v>
      </c>
      <c r="D259" s="37">
        <v>42362</v>
      </c>
      <c r="E259" s="39">
        <v>15.032</v>
      </c>
      <c r="F259" s="39">
        <v>2.3742063648024354</v>
      </c>
      <c r="G259" s="39">
        <v>41.71985345868022</v>
      </c>
      <c r="H259" s="39">
        <v>37.828306828210359</v>
      </c>
      <c r="I259" s="10">
        <v>0</v>
      </c>
      <c r="J259" s="40">
        <v>0</v>
      </c>
      <c r="K259" s="40">
        <v>0</v>
      </c>
      <c r="L259" s="40">
        <v>0</v>
      </c>
      <c r="M259" s="40">
        <v>0</v>
      </c>
      <c r="N259" s="40">
        <v>0</v>
      </c>
      <c r="O259" s="40">
        <v>0</v>
      </c>
      <c r="P259" s="40">
        <v>0</v>
      </c>
      <c r="Q259" s="40">
        <v>0</v>
      </c>
      <c r="R259" s="40">
        <v>0</v>
      </c>
      <c r="S259" s="40">
        <v>0</v>
      </c>
      <c r="T259" s="29">
        <f t="array" aca="1" ref="T259" ca="1">+fair_value_gap(OFFSET(S258,0,0,-1*$I$5,-1*$Z$1),OFFSET(E258,0,0,-1*$I$5,1),F259:S259,0)</f>
        <v>15.205874966925361</v>
      </c>
      <c r="U259" s="9" t="str" cm="1">
        <f t="array" aca="1" ref="U259" ca="1">z_score_diff(OFFSET(T259,0,0,$I$5*-1,1),OFFSET(E259,0,0,$I$5*-1,1))</f>
        <v/>
      </c>
      <c r="V259" s="9" t="str">
        <f t="shared" ca="1" si="31"/>
        <v/>
      </c>
      <c r="W259" s="17">
        <f t="shared" ca="1" si="28"/>
        <v>-0.11754191252028182</v>
      </c>
      <c r="X259" s="13">
        <f t="shared" ca="1" si="29"/>
        <v>0</v>
      </c>
      <c r="Y259" s="13">
        <f t="shared" ca="1" si="30"/>
        <v>0</v>
      </c>
      <c r="Z259" t="str">
        <f t="shared" ca="1" si="32"/>
        <v/>
      </c>
      <c r="AA259" t="str">
        <f t="shared" ca="1" si="33"/>
        <v/>
      </c>
      <c r="AB259" s="24" t="str">
        <f t="shared" ca="1" si="34"/>
        <v/>
      </c>
      <c r="AC259" s="24" t="str">
        <f t="shared" ca="1" si="35"/>
        <v/>
      </c>
    </row>
    <row r="260" spans="3:29" x14ac:dyDescent="0.25">
      <c r="C260" s="6">
        <v>253</v>
      </c>
      <c r="D260" s="37">
        <v>42366</v>
      </c>
      <c r="E260" s="39">
        <v>15.4</v>
      </c>
      <c r="F260" s="39">
        <v>2.4368255215074401</v>
      </c>
      <c r="G260" s="39">
        <v>41.58542082898763</v>
      </c>
      <c r="H260" s="39">
        <v>37.802036936205162</v>
      </c>
      <c r="I260" s="10">
        <v>0</v>
      </c>
      <c r="J260" s="40">
        <v>0</v>
      </c>
      <c r="K260" s="40">
        <v>0</v>
      </c>
      <c r="L260" s="40">
        <v>0</v>
      </c>
      <c r="M260" s="40">
        <v>0</v>
      </c>
      <c r="N260" s="40">
        <v>0</v>
      </c>
      <c r="O260" s="40">
        <v>0</v>
      </c>
      <c r="P260" s="40">
        <v>0</v>
      </c>
      <c r="Q260" s="40">
        <v>0</v>
      </c>
      <c r="R260" s="40">
        <v>0</v>
      </c>
      <c r="S260" s="40">
        <v>0</v>
      </c>
      <c r="T260" s="29">
        <f t="array" aca="1" ref="T260" ca="1">+fair_value_gap(OFFSET(S259,0,0,-1*$I$5,-1*$Z$1),OFFSET(E259,0,0,-1*$I$5,1),F260:S260,0)</f>
        <v>15.165045227267441</v>
      </c>
      <c r="U260" s="9" t="str" cm="1">
        <f t="array" aca="1" ref="U260" ca="1">z_score_diff(OFFSET(T260,0,0,$I$5*-1,1),OFFSET(E260,0,0,$I$5*-1,1))</f>
        <v/>
      </c>
      <c r="V260" s="9" t="str">
        <f t="shared" ca="1" si="31"/>
        <v/>
      </c>
      <c r="W260" s="17">
        <f t="shared" ca="1" si="28"/>
        <v>-0.15407492512096096</v>
      </c>
      <c r="X260" s="13">
        <f t="shared" ca="1" si="29"/>
        <v>0</v>
      </c>
      <c r="Y260" s="13">
        <f t="shared" ca="1" si="30"/>
        <v>0</v>
      </c>
      <c r="Z260" t="str">
        <f t="shared" ca="1" si="32"/>
        <v/>
      </c>
      <c r="AA260" t="str">
        <f t="shared" ca="1" si="33"/>
        <v/>
      </c>
      <c r="AB260" s="24" t="str">
        <f t="shared" ca="1" si="34"/>
        <v/>
      </c>
      <c r="AC260" s="24" t="str">
        <f t="shared" ca="1" si="35"/>
        <v/>
      </c>
    </row>
    <row r="261" spans="3:29" x14ac:dyDescent="0.25">
      <c r="C261" s="6">
        <v>254</v>
      </c>
      <c r="D261" s="37">
        <v>42367</v>
      </c>
      <c r="E261" s="39">
        <v>15.622</v>
      </c>
      <c r="F261" s="39">
        <v>2.4541997616534195</v>
      </c>
      <c r="G261" s="39">
        <v>43.178376418394336</v>
      </c>
      <c r="H261" s="39">
        <v>38.142615777612434</v>
      </c>
      <c r="I261" s="10">
        <v>0</v>
      </c>
      <c r="J261" s="40">
        <v>0</v>
      </c>
      <c r="K261" s="40">
        <v>0</v>
      </c>
      <c r="L261" s="40">
        <v>0</v>
      </c>
      <c r="M261" s="40">
        <v>0</v>
      </c>
      <c r="N261" s="40">
        <v>0</v>
      </c>
      <c r="O261" s="40">
        <v>0</v>
      </c>
      <c r="P261" s="40">
        <v>0</v>
      </c>
      <c r="Q261" s="40">
        <v>0</v>
      </c>
      <c r="R261" s="40">
        <v>0</v>
      </c>
      <c r="S261" s="40">
        <v>0</v>
      </c>
      <c r="T261" s="29">
        <f t="array" aca="1" ref="T261" ca="1">+fair_value_gap(OFFSET(S260,0,0,-1*$I$5,-1*$Z$1),OFFSET(E260,0,0,-1*$I$5,1),F261:S261,0)</f>
        <v>15.642325518618858</v>
      </c>
      <c r="U261" s="9" t="str" cm="1">
        <f t="array" aca="1" ref="U261" ca="1">z_score_diff(OFFSET(T261,0,0,$I$5*-1,1),OFFSET(E261,0,0,$I$5*-1,1))</f>
        <v/>
      </c>
      <c r="V261" s="9" t="str">
        <f t="shared" ca="1" si="31"/>
        <v/>
      </c>
      <c r="W261" s="17">
        <f t="shared" ca="1" si="28"/>
        <v>-0.16023967908368658</v>
      </c>
      <c r="X261" s="13">
        <f t="shared" ca="1" si="29"/>
        <v>0</v>
      </c>
      <c r="Y261" s="13">
        <f t="shared" ca="1" si="30"/>
        <v>0</v>
      </c>
      <c r="Z261" t="str">
        <f t="shared" ca="1" si="32"/>
        <v/>
      </c>
      <c r="AA261" t="str">
        <f t="shared" ca="1" si="33"/>
        <v/>
      </c>
      <c r="AB261" s="24" t="str">
        <f t="shared" ca="1" si="34"/>
        <v/>
      </c>
      <c r="AC261" s="24" t="str">
        <f t="shared" ca="1" si="35"/>
        <v/>
      </c>
    </row>
    <row r="262" spans="3:29" x14ac:dyDescent="0.25">
      <c r="C262" s="6">
        <v>255</v>
      </c>
      <c r="D262" s="37">
        <v>42368</v>
      </c>
      <c r="E262" s="39">
        <v>15.343999999999999</v>
      </c>
      <c r="F262" s="39">
        <v>2.426954226139872</v>
      </c>
      <c r="G262" s="39">
        <v>42.164300891911509</v>
      </c>
      <c r="H262" s="39">
        <v>38.122511074320997</v>
      </c>
      <c r="I262" s="10">
        <v>0</v>
      </c>
      <c r="J262" s="40">
        <v>0</v>
      </c>
      <c r="K262" s="40">
        <v>0</v>
      </c>
      <c r="L262" s="40">
        <v>0</v>
      </c>
      <c r="M262" s="40">
        <v>0</v>
      </c>
      <c r="N262" s="40">
        <v>0</v>
      </c>
      <c r="O262" s="40">
        <v>0</v>
      </c>
      <c r="P262" s="40">
        <v>0</v>
      </c>
      <c r="Q262" s="40">
        <v>0</v>
      </c>
      <c r="R262" s="40">
        <v>0</v>
      </c>
      <c r="S262" s="40">
        <v>0</v>
      </c>
      <c r="T262" s="29">
        <f t="array" aca="1" ref="T262" ca="1">+fair_value_gap(OFFSET(S261,0,0,-1*$I$5,-1*$Z$1),OFFSET(E261,0,0,-1*$I$5,1),F262:S262,0)</f>
        <v>15.366058355503043</v>
      </c>
      <c r="U262" s="9" t="str" cm="1">
        <f t="array" aca="1" ref="U262" ca="1">z_score_diff(OFFSET(T262,0,0,$I$5*-1,1),OFFSET(E262,0,0,$I$5*-1,1))</f>
        <v/>
      </c>
      <c r="V262" s="9" t="str">
        <f t="shared" ca="1" si="31"/>
        <v/>
      </c>
      <c r="W262" s="17">
        <f t="shared" ca="1" si="28"/>
        <v>-0.12367398466091034</v>
      </c>
      <c r="X262" s="13">
        <f t="shared" ca="1" si="29"/>
        <v>0</v>
      </c>
      <c r="Y262" s="13">
        <f t="shared" ca="1" si="30"/>
        <v>0</v>
      </c>
      <c r="Z262" t="str">
        <f t="shared" ca="1" si="32"/>
        <v/>
      </c>
      <c r="AA262" t="str">
        <f t="shared" ca="1" si="33"/>
        <v/>
      </c>
      <c r="AB262" s="24" t="str">
        <f t="shared" ca="1" si="34"/>
        <v/>
      </c>
      <c r="AC262" s="24" t="str">
        <f t="shared" ca="1" si="35"/>
        <v/>
      </c>
    </row>
    <row r="263" spans="3:29" x14ac:dyDescent="0.25">
      <c r="C263" s="6">
        <v>256</v>
      </c>
      <c r="D263" s="37">
        <v>42369</v>
      </c>
      <c r="E263" s="39">
        <v>15.073</v>
      </c>
      <c r="F263" s="39">
        <v>2.4757894281629156</v>
      </c>
      <c r="G263" s="39">
        <v>42.269499759756556</v>
      </c>
      <c r="H263" s="39">
        <v>37.884623527747664</v>
      </c>
      <c r="I263" s="10">
        <v>0</v>
      </c>
      <c r="J263" s="40">
        <v>0</v>
      </c>
      <c r="K263" s="40">
        <v>0</v>
      </c>
      <c r="L263" s="40">
        <v>0</v>
      </c>
      <c r="M263" s="40">
        <v>0</v>
      </c>
      <c r="N263" s="40">
        <v>0</v>
      </c>
      <c r="O263" s="40">
        <v>0</v>
      </c>
      <c r="P263" s="40">
        <v>0</v>
      </c>
      <c r="Q263" s="40">
        <v>0</v>
      </c>
      <c r="R263" s="40">
        <v>0</v>
      </c>
      <c r="S263" s="40">
        <v>0</v>
      </c>
      <c r="T263" s="29">
        <f t="array" aca="1" ref="T263" ca="1">+fair_value_gap(OFFSET(S262,0,0,-1*$I$5,-1*$Z$1),OFFSET(E262,0,0,-1*$I$5,1),F263:S263,0)</f>
        <v>15.380087607959858</v>
      </c>
      <c r="U263" s="9" t="str" cm="1">
        <f t="array" aca="1" ref="U263" ca="1">z_score_diff(OFFSET(T263,0,0,$I$5*-1,1),OFFSET(E263,0,0,$I$5*-1,1))</f>
        <v/>
      </c>
      <c r="V263" s="9" t="str">
        <f t="shared" ca="1" si="31"/>
        <v/>
      </c>
      <c r="W263" s="17">
        <f t="shared" ref="W263:W326" ca="1" si="36">+LN(OFFSET(E263,$W$3,0,1,1)/E263)</f>
        <v>-0.13208235721056527</v>
      </c>
      <c r="X263" s="13">
        <f t="shared" ca="1" si="29"/>
        <v>0</v>
      </c>
      <c r="Y263" s="13">
        <f t="shared" ca="1" si="30"/>
        <v>0</v>
      </c>
      <c r="Z263" t="str">
        <f t="shared" ca="1" si="32"/>
        <v/>
      </c>
      <c r="AA263" t="str">
        <f t="shared" ca="1" si="33"/>
        <v/>
      </c>
      <c r="AB263" s="24" t="str">
        <f t="shared" ca="1" si="34"/>
        <v/>
      </c>
      <c r="AC263" s="24" t="str">
        <f t="shared" ca="1" si="35"/>
        <v/>
      </c>
    </row>
    <row r="264" spans="3:29" x14ac:dyDescent="0.25">
      <c r="C264" s="6">
        <v>257</v>
      </c>
      <c r="D264" s="37">
        <v>42373</v>
      </c>
      <c r="E264" s="39">
        <v>14.845000000000001</v>
      </c>
      <c r="F264" s="39">
        <v>2.4728814263746313</v>
      </c>
      <c r="G264" s="39">
        <v>41.62430987936164</v>
      </c>
      <c r="H264" s="39">
        <v>37.495279208822502</v>
      </c>
      <c r="I264" s="10">
        <v>1</v>
      </c>
      <c r="J264" s="40">
        <v>0</v>
      </c>
      <c r="K264" s="40">
        <v>0</v>
      </c>
      <c r="L264" s="40">
        <v>0</v>
      </c>
      <c r="M264" s="40">
        <v>0</v>
      </c>
      <c r="N264" s="40">
        <v>0</v>
      </c>
      <c r="O264" s="40">
        <v>0</v>
      </c>
      <c r="P264" s="40">
        <v>0</v>
      </c>
      <c r="Q264" s="40">
        <v>0</v>
      </c>
      <c r="R264" s="40">
        <v>0</v>
      </c>
      <c r="S264" s="40">
        <v>0</v>
      </c>
      <c r="T264" s="29">
        <f t="array" aca="1" ref="T264" ca="1">+fair_value_gap(OFFSET(S263,0,0,-1*$I$5,-1*$Z$1),OFFSET(E263,0,0,-1*$I$5,1),F264:S264,0)</f>
        <v>14.292201798498573</v>
      </c>
      <c r="U264" s="9" t="str" cm="1">
        <f t="array" aca="1" ref="U264" ca="1">z_score_diff(OFFSET(T264,0,0,$I$5*-1,1),OFFSET(E264,0,0,$I$5*-1,1))</f>
        <v/>
      </c>
      <c r="V264" s="9" t="str">
        <f t="shared" ca="1" si="31"/>
        <v/>
      </c>
      <c r="W264" s="17">
        <f t="shared" ca="1" si="36"/>
        <v>-9.4232956243615648E-2</v>
      </c>
      <c r="X264" s="13">
        <f t="shared" ca="1" si="29"/>
        <v>0</v>
      </c>
      <c r="Y264" s="13">
        <f t="shared" ca="1" si="30"/>
        <v>0</v>
      </c>
      <c r="Z264" t="str">
        <f t="shared" ca="1" si="32"/>
        <v/>
      </c>
      <c r="AA264" t="str">
        <f t="shared" ca="1" si="33"/>
        <v/>
      </c>
      <c r="AB264" s="24" t="str">
        <f t="shared" ca="1" si="34"/>
        <v/>
      </c>
      <c r="AC264" s="24" t="str">
        <f t="shared" ca="1" si="35"/>
        <v/>
      </c>
    </row>
    <row r="265" spans="3:29" x14ac:dyDescent="0.25">
      <c r="C265" s="6">
        <v>258</v>
      </c>
      <c r="D265" s="37">
        <v>42374</v>
      </c>
      <c r="E265" s="39">
        <v>14.898</v>
      </c>
      <c r="F265" s="39">
        <v>2.4917971893765865</v>
      </c>
      <c r="G265" s="39">
        <v>41.833762449166883</v>
      </c>
      <c r="H265" s="39">
        <v>38.009694065207341</v>
      </c>
      <c r="I265" s="10">
        <v>1</v>
      </c>
      <c r="J265" s="40">
        <v>0</v>
      </c>
      <c r="K265" s="40">
        <v>0</v>
      </c>
      <c r="L265" s="40">
        <v>0</v>
      </c>
      <c r="M265" s="40">
        <v>0</v>
      </c>
      <c r="N265" s="40">
        <v>0</v>
      </c>
      <c r="O265" s="40">
        <v>0</v>
      </c>
      <c r="P265" s="40">
        <v>0</v>
      </c>
      <c r="Q265" s="40">
        <v>0</v>
      </c>
      <c r="R265" s="40">
        <v>0</v>
      </c>
      <c r="S265" s="40">
        <v>0</v>
      </c>
      <c r="T265" s="29">
        <f t="array" aca="1" ref="T265" ca="1">+fair_value_gap(OFFSET(S264,0,0,-1*$I$5,-1*$Z$1),OFFSET(E264,0,0,-1*$I$5,1),F265:S265,0)</f>
        <v>14.489371531874415</v>
      </c>
      <c r="U265" s="9" t="str" cm="1">
        <f t="array" aca="1" ref="U265" ca="1">z_score_diff(OFFSET(T265,0,0,$I$5*-1,1),OFFSET(E265,0,0,$I$5*-1,1))</f>
        <v/>
      </c>
      <c r="V265" s="9" t="str">
        <f t="shared" ca="1" si="31"/>
        <v/>
      </c>
      <c r="W265" s="17">
        <f t="shared" ca="1" si="36"/>
        <v>-0.10836318446099195</v>
      </c>
      <c r="X265" s="13">
        <f t="shared" ref="X265:X328" ca="1" si="37">+X264</f>
        <v>0</v>
      </c>
      <c r="Y265" s="13">
        <f t="shared" ref="Y265:Y328" ca="1" si="38">+Y264</f>
        <v>0</v>
      </c>
      <c r="Z265" t="str">
        <f t="shared" ca="1" si="32"/>
        <v/>
      </c>
      <c r="AA265" t="str">
        <f t="shared" ca="1" si="33"/>
        <v/>
      </c>
      <c r="AB265" s="24" t="str">
        <f t="shared" ca="1" si="34"/>
        <v/>
      </c>
      <c r="AC265" s="24" t="str">
        <f t="shared" ca="1" si="35"/>
        <v/>
      </c>
    </row>
    <row r="266" spans="3:29" x14ac:dyDescent="0.25">
      <c r="C266" s="6">
        <v>259</v>
      </c>
      <c r="D266" s="37">
        <v>42375</v>
      </c>
      <c r="E266" s="39">
        <v>14.819000000000001</v>
      </c>
      <c r="F266" s="39">
        <v>2.493394500740397</v>
      </c>
      <c r="G266" s="39">
        <v>41.97238195934225</v>
      </c>
      <c r="H266" s="39">
        <v>38.017914694695278</v>
      </c>
      <c r="I266" s="10">
        <v>1</v>
      </c>
      <c r="J266" s="40">
        <v>0</v>
      </c>
      <c r="K266" s="40">
        <v>0</v>
      </c>
      <c r="L266" s="40">
        <v>0</v>
      </c>
      <c r="M266" s="40">
        <v>0</v>
      </c>
      <c r="N266" s="40">
        <v>0</v>
      </c>
      <c r="O266" s="40">
        <v>0</v>
      </c>
      <c r="P266" s="40">
        <v>0</v>
      </c>
      <c r="Q266" s="40">
        <v>0</v>
      </c>
      <c r="R266" s="40">
        <v>0</v>
      </c>
      <c r="S266" s="40">
        <v>0</v>
      </c>
      <c r="T266" s="29">
        <f t="array" aca="1" ref="T266" ca="1">+fair_value_gap(OFFSET(S265,0,0,-1*$I$5,-1*$Z$1),OFFSET(E265,0,0,-1*$I$5,1),F266:S266,0)</f>
        <v>14.581593438115762</v>
      </c>
      <c r="U266" s="9" t="str" cm="1">
        <f t="array" aca="1" ref="U266" ca="1">z_score_diff(OFFSET(T266,0,0,$I$5*-1,1),OFFSET(E266,0,0,$I$5*-1,1))</f>
        <v/>
      </c>
      <c r="V266" s="9" t="str">
        <f t="shared" ca="1" si="31"/>
        <v/>
      </c>
      <c r="W266" s="17">
        <f t="shared" ca="1" si="36"/>
        <v>-0.12085814156869529</v>
      </c>
      <c r="X266" s="13">
        <f t="shared" ca="1" si="37"/>
        <v>0</v>
      </c>
      <c r="Y266" s="13">
        <f t="shared" ca="1" si="38"/>
        <v>0</v>
      </c>
      <c r="Z266" t="str">
        <f t="shared" ca="1" si="32"/>
        <v/>
      </c>
      <c r="AA266" t="str">
        <f t="shared" ca="1" si="33"/>
        <v/>
      </c>
      <c r="AB266" s="24" t="str">
        <f t="shared" ca="1" si="34"/>
        <v/>
      </c>
      <c r="AC266" s="24" t="str">
        <f t="shared" ca="1" si="35"/>
        <v/>
      </c>
    </row>
    <row r="267" spans="3:29" x14ac:dyDescent="0.25">
      <c r="C267" s="6">
        <v>260</v>
      </c>
      <c r="D267" s="37">
        <v>42376</v>
      </c>
      <c r="E267" s="39">
        <v>14.92</v>
      </c>
      <c r="F267" s="39">
        <v>2.50084360955691</v>
      </c>
      <c r="G267" s="39">
        <v>42.049778841035007</v>
      </c>
      <c r="H267" s="39">
        <v>37.05616515234648</v>
      </c>
      <c r="I267" s="10">
        <v>1</v>
      </c>
      <c r="J267" s="40">
        <v>0</v>
      </c>
      <c r="K267" s="40">
        <v>0</v>
      </c>
      <c r="L267" s="40">
        <v>0</v>
      </c>
      <c r="M267" s="40">
        <v>0</v>
      </c>
      <c r="N267" s="40">
        <v>0</v>
      </c>
      <c r="O267" s="40">
        <v>0</v>
      </c>
      <c r="P267" s="40">
        <v>0</v>
      </c>
      <c r="Q267" s="40">
        <v>0</v>
      </c>
      <c r="R267" s="40">
        <v>0</v>
      </c>
      <c r="S267" s="40">
        <v>0</v>
      </c>
      <c r="T267" s="29">
        <f t="array" aca="1" ref="T267" ca="1">+fair_value_gap(OFFSET(S266,0,0,-1*$I$5,-1*$Z$1),OFFSET(E266,0,0,-1*$I$5,1),F267:S267,0)</f>
        <v>14.550458679843985</v>
      </c>
      <c r="U267" s="9" t="str" cm="1">
        <f t="array" aca="1" ref="U267" ca="1">z_score_diff(OFFSET(T267,0,0,$I$5*-1,1),OFFSET(E267,0,0,$I$5*-1,1))</f>
        <v/>
      </c>
      <c r="V267" s="9" t="str">
        <f t="shared" ref="V267:V330" ca="1" si="39">+IF(ISERROR(AVERAGE(OFFSET(U267,0,0,$V$5*-1,1))),"",AVERAGE(OFFSET(U267,0,0,$V$5*-1,1)))</f>
        <v/>
      </c>
      <c r="W267" s="17">
        <f t="shared" ca="1" si="36"/>
        <v>-0.13360799456258909</v>
      </c>
      <c r="X267" s="13">
        <f t="shared" ca="1" si="37"/>
        <v>0</v>
      </c>
      <c r="Y267" s="13">
        <f t="shared" ca="1" si="38"/>
        <v>0</v>
      </c>
      <c r="Z267" t="str">
        <f t="shared" ref="Z267:Z330" ca="1" si="40">+IF(V267="","",IF(V267&lt;X267,1,0))</f>
        <v/>
      </c>
      <c r="AA267" t="str">
        <f t="shared" ref="AA267:AA330" ca="1" si="41">+IF(V267="","",IF(V267&gt;Y267,1,0))</f>
        <v/>
      </c>
      <c r="AB267" s="24" t="str">
        <f t="shared" ref="AB267:AB330" ca="1" si="42">+IF(ISERROR(Z267*W267),"",Z267*W267)</f>
        <v/>
      </c>
      <c r="AC267" s="24" t="str">
        <f t="shared" ref="AC267:AC330" ca="1" si="43">+IF(ISERROR(AA267*W267),"",AA267*W267)</f>
        <v/>
      </c>
    </row>
    <row r="268" spans="3:29" x14ac:dyDescent="0.25">
      <c r="C268" s="6">
        <v>261</v>
      </c>
      <c r="D268" s="37">
        <v>42377</v>
      </c>
      <c r="E268" s="39">
        <v>14.430999999999999</v>
      </c>
      <c r="F268" s="39">
        <v>2.5249966599387221</v>
      </c>
      <c r="G268" s="39">
        <v>40.887001885984944</v>
      </c>
      <c r="H268" s="39">
        <v>36.673424499820221</v>
      </c>
      <c r="I268" s="10">
        <v>1</v>
      </c>
      <c r="J268" s="40">
        <v>0</v>
      </c>
      <c r="K268" s="40">
        <v>0</v>
      </c>
      <c r="L268" s="40">
        <v>0</v>
      </c>
      <c r="M268" s="40">
        <v>0</v>
      </c>
      <c r="N268" s="40">
        <v>0</v>
      </c>
      <c r="O268" s="40">
        <v>0</v>
      </c>
      <c r="P268" s="40">
        <v>0</v>
      </c>
      <c r="Q268" s="40">
        <v>0</v>
      </c>
      <c r="R268" s="40">
        <v>0</v>
      </c>
      <c r="S268" s="40">
        <v>0</v>
      </c>
      <c r="T268" s="29">
        <f t="array" aca="1" ref="T268" ca="1">+fair_value_gap(OFFSET(S267,0,0,-1*$I$5,-1*$Z$1),OFFSET(E267,0,0,-1*$I$5,1),F268:S268,0)</f>
        <v>14.279080079894701</v>
      </c>
      <c r="U268" s="9" t="str" cm="1">
        <f t="array" aca="1" ref="U268" ca="1">z_score_diff(OFFSET(T268,0,0,$I$5*-1,1),OFFSET(E268,0,0,$I$5*-1,1))</f>
        <v/>
      </c>
      <c r="V268" s="9" t="str">
        <f t="shared" ca="1" si="39"/>
        <v/>
      </c>
      <c r="W268" s="17">
        <f t="shared" ca="1" si="36"/>
        <v>-7.7937194780345331E-2</v>
      </c>
      <c r="X268" s="13">
        <f t="shared" ca="1" si="37"/>
        <v>0</v>
      </c>
      <c r="Y268" s="13">
        <f t="shared" ca="1" si="38"/>
        <v>0</v>
      </c>
      <c r="Z268" t="str">
        <f t="shared" ca="1" si="40"/>
        <v/>
      </c>
      <c r="AA268" t="str">
        <f t="shared" ca="1" si="41"/>
        <v/>
      </c>
      <c r="AB268" s="24" t="str">
        <f t="shared" ca="1" si="42"/>
        <v/>
      </c>
      <c r="AC268" s="24" t="str">
        <f t="shared" ca="1" si="43"/>
        <v/>
      </c>
    </row>
    <row r="269" spans="3:29" x14ac:dyDescent="0.25">
      <c r="C269" s="6">
        <v>262</v>
      </c>
      <c r="D269" s="37">
        <v>42380</v>
      </c>
      <c r="E269" s="39">
        <v>14.223000000000001</v>
      </c>
      <c r="F269" s="39">
        <v>2.488091609386752</v>
      </c>
      <c r="G269" s="39">
        <v>40.58815932697452</v>
      </c>
      <c r="H269" s="39">
        <v>36.478182529791269</v>
      </c>
      <c r="I269" s="10">
        <v>1</v>
      </c>
      <c r="J269" s="40">
        <v>0</v>
      </c>
      <c r="K269" s="40">
        <v>0</v>
      </c>
      <c r="L269" s="40">
        <v>0</v>
      </c>
      <c r="M269" s="40">
        <v>0</v>
      </c>
      <c r="N269" s="40">
        <v>0</v>
      </c>
      <c r="O269" s="40">
        <v>0</v>
      </c>
      <c r="P269" s="40">
        <v>0</v>
      </c>
      <c r="Q269" s="40">
        <v>0</v>
      </c>
      <c r="R269" s="40">
        <v>0</v>
      </c>
      <c r="S269" s="40">
        <v>0</v>
      </c>
      <c r="T269" s="29">
        <f t="array" aca="1" ref="T269" ca="1">+fair_value_gap(OFFSET(S268,0,0,-1*$I$5,-1*$Z$1),OFFSET(E268,0,0,-1*$I$5,1),F269:S269,0)</f>
        <v>14.183423305242716</v>
      </c>
      <c r="U269" s="9" t="str" cm="1">
        <f t="array" aca="1" ref="U269" ca="1">z_score_diff(OFFSET(T269,0,0,$I$5*-1,1),OFFSET(E269,0,0,$I$5*-1,1))</f>
        <v/>
      </c>
      <c r="V269" s="9" t="str">
        <f t="shared" ca="1" si="39"/>
        <v/>
      </c>
      <c r="W269" s="17">
        <f t="shared" ca="1" si="36"/>
        <v>-5.7146006507214846E-2</v>
      </c>
      <c r="X269" s="13">
        <f t="shared" ca="1" si="37"/>
        <v>0</v>
      </c>
      <c r="Y269" s="13">
        <f t="shared" ca="1" si="38"/>
        <v>0</v>
      </c>
      <c r="Z269" t="str">
        <f t="shared" ca="1" si="40"/>
        <v/>
      </c>
      <c r="AA269" t="str">
        <f t="shared" ca="1" si="41"/>
        <v/>
      </c>
      <c r="AB269" s="24" t="str">
        <f t="shared" ca="1" si="42"/>
        <v/>
      </c>
      <c r="AC269" s="24" t="str">
        <f t="shared" ca="1" si="43"/>
        <v/>
      </c>
    </row>
    <row r="270" spans="3:29" x14ac:dyDescent="0.25">
      <c r="C270" s="6">
        <v>263</v>
      </c>
      <c r="D270" s="37">
        <v>42381</v>
      </c>
      <c r="E270" s="39">
        <v>13.750999999999999</v>
      </c>
      <c r="F270" s="39">
        <v>2.4387802130505407</v>
      </c>
      <c r="G270" s="39">
        <v>39.277153832466325</v>
      </c>
      <c r="H270" s="39">
        <v>35.76095985482764</v>
      </c>
      <c r="I270" s="10">
        <v>1</v>
      </c>
      <c r="J270" s="40">
        <v>0</v>
      </c>
      <c r="K270" s="40">
        <v>0</v>
      </c>
      <c r="L270" s="40">
        <v>0</v>
      </c>
      <c r="M270" s="40">
        <v>0</v>
      </c>
      <c r="N270" s="40">
        <v>0</v>
      </c>
      <c r="O270" s="40">
        <v>0</v>
      </c>
      <c r="P270" s="40">
        <v>0</v>
      </c>
      <c r="Q270" s="40">
        <v>0</v>
      </c>
      <c r="R270" s="40">
        <v>0</v>
      </c>
      <c r="S270" s="40">
        <v>0</v>
      </c>
      <c r="T270" s="29">
        <f t="array" aca="1" ref="T270" ca="1">+fair_value_gap(OFFSET(S269,0,0,-1*$I$5,-1*$Z$1),OFFSET(E269,0,0,-1*$I$5,1),F270:S270,0)</f>
        <v>13.761339496235243</v>
      </c>
      <c r="U270" s="9" t="str" cm="1">
        <f t="array" aca="1" ref="U270" ca="1">z_score_diff(OFFSET(T270,0,0,$I$5*-1,1),OFFSET(E270,0,0,$I$5*-1,1))</f>
        <v/>
      </c>
      <c r="V270" s="9" t="str">
        <f t="shared" ca="1" si="39"/>
        <v/>
      </c>
      <c r="W270" s="17">
        <f t="shared" ca="1" si="36"/>
        <v>-2.2504259019979662E-2</v>
      </c>
      <c r="X270" s="13">
        <f t="shared" ca="1" si="37"/>
        <v>0</v>
      </c>
      <c r="Y270" s="13">
        <f t="shared" ca="1" si="38"/>
        <v>0</v>
      </c>
      <c r="Z270" t="str">
        <f t="shared" ca="1" si="40"/>
        <v/>
      </c>
      <c r="AA270" t="str">
        <f t="shared" ca="1" si="41"/>
        <v/>
      </c>
      <c r="AB270" s="24" t="str">
        <f t="shared" ca="1" si="42"/>
        <v/>
      </c>
      <c r="AC270" s="24" t="str">
        <f t="shared" ca="1" si="43"/>
        <v/>
      </c>
    </row>
    <row r="271" spans="3:29" x14ac:dyDescent="0.25">
      <c r="C271" s="6">
        <v>264</v>
      </c>
      <c r="D271" s="37">
        <v>42382</v>
      </c>
      <c r="E271" s="39">
        <v>13.752000000000001</v>
      </c>
      <c r="F271" s="39">
        <v>2.4321220129545149</v>
      </c>
      <c r="G271" s="39">
        <v>39.190097420605149</v>
      </c>
      <c r="H271" s="39">
        <v>35.464695525687596</v>
      </c>
      <c r="I271" s="10">
        <v>1</v>
      </c>
      <c r="J271" s="40">
        <v>0</v>
      </c>
      <c r="K271" s="40">
        <v>0</v>
      </c>
      <c r="L271" s="40">
        <v>0</v>
      </c>
      <c r="M271" s="40">
        <v>0</v>
      </c>
      <c r="N271" s="40">
        <v>0</v>
      </c>
      <c r="O271" s="40">
        <v>0</v>
      </c>
      <c r="P271" s="40">
        <v>0</v>
      </c>
      <c r="Q271" s="40">
        <v>0</v>
      </c>
      <c r="R271" s="40">
        <v>0</v>
      </c>
      <c r="S271" s="40">
        <v>0</v>
      </c>
      <c r="T271" s="29">
        <f t="array" aca="1" ref="T271" ca="1">+fair_value_gap(OFFSET(S270,0,0,-1*$I$5,-1*$Z$1),OFFSET(E270,0,0,-1*$I$5,1),F271:S271,0)</f>
        <v>13.712686642780735</v>
      </c>
      <c r="U271" s="9" t="str" cm="1">
        <f t="array" aca="1" ref="U271" ca="1">z_score_diff(OFFSET(T271,0,0,$I$5*-1,1),OFFSET(E271,0,0,$I$5*-1,1))</f>
        <v/>
      </c>
      <c r="V271" s="9" t="str">
        <f t="shared" ca="1" si="39"/>
        <v/>
      </c>
      <c r="W271" s="17">
        <f t="shared" ca="1" si="36"/>
        <v>-2.0793519463870438E-2</v>
      </c>
      <c r="X271" s="13">
        <f t="shared" ca="1" si="37"/>
        <v>0</v>
      </c>
      <c r="Y271" s="13">
        <f t="shared" ca="1" si="38"/>
        <v>0</v>
      </c>
      <c r="Z271" t="str">
        <f t="shared" ca="1" si="40"/>
        <v/>
      </c>
      <c r="AA271" t="str">
        <f t="shared" ca="1" si="41"/>
        <v/>
      </c>
      <c r="AB271" s="24" t="str">
        <f t="shared" ca="1" si="42"/>
        <v/>
      </c>
      <c r="AC271" s="24" t="str">
        <f t="shared" ca="1" si="43"/>
        <v/>
      </c>
    </row>
    <row r="272" spans="3:29" x14ac:dyDescent="0.25">
      <c r="C272" s="6">
        <v>265</v>
      </c>
      <c r="D272" s="37">
        <v>42383</v>
      </c>
      <c r="E272" s="39">
        <v>13.420999999999999</v>
      </c>
      <c r="F272" s="39">
        <v>2.4008023116966513</v>
      </c>
      <c r="G272" s="39">
        <v>38.361819811661725</v>
      </c>
      <c r="H272" s="39">
        <v>35.263474976460955</v>
      </c>
      <c r="I272" s="10">
        <v>1</v>
      </c>
      <c r="J272" s="40">
        <v>0</v>
      </c>
      <c r="K272" s="40">
        <v>0</v>
      </c>
      <c r="L272" s="40">
        <v>0</v>
      </c>
      <c r="M272" s="40">
        <v>0</v>
      </c>
      <c r="N272" s="40">
        <v>0</v>
      </c>
      <c r="O272" s="40">
        <v>0</v>
      </c>
      <c r="P272" s="40">
        <v>0</v>
      </c>
      <c r="Q272" s="40">
        <v>0</v>
      </c>
      <c r="R272" s="40">
        <v>0</v>
      </c>
      <c r="S272" s="40">
        <v>0</v>
      </c>
      <c r="T272" s="29">
        <f t="array" aca="1" ref="T272" ca="1">+fair_value_gap(OFFSET(S271,0,0,-1*$I$5,-1*$Z$1),OFFSET(E271,0,0,-1*$I$5,1),F272:S272,0)</f>
        <v>13.475180831084936</v>
      </c>
      <c r="U272" s="9" t="str" cm="1">
        <f t="array" aca="1" ref="U272" ca="1">z_score_diff(OFFSET(T272,0,0,$I$5*-1,1),OFFSET(E272,0,0,$I$5*-1,1))</f>
        <v/>
      </c>
      <c r="V272" s="9" t="str">
        <f t="shared" ca="1" si="39"/>
        <v/>
      </c>
      <c r="W272" s="17">
        <f t="shared" ca="1" si="36"/>
        <v>-3.5828955250093173E-3</v>
      </c>
      <c r="X272" s="13">
        <f t="shared" ca="1" si="37"/>
        <v>0</v>
      </c>
      <c r="Y272" s="13">
        <f t="shared" ca="1" si="38"/>
        <v>0</v>
      </c>
      <c r="Z272" t="str">
        <f t="shared" ca="1" si="40"/>
        <v/>
      </c>
      <c r="AA272" t="str">
        <f t="shared" ca="1" si="41"/>
        <v/>
      </c>
      <c r="AB272" s="24" t="str">
        <f t="shared" ca="1" si="42"/>
        <v/>
      </c>
      <c r="AC272" s="24" t="str">
        <f t="shared" ca="1" si="43"/>
        <v/>
      </c>
    </row>
    <row r="273" spans="3:29" x14ac:dyDescent="0.25">
      <c r="C273" s="6">
        <v>266</v>
      </c>
      <c r="D273" s="37">
        <v>42384</v>
      </c>
      <c r="E273" s="39">
        <v>13.071999999999999</v>
      </c>
      <c r="F273" s="39">
        <v>2.3779547075061833</v>
      </c>
      <c r="G273" s="39">
        <v>37.217523754634506</v>
      </c>
      <c r="H273" s="39">
        <v>34.573737250373128</v>
      </c>
      <c r="I273" s="10">
        <v>1</v>
      </c>
      <c r="J273" s="40">
        <v>0</v>
      </c>
      <c r="K273" s="40">
        <v>0</v>
      </c>
      <c r="L273" s="40">
        <v>0</v>
      </c>
      <c r="M273" s="40">
        <v>0</v>
      </c>
      <c r="N273" s="40">
        <v>0</v>
      </c>
      <c r="O273" s="40">
        <v>0</v>
      </c>
      <c r="P273" s="40">
        <v>0</v>
      </c>
      <c r="Q273" s="40">
        <v>0</v>
      </c>
      <c r="R273" s="40">
        <v>0</v>
      </c>
      <c r="S273" s="40">
        <v>0</v>
      </c>
      <c r="T273" s="29">
        <f t="array" aca="1" ref="T273" ca="1">+fair_value_gap(OFFSET(S272,0,0,-1*$I$5,-1*$Z$1),OFFSET(E272,0,0,-1*$I$5,1),F273:S273,0)</f>
        <v>13.117091246592963</v>
      </c>
      <c r="U273" s="9" t="str" cm="1">
        <f t="array" aca="1" ref="U273" ca="1">z_score_diff(OFFSET(T273,0,0,$I$5*-1,1),OFFSET(E273,0,0,$I$5*-1,1))</f>
        <v/>
      </c>
      <c r="V273" s="9" t="str">
        <f t="shared" ca="1" si="39"/>
        <v/>
      </c>
      <c r="W273" s="17">
        <f t="shared" ca="1" si="36"/>
        <v>1.3826855548388159E-2</v>
      </c>
      <c r="X273" s="13">
        <f t="shared" ca="1" si="37"/>
        <v>0</v>
      </c>
      <c r="Y273" s="13">
        <f t="shared" ca="1" si="38"/>
        <v>0</v>
      </c>
      <c r="Z273" t="str">
        <f t="shared" ca="1" si="40"/>
        <v/>
      </c>
      <c r="AA273" t="str">
        <f t="shared" ca="1" si="41"/>
        <v/>
      </c>
      <c r="AB273" s="24" t="str">
        <f t="shared" ca="1" si="42"/>
        <v/>
      </c>
      <c r="AC273" s="24" t="str">
        <f t="shared" ca="1" si="43"/>
        <v/>
      </c>
    </row>
    <row r="274" spans="3:29" x14ac:dyDescent="0.25">
      <c r="C274" s="6">
        <v>267</v>
      </c>
      <c r="D274" s="37">
        <v>42387</v>
      </c>
      <c r="E274" s="39">
        <v>13.144</v>
      </c>
      <c r="F274" s="39">
        <v>2.3813099542892808</v>
      </c>
      <c r="G274" s="39">
        <v>37.283179713420139</v>
      </c>
      <c r="H274" s="39">
        <v>34.802377353094847</v>
      </c>
      <c r="I274" s="10">
        <v>1</v>
      </c>
      <c r="J274" s="40">
        <v>0</v>
      </c>
      <c r="K274" s="40">
        <v>0</v>
      </c>
      <c r="L274" s="40">
        <v>0</v>
      </c>
      <c r="M274" s="40">
        <v>0</v>
      </c>
      <c r="N274" s="40">
        <v>0</v>
      </c>
      <c r="O274" s="40">
        <v>0</v>
      </c>
      <c r="P274" s="40">
        <v>0</v>
      </c>
      <c r="Q274" s="40">
        <v>0</v>
      </c>
      <c r="R274" s="40">
        <v>0</v>
      </c>
      <c r="S274" s="40">
        <v>0</v>
      </c>
      <c r="T274" s="29">
        <f t="array" aca="1" ref="T274" ca="1">+fair_value_gap(OFFSET(S273,0,0,-1*$I$5,-1*$Z$1),OFFSET(E273,0,0,-1*$I$5,1),F274:S274,0)</f>
        <v>13.161528948985186</v>
      </c>
      <c r="U274" s="9" t="str" cm="1">
        <f t="array" aca="1" ref="U274" ca="1">z_score_diff(OFFSET(T274,0,0,$I$5*-1,1),OFFSET(E274,0,0,$I$5*-1,1))</f>
        <v/>
      </c>
      <c r="V274" s="9" t="str">
        <f t="shared" ca="1" si="39"/>
        <v/>
      </c>
      <c r="W274" s="17">
        <f t="shared" ca="1" si="36"/>
        <v>1.757143357848227E-2</v>
      </c>
      <c r="X274" s="13">
        <f t="shared" ca="1" si="37"/>
        <v>0</v>
      </c>
      <c r="Y274" s="13">
        <f t="shared" ca="1" si="38"/>
        <v>0</v>
      </c>
      <c r="Z274" t="str">
        <f t="shared" ca="1" si="40"/>
        <v/>
      </c>
      <c r="AA274" t="str">
        <f t="shared" ca="1" si="41"/>
        <v/>
      </c>
      <c r="AB274" s="24" t="str">
        <f t="shared" ca="1" si="42"/>
        <v/>
      </c>
      <c r="AC274" s="24" t="str">
        <f t="shared" ca="1" si="43"/>
        <v/>
      </c>
    </row>
    <row r="275" spans="3:29" x14ac:dyDescent="0.25">
      <c r="C275" s="6">
        <v>268</v>
      </c>
      <c r="D275" s="37">
        <v>42388</v>
      </c>
      <c r="E275" s="39">
        <v>13.124000000000001</v>
      </c>
      <c r="F275" s="39">
        <v>2.3899165460182425</v>
      </c>
      <c r="G275" s="39">
        <v>37.425120989138151</v>
      </c>
      <c r="H275" s="39">
        <v>35.29639994683086</v>
      </c>
      <c r="I275" s="10">
        <v>1</v>
      </c>
      <c r="J275" s="40">
        <v>0</v>
      </c>
      <c r="K275" s="40">
        <v>0</v>
      </c>
      <c r="L275" s="40">
        <v>0</v>
      </c>
      <c r="M275" s="40">
        <v>0</v>
      </c>
      <c r="N275" s="40">
        <v>0</v>
      </c>
      <c r="O275" s="40">
        <v>0</v>
      </c>
      <c r="P275" s="40">
        <v>0</v>
      </c>
      <c r="Q275" s="40">
        <v>0</v>
      </c>
      <c r="R275" s="40">
        <v>0</v>
      </c>
      <c r="S275" s="40">
        <v>0</v>
      </c>
      <c r="T275" s="29">
        <f t="array" aca="1" ref="T275" ca="1">+fair_value_gap(OFFSET(S274,0,0,-1*$I$5,-1*$Z$1),OFFSET(E274,0,0,-1*$I$5,1),F275:S275,0)</f>
        <v>13.247882813873993</v>
      </c>
      <c r="U275" s="9" t="str" cm="1">
        <f t="array" aca="1" ref="U275" ca="1">z_score_diff(OFFSET(T275,0,0,$I$5*-1,1),OFFSET(E275,0,0,$I$5*-1,1))</f>
        <v/>
      </c>
      <c r="V275" s="9" t="str">
        <f t="shared" ca="1" si="39"/>
        <v/>
      </c>
      <c r="W275" s="17">
        <f t="shared" ca="1" si="36"/>
        <v>2.3420626968599419E-2</v>
      </c>
      <c r="X275" s="13">
        <f t="shared" ca="1" si="37"/>
        <v>0</v>
      </c>
      <c r="Y275" s="13">
        <f t="shared" ca="1" si="38"/>
        <v>0</v>
      </c>
      <c r="Z275" t="str">
        <f t="shared" ca="1" si="40"/>
        <v/>
      </c>
      <c r="AA275" t="str">
        <f t="shared" ca="1" si="41"/>
        <v/>
      </c>
      <c r="AB275" s="24" t="str">
        <f t="shared" ca="1" si="42"/>
        <v/>
      </c>
      <c r="AC275" s="24" t="str">
        <f t="shared" ca="1" si="43"/>
        <v/>
      </c>
    </row>
    <row r="276" spans="3:29" x14ac:dyDescent="0.25">
      <c r="C276" s="6">
        <v>269</v>
      </c>
      <c r="D276" s="37">
        <v>42389</v>
      </c>
      <c r="E276" s="39">
        <v>12.670999999999999</v>
      </c>
      <c r="F276" s="39">
        <v>2.417791054982926</v>
      </c>
      <c r="G276" s="39">
        <v>36.39804253147809</v>
      </c>
      <c r="H276" s="39">
        <v>34.867660357494749</v>
      </c>
      <c r="I276" s="10">
        <v>1</v>
      </c>
      <c r="J276" s="40">
        <v>0</v>
      </c>
      <c r="K276" s="40">
        <v>0</v>
      </c>
      <c r="L276" s="40">
        <v>0</v>
      </c>
      <c r="M276" s="40">
        <v>0</v>
      </c>
      <c r="N276" s="40">
        <v>0</v>
      </c>
      <c r="O276" s="40">
        <v>0</v>
      </c>
      <c r="P276" s="40">
        <v>0</v>
      </c>
      <c r="Q276" s="40">
        <v>0</v>
      </c>
      <c r="R276" s="40">
        <v>0</v>
      </c>
      <c r="S276" s="40">
        <v>0</v>
      </c>
      <c r="T276" s="29">
        <f t="array" aca="1" ref="T276" ca="1">+fair_value_gap(OFFSET(S275,0,0,-1*$I$5,-1*$Z$1),OFFSET(E275,0,0,-1*$I$5,1),F276:S276,0)</f>
        <v>12.960402493566232</v>
      </c>
      <c r="U276" s="9" t="str" cm="1">
        <f t="array" aca="1" ref="U276" ca="1">z_score_diff(OFFSET(T276,0,0,$I$5*-1,1),OFFSET(E276,0,0,$I$5*-1,1))</f>
        <v/>
      </c>
      <c r="V276" s="9" t="str">
        <f t="shared" ca="1" si="39"/>
        <v/>
      </c>
      <c r="W276" s="17">
        <f t="shared" ca="1" si="36"/>
        <v>6.7070629508938745E-2</v>
      </c>
      <c r="X276" s="13">
        <f t="shared" ca="1" si="37"/>
        <v>0</v>
      </c>
      <c r="Y276" s="13">
        <f t="shared" ca="1" si="38"/>
        <v>0</v>
      </c>
      <c r="Z276" t="str">
        <f t="shared" ca="1" si="40"/>
        <v/>
      </c>
      <c r="AA276" t="str">
        <f t="shared" ca="1" si="41"/>
        <v/>
      </c>
      <c r="AB276" s="24" t="str">
        <f t="shared" ca="1" si="42"/>
        <v/>
      </c>
      <c r="AC276" s="24" t="str">
        <f t="shared" ca="1" si="43"/>
        <v/>
      </c>
    </row>
    <row r="277" spans="3:29" x14ac:dyDescent="0.25">
      <c r="C277" s="6">
        <v>270</v>
      </c>
      <c r="D277" s="37">
        <v>42390</v>
      </c>
      <c r="E277" s="39">
        <v>12.65</v>
      </c>
      <c r="F277" s="39">
        <v>2.42702289389646</v>
      </c>
      <c r="G277" s="39">
        <v>36.257272347401241</v>
      </c>
      <c r="H277" s="39">
        <v>35.21791930913507</v>
      </c>
      <c r="I277" s="10">
        <v>1</v>
      </c>
      <c r="J277" s="40">
        <v>0</v>
      </c>
      <c r="K277" s="40">
        <v>0</v>
      </c>
      <c r="L277" s="40">
        <v>0</v>
      </c>
      <c r="M277" s="40">
        <v>0</v>
      </c>
      <c r="N277" s="40">
        <v>0</v>
      </c>
      <c r="O277" s="40">
        <v>0</v>
      </c>
      <c r="P277" s="40">
        <v>0</v>
      </c>
      <c r="Q277" s="40">
        <v>0</v>
      </c>
      <c r="R277" s="40">
        <v>0</v>
      </c>
      <c r="S277" s="40">
        <v>0</v>
      </c>
      <c r="T277" s="29">
        <f t="array" aca="1" ref="T277" ca="1">+fair_value_gap(OFFSET(S276,0,0,-1*$I$5,-1*$Z$1),OFFSET(E276,0,0,-1*$I$5,1),F277:S277,0)</f>
        <v>12.934248494633691</v>
      </c>
      <c r="U277" s="9" t="str" cm="1">
        <f t="array" aca="1" ref="U277" ca="1">z_score_diff(OFFSET(T277,0,0,$I$5*-1,1),OFFSET(E277,0,0,$I$5*-1,1))</f>
        <v/>
      </c>
      <c r="V277" s="9" t="str">
        <f t="shared" ca="1" si="39"/>
        <v/>
      </c>
      <c r="W277" s="17">
        <f t="shared" ca="1" si="36"/>
        <v>5.4458241129915021E-2</v>
      </c>
      <c r="X277" s="13">
        <f t="shared" ca="1" si="37"/>
        <v>0</v>
      </c>
      <c r="Y277" s="13">
        <f t="shared" ca="1" si="38"/>
        <v>0</v>
      </c>
      <c r="Z277" t="str">
        <f t="shared" ca="1" si="40"/>
        <v/>
      </c>
      <c r="AA277" t="str">
        <f t="shared" ca="1" si="41"/>
        <v/>
      </c>
      <c r="AB277" s="24" t="str">
        <f t="shared" ca="1" si="42"/>
        <v/>
      </c>
      <c r="AC277" s="24" t="str">
        <f t="shared" ca="1" si="43"/>
        <v/>
      </c>
    </row>
    <row r="278" spans="3:29" x14ac:dyDescent="0.25">
      <c r="C278" s="6">
        <v>271</v>
      </c>
      <c r="D278" s="37">
        <v>42391</v>
      </c>
      <c r="E278" s="39">
        <v>13.778</v>
      </c>
      <c r="F278" s="39">
        <v>2.4526143835312024</v>
      </c>
      <c r="G278" s="39">
        <v>39.104931566369757</v>
      </c>
      <c r="H278" s="39">
        <v>36.508035849530657</v>
      </c>
      <c r="I278" s="10">
        <v>1</v>
      </c>
      <c r="J278" s="40">
        <v>0</v>
      </c>
      <c r="K278" s="40">
        <v>0</v>
      </c>
      <c r="L278" s="40">
        <v>0</v>
      </c>
      <c r="M278" s="40">
        <v>0</v>
      </c>
      <c r="N278" s="40">
        <v>0</v>
      </c>
      <c r="O278" s="40">
        <v>0</v>
      </c>
      <c r="P278" s="40">
        <v>0</v>
      </c>
      <c r="Q278" s="40">
        <v>0</v>
      </c>
      <c r="R278" s="40">
        <v>0</v>
      </c>
      <c r="S278" s="40">
        <v>0</v>
      </c>
      <c r="T278" s="29">
        <f t="array" aca="1" ref="T278" ca="1">+fair_value_gap(OFFSET(S277,0,0,-1*$I$5,-1*$Z$1),OFFSET(E277,0,0,-1*$I$5,1),F278:S278,0)</f>
        <v>13.825943650613553</v>
      </c>
      <c r="U278" s="9" t="str" cm="1">
        <f t="array" aca="1" ref="U278" ca="1">z_score_diff(OFFSET(T278,0,0,$I$5*-1,1),OFFSET(E278,0,0,$I$5*-1,1))</f>
        <v/>
      </c>
      <c r="V278" s="9" t="str">
        <f t="shared" ca="1" si="39"/>
        <v/>
      </c>
      <c r="W278" s="17">
        <f t="shared" ca="1" si="36"/>
        <v>-2.8042315876155285E-2</v>
      </c>
      <c r="X278" s="13">
        <f t="shared" ca="1" si="37"/>
        <v>0</v>
      </c>
      <c r="Y278" s="13">
        <f t="shared" ca="1" si="38"/>
        <v>0</v>
      </c>
      <c r="Z278" t="str">
        <f t="shared" ca="1" si="40"/>
        <v/>
      </c>
      <c r="AA278" t="str">
        <f t="shared" ca="1" si="41"/>
        <v/>
      </c>
      <c r="AB278" s="24" t="str">
        <f t="shared" ca="1" si="42"/>
        <v/>
      </c>
      <c r="AC278" s="24" t="str">
        <f t="shared" ca="1" si="43"/>
        <v/>
      </c>
    </row>
    <row r="279" spans="3:29" x14ac:dyDescent="0.25">
      <c r="C279" s="6">
        <v>272</v>
      </c>
      <c r="D279" s="37">
        <v>42394</v>
      </c>
      <c r="E279" s="39">
        <v>13.319000000000001</v>
      </c>
      <c r="F279" s="39">
        <v>2.4430305491629438</v>
      </c>
      <c r="G279" s="39">
        <v>37.877026265883288</v>
      </c>
      <c r="H279" s="39">
        <v>35.738459455800736</v>
      </c>
      <c r="I279" s="10">
        <v>1</v>
      </c>
      <c r="J279" s="40">
        <v>0</v>
      </c>
      <c r="K279" s="40">
        <v>0</v>
      </c>
      <c r="L279" s="40">
        <v>0</v>
      </c>
      <c r="M279" s="40">
        <v>0</v>
      </c>
      <c r="N279" s="40">
        <v>0</v>
      </c>
      <c r="O279" s="40">
        <v>0</v>
      </c>
      <c r="P279" s="40">
        <v>0</v>
      </c>
      <c r="Q279" s="40">
        <v>0</v>
      </c>
      <c r="R279" s="40">
        <v>0</v>
      </c>
      <c r="S279" s="40">
        <v>0</v>
      </c>
      <c r="T279" s="29">
        <f t="array" aca="1" ref="T279" ca="1">+fair_value_gap(OFFSET(S278,0,0,-1*$I$5,-1*$Z$1),OFFSET(E278,0,0,-1*$I$5,1),F279:S279,0)</f>
        <v>13.415329541569118</v>
      </c>
      <c r="U279" s="9" t="str" cm="1">
        <f t="array" aca="1" ref="U279" ca="1">z_score_diff(OFFSET(T279,0,0,$I$5*-1,1),OFFSET(E279,0,0,$I$5*-1,1))</f>
        <v/>
      </c>
      <c r="V279" s="9" t="str">
        <f t="shared" ca="1" si="39"/>
        <v/>
      </c>
      <c r="W279" s="17">
        <f t="shared" ca="1" si="36"/>
        <v>-3.0077472107031067E-3</v>
      </c>
      <c r="X279" s="13">
        <f t="shared" ca="1" si="37"/>
        <v>0</v>
      </c>
      <c r="Y279" s="13">
        <f t="shared" ca="1" si="38"/>
        <v>0</v>
      </c>
      <c r="Z279" t="str">
        <f t="shared" ca="1" si="40"/>
        <v/>
      </c>
      <c r="AA279" t="str">
        <f t="shared" ca="1" si="41"/>
        <v/>
      </c>
      <c r="AB279" s="24" t="str">
        <f t="shared" ca="1" si="42"/>
        <v/>
      </c>
      <c r="AC279" s="24" t="str">
        <f t="shared" ca="1" si="43"/>
        <v/>
      </c>
    </row>
    <row r="280" spans="3:29" x14ac:dyDescent="0.25">
      <c r="C280" s="6">
        <v>273</v>
      </c>
      <c r="D280" s="37">
        <v>42395</v>
      </c>
      <c r="E280" s="39">
        <v>13.564</v>
      </c>
      <c r="F280" s="39">
        <v>2.4206764004794454</v>
      </c>
      <c r="G280" s="39">
        <v>38.860069945525694</v>
      </c>
      <c r="H280" s="39">
        <v>36.165843390173535</v>
      </c>
      <c r="I280" s="10">
        <v>1</v>
      </c>
      <c r="J280" s="40">
        <v>0</v>
      </c>
      <c r="K280" s="40">
        <v>0</v>
      </c>
      <c r="L280" s="40">
        <v>0</v>
      </c>
      <c r="M280" s="40">
        <v>0</v>
      </c>
      <c r="N280" s="40">
        <v>0</v>
      </c>
      <c r="O280" s="40">
        <v>0</v>
      </c>
      <c r="P280" s="40">
        <v>0</v>
      </c>
      <c r="Q280" s="40">
        <v>0</v>
      </c>
      <c r="R280" s="40">
        <v>0</v>
      </c>
      <c r="S280" s="40">
        <v>0</v>
      </c>
      <c r="T280" s="29">
        <f t="array" aca="1" ref="T280" ca="1">+fair_value_gap(OFFSET(S279,0,0,-1*$I$5,-1*$Z$1),OFFSET(E279,0,0,-1*$I$5,1),F280:S280,0)</f>
        <v>13.71641148907166</v>
      </c>
      <c r="U280" s="9" t="str" cm="1">
        <f t="array" aca="1" ref="U280" ca="1">z_score_diff(OFFSET(T280,0,0,$I$5*-1,1),OFFSET(E280,0,0,$I$5*-1,1))</f>
        <v/>
      </c>
      <c r="V280" s="9" t="str">
        <f t="shared" ca="1" si="39"/>
        <v/>
      </c>
      <c r="W280" s="17">
        <f t="shared" ca="1" si="36"/>
        <v>-2.7960257534168989E-2</v>
      </c>
      <c r="X280" s="13">
        <f t="shared" ca="1" si="37"/>
        <v>0</v>
      </c>
      <c r="Y280" s="13">
        <f t="shared" ca="1" si="38"/>
        <v>0</v>
      </c>
      <c r="Z280" t="str">
        <f t="shared" ca="1" si="40"/>
        <v/>
      </c>
      <c r="AA280" t="str">
        <f t="shared" ca="1" si="41"/>
        <v/>
      </c>
      <c r="AB280" s="24" t="str">
        <f t="shared" ca="1" si="42"/>
        <v/>
      </c>
      <c r="AC280" s="24" t="str">
        <f t="shared" ca="1" si="43"/>
        <v/>
      </c>
    </row>
    <row r="281" spans="3:29" x14ac:dyDescent="0.25">
      <c r="C281" s="6">
        <v>274</v>
      </c>
      <c r="D281" s="37">
        <v>42396</v>
      </c>
      <c r="E281" s="39">
        <v>13.897</v>
      </c>
      <c r="F281" s="39">
        <v>2.4093202319992955</v>
      </c>
      <c r="G281" s="39">
        <v>39.601363418369118</v>
      </c>
      <c r="H281" s="39">
        <v>36.755388843256689</v>
      </c>
      <c r="I281" s="10">
        <v>1</v>
      </c>
      <c r="J281" s="40">
        <v>0</v>
      </c>
      <c r="K281" s="40">
        <v>0</v>
      </c>
      <c r="L281" s="40">
        <v>0</v>
      </c>
      <c r="M281" s="40">
        <v>0</v>
      </c>
      <c r="N281" s="40">
        <v>0</v>
      </c>
      <c r="O281" s="40">
        <v>0</v>
      </c>
      <c r="P281" s="40">
        <v>0</v>
      </c>
      <c r="Q281" s="40">
        <v>0</v>
      </c>
      <c r="R281" s="40">
        <v>0</v>
      </c>
      <c r="S281" s="40">
        <v>0</v>
      </c>
      <c r="T281" s="29">
        <f t="array" aca="1" ref="T281" ca="1">+fair_value_gap(OFFSET(S280,0,0,-1*$I$5,-1*$Z$1),OFFSET(E280,0,0,-1*$I$5,1),F281:S281,0)</f>
        <v>13.963260989374502</v>
      </c>
      <c r="U281" s="9" t="str" cm="1">
        <f t="array" aca="1" ref="U281" ca="1">z_score_diff(OFFSET(T281,0,0,$I$5*-1,1),OFFSET(E281,0,0,$I$5*-1,1))</f>
        <v/>
      </c>
      <c r="V281" s="9" t="str">
        <f t="shared" ca="1" si="39"/>
        <v/>
      </c>
      <c r="W281" s="17">
        <f t="shared" ca="1" si="36"/>
        <v>-5.2517328813337052E-2</v>
      </c>
      <c r="X281" s="13">
        <f t="shared" ca="1" si="37"/>
        <v>0</v>
      </c>
      <c r="Y281" s="13">
        <f t="shared" ca="1" si="38"/>
        <v>0</v>
      </c>
      <c r="Z281" t="str">
        <f t="shared" ca="1" si="40"/>
        <v/>
      </c>
      <c r="AA281" t="str">
        <f t="shared" ca="1" si="41"/>
        <v/>
      </c>
      <c r="AB281" s="24" t="str">
        <f t="shared" ca="1" si="42"/>
        <v/>
      </c>
      <c r="AC281" s="24" t="str">
        <f t="shared" ca="1" si="43"/>
        <v/>
      </c>
    </row>
    <row r="282" spans="3:29" x14ac:dyDescent="0.25">
      <c r="C282" s="6">
        <v>275</v>
      </c>
      <c r="D282" s="37">
        <v>42397</v>
      </c>
      <c r="E282" s="39">
        <v>14.454000000000001</v>
      </c>
      <c r="F282" s="39">
        <v>2.4110823807378523</v>
      </c>
      <c r="G282" s="39">
        <v>41.268899324010526</v>
      </c>
      <c r="H282" s="39">
        <v>36.587189915728551</v>
      </c>
      <c r="I282" s="10">
        <v>1</v>
      </c>
      <c r="J282" s="40">
        <v>0</v>
      </c>
      <c r="K282" s="40">
        <v>0</v>
      </c>
      <c r="L282" s="40">
        <v>0</v>
      </c>
      <c r="M282" s="40">
        <v>0</v>
      </c>
      <c r="N282" s="40">
        <v>0</v>
      </c>
      <c r="O282" s="40">
        <v>0</v>
      </c>
      <c r="P282" s="40">
        <v>0</v>
      </c>
      <c r="Q282" s="40">
        <v>0</v>
      </c>
      <c r="R282" s="40">
        <v>0</v>
      </c>
      <c r="S282" s="40">
        <v>0</v>
      </c>
      <c r="T282" s="29">
        <f t="array" aca="1" ref="T282" ca="1">+fair_value_gap(OFFSET(S281,0,0,-1*$I$5,-1*$Z$1),OFFSET(E281,0,0,-1*$I$5,1),F282:S282,0)</f>
        <v>14.377746389881862</v>
      </c>
      <c r="U282" s="9" t="str" cm="1">
        <f t="array" aca="1" ref="U282" ca="1">z_score_diff(OFFSET(T282,0,0,$I$5*-1,1),OFFSET(E282,0,0,$I$5*-1,1))</f>
        <v/>
      </c>
      <c r="V282" s="9" t="str">
        <f t="shared" ca="1" si="39"/>
        <v/>
      </c>
      <c r="W282" s="17">
        <f t="shared" ca="1" si="36"/>
        <v>-8.3131972489630154E-2</v>
      </c>
      <c r="X282" s="13">
        <f t="shared" ca="1" si="37"/>
        <v>0</v>
      </c>
      <c r="Y282" s="13">
        <f t="shared" ca="1" si="38"/>
        <v>0</v>
      </c>
      <c r="Z282" t="str">
        <f t="shared" ca="1" si="40"/>
        <v/>
      </c>
      <c r="AA282" t="str">
        <f t="shared" ca="1" si="41"/>
        <v/>
      </c>
      <c r="AB282" s="24" t="str">
        <f t="shared" ca="1" si="42"/>
        <v/>
      </c>
      <c r="AC282" s="24" t="str">
        <f t="shared" ca="1" si="43"/>
        <v/>
      </c>
    </row>
    <row r="283" spans="3:29" x14ac:dyDescent="0.25">
      <c r="C283" s="6">
        <v>276</v>
      </c>
      <c r="D283" s="37">
        <v>42398</v>
      </c>
      <c r="E283" s="39">
        <v>14.486000000000001</v>
      </c>
      <c r="F283" s="39">
        <v>2.455273774330045</v>
      </c>
      <c r="G283" s="39">
        <v>41.209040103747377</v>
      </c>
      <c r="H283" s="39">
        <v>36.806498200822411</v>
      </c>
      <c r="I283" s="10">
        <v>1</v>
      </c>
      <c r="J283" s="40">
        <v>0</v>
      </c>
      <c r="K283" s="40">
        <v>0</v>
      </c>
      <c r="L283" s="40">
        <v>0</v>
      </c>
      <c r="M283" s="40">
        <v>0</v>
      </c>
      <c r="N283" s="40">
        <v>0</v>
      </c>
      <c r="O283" s="40">
        <v>0</v>
      </c>
      <c r="P283" s="40">
        <v>0</v>
      </c>
      <c r="Q283" s="40">
        <v>0</v>
      </c>
      <c r="R283" s="40">
        <v>0</v>
      </c>
      <c r="S283" s="40">
        <v>0</v>
      </c>
      <c r="T283" s="29">
        <f t="array" aca="1" ref="T283" ca="1">+fair_value_gap(OFFSET(S282,0,0,-1*$I$5,-1*$Z$1),OFFSET(E282,0,0,-1*$I$5,1),F283:S283,0)</f>
        <v>14.392960918970784</v>
      </c>
      <c r="U283" s="9" t="str" cm="1">
        <f t="array" aca="1" ref="U283" ca="1">z_score_diff(OFFSET(T283,0,0,$I$5*-1,1),OFFSET(E283,0,0,$I$5*-1,1))</f>
        <v/>
      </c>
      <c r="V283" s="9" t="str">
        <f t="shared" ca="1" si="39"/>
        <v/>
      </c>
      <c r="W283" s="17">
        <f t="shared" ca="1" si="36"/>
        <v>-8.0618141278624184E-2</v>
      </c>
      <c r="X283" s="13">
        <f t="shared" ca="1" si="37"/>
        <v>0</v>
      </c>
      <c r="Y283" s="13">
        <f t="shared" ca="1" si="38"/>
        <v>0</v>
      </c>
      <c r="Z283" t="str">
        <f t="shared" ca="1" si="40"/>
        <v/>
      </c>
      <c r="AA283" t="str">
        <f t="shared" ca="1" si="41"/>
        <v/>
      </c>
      <c r="AB283" s="24" t="str">
        <f t="shared" ca="1" si="42"/>
        <v/>
      </c>
      <c r="AC283" s="24" t="str">
        <f t="shared" ca="1" si="43"/>
        <v/>
      </c>
    </row>
    <row r="284" spans="3:29" x14ac:dyDescent="0.25">
      <c r="C284" s="6">
        <v>277</v>
      </c>
      <c r="D284" s="37">
        <v>42401</v>
      </c>
      <c r="E284" s="39">
        <v>14.042</v>
      </c>
      <c r="F284" s="39">
        <v>2.4198568596195154</v>
      </c>
      <c r="G284" s="39">
        <v>40.443904786622866</v>
      </c>
      <c r="H284" s="39">
        <v>35.803086621879821</v>
      </c>
      <c r="I284" s="10">
        <v>0</v>
      </c>
      <c r="J284" s="40">
        <v>1</v>
      </c>
      <c r="K284" s="40">
        <v>0</v>
      </c>
      <c r="L284" s="40">
        <v>0</v>
      </c>
      <c r="M284" s="40">
        <v>0</v>
      </c>
      <c r="N284" s="40">
        <v>0</v>
      </c>
      <c r="O284" s="40">
        <v>0</v>
      </c>
      <c r="P284" s="40">
        <v>0</v>
      </c>
      <c r="Q284" s="40">
        <v>0</v>
      </c>
      <c r="R284" s="40">
        <v>0</v>
      </c>
      <c r="S284" s="40">
        <v>0</v>
      </c>
      <c r="T284" s="29">
        <f t="array" aca="1" ref="T284" ca="1">+fair_value_gap(OFFSET(S283,0,0,-1*$I$5,-1*$Z$1),OFFSET(E283,0,0,-1*$I$5,1),F284:S284,0)</f>
        <v>13.832442338943292</v>
      </c>
      <c r="U284" s="9" t="str" cm="1">
        <f t="array" aca="1" ref="U284" ca="1">z_score_diff(OFFSET(T284,0,0,$I$5*-1,1),OFFSET(E284,0,0,$I$5*-1,1))</f>
        <v/>
      </c>
      <c r="V284" s="9" t="str">
        <f t="shared" ca="1" si="39"/>
        <v/>
      </c>
      <c r="W284" s="17">
        <f t="shared" ca="1" si="36"/>
        <v>-5.9641449114814081E-2</v>
      </c>
      <c r="X284" s="13">
        <f t="shared" ca="1" si="37"/>
        <v>0</v>
      </c>
      <c r="Y284" s="13">
        <f t="shared" ca="1" si="38"/>
        <v>0</v>
      </c>
      <c r="Z284" t="str">
        <f t="shared" ca="1" si="40"/>
        <v/>
      </c>
      <c r="AA284" t="str">
        <f t="shared" ca="1" si="41"/>
        <v/>
      </c>
      <c r="AB284" s="24" t="str">
        <f t="shared" ca="1" si="42"/>
        <v/>
      </c>
      <c r="AC284" s="24" t="str">
        <f t="shared" ca="1" si="43"/>
        <v/>
      </c>
    </row>
    <row r="285" spans="3:29" x14ac:dyDescent="0.25">
      <c r="C285" s="6">
        <v>278</v>
      </c>
      <c r="D285" s="37">
        <v>42402</v>
      </c>
      <c r="E285" s="39">
        <v>13.875999999999999</v>
      </c>
      <c r="F285" s="39">
        <v>2.3934097740175884</v>
      </c>
      <c r="G285" s="39">
        <v>39.582223723353124</v>
      </c>
      <c r="H285" s="39">
        <v>36.35900069306539</v>
      </c>
      <c r="I285" s="10">
        <v>0</v>
      </c>
      <c r="J285" s="40">
        <v>1</v>
      </c>
      <c r="K285" s="40">
        <v>0</v>
      </c>
      <c r="L285" s="40">
        <v>0</v>
      </c>
      <c r="M285" s="40">
        <v>0</v>
      </c>
      <c r="N285" s="40">
        <v>0</v>
      </c>
      <c r="O285" s="40">
        <v>0</v>
      </c>
      <c r="P285" s="40">
        <v>0</v>
      </c>
      <c r="Q285" s="40">
        <v>0</v>
      </c>
      <c r="R285" s="40">
        <v>0</v>
      </c>
      <c r="S285" s="40">
        <v>0</v>
      </c>
      <c r="T285" s="29">
        <f t="array" aca="1" ref="T285" ca="1">+fair_value_gap(OFFSET(S284,0,0,-1*$I$5,-1*$Z$1),OFFSET(E284,0,0,-1*$I$5,1),F285:S285,0)</f>
        <v>13.757119970116168</v>
      </c>
      <c r="U285" s="9" t="str" cm="1">
        <f t="array" aca="1" ref="U285" ca="1">z_score_diff(OFFSET(T285,0,0,$I$5*-1,1),OFFSET(E285,0,0,$I$5*-1,1))</f>
        <v/>
      </c>
      <c r="V285" s="9" t="str">
        <f t="shared" ca="1" si="39"/>
        <v/>
      </c>
      <c r="W285" s="17">
        <f t="shared" ca="1" si="36"/>
        <v>-4.8505540510240641E-2</v>
      </c>
      <c r="X285" s="13">
        <f t="shared" ca="1" si="37"/>
        <v>0</v>
      </c>
      <c r="Y285" s="13">
        <f t="shared" ca="1" si="38"/>
        <v>0</v>
      </c>
      <c r="Z285" t="str">
        <f t="shared" ca="1" si="40"/>
        <v/>
      </c>
      <c r="AA285" t="str">
        <f t="shared" ca="1" si="41"/>
        <v/>
      </c>
      <c r="AB285" s="24" t="str">
        <f t="shared" ca="1" si="42"/>
        <v/>
      </c>
      <c r="AC285" s="24" t="str">
        <f t="shared" ca="1" si="43"/>
        <v/>
      </c>
    </row>
    <row r="286" spans="3:29" x14ac:dyDescent="0.25">
      <c r="C286" s="6">
        <v>279</v>
      </c>
      <c r="D286" s="37">
        <v>42403</v>
      </c>
      <c r="E286" s="39">
        <v>13.991</v>
      </c>
      <c r="F286" s="39">
        <v>2.3679539254747382</v>
      </c>
      <c r="G286" s="39">
        <v>39.724631082227788</v>
      </c>
      <c r="H286" s="39">
        <v>35.907498050231681</v>
      </c>
      <c r="I286" s="10">
        <v>0</v>
      </c>
      <c r="J286" s="40">
        <v>1</v>
      </c>
      <c r="K286" s="40">
        <v>0</v>
      </c>
      <c r="L286" s="40">
        <v>0</v>
      </c>
      <c r="M286" s="40">
        <v>0</v>
      </c>
      <c r="N286" s="40">
        <v>0</v>
      </c>
      <c r="O286" s="40">
        <v>0</v>
      </c>
      <c r="P286" s="40">
        <v>0</v>
      </c>
      <c r="Q286" s="40">
        <v>0</v>
      </c>
      <c r="R286" s="40">
        <v>0</v>
      </c>
      <c r="S286" s="40">
        <v>0</v>
      </c>
      <c r="T286" s="29">
        <f t="array" aca="1" ref="T286" ca="1">+fair_value_gap(OFFSET(S285,0,0,-1*$I$5,-1*$Z$1),OFFSET(E285,0,0,-1*$I$5,1),F286:S286,0)</f>
        <v>13.778035841267497</v>
      </c>
      <c r="U286" s="9" t="str" cm="1">
        <f t="array" aca="1" ref="U286" ca="1">z_score_diff(OFFSET(T286,0,0,$I$5*-1,1),OFFSET(E286,0,0,$I$5*-1,1))</f>
        <v/>
      </c>
      <c r="V286" s="9" t="str">
        <f t="shared" ca="1" si="39"/>
        <v/>
      </c>
      <c r="W286" s="17">
        <f t="shared" ca="1" si="36"/>
        <v>-5.6078470631602449E-2</v>
      </c>
      <c r="X286" s="13">
        <f t="shared" ca="1" si="37"/>
        <v>0</v>
      </c>
      <c r="Y286" s="13">
        <f t="shared" ca="1" si="38"/>
        <v>0</v>
      </c>
      <c r="Z286" t="str">
        <f t="shared" ca="1" si="40"/>
        <v/>
      </c>
      <c r="AA286" t="str">
        <f t="shared" ca="1" si="41"/>
        <v/>
      </c>
      <c r="AB286" s="24" t="str">
        <f t="shared" ca="1" si="42"/>
        <v/>
      </c>
      <c r="AC286" s="24" t="str">
        <f t="shared" ca="1" si="43"/>
        <v/>
      </c>
    </row>
    <row r="287" spans="3:29" x14ac:dyDescent="0.25">
      <c r="C287" s="6">
        <v>280</v>
      </c>
      <c r="D287" s="37">
        <v>42404</v>
      </c>
      <c r="E287" s="39">
        <v>13.759</v>
      </c>
      <c r="F287" s="39">
        <v>2.3504785840422979</v>
      </c>
      <c r="G287" s="39">
        <v>39.011803472755155</v>
      </c>
      <c r="H287" s="39">
        <v>35.265929611654727</v>
      </c>
      <c r="I287" s="10">
        <v>0</v>
      </c>
      <c r="J287" s="40">
        <v>1</v>
      </c>
      <c r="K287" s="40">
        <v>0</v>
      </c>
      <c r="L287" s="40">
        <v>0</v>
      </c>
      <c r="M287" s="40">
        <v>0</v>
      </c>
      <c r="N287" s="40">
        <v>0</v>
      </c>
      <c r="O287" s="40">
        <v>0</v>
      </c>
      <c r="P287" s="40">
        <v>0</v>
      </c>
      <c r="Q287" s="40">
        <v>0</v>
      </c>
      <c r="R287" s="40">
        <v>0</v>
      </c>
      <c r="S287" s="40">
        <v>0</v>
      </c>
      <c r="T287" s="29">
        <f t="array" aca="1" ref="T287" ca="1">+fair_value_gap(OFFSET(S286,0,0,-1*$I$5,-1*$Z$1),OFFSET(E286,0,0,-1*$I$5,1),F287:S287,0)</f>
        <v>13.57181231377678</v>
      </c>
      <c r="U287" s="9" t="str" cm="1">
        <f t="array" aca="1" ref="U287" ca="1">z_score_diff(OFFSET(T287,0,0,$I$5*-1,1),OFFSET(E287,0,0,$I$5*-1,1))</f>
        <v/>
      </c>
      <c r="V287" s="9" t="str">
        <f t="shared" ca="1" si="39"/>
        <v/>
      </c>
      <c r="W287" s="17">
        <f t="shared" ca="1" si="36"/>
        <v>-3.7544671008029981E-2</v>
      </c>
      <c r="X287" s="13">
        <f t="shared" ca="1" si="37"/>
        <v>0</v>
      </c>
      <c r="Y287" s="13">
        <f t="shared" ca="1" si="38"/>
        <v>0</v>
      </c>
      <c r="Z287" t="str">
        <f t="shared" ca="1" si="40"/>
        <v/>
      </c>
      <c r="AA287" t="str">
        <f t="shared" ca="1" si="41"/>
        <v/>
      </c>
      <c r="AB287" s="24" t="str">
        <f t="shared" ca="1" si="42"/>
        <v/>
      </c>
      <c r="AC287" s="24" t="str">
        <f t="shared" ca="1" si="43"/>
        <v/>
      </c>
    </row>
    <row r="288" spans="3:29" x14ac:dyDescent="0.25">
      <c r="C288" s="6">
        <v>281</v>
      </c>
      <c r="D288" s="37">
        <v>42405</v>
      </c>
      <c r="E288" s="39">
        <v>13.651999999999999</v>
      </c>
      <c r="F288" s="39">
        <v>2.3853001597808721</v>
      </c>
      <c r="G288" s="39">
        <v>38.797420668676672</v>
      </c>
      <c r="H288" s="39">
        <v>35.336154372903977</v>
      </c>
      <c r="I288" s="10">
        <v>0</v>
      </c>
      <c r="J288" s="40">
        <v>1</v>
      </c>
      <c r="K288" s="40">
        <v>0</v>
      </c>
      <c r="L288" s="40">
        <v>0</v>
      </c>
      <c r="M288" s="40">
        <v>0</v>
      </c>
      <c r="N288" s="40">
        <v>0</v>
      </c>
      <c r="O288" s="40">
        <v>0</v>
      </c>
      <c r="P288" s="40">
        <v>0</v>
      </c>
      <c r="Q288" s="40">
        <v>0</v>
      </c>
      <c r="R288" s="40">
        <v>0</v>
      </c>
      <c r="S288" s="40">
        <v>0</v>
      </c>
      <c r="T288" s="29">
        <f t="array" aca="1" ref="T288" ca="1">+fair_value_gap(OFFSET(S287,0,0,-1*$I$5,-1*$Z$1),OFFSET(E287,0,0,-1*$I$5,1),F288:S288,0)</f>
        <v>13.570359194375952</v>
      </c>
      <c r="U288" s="9" t="str" cm="1">
        <f t="array" aca="1" ref="U288" ca="1">z_score_diff(OFFSET(T288,0,0,$I$5*-1,1),OFFSET(E288,0,0,$I$5*-1,1))</f>
        <v/>
      </c>
      <c r="V288" s="9" t="str">
        <f t="shared" ca="1" si="39"/>
        <v/>
      </c>
      <c r="W288" s="17">
        <f t="shared" ca="1" si="36"/>
        <v>-4.1273800837354747E-2</v>
      </c>
      <c r="X288" s="13">
        <f t="shared" ca="1" si="37"/>
        <v>0</v>
      </c>
      <c r="Y288" s="13">
        <f t="shared" ca="1" si="38"/>
        <v>0</v>
      </c>
      <c r="Z288" t="str">
        <f t="shared" ca="1" si="40"/>
        <v/>
      </c>
      <c r="AA288" t="str">
        <f t="shared" ca="1" si="41"/>
        <v/>
      </c>
      <c r="AB288" s="24" t="str">
        <f t="shared" ca="1" si="42"/>
        <v/>
      </c>
      <c r="AC288" s="24" t="str">
        <f t="shared" ca="1" si="43"/>
        <v/>
      </c>
    </row>
    <row r="289" spans="3:29" x14ac:dyDescent="0.25">
      <c r="C289" s="6">
        <v>282</v>
      </c>
      <c r="D289" s="37">
        <v>42408</v>
      </c>
      <c r="E289" s="39">
        <v>13.366</v>
      </c>
      <c r="F289" s="39">
        <v>2.3603489394188779</v>
      </c>
      <c r="G289" s="39">
        <v>38.170893424784431</v>
      </c>
      <c r="H289" s="39">
        <v>34.932463903120635</v>
      </c>
      <c r="I289" s="10">
        <v>0</v>
      </c>
      <c r="J289" s="40">
        <v>1</v>
      </c>
      <c r="K289" s="40">
        <v>0</v>
      </c>
      <c r="L289" s="40">
        <v>0</v>
      </c>
      <c r="M289" s="40">
        <v>0</v>
      </c>
      <c r="N289" s="40">
        <v>0</v>
      </c>
      <c r="O289" s="40">
        <v>0</v>
      </c>
      <c r="P289" s="40">
        <v>0</v>
      </c>
      <c r="Q289" s="40">
        <v>0</v>
      </c>
      <c r="R289" s="40">
        <v>0</v>
      </c>
      <c r="S289" s="40">
        <v>0</v>
      </c>
      <c r="T289" s="29">
        <f t="array" aca="1" ref="T289" ca="1">+fair_value_gap(OFFSET(S288,0,0,-1*$I$5,-1*$Z$1),OFFSET(E288,0,0,-1*$I$5,1),F289:S289,0)</f>
        <v>13.378456280919936</v>
      </c>
      <c r="U289" s="9" t="str" cm="1">
        <f t="array" aca="1" ref="U289" ca="1">z_score_diff(OFFSET(T289,0,0,$I$5*-1,1),OFFSET(E289,0,0,$I$5*-1,1))</f>
        <v/>
      </c>
      <c r="V289" s="9" t="str">
        <f t="shared" ca="1" si="39"/>
        <v/>
      </c>
      <c r="W289" s="17">
        <f t="shared" ca="1" si="36"/>
        <v>-1.8500168965299695E-2</v>
      </c>
      <c r="X289" s="13">
        <f t="shared" ca="1" si="37"/>
        <v>0</v>
      </c>
      <c r="Y289" s="13">
        <f t="shared" ca="1" si="38"/>
        <v>0</v>
      </c>
      <c r="Z289" t="str">
        <f t="shared" ca="1" si="40"/>
        <v/>
      </c>
      <c r="AA289" t="str">
        <f t="shared" ca="1" si="41"/>
        <v/>
      </c>
      <c r="AB289" s="24" t="str">
        <f t="shared" ca="1" si="42"/>
        <v/>
      </c>
      <c r="AC289" s="24" t="str">
        <f t="shared" ca="1" si="43"/>
        <v/>
      </c>
    </row>
    <row r="290" spans="3:29" x14ac:dyDescent="0.25">
      <c r="C290" s="6">
        <v>283</v>
      </c>
      <c r="D290" s="37">
        <v>42409</v>
      </c>
      <c r="E290" s="39">
        <v>13.146000000000001</v>
      </c>
      <c r="F290" s="39">
        <v>2.3284543366160726</v>
      </c>
      <c r="G290" s="39">
        <v>37.497256759722426</v>
      </c>
      <c r="H290" s="39">
        <v>33.790348886436668</v>
      </c>
      <c r="I290" s="10">
        <v>0</v>
      </c>
      <c r="J290" s="40">
        <v>1</v>
      </c>
      <c r="K290" s="40">
        <v>0</v>
      </c>
      <c r="L290" s="40">
        <v>0</v>
      </c>
      <c r="M290" s="40">
        <v>0</v>
      </c>
      <c r="N290" s="40">
        <v>0</v>
      </c>
      <c r="O290" s="40">
        <v>0</v>
      </c>
      <c r="P290" s="40">
        <v>0</v>
      </c>
      <c r="Q290" s="40">
        <v>0</v>
      </c>
      <c r="R290" s="40">
        <v>0</v>
      </c>
      <c r="S290" s="40">
        <v>0</v>
      </c>
      <c r="T290" s="29">
        <f t="array" aca="1" ref="T290" ca="1">+fair_value_gap(OFFSET(S289,0,0,-1*$I$5,-1*$Z$1),OFFSET(E289,0,0,-1*$I$5,1),F290:S290,0)</f>
        <v>13.080680658990005</v>
      </c>
      <c r="U290" s="9" t="str" cm="1">
        <f t="array" aca="1" ref="U290" ca="1">z_score_diff(OFFSET(T290,0,0,$I$5*-1,1),OFFSET(E290,0,0,$I$5*-1,1))</f>
        <v/>
      </c>
      <c r="V290" s="9" t="str">
        <f t="shared" ca="1" si="39"/>
        <v/>
      </c>
      <c r="W290" s="17">
        <f t="shared" ca="1" si="36"/>
        <v>3.1301694422007677E-2</v>
      </c>
      <c r="X290" s="13">
        <f t="shared" ca="1" si="37"/>
        <v>0</v>
      </c>
      <c r="Y290" s="13">
        <f t="shared" ca="1" si="38"/>
        <v>0</v>
      </c>
      <c r="Z290" t="str">
        <f t="shared" ca="1" si="40"/>
        <v/>
      </c>
      <c r="AA290" t="str">
        <f t="shared" ca="1" si="41"/>
        <v/>
      </c>
      <c r="AB290" s="24" t="str">
        <f t="shared" ca="1" si="42"/>
        <v/>
      </c>
      <c r="AC290" s="24" t="str">
        <f t="shared" ca="1" si="43"/>
        <v/>
      </c>
    </row>
    <row r="291" spans="3:29" x14ac:dyDescent="0.25">
      <c r="C291" s="6">
        <v>284</v>
      </c>
      <c r="D291" s="37">
        <v>42410</v>
      </c>
      <c r="E291" s="39">
        <v>12.983000000000001</v>
      </c>
      <c r="F291" s="39">
        <v>2.3088093227290125</v>
      </c>
      <c r="G291" s="39">
        <v>36.730934187136441</v>
      </c>
      <c r="H291" s="39">
        <v>34.024558440217028</v>
      </c>
      <c r="I291" s="10">
        <v>0</v>
      </c>
      <c r="J291" s="40">
        <v>1</v>
      </c>
      <c r="K291" s="40">
        <v>0</v>
      </c>
      <c r="L291" s="40">
        <v>0</v>
      </c>
      <c r="M291" s="40">
        <v>0</v>
      </c>
      <c r="N291" s="40">
        <v>0</v>
      </c>
      <c r="O291" s="40">
        <v>0</v>
      </c>
      <c r="P291" s="40">
        <v>0</v>
      </c>
      <c r="Q291" s="40">
        <v>0</v>
      </c>
      <c r="R291" s="40">
        <v>0</v>
      </c>
      <c r="S291" s="40">
        <v>0</v>
      </c>
      <c r="T291" s="29">
        <f t="array" aca="1" ref="T291" ca="1">+fair_value_gap(OFFSET(S290,0,0,-1*$I$5,-1*$Z$1),OFFSET(E290,0,0,-1*$I$5,1),F291:S291,0)</f>
        <v>12.912900547278264</v>
      </c>
      <c r="U291" s="9" t="str" cm="1">
        <f t="array" aca="1" ref="U291" ca="1">z_score_diff(OFFSET(T291,0,0,$I$5*-1,1),OFFSET(E291,0,0,$I$5*-1,1))</f>
        <v/>
      </c>
      <c r="V291" s="9" t="str">
        <f t="shared" ca="1" si="39"/>
        <v/>
      </c>
      <c r="W291" s="17">
        <f t="shared" ca="1" si="36"/>
        <v>3.4520118186810646E-2</v>
      </c>
      <c r="X291" s="13">
        <f t="shared" ca="1" si="37"/>
        <v>0</v>
      </c>
      <c r="Y291" s="13">
        <f t="shared" ca="1" si="38"/>
        <v>0</v>
      </c>
      <c r="Z291" t="str">
        <f t="shared" ca="1" si="40"/>
        <v/>
      </c>
      <c r="AA291" t="str">
        <f t="shared" ca="1" si="41"/>
        <v/>
      </c>
      <c r="AB291" s="24" t="str">
        <f t="shared" ca="1" si="42"/>
        <v/>
      </c>
      <c r="AC291" s="24" t="str">
        <f t="shared" ca="1" si="43"/>
        <v/>
      </c>
    </row>
    <row r="292" spans="3:29" x14ac:dyDescent="0.25">
      <c r="C292" s="6">
        <v>285</v>
      </c>
      <c r="D292" s="37">
        <v>42411</v>
      </c>
      <c r="E292" s="39">
        <v>12.859</v>
      </c>
      <c r="F292" s="39">
        <v>2.2847634243919921</v>
      </c>
      <c r="G292" s="39">
        <v>36.688396743511198</v>
      </c>
      <c r="H292" s="39">
        <v>33.678399851780405</v>
      </c>
      <c r="I292" s="10">
        <v>0</v>
      </c>
      <c r="J292" s="40">
        <v>1</v>
      </c>
      <c r="K292" s="40">
        <v>0</v>
      </c>
      <c r="L292" s="40">
        <v>0</v>
      </c>
      <c r="M292" s="40">
        <v>0</v>
      </c>
      <c r="N292" s="40">
        <v>0</v>
      </c>
      <c r="O292" s="40">
        <v>0</v>
      </c>
      <c r="P292" s="40">
        <v>0</v>
      </c>
      <c r="Q292" s="40">
        <v>0</v>
      </c>
      <c r="R292" s="40">
        <v>0</v>
      </c>
      <c r="S292" s="40">
        <v>0</v>
      </c>
      <c r="T292" s="29">
        <f t="array" aca="1" ref="T292" ca="1">+fair_value_gap(OFFSET(S291,0,0,-1*$I$5,-1*$Z$1),OFFSET(E291,0,0,-1*$I$5,1),F292:S292,0)</f>
        <v>12.869122571042039</v>
      </c>
      <c r="U292" s="9" t="str" cm="1">
        <f t="array" aca="1" ref="U292" ca="1">z_score_diff(OFFSET(T292,0,0,$I$5*-1,1),OFFSET(E292,0,0,$I$5*-1,1))</f>
        <v/>
      </c>
      <c r="V292" s="9" t="str">
        <f t="shared" ca="1" si="39"/>
        <v/>
      </c>
      <c r="W292" s="17">
        <f t="shared" ca="1" si="36"/>
        <v>3.8595394302580383E-2</v>
      </c>
      <c r="X292" s="13">
        <f t="shared" ca="1" si="37"/>
        <v>0</v>
      </c>
      <c r="Y292" s="13">
        <f t="shared" ca="1" si="38"/>
        <v>0</v>
      </c>
      <c r="Z292" t="str">
        <f t="shared" ca="1" si="40"/>
        <v/>
      </c>
      <c r="AA292" t="str">
        <f t="shared" ca="1" si="41"/>
        <v/>
      </c>
      <c r="AB292" s="24" t="str">
        <f t="shared" ca="1" si="42"/>
        <v/>
      </c>
      <c r="AC292" s="24" t="str">
        <f t="shared" ca="1" si="43"/>
        <v/>
      </c>
    </row>
    <row r="293" spans="3:29" x14ac:dyDescent="0.25">
      <c r="C293" s="6">
        <v>286</v>
      </c>
      <c r="D293" s="37">
        <v>42412</v>
      </c>
      <c r="E293" s="39">
        <v>13.337</v>
      </c>
      <c r="F293" s="39">
        <v>2.279379883297143</v>
      </c>
      <c r="G293" s="39">
        <v>37.960541350328818</v>
      </c>
      <c r="H293" s="39">
        <v>34.216817957821895</v>
      </c>
      <c r="I293" s="10">
        <v>0</v>
      </c>
      <c r="J293" s="40">
        <v>1</v>
      </c>
      <c r="K293" s="40">
        <v>0</v>
      </c>
      <c r="L293" s="40">
        <v>0</v>
      </c>
      <c r="M293" s="40">
        <v>0</v>
      </c>
      <c r="N293" s="40">
        <v>0</v>
      </c>
      <c r="O293" s="40">
        <v>0</v>
      </c>
      <c r="P293" s="40">
        <v>0</v>
      </c>
      <c r="Q293" s="40">
        <v>0</v>
      </c>
      <c r="R293" s="40">
        <v>0</v>
      </c>
      <c r="S293" s="40">
        <v>0</v>
      </c>
      <c r="T293" s="29">
        <f t="array" aca="1" ref="T293" ca="1">+fair_value_gap(OFFSET(S292,0,0,-1*$I$5,-1*$Z$1),OFFSET(E292,0,0,-1*$I$5,1),F293:S293,0)</f>
        <v>13.248471553040813</v>
      </c>
      <c r="U293" s="9" t="str" cm="1">
        <f t="array" aca="1" ref="U293" ca="1">z_score_diff(OFFSET(T293,0,0,$I$5*-1,1),OFFSET(E293,0,0,$I$5*-1,1))</f>
        <v/>
      </c>
      <c r="V293" s="9" t="str">
        <f t="shared" ca="1" si="39"/>
        <v/>
      </c>
      <c r="W293" s="17">
        <f t="shared" ca="1" si="36"/>
        <v>-3.831278397208043E-3</v>
      </c>
      <c r="X293" s="13">
        <f t="shared" ca="1" si="37"/>
        <v>0</v>
      </c>
      <c r="Y293" s="13">
        <f t="shared" ca="1" si="38"/>
        <v>0</v>
      </c>
      <c r="Z293" t="str">
        <f t="shared" ca="1" si="40"/>
        <v/>
      </c>
      <c r="AA293" t="str">
        <f t="shared" ca="1" si="41"/>
        <v/>
      </c>
      <c r="AB293" s="24" t="str">
        <f t="shared" ca="1" si="42"/>
        <v/>
      </c>
      <c r="AC293" s="24" t="str">
        <f t="shared" ca="1" si="43"/>
        <v/>
      </c>
    </row>
    <row r="294" spans="3:29" x14ac:dyDescent="0.25">
      <c r="C294" s="6">
        <v>287</v>
      </c>
      <c r="D294" s="37">
        <v>42415</v>
      </c>
      <c r="E294" s="39">
        <v>13.365</v>
      </c>
      <c r="F294" s="39">
        <v>2.2997108232226871</v>
      </c>
      <c r="G294" s="39">
        <v>38.036036150793905</v>
      </c>
      <c r="H294" s="39">
        <v>34.170645921834428</v>
      </c>
      <c r="I294" s="10">
        <v>0</v>
      </c>
      <c r="J294" s="40">
        <v>1</v>
      </c>
      <c r="K294" s="40">
        <v>0</v>
      </c>
      <c r="L294" s="40">
        <v>0</v>
      </c>
      <c r="M294" s="40">
        <v>0</v>
      </c>
      <c r="N294" s="40">
        <v>0</v>
      </c>
      <c r="O294" s="40">
        <v>0</v>
      </c>
      <c r="P294" s="40">
        <v>0</v>
      </c>
      <c r="Q294" s="40">
        <v>0</v>
      </c>
      <c r="R294" s="40">
        <v>0</v>
      </c>
      <c r="S294" s="40">
        <v>0</v>
      </c>
      <c r="T294" s="29">
        <f t="array" aca="1" ref="T294" ca="1">+fair_value_gap(OFFSET(S293,0,0,-1*$I$5,-1*$Z$1),OFFSET(E293,0,0,-1*$I$5,1),F294:S294,0)</f>
        <v>13.282210440817829</v>
      </c>
      <c r="U294" s="9" t="str" cm="1">
        <f t="array" aca="1" ref="U294" ca="1">z_score_diff(OFFSET(T294,0,0,$I$5*-1,1),OFFSET(E294,0,0,$I$5*-1,1))</f>
        <v/>
      </c>
      <c r="V294" s="9" t="str">
        <f t="shared" ca="1" si="39"/>
        <v/>
      </c>
      <c r="W294" s="17">
        <f t="shared" ca="1" si="36"/>
        <v>2.0928328141028292E-3</v>
      </c>
      <c r="X294" s="13">
        <f t="shared" ca="1" si="37"/>
        <v>0</v>
      </c>
      <c r="Y294" s="13">
        <f t="shared" ca="1" si="38"/>
        <v>0</v>
      </c>
      <c r="Z294" t="str">
        <f t="shared" ca="1" si="40"/>
        <v/>
      </c>
      <c r="AA294" t="str">
        <f t="shared" ca="1" si="41"/>
        <v/>
      </c>
      <c r="AB294" s="24" t="str">
        <f t="shared" ca="1" si="42"/>
        <v/>
      </c>
      <c r="AC294" s="24" t="str">
        <f t="shared" ca="1" si="43"/>
        <v/>
      </c>
    </row>
    <row r="295" spans="3:29" x14ac:dyDescent="0.25">
      <c r="C295" s="6">
        <v>288</v>
      </c>
      <c r="D295" s="37">
        <v>42416</v>
      </c>
      <c r="E295" s="39">
        <v>13.201000000000001</v>
      </c>
      <c r="F295" s="39">
        <v>2.2767415929094503</v>
      </c>
      <c r="G295" s="39">
        <v>37.576125135824924</v>
      </c>
      <c r="H295" s="39">
        <v>34.014713013509954</v>
      </c>
      <c r="I295" s="10">
        <v>0</v>
      </c>
      <c r="J295" s="40">
        <v>1</v>
      </c>
      <c r="K295" s="40">
        <v>0</v>
      </c>
      <c r="L295" s="40">
        <v>0</v>
      </c>
      <c r="M295" s="40">
        <v>0</v>
      </c>
      <c r="N295" s="40">
        <v>0</v>
      </c>
      <c r="O295" s="40">
        <v>0</v>
      </c>
      <c r="P295" s="40">
        <v>0</v>
      </c>
      <c r="Q295" s="40">
        <v>0</v>
      </c>
      <c r="R295" s="40">
        <v>0</v>
      </c>
      <c r="S295" s="40">
        <v>0</v>
      </c>
      <c r="T295" s="29">
        <f t="array" aca="1" ref="T295" ca="1">+fair_value_gap(OFFSET(S294,0,0,-1*$I$5,-1*$Z$1),OFFSET(E294,0,0,-1*$I$5,1),F295:S295,0)</f>
        <v>13.153277580395429</v>
      </c>
      <c r="U295" s="9" t="str" cm="1">
        <f t="array" aca="1" ref="U295" ca="1">z_score_diff(OFFSET(T295,0,0,$I$5*-1,1),OFFSET(E295,0,0,$I$5*-1,1))</f>
        <v/>
      </c>
      <c r="V295" s="9" t="str">
        <f t="shared" ca="1" si="39"/>
        <v/>
      </c>
      <c r="W295" s="17">
        <f t="shared" ca="1" si="36"/>
        <v>2.9499662102396075E-3</v>
      </c>
      <c r="X295" s="13">
        <f t="shared" ca="1" si="37"/>
        <v>0</v>
      </c>
      <c r="Y295" s="13">
        <f t="shared" ca="1" si="38"/>
        <v>0</v>
      </c>
      <c r="Z295" t="str">
        <f t="shared" ca="1" si="40"/>
        <v/>
      </c>
      <c r="AA295" t="str">
        <f t="shared" ca="1" si="41"/>
        <v/>
      </c>
      <c r="AB295" s="24" t="str">
        <f t="shared" ca="1" si="42"/>
        <v/>
      </c>
      <c r="AC295" s="24" t="str">
        <f t="shared" ca="1" si="43"/>
        <v/>
      </c>
    </row>
    <row r="296" spans="3:29" x14ac:dyDescent="0.25">
      <c r="C296" s="6">
        <v>289</v>
      </c>
      <c r="D296" s="37">
        <v>42417</v>
      </c>
      <c r="E296" s="39">
        <v>13.308999999999999</v>
      </c>
      <c r="F296" s="39">
        <v>2.2803511212460048</v>
      </c>
      <c r="G296" s="39">
        <v>37.769572741188682</v>
      </c>
      <c r="H296" s="39">
        <v>34.821577932540343</v>
      </c>
      <c r="I296" s="10">
        <v>0</v>
      </c>
      <c r="J296" s="40">
        <v>1</v>
      </c>
      <c r="K296" s="40">
        <v>0</v>
      </c>
      <c r="L296" s="40">
        <v>0</v>
      </c>
      <c r="M296" s="40">
        <v>0</v>
      </c>
      <c r="N296" s="40">
        <v>0</v>
      </c>
      <c r="O296" s="40">
        <v>0</v>
      </c>
      <c r="P296" s="40">
        <v>0</v>
      </c>
      <c r="Q296" s="40">
        <v>0</v>
      </c>
      <c r="R296" s="40">
        <v>0</v>
      </c>
      <c r="S296" s="40">
        <v>0</v>
      </c>
      <c r="T296" s="29">
        <f t="array" aca="1" ref="T296" ca="1">+fair_value_gap(OFFSET(S295,0,0,-1*$I$5,-1*$Z$1),OFFSET(E295,0,0,-1*$I$5,1),F296:S296,0)</f>
        <v>13.294762774811289</v>
      </c>
      <c r="U296" s="9" t="str" cm="1">
        <f t="array" aca="1" ref="U296" ca="1">z_score_diff(OFFSET(T296,0,0,$I$5*-1,1),OFFSET(E296,0,0,$I$5*-1,1))</f>
        <v/>
      </c>
      <c r="V296" s="9" t="str">
        <f t="shared" ca="1" si="39"/>
        <v/>
      </c>
      <c r="W296" s="17">
        <f t="shared" ca="1" si="36"/>
        <v>6.0676615986621427E-3</v>
      </c>
      <c r="X296" s="13">
        <f t="shared" ca="1" si="37"/>
        <v>0</v>
      </c>
      <c r="Y296" s="13">
        <f t="shared" ca="1" si="38"/>
        <v>0</v>
      </c>
      <c r="Z296" t="str">
        <f t="shared" ca="1" si="40"/>
        <v/>
      </c>
      <c r="AA296" t="str">
        <f t="shared" ca="1" si="41"/>
        <v/>
      </c>
      <c r="AB296" s="24" t="str">
        <f t="shared" ca="1" si="42"/>
        <v/>
      </c>
      <c r="AC296" s="24" t="str">
        <f t="shared" ca="1" si="43"/>
        <v/>
      </c>
    </row>
    <row r="297" spans="3:29" x14ac:dyDescent="0.25">
      <c r="C297" s="6">
        <v>290</v>
      </c>
      <c r="D297" s="37">
        <v>42418</v>
      </c>
      <c r="E297" s="39">
        <v>13.558999999999999</v>
      </c>
      <c r="F297" s="39">
        <v>2.2535768467938628</v>
      </c>
      <c r="G297" s="39">
        <v>38.485344938249327</v>
      </c>
      <c r="H297" s="39">
        <v>35.675746320717892</v>
      </c>
      <c r="I297" s="10">
        <v>0</v>
      </c>
      <c r="J297" s="40">
        <v>1</v>
      </c>
      <c r="K297" s="40">
        <v>0</v>
      </c>
      <c r="L297" s="40">
        <v>0</v>
      </c>
      <c r="M297" s="40">
        <v>0</v>
      </c>
      <c r="N297" s="40">
        <v>0</v>
      </c>
      <c r="O297" s="40">
        <v>0</v>
      </c>
      <c r="P297" s="40">
        <v>0</v>
      </c>
      <c r="Q297" s="40">
        <v>0</v>
      </c>
      <c r="R297" s="40">
        <v>0</v>
      </c>
      <c r="S297" s="40">
        <v>0</v>
      </c>
      <c r="T297" s="29">
        <f t="array" aca="1" ref="T297" ca="1">+fair_value_gap(OFFSET(S296,0,0,-1*$I$5,-1*$Z$1),OFFSET(E296,0,0,-1*$I$5,1),F297:S297,0)</f>
        <v>13.575635805261225</v>
      </c>
      <c r="U297" s="9" t="str" cm="1">
        <f t="array" aca="1" ref="U297" ca="1">z_score_diff(OFFSET(T297,0,0,$I$5*-1,1),OFFSET(E297,0,0,$I$5*-1,1))</f>
        <v/>
      </c>
      <c r="V297" s="9" t="str">
        <f t="shared" ca="1" si="39"/>
        <v/>
      </c>
      <c r="W297" s="17">
        <f t="shared" ca="1" si="36"/>
        <v>-7.2539178182160153E-3</v>
      </c>
      <c r="X297" s="13">
        <f t="shared" ca="1" si="37"/>
        <v>0</v>
      </c>
      <c r="Y297" s="13">
        <f t="shared" ca="1" si="38"/>
        <v>0</v>
      </c>
      <c r="Z297" t="str">
        <f t="shared" ca="1" si="40"/>
        <v/>
      </c>
      <c r="AA297" t="str">
        <f t="shared" ca="1" si="41"/>
        <v/>
      </c>
      <c r="AB297" s="24" t="str">
        <f t="shared" ca="1" si="42"/>
        <v/>
      </c>
      <c r="AC297" s="24" t="str">
        <f t="shared" ca="1" si="43"/>
        <v/>
      </c>
    </row>
    <row r="298" spans="3:29" x14ac:dyDescent="0.25">
      <c r="C298" s="6">
        <v>291</v>
      </c>
      <c r="D298" s="37">
        <v>42419</v>
      </c>
      <c r="E298" s="39">
        <v>13.208</v>
      </c>
      <c r="F298" s="39">
        <v>2.2009916342956912</v>
      </c>
      <c r="G298" s="39">
        <v>38.108902931688903</v>
      </c>
      <c r="H298" s="39">
        <v>35.641807752489207</v>
      </c>
      <c r="I298" s="10">
        <v>0</v>
      </c>
      <c r="J298" s="40">
        <v>1</v>
      </c>
      <c r="K298" s="40">
        <v>0</v>
      </c>
      <c r="L298" s="40">
        <v>0</v>
      </c>
      <c r="M298" s="40">
        <v>0</v>
      </c>
      <c r="N298" s="40">
        <v>0</v>
      </c>
      <c r="O298" s="40">
        <v>0</v>
      </c>
      <c r="P298" s="40">
        <v>0</v>
      </c>
      <c r="Q298" s="40">
        <v>0</v>
      </c>
      <c r="R298" s="40">
        <v>0</v>
      </c>
      <c r="S298" s="40">
        <v>0</v>
      </c>
      <c r="T298" s="29">
        <f t="array" aca="1" ref="T298" ca="1">+fair_value_gap(OFFSET(S297,0,0,-1*$I$5,-1*$Z$1),OFFSET(E297,0,0,-1*$I$5,1),F298:S298,0)</f>
        <v>13.472091301956789</v>
      </c>
      <c r="U298" s="9" t="str" cm="1">
        <f t="array" aca="1" ref="U298" ca="1">z_score_diff(OFFSET(T298,0,0,$I$5*-1,1),OFFSET(E298,0,0,$I$5*-1,1))</f>
        <v/>
      </c>
      <c r="V298" s="9" t="str">
        <f t="shared" ca="1" si="39"/>
        <v/>
      </c>
      <c r="W298" s="17">
        <f t="shared" ca="1" si="36"/>
        <v>2.6891372431720375E-2</v>
      </c>
      <c r="X298" s="13">
        <f t="shared" ca="1" si="37"/>
        <v>0</v>
      </c>
      <c r="Y298" s="13">
        <f t="shared" ca="1" si="38"/>
        <v>0</v>
      </c>
      <c r="Z298" t="str">
        <f t="shared" ca="1" si="40"/>
        <v/>
      </c>
      <c r="AA298" t="str">
        <f t="shared" ca="1" si="41"/>
        <v/>
      </c>
      <c r="AB298" s="24" t="str">
        <f t="shared" ca="1" si="42"/>
        <v/>
      </c>
      <c r="AC298" s="24" t="str">
        <f t="shared" ca="1" si="43"/>
        <v/>
      </c>
    </row>
    <row r="299" spans="3:29" x14ac:dyDescent="0.25">
      <c r="C299" s="6">
        <v>292</v>
      </c>
      <c r="D299" s="37">
        <v>42422</v>
      </c>
      <c r="E299" s="39">
        <v>13.51</v>
      </c>
      <c r="F299" s="39">
        <v>2.1925384426849668</v>
      </c>
      <c r="G299" s="39">
        <v>39.107994148959015</v>
      </c>
      <c r="H299" s="39">
        <v>36.719912760236284</v>
      </c>
      <c r="I299" s="10">
        <v>0</v>
      </c>
      <c r="J299" s="40">
        <v>1</v>
      </c>
      <c r="K299" s="40">
        <v>0</v>
      </c>
      <c r="L299" s="40">
        <v>0</v>
      </c>
      <c r="M299" s="40">
        <v>0</v>
      </c>
      <c r="N299" s="40">
        <v>0</v>
      </c>
      <c r="O299" s="40">
        <v>0</v>
      </c>
      <c r="P299" s="40">
        <v>0</v>
      </c>
      <c r="Q299" s="40">
        <v>0</v>
      </c>
      <c r="R299" s="40">
        <v>0</v>
      </c>
      <c r="S299" s="40">
        <v>0</v>
      </c>
      <c r="T299" s="29">
        <f t="array" aca="1" ref="T299" ca="1">+fair_value_gap(OFFSET(S298,0,0,-1*$I$5,-1*$Z$1),OFFSET(E298,0,0,-1*$I$5,1),F299:S299,0)</f>
        <v>13.816111137557318</v>
      </c>
      <c r="U299" s="9" t="str" cm="1">
        <f t="array" aca="1" ref="U299" ca="1">z_score_diff(OFFSET(T299,0,0,$I$5*-1,1),OFFSET(E299,0,0,$I$5*-1,1))</f>
        <v/>
      </c>
      <c r="V299" s="9" t="str">
        <f t="shared" ca="1" si="39"/>
        <v/>
      </c>
      <c r="W299" s="17">
        <f t="shared" ca="1" si="36"/>
        <v>7.6685230536521955E-3</v>
      </c>
      <c r="X299" s="13">
        <f t="shared" ca="1" si="37"/>
        <v>0</v>
      </c>
      <c r="Y299" s="13">
        <f t="shared" ca="1" si="38"/>
        <v>0</v>
      </c>
      <c r="Z299" t="str">
        <f t="shared" ca="1" si="40"/>
        <v/>
      </c>
      <c r="AA299" t="str">
        <f t="shared" ca="1" si="41"/>
        <v/>
      </c>
      <c r="AB299" s="24" t="str">
        <f t="shared" ca="1" si="42"/>
        <v/>
      </c>
      <c r="AC299" s="24" t="str">
        <f t="shared" ca="1" si="43"/>
        <v/>
      </c>
    </row>
    <row r="300" spans="3:29" x14ac:dyDescent="0.25">
      <c r="C300" s="6">
        <v>293</v>
      </c>
      <c r="D300" s="37">
        <v>42423</v>
      </c>
      <c r="E300" s="39">
        <v>13.368</v>
      </c>
      <c r="F300" s="39">
        <v>2.1774235835415219</v>
      </c>
      <c r="G300" s="39">
        <v>38.184860310287995</v>
      </c>
      <c r="H300" s="39">
        <v>36.216331032374285</v>
      </c>
      <c r="I300" s="10">
        <v>0</v>
      </c>
      <c r="J300" s="40">
        <v>1</v>
      </c>
      <c r="K300" s="40">
        <v>0</v>
      </c>
      <c r="L300" s="40">
        <v>0</v>
      </c>
      <c r="M300" s="40">
        <v>0</v>
      </c>
      <c r="N300" s="40">
        <v>0</v>
      </c>
      <c r="O300" s="40">
        <v>0</v>
      </c>
      <c r="P300" s="40">
        <v>0</v>
      </c>
      <c r="Q300" s="40">
        <v>0</v>
      </c>
      <c r="R300" s="40">
        <v>0</v>
      </c>
      <c r="S300" s="40">
        <v>0</v>
      </c>
      <c r="T300" s="29">
        <f t="array" aca="1" ref="T300" ca="1">+fair_value_gap(OFFSET(S299,0,0,-1*$I$5,-1*$Z$1),OFFSET(E299,0,0,-1*$I$5,1),F300:S300,0)</f>
        <v>13.482684638859997</v>
      </c>
      <c r="U300" s="9" t="str" cm="1">
        <f t="array" aca="1" ref="U300" ca="1">z_score_diff(OFFSET(T300,0,0,$I$5*-1,1),OFFSET(E300,0,0,$I$5*-1,1))</f>
        <v/>
      </c>
      <c r="V300" s="9" t="str">
        <f t="shared" ca="1" si="39"/>
        <v/>
      </c>
      <c r="W300" s="17">
        <f t="shared" ca="1" si="36"/>
        <v>8.3433141910684606E-3</v>
      </c>
      <c r="X300" s="13">
        <f t="shared" ca="1" si="37"/>
        <v>0</v>
      </c>
      <c r="Y300" s="13">
        <f t="shared" ca="1" si="38"/>
        <v>0</v>
      </c>
      <c r="Z300" t="str">
        <f t="shared" ca="1" si="40"/>
        <v/>
      </c>
      <c r="AA300" t="str">
        <f t="shared" ca="1" si="41"/>
        <v/>
      </c>
      <c r="AB300" s="24" t="str">
        <f t="shared" ca="1" si="42"/>
        <v/>
      </c>
      <c r="AC300" s="24" t="str">
        <f t="shared" ca="1" si="43"/>
        <v/>
      </c>
    </row>
    <row r="301" spans="3:29" x14ac:dyDescent="0.25">
      <c r="C301" s="6">
        <v>294</v>
      </c>
      <c r="D301" s="37">
        <v>42424</v>
      </c>
      <c r="E301" s="39">
        <v>13.132</v>
      </c>
      <c r="F301" s="39">
        <v>2.1840898617306532</v>
      </c>
      <c r="G301" s="39">
        <v>37.500467820207334</v>
      </c>
      <c r="H301" s="39">
        <v>36.4311526834502</v>
      </c>
      <c r="I301" s="10">
        <v>0</v>
      </c>
      <c r="J301" s="40">
        <v>1</v>
      </c>
      <c r="K301" s="40">
        <v>0</v>
      </c>
      <c r="L301" s="40">
        <v>0</v>
      </c>
      <c r="M301" s="40">
        <v>0</v>
      </c>
      <c r="N301" s="40">
        <v>0</v>
      </c>
      <c r="O301" s="40">
        <v>0</v>
      </c>
      <c r="P301" s="40">
        <v>0</v>
      </c>
      <c r="Q301" s="40">
        <v>0</v>
      </c>
      <c r="R301" s="40">
        <v>0</v>
      </c>
      <c r="S301" s="40">
        <v>0</v>
      </c>
      <c r="T301" s="29">
        <f t="array" aca="1" ref="T301" ca="1">+fair_value_gap(OFFSET(S300,0,0,-1*$I$5,-1*$Z$1),OFFSET(E300,0,0,-1*$I$5,1),F301:S301,0)</f>
        <v>13.309768610638669</v>
      </c>
      <c r="U301" s="9" t="str" cm="1">
        <f t="array" aca="1" ref="U301" ca="1">z_score_diff(OFFSET(T301,0,0,$I$5*-1,1),OFFSET(E301,0,0,$I$5*-1,1))</f>
        <v/>
      </c>
      <c r="V301" s="9" t="str">
        <f t="shared" ca="1" si="39"/>
        <v/>
      </c>
      <c r="W301" s="17">
        <f t="shared" ca="1" si="36"/>
        <v>2.4075794238677038E-2</v>
      </c>
      <c r="X301" s="13">
        <f t="shared" ca="1" si="37"/>
        <v>0</v>
      </c>
      <c r="Y301" s="13">
        <f t="shared" ca="1" si="38"/>
        <v>0</v>
      </c>
      <c r="Z301" t="str">
        <f t="shared" ca="1" si="40"/>
        <v/>
      </c>
      <c r="AA301" t="str">
        <f t="shared" ca="1" si="41"/>
        <v/>
      </c>
      <c r="AB301" s="24" t="str">
        <f t="shared" ca="1" si="42"/>
        <v/>
      </c>
      <c r="AC301" s="24" t="str">
        <f t="shared" ca="1" si="43"/>
        <v/>
      </c>
    </row>
    <row r="302" spans="3:29" x14ac:dyDescent="0.25">
      <c r="C302" s="6">
        <v>295</v>
      </c>
      <c r="D302" s="37">
        <v>42425</v>
      </c>
      <c r="E302" s="39">
        <v>13.054</v>
      </c>
      <c r="F302" s="39">
        <v>2.1708563424268288</v>
      </c>
      <c r="G302" s="39">
        <v>37.546246747447228</v>
      </c>
      <c r="H302" s="39">
        <v>36.595450617015288</v>
      </c>
      <c r="I302" s="10">
        <v>0</v>
      </c>
      <c r="J302" s="40">
        <v>1</v>
      </c>
      <c r="K302" s="40">
        <v>0</v>
      </c>
      <c r="L302" s="40">
        <v>0</v>
      </c>
      <c r="M302" s="40">
        <v>0</v>
      </c>
      <c r="N302" s="40">
        <v>0</v>
      </c>
      <c r="O302" s="40">
        <v>0</v>
      </c>
      <c r="P302" s="40">
        <v>0</v>
      </c>
      <c r="Q302" s="40">
        <v>0</v>
      </c>
      <c r="R302" s="40">
        <v>0</v>
      </c>
      <c r="S302" s="40">
        <v>0</v>
      </c>
      <c r="T302" s="29">
        <f t="array" aca="1" ref="T302" ca="1">+fair_value_gap(OFFSET(S301,0,0,-1*$I$5,-1*$Z$1),OFFSET(E301,0,0,-1*$I$5,1),F302:S302,0)</f>
        <v>13.312427823058368</v>
      </c>
      <c r="U302" s="9" t="str" cm="1">
        <f t="array" aca="1" ref="U302" ca="1">z_score_diff(OFFSET(T302,0,0,$I$5*-1,1),OFFSET(E302,0,0,$I$5*-1,1))</f>
        <v/>
      </c>
      <c r="V302" s="9" t="str">
        <f t="shared" ca="1" si="39"/>
        <v/>
      </c>
      <c r="W302" s="17">
        <f t="shared" ca="1" si="36"/>
        <v>2.9884505834822314E-2</v>
      </c>
      <c r="X302" s="13">
        <f t="shared" ca="1" si="37"/>
        <v>0</v>
      </c>
      <c r="Y302" s="13">
        <f t="shared" ca="1" si="38"/>
        <v>0</v>
      </c>
      <c r="Z302" t="str">
        <f t="shared" ca="1" si="40"/>
        <v/>
      </c>
      <c r="AA302" t="str">
        <f t="shared" ca="1" si="41"/>
        <v/>
      </c>
      <c r="AB302" s="24" t="str">
        <f t="shared" ca="1" si="42"/>
        <v/>
      </c>
      <c r="AC302" s="24" t="str">
        <f t="shared" ca="1" si="43"/>
        <v/>
      </c>
    </row>
    <row r="303" spans="3:29" x14ac:dyDescent="0.25">
      <c r="C303" s="6">
        <v>296</v>
      </c>
      <c r="D303" s="37">
        <v>42426</v>
      </c>
      <c r="E303" s="39">
        <v>13.349</v>
      </c>
      <c r="F303" s="39">
        <v>2.2000626034074142</v>
      </c>
      <c r="G303" s="39">
        <v>38.316279615265131</v>
      </c>
      <c r="H303" s="39">
        <v>36.488843178464428</v>
      </c>
      <c r="I303" s="10">
        <v>0</v>
      </c>
      <c r="J303" s="40">
        <v>1</v>
      </c>
      <c r="K303" s="40">
        <v>0</v>
      </c>
      <c r="L303" s="40">
        <v>0</v>
      </c>
      <c r="M303" s="40">
        <v>0</v>
      </c>
      <c r="N303" s="40">
        <v>0</v>
      </c>
      <c r="O303" s="40">
        <v>0</v>
      </c>
      <c r="P303" s="40">
        <v>0</v>
      </c>
      <c r="Q303" s="40">
        <v>0</v>
      </c>
      <c r="R303" s="40">
        <v>0</v>
      </c>
      <c r="S303" s="40">
        <v>0</v>
      </c>
      <c r="T303" s="29">
        <f t="array" aca="1" ref="T303" ca="1">+fair_value_gap(OFFSET(S302,0,0,-1*$I$5,-1*$Z$1),OFFSET(E302,0,0,-1*$I$5,1),F303:S303,0)</f>
        <v>13.49173788527305</v>
      </c>
      <c r="U303" s="9" t="str" cm="1">
        <f t="array" aca="1" ref="U303" ca="1">z_score_diff(OFFSET(T303,0,0,$I$5*-1,1),OFFSET(E303,0,0,$I$5*-1,1))</f>
        <v/>
      </c>
      <c r="V303" s="9" t="str">
        <f t="shared" ca="1" si="39"/>
        <v/>
      </c>
      <c r="W303" s="17">
        <f t="shared" ca="1" si="36"/>
        <v>3.5976955403024008E-2</v>
      </c>
      <c r="X303" s="13">
        <f t="shared" ca="1" si="37"/>
        <v>0</v>
      </c>
      <c r="Y303" s="13">
        <f t="shared" ca="1" si="38"/>
        <v>0</v>
      </c>
      <c r="Z303" t="str">
        <f t="shared" ca="1" si="40"/>
        <v/>
      </c>
      <c r="AA303" t="str">
        <f t="shared" ca="1" si="41"/>
        <v/>
      </c>
      <c r="AB303" s="24" t="str">
        <f t="shared" ca="1" si="42"/>
        <v/>
      </c>
      <c r="AC303" s="24" t="str">
        <f t="shared" ca="1" si="43"/>
        <v/>
      </c>
    </row>
    <row r="304" spans="3:29" x14ac:dyDescent="0.25">
      <c r="C304" s="6">
        <v>297</v>
      </c>
      <c r="D304" s="37">
        <v>42429</v>
      </c>
      <c r="E304" s="39">
        <v>13.433</v>
      </c>
      <c r="F304" s="39">
        <v>2.2436856467915836</v>
      </c>
      <c r="G304" s="39">
        <v>38.231196807606977</v>
      </c>
      <c r="H304" s="39">
        <v>36.750798139277443</v>
      </c>
      <c r="I304" s="10">
        <v>0</v>
      </c>
      <c r="J304" s="40">
        <v>1</v>
      </c>
      <c r="K304" s="40">
        <v>0</v>
      </c>
      <c r="L304" s="40">
        <v>0</v>
      </c>
      <c r="M304" s="40">
        <v>0</v>
      </c>
      <c r="N304" s="40">
        <v>0</v>
      </c>
      <c r="O304" s="40">
        <v>0</v>
      </c>
      <c r="P304" s="40">
        <v>0</v>
      </c>
      <c r="Q304" s="40">
        <v>0</v>
      </c>
      <c r="R304" s="40">
        <v>0</v>
      </c>
      <c r="S304" s="40">
        <v>0</v>
      </c>
      <c r="T304" s="29">
        <f t="array" aca="1" ref="T304" ca="1">+fair_value_gap(OFFSET(S303,0,0,-1*$I$5,-1*$Z$1),OFFSET(E303,0,0,-1*$I$5,1),F304:S304,0)</f>
        <v>13.497192044471774</v>
      </c>
      <c r="U304" s="9" t="str" cm="1">
        <f t="array" aca="1" ref="U304" ca="1">z_score_diff(OFFSET(T304,0,0,$I$5*-1,1),OFFSET(E304,0,0,$I$5*-1,1))</f>
        <v/>
      </c>
      <c r="V304" s="9" t="str">
        <f t="shared" ca="1" si="39"/>
        <v/>
      </c>
      <c r="W304" s="17">
        <f t="shared" ca="1" si="36"/>
        <v>4.4836852788638283E-2</v>
      </c>
      <c r="X304" s="13">
        <f t="shared" ca="1" si="37"/>
        <v>0</v>
      </c>
      <c r="Y304" s="13">
        <f t="shared" ca="1" si="38"/>
        <v>0</v>
      </c>
      <c r="Z304" t="str">
        <f t="shared" ca="1" si="40"/>
        <v/>
      </c>
      <c r="AA304" t="str">
        <f t="shared" ca="1" si="41"/>
        <v/>
      </c>
      <c r="AB304" s="24" t="str">
        <f t="shared" ca="1" si="42"/>
        <v/>
      </c>
      <c r="AC304" s="24" t="str">
        <f t="shared" ca="1" si="43"/>
        <v/>
      </c>
    </row>
    <row r="305" spans="3:29" x14ac:dyDescent="0.25">
      <c r="C305" s="6">
        <v>298</v>
      </c>
      <c r="D305" s="37">
        <v>42430</v>
      </c>
      <c r="E305" s="39">
        <v>13.445</v>
      </c>
      <c r="F305" s="39">
        <v>2.2912256574127756</v>
      </c>
      <c r="G305" s="39">
        <v>38.280787237885221</v>
      </c>
      <c r="H305" s="39">
        <v>37.078485040516668</v>
      </c>
      <c r="I305" s="10">
        <v>0</v>
      </c>
      <c r="J305" s="40">
        <v>0</v>
      </c>
      <c r="K305" s="40">
        <v>1</v>
      </c>
      <c r="L305" s="40">
        <v>0</v>
      </c>
      <c r="M305" s="40">
        <v>0</v>
      </c>
      <c r="N305" s="40">
        <v>0</v>
      </c>
      <c r="O305" s="40">
        <v>0</v>
      </c>
      <c r="P305" s="40">
        <v>0</v>
      </c>
      <c r="Q305" s="40">
        <v>0</v>
      </c>
      <c r="R305" s="40">
        <v>0</v>
      </c>
      <c r="S305" s="40">
        <v>0</v>
      </c>
      <c r="T305" s="29">
        <f t="array" aca="1" ref="T305" ca="1">+fair_value_gap(OFFSET(S304,0,0,-1*$I$5,-1*$Z$1),OFFSET(E304,0,0,-1*$I$5,1),F305:S305,0)</f>
        <v>13.628390033787717</v>
      </c>
      <c r="U305" s="9" t="str" cm="1">
        <f t="array" aca="1" ref="U305" ca="1">z_score_diff(OFFSET(T305,0,0,$I$5*-1,1),OFFSET(E305,0,0,$I$5*-1,1))</f>
        <v/>
      </c>
      <c r="V305" s="9" t="str">
        <f t="shared" ca="1" si="39"/>
        <v/>
      </c>
      <c r="W305" s="17">
        <f t="shared" ca="1" si="36"/>
        <v>8.7606216772207618E-2</v>
      </c>
      <c r="X305" s="13">
        <f t="shared" ca="1" si="37"/>
        <v>0</v>
      </c>
      <c r="Y305" s="13">
        <f t="shared" ca="1" si="38"/>
        <v>0</v>
      </c>
      <c r="Z305" t="str">
        <f t="shared" ca="1" si="40"/>
        <v/>
      </c>
      <c r="AA305" t="str">
        <f t="shared" ca="1" si="41"/>
        <v/>
      </c>
      <c r="AB305" s="24" t="str">
        <f t="shared" ca="1" si="42"/>
        <v/>
      </c>
      <c r="AC305" s="24" t="str">
        <f t="shared" ca="1" si="43"/>
        <v/>
      </c>
    </row>
    <row r="306" spans="3:29" x14ac:dyDescent="0.25">
      <c r="C306" s="6">
        <v>299</v>
      </c>
      <c r="D306" s="37">
        <v>42431</v>
      </c>
      <c r="E306" s="39">
        <v>13.468999999999999</v>
      </c>
      <c r="F306" s="39">
        <v>2.3016015010757291</v>
      </c>
      <c r="G306" s="39">
        <v>38.26574495874614</v>
      </c>
      <c r="H306" s="39">
        <v>36.816633386348094</v>
      </c>
      <c r="I306" s="10">
        <v>0</v>
      </c>
      <c r="J306" s="40">
        <v>0</v>
      </c>
      <c r="K306" s="40">
        <v>1</v>
      </c>
      <c r="L306" s="40">
        <v>0</v>
      </c>
      <c r="M306" s="40">
        <v>0</v>
      </c>
      <c r="N306" s="40">
        <v>0</v>
      </c>
      <c r="O306" s="40">
        <v>0</v>
      </c>
      <c r="P306" s="40">
        <v>0</v>
      </c>
      <c r="Q306" s="40">
        <v>0</v>
      </c>
      <c r="R306" s="40">
        <v>0</v>
      </c>
      <c r="S306" s="40">
        <v>0</v>
      </c>
      <c r="T306" s="29">
        <f t="array" aca="1" ref="T306" ca="1">+fair_value_gap(OFFSET(S305,0,0,-1*$I$5,-1*$Z$1),OFFSET(E305,0,0,-1*$I$5,1),F306:S306,0)</f>
        <v>13.562314260499118</v>
      </c>
      <c r="U306" s="9" t="str" cm="1">
        <f t="array" aca="1" ref="U306" ca="1">z_score_diff(OFFSET(T306,0,0,$I$5*-1,1),OFFSET(E306,0,0,$I$5*-1,1))</f>
        <v/>
      </c>
      <c r="V306" s="9" t="str">
        <f t="shared" ca="1" si="39"/>
        <v/>
      </c>
      <c r="W306" s="17">
        <f t="shared" ca="1" si="36"/>
        <v>0.12353280164182243</v>
      </c>
      <c r="X306" s="13">
        <f t="shared" ca="1" si="37"/>
        <v>0</v>
      </c>
      <c r="Y306" s="13">
        <f t="shared" ca="1" si="38"/>
        <v>0</v>
      </c>
      <c r="Z306" t="str">
        <f t="shared" ca="1" si="40"/>
        <v/>
      </c>
      <c r="AA306" t="str">
        <f t="shared" ca="1" si="41"/>
        <v/>
      </c>
      <c r="AB306" s="24" t="str">
        <f t="shared" ca="1" si="42"/>
        <v/>
      </c>
      <c r="AC306" s="24" t="str">
        <f t="shared" ca="1" si="43"/>
        <v/>
      </c>
    </row>
    <row r="307" spans="3:29" x14ac:dyDescent="0.25">
      <c r="C307" s="6">
        <v>300</v>
      </c>
      <c r="D307" s="37">
        <v>42432</v>
      </c>
      <c r="E307" s="39">
        <v>13.372999999999999</v>
      </c>
      <c r="F307" s="39">
        <v>2.2978875122559943</v>
      </c>
      <c r="G307" s="39">
        <v>37.915547918460589</v>
      </c>
      <c r="H307" s="39">
        <v>37.570193421873611</v>
      </c>
      <c r="I307" s="10">
        <v>0</v>
      </c>
      <c r="J307" s="40">
        <v>0</v>
      </c>
      <c r="K307" s="40">
        <v>1</v>
      </c>
      <c r="L307" s="40">
        <v>0</v>
      </c>
      <c r="M307" s="40">
        <v>0</v>
      </c>
      <c r="N307" s="40">
        <v>0</v>
      </c>
      <c r="O307" s="40">
        <v>0</v>
      </c>
      <c r="P307" s="40">
        <v>0</v>
      </c>
      <c r="Q307" s="40">
        <v>0</v>
      </c>
      <c r="R307" s="40">
        <v>0</v>
      </c>
      <c r="S307" s="40">
        <v>0</v>
      </c>
      <c r="T307" s="29">
        <f t="array" aca="1" ref="T307" ca="1">+fair_value_gap(OFFSET(S306,0,0,-1*$I$5,-1*$Z$1),OFFSET(E306,0,0,-1*$I$5,1),F307:S307,0)</f>
        <v>13.503197321989486</v>
      </c>
      <c r="U307" s="9" t="str" cm="1">
        <f t="array" aca="1" ref="U307" ca="1">z_score_diff(OFFSET(T307,0,0,$I$5*-1,1),OFFSET(E307,0,0,$I$5*-1,1))</f>
        <v/>
      </c>
      <c r="V307" s="9" t="str">
        <f t="shared" ca="1" si="39"/>
        <v/>
      </c>
      <c r="W307" s="17">
        <f t="shared" ca="1" si="36"/>
        <v>0.11827312384053139</v>
      </c>
      <c r="X307" s="13">
        <f t="shared" ca="1" si="37"/>
        <v>0</v>
      </c>
      <c r="Y307" s="13">
        <f t="shared" ca="1" si="38"/>
        <v>0</v>
      </c>
      <c r="Z307" t="str">
        <f t="shared" ca="1" si="40"/>
        <v/>
      </c>
      <c r="AA307" t="str">
        <f t="shared" ca="1" si="41"/>
        <v/>
      </c>
      <c r="AB307" s="24" t="str">
        <f t="shared" ca="1" si="42"/>
        <v/>
      </c>
      <c r="AC307" s="24" t="str">
        <f t="shared" ca="1" si="43"/>
        <v/>
      </c>
    </row>
    <row r="308" spans="3:29" x14ac:dyDescent="0.25">
      <c r="C308" s="6">
        <v>301</v>
      </c>
      <c r="D308" s="37">
        <v>42433</v>
      </c>
      <c r="E308" s="39">
        <v>13.254</v>
      </c>
      <c r="F308" s="39">
        <v>2.304002216103866</v>
      </c>
      <c r="G308" s="39">
        <v>37.532898500972649</v>
      </c>
      <c r="H308" s="39">
        <v>37.822926553381379</v>
      </c>
      <c r="I308" s="10">
        <v>0</v>
      </c>
      <c r="J308" s="40">
        <v>0</v>
      </c>
      <c r="K308" s="40">
        <v>1</v>
      </c>
      <c r="L308" s="40">
        <v>0</v>
      </c>
      <c r="M308" s="40">
        <v>0</v>
      </c>
      <c r="N308" s="40">
        <v>0</v>
      </c>
      <c r="O308" s="40">
        <v>0</v>
      </c>
      <c r="P308" s="40">
        <v>0</v>
      </c>
      <c r="Q308" s="40">
        <v>0</v>
      </c>
      <c r="R308" s="40">
        <v>0</v>
      </c>
      <c r="S308" s="40">
        <v>0</v>
      </c>
      <c r="T308" s="29">
        <f t="array" aca="1" ref="T308" ca="1">+fair_value_gap(OFFSET(S307,0,0,-1*$I$5,-1*$Z$1),OFFSET(E307,0,0,-1*$I$5,1),F308:S308,0)</f>
        <v>13.402956192089151</v>
      </c>
      <c r="U308" s="9" t="str" cm="1">
        <f t="array" aca="1" ref="U308" ca="1">z_score_diff(OFFSET(T308,0,0,$I$5*-1,1),OFFSET(E308,0,0,$I$5*-1,1))</f>
        <v/>
      </c>
      <c r="V308" s="9" t="str">
        <f t="shared" ca="1" si="39"/>
        <v/>
      </c>
      <c r="W308" s="17">
        <f t="shared" ca="1" si="36"/>
        <v>0.17590040176093161</v>
      </c>
      <c r="X308" s="13">
        <f t="shared" ca="1" si="37"/>
        <v>0</v>
      </c>
      <c r="Y308" s="13">
        <f t="shared" ca="1" si="38"/>
        <v>0</v>
      </c>
      <c r="Z308" t="str">
        <f t="shared" ca="1" si="40"/>
        <v/>
      </c>
      <c r="AA308" t="str">
        <f t="shared" ca="1" si="41"/>
        <v/>
      </c>
      <c r="AB308" s="24" t="str">
        <f t="shared" ca="1" si="42"/>
        <v/>
      </c>
      <c r="AC308" s="24" t="str">
        <f t="shared" ca="1" si="43"/>
        <v/>
      </c>
    </row>
    <row r="309" spans="3:29" x14ac:dyDescent="0.25">
      <c r="C309" s="6">
        <v>302</v>
      </c>
      <c r="D309" s="37">
        <v>42436</v>
      </c>
      <c r="E309" s="39">
        <v>13.377000000000001</v>
      </c>
      <c r="F309" s="39">
        <v>2.3028056469261795</v>
      </c>
      <c r="G309" s="39">
        <v>37.861518281267912</v>
      </c>
      <c r="H309" s="39">
        <v>38.823282269194252</v>
      </c>
      <c r="I309" s="10">
        <v>0</v>
      </c>
      <c r="J309" s="40">
        <v>0</v>
      </c>
      <c r="K309" s="40">
        <v>1</v>
      </c>
      <c r="L309" s="40">
        <v>0</v>
      </c>
      <c r="M309" s="40">
        <v>0</v>
      </c>
      <c r="N309" s="40">
        <v>0</v>
      </c>
      <c r="O309" s="40">
        <v>0</v>
      </c>
      <c r="P309" s="40">
        <v>0</v>
      </c>
      <c r="Q309" s="40">
        <v>0</v>
      </c>
      <c r="R309" s="40">
        <v>0</v>
      </c>
      <c r="S309" s="40">
        <v>0</v>
      </c>
      <c r="T309" s="29">
        <f t="array" aca="1" ref="T309" ca="1">+fair_value_gap(OFFSET(S308,0,0,-1*$I$5,-1*$Z$1),OFFSET(E308,0,0,-1*$I$5,1),F309:S309,0)</f>
        <v>13.551457382887985</v>
      </c>
      <c r="U309" s="9" t="str" cm="1">
        <f t="array" aca="1" ref="U309" ca="1">z_score_diff(OFFSET(T309,0,0,$I$5*-1,1),OFFSET(E309,0,0,$I$5*-1,1))</f>
        <v/>
      </c>
      <c r="V309" s="9" t="str">
        <f t="shared" ca="1" si="39"/>
        <v/>
      </c>
      <c r="W309" s="17">
        <f t="shared" ca="1" si="36"/>
        <v>0.17992652533699277</v>
      </c>
      <c r="X309" s="13">
        <f t="shared" ca="1" si="37"/>
        <v>0</v>
      </c>
      <c r="Y309" s="13">
        <f t="shared" ca="1" si="38"/>
        <v>0</v>
      </c>
      <c r="Z309" t="str">
        <f t="shared" ca="1" si="40"/>
        <v/>
      </c>
      <c r="AA309" t="str">
        <f t="shared" ca="1" si="41"/>
        <v/>
      </c>
      <c r="AB309" s="24" t="str">
        <f t="shared" ca="1" si="42"/>
        <v/>
      </c>
      <c r="AC309" s="24" t="str">
        <f t="shared" ca="1" si="43"/>
        <v/>
      </c>
    </row>
    <row r="310" spans="3:29" x14ac:dyDescent="0.25">
      <c r="C310" s="6">
        <v>303</v>
      </c>
      <c r="D310" s="37">
        <v>42437</v>
      </c>
      <c r="E310" s="39">
        <v>13.435</v>
      </c>
      <c r="F310" s="39">
        <v>2.3134025489166969</v>
      </c>
      <c r="G310" s="39">
        <v>38.051499071573907</v>
      </c>
      <c r="H310" s="39">
        <v>38.497504988690523</v>
      </c>
      <c r="I310" s="10">
        <v>0</v>
      </c>
      <c r="J310" s="40">
        <v>0</v>
      </c>
      <c r="K310" s="40">
        <v>1</v>
      </c>
      <c r="L310" s="40">
        <v>0</v>
      </c>
      <c r="M310" s="40">
        <v>0</v>
      </c>
      <c r="N310" s="40">
        <v>0</v>
      </c>
      <c r="O310" s="40">
        <v>0</v>
      </c>
      <c r="P310" s="40">
        <v>0</v>
      </c>
      <c r="Q310" s="40">
        <v>0</v>
      </c>
      <c r="R310" s="40">
        <v>0</v>
      </c>
      <c r="S310" s="40">
        <v>0</v>
      </c>
      <c r="T310" s="29">
        <f t="array" aca="1" ref="T310" ca="1">+fair_value_gap(OFFSET(S309,0,0,-1*$I$5,-1*$Z$1),OFFSET(E309,0,0,-1*$I$5,1),F310:S310,0)</f>
        <v>13.558884312232724</v>
      </c>
      <c r="U310" s="9" t="str" cm="1">
        <f t="array" aca="1" ref="U310" ca="1">z_score_diff(OFFSET(T310,0,0,$I$5*-1,1),OFFSET(E310,0,0,$I$5*-1,1))</f>
        <v/>
      </c>
      <c r="V310" s="9" t="str">
        <f t="shared" ca="1" si="39"/>
        <v/>
      </c>
      <c r="W310" s="17">
        <f t="shared" ca="1" si="36"/>
        <v>0.10825175440024506</v>
      </c>
      <c r="X310" s="13">
        <f t="shared" ca="1" si="37"/>
        <v>0</v>
      </c>
      <c r="Y310" s="13">
        <f t="shared" ca="1" si="38"/>
        <v>0</v>
      </c>
      <c r="Z310" t="str">
        <f t="shared" ca="1" si="40"/>
        <v/>
      </c>
      <c r="AA310" t="str">
        <f t="shared" ca="1" si="41"/>
        <v/>
      </c>
      <c r="AB310" s="24" t="str">
        <f t="shared" ca="1" si="42"/>
        <v/>
      </c>
      <c r="AC310" s="24" t="str">
        <f t="shared" ca="1" si="43"/>
        <v/>
      </c>
    </row>
    <row r="311" spans="3:29" x14ac:dyDescent="0.25">
      <c r="C311" s="6">
        <v>304</v>
      </c>
      <c r="D311" s="37">
        <v>42438</v>
      </c>
      <c r="E311" s="39">
        <v>13.55</v>
      </c>
      <c r="F311" s="39">
        <v>2.3337699531558735</v>
      </c>
      <c r="G311" s="39">
        <v>38.348862757863039</v>
      </c>
      <c r="H311" s="39">
        <v>39.873010234664655</v>
      </c>
      <c r="I311" s="10">
        <v>0</v>
      </c>
      <c r="J311" s="40">
        <v>0</v>
      </c>
      <c r="K311" s="40">
        <v>1</v>
      </c>
      <c r="L311" s="40">
        <v>0</v>
      </c>
      <c r="M311" s="40">
        <v>0</v>
      </c>
      <c r="N311" s="40">
        <v>0</v>
      </c>
      <c r="O311" s="40">
        <v>0</v>
      </c>
      <c r="P311" s="40">
        <v>0</v>
      </c>
      <c r="Q311" s="40">
        <v>0</v>
      </c>
      <c r="R311" s="40">
        <v>0</v>
      </c>
      <c r="S311" s="40">
        <v>0</v>
      </c>
      <c r="T311" s="29">
        <f t="array" aca="1" ref="T311" ca="1">+fair_value_gap(OFFSET(S310,0,0,-1*$I$5,-1*$Z$1),OFFSET(E310,0,0,-1*$I$5,1),F311:S311,0)</f>
        <v>13.738408329164798</v>
      </c>
      <c r="U311" s="9" t="str" cm="1">
        <f t="array" aca="1" ref="U311" ca="1">z_score_diff(OFFSET(T311,0,0,$I$5*-1,1),OFFSET(E311,0,0,$I$5*-1,1))</f>
        <v/>
      </c>
      <c r="V311" s="9" t="str">
        <f t="shared" ca="1" si="39"/>
        <v/>
      </c>
      <c r="W311" s="17">
        <f t="shared" ca="1" si="36"/>
        <v>0.14529769079656149</v>
      </c>
      <c r="X311" s="13">
        <f t="shared" ca="1" si="37"/>
        <v>0</v>
      </c>
      <c r="Y311" s="13">
        <f t="shared" ca="1" si="38"/>
        <v>0</v>
      </c>
      <c r="Z311" t="str">
        <f t="shared" ca="1" si="40"/>
        <v/>
      </c>
      <c r="AA311" t="str">
        <f t="shared" ca="1" si="41"/>
        <v/>
      </c>
      <c r="AB311" s="24" t="str">
        <f t="shared" ca="1" si="42"/>
        <v/>
      </c>
      <c r="AC311" s="24" t="str">
        <f t="shared" ca="1" si="43"/>
        <v/>
      </c>
    </row>
    <row r="312" spans="3:29" x14ac:dyDescent="0.25">
      <c r="C312" s="6">
        <v>305</v>
      </c>
      <c r="D312" s="37">
        <v>42439</v>
      </c>
      <c r="E312" s="39">
        <v>13.358000000000001</v>
      </c>
      <c r="F312" s="39">
        <v>2.3473890873967163</v>
      </c>
      <c r="G312" s="39">
        <v>37.461755433463573</v>
      </c>
      <c r="H312" s="39">
        <v>39.721008038692105</v>
      </c>
      <c r="I312" s="10">
        <v>0</v>
      </c>
      <c r="J312" s="40">
        <v>0</v>
      </c>
      <c r="K312" s="40">
        <v>1</v>
      </c>
      <c r="L312" s="40">
        <v>0</v>
      </c>
      <c r="M312" s="40">
        <v>0</v>
      </c>
      <c r="N312" s="40">
        <v>0</v>
      </c>
      <c r="O312" s="40">
        <v>0</v>
      </c>
      <c r="P312" s="40">
        <v>0</v>
      </c>
      <c r="Q312" s="40">
        <v>0</v>
      </c>
      <c r="R312" s="40">
        <v>0</v>
      </c>
      <c r="S312" s="40">
        <v>0</v>
      </c>
      <c r="T312" s="29">
        <f t="array" aca="1" ref="T312" ca="1">+fair_value_gap(OFFSET(S311,0,0,-1*$I$5,-1*$Z$1),OFFSET(E311,0,0,-1*$I$5,1),F312:S312,0)</f>
        <v>13.45088809725257</v>
      </c>
      <c r="U312" s="9" t="str" cm="1">
        <f t="array" aca="1" ref="U312" ca="1">z_score_diff(OFFSET(T312,0,0,$I$5*-1,1),OFFSET(E312,0,0,$I$5*-1,1))</f>
        <v/>
      </c>
      <c r="V312" s="9" t="str">
        <f t="shared" ca="1" si="39"/>
        <v/>
      </c>
      <c r="W312" s="17">
        <f t="shared" ca="1" si="36"/>
        <v>0.12025871627882019</v>
      </c>
      <c r="X312" s="13">
        <f t="shared" ca="1" si="37"/>
        <v>0</v>
      </c>
      <c r="Y312" s="13">
        <f t="shared" ca="1" si="38"/>
        <v>0</v>
      </c>
      <c r="Z312" t="str">
        <f t="shared" ca="1" si="40"/>
        <v/>
      </c>
      <c r="AA312" t="str">
        <f t="shared" ca="1" si="41"/>
        <v/>
      </c>
      <c r="AB312" s="24" t="str">
        <f t="shared" ca="1" si="42"/>
        <v/>
      </c>
      <c r="AC312" s="24" t="str">
        <f t="shared" ca="1" si="43"/>
        <v/>
      </c>
    </row>
    <row r="313" spans="3:29" x14ac:dyDescent="0.25">
      <c r="C313" s="6">
        <v>306</v>
      </c>
      <c r="D313" s="37">
        <v>42440</v>
      </c>
      <c r="E313" s="39">
        <v>13.397</v>
      </c>
      <c r="F313" s="39">
        <v>2.3548410569957454</v>
      </c>
      <c r="G313" s="39">
        <v>37.924235325784039</v>
      </c>
      <c r="H313" s="39">
        <v>39.671093756164368</v>
      </c>
      <c r="I313" s="10">
        <v>0</v>
      </c>
      <c r="J313" s="40">
        <v>0</v>
      </c>
      <c r="K313" s="40">
        <v>1</v>
      </c>
      <c r="L313" s="40">
        <v>0</v>
      </c>
      <c r="M313" s="40">
        <v>0</v>
      </c>
      <c r="N313" s="40">
        <v>0</v>
      </c>
      <c r="O313" s="40">
        <v>0</v>
      </c>
      <c r="P313" s="40">
        <v>0</v>
      </c>
      <c r="Q313" s="40">
        <v>0</v>
      </c>
      <c r="R313" s="40">
        <v>0</v>
      </c>
      <c r="S313" s="40">
        <v>0</v>
      </c>
      <c r="T313" s="29">
        <f t="array" aca="1" ref="T313" ca="1">+fair_value_gap(OFFSET(S312,0,0,-1*$I$5,-1*$Z$1),OFFSET(E312,0,0,-1*$I$5,1),F313:S313,0)</f>
        <v>13.560924245898658</v>
      </c>
      <c r="U313" s="9" t="str" cm="1">
        <f t="array" aca="1" ref="U313" ca="1">z_score_diff(OFFSET(T313,0,0,$I$5*-1,1),OFFSET(E313,0,0,$I$5*-1,1))</f>
        <v/>
      </c>
      <c r="V313" s="9" t="str">
        <f t="shared" ca="1" si="39"/>
        <v/>
      </c>
      <c r="W313" s="17">
        <f t="shared" ca="1" si="36"/>
        <v>0.11521698335084848</v>
      </c>
      <c r="X313" s="13">
        <f t="shared" ca="1" si="37"/>
        <v>0</v>
      </c>
      <c r="Y313" s="13">
        <f t="shared" ca="1" si="38"/>
        <v>0</v>
      </c>
      <c r="Z313" t="str">
        <f t="shared" ca="1" si="40"/>
        <v/>
      </c>
      <c r="AA313" t="str">
        <f t="shared" ca="1" si="41"/>
        <v/>
      </c>
      <c r="AB313" s="24" t="str">
        <f t="shared" ca="1" si="42"/>
        <v/>
      </c>
      <c r="AC313" s="24" t="str">
        <f t="shared" ca="1" si="43"/>
        <v/>
      </c>
    </row>
    <row r="314" spans="3:29" x14ac:dyDescent="0.25">
      <c r="C314" s="6">
        <v>307</v>
      </c>
      <c r="D314" s="37">
        <v>42443</v>
      </c>
      <c r="E314" s="39">
        <v>13.279</v>
      </c>
      <c r="F314" s="39">
        <v>2.3549097313958609</v>
      </c>
      <c r="G314" s="39">
        <v>37.38474200343159</v>
      </c>
      <c r="H314" s="39">
        <v>39.409951563188024</v>
      </c>
      <c r="I314" s="10">
        <v>0</v>
      </c>
      <c r="J314" s="40">
        <v>0</v>
      </c>
      <c r="K314" s="40">
        <v>1</v>
      </c>
      <c r="L314" s="40">
        <v>0</v>
      </c>
      <c r="M314" s="40">
        <v>0</v>
      </c>
      <c r="N314" s="40">
        <v>0</v>
      </c>
      <c r="O314" s="40">
        <v>0</v>
      </c>
      <c r="P314" s="40">
        <v>0</v>
      </c>
      <c r="Q314" s="40">
        <v>0</v>
      </c>
      <c r="R314" s="40">
        <v>0</v>
      </c>
      <c r="S314" s="40">
        <v>0</v>
      </c>
      <c r="T314" s="29">
        <f t="array" aca="1" ref="T314" ca="1">+fair_value_gap(OFFSET(S313,0,0,-1*$I$5,-1*$Z$1),OFFSET(E313,0,0,-1*$I$5,1),F314:S314,0)</f>
        <v>13.364778264469603</v>
      </c>
      <c r="U314" s="9" t="str" cm="1">
        <f t="array" aca="1" ref="U314" ca="1">z_score_diff(OFFSET(T314,0,0,$I$5*-1,1),OFFSET(E314,0,0,$I$5*-1,1))</f>
        <v/>
      </c>
      <c r="V314" s="9" t="str">
        <f t="shared" ca="1" si="39"/>
        <v/>
      </c>
      <c r="W314" s="17">
        <f t="shared" ca="1" si="36"/>
        <v>0.14675407660179862</v>
      </c>
      <c r="X314" s="13">
        <f t="shared" ca="1" si="37"/>
        <v>0</v>
      </c>
      <c r="Y314" s="13">
        <f t="shared" ca="1" si="38"/>
        <v>0</v>
      </c>
      <c r="Z314" t="str">
        <f t="shared" ca="1" si="40"/>
        <v/>
      </c>
      <c r="AA314" t="str">
        <f t="shared" ca="1" si="41"/>
        <v/>
      </c>
      <c r="AB314" s="24" t="str">
        <f t="shared" ca="1" si="42"/>
        <v/>
      </c>
      <c r="AC314" s="24" t="str">
        <f t="shared" ca="1" si="43"/>
        <v/>
      </c>
    </row>
    <row r="315" spans="3:29" x14ac:dyDescent="0.25">
      <c r="C315" s="6">
        <v>308</v>
      </c>
      <c r="D315" s="37">
        <v>42444</v>
      </c>
      <c r="E315" s="39">
        <v>13.19</v>
      </c>
      <c r="F315" s="39">
        <v>2.3480353129027574</v>
      </c>
      <c r="G315" s="39">
        <v>37.1431151060372</v>
      </c>
      <c r="H315" s="39">
        <v>38.576751019402742</v>
      </c>
      <c r="I315" s="10">
        <v>0</v>
      </c>
      <c r="J315" s="40">
        <v>0</v>
      </c>
      <c r="K315" s="40">
        <v>1</v>
      </c>
      <c r="L315" s="40">
        <v>0</v>
      </c>
      <c r="M315" s="40">
        <v>0</v>
      </c>
      <c r="N315" s="40">
        <v>0</v>
      </c>
      <c r="O315" s="40">
        <v>0</v>
      </c>
      <c r="P315" s="40">
        <v>0</v>
      </c>
      <c r="Q315" s="40">
        <v>0</v>
      </c>
      <c r="R315" s="40">
        <v>0</v>
      </c>
      <c r="S315" s="40">
        <v>0</v>
      </c>
      <c r="T315" s="29">
        <f t="array" aca="1" ref="T315" ca="1">+fair_value_gap(OFFSET(S314,0,0,-1*$I$5,-1*$Z$1),OFFSET(E314,0,0,-1*$I$5,1),F315:S315,0)</f>
        <v>13.21526966748028</v>
      </c>
      <c r="U315" s="9" t="str" cm="1">
        <f t="array" aca="1" ref="U315" ca="1">z_score_diff(OFFSET(T315,0,0,$I$5*-1,1),OFFSET(E315,0,0,$I$5*-1,1))</f>
        <v/>
      </c>
      <c r="V315" s="9" t="str">
        <f t="shared" ca="1" si="39"/>
        <v/>
      </c>
      <c r="W315" s="17">
        <f t="shared" ca="1" si="36"/>
        <v>0.17381950697605836</v>
      </c>
      <c r="X315" s="13">
        <f t="shared" ca="1" si="37"/>
        <v>0</v>
      </c>
      <c r="Y315" s="13">
        <f t="shared" ca="1" si="38"/>
        <v>0</v>
      </c>
      <c r="Z315" t="str">
        <f t="shared" ca="1" si="40"/>
        <v/>
      </c>
      <c r="AA315" t="str">
        <f t="shared" ca="1" si="41"/>
        <v/>
      </c>
      <c r="AB315" s="24" t="str">
        <f t="shared" ca="1" si="42"/>
        <v/>
      </c>
      <c r="AC315" s="24" t="str">
        <f t="shared" ca="1" si="43"/>
        <v/>
      </c>
    </row>
    <row r="316" spans="3:29" x14ac:dyDescent="0.25">
      <c r="C316" s="6">
        <v>309</v>
      </c>
      <c r="D316" s="37">
        <v>42445</v>
      </c>
      <c r="E316" s="39">
        <v>13.186</v>
      </c>
      <c r="F316" s="39">
        <v>2.343088934444105</v>
      </c>
      <c r="G316" s="39">
        <v>37.101088273580203</v>
      </c>
      <c r="H316" s="39">
        <v>38.295459501897327</v>
      </c>
      <c r="I316" s="10">
        <v>0</v>
      </c>
      <c r="J316" s="40">
        <v>0</v>
      </c>
      <c r="K316" s="40">
        <v>1</v>
      </c>
      <c r="L316" s="40">
        <v>0</v>
      </c>
      <c r="M316" s="40">
        <v>0</v>
      </c>
      <c r="N316" s="40">
        <v>0</v>
      </c>
      <c r="O316" s="40">
        <v>0</v>
      </c>
      <c r="P316" s="40">
        <v>0</v>
      </c>
      <c r="Q316" s="40">
        <v>0</v>
      </c>
      <c r="R316" s="40">
        <v>0</v>
      </c>
      <c r="S316" s="40">
        <v>0</v>
      </c>
      <c r="T316" s="29">
        <f t="array" aca="1" ref="T316" ca="1">+fair_value_gap(OFFSET(S315,0,0,-1*$I$5,-1*$Z$1),OFFSET(E315,0,0,-1*$I$5,1),F316:S316,0)</f>
        <v>13.177098488022267</v>
      </c>
      <c r="U316" s="9" t="str" cm="1">
        <f t="array" aca="1" ref="U316" ca="1">z_score_diff(OFFSET(T316,0,0,$I$5*-1,1),OFFSET(E316,0,0,$I$5*-1,1))</f>
        <v/>
      </c>
      <c r="V316" s="9" t="str">
        <f t="shared" ca="1" si="39"/>
        <v/>
      </c>
      <c r="W316" s="17">
        <f t="shared" ca="1" si="36"/>
        <v>0.16387550930634764</v>
      </c>
      <c r="X316" s="13">
        <f t="shared" ca="1" si="37"/>
        <v>0</v>
      </c>
      <c r="Y316" s="13">
        <f t="shared" ca="1" si="38"/>
        <v>0</v>
      </c>
      <c r="Z316" t="str">
        <f t="shared" ca="1" si="40"/>
        <v/>
      </c>
      <c r="AA316" t="str">
        <f t="shared" ca="1" si="41"/>
        <v/>
      </c>
      <c r="AB316" s="24" t="str">
        <f t="shared" ca="1" si="42"/>
        <v/>
      </c>
      <c r="AC316" s="24" t="str">
        <f t="shared" ca="1" si="43"/>
        <v/>
      </c>
    </row>
    <row r="317" spans="3:29" x14ac:dyDescent="0.25">
      <c r="C317" s="6">
        <v>310</v>
      </c>
      <c r="D317" s="37">
        <v>42446</v>
      </c>
      <c r="E317" s="39">
        <v>13.301</v>
      </c>
      <c r="F317" s="39">
        <v>2.3353916495044214</v>
      </c>
      <c r="G317" s="39">
        <v>37.698062825906241</v>
      </c>
      <c r="H317" s="39">
        <v>38.663706197350976</v>
      </c>
      <c r="I317" s="10">
        <v>0</v>
      </c>
      <c r="J317" s="40">
        <v>0</v>
      </c>
      <c r="K317" s="40">
        <v>1</v>
      </c>
      <c r="L317" s="40">
        <v>0</v>
      </c>
      <c r="M317" s="40">
        <v>0</v>
      </c>
      <c r="N317" s="40">
        <v>0</v>
      </c>
      <c r="O317" s="40">
        <v>0</v>
      </c>
      <c r="P317" s="40">
        <v>0</v>
      </c>
      <c r="Q317" s="40">
        <v>0</v>
      </c>
      <c r="R317" s="40">
        <v>0</v>
      </c>
      <c r="S317" s="40">
        <v>0</v>
      </c>
      <c r="T317" s="29">
        <f t="array" aca="1" ref="T317" ca="1">+fair_value_gap(OFFSET(S316,0,0,-1*$I$5,-1*$Z$1),OFFSET(E316,0,0,-1*$I$5,1),F317:S317,0)</f>
        <v>13.369362160591919</v>
      </c>
      <c r="U317" s="9" t="str" cm="1">
        <f t="array" aca="1" ref="U317" ca="1">z_score_diff(OFFSET(T317,0,0,$I$5*-1,1),OFFSET(E317,0,0,$I$5*-1,1))</f>
        <v/>
      </c>
      <c r="V317" s="9" t="str">
        <f t="shared" ca="1" si="39"/>
        <v/>
      </c>
      <c r="W317" s="17">
        <f t="shared" ca="1" si="36"/>
        <v>0.16703095137494173</v>
      </c>
      <c r="X317" s="13">
        <f t="shared" ca="1" si="37"/>
        <v>0</v>
      </c>
      <c r="Y317" s="13">
        <f t="shared" ca="1" si="38"/>
        <v>0</v>
      </c>
      <c r="Z317" t="str">
        <f t="shared" ca="1" si="40"/>
        <v/>
      </c>
      <c r="AA317" t="str">
        <f t="shared" ca="1" si="41"/>
        <v/>
      </c>
      <c r="AB317" s="24" t="str">
        <f t="shared" ca="1" si="42"/>
        <v/>
      </c>
      <c r="AC317" s="24" t="str">
        <f t="shared" ca="1" si="43"/>
        <v/>
      </c>
    </row>
    <row r="318" spans="3:29" x14ac:dyDescent="0.25">
      <c r="C318" s="6">
        <v>311</v>
      </c>
      <c r="D318" s="37">
        <v>42447</v>
      </c>
      <c r="E318" s="39">
        <v>13.364000000000001</v>
      </c>
      <c r="F318" s="39">
        <v>2.3382263528185532</v>
      </c>
      <c r="G318" s="39">
        <v>38.115117014547756</v>
      </c>
      <c r="H318" s="39">
        <v>39.47711282897594</v>
      </c>
      <c r="I318" s="10">
        <v>0</v>
      </c>
      <c r="J318" s="40">
        <v>0</v>
      </c>
      <c r="K318" s="40">
        <v>1</v>
      </c>
      <c r="L318" s="40">
        <v>0</v>
      </c>
      <c r="M318" s="40">
        <v>0</v>
      </c>
      <c r="N318" s="40">
        <v>0</v>
      </c>
      <c r="O318" s="40">
        <v>0</v>
      </c>
      <c r="P318" s="40">
        <v>0</v>
      </c>
      <c r="Q318" s="40">
        <v>0</v>
      </c>
      <c r="R318" s="40">
        <v>0</v>
      </c>
      <c r="S318" s="40">
        <v>0</v>
      </c>
      <c r="T318" s="29">
        <f t="array" aca="1" ref="T318" ca="1">+fair_value_gap(OFFSET(S317,0,0,-1*$I$5,-1*$Z$1),OFFSET(E317,0,0,-1*$I$5,1),F318:S318,0)</f>
        <v>13.54435621918636</v>
      </c>
      <c r="U318" s="9" t="str" cm="1">
        <f t="array" aca="1" ref="U318" ca="1">z_score_diff(OFFSET(T318,0,0,$I$5*-1,1),OFFSET(E318,0,0,$I$5*-1,1))</f>
        <v/>
      </c>
      <c r="V318" s="9" t="str">
        <f t="shared" ca="1" si="39"/>
        <v/>
      </c>
      <c r="W318" s="17">
        <f t="shared" ca="1" si="36"/>
        <v>0.15905589130907463</v>
      </c>
      <c r="X318" s="13">
        <f t="shared" ca="1" si="37"/>
        <v>0</v>
      </c>
      <c r="Y318" s="13">
        <f t="shared" ca="1" si="38"/>
        <v>0</v>
      </c>
      <c r="Z318" t="str">
        <f t="shared" ca="1" si="40"/>
        <v/>
      </c>
      <c r="AA318" t="str">
        <f t="shared" ca="1" si="41"/>
        <v/>
      </c>
      <c r="AB318" s="24" t="str">
        <f t="shared" ca="1" si="42"/>
        <v/>
      </c>
      <c r="AC318" s="24" t="str">
        <f t="shared" ca="1" si="43"/>
        <v/>
      </c>
    </row>
    <row r="319" spans="3:29" x14ac:dyDescent="0.25">
      <c r="C319" s="6">
        <v>312</v>
      </c>
      <c r="D319" s="37">
        <v>42450</v>
      </c>
      <c r="E319" s="39">
        <v>13.228999999999999</v>
      </c>
      <c r="F319" s="39">
        <v>2.3283018802234472</v>
      </c>
      <c r="G319" s="39">
        <v>37.629587520861655</v>
      </c>
      <c r="H319" s="39">
        <v>39.515852471829724</v>
      </c>
      <c r="I319" s="10">
        <v>0</v>
      </c>
      <c r="J319" s="40">
        <v>0</v>
      </c>
      <c r="K319" s="40">
        <v>1</v>
      </c>
      <c r="L319" s="40">
        <v>0</v>
      </c>
      <c r="M319" s="40">
        <v>0</v>
      </c>
      <c r="N319" s="40">
        <v>0</v>
      </c>
      <c r="O319" s="40">
        <v>0</v>
      </c>
      <c r="P319" s="40">
        <v>0</v>
      </c>
      <c r="Q319" s="40">
        <v>0</v>
      </c>
      <c r="R319" s="40">
        <v>0</v>
      </c>
      <c r="S319" s="40">
        <v>0</v>
      </c>
      <c r="T319" s="29">
        <f t="array" aca="1" ref="T319" ca="1">+fair_value_gap(OFFSET(S318,0,0,-1*$I$5,-1*$Z$1),OFFSET(E318,0,0,-1*$I$5,1),F319:S319,0)</f>
        <v>13.397478060895313</v>
      </c>
      <c r="U319" s="9" t="str" cm="1">
        <f t="array" aca="1" ref="U319" ca="1">z_score_diff(OFFSET(T319,0,0,$I$5*-1,1),OFFSET(E319,0,0,$I$5*-1,1))</f>
        <v/>
      </c>
      <c r="V319" s="9" t="str">
        <f t="shared" ca="1" si="39"/>
        <v/>
      </c>
      <c r="W319" s="17">
        <f t="shared" ca="1" si="36"/>
        <v>0.17829451084776518</v>
      </c>
      <c r="X319" s="13">
        <f t="shared" ca="1" si="37"/>
        <v>0</v>
      </c>
      <c r="Y319" s="13">
        <f t="shared" ca="1" si="38"/>
        <v>0</v>
      </c>
      <c r="Z319" t="str">
        <f t="shared" ca="1" si="40"/>
        <v/>
      </c>
      <c r="AA319" t="str">
        <f t="shared" ca="1" si="41"/>
        <v/>
      </c>
      <c r="AB319" s="24" t="str">
        <f t="shared" ca="1" si="42"/>
        <v/>
      </c>
      <c r="AC319" s="24" t="str">
        <f t="shared" ca="1" si="43"/>
        <v/>
      </c>
    </row>
    <row r="320" spans="3:29" x14ac:dyDescent="0.25">
      <c r="C320" s="6">
        <v>313</v>
      </c>
      <c r="D320" s="37">
        <v>42451</v>
      </c>
      <c r="E320" s="39">
        <v>13.218999999999999</v>
      </c>
      <c r="F320" s="39">
        <v>2.3521370621128086</v>
      </c>
      <c r="G320" s="39">
        <v>37.569476732228352</v>
      </c>
      <c r="H320" s="39">
        <v>39.144163857993</v>
      </c>
      <c r="I320" s="10">
        <v>0</v>
      </c>
      <c r="J320" s="40">
        <v>0</v>
      </c>
      <c r="K320" s="40">
        <v>1</v>
      </c>
      <c r="L320" s="40">
        <v>0</v>
      </c>
      <c r="M320" s="40">
        <v>0</v>
      </c>
      <c r="N320" s="40">
        <v>0</v>
      </c>
      <c r="O320" s="40">
        <v>0</v>
      </c>
      <c r="P320" s="40">
        <v>0</v>
      </c>
      <c r="Q320" s="40">
        <v>0</v>
      </c>
      <c r="R320" s="40">
        <v>0</v>
      </c>
      <c r="S320" s="40">
        <v>0</v>
      </c>
      <c r="T320" s="29">
        <f t="array" aca="1" ref="T320" ca="1">+fair_value_gap(OFFSET(S319,0,0,-1*$I$5,-1*$Z$1),OFFSET(E319,0,0,-1*$I$5,1),F320:S320,0)</f>
        <v>13.339928935233003</v>
      </c>
      <c r="U320" s="9" t="str" cm="1">
        <f t="array" aca="1" ref="U320" ca="1">z_score_diff(OFFSET(T320,0,0,$I$5*-1,1),OFFSET(E320,0,0,$I$5*-1,1))</f>
        <v/>
      </c>
      <c r="V320" s="9" t="str">
        <f t="shared" ca="1" si="39"/>
        <v/>
      </c>
      <c r="W320" s="17">
        <f t="shared" ca="1" si="36"/>
        <v>0.17015668194381642</v>
      </c>
      <c r="X320" s="13">
        <f t="shared" ca="1" si="37"/>
        <v>0</v>
      </c>
      <c r="Y320" s="13">
        <f t="shared" ca="1" si="38"/>
        <v>0</v>
      </c>
      <c r="Z320" t="str">
        <f t="shared" ca="1" si="40"/>
        <v/>
      </c>
      <c r="AA320" t="str">
        <f t="shared" ca="1" si="41"/>
        <v/>
      </c>
      <c r="AB320" s="24" t="str">
        <f t="shared" ca="1" si="42"/>
        <v/>
      </c>
      <c r="AC320" s="24" t="str">
        <f t="shared" ca="1" si="43"/>
        <v/>
      </c>
    </row>
    <row r="321" spans="3:29" x14ac:dyDescent="0.25">
      <c r="C321" s="6">
        <v>314</v>
      </c>
      <c r="D321" s="37">
        <v>42452</v>
      </c>
      <c r="E321" s="39">
        <v>13.228</v>
      </c>
      <c r="F321" s="39">
        <v>2.3619262392671549</v>
      </c>
      <c r="G321" s="39">
        <v>37.456069275087117</v>
      </c>
      <c r="H321" s="39">
        <v>39.350846721667395</v>
      </c>
      <c r="I321" s="10">
        <v>0</v>
      </c>
      <c r="J321" s="40">
        <v>0</v>
      </c>
      <c r="K321" s="40">
        <v>1</v>
      </c>
      <c r="L321" s="40">
        <v>0</v>
      </c>
      <c r="M321" s="40">
        <v>0</v>
      </c>
      <c r="N321" s="40">
        <v>0</v>
      </c>
      <c r="O321" s="40">
        <v>0</v>
      </c>
      <c r="P321" s="40">
        <v>0</v>
      </c>
      <c r="Q321" s="40">
        <v>0</v>
      </c>
      <c r="R321" s="40">
        <v>0</v>
      </c>
      <c r="S321" s="40">
        <v>0</v>
      </c>
      <c r="T321" s="29">
        <f t="array" aca="1" ref="T321" ca="1">+fair_value_gap(OFFSET(S320,0,0,-1*$I$5,-1*$Z$1),OFFSET(E320,0,0,-1*$I$5,1),F321:S321,0)</f>
        <v>13.322184985945643</v>
      </c>
      <c r="U321" s="9" t="str" cm="1">
        <f t="array" aca="1" ref="U321" ca="1">z_score_diff(OFFSET(T321,0,0,$I$5*-1,1),OFFSET(E321,0,0,$I$5*-1,1))</f>
        <v/>
      </c>
      <c r="V321" s="9" t="str">
        <f t="shared" ca="1" si="39"/>
        <v/>
      </c>
      <c r="W321" s="17">
        <f t="shared" ca="1" si="36"/>
        <v>0.16621634929199361</v>
      </c>
      <c r="X321" s="13">
        <f t="shared" ca="1" si="37"/>
        <v>0</v>
      </c>
      <c r="Y321" s="13">
        <f t="shared" ca="1" si="38"/>
        <v>0</v>
      </c>
      <c r="Z321" t="str">
        <f t="shared" ca="1" si="40"/>
        <v/>
      </c>
      <c r="AA321" t="str">
        <f t="shared" ca="1" si="41"/>
        <v/>
      </c>
      <c r="AB321" s="24" t="str">
        <f t="shared" ca="1" si="42"/>
        <v/>
      </c>
      <c r="AC321" s="24" t="str">
        <f t="shared" ca="1" si="43"/>
        <v/>
      </c>
    </row>
    <row r="322" spans="3:29" x14ac:dyDescent="0.25">
      <c r="C322" s="6">
        <v>315</v>
      </c>
      <c r="D322" s="37">
        <v>42453</v>
      </c>
      <c r="E322" s="39">
        <v>13.252000000000001</v>
      </c>
      <c r="F322" s="39">
        <v>2.384691749701914</v>
      </c>
      <c r="G322" s="39">
        <v>37.595344863071368</v>
      </c>
      <c r="H322" s="39">
        <v>39.788634370026429</v>
      </c>
      <c r="I322" s="10">
        <v>0</v>
      </c>
      <c r="J322" s="40">
        <v>0</v>
      </c>
      <c r="K322" s="40">
        <v>1</v>
      </c>
      <c r="L322" s="40">
        <v>0</v>
      </c>
      <c r="M322" s="40">
        <v>0</v>
      </c>
      <c r="N322" s="40">
        <v>0</v>
      </c>
      <c r="O322" s="40">
        <v>0</v>
      </c>
      <c r="P322" s="40">
        <v>0</v>
      </c>
      <c r="Q322" s="40">
        <v>0</v>
      </c>
      <c r="R322" s="40">
        <v>0</v>
      </c>
      <c r="S322" s="40">
        <v>0</v>
      </c>
      <c r="T322" s="29">
        <f t="array" aca="1" ref="T322" ca="1">+fair_value_gap(OFFSET(S321,0,0,-1*$I$5,-1*$Z$1),OFFSET(E321,0,0,-1*$I$5,1),F322:S322,0)</f>
        <v>13.397774820850726</v>
      </c>
      <c r="U322" s="9" t="str" cm="1">
        <f t="array" aca="1" ref="U322" ca="1">z_score_diff(OFFSET(T322,0,0,$I$5*-1,1),OFFSET(E322,0,0,$I$5*-1,1))</f>
        <v/>
      </c>
      <c r="V322" s="9" t="str">
        <f t="shared" ca="1" si="39"/>
        <v/>
      </c>
      <c r="W322" s="17">
        <f t="shared" ca="1" si="36"/>
        <v>0.17977782722347849</v>
      </c>
      <c r="X322" s="13">
        <f t="shared" ca="1" si="37"/>
        <v>0</v>
      </c>
      <c r="Y322" s="13">
        <f t="shared" ca="1" si="38"/>
        <v>0</v>
      </c>
      <c r="Z322" t="str">
        <f t="shared" ca="1" si="40"/>
        <v/>
      </c>
      <c r="AA322" t="str">
        <f t="shared" ca="1" si="41"/>
        <v/>
      </c>
      <c r="AB322" s="24" t="str">
        <f t="shared" ca="1" si="42"/>
        <v/>
      </c>
      <c r="AC322" s="24" t="str">
        <f t="shared" ca="1" si="43"/>
        <v/>
      </c>
    </row>
    <row r="323" spans="3:29" x14ac:dyDescent="0.25">
      <c r="C323" s="6">
        <v>316</v>
      </c>
      <c r="D323" s="37">
        <v>42458</v>
      </c>
      <c r="E323" s="39">
        <v>13.1</v>
      </c>
      <c r="F323" s="39">
        <v>2.4108923770705055</v>
      </c>
      <c r="G323" s="39">
        <v>37.430445101177604</v>
      </c>
      <c r="H323" s="39">
        <v>39.068597693174915</v>
      </c>
      <c r="I323" s="10">
        <v>0</v>
      </c>
      <c r="J323" s="40">
        <v>0</v>
      </c>
      <c r="K323" s="40">
        <v>1</v>
      </c>
      <c r="L323" s="40">
        <v>0</v>
      </c>
      <c r="M323" s="40">
        <v>0</v>
      </c>
      <c r="N323" s="40">
        <v>0</v>
      </c>
      <c r="O323" s="40">
        <v>0</v>
      </c>
      <c r="P323" s="40">
        <v>0</v>
      </c>
      <c r="Q323" s="40">
        <v>0</v>
      </c>
      <c r="R323" s="40">
        <v>0</v>
      </c>
      <c r="S323" s="40">
        <v>0</v>
      </c>
      <c r="T323" s="29">
        <f t="array" aca="1" ref="T323" ca="1">+fair_value_gap(OFFSET(S322,0,0,-1*$I$5,-1*$Z$1),OFFSET(E322,0,0,-1*$I$5,1),F323:S323,0)</f>
        <v>13.298268058908034</v>
      </c>
      <c r="U323" s="9" t="str" cm="1">
        <f t="array" aca="1" ref="U323" ca="1">z_score_diff(OFFSET(T323,0,0,$I$5*-1,1),OFFSET(E323,0,0,$I$5*-1,1))</f>
        <v/>
      </c>
      <c r="V323" s="9" t="str">
        <f t="shared" ca="1" si="39"/>
        <v/>
      </c>
      <c r="W323" s="17">
        <f t="shared" ca="1" si="36"/>
        <v>0.19778659595963941</v>
      </c>
      <c r="X323" s="13">
        <f t="shared" ca="1" si="37"/>
        <v>0</v>
      </c>
      <c r="Y323" s="13">
        <f t="shared" ca="1" si="38"/>
        <v>0</v>
      </c>
      <c r="Z323" t="str">
        <f t="shared" ca="1" si="40"/>
        <v/>
      </c>
      <c r="AA323" t="str">
        <f t="shared" ca="1" si="41"/>
        <v/>
      </c>
      <c r="AB323" s="24" t="str">
        <f t="shared" ca="1" si="42"/>
        <v/>
      </c>
      <c r="AC323" s="24" t="str">
        <f t="shared" ca="1" si="43"/>
        <v/>
      </c>
    </row>
    <row r="324" spans="3:29" x14ac:dyDescent="0.25">
      <c r="C324" s="6">
        <v>317</v>
      </c>
      <c r="D324" s="37">
        <v>42459</v>
      </c>
      <c r="E324" s="39">
        <v>13.121</v>
      </c>
      <c r="F324" s="39">
        <v>2.4184214916249842</v>
      </c>
      <c r="G324" s="39">
        <v>37.370466725311474</v>
      </c>
      <c r="H324" s="39">
        <v>39.500308136977047</v>
      </c>
      <c r="I324" s="10">
        <v>0</v>
      </c>
      <c r="J324" s="40">
        <v>0</v>
      </c>
      <c r="K324" s="40">
        <v>1</v>
      </c>
      <c r="L324" s="40">
        <v>0</v>
      </c>
      <c r="M324" s="40">
        <v>0</v>
      </c>
      <c r="N324" s="40">
        <v>0</v>
      </c>
      <c r="O324" s="40">
        <v>0</v>
      </c>
      <c r="P324" s="40">
        <v>0</v>
      </c>
      <c r="Q324" s="40">
        <v>0</v>
      </c>
      <c r="R324" s="40">
        <v>0</v>
      </c>
      <c r="S324" s="40">
        <v>0</v>
      </c>
      <c r="T324" s="29">
        <f t="array" aca="1" ref="T324" ca="1">+fair_value_gap(OFFSET(S323,0,0,-1*$I$5,-1*$Z$1),OFFSET(E323,0,0,-1*$I$5,1),F324:S324,0)</f>
        <v>13.306642778913957</v>
      </c>
      <c r="U324" s="9" t="str" cm="1">
        <f t="array" aca="1" ref="U324" ca="1">z_score_diff(OFFSET(T324,0,0,$I$5*-1,1),OFFSET(E324,0,0,$I$5*-1,1))</f>
        <v/>
      </c>
      <c r="V324" s="9" t="str">
        <f t="shared" ca="1" si="39"/>
        <v/>
      </c>
      <c r="W324" s="17">
        <f t="shared" ca="1" si="36"/>
        <v>0.19260812722186549</v>
      </c>
      <c r="X324" s="13">
        <f t="shared" ca="1" si="37"/>
        <v>0</v>
      </c>
      <c r="Y324" s="13">
        <f t="shared" ca="1" si="38"/>
        <v>0</v>
      </c>
      <c r="Z324" t="str">
        <f t="shared" ca="1" si="40"/>
        <v/>
      </c>
      <c r="AA324" t="str">
        <f t="shared" ca="1" si="41"/>
        <v/>
      </c>
      <c r="AB324" s="24" t="str">
        <f t="shared" ca="1" si="42"/>
        <v/>
      </c>
      <c r="AC324" s="24" t="str">
        <f t="shared" ca="1" si="43"/>
        <v/>
      </c>
    </row>
    <row r="325" spans="3:29" x14ac:dyDescent="0.25">
      <c r="C325" s="6">
        <v>318</v>
      </c>
      <c r="D325" s="37">
        <v>42460</v>
      </c>
      <c r="E325" s="39">
        <v>13.564</v>
      </c>
      <c r="F325" s="39">
        <v>2.368536335774452</v>
      </c>
      <c r="G325" s="39">
        <v>38.579527876038576</v>
      </c>
      <c r="H325" s="39">
        <v>39.719459264531594</v>
      </c>
      <c r="I325" s="10">
        <v>0</v>
      </c>
      <c r="J325" s="40">
        <v>0</v>
      </c>
      <c r="K325" s="40">
        <v>1</v>
      </c>
      <c r="L325" s="40">
        <v>0</v>
      </c>
      <c r="M325" s="40">
        <v>0</v>
      </c>
      <c r="N325" s="40">
        <v>0</v>
      </c>
      <c r="O325" s="40">
        <v>0</v>
      </c>
      <c r="P325" s="40">
        <v>0</v>
      </c>
      <c r="Q325" s="40">
        <v>0</v>
      </c>
      <c r="R325" s="40">
        <v>0</v>
      </c>
      <c r="S325" s="40">
        <v>0</v>
      </c>
      <c r="T325" s="29">
        <f t="array" aca="1" ref="T325" ca="1">+fair_value_gap(OFFSET(S324,0,0,-1*$I$5,-1*$Z$1),OFFSET(E324,0,0,-1*$I$5,1),F325:S325,0)</f>
        <v>13.623595289919834</v>
      </c>
      <c r="U325" s="9" t="str" cm="1">
        <f t="array" aca="1" ref="U325" ca="1">z_score_diff(OFFSET(T325,0,0,$I$5*-1,1),OFFSET(E325,0,0,$I$5*-1,1))</f>
        <v/>
      </c>
      <c r="V325" s="9" t="str">
        <f t="shared" ca="1" si="39"/>
        <v/>
      </c>
      <c r="W325" s="17">
        <f t="shared" ca="1" si="36"/>
        <v>0.13734855977398072</v>
      </c>
      <c r="X325" s="13">
        <f t="shared" ca="1" si="37"/>
        <v>0</v>
      </c>
      <c r="Y325" s="13">
        <f t="shared" ca="1" si="38"/>
        <v>0</v>
      </c>
      <c r="Z325" t="str">
        <f t="shared" ca="1" si="40"/>
        <v/>
      </c>
      <c r="AA325" t="str">
        <f t="shared" ca="1" si="41"/>
        <v/>
      </c>
      <c r="AB325" s="24" t="str">
        <f t="shared" ca="1" si="42"/>
        <v/>
      </c>
      <c r="AC325" s="24" t="str">
        <f t="shared" ca="1" si="43"/>
        <v/>
      </c>
    </row>
    <row r="326" spans="3:29" x14ac:dyDescent="0.25">
      <c r="C326" s="6">
        <v>319</v>
      </c>
      <c r="D326" s="37">
        <v>42461</v>
      </c>
      <c r="E326" s="39">
        <v>13.439</v>
      </c>
      <c r="F326" s="39">
        <v>2.3648793911510513</v>
      </c>
      <c r="G326" s="39">
        <v>38.08677632048515</v>
      </c>
      <c r="H326" s="39">
        <v>39.042008857548268</v>
      </c>
      <c r="I326" s="10">
        <v>0</v>
      </c>
      <c r="J326" s="40">
        <v>0</v>
      </c>
      <c r="K326" s="40">
        <v>0</v>
      </c>
      <c r="L326" s="40">
        <v>1</v>
      </c>
      <c r="M326" s="40">
        <v>0</v>
      </c>
      <c r="N326" s="40">
        <v>0</v>
      </c>
      <c r="O326" s="40">
        <v>0</v>
      </c>
      <c r="P326" s="40">
        <v>0</v>
      </c>
      <c r="Q326" s="40">
        <v>0</v>
      </c>
      <c r="R326" s="40">
        <v>0</v>
      </c>
      <c r="S326" s="40">
        <v>0</v>
      </c>
      <c r="T326" s="29">
        <f t="array" aca="1" ref="T326" ca="1">+fair_value_gap(OFFSET(S325,0,0,-1*$I$5,-1*$Z$1),OFFSET(E325,0,0,-1*$I$5,1),F326:S326,0)</f>
        <v>13.997773858513996</v>
      </c>
      <c r="U326" s="9" t="str" cm="1">
        <f t="array" aca="1" ref="U326" ca="1">z_score_diff(OFFSET(T326,0,0,$I$5*-1,1),OFFSET(E326,0,0,$I$5*-1,1))</f>
        <v/>
      </c>
      <c r="V326" s="9" t="str">
        <f t="shared" ca="1" si="39"/>
        <v/>
      </c>
      <c r="W326" s="17">
        <f t="shared" ca="1" si="36"/>
        <v>0.14757034050497148</v>
      </c>
      <c r="X326" s="13">
        <f t="shared" ca="1" si="37"/>
        <v>0</v>
      </c>
      <c r="Y326" s="13">
        <f t="shared" ca="1" si="38"/>
        <v>0</v>
      </c>
      <c r="Z326" t="str">
        <f t="shared" ca="1" si="40"/>
        <v/>
      </c>
      <c r="AA326" t="str">
        <f t="shared" ca="1" si="41"/>
        <v/>
      </c>
      <c r="AB326" s="24" t="str">
        <f t="shared" ca="1" si="42"/>
        <v/>
      </c>
      <c r="AC326" s="24" t="str">
        <f t="shared" ca="1" si="43"/>
        <v/>
      </c>
    </row>
    <row r="327" spans="3:29" x14ac:dyDescent="0.25">
      <c r="C327" s="6">
        <v>320</v>
      </c>
      <c r="D327" s="37">
        <v>42464</v>
      </c>
      <c r="E327" s="39">
        <v>13.365</v>
      </c>
      <c r="F327" s="39">
        <v>2.377750106633278</v>
      </c>
      <c r="G327" s="39">
        <v>37.712952388939179</v>
      </c>
      <c r="H327" s="39">
        <v>38.783555084687464</v>
      </c>
      <c r="I327" s="10">
        <v>0</v>
      </c>
      <c r="J327" s="40">
        <v>0</v>
      </c>
      <c r="K327" s="40">
        <v>0</v>
      </c>
      <c r="L327" s="40">
        <v>1</v>
      </c>
      <c r="M327" s="40">
        <v>0</v>
      </c>
      <c r="N327" s="40">
        <v>0</v>
      </c>
      <c r="O327" s="40">
        <v>0</v>
      </c>
      <c r="P327" s="40">
        <v>0</v>
      </c>
      <c r="Q327" s="40">
        <v>0</v>
      </c>
      <c r="R327" s="40">
        <v>0</v>
      </c>
      <c r="S327" s="40">
        <v>0</v>
      </c>
      <c r="T327" s="29">
        <f t="array" aca="1" ref="T327" ca="1">+fair_value_gap(OFFSET(S326,0,0,-1*$I$5,-1*$Z$1),OFFSET(E326,0,0,-1*$I$5,1),F327:S327,0)</f>
        <v>13.603186262283897</v>
      </c>
      <c r="U327" s="9" t="str" cm="1">
        <f t="array" aca="1" ref="U327" ca="1">z_score_diff(OFFSET(T327,0,0,$I$5*-1,1),OFFSET(E327,0,0,$I$5*-1,1))</f>
        <v/>
      </c>
      <c r="V327" s="9" t="str">
        <f t="shared" ca="1" si="39"/>
        <v/>
      </c>
      <c r="W327" s="17">
        <f t="shared" ref="W327:W390" ca="1" si="44">+LN(OFFSET(E327,$W$3,0,1,1)/E327)</f>
        <v>0.13860640911451647</v>
      </c>
      <c r="X327" s="13">
        <f t="shared" ca="1" si="37"/>
        <v>0</v>
      </c>
      <c r="Y327" s="13">
        <f t="shared" ca="1" si="38"/>
        <v>0</v>
      </c>
      <c r="Z327" t="str">
        <f t="shared" ca="1" si="40"/>
        <v/>
      </c>
      <c r="AA327" t="str">
        <f t="shared" ca="1" si="41"/>
        <v/>
      </c>
      <c r="AB327" s="24" t="str">
        <f t="shared" ca="1" si="42"/>
        <v/>
      </c>
      <c r="AC327" s="24" t="str">
        <f t="shared" ca="1" si="43"/>
        <v/>
      </c>
    </row>
    <row r="328" spans="3:29" x14ac:dyDescent="0.25">
      <c r="C328" s="6">
        <v>321</v>
      </c>
      <c r="D328" s="37">
        <v>42465</v>
      </c>
      <c r="E328" s="39">
        <v>13.286</v>
      </c>
      <c r="F328" s="39">
        <v>2.3703086565324636</v>
      </c>
      <c r="G328" s="39">
        <v>37.37357765283145</v>
      </c>
      <c r="H328" s="39">
        <v>38.816601455923788</v>
      </c>
      <c r="I328" s="10">
        <v>0</v>
      </c>
      <c r="J328" s="40">
        <v>0</v>
      </c>
      <c r="K328" s="40">
        <v>0</v>
      </c>
      <c r="L328" s="40">
        <v>1</v>
      </c>
      <c r="M328" s="40">
        <v>0</v>
      </c>
      <c r="N328" s="40">
        <v>0</v>
      </c>
      <c r="O328" s="40">
        <v>0</v>
      </c>
      <c r="P328" s="40">
        <v>0</v>
      </c>
      <c r="Q328" s="40">
        <v>0</v>
      </c>
      <c r="R328" s="40">
        <v>0</v>
      </c>
      <c r="S328" s="40">
        <v>0</v>
      </c>
      <c r="T328" s="29">
        <f t="array" aca="1" ref="T328" ca="1">+fair_value_gap(OFFSET(S327,0,0,-1*$I$5,-1*$Z$1),OFFSET(E327,0,0,-1*$I$5,1),F328:S328,0)</f>
        <v>13.424832232962393</v>
      </c>
      <c r="U328" s="9" t="str" cm="1">
        <f t="array" aca="1" ref="U328" ca="1">z_score_diff(OFFSET(T328,0,0,$I$5*-1,1),OFFSET(E328,0,0,$I$5*-1,1))</f>
        <v/>
      </c>
      <c r="V328" s="9" t="str">
        <f t="shared" ca="1" si="39"/>
        <v/>
      </c>
      <c r="W328" s="17">
        <f t="shared" ca="1" si="44"/>
        <v>0.14453490946234937</v>
      </c>
      <c r="X328" s="13">
        <f t="shared" ca="1" si="37"/>
        <v>0</v>
      </c>
      <c r="Y328" s="13">
        <f t="shared" ca="1" si="38"/>
        <v>0</v>
      </c>
      <c r="Z328" t="str">
        <f t="shared" ca="1" si="40"/>
        <v/>
      </c>
      <c r="AA328" t="str">
        <f t="shared" ca="1" si="41"/>
        <v/>
      </c>
      <c r="AB328" s="24" t="str">
        <f t="shared" ca="1" si="42"/>
        <v/>
      </c>
      <c r="AC328" s="24" t="str">
        <f t="shared" ca="1" si="43"/>
        <v/>
      </c>
    </row>
    <row r="329" spans="3:29" x14ac:dyDescent="0.25">
      <c r="C329" s="6">
        <v>322</v>
      </c>
      <c r="D329" s="37">
        <v>42466</v>
      </c>
      <c r="E329" s="39">
        <v>13.393000000000001</v>
      </c>
      <c r="F329" s="39">
        <v>2.3639707146048874</v>
      </c>
      <c r="G329" s="39">
        <v>37.836670080103893</v>
      </c>
      <c r="H329" s="39">
        <v>38.797992644278686</v>
      </c>
      <c r="I329" s="10">
        <v>0</v>
      </c>
      <c r="J329" s="40">
        <v>0</v>
      </c>
      <c r="K329" s="40">
        <v>0</v>
      </c>
      <c r="L329" s="40">
        <v>1</v>
      </c>
      <c r="M329" s="40">
        <v>0</v>
      </c>
      <c r="N329" s="40">
        <v>0</v>
      </c>
      <c r="O329" s="40">
        <v>0</v>
      </c>
      <c r="P329" s="40">
        <v>0</v>
      </c>
      <c r="Q329" s="40">
        <v>0</v>
      </c>
      <c r="R329" s="40">
        <v>0</v>
      </c>
      <c r="S329" s="40">
        <v>0</v>
      </c>
      <c r="T329" s="29">
        <f t="array" aca="1" ref="T329" ca="1">+fair_value_gap(OFFSET(S328,0,0,-1*$I$5,-1*$Z$1),OFFSET(E328,0,0,-1*$I$5,1),F329:S329,0)</f>
        <v>13.519346893812294</v>
      </c>
      <c r="U329" s="9" t="str" cm="1">
        <f t="array" aca="1" ref="U329" ca="1">z_score_diff(OFFSET(T329,0,0,$I$5*-1,1),OFFSET(E329,0,0,$I$5*-1,1))</f>
        <v/>
      </c>
      <c r="V329" s="9" t="str">
        <f t="shared" ca="1" si="39"/>
        <v/>
      </c>
      <c r="W329" s="17">
        <f t="shared" ca="1" si="44"/>
        <v>0.15317955212235557</v>
      </c>
      <c r="X329" s="13">
        <f t="shared" ref="X329:X392" ca="1" si="45">+X328</f>
        <v>0</v>
      </c>
      <c r="Y329" s="13">
        <f t="shared" ref="Y329:Y392" ca="1" si="46">+Y328</f>
        <v>0</v>
      </c>
      <c r="Z329" t="str">
        <f t="shared" ca="1" si="40"/>
        <v/>
      </c>
      <c r="AA329" t="str">
        <f t="shared" ca="1" si="41"/>
        <v/>
      </c>
      <c r="AB329" s="24" t="str">
        <f t="shared" ca="1" si="42"/>
        <v/>
      </c>
      <c r="AC329" s="24" t="str">
        <f t="shared" ca="1" si="43"/>
        <v/>
      </c>
    </row>
    <row r="330" spans="3:29" x14ac:dyDescent="0.25">
      <c r="C330" s="6">
        <v>323</v>
      </c>
      <c r="D330" s="37">
        <v>42467</v>
      </c>
      <c r="E330" s="39">
        <v>13.24</v>
      </c>
      <c r="F330" s="39">
        <v>2.3927052216461848</v>
      </c>
      <c r="G330" s="39">
        <v>37.244038578880506</v>
      </c>
      <c r="H330" s="39">
        <v>37.824904296099206</v>
      </c>
      <c r="I330" s="10">
        <v>0</v>
      </c>
      <c r="J330" s="40">
        <v>0</v>
      </c>
      <c r="K330" s="40">
        <v>0</v>
      </c>
      <c r="L330" s="40">
        <v>1</v>
      </c>
      <c r="M330" s="40">
        <v>0</v>
      </c>
      <c r="N330" s="40">
        <v>0</v>
      </c>
      <c r="O330" s="40">
        <v>0</v>
      </c>
      <c r="P330" s="40">
        <v>0</v>
      </c>
      <c r="Q330" s="40">
        <v>0</v>
      </c>
      <c r="R330" s="40">
        <v>0</v>
      </c>
      <c r="S330" s="40">
        <v>0</v>
      </c>
      <c r="T330" s="29">
        <f t="array" aca="1" ref="T330" ca="1">+fair_value_gap(OFFSET(S329,0,0,-1*$I$5,-1*$Z$1),OFFSET(E329,0,0,-1*$I$5,1),F330:S330,0)</f>
        <v>13.250453376186886</v>
      </c>
      <c r="U330" s="9" t="str" cm="1">
        <f t="array" aca="1" ref="U330" ca="1">z_score_diff(OFFSET(T330,0,0,$I$5*-1,1),OFFSET(E330,0,0,$I$5*-1,1))</f>
        <v/>
      </c>
      <c r="V330" s="9" t="str">
        <f t="shared" ca="1" si="39"/>
        <v/>
      </c>
      <c r="W330" s="17">
        <f t="shared" ca="1" si="44"/>
        <v>0.17137311974066877</v>
      </c>
      <c r="X330" s="13">
        <f t="shared" ca="1" si="45"/>
        <v>0</v>
      </c>
      <c r="Y330" s="13">
        <f t="shared" ca="1" si="46"/>
        <v>0</v>
      </c>
      <c r="Z330" t="str">
        <f t="shared" ca="1" si="40"/>
        <v/>
      </c>
      <c r="AA330" t="str">
        <f t="shared" ca="1" si="41"/>
        <v/>
      </c>
      <c r="AB330" s="24" t="str">
        <f t="shared" ca="1" si="42"/>
        <v/>
      </c>
      <c r="AC330" s="24" t="str">
        <f t="shared" ca="1" si="43"/>
        <v/>
      </c>
    </row>
    <row r="331" spans="3:29" x14ac:dyDescent="0.25">
      <c r="C331" s="6">
        <v>324</v>
      </c>
      <c r="D331" s="37">
        <v>42468</v>
      </c>
      <c r="E331" s="39">
        <v>13.39</v>
      </c>
      <c r="F331" s="39">
        <v>2.395981488722644</v>
      </c>
      <c r="G331" s="39">
        <v>37.926489969248792</v>
      </c>
      <c r="H331" s="39">
        <v>38.371798232233168</v>
      </c>
      <c r="I331" s="10">
        <v>0</v>
      </c>
      <c r="J331" s="40">
        <v>0</v>
      </c>
      <c r="K331" s="40">
        <v>0</v>
      </c>
      <c r="L331" s="40">
        <v>1</v>
      </c>
      <c r="M331" s="40">
        <v>0</v>
      </c>
      <c r="N331" s="40">
        <v>0</v>
      </c>
      <c r="O331" s="40">
        <v>0</v>
      </c>
      <c r="P331" s="40">
        <v>0</v>
      </c>
      <c r="Q331" s="40">
        <v>0</v>
      </c>
      <c r="R331" s="40">
        <v>0</v>
      </c>
      <c r="S331" s="40">
        <v>0</v>
      </c>
      <c r="T331" s="29">
        <f t="array" aca="1" ref="T331" ca="1">+fair_value_gap(OFFSET(S330,0,0,-1*$I$5,-1*$Z$1),OFFSET(E330,0,0,-1*$I$5,1),F331:S331,0)</f>
        <v>13.48277531693393</v>
      </c>
      <c r="U331" s="9" t="str" cm="1">
        <f t="array" aca="1" ref="U331" ca="1">z_score_diff(OFFSET(T331,0,0,$I$5*-1,1),OFFSET(E331,0,0,$I$5*-1,1))</f>
        <v/>
      </c>
      <c r="V331" s="9" t="str">
        <f t="shared" ref="V331:V394" ca="1" si="47">+IF(ISERROR(AVERAGE(OFFSET(U331,0,0,$V$5*-1,1))),"",AVERAGE(OFFSET(U331,0,0,$V$5*-1,1)))</f>
        <v/>
      </c>
      <c r="W331" s="17">
        <f t="shared" ca="1" si="44"/>
        <v>0.17225110421314227</v>
      </c>
      <c r="X331" s="13">
        <f t="shared" ca="1" si="45"/>
        <v>0</v>
      </c>
      <c r="Y331" s="13">
        <f t="shared" ca="1" si="46"/>
        <v>0</v>
      </c>
      <c r="Z331" t="str">
        <f t="shared" ref="Z331:Z394" ca="1" si="48">+IF(V331="","",IF(V331&lt;X331,1,0))</f>
        <v/>
      </c>
      <c r="AA331" t="str">
        <f t="shared" ref="AA331:AA394" ca="1" si="49">+IF(V331="","",IF(V331&gt;Y331,1,0))</f>
        <v/>
      </c>
      <c r="AB331" s="24" t="str">
        <f t="shared" ref="AB331:AB394" ca="1" si="50">+IF(ISERROR(Z331*W331),"",Z331*W331)</f>
        <v/>
      </c>
      <c r="AC331" s="24" t="str">
        <f t="shared" ref="AC331:AC394" ca="1" si="51">+IF(ISERROR(AA331*W331),"",AA331*W331)</f>
        <v/>
      </c>
    </row>
    <row r="332" spans="3:29" x14ac:dyDescent="0.25">
      <c r="C332" s="6">
        <v>325</v>
      </c>
      <c r="D332" s="37">
        <v>42471</v>
      </c>
      <c r="E332" s="39">
        <v>13.461</v>
      </c>
      <c r="F332" s="39">
        <v>2.3843676186386085</v>
      </c>
      <c r="G332" s="39">
        <v>38.061296519020807</v>
      </c>
      <c r="H332" s="39">
        <v>38.780330684990332</v>
      </c>
      <c r="I332" s="10">
        <v>0</v>
      </c>
      <c r="J332" s="40">
        <v>0</v>
      </c>
      <c r="K332" s="40">
        <v>0</v>
      </c>
      <c r="L332" s="40">
        <v>1</v>
      </c>
      <c r="M332" s="40">
        <v>0</v>
      </c>
      <c r="N332" s="40">
        <v>0</v>
      </c>
      <c r="O332" s="40">
        <v>0</v>
      </c>
      <c r="P332" s="40">
        <v>0</v>
      </c>
      <c r="Q332" s="40">
        <v>0</v>
      </c>
      <c r="R332" s="40">
        <v>0</v>
      </c>
      <c r="S332" s="40">
        <v>0</v>
      </c>
      <c r="T332" s="29">
        <f t="array" aca="1" ref="T332" ca="1">+fair_value_gap(OFFSET(S331,0,0,-1*$I$5,-1*$Z$1),OFFSET(E331,0,0,-1*$I$5,1),F332:S332,0)</f>
        <v>13.533157862833399</v>
      </c>
      <c r="U332" s="9" t="str" cm="1">
        <f t="array" aca="1" ref="U332" ca="1">z_score_diff(OFFSET(T332,0,0,$I$5*-1,1),OFFSET(E332,0,0,$I$5*-1,1))</f>
        <v/>
      </c>
      <c r="V332" s="9" t="str">
        <f t="shared" ca="1" si="47"/>
        <v/>
      </c>
      <c r="W332" s="17">
        <f t="shared" ca="1" si="44"/>
        <v>0.17279210657782529</v>
      </c>
      <c r="X332" s="13">
        <f t="shared" ca="1" si="45"/>
        <v>0</v>
      </c>
      <c r="Y332" s="13">
        <f t="shared" ca="1" si="46"/>
        <v>0</v>
      </c>
      <c r="Z332" t="str">
        <f t="shared" ca="1" si="48"/>
        <v/>
      </c>
      <c r="AA332" t="str">
        <f t="shared" ca="1" si="49"/>
        <v/>
      </c>
      <c r="AB332" s="24" t="str">
        <f t="shared" ca="1" si="50"/>
        <v/>
      </c>
      <c r="AC332" s="24" t="str">
        <f t="shared" ca="1" si="51"/>
        <v/>
      </c>
    </row>
    <row r="333" spans="3:29" x14ac:dyDescent="0.25">
      <c r="C333" s="6">
        <v>326</v>
      </c>
      <c r="D333" s="37">
        <v>42472</v>
      </c>
      <c r="E333" s="39">
        <v>13.568</v>
      </c>
      <c r="F333" s="39">
        <v>2.4079863590454771</v>
      </c>
      <c r="G333" s="39">
        <v>38.418770772114854</v>
      </c>
      <c r="H333" s="39">
        <v>38.842652415470987</v>
      </c>
      <c r="I333" s="10">
        <v>0</v>
      </c>
      <c r="J333" s="40">
        <v>0</v>
      </c>
      <c r="K333" s="40">
        <v>0</v>
      </c>
      <c r="L333" s="40">
        <v>1</v>
      </c>
      <c r="M333" s="40">
        <v>0</v>
      </c>
      <c r="N333" s="40">
        <v>0</v>
      </c>
      <c r="O333" s="40">
        <v>0</v>
      </c>
      <c r="P333" s="40">
        <v>0</v>
      </c>
      <c r="Q333" s="40">
        <v>0</v>
      </c>
      <c r="R333" s="40">
        <v>0</v>
      </c>
      <c r="S333" s="40">
        <v>0</v>
      </c>
      <c r="T333" s="29">
        <f t="array" aca="1" ref="T333" ca="1">+fair_value_gap(OFFSET(S332,0,0,-1*$I$5,-1*$Z$1),OFFSET(E332,0,0,-1*$I$5,1),F333:S333,0)</f>
        <v>13.631845133717778</v>
      </c>
      <c r="U333" s="9" t="str" cm="1">
        <f t="array" aca="1" ref="U333" ca="1">z_score_diff(OFFSET(T333,0,0,$I$5*-1,1),OFFSET(E333,0,0,$I$5*-1,1))</f>
        <v/>
      </c>
      <c r="V333" s="9" t="str">
        <f t="shared" ca="1" si="47"/>
        <v/>
      </c>
      <c r="W333" s="17">
        <f t="shared" ca="1" si="44"/>
        <v>0.19885327522848134</v>
      </c>
      <c r="X333" s="13">
        <f t="shared" ca="1" si="45"/>
        <v>0</v>
      </c>
      <c r="Y333" s="13">
        <f t="shared" ca="1" si="46"/>
        <v>0</v>
      </c>
      <c r="Z333" t="str">
        <f t="shared" ca="1" si="48"/>
        <v/>
      </c>
      <c r="AA333" t="str">
        <f t="shared" ca="1" si="49"/>
        <v/>
      </c>
      <c r="AB333" s="24" t="str">
        <f t="shared" ca="1" si="50"/>
        <v/>
      </c>
      <c r="AC333" s="24" t="str">
        <f t="shared" ca="1" si="51"/>
        <v/>
      </c>
    </row>
    <row r="334" spans="3:29" x14ac:dyDescent="0.25">
      <c r="C334" s="6">
        <v>327</v>
      </c>
      <c r="D334" s="37">
        <v>42473</v>
      </c>
      <c r="E334" s="39">
        <v>13.614000000000001</v>
      </c>
      <c r="F334" s="39">
        <v>2.4329991794488852</v>
      </c>
      <c r="G334" s="39">
        <v>38.605777100933089</v>
      </c>
      <c r="H334" s="39">
        <v>39.811924474565089</v>
      </c>
      <c r="I334" s="10">
        <v>0</v>
      </c>
      <c r="J334" s="40">
        <v>0</v>
      </c>
      <c r="K334" s="40">
        <v>0</v>
      </c>
      <c r="L334" s="40">
        <v>1</v>
      </c>
      <c r="M334" s="40">
        <v>0</v>
      </c>
      <c r="N334" s="40">
        <v>0</v>
      </c>
      <c r="O334" s="40">
        <v>0</v>
      </c>
      <c r="P334" s="40">
        <v>0</v>
      </c>
      <c r="Q334" s="40">
        <v>0</v>
      </c>
      <c r="R334" s="40">
        <v>0</v>
      </c>
      <c r="S334" s="40">
        <v>0</v>
      </c>
      <c r="T334" s="29">
        <f t="array" aca="1" ref="T334" ca="1">+fair_value_gap(OFFSET(S333,0,0,-1*$I$5,-1*$Z$1),OFFSET(E333,0,0,-1*$I$5,1),F334:S334,0)</f>
        <v>13.746072500806978</v>
      </c>
      <c r="U334" s="9" t="str" cm="1">
        <f t="array" aca="1" ref="U334" ca="1">z_score_diff(OFFSET(T334,0,0,$I$5*-1,1),OFFSET(E334,0,0,$I$5*-1,1))</f>
        <v/>
      </c>
      <c r="V334" s="9" t="str">
        <f t="shared" ca="1" si="47"/>
        <v/>
      </c>
      <c r="W334" s="17">
        <f t="shared" ca="1" si="44"/>
        <v>0.18465710649555594</v>
      </c>
      <c r="X334" s="13">
        <f t="shared" ca="1" si="45"/>
        <v>0</v>
      </c>
      <c r="Y334" s="13">
        <f t="shared" ca="1" si="46"/>
        <v>0</v>
      </c>
      <c r="Z334" t="str">
        <f t="shared" ca="1" si="48"/>
        <v/>
      </c>
      <c r="AA334" t="str">
        <f t="shared" ca="1" si="49"/>
        <v/>
      </c>
      <c r="AB334" s="24" t="str">
        <f t="shared" ca="1" si="50"/>
        <v/>
      </c>
      <c r="AC334" s="24" t="str">
        <f t="shared" ca="1" si="51"/>
        <v/>
      </c>
    </row>
    <row r="335" spans="3:29" x14ac:dyDescent="0.25">
      <c r="C335" s="6">
        <v>328</v>
      </c>
      <c r="D335" s="37">
        <v>42474</v>
      </c>
      <c r="E335" s="39">
        <v>13.48</v>
      </c>
      <c r="F335" s="39">
        <v>2.4306080955337683</v>
      </c>
      <c r="G335" s="39">
        <v>38.188802073671738</v>
      </c>
      <c r="H335" s="39">
        <v>40.872479602893421</v>
      </c>
      <c r="I335" s="10">
        <v>0</v>
      </c>
      <c r="J335" s="40">
        <v>0</v>
      </c>
      <c r="K335" s="40">
        <v>0</v>
      </c>
      <c r="L335" s="40">
        <v>1</v>
      </c>
      <c r="M335" s="40">
        <v>0</v>
      </c>
      <c r="N335" s="40">
        <v>0</v>
      </c>
      <c r="O335" s="40">
        <v>0</v>
      </c>
      <c r="P335" s="40">
        <v>0</v>
      </c>
      <c r="Q335" s="40">
        <v>0</v>
      </c>
      <c r="R335" s="40">
        <v>0</v>
      </c>
      <c r="S335" s="40">
        <v>0</v>
      </c>
      <c r="T335" s="29">
        <f t="array" aca="1" ref="T335" ca="1">+fair_value_gap(OFFSET(S334,0,0,-1*$I$5,-1*$Z$1),OFFSET(E334,0,0,-1*$I$5,1),F335:S335,0)</f>
        <v>13.683645307088291</v>
      </c>
      <c r="U335" s="9" t="str" cm="1">
        <f t="array" aca="1" ref="U335" ca="1">z_score_diff(OFFSET(T335,0,0,$I$5*-1,1),OFFSET(E335,0,0,$I$5*-1,1))</f>
        <v/>
      </c>
      <c r="V335" s="9" t="str">
        <f t="shared" ca="1" si="47"/>
        <v/>
      </c>
      <c r="W335" s="17">
        <f t="shared" ca="1" si="44"/>
        <v>0.21653422063632191</v>
      </c>
      <c r="X335" s="13">
        <f t="shared" ca="1" si="45"/>
        <v>0</v>
      </c>
      <c r="Y335" s="13">
        <f t="shared" ca="1" si="46"/>
        <v>0</v>
      </c>
      <c r="Z335" t="str">
        <f t="shared" ca="1" si="48"/>
        <v/>
      </c>
      <c r="AA335" t="str">
        <f t="shared" ca="1" si="49"/>
        <v/>
      </c>
      <c r="AB335" s="24" t="str">
        <f t="shared" ca="1" si="50"/>
        <v/>
      </c>
      <c r="AC335" s="24" t="str">
        <f t="shared" ca="1" si="51"/>
        <v/>
      </c>
    </row>
    <row r="336" spans="3:29" x14ac:dyDescent="0.25">
      <c r="C336" s="6">
        <v>329</v>
      </c>
      <c r="D336" s="37">
        <v>42475</v>
      </c>
      <c r="E336" s="39">
        <v>13.452</v>
      </c>
      <c r="F336" s="39">
        <v>2.4152281000495206</v>
      </c>
      <c r="G336" s="39">
        <v>38.180291826887903</v>
      </c>
      <c r="H336" s="39">
        <v>41.22394724724812</v>
      </c>
      <c r="I336" s="10">
        <v>0</v>
      </c>
      <c r="J336" s="40">
        <v>0</v>
      </c>
      <c r="K336" s="40">
        <v>0</v>
      </c>
      <c r="L336" s="40">
        <v>1</v>
      </c>
      <c r="M336" s="40">
        <v>0</v>
      </c>
      <c r="N336" s="40">
        <v>0</v>
      </c>
      <c r="O336" s="40">
        <v>0</v>
      </c>
      <c r="P336" s="40">
        <v>0</v>
      </c>
      <c r="Q336" s="40">
        <v>0</v>
      </c>
      <c r="R336" s="40">
        <v>0</v>
      </c>
      <c r="S336" s="40">
        <v>0</v>
      </c>
      <c r="T336" s="29">
        <f t="array" aca="1" ref="T336" ca="1">+fair_value_gap(OFFSET(S335,0,0,-1*$I$5,-1*$Z$1),OFFSET(E335,0,0,-1*$I$5,1),F336:S336,0)</f>
        <v>13.676874753466043</v>
      </c>
      <c r="U336" s="9" t="str" cm="1">
        <f t="array" aca="1" ref="U336" ca="1">z_score_diff(OFFSET(T336,0,0,$I$5*-1,1),OFFSET(E336,0,0,$I$5*-1,1))</f>
        <v/>
      </c>
      <c r="V336" s="9" t="str">
        <f t="shared" ca="1" si="47"/>
        <v/>
      </c>
      <c r="W336" s="17">
        <f t="shared" ca="1" si="44"/>
        <v>0.21837454078526666</v>
      </c>
      <c r="X336" s="13">
        <f t="shared" ca="1" si="45"/>
        <v>0</v>
      </c>
      <c r="Y336" s="13">
        <f t="shared" ca="1" si="46"/>
        <v>0</v>
      </c>
      <c r="Z336" t="str">
        <f t="shared" ca="1" si="48"/>
        <v/>
      </c>
      <c r="AA336" t="str">
        <f t="shared" ca="1" si="49"/>
        <v/>
      </c>
      <c r="AB336" s="24" t="str">
        <f t="shared" ca="1" si="50"/>
        <v/>
      </c>
      <c r="AC336" s="24" t="str">
        <f t="shared" ca="1" si="51"/>
        <v/>
      </c>
    </row>
    <row r="337" spans="3:29" x14ac:dyDescent="0.25">
      <c r="C337" s="6">
        <v>330</v>
      </c>
      <c r="D337" s="37">
        <v>42478</v>
      </c>
      <c r="E337" s="39">
        <v>13.45</v>
      </c>
      <c r="F337" s="39">
        <v>2.4463957878693408</v>
      </c>
      <c r="G337" s="39">
        <v>38.007691026555662</v>
      </c>
      <c r="H337" s="39">
        <v>41.653676954518687</v>
      </c>
      <c r="I337" s="10">
        <v>0</v>
      </c>
      <c r="J337" s="40">
        <v>0</v>
      </c>
      <c r="K337" s="40">
        <v>0</v>
      </c>
      <c r="L337" s="40">
        <v>1</v>
      </c>
      <c r="M337" s="40">
        <v>0</v>
      </c>
      <c r="N337" s="40">
        <v>0</v>
      </c>
      <c r="O337" s="40">
        <v>0</v>
      </c>
      <c r="P337" s="40">
        <v>0</v>
      </c>
      <c r="Q337" s="40">
        <v>0</v>
      </c>
      <c r="R337" s="40">
        <v>0</v>
      </c>
      <c r="S337" s="40">
        <v>0</v>
      </c>
      <c r="T337" s="29">
        <f t="array" aca="1" ref="T337" ca="1">+fair_value_gap(OFFSET(S336,0,0,-1*$I$5,-1*$Z$1),OFFSET(E336,0,0,-1*$I$5,1),F337:S337,0)</f>
        <v>13.631957906944674</v>
      </c>
      <c r="U337" s="9" t="str" cm="1">
        <f t="array" aca="1" ref="U337" ca="1">z_score_diff(OFFSET(T337,0,0,$I$5*-1,1),OFFSET(E337,0,0,$I$5*-1,1))</f>
        <v/>
      </c>
      <c r="V337" s="9" t="str">
        <f t="shared" ca="1" si="47"/>
        <v/>
      </c>
      <c r="W337" s="17">
        <f t="shared" ca="1" si="44"/>
        <v>0.24848515083704018</v>
      </c>
      <c r="X337" s="13">
        <f t="shared" ca="1" si="45"/>
        <v>0</v>
      </c>
      <c r="Y337" s="13">
        <f t="shared" ca="1" si="46"/>
        <v>0</v>
      </c>
      <c r="Z337" t="str">
        <f t="shared" ca="1" si="48"/>
        <v/>
      </c>
      <c r="AA337" t="str">
        <f t="shared" ca="1" si="49"/>
        <v/>
      </c>
      <c r="AB337" s="24" t="str">
        <f t="shared" ca="1" si="50"/>
        <v/>
      </c>
      <c r="AC337" s="24" t="str">
        <f t="shared" ca="1" si="51"/>
        <v/>
      </c>
    </row>
    <row r="338" spans="3:29" x14ac:dyDescent="0.25">
      <c r="C338" s="6">
        <v>331</v>
      </c>
      <c r="D338" s="37">
        <v>42479</v>
      </c>
      <c r="E338" s="39">
        <v>13.837999999999999</v>
      </c>
      <c r="F338" s="39">
        <v>2.4580104249979313</v>
      </c>
      <c r="G338" s="39">
        <v>38.987935573216227</v>
      </c>
      <c r="H338" s="39">
        <v>41.843059654154828</v>
      </c>
      <c r="I338" s="10">
        <v>0</v>
      </c>
      <c r="J338" s="40">
        <v>0</v>
      </c>
      <c r="K338" s="40">
        <v>0</v>
      </c>
      <c r="L338" s="40">
        <v>1</v>
      </c>
      <c r="M338" s="40">
        <v>0</v>
      </c>
      <c r="N338" s="40">
        <v>0</v>
      </c>
      <c r="O338" s="40">
        <v>0</v>
      </c>
      <c r="P338" s="40">
        <v>0</v>
      </c>
      <c r="Q338" s="40">
        <v>0</v>
      </c>
      <c r="R338" s="40">
        <v>0</v>
      </c>
      <c r="S338" s="40">
        <v>0</v>
      </c>
      <c r="T338" s="29">
        <f t="array" aca="1" ref="T338" ca="1">+fair_value_gap(OFFSET(S337,0,0,-1*$I$5,-1*$Z$1),OFFSET(E337,0,0,-1*$I$5,1),F338:S338,0)</f>
        <v>13.899564280263393</v>
      </c>
      <c r="U338" s="9" t="str" cm="1">
        <f t="array" aca="1" ref="U338" ca="1">z_score_diff(OFFSET(T338,0,0,$I$5*-1,1),OFFSET(E338,0,0,$I$5*-1,1))</f>
        <v/>
      </c>
      <c r="V338" s="9" t="str">
        <f t="shared" ca="1" si="47"/>
        <v/>
      </c>
      <c r="W338" s="17">
        <f t="shared" ca="1" si="44"/>
        <v>0.23598173042833118</v>
      </c>
      <c r="X338" s="13">
        <f t="shared" ca="1" si="45"/>
        <v>0</v>
      </c>
      <c r="Y338" s="13">
        <f t="shared" ca="1" si="46"/>
        <v>0</v>
      </c>
      <c r="Z338" t="str">
        <f t="shared" ca="1" si="48"/>
        <v/>
      </c>
      <c r="AA338" t="str">
        <f t="shared" ca="1" si="49"/>
        <v/>
      </c>
      <c r="AB338" s="24" t="str">
        <f t="shared" ca="1" si="50"/>
        <v/>
      </c>
      <c r="AC338" s="24" t="str">
        <f t="shared" ca="1" si="51"/>
        <v/>
      </c>
    </row>
    <row r="339" spans="3:29" x14ac:dyDescent="0.25">
      <c r="C339" s="6">
        <v>332</v>
      </c>
      <c r="D339" s="37">
        <v>42480</v>
      </c>
      <c r="E339" s="39">
        <v>14.048999999999999</v>
      </c>
      <c r="F339" s="39">
        <v>2.4668623641515004</v>
      </c>
      <c r="G339" s="39">
        <v>39.259464602797614</v>
      </c>
      <c r="H339" s="39">
        <v>42.269270846416156</v>
      </c>
      <c r="I339" s="10">
        <v>0</v>
      </c>
      <c r="J339" s="40">
        <v>0</v>
      </c>
      <c r="K339" s="40">
        <v>0</v>
      </c>
      <c r="L339" s="40">
        <v>1</v>
      </c>
      <c r="M339" s="40">
        <v>0</v>
      </c>
      <c r="N339" s="40">
        <v>0</v>
      </c>
      <c r="O339" s="40">
        <v>0</v>
      </c>
      <c r="P339" s="40">
        <v>0</v>
      </c>
      <c r="Q339" s="40">
        <v>0</v>
      </c>
      <c r="R339" s="40">
        <v>0</v>
      </c>
      <c r="S339" s="40">
        <v>0</v>
      </c>
      <c r="T339" s="29">
        <f t="array" aca="1" ref="T339" ca="1">+fair_value_gap(OFFSET(S338,0,0,-1*$I$5,-1*$Z$1),OFFSET(E338,0,0,-1*$I$5,1),F339:S339,0)</f>
        <v>13.985563335425246</v>
      </c>
      <c r="U339" s="9" t="str" cm="1">
        <f t="array" aca="1" ref="U339" ca="1">z_score_diff(OFFSET(T339,0,0,$I$5*-1,1),OFFSET(E339,0,0,$I$5*-1,1))</f>
        <v/>
      </c>
      <c r="V339" s="9" t="str">
        <f t="shared" ca="1" si="47"/>
        <v/>
      </c>
      <c r="W339" s="17">
        <f t="shared" ca="1" si="44"/>
        <v>0.22067770487138288</v>
      </c>
      <c r="X339" s="13">
        <f t="shared" ca="1" si="45"/>
        <v>0</v>
      </c>
      <c r="Y339" s="13">
        <f t="shared" ca="1" si="46"/>
        <v>0</v>
      </c>
      <c r="Z339" t="str">
        <f t="shared" ca="1" si="48"/>
        <v/>
      </c>
      <c r="AA339" t="str">
        <f t="shared" ca="1" si="49"/>
        <v/>
      </c>
      <c r="AB339" s="24" t="str">
        <f t="shared" ca="1" si="50"/>
        <v/>
      </c>
      <c r="AC339" s="24" t="str">
        <f t="shared" ca="1" si="51"/>
        <v/>
      </c>
    </row>
    <row r="340" spans="3:29" x14ac:dyDescent="0.25">
      <c r="C340" s="6">
        <v>333</v>
      </c>
      <c r="D340" s="37">
        <v>42481</v>
      </c>
      <c r="E340" s="39">
        <v>14.676</v>
      </c>
      <c r="F340" s="39">
        <v>2.5018427784763473</v>
      </c>
      <c r="G340" s="39">
        <v>41.322675162575393</v>
      </c>
      <c r="H340" s="39">
        <v>43.142696093309631</v>
      </c>
      <c r="I340" s="10">
        <v>0</v>
      </c>
      <c r="J340" s="40">
        <v>0</v>
      </c>
      <c r="K340" s="40">
        <v>0</v>
      </c>
      <c r="L340" s="40">
        <v>1</v>
      </c>
      <c r="M340" s="40">
        <v>0</v>
      </c>
      <c r="N340" s="40">
        <v>0</v>
      </c>
      <c r="O340" s="40">
        <v>0</v>
      </c>
      <c r="P340" s="40">
        <v>0</v>
      </c>
      <c r="Q340" s="40">
        <v>0</v>
      </c>
      <c r="R340" s="40">
        <v>0</v>
      </c>
      <c r="S340" s="40">
        <v>0</v>
      </c>
      <c r="T340" s="29">
        <f t="array" aca="1" ref="T340" ca="1">+fair_value_gap(OFFSET(S339,0,0,-1*$I$5,-1*$Z$1),OFFSET(E339,0,0,-1*$I$5,1),F340:S340,0)</f>
        <v>14.658123595348947</v>
      </c>
      <c r="U340" s="9" t="str" cm="1">
        <f t="array" aca="1" ref="U340" ca="1">z_score_diff(OFFSET(T340,0,0,$I$5*-1,1),OFFSET(E340,0,0,$I$5*-1,1))</f>
        <v/>
      </c>
      <c r="V340" s="9" t="str">
        <f t="shared" ca="1" si="47"/>
        <v/>
      </c>
      <c r="W340" s="17">
        <f t="shared" ca="1" si="44"/>
        <v>0.17008427106937757</v>
      </c>
      <c r="X340" s="13">
        <f t="shared" ca="1" si="45"/>
        <v>0</v>
      </c>
      <c r="Y340" s="13">
        <f t="shared" ca="1" si="46"/>
        <v>0</v>
      </c>
      <c r="Z340" t="str">
        <f t="shared" ca="1" si="48"/>
        <v/>
      </c>
      <c r="AA340" t="str">
        <f t="shared" ca="1" si="49"/>
        <v/>
      </c>
      <c r="AB340" s="24" t="str">
        <f t="shared" ca="1" si="50"/>
        <v/>
      </c>
      <c r="AC340" s="24" t="str">
        <f t="shared" ca="1" si="51"/>
        <v/>
      </c>
    </row>
    <row r="341" spans="3:29" x14ac:dyDescent="0.25">
      <c r="C341" s="6">
        <v>334</v>
      </c>
      <c r="D341" s="37">
        <v>42482</v>
      </c>
      <c r="E341" s="39">
        <v>15.24</v>
      </c>
      <c r="F341" s="39">
        <v>2.5400482391322532</v>
      </c>
      <c r="G341" s="39">
        <v>43.173096344172897</v>
      </c>
      <c r="H341" s="39">
        <v>43.089326046343032</v>
      </c>
      <c r="I341" s="10">
        <v>0</v>
      </c>
      <c r="J341" s="40">
        <v>0</v>
      </c>
      <c r="K341" s="40">
        <v>0</v>
      </c>
      <c r="L341" s="40">
        <v>1</v>
      </c>
      <c r="M341" s="40">
        <v>0</v>
      </c>
      <c r="N341" s="40">
        <v>0</v>
      </c>
      <c r="O341" s="40">
        <v>0</v>
      </c>
      <c r="P341" s="40">
        <v>0</v>
      </c>
      <c r="Q341" s="40">
        <v>0</v>
      </c>
      <c r="R341" s="40">
        <v>0</v>
      </c>
      <c r="S341" s="40">
        <v>0</v>
      </c>
      <c r="T341" s="29">
        <f t="array" aca="1" ref="T341" ca="1">+fair_value_gap(OFFSET(S340,0,0,-1*$I$5,-1*$Z$1),OFFSET(E340,0,0,-1*$I$5,1),F341:S341,0)</f>
        <v>15.20700349095374</v>
      </c>
      <c r="U341" s="9" t="str" cm="1">
        <f t="array" aca="1" ref="U341" ca="1">z_score_diff(OFFSET(T341,0,0,$I$5*-1,1),OFFSET(E341,0,0,$I$5*-1,1))</f>
        <v/>
      </c>
      <c r="V341" s="9" t="str">
        <f t="shared" ca="1" si="47"/>
        <v/>
      </c>
      <c r="W341" s="17">
        <f t="shared" ca="1" si="44"/>
        <v>0.11087676918000672</v>
      </c>
      <c r="X341" s="13">
        <f t="shared" ca="1" si="45"/>
        <v>0</v>
      </c>
      <c r="Y341" s="13">
        <f t="shared" ca="1" si="46"/>
        <v>0</v>
      </c>
      <c r="Z341" t="str">
        <f t="shared" ca="1" si="48"/>
        <v/>
      </c>
      <c r="AA341" t="str">
        <f t="shared" ca="1" si="49"/>
        <v/>
      </c>
      <c r="AB341" s="24" t="str">
        <f t="shared" ca="1" si="50"/>
        <v/>
      </c>
      <c r="AC341" s="24" t="str">
        <f t="shared" ca="1" si="51"/>
        <v/>
      </c>
    </row>
    <row r="342" spans="3:29" x14ac:dyDescent="0.25">
      <c r="C342" s="6">
        <v>335</v>
      </c>
      <c r="D342" s="37">
        <v>42485</v>
      </c>
      <c r="E342" s="39">
        <v>15.052</v>
      </c>
      <c r="F342" s="39">
        <v>2.532440660291174</v>
      </c>
      <c r="G342" s="39">
        <v>42.454718966434115</v>
      </c>
      <c r="H342" s="39">
        <v>42.814644256721287</v>
      </c>
      <c r="I342" s="10">
        <v>0</v>
      </c>
      <c r="J342" s="40">
        <v>0</v>
      </c>
      <c r="K342" s="40">
        <v>0</v>
      </c>
      <c r="L342" s="40">
        <v>1</v>
      </c>
      <c r="M342" s="40">
        <v>0</v>
      </c>
      <c r="N342" s="40">
        <v>0</v>
      </c>
      <c r="O342" s="40">
        <v>0</v>
      </c>
      <c r="P342" s="40">
        <v>0</v>
      </c>
      <c r="Q342" s="40">
        <v>0</v>
      </c>
      <c r="R342" s="40">
        <v>0</v>
      </c>
      <c r="S342" s="40">
        <v>0</v>
      </c>
      <c r="T342" s="29">
        <f t="array" aca="1" ref="T342" ca="1">+fair_value_gap(OFFSET(S341,0,0,-1*$I$5,-1*$Z$1),OFFSET(E341,0,0,-1*$I$5,1),F342:S342,0)</f>
        <v>14.981525845828823</v>
      </c>
      <c r="U342" s="9" t="str" cm="1">
        <f t="array" aca="1" ref="U342" ca="1">z_score_diff(OFFSET(T342,0,0,$I$5*-1,1),OFFSET(E342,0,0,$I$5*-1,1))</f>
        <v/>
      </c>
      <c r="V342" s="9" t="str">
        <f t="shared" ca="1" si="47"/>
        <v/>
      </c>
      <c r="W342" s="17">
        <f t="shared" ca="1" si="44"/>
        <v>0.12093747290598308</v>
      </c>
      <c r="X342" s="13">
        <f t="shared" ca="1" si="45"/>
        <v>0</v>
      </c>
      <c r="Y342" s="13">
        <f t="shared" ca="1" si="46"/>
        <v>0</v>
      </c>
      <c r="Z342" t="str">
        <f t="shared" ca="1" si="48"/>
        <v/>
      </c>
      <c r="AA342" t="str">
        <f t="shared" ca="1" si="49"/>
        <v/>
      </c>
      <c r="AB342" s="24" t="str">
        <f t="shared" ca="1" si="50"/>
        <v/>
      </c>
      <c r="AC342" s="24" t="str">
        <f t="shared" ca="1" si="51"/>
        <v/>
      </c>
    </row>
    <row r="343" spans="3:29" x14ac:dyDescent="0.25">
      <c r="C343" s="6">
        <v>336</v>
      </c>
      <c r="D343" s="37">
        <v>42486</v>
      </c>
      <c r="E343" s="39">
        <v>15.803000000000001</v>
      </c>
      <c r="F343" s="39">
        <v>2.5508106419092909</v>
      </c>
      <c r="G343" s="39">
        <v>44.957495768594413</v>
      </c>
      <c r="H343" s="39">
        <v>43.451202654851173</v>
      </c>
      <c r="I343" s="10">
        <v>0</v>
      </c>
      <c r="J343" s="40">
        <v>0</v>
      </c>
      <c r="K343" s="40">
        <v>0</v>
      </c>
      <c r="L343" s="40">
        <v>1</v>
      </c>
      <c r="M343" s="40">
        <v>0</v>
      </c>
      <c r="N343" s="40">
        <v>0</v>
      </c>
      <c r="O343" s="40">
        <v>0</v>
      </c>
      <c r="P343" s="40">
        <v>0</v>
      </c>
      <c r="Q343" s="40">
        <v>0</v>
      </c>
      <c r="R343" s="40">
        <v>0</v>
      </c>
      <c r="S343" s="40">
        <v>0</v>
      </c>
      <c r="T343" s="29">
        <f t="array" aca="1" ref="T343" ca="1">+fair_value_gap(OFFSET(S342,0,0,-1*$I$5,-1*$Z$1),OFFSET(E342,0,0,-1*$I$5,1),F343:S343,0)</f>
        <v>15.756586264265351</v>
      </c>
      <c r="U343" s="9" t="str" cm="1">
        <f t="array" aca="1" ref="U343" ca="1">z_score_diff(OFFSET(T343,0,0,$I$5*-1,1),OFFSET(E343,0,0,$I$5*-1,1))</f>
        <v/>
      </c>
      <c r="V343" s="9" t="str">
        <f t="shared" ca="1" si="47"/>
        <v/>
      </c>
      <c r="W343" s="17">
        <f t="shared" ca="1" si="44"/>
        <v>8.1506790487916897E-2</v>
      </c>
      <c r="X343" s="13">
        <f t="shared" ca="1" si="45"/>
        <v>0</v>
      </c>
      <c r="Y343" s="13">
        <f t="shared" ca="1" si="46"/>
        <v>0</v>
      </c>
      <c r="Z343" t="str">
        <f t="shared" ca="1" si="48"/>
        <v/>
      </c>
      <c r="AA343" t="str">
        <f t="shared" ca="1" si="49"/>
        <v/>
      </c>
      <c r="AB343" s="24" t="str">
        <f t="shared" ca="1" si="50"/>
        <v/>
      </c>
      <c r="AC343" s="24" t="str">
        <f t="shared" ca="1" si="51"/>
        <v/>
      </c>
    </row>
    <row r="344" spans="3:29" x14ac:dyDescent="0.25">
      <c r="C344" s="6">
        <v>337</v>
      </c>
      <c r="D344" s="37">
        <v>42487</v>
      </c>
      <c r="E344" s="39">
        <v>16.013999999999999</v>
      </c>
      <c r="F344" s="39">
        <v>2.573697810887658</v>
      </c>
      <c r="G344" s="39">
        <v>45.402076750347938</v>
      </c>
      <c r="H344" s="39">
        <v>43.471121520365742</v>
      </c>
      <c r="I344" s="10">
        <v>0</v>
      </c>
      <c r="J344" s="40">
        <v>0</v>
      </c>
      <c r="K344" s="40">
        <v>0</v>
      </c>
      <c r="L344" s="40">
        <v>1</v>
      </c>
      <c r="M344" s="40">
        <v>0</v>
      </c>
      <c r="N344" s="40">
        <v>0</v>
      </c>
      <c r="O344" s="40">
        <v>0</v>
      </c>
      <c r="P344" s="40">
        <v>0</v>
      </c>
      <c r="Q344" s="40">
        <v>0</v>
      </c>
      <c r="R344" s="40">
        <v>0</v>
      </c>
      <c r="S344" s="40">
        <v>0</v>
      </c>
      <c r="T344" s="29">
        <f t="array" aca="1" ref="T344" ca="1">+fair_value_gap(OFFSET(S343,0,0,-1*$I$5,-1*$Z$1),OFFSET(E343,0,0,-1*$I$5,1),F344:S344,0)</f>
        <v>15.898106776448794</v>
      </c>
      <c r="U344" s="9" t="str" cm="1">
        <f t="array" aca="1" ref="U344" ca="1">z_score_diff(OFFSET(T344,0,0,$I$5*-1,1),OFFSET(E344,0,0,$I$5*-1,1))</f>
        <v/>
      </c>
      <c r="V344" s="9" t="str">
        <f t="shared" ca="1" si="47"/>
        <v/>
      </c>
      <c r="W344" s="17">
        <f t="shared" ca="1" si="44"/>
        <v>7.510214318396996E-2</v>
      </c>
      <c r="X344" s="13">
        <f t="shared" ca="1" si="45"/>
        <v>0</v>
      </c>
      <c r="Y344" s="13">
        <f t="shared" ca="1" si="46"/>
        <v>0</v>
      </c>
      <c r="Z344" t="str">
        <f t="shared" ca="1" si="48"/>
        <v/>
      </c>
      <c r="AA344" t="str">
        <f t="shared" ca="1" si="49"/>
        <v/>
      </c>
      <c r="AB344" s="24" t="str">
        <f t="shared" ca="1" si="50"/>
        <v/>
      </c>
      <c r="AC344" s="24" t="str">
        <f t="shared" ca="1" si="51"/>
        <v/>
      </c>
    </row>
    <row r="345" spans="3:29" x14ac:dyDescent="0.25">
      <c r="C345" s="6">
        <v>338</v>
      </c>
      <c r="D345" s="37">
        <v>42488</v>
      </c>
      <c r="E345" s="39">
        <v>14.971</v>
      </c>
      <c r="F345" s="39">
        <v>2.6304588698935238</v>
      </c>
      <c r="G345" s="39">
        <v>42.476878473916088</v>
      </c>
      <c r="H345" s="39">
        <v>43.510701909473617</v>
      </c>
      <c r="I345" s="10">
        <v>0</v>
      </c>
      <c r="J345" s="40">
        <v>0</v>
      </c>
      <c r="K345" s="40">
        <v>0</v>
      </c>
      <c r="L345" s="40">
        <v>1</v>
      </c>
      <c r="M345" s="40">
        <v>0</v>
      </c>
      <c r="N345" s="40">
        <v>0</v>
      </c>
      <c r="O345" s="40">
        <v>0</v>
      </c>
      <c r="P345" s="40">
        <v>0</v>
      </c>
      <c r="Q345" s="40">
        <v>0</v>
      </c>
      <c r="R345" s="40">
        <v>0</v>
      </c>
      <c r="S345" s="40">
        <v>0</v>
      </c>
      <c r="T345" s="29">
        <f t="array" aca="1" ref="T345" ca="1">+fair_value_gap(OFFSET(S344,0,0,-1*$I$5,-1*$Z$1),OFFSET(E344,0,0,-1*$I$5,1),F345:S345,0)</f>
        <v>15.074537446691142</v>
      </c>
      <c r="U345" s="9" t="str" cm="1">
        <f t="array" aca="1" ref="U345" ca="1">z_score_diff(OFFSET(T345,0,0,$I$5*-1,1),OFFSET(E345,0,0,$I$5*-1,1))</f>
        <v/>
      </c>
      <c r="V345" s="9" t="str">
        <f t="shared" ca="1" si="47"/>
        <v/>
      </c>
      <c r="W345" s="17">
        <f t="shared" ca="1" si="44"/>
        <v>0.14007263980627405</v>
      </c>
      <c r="X345" s="13">
        <f t="shared" ca="1" si="45"/>
        <v>0</v>
      </c>
      <c r="Y345" s="13">
        <f t="shared" ca="1" si="46"/>
        <v>0</v>
      </c>
      <c r="Z345" t="str">
        <f t="shared" ca="1" si="48"/>
        <v/>
      </c>
      <c r="AA345" t="str">
        <f t="shared" ca="1" si="49"/>
        <v/>
      </c>
      <c r="AB345" s="24" t="str">
        <f t="shared" ca="1" si="50"/>
        <v/>
      </c>
      <c r="AC345" s="24" t="str">
        <f t="shared" ca="1" si="51"/>
        <v/>
      </c>
    </row>
    <row r="346" spans="3:29" x14ac:dyDescent="0.25">
      <c r="C346" s="6">
        <v>339</v>
      </c>
      <c r="D346" s="37">
        <v>42489</v>
      </c>
      <c r="E346" s="39">
        <v>15.669</v>
      </c>
      <c r="F346" s="39">
        <v>2.6066496478331742</v>
      </c>
      <c r="G346" s="39">
        <v>47.178279411413932</v>
      </c>
      <c r="H346" s="39">
        <v>43.572314663878039</v>
      </c>
      <c r="I346" s="10">
        <v>0</v>
      </c>
      <c r="J346" s="40">
        <v>0</v>
      </c>
      <c r="K346" s="40">
        <v>0</v>
      </c>
      <c r="L346" s="40">
        <v>1</v>
      </c>
      <c r="M346" s="40">
        <v>0</v>
      </c>
      <c r="N346" s="40">
        <v>0</v>
      </c>
      <c r="O346" s="40">
        <v>0</v>
      </c>
      <c r="P346" s="40">
        <v>0</v>
      </c>
      <c r="Q346" s="40">
        <v>0</v>
      </c>
      <c r="R346" s="40">
        <v>0</v>
      </c>
      <c r="S346" s="40">
        <v>0</v>
      </c>
      <c r="T346" s="29">
        <f t="array" aca="1" ref="T346" ca="1">+fair_value_gap(OFFSET(S345,0,0,-1*$I$5,-1*$Z$1),OFFSET(E345,0,0,-1*$I$5,1),F346:S346,0)</f>
        <v>16.439238855051205</v>
      </c>
      <c r="U346" s="9" t="str" cm="1">
        <f t="array" aca="1" ref="U346" ca="1">z_score_diff(OFFSET(T346,0,0,$I$5*-1,1),OFFSET(E346,0,0,$I$5*-1,1))</f>
        <v/>
      </c>
      <c r="V346" s="9" t="str">
        <f t="shared" ca="1" si="47"/>
        <v/>
      </c>
      <c r="W346" s="17">
        <f t="shared" ca="1" si="44"/>
        <v>0.11399629607144617</v>
      </c>
      <c r="X346" s="13">
        <f t="shared" ca="1" si="45"/>
        <v>0</v>
      </c>
      <c r="Y346" s="13">
        <f t="shared" ca="1" si="46"/>
        <v>0</v>
      </c>
      <c r="Z346" t="str">
        <f t="shared" ca="1" si="48"/>
        <v/>
      </c>
      <c r="AA346" t="str">
        <f t="shared" ca="1" si="49"/>
        <v/>
      </c>
      <c r="AB346" s="24" t="str">
        <f t="shared" ca="1" si="50"/>
        <v/>
      </c>
      <c r="AC346" s="24" t="str">
        <f t="shared" ca="1" si="51"/>
        <v/>
      </c>
    </row>
    <row r="347" spans="3:29" x14ac:dyDescent="0.25">
      <c r="C347" s="6">
        <v>340</v>
      </c>
      <c r="D347" s="37">
        <v>42492</v>
      </c>
      <c r="E347" s="39">
        <v>15.065</v>
      </c>
      <c r="F347" s="39">
        <v>2.5617810105755141</v>
      </c>
      <c r="G347" s="39">
        <v>47.013080595282176</v>
      </c>
      <c r="H347" s="39">
        <v>43.148911688560744</v>
      </c>
      <c r="I347" s="10">
        <v>0</v>
      </c>
      <c r="J347" s="40">
        <v>0</v>
      </c>
      <c r="K347" s="40">
        <v>0</v>
      </c>
      <c r="L347" s="40">
        <v>0</v>
      </c>
      <c r="M347" s="40">
        <v>1</v>
      </c>
      <c r="N347" s="40">
        <v>0</v>
      </c>
      <c r="O347" s="40">
        <v>0</v>
      </c>
      <c r="P347" s="40">
        <v>0</v>
      </c>
      <c r="Q347" s="40">
        <v>0</v>
      </c>
      <c r="R347" s="40">
        <v>0</v>
      </c>
      <c r="S347" s="40">
        <v>0</v>
      </c>
      <c r="T347" s="29">
        <f t="array" aca="1" ref="T347" ca="1">+fair_value_gap(OFFSET(S346,0,0,-1*$I$5,-1*$Z$1),OFFSET(E346,0,0,-1*$I$5,1),F347:S347,0)</f>
        <v>15.762284718805795</v>
      </c>
      <c r="U347" s="9" t="str" cm="1">
        <f t="array" aca="1" ref="U347" ca="1">z_score_diff(OFFSET(T347,0,0,$I$5*-1,1),OFFSET(E347,0,0,$I$5*-1,1))</f>
        <v/>
      </c>
      <c r="V347" s="9" t="str">
        <f t="shared" ca="1" si="47"/>
        <v/>
      </c>
      <c r="W347" s="17">
        <f t="shared" ca="1" si="44"/>
        <v>0.19184570046561902</v>
      </c>
      <c r="X347" s="13">
        <f t="shared" ca="1" si="45"/>
        <v>0</v>
      </c>
      <c r="Y347" s="13">
        <f t="shared" ca="1" si="46"/>
        <v>0</v>
      </c>
      <c r="Z347" t="str">
        <f t="shared" ca="1" si="48"/>
        <v/>
      </c>
      <c r="AA347" t="str">
        <f t="shared" ca="1" si="49"/>
        <v/>
      </c>
      <c r="AB347" s="24" t="str">
        <f t="shared" ca="1" si="50"/>
        <v/>
      </c>
      <c r="AC347" s="24" t="str">
        <f t="shared" ca="1" si="51"/>
        <v/>
      </c>
    </row>
    <row r="348" spans="3:29" x14ac:dyDescent="0.25">
      <c r="C348" s="6">
        <v>341</v>
      </c>
      <c r="D348" s="37">
        <v>42493</v>
      </c>
      <c r="E348" s="39">
        <v>15.032999999999999</v>
      </c>
      <c r="F348" s="39">
        <v>2.5757400358186184</v>
      </c>
      <c r="G348" s="39">
        <v>45.728657578095969</v>
      </c>
      <c r="H348" s="39">
        <v>42.985747458308076</v>
      </c>
      <c r="I348" s="10">
        <v>0</v>
      </c>
      <c r="J348" s="40">
        <v>0</v>
      </c>
      <c r="K348" s="40">
        <v>0</v>
      </c>
      <c r="L348" s="40">
        <v>0</v>
      </c>
      <c r="M348" s="40">
        <v>1</v>
      </c>
      <c r="N348" s="40">
        <v>0</v>
      </c>
      <c r="O348" s="40">
        <v>0</v>
      </c>
      <c r="P348" s="40">
        <v>0</v>
      </c>
      <c r="Q348" s="40">
        <v>0</v>
      </c>
      <c r="R348" s="40">
        <v>0</v>
      </c>
      <c r="S348" s="40">
        <v>0</v>
      </c>
      <c r="T348" s="29">
        <f t="array" aca="1" ref="T348" ca="1">+fair_value_gap(OFFSET(S347,0,0,-1*$I$5,-1*$Z$1),OFFSET(E347,0,0,-1*$I$5,1),F348:S348,0)</f>
        <v>15.072718757737409</v>
      </c>
      <c r="U348" s="9" t="str" cm="1">
        <f t="array" aca="1" ref="U348" ca="1">z_score_diff(OFFSET(T348,0,0,$I$5*-1,1),OFFSET(E348,0,0,$I$5*-1,1))</f>
        <v/>
      </c>
      <c r="V348" s="9" t="str">
        <f t="shared" ca="1" si="47"/>
        <v/>
      </c>
      <c r="W348" s="17">
        <f t="shared" ca="1" si="44"/>
        <v>0.17633904164749573</v>
      </c>
      <c r="X348" s="13">
        <f t="shared" ca="1" si="45"/>
        <v>0</v>
      </c>
      <c r="Y348" s="13">
        <f t="shared" ca="1" si="46"/>
        <v>0</v>
      </c>
      <c r="Z348" t="str">
        <f t="shared" ca="1" si="48"/>
        <v/>
      </c>
      <c r="AA348" t="str">
        <f t="shared" ca="1" si="49"/>
        <v/>
      </c>
      <c r="AB348" s="24" t="str">
        <f t="shared" ca="1" si="50"/>
        <v/>
      </c>
      <c r="AC348" s="24" t="str">
        <f t="shared" ca="1" si="51"/>
        <v/>
      </c>
    </row>
    <row r="349" spans="3:29" x14ac:dyDescent="0.25">
      <c r="C349" s="6">
        <v>342</v>
      </c>
      <c r="D349" s="37">
        <v>42494</v>
      </c>
      <c r="E349" s="39">
        <v>15.378</v>
      </c>
      <c r="F349" s="39">
        <v>2.5985201214914651</v>
      </c>
      <c r="G349" s="39">
        <v>46.855445859239985</v>
      </c>
      <c r="H349" s="39">
        <v>42.85428265935105</v>
      </c>
      <c r="I349" s="10">
        <v>0</v>
      </c>
      <c r="J349" s="40">
        <v>0</v>
      </c>
      <c r="K349" s="40">
        <v>0</v>
      </c>
      <c r="L349" s="40">
        <v>0</v>
      </c>
      <c r="M349" s="40">
        <v>1</v>
      </c>
      <c r="N349" s="40">
        <v>0</v>
      </c>
      <c r="O349" s="40">
        <v>0</v>
      </c>
      <c r="P349" s="40">
        <v>0</v>
      </c>
      <c r="Q349" s="40">
        <v>0</v>
      </c>
      <c r="R349" s="40">
        <v>0</v>
      </c>
      <c r="S349" s="40">
        <v>0</v>
      </c>
      <c r="T349" s="29">
        <f t="array" aca="1" ref="T349" ca="1">+fair_value_gap(OFFSET(S348,0,0,-1*$I$5,-1*$Z$1),OFFSET(E348,0,0,-1*$I$5,1),F349:S349,0)</f>
        <v>15.396776918633954</v>
      </c>
      <c r="U349" s="9" t="str" cm="1">
        <f t="array" aca="1" ref="U349" ca="1">z_score_diff(OFFSET(T349,0,0,$I$5*-1,1),OFFSET(E349,0,0,$I$5*-1,1))</f>
        <v/>
      </c>
      <c r="V349" s="9" t="str">
        <f t="shared" ca="1" si="47"/>
        <v/>
      </c>
      <c r="W349" s="17">
        <f t="shared" ca="1" si="44"/>
        <v>0.18904016835533999</v>
      </c>
      <c r="X349" s="13">
        <f t="shared" ca="1" si="45"/>
        <v>0</v>
      </c>
      <c r="Y349" s="13">
        <f t="shared" ca="1" si="46"/>
        <v>0</v>
      </c>
      <c r="Z349" t="str">
        <f t="shared" ca="1" si="48"/>
        <v/>
      </c>
      <c r="AA349" t="str">
        <f t="shared" ca="1" si="49"/>
        <v/>
      </c>
      <c r="AB349" s="24" t="str">
        <f t="shared" ca="1" si="50"/>
        <v/>
      </c>
      <c r="AC349" s="24" t="str">
        <f t="shared" ca="1" si="51"/>
        <v/>
      </c>
    </row>
    <row r="350" spans="3:29" x14ac:dyDescent="0.25">
      <c r="C350" s="6">
        <v>343</v>
      </c>
      <c r="D350" s="37">
        <v>42495</v>
      </c>
      <c r="E350" s="39">
        <v>15.694000000000001</v>
      </c>
      <c r="F350" s="39">
        <v>2.6232835954183988</v>
      </c>
      <c r="G350" s="39">
        <v>47.471320972624618</v>
      </c>
      <c r="H350" s="39">
        <v>43.063067859323304</v>
      </c>
      <c r="I350" s="10">
        <v>0</v>
      </c>
      <c r="J350" s="40">
        <v>0</v>
      </c>
      <c r="K350" s="40">
        <v>0</v>
      </c>
      <c r="L350" s="40">
        <v>0</v>
      </c>
      <c r="M350" s="40">
        <v>1</v>
      </c>
      <c r="N350" s="40">
        <v>0</v>
      </c>
      <c r="O350" s="40">
        <v>0</v>
      </c>
      <c r="P350" s="40">
        <v>0</v>
      </c>
      <c r="Q350" s="40">
        <v>0</v>
      </c>
      <c r="R350" s="40">
        <v>0</v>
      </c>
      <c r="S350" s="40">
        <v>0</v>
      </c>
      <c r="T350" s="29">
        <f t="array" aca="1" ref="T350" ca="1">+fair_value_gap(OFFSET(S349,0,0,-1*$I$5,-1*$Z$1),OFFSET(E349,0,0,-1*$I$5,1),F350:S350,0)</f>
        <v>15.594446147643692</v>
      </c>
      <c r="U350" s="9" t="str" cm="1">
        <f t="array" aca="1" ref="U350" ca="1">z_score_diff(OFFSET(T350,0,0,$I$5*-1,1),OFFSET(E350,0,0,$I$5*-1,1))</f>
        <v/>
      </c>
      <c r="V350" s="9" t="str">
        <f t="shared" ca="1" si="47"/>
        <v/>
      </c>
      <c r="W350" s="17">
        <f t="shared" ca="1" si="44"/>
        <v>0.14616313953042329</v>
      </c>
      <c r="X350" s="13">
        <f t="shared" ca="1" si="45"/>
        <v>0</v>
      </c>
      <c r="Y350" s="13">
        <f t="shared" ca="1" si="46"/>
        <v>0</v>
      </c>
      <c r="Z350" t="str">
        <f t="shared" ca="1" si="48"/>
        <v/>
      </c>
      <c r="AA350" t="str">
        <f t="shared" ca="1" si="49"/>
        <v/>
      </c>
      <c r="AB350" s="24" t="str">
        <f t="shared" ca="1" si="50"/>
        <v/>
      </c>
      <c r="AC350" s="24" t="str">
        <f t="shared" ca="1" si="51"/>
        <v/>
      </c>
    </row>
    <row r="351" spans="3:29" x14ac:dyDescent="0.25">
      <c r="C351" s="6">
        <v>344</v>
      </c>
      <c r="D351" s="37">
        <v>42496</v>
      </c>
      <c r="E351" s="39">
        <v>15.534000000000001</v>
      </c>
      <c r="F351" s="39">
        <v>2.6023092920122322</v>
      </c>
      <c r="G351" s="39">
        <v>47.232040623288697</v>
      </c>
      <c r="H351" s="39">
        <v>42.656587009567268</v>
      </c>
      <c r="I351" s="10">
        <v>0</v>
      </c>
      <c r="J351" s="40">
        <v>0</v>
      </c>
      <c r="K351" s="40">
        <v>0</v>
      </c>
      <c r="L351" s="40">
        <v>0</v>
      </c>
      <c r="M351" s="40">
        <v>1</v>
      </c>
      <c r="N351" s="40">
        <v>0</v>
      </c>
      <c r="O351" s="40">
        <v>0</v>
      </c>
      <c r="P351" s="40">
        <v>0</v>
      </c>
      <c r="Q351" s="40">
        <v>0</v>
      </c>
      <c r="R351" s="40">
        <v>0</v>
      </c>
      <c r="S351" s="40">
        <v>0</v>
      </c>
      <c r="T351" s="29">
        <f t="array" aca="1" ref="T351" ca="1">+fair_value_gap(OFFSET(S350,0,0,-1*$I$5,-1*$Z$1),OFFSET(E350,0,0,-1*$I$5,1),F351:S351,0)</f>
        <v>15.511080039334082</v>
      </c>
      <c r="U351" s="9" t="str" cm="1">
        <f t="array" aca="1" ref="U351" ca="1">z_score_diff(OFFSET(T351,0,0,$I$5*-1,1),OFFSET(E351,0,0,$I$5*-1,1))</f>
        <v/>
      </c>
      <c r="V351" s="9" t="str">
        <f t="shared" ca="1" si="47"/>
        <v/>
      </c>
      <c r="W351" s="17">
        <f t="shared" ca="1" si="44"/>
        <v>0.1418254072105988</v>
      </c>
      <c r="X351" s="13">
        <f t="shared" ca="1" si="45"/>
        <v>0</v>
      </c>
      <c r="Y351" s="13">
        <f t="shared" ca="1" si="46"/>
        <v>0</v>
      </c>
      <c r="Z351" t="str">
        <f t="shared" ca="1" si="48"/>
        <v/>
      </c>
      <c r="AA351" t="str">
        <f t="shared" ca="1" si="49"/>
        <v/>
      </c>
      <c r="AB351" s="24" t="str">
        <f t="shared" ca="1" si="50"/>
        <v/>
      </c>
      <c r="AC351" s="24" t="str">
        <f t="shared" ca="1" si="51"/>
        <v/>
      </c>
    </row>
    <row r="352" spans="3:29" x14ac:dyDescent="0.25">
      <c r="C352" s="6">
        <v>345</v>
      </c>
      <c r="D352" s="37">
        <v>42499</v>
      </c>
      <c r="E352" s="39">
        <v>15.718999999999999</v>
      </c>
      <c r="F352" s="39">
        <v>2.5933047464448573</v>
      </c>
      <c r="G352" s="39">
        <v>47.703274910221367</v>
      </c>
      <c r="H352" s="39">
        <v>42.346695494552606</v>
      </c>
      <c r="I352" s="10">
        <v>0</v>
      </c>
      <c r="J352" s="40">
        <v>0</v>
      </c>
      <c r="K352" s="40">
        <v>0</v>
      </c>
      <c r="L352" s="40">
        <v>0</v>
      </c>
      <c r="M352" s="40">
        <v>1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29">
        <f t="array" aca="1" ref="T352" ca="1">+fair_value_gap(OFFSET(S351,0,0,-1*$I$5,-1*$Z$1),OFFSET(E351,0,0,-1*$I$5,1),F352:S352,0)</f>
        <v>15.635660135835355</v>
      </c>
      <c r="U352" s="9" t="str" cm="1">
        <f t="array" aca="1" ref="U352" ca="1">z_score_diff(OFFSET(T352,0,0,$I$5*-1,1),OFFSET(E352,0,0,$I$5*-1,1))</f>
        <v/>
      </c>
      <c r="V352" s="9" t="str">
        <f t="shared" ca="1" si="47"/>
        <v/>
      </c>
      <c r="W352" s="17">
        <f t="shared" ca="1" si="44"/>
        <v>9.6298650616537418E-2</v>
      </c>
      <c r="X352" s="13">
        <f t="shared" ca="1" si="45"/>
        <v>0</v>
      </c>
      <c r="Y352" s="13">
        <f t="shared" ca="1" si="46"/>
        <v>0</v>
      </c>
      <c r="Z352" t="str">
        <f t="shared" ca="1" si="48"/>
        <v/>
      </c>
      <c r="AA352" t="str">
        <f t="shared" ca="1" si="49"/>
        <v/>
      </c>
      <c r="AB352" s="24" t="str">
        <f t="shared" ca="1" si="50"/>
        <v/>
      </c>
      <c r="AC352" s="24" t="str">
        <f t="shared" ca="1" si="51"/>
        <v/>
      </c>
    </row>
    <row r="353" spans="3:29" x14ac:dyDescent="0.25">
      <c r="C353" s="6">
        <v>346</v>
      </c>
      <c r="D353" s="37">
        <v>42500</v>
      </c>
      <c r="E353" s="39">
        <v>15.667999999999999</v>
      </c>
      <c r="F353" s="39">
        <v>2.585158281760731</v>
      </c>
      <c r="G353" s="39">
        <v>47.464139248153032</v>
      </c>
      <c r="H353" s="39">
        <v>42.225112793993958</v>
      </c>
      <c r="I353" s="10">
        <v>0</v>
      </c>
      <c r="J353" s="40">
        <v>0</v>
      </c>
      <c r="K353" s="40">
        <v>0</v>
      </c>
      <c r="L353" s="40">
        <v>0</v>
      </c>
      <c r="M353" s="40">
        <v>1</v>
      </c>
      <c r="N353" s="40">
        <v>0</v>
      </c>
      <c r="O353" s="40">
        <v>0</v>
      </c>
      <c r="P353" s="40">
        <v>0</v>
      </c>
      <c r="Q353" s="40">
        <v>0</v>
      </c>
      <c r="R353" s="40">
        <v>0</v>
      </c>
      <c r="S353" s="40">
        <v>0</v>
      </c>
      <c r="T353" s="29">
        <f t="array" aca="1" ref="T353" ca="1">+fair_value_gap(OFFSET(S352,0,0,-1*$I$5,-1*$Z$1),OFFSET(E352,0,0,-1*$I$5,1),F353:S353,0)</f>
        <v>15.561369397548438</v>
      </c>
      <c r="U353" s="9" t="str" cm="1">
        <f t="array" aca="1" ref="U353" ca="1">z_score_diff(OFFSET(T353,0,0,$I$5*-1,1),OFFSET(E353,0,0,$I$5*-1,1))</f>
        <v/>
      </c>
      <c r="V353" s="9" t="str">
        <f t="shared" ca="1" si="47"/>
        <v/>
      </c>
      <c r="W353" s="17">
        <f t="shared" ca="1" si="44"/>
        <v>9.972172179100762E-2</v>
      </c>
      <c r="X353" s="13">
        <f t="shared" ca="1" si="45"/>
        <v>0</v>
      </c>
      <c r="Y353" s="13">
        <f t="shared" ca="1" si="46"/>
        <v>0</v>
      </c>
      <c r="Z353" t="str">
        <f t="shared" ca="1" si="48"/>
        <v/>
      </c>
      <c r="AA353" t="str">
        <f t="shared" ca="1" si="49"/>
        <v/>
      </c>
      <c r="AB353" s="24" t="str">
        <f t="shared" ca="1" si="50"/>
        <v/>
      </c>
      <c r="AC353" s="24" t="str">
        <f t="shared" ca="1" si="51"/>
        <v/>
      </c>
    </row>
    <row r="354" spans="3:29" x14ac:dyDescent="0.25">
      <c r="C354" s="6">
        <v>347</v>
      </c>
      <c r="D354" s="37">
        <v>42501</v>
      </c>
      <c r="E354" s="39">
        <v>15.811</v>
      </c>
      <c r="F354" s="39">
        <v>2.5715752247878942</v>
      </c>
      <c r="G354" s="39">
        <v>47.751057158115003</v>
      </c>
      <c r="H354" s="39">
        <v>42.416852258247502</v>
      </c>
      <c r="I354" s="10">
        <v>0</v>
      </c>
      <c r="J354" s="40">
        <v>0</v>
      </c>
      <c r="K354" s="40">
        <v>0</v>
      </c>
      <c r="L354" s="40">
        <v>0</v>
      </c>
      <c r="M354" s="40">
        <v>1</v>
      </c>
      <c r="N354" s="40">
        <v>0</v>
      </c>
      <c r="O354" s="40">
        <v>0</v>
      </c>
      <c r="P354" s="40">
        <v>0</v>
      </c>
      <c r="Q354" s="40">
        <v>0</v>
      </c>
      <c r="R354" s="40">
        <v>0</v>
      </c>
      <c r="S354" s="40">
        <v>0</v>
      </c>
      <c r="T354" s="29">
        <f t="array" aca="1" ref="T354" ca="1">+fair_value_gap(OFFSET(S353,0,0,-1*$I$5,-1*$Z$1),OFFSET(E353,0,0,-1*$I$5,1),F354:S354,0)</f>
        <v>15.662903547119658</v>
      </c>
      <c r="U354" s="9" t="str" cm="1">
        <f t="array" aca="1" ref="U354" ca="1">z_score_diff(OFFSET(T354,0,0,$I$5*-1,1),OFFSET(E354,0,0,$I$5*-1,1))</f>
        <v/>
      </c>
      <c r="V354" s="9" t="str">
        <f t="shared" ca="1" si="47"/>
        <v/>
      </c>
      <c r="W354" s="17">
        <f t="shared" ca="1" si="44"/>
        <v>0.11246318080285773</v>
      </c>
      <c r="X354" s="13">
        <f t="shared" ca="1" si="45"/>
        <v>0</v>
      </c>
      <c r="Y354" s="13">
        <f t="shared" ca="1" si="46"/>
        <v>0</v>
      </c>
      <c r="Z354" t="str">
        <f t="shared" ca="1" si="48"/>
        <v/>
      </c>
      <c r="AA354" t="str">
        <f t="shared" ca="1" si="49"/>
        <v/>
      </c>
      <c r="AB354" s="24" t="str">
        <f t="shared" ca="1" si="50"/>
        <v/>
      </c>
      <c r="AC354" s="24" t="str">
        <f t="shared" ca="1" si="51"/>
        <v/>
      </c>
    </row>
    <row r="355" spans="3:29" x14ac:dyDescent="0.25">
      <c r="C355" s="6">
        <v>348</v>
      </c>
      <c r="D355" s="37">
        <v>42502</v>
      </c>
      <c r="E355" s="39">
        <v>15.670999999999999</v>
      </c>
      <c r="F355" s="39">
        <v>2.5701278352502457</v>
      </c>
      <c r="G355" s="39">
        <v>47.561533671915434</v>
      </c>
      <c r="H355" s="39">
        <v>42.634695090943978</v>
      </c>
      <c r="I355" s="10">
        <v>0</v>
      </c>
      <c r="J355" s="40">
        <v>0</v>
      </c>
      <c r="K355" s="40">
        <v>0</v>
      </c>
      <c r="L355" s="40">
        <v>0</v>
      </c>
      <c r="M355" s="40">
        <v>1</v>
      </c>
      <c r="N355" s="40">
        <v>0</v>
      </c>
      <c r="O355" s="40">
        <v>0</v>
      </c>
      <c r="P355" s="40">
        <v>0</v>
      </c>
      <c r="Q355" s="40">
        <v>0</v>
      </c>
      <c r="R355" s="40">
        <v>0</v>
      </c>
      <c r="S355" s="40">
        <v>0</v>
      </c>
      <c r="T355" s="29">
        <f t="array" aca="1" ref="T355" ca="1">+fair_value_gap(OFFSET(S354,0,0,-1*$I$5,-1*$Z$1),OFFSET(E354,0,0,-1*$I$5,1),F355:S355,0)</f>
        <v>15.631865773035539</v>
      </c>
      <c r="U355" s="9" t="str" cm="1">
        <f t="array" aca="1" ref="U355" ca="1">z_score_diff(OFFSET(T355,0,0,$I$5*-1,1),OFFSET(E355,0,0,$I$5*-1,1))</f>
        <v/>
      </c>
      <c r="V355" s="9" t="str">
        <f t="shared" ca="1" si="47"/>
        <v/>
      </c>
      <c r="W355" s="17">
        <f t="shared" ca="1" si="44"/>
        <v>0.11835718003756644</v>
      </c>
      <c r="X355" s="13">
        <f t="shared" ca="1" si="45"/>
        <v>0</v>
      </c>
      <c r="Y355" s="13">
        <f t="shared" ca="1" si="46"/>
        <v>0</v>
      </c>
      <c r="Z355" t="str">
        <f t="shared" ca="1" si="48"/>
        <v/>
      </c>
      <c r="AA355" t="str">
        <f t="shared" ca="1" si="49"/>
        <v/>
      </c>
      <c r="AB355" s="24" t="str">
        <f t="shared" ca="1" si="50"/>
        <v/>
      </c>
      <c r="AC355" s="24" t="str">
        <f t="shared" ca="1" si="51"/>
        <v/>
      </c>
    </row>
    <row r="356" spans="3:29" x14ac:dyDescent="0.25">
      <c r="C356" s="6">
        <v>349</v>
      </c>
      <c r="D356" s="37">
        <v>42503</v>
      </c>
      <c r="E356" s="39">
        <v>15.62</v>
      </c>
      <c r="F356" s="39">
        <v>2.5653231320483636</v>
      </c>
      <c r="G356" s="39">
        <v>47.352593639222498</v>
      </c>
      <c r="H356" s="39">
        <v>42.841934897568827</v>
      </c>
      <c r="I356" s="10">
        <v>0</v>
      </c>
      <c r="J356" s="40">
        <v>0</v>
      </c>
      <c r="K356" s="40">
        <v>0</v>
      </c>
      <c r="L356" s="40">
        <v>0</v>
      </c>
      <c r="M356" s="40">
        <v>1</v>
      </c>
      <c r="N356" s="40">
        <v>0</v>
      </c>
      <c r="O356" s="40">
        <v>0</v>
      </c>
      <c r="P356" s="40">
        <v>0</v>
      </c>
      <c r="Q356" s="40">
        <v>0</v>
      </c>
      <c r="R356" s="40">
        <v>0</v>
      </c>
      <c r="S356" s="40">
        <v>0</v>
      </c>
      <c r="T356" s="29">
        <f t="array" aca="1" ref="T356" ca="1">+fair_value_gap(OFFSET(S355,0,0,-1*$I$5,-1*$Z$1),OFFSET(E355,0,0,-1*$I$5,1),F356:S356,0)</f>
        <v>15.582691947435158</v>
      </c>
      <c r="U356" s="9" t="str" cm="1">
        <f t="array" aca="1" ref="U356" ca="1">z_score_diff(OFFSET(T356,0,0,$I$5*-1,1),OFFSET(E356,0,0,$I$5*-1,1))</f>
        <v/>
      </c>
      <c r="V356" s="9" t="str">
        <f t="shared" ca="1" si="47"/>
        <v/>
      </c>
      <c r="W356" s="17">
        <f t="shared" ca="1" si="44"/>
        <v>0.13087100674206803</v>
      </c>
      <c r="X356" s="13">
        <f t="shared" ca="1" si="45"/>
        <v>0</v>
      </c>
      <c r="Y356" s="13">
        <f t="shared" ca="1" si="46"/>
        <v>0</v>
      </c>
      <c r="Z356" t="str">
        <f t="shared" ca="1" si="48"/>
        <v/>
      </c>
      <c r="AA356" t="str">
        <f t="shared" ca="1" si="49"/>
        <v/>
      </c>
      <c r="AB356" s="24" t="str">
        <f t="shared" ca="1" si="50"/>
        <v/>
      </c>
      <c r="AC356" s="24" t="str">
        <f t="shared" ca="1" si="51"/>
        <v/>
      </c>
    </row>
    <row r="357" spans="3:29" x14ac:dyDescent="0.25">
      <c r="C357" s="6">
        <v>350</v>
      </c>
      <c r="D357" s="37">
        <v>42506</v>
      </c>
      <c r="E357" s="39">
        <v>15.862</v>
      </c>
      <c r="F357" s="39">
        <v>2.5426000051872153</v>
      </c>
      <c r="G357" s="39">
        <v>48.278670551013377</v>
      </c>
      <c r="H357" s="39">
        <v>44.004875982328883</v>
      </c>
      <c r="I357" s="10">
        <v>0</v>
      </c>
      <c r="J357" s="40">
        <v>0</v>
      </c>
      <c r="K357" s="40">
        <v>0</v>
      </c>
      <c r="L357" s="40">
        <v>0</v>
      </c>
      <c r="M357" s="40">
        <v>1</v>
      </c>
      <c r="N357" s="40">
        <v>0</v>
      </c>
      <c r="O357" s="40">
        <v>0</v>
      </c>
      <c r="P357" s="40">
        <v>0</v>
      </c>
      <c r="Q357" s="40">
        <v>0</v>
      </c>
      <c r="R357" s="40">
        <v>0</v>
      </c>
      <c r="S357" s="40">
        <v>0</v>
      </c>
      <c r="T357" s="29">
        <f t="array" aca="1" ref="T357" ca="1">+fair_value_gap(OFFSET(S356,0,0,-1*$I$5,-1*$Z$1),OFFSET(E356,0,0,-1*$I$5,1),F357:S357,0)</f>
        <v>15.916495849344727</v>
      </c>
      <c r="U357" s="9" t="str" cm="1">
        <f t="array" aca="1" ref="U357" ca="1">z_score_diff(OFFSET(T357,0,0,$I$5*-1,1),OFFSET(E357,0,0,$I$5*-1,1))</f>
        <v/>
      </c>
      <c r="V357" s="9" t="str">
        <f t="shared" ca="1" si="47"/>
        <v/>
      </c>
      <c r="W357" s="17">
        <f t="shared" ca="1" si="44"/>
        <v>0.14023876836737253</v>
      </c>
      <c r="X357" s="13">
        <f t="shared" ca="1" si="45"/>
        <v>0</v>
      </c>
      <c r="Y357" s="13">
        <f t="shared" ca="1" si="46"/>
        <v>0</v>
      </c>
      <c r="Z357" t="str">
        <f t="shared" ca="1" si="48"/>
        <v/>
      </c>
      <c r="AA357" t="str">
        <f t="shared" ca="1" si="49"/>
        <v/>
      </c>
      <c r="AB357" s="24" t="str">
        <f t="shared" ca="1" si="50"/>
        <v/>
      </c>
      <c r="AC357" s="24" t="str">
        <f t="shared" ca="1" si="51"/>
        <v/>
      </c>
    </row>
    <row r="358" spans="3:29" x14ac:dyDescent="0.25">
      <c r="C358" s="6">
        <v>351</v>
      </c>
      <c r="D358" s="37">
        <v>42507</v>
      </c>
      <c r="E358" s="39">
        <v>15.965</v>
      </c>
      <c r="F358" s="39">
        <v>2.5250691562932226</v>
      </c>
      <c r="G358" s="39">
        <v>48.424444659664196</v>
      </c>
      <c r="H358" s="39">
        <v>44.303250345781464</v>
      </c>
      <c r="I358" s="10">
        <v>0</v>
      </c>
      <c r="J358" s="40">
        <v>0</v>
      </c>
      <c r="K358" s="40">
        <v>0</v>
      </c>
      <c r="L358" s="40">
        <v>0</v>
      </c>
      <c r="M358" s="40">
        <v>1</v>
      </c>
      <c r="N358" s="40">
        <v>0</v>
      </c>
      <c r="O358" s="40">
        <v>0</v>
      </c>
      <c r="P358" s="40">
        <v>0</v>
      </c>
      <c r="Q358" s="40">
        <v>0</v>
      </c>
      <c r="R358" s="40">
        <v>0</v>
      </c>
      <c r="S358" s="40">
        <v>0</v>
      </c>
      <c r="T358" s="29">
        <f t="array" aca="1" ref="T358" ca="1">+fair_value_gap(OFFSET(S357,0,0,-1*$I$5,-1*$Z$1),OFFSET(E357,0,0,-1*$I$5,1),F358:S358,0)</f>
        <v>15.960634215584642</v>
      </c>
      <c r="U358" s="9" t="str" cm="1">
        <f t="array" aca="1" ref="U358" ca="1">z_score_diff(OFFSET(T358,0,0,$I$5*-1,1),OFFSET(E358,0,0,$I$5*-1,1))</f>
        <v/>
      </c>
      <c r="V358" s="9" t="str">
        <f t="shared" ca="1" si="47"/>
        <v/>
      </c>
      <c r="W358" s="17">
        <f t="shared" ca="1" si="44"/>
        <v>0.11602068744654477</v>
      </c>
      <c r="X358" s="13">
        <f t="shared" ca="1" si="45"/>
        <v>0</v>
      </c>
      <c r="Y358" s="13">
        <f t="shared" ca="1" si="46"/>
        <v>0</v>
      </c>
      <c r="Z358" t="str">
        <f t="shared" ca="1" si="48"/>
        <v/>
      </c>
      <c r="AA358" t="str">
        <f t="shared" ca="1" si="49"/>
        <v/>
      </c>
      <c r="AB358" s="24" t="str">
        <f t="shared" ca="1" si="50"/>
        <v/>
      </c>
      <c r="AC358" s="24" t="str">
        <f t="shared" ca="1" si="51"/>
        <v/>
      </c>
    </row>
    <row r="359" spans="3:29" x14ac:dyDescent="0.25">
      <c r="C359" s="6">
        <v>352</v>
      </c>
      <c r="D359" s="37">
        <v>42508</v>
      </c>
      <c r="E359" s="39">
        <v>15.907999999999999</v>
      </c>
      <c r="F359" s="39">
        <v>2.5178664807390621</v>
      </c>
      <c r="G359" s="39">
        <v>48.588100528164958</v>
      </c>
      <c r="H359" s="39">
        <v>45.058392888269132</v>
      </c>
      <c r="I359" s="10">
        <v>0</v>
      </c>
      <c r="J359" s="40">
        <v>0</v>
      </c>
      <c r="K359" s="40">
        <v>0</v>
      </c>
      <c r="L359" s="40">
        <v>0</v>
      </c>
      <c r="M359" s="40">
        <v>1</v>
      </c>
      <c r="N359" s="40">
        <v>0</v>
      </c>
      <c r="O359" s="40">
        <v>0</v>
      </c>
      <c r="P359" s="40">
        <v>0</v>
      </c>
      <c r="Q359" s="40">
        <v>0</v>
      </c>
      <c r="R359" s="40">
        <v>0</v>
      </c>
      <c r="S359" s="40">
        <v>0</v>
      </c>
      <c r="T359" s="29">
        <f t="array" aca="1" ref="T359" ca="1">+fair_value_gap(OFFSET(S358,0,0,-1*$I$5,-1*$Z$1),OFFSET(E358,0,0,-1*$I$5,1),F359:S359,0)</f>
        <v>16.042359453222012</v>
      </c>
      <c r="U359" s="9" t="str" cm="1">
        <f t="array" aca="1" ref="U359" ca="1">z_score_diff(OFFSET(T359,0,0,$I$5*-1,1),OFFSET(E359,0,0,$I$5*-1,1))</f>
        <v/>
      </c>
      <c r="V359" s="9" t="str">
        <f t="shared" ca="1" si="47"/>
        <v/>
      </c>
      <c r="W359" s="17">
        <f t="shared" ca="1" si="44"/>
        <v>0.11473310114614742</v>
      </c>
      <c r="X359" s="13">
        <f t="shared" ca="1" si="45"/>
        <v>0</v>
      </c>
      <c r="Y359" s="13">
        <f t="shared" ca="1" si="46"/>
        <v>0</v>
      </c>
      <c r="Z359" t="str">
        <f t="shared" ca="1" si="48"/>
        <v/>
      </c>
      <c r="AA359" t="str">
        <f t="shared" ca="1" si="49"/>
        <v/>
      </c>
      <c r="AB359" s="24" t="str">
        <f t="shared" ca="1" si="50"/>
        <v/>
      </c>
      <c r="AC359" s="24" t="str">
        <f t="shared" ca="1" si="51"/>
        <v/>
      </c>
    </row>
    <row r="360" spans="3:29" x14ac:dyDescent="0.25">
      <c r="C360" s="6">
        <v>353</v>
      </c>
      <c r="D360" s="37">
        <v>42509</v>
      </c>
      <c r="E360" s="39">
        <v>15.561</v>
      </c>
      <c r="F360" s="39">
        <v>2.5533779025475312</v>
      </c>
      <c r="G360" s="39">
        <v>47.674795830571114</v>
      </c>
      <c r="H360" s="39">
        <v>44.854280311327095</v>
      </c>
      <c r="I360" s="10">
        <v>0</v>
      </c>
      <c r="J360" s="40">
        <v>0</v>
      </c>
      <c r="K360" s="40">
        <v>0</v>
      </c>
      <c r="L360" s="40">
        <v>0</v>
      </c>
      <c r="M360" s="40">
        <v>1</v>
      </c>
      <c r="N360" s="40">
        <v>0</v>
      </c>
      <c r="O360" s="40">
        <v>0</v>
      </c>
      <c r="P360" s="40">
        <v>0</v>
      </c>
      <c r="Q360" s="40">
        <v>0</v>
      </c>
      <c r="R360" s="40">
        <v>0</v>
      </c>
      <c r="S360" s="40">
        <v>0</v>
      </c>
      <c r="T360" s="29">
        <f t="array" aca="1" ref="T360" ca="1">+fair_value_gap(OFFSET(S359,0,0,-1*$I$5,-1*$Z$1),OFFSET(E359,0,0,-1*$I$5,1),F360:S360,0)</f>
        <v>15.760103587872628</v>
      </c>
      <c r="U360" s="9" t="str" cm="1">
        <f t="array" aca="1" ref="U360" ca="1">z_score_diff(OFFSET(T360,0,0,$I$5*-1,1),OFFSET(E360,0,0,$I$5*-1,1))</f>
        <v/>
      </c>
      <c r="V360" s="9" t="str">
        <f t="shared" ca="1" si="47"/>
        <v/>
      </c>
      <c r="W360" s="17">
        <f t="shared" ca="1" si="44"/>
        <v>0.15566430966229355</v>
      </c>
      <c r="X360" s="13">
        <f t="shared" ca="1" si="45"/>
        <v>0</v>
      </c>
      <c r="Y360" s="13">
        <f t="shared" ca="1" si="46"/>
        <v>0</v>
      </c>
      <c r="Z360" t="str">
        <f t="shared" ca="1" si="48"/>
        <v/>
      </c>
      <c r="AA360" t="str">
        <f t="shared" ca="1" si="49"/>
        <v/>
      </c>
      <c r="AB360" s="24" t="str">
        <f t="shared" ca="1" si="50"/>
        <v/>
      </c>
      <c r="AC360" s="24" t="str">
        <f t="shared" ca="1" si="51"/>
        <v/>
      </c>
    </row>
    <row r="361" spans="3:29" x14ac:dyDescent="0.25">
      <c r="C361" s="6">
        <v>354</v>
      </c>
      <c r="D361" s="37">
        <v>42510</v>
      </c>
      <c r="E361" s="39">
        <v>15.576000000000001</v>
      </c>
      <c r="F361" s="39">
        <v>2.554140554337295</v>
      </c>
      <c r="G361" s="39">
        <v>47.385045152541686</v>
      </c>
      <c r="H361" s="39">
        <v>44.571232577392465</v>
      </c>
      <c r="I361" s="10">
        <v>0</v>
      </c>
      <c r="J361" s="40">
        <v>0</v>
      </c>
      <c r="K361" s="40">
        <v>0</v>
      </c>
      <c r="L361" s="40">
        <v>0</v>
      </c>
      <c r="M361" s="40">
        <v>1</v>
      </c>
      <c r="N361" s="40">
        <v>0</v>
      </c>
      <c r="O361" s="40">
        <v>0</v>
      </c>
      <c r="P361" s="40">
        <v>0</v>
      </c>
      <c r="Q361" s="40">
        <v>0</v>
      </c>
      <c r="R361" s="40">
        <v>0</v>
      </c>
      <c r="S361" s="40">
        <v>0</v>
      </c>
      <c r="T361" s="29">
        <f t="array" aca="1" ref="T361" ca="1">+fair_value_gap(OFFSET(S360,0,0,-1*$I$5,-1*$Z$1),OFFSET(E360,0,0,-1*$I$5,1),F361:S361,0)</f>
        <v>15.645260144914342</v>
      </c>
      <c r="U361" s="9" t="str" cm="1">
        <f t="array" aca="1" ref="U361" ca="1">z_score_diff(OFFSET(T361,0,0,$I$5*-1,1),OFFSET(E361,0,0,$I$5*-1,1))</f>
        <v/>
      </c>
      <c r="V361" s="9" t="str">
        <f t="shared" ca="1" si="47"/>
        <v/>
      </c>
      <c r="W361" s="17">
        <f t="shared" ca="1" si="44"/>
        <v>0.13694428319179558</v>
      </c>
      <c r="X361" s="13">
        <f t="shared" ca="1" si="45"/>
        <v>0</v>
      </c>
      <c r="Y361" s="13">
        <f t="shared" ca="1" si="46"/>
        <v>0</v>
      </c>
      <c r="Z361" t="str">
        <f t="shared" ca="1" si="48"/>
        <v/>
      </c>
      <c r="AA361" t="str">
        <f t="shared" ca="1" si="49"/>
        <v/>
      </c>
      <c r="AB361" s="24" t="str">
        <f t="shared" ca="1" si="50"/>
        <v/>
      </c>
      <c r="AC361" s="24" t="str">
        <f t="shared" ca="1" si="51"/>
        <v/>
      </c>
    </row>
    <row r="362" spans="3:29" x14ac:dyDescent="0.25">
      <c r="C362" s="6">
        <v>355</v>
      </c>
      <c r="D362" s="37">
        <v>42513</v>
      </c>
      <c r="E362" s="39">
        <v>15.352</v>
      </c>
      <c r="F362" s="39">
        <v>2.5690956086753571</v>
      </c>
      <c r="G362" s="39">
        <v>46.793388702757163</v>
      </c>
      <c r="H362" s="39">
        <v>44.632593201563402</v>
      </c>
      <c r="I362" s="10">
        <v>0</v>
      </c>
      <c r="J362" s="40">
        <v>0</v>
      </c>
      <c r="K362" s="40">
        <v>0</v>
      </c>
      <c r="L362" s="40">
        <v>0</v>
      </c>
      <c r="M362" s="40">
        <v>1</v>
      </c>
      <c r="N362" s="40">
        <v>0</v>
      </c>
      <c r="O362" s="40">
        <v>0</v>
      </c>
      <c r="P362" s="40">
        <v>0</v>
      </c>
      <c r="Q362" s="40">
        <v>0</v>
      </c>
      <c r="R362" s="40">
        <v>0</v>
      </c>
      <c r="S362" s="40">
        <v>0</v>
      </c>
      <c r="T362" s="29">
        <f t="array" aca="1" ref="T362" ca="1">+fair_value_gap(OFFSET(S361,0,0,-1*$I$5,-1*$Z$1),OFFSET(E361,0,0,-1*$I$5,1),F362:S362,0)</f>
        <v>15.481432200499004</v>
      </c>
      <c r="U362" s="9" t="str" cm="1">
        <f t="array" aca="1" ref="U362" ca="1">z_score_diff(OFFSET(T362,0,0,$I$5*-1,1),OFFSET(E362,0,0,$I$5*-1,1))</f>
        <v/>
      </c>
      <c r="V362" s="9" t="str">
        <f t="shared" ca="1" si="47"/>
        <v/>
      </c>
      <c r="W362" s="17">
        <f t="shared" ca="1" si="44"/>
        <v>0.1482897204460806</v>
      </c>
      <c r="X362" s="13">
        <f t="shared" ca="1" si="45"/>
        <v>0</v>
      </c>
      <c r="Y362" s="13">
        <f t="shared" ca="1" si="46"/>
        <v>0</v>
      </c>
      <c r="Z362" t="str">
        <f t="shared" ca="1" si="48"/>
        <v/>
      </c>
      <c r="AA362" t="str">
        <f t="shared" ca="1" si="49"/>
        <v/>
      </c>
      <c r="AB362" s="24" t="str">
        <f t="shared" ca="1" si="50"/>
        <v/>
      </c>
      <c r="AC362" s="24" t="str">
        <f t="shared" ca="1" si="51"/>
        <v/>
      </c>
    </row>
    <row r="363" spans="3:29" x14ac:dyDescent="0.25">
      <c r="C363" s="6">
        <v>356</v>
      </c>
      <c r="D363" s="37">
        <v>42514</v>
      </c>
      <c r="E363" s="39">
        <v>15.352</v>
      </c>
      <c r="F363" s="39">
        <v>2.5982222689738603</v>
      </c>
      <c r="G363" s="39">
        <v>47.184312023539199</v>
      </c>
      <c r="H363" s="39">
        <v>45.013061238801527</v>
      </c>
      <c r="I363" s="10">
        <v>0</v>
      </c>
      <c r="J363" s="40">
        <v>0</v>
      </c>
      <c r="K363" s="40">
        <v>0</v>
      </c>
      <c r="L363" s="40">
        <v>0</v>
      </c>
      <c r="M363" s="40">
        <v>1</v>
      </c>
      <c r="N363" s="40">
        <v>0</v>
      </c>
      <c r="O363" s="40">
        <v>0</v>
      </c>
      <c r="P363" s="40">
        <v>0</v>
      </c>
      <c r="Q363" s="40">
        <v>0</v>
      </c>
      <c r="R363" s="40">
        <v>0</v>
      </c>
      <c r="S363" s="40">
        <v>0</v>
      </c>
      <c r="T363" s="29">
        <f t="array" aca="1" ref="T363" ca="1">+fair_value_gap(OFFSET(S362,0,0,-1*$I$5,-1*$Z$1),OFFSET(E362,0,0,-1*$I$5,1),F363:S363,0)</f>
        <v>15.618256152320329</v>
      </c>
      <c r="U363" s="9" t="str" cm="1">
        <f t="array" aca="1" ref="U363" ca="1">z_score_diff(OFFSET(T363,0,0,$I$5*-1,1),OFFSET(E363,0,0,$I$5*-1,1))</f>
        <v/>
      </c>
      <c r="V363" s="9" t="str">
        <f t="shared" ca="1" si="47"/>
        <v/>
      </c>
      <c r="W363" s="17">
        <f t="shared" ca="1" si="44"/>
        <v>0.15706832808129992</v>
      </c>
      <c r="X363" s="13">
        <f t="shared" ca="1" si="45"/>
        <v>0</v>
      </c>
      <c r="Y363" s="13">
        <f t="shared" ca="1" si="46"/>
        <v>0</v>
      </c>
      <c r="Z363" t="str">
        <f t="shared" ca="1" si="48"/>
        <v/>
      </c>
      <c r="AA363" t="str">
        <f t="shared" ca="1" si="49"/>
        <v/>
      </c>
      <c r="AB363" s="24" t="str">
        <f t="shared" ca="1" si="50"/>
        <v/>
      </c>
      <c r="AC363" s="24" t="str">
        <f t="shared" ca="1" si="51"/>
        <v/>
      </c>
    </row>
    <row r="364" spans="3:29" x14ac:dyDescent="0.25">
      <c r="C364" s="6">
        <v>357</v>
      </c>
      <c r="D364" s="37">
        <v>42515</v>
      </c>
      <c r="E364" s="39">
        <v>15.61</v>
      </c>
      <c r="F364" s="39">
        <v>2.6460888949228552</v>
      </c>
      <c r="G364" s="39">
        <v>47.871444307652432</v>
      </c>
      <c r="H364" s="39">
        <v>45.678098599876492</v>
      </c>
      <c r="I364" s="10">
        <v>0</v>
      </c>
      <c r="J364" s="40">
        <v>0</v>
      </c>
      <c r="K364" s="40">
        <v>0</v>
      </c>
      <c r="L364" s="40">
        <v>0</v>
      </c>
      <c r="M364" s="40">
        <v>1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29">
        <f t="array" aca="1" ref="T364" ca="1">+fair_value_gap(OFFSET(S363,0,0,-1*$I$5,-1*$Z$1),OFFSET(E363,0,0,-1*$I$5,1),F364:S364,0)</f>
        <v>15.855521049352966</v>
      </c>
      <c r="U364" s="9" t="str" cm="1">
        <f t="array" aca="1" ref="U364" ca="1">z_score_diff(OFFSET(T364,0,0,$I$5*-1,1),OFFSET(E364,0,0,$I$5*-1,1))</f>
        <v/>
      </c>
      <c r="V364" s="9" t="str">
        <f t="shared" ca="1" si="47"/>
        <v/>
      </c>
      <c r="W364" s="17">
        <f t="shared" ca="1" si="44"/>
        <v>0.13179221296652802</v>
      </c>
      <c r="X364" s="13">
        <f t="shared" ca="1" si="45"/>
        <v>0</v>
      </c>
      <c r="Y364" s="13">
        <f t="shared" ca="1" si="46"/>
        <v>0</v>
      </c>
      <c r="Z364" t="str">
        <f t="shared" ca="1" si="48"/>
        <v/>
      </c>
      <c r="AA364" t="str">
        <f t="shared" ca="1" si="49"/>
        <v/>
      </c>
      <c r="AB364" s="24" t="str">
        <f t="shared" ca="1" si="50"/>
        <v/>
      </c>
      <c r="AC364" s="24" t="str">
        <f t="shared" ca="1" si="51"/>
        <v/>
      </c>
    </row>
    <row r="365" spans="3:29" x14ac:dyDescent="0.25">
      <c r="C365" s="6">
        <v>358</v>
      </c>
      <c r="D365" s="37">
        <v>42516</v>
      </c>
      <c r="E365" s="39">
        <v>15.715</v>
      </c>
      <c r="F365" s="39">
        <v>2.6549375640052975</v>
      </c>
      <c r="G365" s="39">
        <v>47.954182555812302</v>
      </c>
      <c r="H365" s="39">
        <v>46.096910022847652</v>
      </c>
      <c r="I365" s="10">
        <v>0</v>
      </c>
      <c r="J365" s="40">
        <v>0</v>
      </c>
      <c r="K365" s="40">
        <v>0</v>
      </c>
      <c r="L365" s="40">
        <v>0</v>
      </c>
      <c r="M365" s="40">
        <v>1</v>
      </c>
      <c r="N365" s="40">
        <v>0</v>
      </c>
      <c r="O365" s="40">
        <v>0</v>
      </c>
      <c r="P365" s="40">
        <v>0</v>
      </c>
      <c r="Q365" s="40">
        <v>0</v>
      </c>
      <c r="R365" s="40">
        <v>0</v>
      </c>
      <c r="S365" s="40">
        <v>0</v>
      </c>
      <c r="T365" s="29">
        <f t="array" aca="1" ref="T365" ca="1">+fair_value_gap(OFFSET(S364,0,0,-1*$I$5,-1*$Z$1),OFFSET(E364,0,0,-1*$I$5,1),F365:S365,0)</f>
        <v>15.889657593090316</v>
      </c>
      <c r="U365" s="9" t="str" cm="1">
        <f t="array" aca="1" ref="U365" ca="1">z_score_diff(OFFSET(T365,0,0,$I$5*-1,1),OFFSET(E365,0,0,$I$5*-1,1))</f>
        <v/>
      </c>
      <c r="V365" s="9" t="str">
        <f t="shared" ca="1" si="47"/>
        <v/>
      </c>
      <c r="W365" s="17">
        <f t="shared" ca="1" si="44"/>
        <v>0.12272713380423809</v>
      </c>
      <c r="X365" s="13">
        <f t="shared" ca="1" si="45"/>
        <v>0</v>
      </c>
      <c r="Y365" s="13">
        <f t="shared" ca="1" si="46"/>
        <v>0</v>
      </c>
      <c r="Z365" t="str">
        <f t="shared" ca="1" si="48"/>
        <v/>
      </c>
      <c r="AA365" t="str">
        <f t="shared" ca="1" si="49"/>
        <v/>
      </c>
      <c r="AB365" s="24" t="str">
        <f t="shared" ca="1" si="50"/>
        <v/>
      </c>
      <c r="AC365" s="24" t="str">
        <f t="shared" ca="1" si="51"/>
        <v/>
      </c>
    </row>
    <row r="366" spans="3:29" x14ac:dyDescent="0.25">
      <c r="C366" s="6">
        <v>359</v>
      </c>
      <c r="D366" s="37">
        <v>42517</v>
      </c>
      <c r="E366" s="39">
        <v>15.907</v>
      </c>
      <c r="F366" s="39">
        <v>2.8069404788051835</v>
      </c>
      <c r="G366" s="39">
        <v>48.542432893418876</v>
      </c>
      <c r="H366" s="39">
        <v>46.914122556556116</v>
      </c>
      <c r="I366" s="10">
        <v>0</v>
      </c>
      <c r="J366" s="40">
        <v>0</v>
      </c>
      <c r="K366" s="40">
        <v>0</v>
      </c>
      <c r="L366" s="40">
        <v>0</v>
      </c>
      <c r="M366" s="40">
        <v>1</v>
      </c>
      <c r="N366" s="40">
        <v>0</v>
      </c>
      <c r="O366" s="40">
        <v>0</v>
      </c>
      <c r="P366" s="40">
        <v>0</v>
      </c>
      <c r="Q366" s="40">
        <v>0</v>
      </c>
      <c r="R366" s="40">
        <v>0</v>
      </c>
      <c r="S366" s="40">
        <v>0</v>
      </c>
      <c r="T366" s="29">
        <f t="array" aca="1" ref="T366" ca="1">+fair_value_gap(OFFSET(S365,0,0,-1*$I$5,-1*$Z$1),OFFSET(E365,0,0,-1*$I$5,1),F366:S366,0)</f>
        <v>16.159391412622661</v>
      </c>
      <c r="U366" s="9" t="str" cm="1">
        <f t="array" aca="1" ref="U366" ca="1">z_score_diff(OFFSET(T366,0,0,$I$5*-1,1),OFFSET(E366,0,0,$I$5*-1,1))</f>
        <v/>
      </c>
      <c r="V366" s="9" t="str">
        <f t="shared" ca="1" si="47"/>
        <v/>
      </c>
      <c r="W366" s="17">
        <f t="shared" ca="1" si="44"/>
        <v>0.13262729385108304</v>
      </c>
      <c r="X366" s="13">
        <f t="shared" ca="1" si="45"/>
        <v>0</v>
      </c>
      <c r="Y366" s="13">
        <f t="shared" ca="1" si="46"/>
        <v>0</v>
      </c>
      <c r="Z366" t="str">
        <f t="shared" ca="1" si="48"/>
        <v/>
      </c>
      <c r="AA366" t="str">
        <f t="shared" ca="1" si="49"/>
        <v/>
      </c>
      <c r="AB366" s="24" t="str">
        <f t="shared" ca="1" si="50"/>
        <v/>
      </c>
      <c r="AC366" s="24" t="str">
        <f t="shared" ca="1" si="51"/>
        <v/>
      </c>
    </row>
    <row r="367" spans="3:29" x14ac:dyDescent="0.25">
      <c r="C367" s="6">
        <v>360</v>
      </c>
      <c r="D367" s="37">
        <v>42520</v>
      </c>
      <c r="E367" s="39">
        <v>16</v>
      </c>
      <c r="F367" s="39">
        <v>2.7990713566078229</v>
      </c>
      <c r="G367" s="39">
        <v>50.311179169878478</v>
      </c>
      <c r="H367" s="39">
        <v>46.782601077576764</v>
      </c>
      <c r="I367" s="10">
        <v>0</v>
      </c>
      <c r="J367" s="40">
        <v>0</v>
      </c>
      <c r="K367" s="40">
        <v>0</v>
      </c>
      <c r="L367" s="40">
        <v>0</v>
      </c>
      <c r="M367" s="40">
        <v>1</v>
      </c>
      <c r="N367" s="40">
        <v>0</v>
      </c>
      <c r="O367" s="40">
        <v>0</v>
      </c>
      <c r="P367" s="40">
        <v>0</v>
      </c>
      <c r="Q367" s="40">
        <v>0</v>
      </c>
      <c r="R367" s="40">
        <v>0</v>
      </c>
      <c r="S367" s="40">
        <v>0</v>
      </c>
      <c r="T367" s="29">
        <f t="array" aca="1" ref="T367" ca="1">+fair_value_gap(OFFSET(S366,0,0,-1*$I$5,-1*$Z$1),OFFSET(E366,0,0,-1*$I$5,1),F367:S367,0)</f>
        <v>16.646748645994677</v>
      </c>
      <c r="U367" s="9" t="str" cm="1">
        <f t="array" aca="1" ref="U367" ca="1">z_score_diff(OFFSET(T367,0,0,$I$5*-1,1),OFFSET(E367,0,0,$I$5*-1,1))</f>
        <v/>
      </c>
      <c r="V367" s="9" t="str">
        <f t="shared" ca="1" si="47"/>
        <v/>
      </c>
      <c r="W367" s="17">
        <f t="shared" ca="1" si="44"/>
        <v>0.12393076624261759</v>
      </c>
      <c r="X367" s="13">
        <f t="shared" ca="1" si="45"/>
        <v>0</v>
      </c>
      <c r="Y367" s="13">
        <f t="shared" ca="1" si="46"/>
        <v>0</v>
      </c>
      <c r="Z367" t="str">
        <f t="shared" ca="1" si="48"/>
        <v/>
      </c>
      <c r="AA367" t="str">
        <f t="shared" ca="1" si="49"/>
        <v/>
      </c>
      <c r="AB367" s="24" t="str">
        <f t="shared" ca="1" si="50"/>
        <v/>
      </c>
      <c r="AC367" s="24" t="str">
        <f t="shared" ca="1" si="51"/>
        <v/>
      </c>
    </row>
    <row r="368" spans="3:29" x14ac:dyDescent="0.25">
      <c r="C368" s="6">
        <v>361</v>
      </c>
      <c r="D368" s="37">
        <v>42521</v>
      </c>
      <c r="E368" s="39">
        <v>16.553000000000001</v>
      </c>
      <c r="F368" s="39">
        <v>2.8100540415266466</v>
      </c>
      <c r="G368" s="39">
        <v>50.841539392280524</v>
      </c>
      <c r="H368" s="39">
        <v>47.53652806893718</v>
      </c>
      <c r="I368" s="10">
        <v>0</v>
      </c>
      <c r="J368" s="40">
        <v>0</v>
      </c>
      <c r="K368" s="40">
        <v>0</v>
      </c>
      <c r="L368" s="40">
        <v>0</v>
      </c>
      <c r="M368" s="40">
        <v>1</v>
      </c>
      <c r="N368" s="40">
        <v>0</v>
      </c>
      <c r="O368" s="40">
        <v>0</v>
      </c>
      <c r="P368" s="40">
        <v>0</v>
      </c>
      <c r="Q368" s="40">
        <v>0</v>
      </c>
      <c r="R368" s="40">
        <v>0</v>
      </c>
      <c r="S368" s="40">
        <v>0</v>
      </c>
      <c r="T368" s="29">
        <f t="array" aca="1" ref="T368" ca="1">+fair_value_gap(OFFSET(S367,0,0,-1*$I$5,-1*$Z$1),OFFSET(E367,0,0,-1*$I$5,1),F368:S368,0)</f>
        <v>16.813798886807188</v>
      </c>
      <c r="U368" s="9" t="str" cm="1">
        <f t="array" aca="1" ref="U368" ca="1">z_score_diff(OFFSET(T368,0,0,$I$5*-1,1),OFFSET(E368,0,0,$I$5*-1,1))</f>
        <v/>
      </c>
      <c r="V368" s="9" t="str">
        <f t="shared" ca="1" si="47"/>
        <v/>
      </c>
      <c r="W368" s="17">
        <f t="shared" ca="1" si="44"/>
        <v>9.1772573267313057E-2</v>
      </c>
      <c r="X368" s="13">
        <f t="shared" ca="1" si="45"/>
        <v>0</v>
      </c>
      <c r="Y368" s="13">
        <f t="shared" ca="1" si="46"/>
        <v>0</v>
      </c>
      <c r="Z368" t="str">
        <f t="shared" ca="1" si="48"/>
        <v/>
      </c>
      <c r="AA368" t="str">
        <f t="shared" ca="1" si="49"/>
        <v/>
      </c>
      <c r="AB368" s="24" t="str">
        <f t="shared" ca="1" si="50"/>
        <v/>
      </c>
      <c r="AC368" s="24" t="str">
        <f t="shared" ca="1" si="51"/>
        <v/>
      </c>
    </row>
    <row r="369" spans="3:29" x14ac:dyDescent="0.25">
      <c r="C369" s="6">
        <v>362</v>
      </c>
      <c r="D369" s="37">
        <v>42522</v>
      </c>
      <c r="E369" s="39">
        <v>16.375</v>
      </c>
      <c r="F369" s="39">
        <v>2.7833092159720603</v>
      </c>
      <c r="G369" s="39">
        <v>50.643247862814363</v>
      </c>
      <c r="H369" s="39">
        <v>47.973051356459834</v>
      </c>
      <c r="I369" s="10">
        <v>0</v>
      </c>
      <c r="J369" s="40">
        <v>0</v>
      </c>
      <c r="K369" s="40">
        <v>0</v>
      </c>
      <c r="L369" s="40">
        <v>0</v>
      </c>
      <c r="M369" s="40">
        <v>0</v>
      </c>
      <c r="N369" s="40">
        <v>1</v>
      </c>
      <c r="O369" s="40">
        <v>0</v>
      </c>
      <c r="P369" s="40">
        <v>0</v>
      </c>
      <c r="Q369" s="40">
        <v>0</v>
      </c>
      <c r="R369" s="40">
        <v>0</v>
      </c>
      <c r="S369" s="40">
        <v>0</v>
      </c>
      <c r="T369" s="29">
        <f t="array" aca="1" ref="T369" ca="1">+fair_value_gap(OFFSET(S368,0,0,-1*$I$5,-1*$Z$1),OFFSET(E368,0,0,-1*$I$5,1),F369:S369,0)</f>
        <v>16.620294415325695</v>
      </c>
      <c r="U369" s="9" t="str" cm="1">
        <f t="array" aca="1" ref="U369" ca="1">z_score_diff(OFFSET(T369,0,0,$I$5*-1,1),OFFSET(E369,0,0,$I$5*-1,1))</f>
        <v/>
      </c>
      <c r="V369" s="9" t="str">
        <f t="shared" ca="1" si="47"/>
        <v/>
      </c>
      <c r="W369" s="17">
        <f t="shared" ca="1" si="44"/>
        <v>0.10709336455261936</v>
      </c>
      <c r="X369" s="13">
        <f t="shared" ca="1" si="45"/>
        <v>0</v>
      </c>
      <c r="Y369" s="13">
        <f t="shared" ca="1" si="46"/>
        <v>0</v>
      </c>
      <c r="Z369" t="str">
        <f t="shared" ca="1" si="48"/>
        <v/>
      </c>
      <c r="AA369" t="str">
        <f t="shared" ca="1" si="49"/>
        <v/>
      </c>
      <c r="AB369" s="24" t="str">
        <f t="shared" ca="1" si="50"/>
        <v/>
      </c>
      <c r="AC369" s="24" t="str">
        <f t="shared" ca="1" si="51"/>
        <v/>
      </c>
    </row>
    <row r="370" spans="3:29" x14ac:dyDescent="0.25">
      <c r="C370" s="6">
        <v>363</v>
      </c>
      <c r="D370" s="37">
        <v>42523</v>
      </c>
      <c r="E370" s="39">
        <v>16.739000000000001</v>
      </c>
      <c r="F370" s="39">
        <v>2.8095521269132853</v>
      </c>
      <c r="G370" s="39">
        <v>51.732484076433117</v>
      </c>
      <c r="H370" s="39">
        <v>49.482448619264531</v>
      </c>
      <c r="I370" s="10">
        <v>0</v>
      </c>
      <c r="J370" s="40">
        <v>0</v>
      </c>
      <c r="K370" s="40">
        <v>0</v>
      </c>
      <c r="L370" s="40">
        <v>0</v>
      </c>
      <c r="M370" s="40">
        <v>0</v>
      </c>
      <c r="N370" s="40">
        <v>1</v>
      </c>
      <c r="O370" s="40">
        <v>0</v>
      </c>
      <c r="P370" s="40">
        <v>0</v>
      </c>
      <c r="Q370" s="40">
        <v>0</v>
      </c>
      <c r="R370" s="40">
        <v>0</v>
      </c>
      <c r="S370" s="40">
        <v>0</v>
      </c>
      <c r="T370" s="29">
        <f t="array" aca="1" ref="T370" ca="1">+fair_value_gap(OFFSET(S369,0,0,-1*$I$5,-1*$Z$1),OFFSET(E369,0,0,-1*$I$5,1),F370:S370,0)</f>
        <v>16.915306933530992</v>
      </c>
      <c r="U370" s="9" t="str" cm="1">
        <f t="array" aca="1" ref="U370" ca="1">z_score_diff(OFFSET(T370,0,0,$I$5*-1,1),OFFSET(E370,0,0,$I$5*-1,1))</f>
        <v/>
      </c>
      <c r="V370" s="9" t="str">
        <f t="shared" ca="1" si="47"/>
        <v/>
      </c>
      <c r="W370" s="17">
        <f t="shared" ca="1" si="44"/>
        <v>9.2705353151147585E-2</v>
      </c>
      <c r="X370" s="13">
        <f t="shared" ca="1" si="45"/>
        <v>0</v>
      </c>
      <c r="Y370" s="13">
        <f t="shared" ca="1" si="46"/>
        <v>0</v>
      </c>
      <c r="Z370" t="str">
        <f t="shared" ca="1" si="48"/>
        <v/>
      </c>
      <c r="AA370" t="str">
        <f t="shared" ca="1" si="49"/>
        <v/>
      </c>
      <c r="AB370" s="24" t="str">
        <f t="shared" ca="1" si="50"/>
        <v/>
      </c>
      <c r="AC370" s="24" t="str">
        <f t="shared" ca="1" si="51"/>
        <v/>
      </c>
    </row>
    <row r="371" spans="3:29" x14ac:dyDescent="0.25">
      <c r="C371" s="6">
        <v>364</v>
      </c>
      <c r="D371" s="37">
        <v>42524</v>
      </c>
      <c r="E371" s="39">
        <v>16.734999999999999</v>
      </c>
      <c r="F371" s="39">
        <v>2.7578304837472083</v>
      </c>
      <c r="G371" s="39">
        <v>51.548726569046607</v>
      </c>
      <c r="H371" s="39">
        <v>49.548046120972927</v>
      </c>
      <c r="I371" s="10">
        <v>0</v>
      </c>
      <c r="J371" s="40">
        <v>0</v>
      </c>
      <c r="K371" s="40">
        <v>0</v>
      </c>
      <c r="L371" s="40">
        <v>0</v>
      </c>
      <c r="M371" s="40">
        <v>0</v>
      </c>
      <c r="N371" s="40">
        <v>1</v>
      </c>
      <c r="O371" s="40">
        <v>0</v>
      </c>
      <c r="P371" s="40">
        <v>0</v>
      </c>
      <c r="Q371" s="40">
        <v>0</v>
      </c>
      <c r="R371" s="40">
        <v>0</v>
      </c>
      <c r="S371" s="40">
        <v>0</v>
      </c>
      <c r="T371" s="29">
        <f t="array" aca="1" ref="T371" ca="1">+fair_value_gap(OFFSET(S370,0,0,-1*$I$5,-1*$Z$1),OFFSET(E370,0,0,-1*$I$5,1),F371:S371,0)</f>
        <v>16.78938414368411</v>
      </c>
      <c r="U371" s="9" t="str" cm="1">
        <f t="array" aca="1" ref="U371" ca="1">z_score_diff(OFFSET(T371,0,0,$I$5*-1,1),OFFSET(E371,0,0,$I$5*-1,1))</f>
        <v/>
      </c>
      <c r="V371" s="9" t="str">
        <f t="shared" ca="1" si="47"/>
        <v/>
      </c>
      <c r="W371" s="17">
        <f t="shared" ca="1" si="44"/>
        <v>7.9734692141601712E-2</v>
      </c>
      <c r="X371" s="13">
        <f t="shared" ca="1" si="45"/>
        <v>0</v>
      </c>
      <c r="Y371" s="13">
        <f t="shared" ca="1" si="46"/>
        <v>0</v>
      </c>
      <c r="Z371" t="str">
        <f t="shared" ca="1" si="48"/>
        <v/>
      </c>
      <c r="AA371" t="str">
        <f t="shared" ca="1" si="49"/>
        <v/>
      </c>
      <c r="AB371" s="24" t="str">
        <f t="shared" ca="1" si="50"/>
        <v/>
      </c>
      <c r="AC371" s="24" t="str">
        <f t="shared" ca="1" si="51"/>
        <v/>
      </c>
    </row>
    <row r="372" spans="3:29" x14ac:dyDescent="0.25">
      <c r="C372" s="6">
        <v>365</v>
      </c>
      <c r="D372" s="37">
        <v>42527</v>
      </c>
      <c r="E372" s="39">
        <v>17.244</v>
      </c>
      <c r="F372" s="39">
        <v>2.7629756102181018</v>
      </c>
      <c r="G372" s="39">
        <v>53.335037248077455</v>
      </c>
      <c r="H372" s="39">
        <v>50.756438835262422</v>
      </c>
      <c r="I372" s="10">
        <v>0</v>
      </c>
      <c r="J372" s="40">
        <v>0</v>
      </c>
      <c r="K372" s="40">
        <v>0</v>
      </c>
      <c r="L372" s="40">
        <v>0</v>
      </c>
      <c r="M372" s="40">
        <v>0</v>
      </c>
      <c r="N372" s="40">
        <v>1</v>
      </c>
      <c r="O372" s="40">
        <v>0</v>
      </c>
      <c r="P372" s="40">
        <v>0</v>
      </c>
      <c r="Q372" s="40">
        <v>0</v>
      </c>
      <c r="R372" s="40">
        <v>0</v>
      </c>
      <c r="S372" s="40">
        <v>0</v>
      </c>
      <c r="T372" s="29">
        <f t="array" aca="1" ref="T372" ca="1">+fair_value_gap(OFFSET(S371,0,0,-1*$I$5,-1*$Z$1),OFFSET(E371,0,0,-1*$I$5,1),F372:S372,0)</f>
        <v>17.378723602809814</v>
      </c>
      <c r="U372" s="9" t="str" cm="1">
        <f t="array" aca="1" ref="U372" ca="1">z_score_diff(OFFSET(T372,0,0,$I$5*-1,1),OFFSET(E372,0,0,$I$5*-1,1))</f>
        <v/>
      </c>
      <c r="V372" s="9" t="str">
        <f t="shared" ca="1" si="47"/>
        <v/>
      </c>
      <c r="W372" s="17">
        <f t="shared" ca="1" si="44"/>
        <v>4.9883114747701782E-2</v>
      </c>
      <c r="X372" s="13">
        <f t="shared" ca="1" si="45"/>
        <v>0</v>
      </c>
      <c r="Y372" s="13">
        <f t="shared" ca="1" si="46"/>
        <v>0</v>
      </c>
      <c r="Z372" t="str">
        <f t="shared" ca="1" si="48"/>
        <v/>
      </c>
      <c r="AA372" t="str">
        <f t="shared" ca="1" si="49"/>
        <v/>
      </c>
      <c r="AB372" s="24" t="str">
        <f t="shared" ca="1" si="50"/>
        <v/>
      </c>
      <c r="AC372" s="24" t="str">
        <f t="shared" ca="1" si="51"/>
        <v/>
      </c>
    </row>
    <row r="373" spans="3:29" x14ac:dyDescent="0.25">
      <c r="C373" s="6">
        <v>366</v>
      </c>
      <c r="D373" s="37">
        <v>42528</v>
      </c>
      <c r="E373" s="39">
        <v>17.521000000000001</v>
      </c>
      <c r="F373" s="39">
        <v>2.7891625539431786</v>
      </c>
      <c r="G373" s="39">
        <v>54.213115539496144</v>
      </c>
      <c r="H373" s="39">
        <v>50.445964710206866</v>
      </c>
      <c r="I373" s="10">
        <v>0</v>
      </c>
      <c r="J373" s="40">
        <v>0</v>
      </c>
      <c r="K373" s="40">
        <v>0</v>
      </c>
      <c r="L373" s="40">
        <v>0</v>
      </c>
      <c r="M373" s="40">
        <v>0</v>
      </c>
      <c r="N373" s="40">
        <v>1</v>
      </c>
      <c r="O373" s="40">
        <v>0</v>
      </c>
      <c r="P373" s="40">
        <v>0</v>
      </c>
      <c r="Q373" s="40">
        <v>0</v>
      </c>
      <c r="R373" s="40">
        <v>0</v>
      </c>
      <c r="S373" s="40">
        <v>0</v>
      </c>
      <c r="T373" s="29">
        <f t="array" aca="1" ref="T373" ca="1">+fair_value_gap(OFFSET(S372,0,0,-1*$I$5,-1*$Z$1),OFFSET(E372,0,0,-1*$I$5,1),F373:S373,0)</f>
        <v>17.620277728150352</v>
      </c>
      <c r="U373" s="9" t="str" cm="1">
        <f t="array" aca="1" ref="U373" ca="1">z_score_diff(OFFSET(T373,0,0,$I$5*-1,1),OFFSET(E373,0,0,$I$5*-1,1))</f>
        <v/>
      </c>
      <c r="V373" s="9" t="str">
        <f t="shared" ca="1" si="47"/>
        <v/>
      </c>
      <c r="W373" s="17">
        <f t="shared" ca="1" si="44"/>
        <v>2.6471471349531841E-2</v>
      </c>
      <c r="X373" s="13">
        <f t="shared" ca="1" si="45"/>
        <v>0</v>
      </c>
      <c r="Y373" s="13">
        <f t="shared" ca="1" si="46"/>
        <v>0</v>
      </c>
      <c r="Z373" t="str">
        <f t="shared" ca="1" si="48"/>
        <v/>
      </c>
      <c r="AA373" t="str">
        <f t="shared" ca="1" si="49"/>
        <v/>
      </c>
      <c r="AB373" s="24" t="str">
        <f t="shared" ca="1" si="50"/>
        <v/>
      </c>
      <c r="AC373" s="24" t="str">
        <f t="shared" ca="1" si="51"/>
        <v/>
      </c>
    </row>
    <row r="374" spans="3:29" x14ac:dyDescent="0.25">
      <c r="C374" s="6">
        <v>367</v>
      </c>
      <c r="D374" s="37">
        <v>42529</v>
      </c>
      <c r="E374" s="39">
        <v>17.518000000000001</v>
      </c>
      <c r="F374" s="39">
        <v>2.7829823335148016</v>
      </c>
      <c r="G374" s="39">
        <v>53.934523488484977</v>
      </c>
      <c r="H374" s="39">
        <v>49.245306025015076</v>
      </c>
      <c r="I374" s="10">
        <v>0</v>
      </c>
      <c r="J374" s="40">
        <v>0</v>
      </c>
      <c r="K374" s="40">
        <v>0</v>
      </c>
      <c r="L374" s="40">
        <v>0</v>
      </c>
      <c r="M374" s="40">
        <v>0</v>
      </c>
      <c r="N374" s="40">
        <v>1</v>
      </c>
      <c r="O374" s="40">
        <v>0</v>
      </c>
      <c r="P374" s="40">
        <v>0</v>
      </c>
      <c r="Q374" s="40">
        <v>0</v>
      </c>
      <c r="R374" s="40">
        <v>0</v>
      </c>
      <c r="S374" s="40">
        <v>0</v>
      </c>
      <c r="T374" s="29">
        <f t="array" aca="1" ref="T374" ca="1">+fair_value_gap(OFFSET(S373,0,0,-1*$I$5,-1*$Z$1),OFFSET(E373,0,0,-1*$I$5,1),F374:S374,0)</f>
        <v>17.473116834705156</v>
      </c>
      <c r="U374" s="9" t="str" cm="1">
        <f t="array" aca="1" ref="U374" ca="1">z_score_diff(OFFSET(T374,0,0,$I$5*-1,1),OFFSET(E374,0,0,$I$5*-1,1))</f>
        <v/>
      </c>
      <c r="V374" s="9" t="str">
        <f t="shared" ca="1" si="47"/>
        <v/>
      </c>
      <c r="W374" s="17">
        <f t="shared" ca="1" si="44"/>
        <v>2.1851079709498896E-2</v>
      </c>
      <c r="X374" s="13">
        <f t="shared" ca="1" si="45"/>
        <v>0</v>
      </c>
      <c r="Y374" s="13">
        <f t="shared" ca="1" si="46"/>
        <v>0</v>
      </c>
      <c r="Z374" t="str">
        <f t="shared" ca="1" si="48"/>
        <v/>
      </c>
      <c r="AA374" t="str">
        <f t="shared" ca="1" si="49"/>
        <v/>
      </c>
      <c r="AB374" s="24" t="str">
        <f t="shared" ca="1" si="50"/>
        <v/>
      </c>
      <c r="AC374" s="24" t="str">
        <f t="shared" ca="1" si="51"/>
        <v/>
      </c>
    </row>
    <row r="375" spans="3:29" x14ac:dyDescent="0.25">
      <c r="C375" s="6">
        <v>368</v>
      </c>
      <c r="D375" s="37">
        <v>42530</v>
      </c>
      <c r="E375" s="39">
        <v>17.396999999999998</v>
      </c>
      <c r="F375" s="39">
        <v>2.8160830593193156</v>
      </c>
      <c r="G375" s="39">
        <v>53.579630177235579</v>
      </c>
      <c r="H375" s="39">
        <v>49.499771306733436</v>
      </c>
      <c r="I375" s="10">
        <v>0</v>
      </c>
      <c r="J375" s="40">
        <v>0</v>
      </c>
      <c r="K375" s="40">
        <v>0</v>
      </c>
      <c r="L375" s="40">
        <v>0</v>
      </c>
      <c r="M375" s="40">
        <v>0</v>
      </c>
      <c r="N375" s="40">
        <v>1</v>
      </c>
      <c r="O375" s="40">
        <v>0</v>
      </c>
      <c r="P375" s="40">
        <v>0</v>
      </c>
      <c r="Q375" s="40">
        <v>0</v>
      </c>
      <c r="R375" s="40">
        <v>0</v>
      </c>
      <c r="S375" s="40">
        <v>0</v>
      </c>
      <c r="T375" s="29">
        <f t="array" aca="1" ref="T375" ca="1">+fair_value_gap(OFFSET(S374,0,0,-1*$I$5,-1*$Z$1),OFFSET(E374,0,0,-1*$I$5,1),F375:S375,0)</f>
        <v>17.390873859622083</v>
      </c>
      <c r="U375" s="9" t="str" cm="1">
        <f t="array" aca="1" ref="U375" ca="1">z_score_diff(OFFSET(T375,0,0,$I$5*-1,1),OFFSET(E375,0,0,$I$5*-1,1))</f>
        <v/>
      </c>
      <c r="V375" s="9" t="str">
        <f t="shared" ca="1" si="47"/>
        <v/>
      </c>
      <c r="W375" s="17">
        <f t="shared" ca="1" si="44"/>
        <v>1.7040847777511164E-2</v>
      </c>
      <c r="X375" s="13">
        <f t="shared" ca="1" si="45"/>
        <v>0</v>
      </c>
      <c r="Y375" s="13">
        <f t="shared" ca="1" si="46"/>
        <v>0</v>
      </c>
      <c r="Z375" t="str">
        <f t="shared" ca="1" si="48"/>
        <v/>
      </c>
      <c r="AA375" t="str">
        <f t="shared" ca="1" si="49"/>
        <v/>
      </c>
      <c r="AB375" s="24" t="str">
        <f t="shared" ca="1" si="50"/>
        <v/>
      </c>
      <c r="AC375" s="24" t="str">
        <f t="shared" ca="1" si="51"/>
        <v/>
      </c>
    </row>
    <row r="376" spans="3:29" x14ac:dyDescent="0.25">
      <c r="C376" s="6">
        <v>369</v>
      </c>
      <c r="D376" s="37">
        <v>42531</v>
      </c>
      <c r="E376" s="39">
        <v>17.027000000000001</v>
      </c>
      <c r="F376" s="39">
        <v>2.8154750200546044</v>
      </c>
      <c r="G376" s="39">
        <v>52.728924654422741</v>
      </c>
      <c r="H376" s="39">
        <v>49.027199437601034</v>
      </c>
      <c r="I376" s="10">
        <v>0</v>
      </c>
      <c r="J376" s="40">
        <v>0</v>
      </c>
      <c r="K376" s="40">
        <v>0</v>
      </c>
      <c r="L376" s="40">
        <v>0</v>
      </c>
      <c r="M376" s="40">
        <v>0</v>
      </c>
      <c r="N376" s="40">
        <v>1</v>
      </c>
      <c r="O376" s="40">
        <v>0</v>
      </c>
      <c r="P376" s="40">
        <v>0</v>
      </c>
      <c r="Q376" s="40">
        <v>0</v>
      </c>
      <c r="R376" s="40">
        <v>0</v>
      </c>
      <c r="S376" s="40">
        <v>0</v>
      </c>
      <c r="T376" s="29">
        <f t="array" aca="1" ref="T376" ca="1">+fair_value_gap(OFFSET(S375,0,0,-1*$I$5,-1*$Z$1),OFFSET(E375,0,0,-1*$I$5,1),F376:S376,0)</f>
        <v>17.109453590584657</v>
      </c>
      <c r="U376" s="9" t="str" cm="1">
        <f t="array" aca="1" ref="U376" ca="1">z_score_diff(OFFSET(T376,0,0,$I$5*-1,1),OFFSET(E376,0,0,$I$5*-1,1))</f>
        <v/>
      </c>
      <c r="V376" s="9" t="str">
        <f t="shared" ca="1" si="47"/>
        <v/>
      </c>
      <c r="W376" s="17">
        <f t="shared" ca="1" si="44"/>
        <v>3.0424556035701759E-2</v>
      </c>
      <c r="X376" s="13">
        <f t="shared" ca="1" si="45"/>
        <v>0</v>
      </c>
      <c r="Y376" s="13">
        <f t="shared" ca="1" si="46"/>
        <v>0</v>
      </c>
      <c r="Z376" t="str">
        <f t="shared" ca="1" si="48"/>
        <v/>
      </c>
      <c r="AA376" t="str">
        <f t="shared" ca="1" si="49"/>
        <v/>
      </c>
      <c r="AB376" s="24" t="str">
        <f t="shared" ca="1" si="50"/>
        <v/>
      </c>
      <c r="AC376" s="24" t="str">
        <f t="shared" ca="1" si="51"/>
        <v/>
      </c>
    </row>
    <row r="377" spans="3:29" x14ac:dyDescent="0.25">
      <c r="C377" s="6">
        <v>370</v>
      </c>
      <c r="D377" s="37">
        <v>42534</v>
      </c>
      <c r="E377" s="39">
        <v>16.986999999999998</v>
      </c>
      <c r="F377" s="39">
        <v>2.7989667487257726</v>
      </c>
      <c r="G377" s="39">
        <v>52.554454461912925</v>
      </c>
      <c r="H377" s="39">
        <v>48.715370479525674</v>
      </c>
      <c r="I377" s="10">
        <v>0</v>
      </c>
      <c r="J377" s="40">
        <v>0</v>
      </c>
      <c r="K377" s="40">
        <v>0</v>
      </c>
      <c r="L377" s="40">
        <v>0</v>
      </c>
      <c r="M377" s="40">
        <v>0</v>
      </c>
      <c r="N377" s="40">
        <v>1</v>
      </c>
      <c r="O377" s="40">
        <v>0</v>
      </c>
      <c r="P377" s="40">
        <v>0</v>
      </c>
      <c r="Q377" s="40">
        <v>0</v>
      </c>
      <c r="R377" s="40">
        <v>0</v>
      </c>
      <c r="S377" s="40">
        <v>0</v>
      </c>
      <c r="T377" s="29">
        <f t="array" aca="1" ref="T377" ca="1">+fair_value_gap(OFFSET(S376,0,0,-1*$I$5,-1*$Z$1),OFFSET(E376,0,0,-1*$I$5,1),F377:S377,0)</f>
        <v>17.02890265824708</v>
      </c>
      <c r="U377" s="9" t="str" cm="1">
        <f t="array" aca="1" ref="U377" ca="1">z_score_diff(OFFSET(T377,0,0,$I$5*-1,1),OFFSET(E377,0,0,$I$5*-1,1))</f>
        <v/>
      </c>
      <c r="V377" s="9" t="str">
        <f t="shared" ca="1" si="47"/>
        <v/>
      </c>
      <c r="W377" s="17">
        <f t="shared" ca="1" si="44"/>
        <v>1.368122368558841E-2</v>
      </c>
      <c r="X377" s="13">
        <f t="shared" ca="1" si="45"/>
        <v>0</v>
      </c>
      <c r="Y377" s="13">
        <f t="shared" ca="1" si="46"/>
        <v>0</v>
      </c>
      <c r="Z377" t="str">
        <f t="shared" ca="1" si="48"/>
        <v/>
      </c>
      <c r="AA377" t="str">
        <f t="shared" ca="1" si="49"/>
        <v/>
      </c>
      <c r="AB377" s="24" t="str">
        <f t="shared" ca="1" si="50"/>
        <v/>
      </c>
      <c r="AC377" s="24" t="str">
        <f t="shared" ca="1" si="51"/>
        <v/>
      </c>
    </row>
    <row r="378" spans="3:29" x14ac:dyDescent="0.25">
      <c r="C378" s="6">
        <v>371</v>
      </c>
      <c r="D378" s="37">
        <v>42535</v>
      </c>
      <c r="E378" s="39">
        <v>17.145</v>
      </c>
      <c r="F378" s="39">
        <v>2.7958749500424966</v>
      </c>
      <c r="G378" s="39">
        <v>53.35125763622429</v>
      </c>
      <c r="H378" s="39">
        <v>49.390300303497284</v>
      </c>
      <c r="I378" s="10">
        <v>0</v>
      </c>
      <c r="J378" s="40">
        <v>0</v>
      </c>
      <c r="K378" s="40">
        <v>0</v>
      </c>
      <c r="L378" s="40">
        <v>0</v>
      </c>
      <c r="M378" s="40">
        <v>0</v>
      </c>
      <c r="N378" s="40">
        <v>1</v>
      </c>
      <c r="O378" s="40">
        <v>0</v>
      </c>
      <c r="P378" s="40">
        <v>0</v>
      </c>
      <c r="Q378" s="40">
        <v>0</v>
      </c>
      <c r="R378" s="40">
        <v>0</v>
      </c>
      <c r="S378" s="40">
        <v>0</v>
      </c>
      <c r="T378" s="29">
        <f t="array" aca="1" ref="T378" ca="1">+fair_value_gap(OFFSET(S377,0,0,-1*$I$5,-1*$Z$1),OFFSET(E377,0,0,-1*$I$5,1),F378:S378,0)</f>
        <v>17.297377932893255</v>
      </c>
      <c r="U378" s="9" t="str" cm="1">
        <f t="array" aca="1" ref="U378" ca="1">z_score_diff(OFFSET(T378,0,0,$I$5*-1,1),OFFSET(E378,0,0,$I$5*-1,1))</f>
        <v/>
      </c>
      <c r="V378" s="9" t="str">
        <f t="shared" ca="1" si="47"/>
        <v/>
      </c>
      <c r="W378" s="17">
        <f t="shared" ca="1" si="44"/>
        <v>-8.669728019669188E-3</v>
      </c>
      <c r="X378" s="13">
        <f t="shared" ca="1" si="45"/>
        <v>0</v>
      </c>
      <c r="Y378" s="13">
        <f t="shared" ca="1" si="46"/>
        <v>0</v>
      </c>
      <c r="Z378" t="str">
        <f t="shared" ca="1" si="48"/>
        <v/>
      </c>
      <c r="AA378" t="str">
        <f t="shared" ca="1" si="49"/>
        <v/>
      </c>
      <c r="AB378" s="24" t="str">
        <f t="shared" ca="1" si="50"/>
        <v/>
      </c>
      <c r="AC378" s="24" t="str">
        <f t="shared" ca="1" si="51"/>
        <v/>
      </c>
    </row>
    <row r="379" spans="3:29" x14ac:dyDescent="0.25">
      <c r="C379" s="6">
        <v>372</v>
      </c>
      <c r="D379" s="37">
        <v>42536</v>
      </c>
      <c r="E379" s="39">
        <v>17.263000000000002</v>
      </c>
      <c r="F379" s="39">
        <v>2.7555941777101891</v>
      </c>
      <c r="G379" s="39">
        <v>53.954754125275031</v>
      </c>
      <c r="H379" s="39">
        <v>49.837062785140127</v>
      </c>
      <c r="I379" s="10">
        <v>0</v>
      </c>
      <c r="J379" s="40">
        <v>0</v>
      </c>
      <c r="K379" s="40">
        <v>0</v>
      </c>
      <c r="L379" s="40">
        <v>0</v>
      </c>
      <c r="M379" s="40">
        <v>0</v>
      </c>
      <c r="N379" s="40">
        <v>1</v>
      </c>
      <c r="O379" s="40">
        <v>0</v>
      </c>
      <c r="P379" s="40">
        <v>0</v>
      </c>
      <c r="Q379" s="40">
        <v>0</v>
      </c>
      <c r="R379" s="40">
        <v>0</v>
      </c>
      <c r="S379" s="40">
        <v>0</v>
      </c>
      <c r="T379" s="29">
        <f t="array" aca="1" ref="T379" ca="1">+fair_value_gap(OFFSET(S378,0,0,-1*$I$5,-1*$Z$1),OFFSET(E378,0,0,-1*$I$5,1),F379:S379,0)</f>
        <v>17.472910202915514</v>
      </c>
      <c r="U379" s="9" t="str" cm="1">
        <f t="array" aca="1" ref="U379" ca="1">z_score_diff(OFFSET(T379,0,0,$I$5*-1,1),OFFSET(E379,0,0,$I$5*-1,1))</f>
        <v/>
      </c>
      <c r="V379" s="9" t="str">
        <f t="shared" ca="1" si="47"/>
        <v/>
      </c>
      <c r="W379" s="17">
        <f t="shared" ca="1" si="44"/>
        <v>-1.9242047614326397E-2</v>
      </c>
      <c r="X379" s="13">
        <f t="shared" ca="1" si="45"/>
        <v>0</v>
      </c>
      <c r="Y379" s="13">
        <f t="shared" ca="1" si="46"/>
        <v>0</v>
      </c>
      <c r="Z379" t="str">
        <f t="shared" ca="1" si="48"/>
        <v/>
      </c>
      <c r="AA379" t="str">
        <f t="shared" ca="1" si="49"/>
        <v/>
      </c>
      <c r="AB379" s="24" t="str">
        <f t="shared" ca="1" si="50"/>
        <v/>
      </c>
      <c r="AC379" s="24" t="str">
        <f t="shared" ca="1" si="51"/>
        <v/>
      </c>
    </row>
    <row r="380" spans="3:29" x14ac:dyDescent="0.25">
      <c r="C380" s="6">
        <v>373</v>
      </c>
      <c r="D380" s="37">
        <v>42537</v>
      </c>
      <c r="E380" s="39">
        <v>17.222000000000001</v>
      </c>
      <c r="F380" s="39">
        <v>2.7632156824471754</v>
      </c>
      <c r="G380" s="39">
        <v>53.605369261352656</v>
      </c>
      <c r="H380" s="39">
        <v>50.541314910733583</v>
      </c>
      <c r="I380" s="10">
        <v>0</v>
      </c>
      <c r="J380" s="40">
        <v>0</v>
      </c>
      <c r="K380" s="40">
        <v>0</v>
      </c>
      <c r="L380" s="40">
        <v>0</v>
      </c>
      <c r="M380" s="40">
        <v>0</v>
      </c>
      <c r="N380" s="40">
        <v>1</v>
      </c>
      <c r="O380" s="40">
        <v>0</v>
      </c>
      <c r="P380" s="40">
        <v>0</v>
      </c>
      <c r="Q380" s="40">
        <v>0</v>
      </c>
      <c r="R380" s="40">
        <v>0</v>
      </c>
      <c r="S380" s="40">
        <v>0</v>
      </c>
      <c r="T380" s="29">
        <f t="array" aca="1" ref="T380" ca="1">+fair_value_gap(OFFSET(S379,0,0,-1*$I$5,-1*$Z$1),OFFSET(E379,0,0,-1*$I$5,1),F380:S380,0)</f>
        <v>17.376439361201417</v>
      </c>
      <c r="U380" s="9" t="str" cm="1">
        <f t="array" aca="1" ref="U380" ca="1">z_score_diff(OFFSET(T380,0,0,$I$5*-1,1),OFFSET(E380,0,0,$I$5*-1,1))</f>
        <v/>
      </c>
      <c r="V380" s="9" t="str">
        <f t="shared" ca="1" si="47"/>
        <v/>
      </c>
      <c r="W380" s="17">
        <f t="shared" ca="1" si="44"/>
        <v>-1.9880437778917057E-2</v>
      </c>
      <c r="X380" s="13">
        <f t="shared" ca="1" si="45"/>
        <v>0</v>
      </c>
      <c r="Y380" s="13">
        <f t="shared" ca="1" si="46"/>
        <v>0</v>
      </c>
      <c r="Z380" t="str">
        <f t="shared" ca="1" si="48"/>
        <v/>
      </c>
      <c r="AA380" t="str">
        <f t="shared" ca="1" si="49"/>
        <v/>
      </c>
      <c r="AB380" s="24" t="str">
        <f t="shared" ca="1" si="50"/>
        <v/>
      </c>
      <c r="AC380" s="24" t="str">
        <f t="shared" ca="1" si="51"/>
        <v/>
      </c>
    </row>
    <row r="381" spans="3:29" x14ac:dyDescent="0.25">
      <c r="C381" s="6">
        <v>374</v>
      </c>
      <c r="D381" s="37">
        <v>42538</v>
      </c>
      <c r="E381" s="39">
        <v>17.561</v>
      </c>
      <c r="F381" s="39">
        <v>2.7574302727505344</v>
      </c>
      <c r="G381" s="39">
        <v>54.733171086634727</v>
      </c>
      <c r="H381" s="39">
        <v>51.436179670999273</v>
      </c>
      <c r="I381" s="10">
        <v>0</v>
      </c>
      <c r="J381" s="40">
        <v>0</v>
      </c>
      <c r="K381" s="40">
        <v>0</v>
      </c>
      <c r="L381" s="40">
        <v>0</v>
      </c>
      <c r="M381" s="40">
        <v>0</v>
      </c>
      <c r="N381" s="40">
        <v>1</v>
      </c>
      <c r="O381" s="40">
        <v>0</v>
      </c>
      <c r="P381" s="40">
        <v>0</v>
      </c>
      <c r="Q381" s="40">
        <v>0</v>
      </c>
      <c r="R381" s="40">
        <v>0</v>
      </c>
      <c r="S381" s="40">
        <v>0</v>
      </c>
      <c r="T381" s="29">
        <f t="array" aca="1" ref="T381" ca="1">+fair_value_gap(OFFSET(S380,0,0,-1*$I$5,-1*$Z$1),OFFSET(E380,0,0,-1*$I$5,1),F381:S381,0)</f>
        <v>17.736444662739146</v>
      </c>
      <c r="U381" s="9" t="str" cm="1">
        <f t="array" aca="1" ref="U381" ca="1">z_score_diff(OFFSET(T381,0,0,$I$5*-1,1),OFFSET(E381,0,0,$I$5*-1,1))</f>
        <v/>
      </c>
      <c r="V381" s="9" t="str">
        <f t="shared" ca="1" si="47"/>
        <v/>
      </c>
      <c r="W381" s="17">
        <f t="shared" ca="1" si="44"/>
        <v>-5.0211936324237191E-2</v>
      </c>
      <c r="X381" s="13">
        <f t="shared" ca="1" si="45"/>
        <v>0</v>
      </c>
      <c r="Y381" s="13">
        <f t="shared" ca="1" si="46"/>
        <v>0</v>
      </c>
      <c r="Z381" t="str">
        <f t="shared" ca="1" si="48"/>
        <v/>
      </c>
      <c r="AA381" t="str">
        <f t="shared" ca="1" si="49"/>
        <v/>
      </c>
      <c r="AB381" s="24" t="str">
        <f t="shared" ca="1" si="50"/>
        <v/>
      </c>
      <c r="AC381" s="24" t="str">
        <f t="shared" ca="1" si="51"/>
        <v/>
      </c>
    </row>
    <row r="382" spans="3:29" x14ac:dyDescent="0.25">
      <c r="C382" s="6">
        <v>375</v>
      </c>
      <c r="D382" s="37">
        <v>42541</v>
      </c>
      <c r="E382" s="39">
        <v>18.251000000000001</v>
      </c>
      <c r="F382" s="39">
        <v>2.7811384161174582</v>
      </c>
      <c r="G382" s="39">
        <v>56.747657072366323</v>
      </c>
      <c r="H382" s="39">
        <v>53.573235347784994</v>
      </c>
      <c r="I382" s="10">
        <v>0</v>
      </c>
      <c r="J382" s="40">
        <v>0</v>
      </c>
      <c r="K382" s="40">
        <v>0</v>
      </c>
      <c r="L382" s="40">
        <v>0</v>
      </c>
      <c r="M382" s="40">
        <v>0</v>
      </c>
      <c r="N382" s="40">
        <v>1</v>
      </c>
      <c r="O382" s="40">
        <v>0</v>
      </c>
      <c r="P382" s="40">
        <v>0</v>
      </c>
      <c r="Q382" s="40">
        <v>0</v>
      </c>
      <c r="R382" s="40">
        <v>0</v>
      </c>
      <c r="S382" s="40">
        <v>0</v>
      </c>
      <c r="T382" s="29">
        <f t="array" aca="1" ref="T382" ca="1">+fair_value_gap(OFFSET(S381,0,0,-1*$I$5,-1*$Z$1),OFFSET(E381,0,0,-1*$I$5,1),F382:S382,0)</f>
        <v>18.417800157859755</v>
      </c>
      <c r="U382" s="9" t="str" cm="1">
        <f t="array" aca="1" ref="U382" ca="1">z_score_diff(OFFSET(T382,0,0,$I$5*-1,1),OFFSET(E382,0,0,$I$5*-1,1))</f>
        <v/>
      </c>
      <c r="V382" s="9" t="str">
        <f t="shared" ca="1" si="47"/>
        <v/>
      </c>
      <c r="W382" s="17">
        <f t="shared" ca="1" si="44"/>
        <v>-7.9098000359835968E-2</v>
      </c>
      <c r="X382" s="13">
        <f t="shared" ca="1" si="45"/>
        <v>0</v>
      </c>
      <c r="Y382" s="13">
        <f t="shared" ca="1" si="46"/>
        <v>0</v>
      </c>
      <c r="Z382" t="str">
        <f t="shared" ca="1" si="48"/>
        <v/>
      </c>
      <c r="AA382" t="str">
        <f t="shared" ca="1" si="49"/>
        <v/>
      </c>
      <c r="AB382" s="24" t="str">
        <f t="shared" ca="1" si="50"/>
        <v/>
      </c>
      <c r="AC382" s="24" t="str">
        <f t="shared" ca="1" si="51"/>
        <v/>
      </c>
    </row>
    <row r="383" spans="3:29" x14ac:dyDescent="0.25">
      <c r="C383" s="6">
        <v>376</v>
      </c>
      <c r="D383" s="37">
        <v>42542</v>
      </c>
      <c r="E383" s="39">
        <v>17.931999999999999</v>
      </c>
      <c r="F383" s="39">
        <v>2.7993787275045263</v>
      </c>
      <c r="G383" s="39">
        <v>55.82913568606552</v>
      </c>
      <c r="H383" s="39">
        <v>51.39586293740836</v>
      </c>
      <c r="I383" s="10">
        <v>0</v>
      </c>
      <c r="J383" s="40">
        <v>0</v>
      </c>
      <c r="K383" s="40">
        <v>0</v>
      </c>
      <c r="L383" s="40">
        <v>0</v>
      </c>
      <c r="M383" s="40">
        <v>0</v>
      </c>
      <c r="N383" s="40">
        <v>1</v>
      </c>
      <c r="O383" s="40">
        <v>0</v>
      </c>
      <c r="P383" s="40">
        <v>0</v>
      </c>
      <c r="Q383" s="40">
        <v>0</v>
      </c>
      <c r="R383" s="40">
        <v>0</v>
      </c>
      <c r="S383" s="40">
        <v>0</v>
      </c>
      <c r="T383" s="29">
        <f t="array" aca="1" ref="T383" ca="1">+fair_value_gap(OFFSET(S382,0,0,-1*$I$5,-1*$Z$1),OFFSET(E382,0,0,-1*$I$5,1),F383:S383,0)</f>
        <v>18.021924450010623</v>
      </c>
      <c r="U383" s="9" t="str" cm="1">
        <f t="array" aca="1" ref="U383" ca="1">z_score_diff(OFFSET(T383,0,0,$I$5*-1,1),OFFSET(E383,0,0,$I$5*-1,1))</f>
        <v/>
      </c>
      <c r="V383" s="9" t="str">
        <f t="shared" ca="1" si="47"/>
        <v/>
      </c>
      <c r="W383" s="17">
        <f t="shared" ca="1" si="44"/>
        <v>-6.3126773680155165E-2</v>
      </c>
      <c r="X383" s="13">
        <f t="shared" ca="1" si="45"/>
        <v>0</v>
      </c>
      <c r="Y383" s="13">
        <f t="shared" ca="1" si="46"/>
        <v>0</v>
      </c>
      <c r="Z383" t="str">
        <f t="shared" ca="1" si="48"/>
        <v/>
      </c>
      <c r="AA383" t="str">
        <f t="shared" ca="1" si="49"/>
        <v/>
      </c>
      <c r="AB383" s="24" t="str">
        <f t="shared" ca="1" si="50"/>
        <v/>
      </c>
      <c r="AC383" s="24" t="str">
        <f t="shared" ca="1" si="51"/>
        <v/>
      </c>
    </row>
    <row r="384" spans="3:29" x14ac:dyDescent="0.25">
      <c r="C384" s="6">
        <v>377</v>
      </c>
      <c r="D384" s="37">
        <v>42543</v>
      </c>
      <c r="E384" s="39">
        <v>18.577999999999999</v>
      </c>
      <c r="F384" s="39">
        <v>2.77439261544844</v>
      </c>
      <c r="G384" s="39">
        <v>58.3128872890981</v>
      </c>
      <c r="H384" s="39">
        <v>52.765317499416589</v>
      </c>
      <c r="I384" s="10">
        <v>0</v>
      </c>
      <c r="J384" s="40">
        <v>0</v>
      </c>
      <c r="K384" s="40">
        <v>0</v>
      </c>
      <c r="L384" s="40">
        <v>0</v>
      </c>
      <c r="M384" s="40">
        <v>0</v>
      </c>
      <c r="N384" s="40">
        <v>1</v>
      </c>
      <c r="O384" s="40">
        <v>0</v>
      </c>
      <c r="P384" s="40">
        <v>0</v>
      </c>
      <c r="Q384" s="40">
        <v>0</v>
      </c>
      <c r="R384" s="40">
        <v>0</v>
      </c>
      <c r="S384" s="40">
        <v>0</v>
      </c>
      <c r="T384" s="29">
        <f t="array" aca="1" ref="T384" ca="1">+fair_value_gap(OFFSET(S383,0,0,-1*$I$5,-1*$Z$1),OFFSET(E383,0,0,-1*$I$5,1),F384:S384,0)</f>
        <v>18.798031495687212</v>
      </c>
      <c r="U384" s="9" t="str" cm="1">
        <f t="array" aca="1" ref="U384" ca="1">z_score_diff(OFFSET(T384,0,0,$I$5*-1,1),OFFSET(E384,0,0,$I$5*-1,1))</f>
        <v/>
      </c>
      <c r="V384" s="9" t="str">
        <f t="shared" ca="1" si="47"/>
        <v/>
      </c>
      <c r="W384" s="17">
        <f t="shared" ca="1" si="44"/>
        <v>-0.10173079094630434</v>
      </c>
      <c r="X384" s="13">
        <f t="shared" ca="1" si="45"/>
        <v>0</v>
      </c>
      <c r="Y384" s="13">
        <f t="shared" ca="1" si="46"/>
        <v>0</v>
      </c>
      <c r="Z384" t="str">
        <f t="shared" ca="1" si="48"/>
        <v/>
      </c>
      <c r="AA384" t="str">
        <f t="shared" ca="1" si="49"/>
        <v/>
      </c>
      <c r="AB384" s="24" t="str">
        <f t="shared" ca="1" si="50"/>
        <v/>
      </c>
      <c r="AC384" s="24" t="str">
        <f t="shared" ca="1" si="51"/>
        <v/>
      </c>
    </row>
    <row r="385" spans="3:29" x14ac:dyDescent="0.25">
      <c r="C385" s="6">
        <v>378</v>
      </c>
      <c r="D385" s="37">
        <v>42544</v>
      </c>
      <c r="E385" s="39">
        <v>18.164000000000001</v>
      </c>
      <c r="F385" s="39">
        <v>2.7506525739227183</v>
      </c>
      <c r="G385" s="39">
        <v>56.840161545722289</v>
      </c>
      <c r="H385" s="39">
        <v>51.735204758440673</v>
      </c>
      <c r="I385" s="10">
        <v>0</v>
      </c>
      <c r="J385" s="40">
        <v>0</v>
      </c>
      <c r="K385" s="40">
        <v>0</v>
      </c>
      <c r="L385" s="40">
        <v>0</v>
      </c>
      <c r="M385" s="40">
        <v>0</v>
      </c>
      <c r="N385" s="40">
        <v>1</v>
      </c>
      <c r="O385" s="40">
        <v>0</v>
      </c>
      <c r="P385" s="40">
        <v>0</v>
      </c>
      <c r="Q385" s="40">
        <v>0</v>
      </c>
      <c r="R385" s="40">
        <v>0</v>
      </c>
      <c r="S385" s="40">
        <v>0</v>
      </c>
      <c r="T385" s="29">
        <f t="array" aca="1" ref="T385" ca="1">+fair_value_gap(OFFSET(S384,0,0,-1*$I$5,-1*$Z$1),OFFSET(E384,0,0,-1*$I$5,1),F385:S385,0)</f>
        <v>18.283455720928838</v>
      </c>
      <c r="U385" s="9" t="str" cm="1">
        <f t="array" aca="1" ref="U385" ca="1">z_score_diff(OFFSET(T385,0,0,$I$5*-1,1),OFFSET(E385,0,0,$I$5*-1,1))</f>
        <v/>
      </c>
      <c r="V385" s="9" t="str">
        <f t="shared" ca="1" si="47"/>
        <v/>
      </c>
      <c r="W385" s="17">
        <f t="shared" ca="1" si="44"/>
        <v>-8.3733537426985027E-2</v>
      </c>
      <c r="X385" s="13">
        <f t="shared" ca="1" si="45"/>
        <v>0</v>
      </c>
      <c r="Y385" s="13">
        <f t="shared" ca="1" si="46"/>
        <v>0</v>
      </c>
      <c r="Z385" t="str">
        <f t="shared" ca="1" si="48"/>
        <v/>
      </c>
      <c r="AA385" t="str">
        <f t="shared" ca="1" si="49"/>
        <v/>
      </c>
      <c r="AB385" s="24" t="str">
        <f t="shared" ca="1" si="50"/>
        <v/>
      </c>
      <c r="AC385" s="24" t="str">
        <f t="shared" ca="1" si="51"/>
        <v/>
      </c>
    </row>
    <row r="386" spans="3:29" x14ac:dyDescent="0.25">
      <c r="C386" s="6">
        <v>379</v>
      </c>
      <c r="D386" s="37">
        <v>42545</v>
      </c>
      <c r="E386" s="39">
        <v>17.901</v>
      </c>
      <c r="F386" s="39">
        <v>2.8325639024476281</v>
      </c>
      <c r="G386" s="39">
        <v>55.20416818126742</v>
      </c>
      <c r="H386" s="39">
        <v>51.589348783681892</v>
      </c>
      <c r="I386" s="10">
        <v>0</v>
      </c>
      <c r="J386" s="40">
        <v>0</v>
      </c>
      <c r="K386" s="40">
        <v>0</v>
      </c>
      <c r="L386" s="40">
        <v>0</v>
      </c>
      <c r="M386" s="40">
        <v>0</v>
      </c>
      <c r="N386" s="40">
        <v>1</v>
      </c>
      <c r="O386" s="40">
        <v>0</v>
      </c>
      <c r="P386" s="40">
        <v>0</v>
      </c>
      <c r="Q386" s="40">
        <v>0</v>
      </c>
      <c r="R386" s="40">
        <v>0</v>
      </c>
      <c r="S386" s="40">
        <v>0</v>
      </c>
      <c r="T386" s="29">
        <f t="array" aca="1" ref="T386" ca="1">+fair_value_gap(OFFSET(S385,0,0,-1*$I$5,-1*$Z$1),OFFSET(E385,0,0,-1*$I$5,1),F386:S386,0)</f>
        <v>17.833901142652714</v>
      </c>
      <c r="U386" s="9" t="str" cm="1">
        <f t="array" aca="1" ref="U386" ca="1">z_score_diff(OFFSET(T386,0,0,$I$5*-1,1),OFFSET(E386,0,0,$I$5*-1,1))</f>
        <v/>
      </c>
      <c r="V386" s="9" t="str">
        <f t="shared" ca="1" si="47"/>
        <v/>
      </c>
      <c r="W386" s="17">
        <f t="shared" ca="1" si="44"/>
        <v>-6.5265001372937004E-2</v>
      </c>
      <c r="X386" s="13">
        <f t="shared" ca="1" si="45"/>
        <v>0</v>
      </c>
      <c r="Y386" s="13">
        <f t="shared" ca="1" si="46"/>
        <v>0</v>
      </c>
      <c r="Z386" t="str">
        <f t="shared" ca="1" si="48"/>
        <v/>
      </c>
      <c r="AA386" t="str">
        <f t="shared" ca="1" si="49"/>
        <v/>
      </c>
      <c r="AB386" s="24" t="str">
        <f t="shared" ca="1" si="50"/>
        <v/>
      </c>
      <c r="AC386" s="24" t="str">
        <f t="shared" ca="1" si="51"/>
        <v/>
      </c>
    </row>
    <row r="387" spans="3:29" x14ac:dyDescent="0.25">
      <c r="C387" s="6">
        <v>380</v>
      </c>
      <c r="D387" s="37">
        <v>42548</v>
      </c>
      <c r="E387" s="39">
        <v>17.308</v>
      </c>
      <c r="F387" s="39">
        <v>2.8488534364905682</v>
      </c>
      <c r="G387" s="39">
        <v>53.629048969514692</v>
      </c>
      <c r="H387" s="39">
        <v>51.154918961008484</v>
      </c>
      <c r="I387" s="10">
        <v>0</v>
      </c>
      <c r="J387" s="40">
        <v>0</v>
      </c>
      <c r="K387" s="40">
        <v>0</v>
      </c>
      <c r="L387" s="40">
        <v>0</v>
      </c>
      <c r="M387" s="40">
        <v>0</v>
      </c>
      <c r="N387" s="40">
        <v>1</v>
      </c>
      <c r="O387" s="40">
        <v>0</v>
      </c>
      <c r="P387" s="40">
        <v>0</v>
      </c>
      <c r="Q387" s="40">
        <v>0</v>
      </c>
      <c r="R387" s="40">
        <v>0</v>
      </c>
      <c r="S387" s="40">
        <v>0</v>
      </c>
      <c r="T387" s="29">
        <f t="array" aca="1" ref="T387" ca="1">+fair_value_gap(OFFSET(S386,0,0,-1*$I$5,-1*$Z$1),OFFSET(E386,0,0,-1*$I$5,1),F387:S387,0)</f>
        <v>17.368513460955345</v>
      </c>
      <c r="U387" s="9" t="str" cm="1">
        <f t="array" aca="1" ref="U387" ca="1">z_score_diff(OFFSET(T387,0,0,$I$5*-1,1),OFFSET(E387,0,0,$I$5*-1,1))</f>
        <v/>
      </c>
      <c r="V387" s="9" t="str">
        <f t="shared" ca="1" si="47"/>
        <v/>
      </c>
      <c r="W387" s="17">
        <f t="shared" ca="1" si="44"/>
        <v>-3.7438156791681929E-2</v>
      </c>
      <c r="X387" s="13">
        <f t="shared" ca="1" si="45"/>
        <v>0</v>
      </c>
      <c r="Y387" s="13">
        <f t="shared" ca="1" si="46"/>
        <v>0</v>
      </c>
      <c r="Z387" t="str">
        <f t="shared" ca="1" si="48"/>
        <v/>
      </c>
      <c r="AA387" t="str">
        <f t="shared" ca="1" si="49"/>
        <v/>
      </c>
      <c r="AB387" s="24" t="str">
        <f t="shared" ca="1" si="50"/>
        <v/>
      </c>
      <c r="AC387" s="24" t="str">
        <f t="shared" ca="1" si="51"/>
        <v/>
      </c>
    </row>
    <row r="388" spans="3:29" x14ac:dyDescent="0.25">
      <c r="C388" s="6">
        <v>381</v>
      </c>
      <c r="D388" s="37">
        <v>42549</v>
      </c>
      <c r="E388" s="39">
        <v>17.311</v>
      </c>
      <c r="F388" s="39">
        <v>2.8748302283041953</v>
      </c>
      <c r="G388" s="39">
        <v>53.636966930609702</v>
      </c>
      <c r="H388" s="39">
        <v>51.307795420458305</v>
      </c>
      <c r="I388" s="10">
        <v>0</v>
      </c>
      <c r="J388" s="40">
        <v>0</v>
      </c>
      <c r="K388" s="40">
        <v>0</v>
      </c>
      <c r="L388" s="40">
        <v>0</v>
      </c>
      <c r="M388" s="40">
        <v>0</v>
      </c>
      <c r="N388" s="40">
        <v>1</v>
      </c>
      <c r="O388" s="40">
        <v>0</v>
      </c>
      <c r="P388" s="40">
        <v>0</v>
      </c>
      <c r="Q388" s="40">
        <v>0</v>
      </c>
      <c r="R388" s="40">
        <v>0</v>
      </c>
      <c r="S388" s="40">
        <v>0</v>
      </c>
      <c r="T388" s="29">
        <f t="array" aca="1" ref="T388" ca="1">+fair_value_gap(OFFSET(S387,0,0,-1*$I$5,-1*$Z$1),OFFSET(E387,0,0,-1*$I$5,1),F388:S388,0)</f>
        <v>17.389000481721201</v>
      </c>
      <c r="U388" s="9" t="str" cm="1">
        <f t="array" aca="1" ref="U388" ca="1">z_score_diff(OFFSET(T388,0,0,$I$5*-1,1),OFFSET(E388,0,0,$I$5*-1,1))</f>
        <v/>
      </c>
      <c r="V388" s="9" t="str">
        <f t="shared" ca="1" si="47"/>
        <v/>
      </c>
      <c r="W388" s="17">
        <f t="shared" ca="1" si="44"/>
        <v>-2.7228897701420545E-2</v>
      </c>
      <c r="X388" s="13">
        <f t="shared" ca="1" si="45"/>
        <v>0</v>
      </c>
      <c r="Y388" s="13">
        <f t="shared" ca="1" si="46"/>
        <v>0</v>
      </c>
      <c r="Z388" t="str">
        <f t="shared" ca="1" si="48"/>
        <v/>
      </c>
      <c r="AA388" t="str">
        <f t="shared" ca="1" si="49"/>
        <v/>
      </c>
      <c r="AB388" s="24" t="str">
        <f t="shared" ca="1" si="50"/>
        <v/>
      </c>
      <c r="AC388" s="24" t="str">
        <f t="shared" ca="1" si="51"/>
        <v/>
      </c>
    </row>
    <row r="389" spans="3:29" x14ac:dyDescent="0.25">
      <c r="C389" s="6">
        <v>382</v>
      </c>
      <c r="D389" s="37">
        <v>42550</v>
      </c>
      <c r="E389" s="39">
        <v>17.693000000000001</v>
      </c>
      <c r="F389" s="39">
        <v>2.9474470282917928</v>
      </c>
      <c r="G389" s="39">
        <v>54.45194639529543</v>
      </c>
      <c r="H389" s="39">
        <v>51.604540142784302</v>
      </c>
      <c r="I389" s="10">
        <v>0</v>
      </c>
      <c r="J389" s="40">
        <v>0</v>
      </c>
      <c r="K389" s="40">
        <v>0</v>
      </c>
      <c r="L389" s="40">
        <v>0</v>
      </c>
      <c r="M389" s="40">
        <v>0</v>
      </c>
      <c r="N389" s="40">
        <v>1</v>
      </c>
      <c r="O389" s="40">
        <v>0</v>
      </c>
      <c r="P389" s="40">
        <v>0</v>
      </c>
      <c r="Q389" s="40">
        <v>0</v>
      </c>
      <c r="R389" s="40">
        <v>0</v>
      </c>
      <c r="S389" s="40">
        <v>0</v>
      </c>
      <c r="T389" s="29">
        <f t="array" aca="1" ref="T389" ca="1">+fair_value_gap(OFFSET(S388,0,0,-1*$I$5,-1*$Z$1),OFFSET(E388,0,0,-1*$I$5,1),F389:S389,0)</f>
        <v>17.67585228974302</v>
      </c>
      <c r="U389" s="9" t="str" cm="1">
        <f t="array" aca="1" ref="U389" ca="1">z_score_diff(OFFSET(T389,0,0,$I$5*-1,1),OFFSET(E389,0,0,$I$5*-1,1))</f>
        <v/>
      </c>
      <c r="V389" s="9" t="str">
        <f t="shared" ca="1" si="47"/>
        <v/>
      </c>
      <c r="W389" s="17">
        <f t="shared" ca="1" si="44"/>
        <v>-3.8544967971631844E-2</v>
      </c>
      <c r="X389" s="13">
        <f t="shared" ca="1" si="45"/>
        <v>0</v>
      </c>
      <c r="Y389" s="13">
        <f t="shared" ca="1" si="46"/>
        <v>0</v>
      </c>
      <c r="Z389" t="str">
        <f t="shared" ca="1" si="48"/>
        <v/>
      </c>
      <c r="AA389" t="str">
        <f t="shared" ca="1" si="49"/>
        <v/>
      </c>
      <c r="AB389" s="24" t="str">
        <f t="shared" ca="1" si="50"/>
        <v/>
      </c>
      <c r="AC389" s="24" t="str">
        <f t="shared" ca="1" si="51"/>
        <v/>
      </c>
    </row>
    <row r="390" spans="3:29" x14ac:dyDescent="0.25">
      <c r="C390" s="6">
        <v>383</v>
      </c>
      <c r="D390" s="37">
        <v>42551</v>
      </c>
      <c r="E390" s="39">
        <v>17.64</v>
      </c>
      <c r="F390" s="39">
        <v>2.9813517986314846</v>
      </c>
      <c r="G390" s="39">
        <v>55.314114436392906</v>
      </c>
      <c r="H390" s="39">
        <v>52.448892055688297</v>
      </c>
      <c r="I390" s="10">
        <v>0</v>
      </c>
      <c r="J390" s="40">
        <v>0</v>
      </c>
      <c r="K390" s="40">
        <v>0</v>
      </c>
      <c r="L390" s="40">
        <v>0</v>
      </c>
      <c r="M390" s="40">
        <v>0</v>
      </c>
      <c r="N390" s="40">
        <v>1</v>
      </c>
      <c r="O390" s="40">
        <v>0</v>
      </c>
      <c r="P390" s="40">
        <v>0</v>
      </c>
      <c r="Q390" s="40">
        <v>0</v>
      </c>
      <c r="R390" s="40">
        <v>0</v>
      </c>
      <c r="S390" s="40">
        <v>0</v>
      </c>
      <c r="T390" s="29">
        <f t="array" aca="1" ref="T390" ca="1">+fair_value_gap(OFFSET(S389,0,0,-1*$I$5,-1*$Z$1),OFFSET(E389,0,0,-1*$I$5,1),F390:S390,0)</f>
        <v>17.985050604418124</v>
      </c>
      <c r="U390" s="9" t="str" cm="1">
        <f t="array" aca="1" ref="U390" ca="1">z_score_diff(OFFSET(T390,0,0,$I$5*-1,1),OFFSET(E390,0,0,$I$5*-1,1))</f>
        <v/>
      </c>
      <c r="V390" s="9" t="str">
        <f t="shared" ca="1" si="47"/>
        <v/>
      </c>
      <c r="W390" s="17">
        <f t="shared" ca="1" si="44"/>
        <v>-3.3198069409595861E-2</v>
      </c>
      <c r="X390" s="13">
        <f t="shared" ca="1" si="45"/>
        <v>0</v>
      </c>
      <c r="Y390" s="13">
        <f t="shared" ca="1" si="46"/>
        <v>0</v>
      </c>
      <c r="Z390" t="str">
        <f t="shared" ca="1" si="48"/>
        <v/>
      </c>
      <c r="AA390" t="str">
        <f t="shared" ca="1" si="49"/>
        <v/>
      </c>
      <c r="AB390" s="24" t="str">
        <f t="shared" ca="1" si="50"/>
        <v/>
      </c>
      <c r="AC390" s="24" t="str">
        <f t="shared" ca="1" si="51"/>
        <v/>
      </c>
    </row>
    <row r="391" spans="3:29" x14ac:dyDescent="0.25">
      <c r="C391" s="6">
        <v>384</v>
      </c>
      <c r="D391" s="37">
        <v>42552</v>
      </c>
      <c r="E391" s="39">
        <v>17.803999999999998</v>
      </c>
      <c r="F391" s="39">
        <v>3.0050743580168269</v>
      </c>
      <c r="G391" s="39">
        <v>55.654222139684457</v>
      </c>
      <c r="H391" s="39">
        <v>53.159941128660243</v>
      </c>
      <c r="I391" s="10">
        <v>0</v>
      </c>
      <c r="J391" s="40">
        <v>0</v>
      </c>
      <c r="K391" s="40">
        <v>0</v>
      </c>
      <c r="L391" s="40">
        <v>0</v>
      </c>
      <c r="M391" s="40">
        <v>0</v>
      </c>
      <c r="N391" s="40">
        <v>0</v>
      </c>
      <c r="O391" s="40">
        <v>1</v>
      </c>
      <c r="P391" s="40">
        <v>0</v>
      </c>
      <c r="Q391" s="40">
        <v>0</v>
      </c>
      <c r="R391" s="40">
        <v>0</v>
      </c>
      <c r="S391" s="40">
        <v>0</v>
      </c>
      <c r="T391" s="29">
        <f t="array" aca="1" ref="T391" ca="1">+fair_value_gap(OFFSET(S390,0,0,-1*$I$5,-1*$Z$1),OFFSET(E390,0,0,-1*$I$5,1),F391:S391,0)</f>
        <v>18.46856068655061</v>
      </c>
      <c r="U391" s="9" t="str" cm="1">
        <f t="array" aca="1" ref="U391" ca="1">z_score_diff(OFFSET(T391,0,0,$I$5*-1,1),OFFSET(E391,0,0,$I$5*-1,1))</f>
        <v/>
      </c>
      <c r="V391" s="9" t="str">
        <f t="shared" ca="1" si="47"/>
        <v/>
      </c>
      <c r="W391" s="17">
        <f t="shared" ref="W391:W454" ca="1" si="52">+LN(OFFSET(E391,$W$3,0,1,1)/E391)</f>
        <v>-5.7925224210952399E-2</v>
      </c>
      <c r="X391" s="13">
        <f t="shared" ca="1" si="45"/>
        <v>0</v>
      </c>
      <c r="Y391" s="13">
        <f t="shared" ca="1" si="46"/>
        <v>0</v>
      </c>
      <c r="Z391" t="str">
        <f t="shared" ca="1" si="48"/>
        <v/>
      </c>
      <c r="AA391" t="str">
        <f t="shared" ca="1" si="49"/>
        <v/>
      </c>
      <c r="AB391" s="24" t="str">
        <f t="shared" ca="1" si="50"/>
        <v/>
      </c>
      <c r="AC391" s="24" t="str">
        <f t="shared" ca="1" si="51"/>
        <v/>
      </c>
    </row>
    <row r="392" spans="3:29" x14ac:dyDescent="0.25">
      <c r="C392" s="6">
        <v>385</v>
      </c>
      <c r="D392" s="37">
        <v>42555</v>
      </c>
      <c r="E392" s="39">
        <v>18.25</v>
      </c>
      <c r="F392" s="39">
        <v>2.998369307920254</v>
      </c>
      <c r="G392" s="39">
        <v>56.960693123677842</v>
      </c>
      <c r="H392" s="39">
        <v>53.830372955059531</v>
      </c>
      <c r="I392" s="10">
        <v>0</v>
      </c>
      <c r="J392" s="40">
        <v>0</v>
      </c>
      <c r="K392" s="40">
        <v>0</v>
      </c>
      <c r="L392" s="40">
        <v>0</v>
      </c>
      <c r="M392" s="40">
        <v>0</v>
      </c>
      <c r="N392" s="40">
        <v>0</v>
      </c>
      <c r="O392" s="40">
        <v>1</v>
      </c>
      <c r="P392" s="40">
        <v>0</v>
      </c>
      <c r="Q392" s="40">
        <v>0</v>
      </c>
      <c r="R392" s="40">
        <v>0</v>
      </c>
      <c r="S392" s="40">
        <v>0</v>
      </c>
      <c r="T392" s="29">
        <f t="array" aca="1" ref="T392" ca="1">+fair_value_gap(OFFSET(S391,0,0,-1*$I$5,-1*$Z$1),OFFSET(E391,0,0,-1*$I$5,1),F392:S392,0)</f>
        <v>18.588869939013318</v>
      </c>
      <c r="U392" s="9" t="str" cm="1">
        <f t="array" aca="1" ref="U392" ca="1">z_score_diff(OFFSET(T392,0,0,$I$5*-1,1),OFFSET(E392,0,0,$I$5*-1,1))</f>
        <v/>
      </c>
      <c r="V392" s="9" t="str">
        <f t="shared" ca="1" si="47"/>
        <v/>
      </c>
      <c r="W392" s="17">
        <f t="shared" ca="1" si="52"/>
        <v>-9.3197344919604089E-2</v>
      </c>
      <c r="X392" s="13">
        <f t="shared" ca="1" si="45"/>
        <v>0</v>
      </c>
      <c r="Y392" s="13">
        <f t="shared" ca="1" si="46"/>
        <v>0</v>
      </c>
      <c r="Z392" t="str">
        <f t="shared" ca="1" si="48"/>
        <v/>
      </c>
      <c r="AA392" t="str">
        <f t="shared" ca="1" si="49"/>
        <v/>
      </c>
      <c r="AB392" s="24" t="str">
        <f t="shared" ca="1" si="50"/>
        <v/>
      </c>
      <c r="AC392" s="24" t="str">
        <f t="shared" ca="1" si="51"/>
        <v/>
      </c>
    </row>
    <row r="393" spans="3:29" x14ac:dyDescent="0.25">
      <c r="C393" s="6">
        <v>386</v>
      </c>
      <c r="D393" s="37">
        <v>42556</v>
      </c>
      <c r="E393" s="39">
        <v>17.928999999999998</v>
      </c>
      <c r="F393" s="39">
        <v>2.9874741621468828</v>
      </c>
      <c r="G393" s="39">
        <v>56.235669714119865</v>
      </c>
      <c r="H393" s="39">
        <v>53.972404289525286</v>
      </c>
      <c r="I393" s="10">
        <v>0</v>
      </c>
      <c r="J393" s="40">
        <v>0</v>
      </c>
      <c r="K393" s="40">
        <v>0</v>
      </c>
      <c r="L393" s="40">
        <v>0</v>
      </c>
      <c r="M393" s="40">
        <v>0</v>
      </c>
      <c r="N393" s="40">
        <v>0</v>
      </c>
      <c r="O393" s="40">
        <v>1</v>
      </c>
      <c r="P393" s="40">
        <v>0</v>
      </c>
      <c r="Q393" s="40">
        <v>0</v>
      </c>
      <c r="R393" s="40">
        <v>0</v>
      </c>
      <c r="S393" s="40">
        <v>0</v>
      </c>
      <c r="T393" s="29">
        <f t="array" aca="1" ref="T393" ca="1">+fair_value_gap(OFFSET(S392,0,0,-1*$I$5,-1*$Z$1),OFFSET(E392,0,0,-1*$I$5,1),F393:S393,0)</f>
        <v>18.25538303413996</v>
      </c>
      <c r="U393" s="9" t="str" cm="1">
        <f t="array" aca="1" ref="U393" ca="1">z_score_diff(OFFSET(T393,0,0,$I$5*-1,1),OFFSET(E393,0,0,$I$5*-1,1))</f>
        <v/>
      </c>
      <c r="V393" s="9" t="str">
        <f t="shared" ca="1" si="47"/>
        <v/>
      </c>
      <c r="W393" s="17">
        <f t="shared" ca="1" si="52"/>
        <v>-7.2988797053250981E-2</v>
      </c>
      <c r="X393" s="13">
        <f t="shared" ref="X393:X456" ca="1" si="53">+X392</f>
        <v>0</v>
      </c>
      <c r="Y393" s="13">
        <f t="shared" ref="Y393:Y456" ca="1" si="54">+Y392</f>
        <v>0</v>
      </c>
      <c r="Z393" t="str">
        <f t="shared" ca="1" si="48"/>
        <v/>
      </c>
      <c r="AA393" t="str">
        <f t="shared" ca="1" si="49"/>
        <v/>
      </c>
      <c r="AB393" s="24" t="str">
        <f t="shared" ca="1" si="50"/>
        <v/>
      </c>
      <c r="AC393" s="24" t="str">
        <f t="shared" ca="1" si="51"/>
        <v/>
      </c>
    </row>
    <row r="394" spans="3:29" x14ac:dyDescent="0.25">
      <c r="C394" s="6">
        <v>387</v>
      </c>
      <c r="D394" s="37">
        <v>42557</v>
      </c>
      <c r="E394" s="39">
        <v>17.841999999999999</v>
      </c>
      <c r="F394" s="39">
        <v>3.001974311060545</v>
      </c>
      <c r="G394" s="39">
        <v>56.145961120530032</v>
      </c>
      <c r="H394" s="39">
        <v>53.408548537935481</v>
      </c>
      <c r="I394" s="10">
        <v>0</v>
      </c>
      <c r="J394" s="40">
        <v>0</v>
      </c>
      <c r="K394" s="40">
        <v>0</v>
      </c>
      <c r="L394" s="40">
        <v>0</v>
      </c>
      <c r="M394" s="40">
        <v>0</v>
      </c>
      <c r="N394" s="40">
        <v>0</v>
      </c>
      <c r="O394" s="40">
        <v>1</v>
      </c>
      <c r="P394" s="40">
        <v>0</v>
      </c>
      <c r="Q394" s="40">
        <v>0</v>
      </c>
      <c r="R394" s="40">
        <v>0</v>
      </c>
      <c r="S394" s="40">
        <v>0</v>
      </c>
      <c r="T394" s="29">
        <f t="array" aca="1" ref="T394" ca="1">+fair_value_gap(OFFSET(S393,0,0,-1*$I$5,-1*$Z$1),OFFSET(E393,0,0,-1*$I$5,1),F394:S394,0)</f>
        <v>18.147274501953721</v>
      </c>
      <c r="U394" s="9" t="str" cm="1">
        <f t="array" aca="1" ref="U394" ca="1">z_score_diff(OFFSET(T394,0,0,$I$5*-1,1),OFFSET(E394,0,0,$I$5*-1,1))</f>
        <v/>
      </c>
      <c r="V394" s="9" t="str">
        <f t="shared" ca="1" si="47"/>
        <v/>
      </c>
      <c r="W394" s="17">
        <f t="shared" ca="1" si="52"/>
        <v>-7.9225681742372753E-2</v>
      </c>
      <c r="X394" s="13">
        <f t="shared" ca="1" si="53"/>
        <v>0</v>
      </c>
      <c r="Y394" s="13">
        <f t="shared" ca="1" si="54"/>
        <v>0</v>
      </c>
      <c r="Z394" t="str">
        <f t="shared" ca="1" si="48"/>
        <v/>
      </c>
      <c r="AA394" t="str">
        <f t="shared" ca="1" si="49"/>
        <v/>
      </c>
      <c r="AB394" s="24" t="str">
        <f t="shared" ca="1" si="50"/>
        <v/>
      </c>
      <c r="AC394" s="24" t="str">
        <f t="shared" ca="1" si="51"/>
        <v/>
      </c>
    </row>
    <row r="395" spans="3:29" x14ac:dyDescent="0.25">
      <c r="C395" s="6">
        <v>388</v>
      </c>
      <c r="D395" s="37">
        <v>42558</v>
      </c>
      <c r="E395" s="39">
        <v>18.181999999999999</v>
      </c>
      <c r="F395" s="39">
        <v>3.0071321079174265</v>
      </c>
      <c r="G395" s="39">
        <v>56.933516122714657</v>
      </c>
      <c r="H395" s="39">
        <v>54.522495168529304</v>
      </c>
      <c r="I395" s="10">
        <v>0</v>
      </c>
      <c r="J395" s="40">
        <v>0</v>
      </c>
      <c r="K395" s="40">
        <v>0</v>
      </c>
      <c r="L395" s="40">
        <v>0</v>
      </c>
      <c r="M395" s="40">
        <v>0</v>
      </c>
      <c r="N395" s="40">
        <v>0</v>
      </c>
      <c r="O395" s="40">
        <v>1</v>
      </c>
      <c r="P395" s="40">
        <v>0</v>
      </c>
      <c r="Q395" s="40">
        <v>0</v>
      </c>
      <c r="R395" s="40">
        <v>0</v>
      </c>
      <c r="S395" s="40">
        <v>0</v>
      </c>
      <c r="T395" s="29">
        <f t="array" aca="1" ref="T395" ca="1">+fair_value_gap(OFFSET(S394,0,0,-1*$I$5,-1*$Z$1),OFFSET(E394,0,0,-1*$I$5,1),F395:S395,0)</f>
        <v>18.357101776388909</v>
      </c>
      <c r="U395" s="9" t="str" cm="1">
        <f t="array" aca="1" ref="U395" ca="1">z_score_diff(OFFSET(T395,0,0,$I$5*-1,1),OFFSET(E395,0,0,$I$5*-1,1))</f>
        <v/>
      </c>
      <c r="V395" s="9" t="str">
        <f t="shared" ref="V395:V458" ca="1" si="55">+IF(ISERROR(AVERAGE(OFFSET(U395,0,0,$V$5*-1,1))),"",AVERAGE(OFFSET(U395,0,0,$V$5*-1,1)))</f>
        <v/>
      </c>
      <c r="W395" s="17">
        <f t="shared" ca="1" si="52"/>
        <v>-9.7799250111508459E-2</v>
      </c>
      <c r="X395" s="13">
        <f t="shared" ca="1" si="53"/>
        <v>0</v>
      </c>
      <c r="Y395" s="13">
        <f t="shared" ca="1" si="54"/>
        <v>0</v>
      </c>
      <c r="Z395" t="str">
        <f t="shared" ref="Z395:Z458" ca="1" si="56">+IF(V395="","",IF(V395&lt;X395,1,0))</f>
        <v/>
      </c>
      <c r="AA395" t="str">
        <f t="shared" ref="AA395:AA458" ca="1" si="57">+IF(V395="","",IF(V395&gt;Y395,1,0))</f>
        <v/>
      </c>
      <c r="AB395" s="24" t="str">
        <f t="shared" ref="AB395:AB458" ca="1" si="58">+IF(ISERROR(Z395*W395),"",Z395*W395)</f>
        <v/>
      </c>
      <c r="AC395" s="24" t="str">
        <f t="shared" ref="AC395:AC458" ca="1" si="59">+IF(ISERROR(AA395*W395),"",AA395*W395)</f>
        <v/>
      </c>
    </row>
    <row r="396" spans="3:29" x14ac:dyDescent="0.25">
      <c r="C396" s="6">
        <v>389</v>
      </c>
      <c r="D396" s="37">
        <v>42559</v>
      </c>
      <c r="E396" s="39">
        <v>17.861999999999998</v>
      </c>
      <c r="F396" s="39">
        <v>3.0140440119429397</v>
      </c>
      <c r="G396" s="39">
        <v>56.15591743124574</v>
      </c>
      <c r="H396" s="39">
        <v>53.566294371336944</v>
      </c>
      <c r="I396" s="10">
        <v>0</v>
      </c>
      <c r="J396" s="40">
        <v>0</v>
      </c>
      <c r="K396" s="40">
        <v>0</v>
      </c>
      <c r="L396" s="40">
        <v>0</v>
      </c>
      <c r="M396" s="40">
        <v>0</v>
      </c>
      <c r="N396" s="40">
        <v>0</v>
      </c>
      <c r="O396" s="40">
        <v>1</v>
      </c>
      <c r="P396" s="40">
        <v>0</v>
      </c>
      <c r="Q396" s="40">
        <v>0</v>
      </c>
      <c r="R396" s="40">
        <v>0</v>
      </c>
      <c r="S396" s="40">
        <v>0</v>
      </c>
      <c r="T396" s="29">
        <f t="array" aca="1" ref="T396" ca="1">+fair_value_gap(OFFSET(S395,0,0,-1*$I$5,-1*$Z$1),OFFSET(E395,0,0,-1*$I$5,1),F396:S396,0)</f>
        <v>18.072883698555323</v>
      </c>
      <c r="U396" s="9" t="str" cm="1">
        <f t="array" aca="1" ref="U396" ca="1">z_score_diff(OFFSET(T396,0,0,$I$5*-1,1),OFFSET(E396,0,0,$I$5*-1,1))</f>
        <v/>
      </c>
      <c r="V396" s="9" t="str">
        <f t="shared" ca="1" si="55"/>
        <v/>
      </c>
      <c r="W396" s="17">
        <f t="shared" ca="1" si="52"/>
        <v>-6.3501474612553413E-2</v>
      </c>
      <c r="X396" s="13">
        <f t="shared" ca="1" si="53"/>
        <v>0</v>
      </c>
      <c r="Y396" s="13">
        <f t="shared" ca="1" si="54"/>
        <v>0</v>
      </c>
      <c r="Z396" t="str">
        <f t="shared" ca="1" si="56"/>
        <v/>
      </c>
      <c r="AA396" t="str">
        <f t="shared" ca="1" si="57"/>
        <v/>
      </c>
      <c r="AB396" s="24" t="str">
        <f t="shared" ca="1" si="58"/>
        <v/>
      </c>
      <c r="AC396" s="24" t="str">
        <f t="shared" ca="1" si="59"/>
        <v/>
      </c>
    </row>
    <row r="397" spans="3:29" x14ac:dyDescent="0.25">
      <c r="C397" s="6">
        <v>390</v>
      </c>
      <c r="D397" s="37">
        <v>42562</v>
      </c>
      <c r="E397" s="39">
        <v>17.806000000000001</v>
      </c>
      <c r="F397" s="39">
        <v>3.005573072608922</v>
      </c>
      <c r="G397" s="39">
        <v>55.906087977002088</v>
      </c>
      <c r="H397" s="39">
        <v>53.036927126113945</v>
      </c>
      <c r="I397" s="10">
        <v>0</v>
      </c>
      <c r="J397" s="40">
        <v>0</v>
      </c>
      <c r="K397" s="40">
        <v>0</v>
      </c>
      <c r="L397" s="40">
        <v>0</v>
      </c>
      <c r="M397" s="40">
        <v>0</v>
      </c>
      <c r="N397" s="40">
        <v>0</v>
      </c>
      <c r="O397" s="40">
        <v>1</v>
      </c>
      <c r="P397" s="40">
        <v>0</v>
      </c>
      <c r="Q397" s="40">
        <v>0</v>
      </c>
      <c r="R397" s="40">
        <v>0</v>
      </c>
      <c r="S397" s="40">
        <v>0</v>
      </c>
      <c r="T397" s="29">
        <f t="array" aca="1" ref="T397" ca="1">+fair_value_gap(OFFSET(S396,0,0,-1*$I$5,-1*$Z$1),OFFSET(E396,0,0,-1*$I$5,1),F397:S397,0)</f>
        <v>17.956482045893598</v>
      </c>
      <c r="U397" s="9" t="str" cm="1">
        <f t="array" aca="1" ref="U397" ca="1">z_score_diff(OFFSET(T397,0,0,$I$5*-1,1),OFFSET(E397,0,0,$I$5*-1,1))</f>
        <v/>
      </c>
      <c r="V397" s="9" t="str">
        <f t="shared" ca="1" si="55"/>
        <v/>
      </c>
      <c r="W397" s="17">
        <f t="shared" ca="1" si="52"/>
        <v>-5.1926042991630124E-2</v>
      </c>
      <c r="X397" s="13">
        <f t="shared" ca="1" si="53"/>
        <v>0</v>
      </c>
      <c r="Y397" s="13">
        <f t="shared" ca="1" si="54"/>
        <v>0</v>
      </c>
      <c r="Z397" t="str">
        <f t="shared" ca="1" si="56"/>
        <v/>
      </c>
      <c r="AA397" t="str">
        <f t="shared" ca="1" si="57"/>
        <v/>
      </c>
      <c r="AB397" s="24" t="str">
        <f t="shared" ca="1" si="58"/>
        <v/>
      </c>
      <c r="AC397" s="24" t="str">
        <f t="shared" ca="1" si="59"/>
        <v/>
      </c>
    </row>
    <row r="398" spans="3:29" x14ac:dyDescent="0.25">
      <c r="C398" s="6">
        <v>391</v>
      </c>
      <c r="D398" s="37">
        <v>42563</v>
      </c>
      <c r="E398" s="39">
        <v>17.963000000000001</v>
      </c>
      <c r="F398" s="39">
        <v>2.9962560042092368</v>
      </c>
      <c r="G398" s="39">
        <v>56.927319557773068</v>
      </c>
      <c r="H398" s="39">
        <v>54.690058768639425</v>
      </c>
      <c r="I398" s="10">
        <v>0</v>
      </c>
      <c r="J398" s="40">
        <v>0</v>
      </c>
      <c r="K398" s="40">
        <v>0</v>
      </c>
      <c r="L398" s="40">
        <v>0</v>
      </c>
      <c r="M398" s="40">
        <v>0</v>
      </c>
      <c r="N398" s="40">
        <v>0</v>
      </c>
      <c r="O398" s="40">
        <v>1</v>
      </c>
      <c r="P398" s="40">
        <v>0</v>
      </c>
      <c r="Q398" s="40">
        <v>0</v>
      </c>
      <c r="R398" s="40">
        <v>0</v>
      </c>
      <c r="S398" s="40">
        <v>0</v>
      </c>
      <c r="T398" s="29">
        <f t="array" aca="1" ref="T398" ca="1">+fair_value_gap(OFFSET(S397,0,0,-1*$I$5,-1*$Z$1),OFFSET(E397,0,0,-1*$I$5,1),F398:S398,0)</f>
        <v>18.270301126737721</v>
      </c>
      <c r="U398" s="9" t="str" cm="1">
        <f t="array" aca="1" ref="U398" ca="1">z_score_diff(OFFSET(T398,0,0,$I$5*-1,1),OFFSET(E398,0,0,$I$5*-1,1))</f>
        <v/>
      </c>
      <c r="V398" s="9" t="str">
        <f t="shared" ca="1" si="55"/>
        <v/>
      </c>
      <c r="W398" s="17">
        <f t="shared" ca="1" si="52"/>
        <v>-7.6023997695365386E-2</v>
      </c>
      <c r="X398" s="13">
        <f t="shared" ca="1" si="53"/>
        <v>0</v>
      </c>
      <c r="Y398" s="13">
        <f t="shared" ca="1" si="54"/>
        <v>0</v>
      </c>
      <c r="Z398" t="str">
        <f t="shared" ca="1" si="56"/>
        <v/>
      </c>
      <c r="AA398" t="str">
        <f t="shared" ca="1" si="57"/>
        <v/>
      </c>
      <c r="AB398" s="24" t="str">
        <f t="shared" ca="1" si="58"/>
        <v/>
      </c>
      <c r="AC398" s="24" t="str">
        <f t="shared" ca="1" si="59"/>
        <v/>
      </c>
    </row>
    <row r="399" spans="3:29" x14ac:dyDescent="0.25">
      <c r="C399" s="6">
        <v>392</v>
      </c>
      <c r="D399" s="37">
        <v>42564</v>
      </c>
      <c r="E399" s="39">
        <v>17.809000000000001</v>
      </c>
      <c r="F399" s="39">
        <v>2.9906808798151507</v>
      </c>
      <c r="G399" s="39">
        <v>55.887812643652616</v>
      </c>
      <c r="H399" s="39">
        <v>55.232898722948441</v>
      </c>
      <c r="I399" s="10">
        <v>0</v>
      </c>
      <c r="J399" s="40">
        <v>0</v>
      </c>
      <c r="K399" s="40">
        <v>0</v>
      </c>
      <c r="L399" s="40">
        <v>0</v>
      </c>
      <c r="M399" s="40">
        <v>0</v>
      </c>
      <c r="N399" s="40">
        <v>0</v>
      </c>
      <c r="O399" s="40">
        <v>1</v>
      </c>
      <c r="P399" s="40">
        <v>0</v>
      </c>
      <c r="Q399" s="40">
        <v>0</v>
      </c>
      <c r="R399" s="40">
        <v>0</v>
      </c>
      <c r="S399" s="40">
        <v>0</v>
      </c>
      <c r="T399" s="29">
        <f t="array" aca="1" ref="T399" ca="1">+fair_value_gap(OFFSET(S398,0,0,-1*$I$5,-1*$Z$1),OFFSET(E398,0,0,-1*$I$5,1),F399:S399,0)</f>
        <v>17.890521619866881</v>
      </c>
      <c r="U399" s="9" t="str" cm="1">
        <f t="array" aca="1" ref="U399" ca="1">z_score_diff(OFFSET(T399,0,0,$I$5*-1,1),OFFSET(E399,0,0,$I$5*-1,1))</f>
        <v/>
      </c>
      <c r="V399" s="9" t="str">
        <f t="shared" ca="1" si="55"/>
        <v/>
      </c>
      <c r="W399" s="17">
        <f t="shared" ca="1" si="52"/>
        <v>-8.9950879084507412E-2</v>
      </c>
      <c r="X399" s="13">
        <f t="shared" ca="1" si="53"/>
        <v>0</v>
      </c>
      <c r="Y399" s="13">
        <f t="shared" ca="1" si="54"/>
        <v>0</v>
      </c>
      <c r="Z399" t="str">
        <f t="shared" ca="1" si="56"/>
        <v/>
      </c>
      <c r="AA399" t="str">
        <f t="shared" ca="1" si="57"/>
        <v/>
      </c>
      <c r="AB399" s="24" t="str">
        <f t="shared" ca="1" si="58"/>
        <v/>
      </c>
      <c r="AC399" s="24" t="str">
        <f t="shared" ca="1" si="59"/>
        <v/>
      </c>
    </row>
    <row r="400" spans="3:29" x14ac:dyDescent="0.25">
      <c r="C400" s="6">
        <v>393</v>
      </c>
      <c r="D400" s="37">
        <v>42565</v>
      </c>
      <c r="E400" s="39">
        <v>17.766999999999999</v>
      </c>
      <c r="F400" s="39">
        <v>2.9829973544020518</v>
      </c>
      <c r="G400" s="39">
        <v>56.331963480042482</v>
      </c>
      <c r="H400" s="39">
        <v>55.310657867337014</v>
      </c>
      <c r="I400" s="10">
        <v>0</v>
      </c>
      <c r="J400" s="40">
        <v>0</v>
      </c>
      <c r="K400" s="40">
        <v>0</v>
      </c>
      <c r="L400" s="40">
        <v>0</v>
      </c>
      <c r="M400" s="40">
        <v>0</v>
      </c>
      <c r="N400" s="40">
        <v>0</v>
      </c>
      <c r="O400" s="40">
        <v>1</v>
      </c>
      <c r="P400" s="40">
        <v>0</v>
      </c>
      <c r="Q400" s="40">
        <v>0</v>
      </c>
      <c r="R400" s="40">
        <v>0</v>
      </c>
      <c r="S400" s="40">
        <v>0</v>
      </c>
      <c r="T400" s="29">
        <f t="array" aca="1" ref="T400" ca="1">+fair_value_gap(OFFSET(S399,0,0,-1*$I$5,-1*$Z$1),OFFSET(E399,0,0,-1*$I$5,1),F400:S400,0)</f>
        <v>18.020635912599463</v>
      </c>
      <c r="U400" s="9" t="str" cm="1">
        <f t="array" aca="1" ref="U400" ca="1">z_score_diff(OFFSET(T400,0,0,$I$5*-1,1),OFFSET(E400,0,0,$I$5*-1,1))</f>
        <v/>
      </c>
      <c r="V400" s="9" t="str">
        <f t="shared" ca="1" si="55"/>
        <v/>
      </c>
      <c r="W400" s="17">
        <f t="shared" ca="1" si="52"/>
        <v>-9.2455026226970841E-2</v>
      </c>
      <c r="X400" s="13">
        <f t="shared" ca="1" si="53"/>
        <v>0</v>
      </c>
      <c r="Y400" s="13">
        <f t="shared" ca="1" si="54"/>
        <v>0</v>
      </c>
      <c r="Z400" t="str">
        <f t="shared" ca="1" si="56"/>
        <v/>
      </c>
      <c r="AA400" t="str">
        <f t="shared" ca="1" si="57"/>
        <v/>
      </c>
      <c r="AB400" s="24" t="str">
        <f t="shared" ca="1" si="58"/>
        <v/>
      </c>
      <c r="AC400" s="24" t="str">
        <f t="shared" ca="1" si="59"/>
        <v/>
      </c>
    </row>
    <row r="401" spans="3:29" x14ac:dyDescent="0.25">
      <c r="C401" s="6">
        <v>394</v>
      </c>
      <c r="D401" s="37">
        <v>42566</v>
      </c>
      <c r="E401" s="39">
        <v>18.163</v>
      </c>
      <c r="F401" s="39">
        <v>2.9968987228682482</v>
      </c>
      <c r="G401" s="39">
        <v>58.641578283379616</v>
      </c>
      <c r="H401" s="39">
        <v>56.523562098961349</v>
      </c>
      <c r="I401" s="10">
        <v>0</v>
      </c>
      <c r="J401" s="40">
        <v>0</v>
      </c>
      <c r="K401" s="40">
        <v>0</v>
      </c>
      <c r="L401" s="40">
        <v>0</v>
      </c>
      <c r="M401" s="40">
        <v>0</v>
      </c>
      <c r="N401" s="40">
        <v>0</v>
      </c>
      <c r="O401" s="40">
        <v>1</v>
      </c>
      <c r="P401" s="40">
        <v>0</v>
      </c>
      <c r="Q401" s="40">
        <v>0</v>
      </c>
      <c r="R401" s="40">
        <v>0</v>
      </c>
      <c r="S401" s="40">
        <v>0</v>
      </c>
      <c r="T401" s="29">
        <f t="array" aca="1" ref="T401" ca="1">+fair_value_gap(OFFSET(S400,0,0,-1*$I$5,-1*$Z$1),OFFSET(E400,0,0,-1*$I$5,1),F401:S401,0)</f>
        <v>18.75540690329715</v>
      </c>
      <c r="U401" s="9" t="str" cm="1">
        <f t="array" aca="1" ref="U401" ca="1">z_score_diff(OFFSET(T401,0,0,$I$5*-1,1),OFFSET(E401,0,0,$I$5*-1,1))</f>
        <v/>
      </c>
      <c r="V401" s="9" t="str">
        <f t="shared" ca="1" si="55"/>
        <v/>
      </c>
      <c r="W401" s="17">
        <f t="shared" ca="1" si="52"/>
        <v>-0.11437531552896811</v>
      </c>
      <c r="X401" s="13">
        <f t="shared" ca="1" si="53"/>
        <v>0</v>
      </c>
      <c r="Y401" s="13">
        <f t="shared" ca="1" si="54"/>
        <v>0</v>
      </c>
      <c r="Z401" t="str">
        <f t="shared" ca="1" si="56"/>
        <v/>
      </c>
      <c r="AA401" t="str">
        <f t="shared" ca="1" si="57"/>
        <v/>
      </c>
      <c r="AB401" s="24" t="str">
        <f t="shared" ca="1" si="58"/>
        <v/>
      </c>
      <c r="AC401" s="24" t="str">
        <f t="shared" ca="1" si="59"/>
        <v/>
      </c>
    </row>
    <row r="402" spans="3:29" x14ac:dyDescent="0.25">
      <c r="C402" s="6">
        <v>395</v>
      </c>
      <c r="D402" s="37">
        <v>42569</v>
      </c>
      <c r="E402" s="39">
        <v>18.111000000000001</v>
      </c>
      <c r="F402" s="39">
        <v>2.9678638608145009</v>
      </c>
      <c r="G402" s="39">
        <v>56.875059023514972</v>
      </c>
      <c r="H402" s="39">
        <v>55.972484455515534</v>
      </c>
      <c r="I402" s="10">
        <v>0</v>
      </c>
      <c r="J402" s="40">
        <v>0</v>
      </c>
      <c r="K402" s="40">
        <v>0</v>
      </c>
      <c r="L402" s="40">
        <v>0</v>
      </c>
      <c r="M402" s="40">
        <v>0</v>
      </c>
      <c r="N402" s="40">
        <v>0</v>
      </c>
      <c r="O402" s="40">
        <v>1</v>
      </c>
      <c r="P402" s="40">
        <v>0</v>
      </c>
      <c r="Q402" s="40">
        <v>0</v>
      </c>
      <c r="R402" s="40">
        <v>0</v>
      </c>
      <c r="S402" s="40">
        <v>0</v>
      </c>
      <c r="T402" s="29">
        <f t="array" aca="1" ref="T402" ca="1">+fair_value_gap(OFFSET(S401,0,0,-1*$I$5,-1*$Z$1),OFFSET(E401,0,0,-1*$I$5,1),F402:S402,0)</f>
        <v>18.098547008297107</v>
      </c>
      <c r="U402" s="9" t="str" cm="1">
        <f t="array" aca="1" ref="U402" ca="1">z_score_diff(OFFSET(T402,0,0,$I$5*-1,1),OFFSET(E402,0,0,$I$5*-1,1))</f>
        <v/>
      </c>
      <c r="V402" s="9" t="str">
        <f t="shared" ca="1" si="55"/>
        <v/>
      </c>
      <c r="W402" s="17">
        <f t="shared" ca="1" si="52"/>
        <v>-0.1117551903124841</v>
      </c>
      <c r="X402" s="13">
        <f t="shared" ca="1" si="53"/>
        <v>0</v>
      </c>
      <c r="Y402" s="13">
        <f t="shared" ca="1" si="54"/>
        <v>0</v>
      </c>
      <c r="Z402" t="str">
        <f t="shared" ca="1" si="56"/>
        <v/>
      </c>
      <c r="AA402" t="str">
        <f t="shared" ca="1" si="57"/>
        <v/>
      </c>
      <c r="AB402" s="24" t="str">
        <f t="shared" ca="1" si="58"/>
        <v/>
      </c>
      <c r="AC402" s="24" t="str">
        <f t="shared" ca="1" si="59"/>
        <v/>
      </c>
    </row>
    <row r="403" spans="3:29" x14ac:dyDescent="0.25">
      <c r="C403" s="6">
        <v>396</v>
      </c>
      <c r="D403" s="37">
        <v>42570</v>
      </c>
      <c r="E403" s="39">
        <v>18.143999999999998</v>
      </c>
      <c r="F403" s="39">
        <v>2.9635365400954536</v>
      </c>
      <c r="G403" s="39">
        <v>56.433620408536711</v>
      </c>
      <c r="H403" s="39">
        <v>55.593996379967024</v>
      </c>
      <c r="I403" s="10">
        <v>0</v>
      </c>
      <c r="J403" s="40">
        <v>0</v>
      </c>
      <c r="K403" s="40">
        <v>0</v>
      </c>
      <c r="L403" s="40">
        <v>0</v>
      </c>
      <c r="M403" s="40">
        <v>0</v>
      </c>
      <c r="N403" s="40">
        <v>0</v>
      </c>
      <c r="O403" s="40">
        <v>1</v>
      </c>
      <c r="P403" s="40">
        <v>0</v>
      </c>
      <c r="Q403" s="40">
        <v>0</v>
      </c>
      <c r="R403" s="40">
        <v>0</v>
      </c>
      <c r="S403" s="40">
        <v>0</v>
      </c>
      <c r="T403" s="29">
        <f t="array" aca="1" ref="T403" ca="1">+fair_value_gap(OFFSET(S402,0,0,-1*$I$5,-1*$Z$1),OFFSET(E402,0,0,-1*$I$5,1),F403:S403,0)</f>
        <v>17.953963705409201</v>
      </c>
      <c r="U403" s="9" t="str" cm="1">
        <f t="array" aca="1" ref="U403" ca="1">z_score_diff(OFFSET(T403,0,0,$I$5*-1,1),OFFSET(E403,0,0,$I$5*-1,1))</f>
        <v/>
      </c>
      <c r="V403" s="9" t="str">
        <f t="shared" ca="1" si="55"/>
        <v/>
      </c>
      <c r="W403" s="17">
        <f t="shared" ca="1" si="52"/>
        <v>-0.11747306386133466</v>
      </c>
      <c r="X403" s="13">
        <f t="shared" ca="1" si="53"/>
        <v>0</v>
      </c>
      <c r="Y403" s="13">
        <f t="shared" ca="1" si="54"/>
        <v>0</v>
      </c>
      <c r="Z403" t="str">
        <f t="shared" ca="1" si="56"/>
        <v/>
      </c>
      <c r="AA403" t="str">
        <f t="shared" ca="1" si="57"/>
        <v/>
      </c>
      <c r="AB403" s="24" t="str">
        <f t="shared" ca="1" si="58"/>
        <v/>
      </c>
      <c r="AC403" s="24" t="str">
        <f t="shared" ca="1" si="59"/>
        <v/>
      </c>
    </row>
    <row r="404" spans="3:29" x14ac:dyDescent="0.25">
      <c r="C404" s="6">
        <v>397</v>
      </c>
      <c r="D404" s="37">
        <v>42571</v>
      </c>
      <c r="E404" s="39">
        <v>18.225999999999999</v>
      </c>
      <c r="F404" s="39">
        <v>2.9301010960190674</v>
      </c>
      <c r="G404" s="39">
        <v>57.229190922610037</v>
      </c>
      <c r="H404" s="39">
        <v>55.332571347562975</v>
      </c>
      <c r="I404" s="10">
        <v>0</v>
      </c>
      <c r="J404" s="40">
        <v>0</v>
      </c>
      <c r="K404" s="40">
        <v>0</v>
      </c>
      <c r="L404" s="40">
        <v>0</v>
      </c>
      <c r="M404" s="40">
        <v>0</v>
      </c>
      <c r="N404" s="40">
        <v>0</v>
      </c>
      <c r="O404" s="40">
        <v>1</v>
      </c>
      <c r="P404" s="40">
        <v>0</v>
      </c>
      <c r="Q404" s="40">
        <v>0</v>
      </c>
      <c r="R404" s="40">
        <v>0</v>
      </c>
      <c r="S404" s="40">
        <v>0</v>
      </c>
      <c r="T404" s="29">
        <f t="array" aca="1" ref="T404" ca="1">+fair_value_gap(OFFSET(S403,0,0,-1*$I$5,-1*$Z$1),OFFSET(E403,0,0,-1*$I$5,1),F404:S404,0)</f>
        <v>18.197915602487907</v>
      </c>
      <c r="U404" s="9" t="str" cm="1">
        <f t="array" aca="1" ref="U404" ca="1">z_score_diff(OFFSET(T404,0,0,$I$5*-1,1),OFFSET(E404,0,0,$I$5*-1,1))</f>
        <v/>
      </c>
      <c r="V404" s="9" t="str">
        <f t="shared" ca="1" si="55"/>
        <v/>
      </c>
      <c r="W404" s="17">
        <f t="shared" ca="1" si="52"/>
        <v>-0.12782588971869407</v>
      </c>
      <c r="X404" s="13">
        <f t="shared" ca="1" si="53"/>
        <v>0</v>
      </c>
      <c r="Y404" s="13">
        <f t="shared" ca="1" si="54"/>
        <v>0</v>
      </c>
      <c r="Z404" t="str">
        <f t="shared" ca="1" si="56"/>
        <v/>
      </c>
      <c r="AA404" t="str">
        <f t="shared" ca="1" si="57"/>
        <v/>
      </c>
      <c r="AB404" s="24" t="str">
        <f t="shared" ca="1" si="58"/>
        <v/>
      </c>
      <c r="AC404" s="24" t="str">
        <f t="shared" ca="1" si="59"/>
        <v/>
      </c>
    </row>
    <row r="405" spans="3:29" x14ac:dyDescent="0.25">
      <c r="C405" s="6">
        <v>398</v>
      </c>
      <c r="D405" s="37">
        <v>42572</v>
      </c>
      <c r="E405" s="39">
        <v>18.364999999999998</v>
      </c>
      <c r="F405" s="39">
        <v>2.9381329323840273</v>
      </c>
      <c r="G405" s="39">
        <v>57.570040394840348</v>
      </c>
      <c r="H405" s="39">
        <v>55.101048069694421</v>
      </c>
      <c r="I405" s="10">
        <v>0</v>
      </c>
      <c r="J405" s="40">
        <v>0</v>
      </c>
      <c r="K405" s="40">
        <v>0</v>
      </c>
      <c r="L405" s="40">
        <v>0</v>
      </c>
      <c r="M405" s="40">
        <v>0</v>
      </c>
      <c r="N405" s="40">
        <v>0</v>
      </c>
      <c r="O405" s="40">
        <v>1</v>
      </c>
      <c r="P405" s="40">
        <v>0</v>
      </c>
      <c r="Q405" s="40">
        <v>0</v>
      </c>
      <c r="R405" s="40">
        <v>0</v>
      </c>
      <c r="S405" s="40">
        <v>0</v>
      </c>
      <c r="T405" s="29">
        <f t="array" aca="1" ref="T405" ca="1">+fair_value_gap(OFFSET(S404,0,0,-1*$I$5,-1*$Z$1),OFFSET(E404,0,0,-1*$I$5,1),F405:S405,0)</f>
        <v>18.294327937248713</v>
      </c>
      <c r="U405" s="9" t="str" cm="1">
        <f t="array" aca="1" ref="U405" ca="1">z_score_diff(OFFSET(T405,0,0,$I$5*-1,1),OFFSET(E405,0,0,$I$5*-1,1))</f>
        <v/>
      </c>
      <c r="V405" s="9" t="str">
        <f t="shared" ca="1" si="55"/>
        <v/>
      </c>
      <c r="W405" s="17">
        <f t="shared" ca="1" si="52"/>
        <v>-0.13181376004753814</v>
      </c>
      <c r="X405" s="13">
        <f t="shared" ca="1" si="53"/>
        <v>0</v>
      </c>
      <c r="Y405" s="13">
        <f t="shared" ca="1" si="54"/>
        <v>0</v>
      </c>
      <c r="Z405" t="str">
        <f t="shared" ca="1" si="56"/>
        <v/>
      </c>
      <c r="AA405" t="str">
        <f t="shared" ca="1" si="57"/>
        <v/>
      </c>
      <c r="AB405" s="24" t="str">
        <f t="shared" ca="1" si="58"/>
        <v/>
      </c>
      <c r="AC405" s="24" t="str">
        <f t="shared" ca="1" si="59"/>
        <v/>
      </c>
    </row>
    <row r="406" spans="3:29" x14ac:dyDescent="0.25">
      <c r="C406" s="6">
        <v>399</v>
      </c>
      <c r="D406" s="37">
        <v>42573</v>
      </c>
      <c r="E406" s="39">
        <v>18.123999999999999</v>
      </c>
      <c r="F406" s="39">
        <v>2.970667325235659</v>
      </c>
      <c r="G406" s="39">
        <v>56.809548432996415</v>
      </c>
      <c r="H406" s="39">
        <v>54.90049063982169</v>
      </c>
      <c r="I406" s="10">
        <v>0</v>
      </c>
      <c r="J406" s="40">
        <v>0</v>
      </c>
      <c r="K406" s="40">
        <v>0</v>
      </c>
      <c r="L406" s="40">
        <v>0</v>
      </c>
      <c r="M406" s="40">
        <v>0</v>
      </c>
      <c r="N406" s="40">
        <v>0</v>
      </c>
      <c r="O406" s="40">
        <v>1</v>
      </c>
      <c r="P406" s="40">
        <v>0</v>
      </c>
      <c r="Q406" s="40">
        <v>0</v>
      </c>
      <c r="R406" s="40">
        <v>0</v>
      </c>
      <c r="S406" s="40">
        <v>0</v>
      </c>
      <c r="T406" s="29">
        <f t="array" aca="1" ref="T406" ca="1">+fair_value_gap(OFFSET(S405,0,0,-1*$I$5,-1*$Z$1),OFFSET(E405,0,0,-1*$I$5,1),F406:S406,0)</f>
        <v>18.060618488207322</v>
      </c>
      <c r="U406" s="9" t="str" cm="1">
        <f t="array" aca="1" ref="U406" ca="1">z_score_diff(OFFSET(T406,0,0,$I$5*-1,1),OFFSET(E406,0,0,$I$5*-1,1))</f>
        <v/>
      </c>
      <c r="V406" s="9" t="str">
        <f t="shared" ca="1" si="55"/>
        <v/>
      </c>
      <c r="W406" s="17">
        <f t="shared" ca="1" si="52"/>
        <v>-0.12352393690340112</v>
      </c>
      <c r="X406" s="13">
        <f t="shared" ca="1" si="53"/>
        <v>0</v>
      </c>
      <c r="Y406" s="13">
        <f t="shared" ca="1" si="54"/>
        <v>0</v>
      </c>
      <c r="Z406" t="str">
        <f t="shared" ca="1" si="56"/>
        <v/>
      </c>
      <c r="AA406" t="str">
        <f t="shared" ca="1" si="57"/>
        <v/>
      </c>
      <c r="AB406" s="24" t="str">
        <f t="shared" ca="1" si="58"/>
        <v/>
      </c>
      <c r="AC406" s="24" t="str">
        <f t="shared" ca="1" si="59"/>
        <v/>
      </c>
    </row>
    <row r="407" spans="3:29" x14ac:dyDescent="0.25">
      <c r="C407" s="6">
        <v>400</v>
      </c>
      <c r="D407" s="37">
        <v>42576</v>
      </c>
      <c r="E407" s="39">
        <v>18.126000000000001</v>
      </c>
      <c r="F407" s="39">
        <v>2.9828340649941976</v>
      </c>
      <c r="G407" s="39">
        <v>56.744963633941346</v>
      </c>
      <c r="H407" s="39">
        <v>55.229452869092448</v>
      </c>
      <c r="I407" s="10">
        <v>0</v>
      </c>
      <c r="J407" s="40">
        <v>0</v>
      </c>
      <c r="K407" s="40">
        <v>0</v>
      </c>
      <c r="L407" s="40">
        <v>0</v>
      </c>
      <c r="M407" s="40">
        <v>0</v>
      </c>
      <c r="N407" s="40">
        <v>0</v>
      </c>
      <c r="O407" s="40">
        <v>1</v>
      </c>
      <c r="P407" s="40">
        <v>0</v>
      </c>
      <c r="Q407" s="40">
        <v>0</v>
      </c>
      <c r="R407" s="40">
        <v>0</v>
      </c>
      <c r="S407" s="40">
        <v>0</v>
      </c>
      <c r="T407" s="29">
        <f t="array" aca="1" ref="T407" ca="1">+fair_value_gap(OFFSET(S406,0,0,-1*$I$5,-1*$Z$1),OFFSET(E406,0,0,-1*$I$5,1),F407:S407,0)</f>
        <v>18.066942567305265</v>
      </c>
      <c r="U407" s="9" t="str" cm="1">
        <f t="array" aca="1" ref="U407" ca="1">z_score_diff(OFFSET(T407,0,0,$I$5*-1,1),OFFSET(E407,0,0,$I$5*-1,1))</f>
        <v/>
      </c>
      <c r="V407" s="9" t="str">
        <f t="shared" ca="1" si="55"/>
        <v/>
      </c>
      <c r="W407" s="17">
        <f t="shared" ca="1" si="52"/>
        <v>-0.12926880487069473</v>
      </c>
      <c r="X407" s="13">
        <f t="shared" ca="1" si="53"/>
        <v>0</v>
      </c>
      <c r="Y407" s="13">
        <f t="shared" ca="1" si="54"/>
        <v>0</v>
      </c>
      <c r="Z407" t="str">
        <f t="shared" ca="1" si="56"/>
        <v/>
      </c>
      <c r="AA407" t="str">
        <f t="shared" ca="1" si="57"/>
        <v/>
      </c>
      <c r="AB407" s="24" t="str">
        <f t="shared" ca="1" si="58"/>
        <v/>
      </c>
      <c r="AC407" s="24" t="str">
        <f t="shared" ca="1" si="59"/>
        <v/>
      </c>
    </row>
    <row r="408" spans="3:29" x14ac:dyDescent="0.25">
      <c r="C408" s="6">
        <v>401</v>
      </c>
      <c r="D408" s="37">
        <v>42577</v>
      </c>
      <c r="E408" s="39">
        <v>17.991</v>
      </c>
      <c r="F408" s="39">
        <v>2.975250318554985</v>
      </c>
      <c r="G408" s="39">
        <v>56.553802759768978</v>
      </c>
      <c r="H408" s="39">
        <v>55.902406820448562</v>
      </c>
      <c r="I408" s="10">
        <v>0</v>
      </c>
      <c r="J408" s="40">
        <v>0</v>
      </c>
      <c r="K408" s="40">
        <v>0</v>
      </c>
      <c r="L408" s="40">
        <v>0</v>
      </c>
      <c r="M408" s="40">
        <v>0</v>
      </c>
      <c r="N408" s="40">
        <v>0</v>
      </c>
      <c r="O408" s="40">
        <v>1</v>
      </c>
      <c r="P408" s="40">
        <v>0</v>
      </c>
      <c r="Q408" s="40">
        <v>0</v>
      </c>
      <c r="R408" s="40">
        <v>0</v>
      </c>
      <c r="S408" s="40">
        <v>0</v>
      </c>
      <c r="T408" s="29">
        <f t="array" aca="1" ref="T408" ca="1">+fair_value_gap(OFFSET(S407,0,0,-1*$I$5,-1*$Z$1),OFFSET(E407,0,0,-1*$I$5,1),F408:S408,0)</f>
        <v>18.041769279501885</v>
      </c>
      <c r="U408" s="9" t="str" cm="1">
        <f t="array" aca="1" ref="U408" ca="1">z_score_diff(OFFSET(T408,0,0,$I$5*-1,1),OFFSET(E408,0,0,$I$5*-1,1))</f>
        <v/>
      </c>
      <c r="V408" s="9" t="str">
        <f t="shared" ca="1" si="55"/>
        <v/>
      </c>
      <c r="W408" s="17">
        <f t="shared" ca="1" si="52"/>
        <v>-0.12185585058483828</v>
      </c>
      <c r="X408" s="13">
        <f t="shared" ca="1" si="53"/>
        <v>0</v>
      </c>
      <c r="Y408" s="13">
        <f t="shared" ca="1" si="54"/>
        <v>0</v>
      </c>
      <c r="Z408" t="str">
        <f t="shared" ca="1" si="56"/>
        <v/>
      </c>
      <c r="AA408" t="str">
        <f t="shared" ca="1" si="57"/>
        <v/>
      </c>
      <c r="AB408" s="24" t="str">
        <f t="shared" ca="1" si="58"/>
        <v/>
      </c>
      <c r="AC408" s="24" t="str">
        <f t="shared" ca="1" si="59"/>
        <v/>
      </c>
    </row>
    <row r="409" spans="3:29" x14ac:dyDescent="0.25">
      <c r="C409" s="6">
        <v>402</v>
      </c>
      <c r="D409" s="37">
        <v>42578</v>
      </c>
      <c r="E409" s="39">
        <v>17.905000000000001</v>
      </c>
      <c r="F409" s="39">
        <v>2.9486693523505614</v>
      </c>
      <c r="G409" s="39">
        <v>56.290648127382816</v>
      </c>
      <c r="H409" s="39">
        <v>56.637370968168476</v>
      </c>
      <c r="I409" s="10">
        <v>0</v>
      </c>
      <c r="J409" s="40">
        <v>0</v>
      </c>
      <c r="K409" s="40">
        <v>0</v>
      </c>
      <c r="L409" s="40">
        <v>0</v>
      </c>
      <c r="M409" s="40">
        <v>0</v>
      </c>
      <c r="N409" s="40">
        <v>0</v>
      </c>
      <c r="O409" s="40">
        <v>1</v>
      </c>
      <c r="P409" s="40">
        <v>0</v>
      </c>
      <c r="Q409" s="40">
        <v>0</v>
      </c>
      <c r="R409" s="40">
        <v>0</v>
      </c>
      <c r="S409" s="40">
        <v>0</v>
      </c>
      <c r="T409" s="29">
        <f t="array" aca="1" ref="T409" ca="1">+fair_value_gap(OFFSET(S408,0,0,-1*$I$5,-1*$Z$1),OFFSET(E408,0,0,-1*$I$5,1),F409:S409,0)</f>
        <v>17.981364834842413</v>
      </c>
      <c r="U409" s="9" t="str" cm="1">
        <f t="array" aca="1" ref="U409" ca="1">z_score_diff(OFFSET(T409,0,0,$I$5*-1,1),OFFSET(E409,0,0,$I$5*-1,1))</f>
        <v/>
      </c>
      <c r="V409" s="9" t="str">
        <f t="shared" ca="1" si="55"/>
        <v/>
      </c>
      <c r="W409" s="17">
        <f t="shared" ca="1" si="52"/>
        <v>-0.12507006341747487</v>
      </c>
      <c r="X409" s="13">
        <f t="shared" ca="1" si="53"/>
        <v>0</v>
      </c>
      <c r="Y409" s="13">
        <f t="shared" ca="1" si="54"/>
        <v>0</v>
      </c>
      <c r="Z409" t="str">
        <f t="shared" ca="1" si="56"/>
        <v/>
      </c>
      <c r="AA409" t="str">
        <f t="shared" ca="1" si="57"/>
        <v/>
      </c>
      <c r="AB409" s="24" t="str">
        <f t="shared" ca="1" si="58"/>
        <v/>
      </c>
      <c r="AC409" s="24" t="str">
        <f t="shared" ca="1" si="59"/>
        <v/>
      </c>
    </row>
    <row r="410" spans="3:29" x14ac:dyDescent="0.25">
      <c r="C410" s="6">
        <v>403</v>
      </c>
      <c r="D410" s="37">
        <v>42579</v>
      </c>
      <c r="E410" s="39">
        <v>17.696000000000002</v>
      </c>
      <c r="F410" s="39">
        <v>2.9401534797099469</v>
      </c>
      <c r="G410" s="39">
        <v>55.400849722116</v>
      </c>
      <c r="H410" s="39">
        <v>56.927499988993134</v>
      </c>
      <c r="I410" s="10">
        <v>0</v>
      </c>
      <c r="J410" s="40">
        <v>0</v>
      </c>
      <c r="K410" s="40">
        <v>0</v>
      </c>
      <c r="L410" s="40">
        <v>0</v>
      </c>
      <c r="M410" s="40">
        <v>0</v>
      </c>
      <c r="N410" s="40">
        <v>0</v>
      </c>
      <c r="O410" s="40">
        <v>1</v>
      </c>
      <c r="P410" s="40">
        <v>0</v>
      </c>
      <c r="Q410" s="40">
        <v>0</v>
      </c>
      <c r="R410" s="40">
        <v>0</v>
      </c>
      <c r="S410" s="40">
        <v>0</v>
      </c>
      <c r="T410" s="29">
        <f t="array" aca="1" ref="T410" ca="1">+fair_value_gap(OFFSET(S409,0,0,-1*$I$5,-1*$Z$1),OFFSET(E409,0,0,-1*$I$5,1),F410:S410,0)</f>
        <v>17.730840548202515</v>
      </c>
      <c r="U410" s="9" t="str" cm="1">
        <f t="array" aca="1" ref="U410" ca="1">z_score_diff(OFFSET(T410,0,0,$I$5*-1,1),OFFSET(E410,0,0,$I$5*-1,1))</f>
        <v/>
      </c>
      <c r="V410" s="9" t="str">
        <f t="shared" ca="1" si="55"/>
        <v/>
      </c>
      <c r="W410" s="17">
        <f t="shared" ca="1" si="52"/>
        <v>-0.10062491091199227</v>
      </c>
      <c r="X410" s="13">
        <f t="shared" ca="1" si="53"/>
        <v>0</v>
      </c>
      <c r="Y410" s="13">
        <f t="shared" ca="1" si="54"/>
        <v>0</v>
      </c>
      <c r="Z410" t="str">
        <f t="shared" ca="1" si="56"/>
        <v/>
      </c>
      <c r="AA410" t="str">
        <f t="shared" ca="1" si="57"/>
        <v/>
      </c>
      <c r="AB410" s="24" t="str">
        <f t="shared" ca="1" si="58"/>
        <v/>
      </c>
      <c r="AC410" s="24" t="str">
        <f t="shared" ca="1" si="59"/>
        <v/>
      </c>
    </row>
    <row r="411" spans="3:29" x14ac:dyDescent="0.25">
      <c r="C411" s="6">
        <v>404</v>
      </c>
      <c r="D411" s="37">
        <v>42580</v>
      </c>
      <c r="E411" s="39">
        <v>17.553000000000001</v>
      </c>
      <c r="F411" s="39">
        <v>2.9301919720767891</v>
      </c>
      <c r="G411" s="39">
        <v>53.428504317401774</v>
      </c>
      <c r="H411" s="39">
        <v>56.631762652705071</v>
      </c>
      <c r="I411" s="10">
        <v>0</v>
      </c>
      <c r="J411" s="40">
        <v>0</v>
      </c>
      <c r="K411" s="40">
        <v>0</v>
      </c>
      <c r="L411" s="40">
        <v>0</v>
      </c>
      <c r="M411" s="40">
        <v>0</v>
      </c>
      <c r="N411" s="40">
        <v>0</v>
      </c>
      <c r="O411" s="40">
        <v>1</v>
      </c>
      <c r="P411" s="40">
        <v>0</v>
      </c>
      <c r="Q411" s="40">
        <v>0</v>
      </c>
      <c r="R411" s="40">
        <v>0</v>
      </c>
      <c r="S411" s="40">
        <v>0</v>
      </c>
      <c r="T411" s="29">
        <f t="array" aca="1" ref="T411" ca="1">+fair_value_gap(OFFSET(S410,0,0,-1*$I$5,-1*$Z$1),OFFSET(E410,0,0,-1*$I$5,1),F411:S411,0)</f>
        <v>17.141368567147271</v>
      </c>
      <c r="U411" s="9" t="str" cm="1">
        <f t="array" aca="1" ref="U411" ca="1">z_score_diff(OFFSET(T411,0,0,$I$5*-1,1),OFFSET(E411,0,0,$I$5*-1,1))</f>
        <v/>
      </c>
      <c r="V411" s="9" t="str">
        <f t="shared" ca="1" si="55"/>
        <v/>
      </c>
      <c r="W411" s="17">
        <f t="shared" ca="1" si="52"/>
        <v>-8.8395158977172969E-2</v>
      </c>
      <c r="X411" s="13">
        <f t="shared" ca="1" si="53"/>
        <v>0</v>
      </c>
      <c r="Y411" s="13">
        <f t="shared" ca="1" si="54"/>
        <v>0</v>
      </c>
      <c r="Z411" t="str">
        <f t="shared" ca="1" si="56"/>
        <v/>
      </c>
      <c r="AA411" t="str">
        <f t="shared" ca="1" si="57"/>
        <v/>
      </c>
      <c r="AB411" s="24" t="str">
        <f t="shared" ca="1" si="58"/>
        <v/>
      </c>
      <c r="AC411" s="24" t="str">
        <f t="shared" ca="1" si="59"/>
        <v/>
      </c>
    </row>
    <row r="412" spans="3:29" x14ac:dyDescent="0.25">
      <c r="C412" s="6">
        <v>405</v>
      </c>
      <c r="D412" s="37">
        <v>42583</v>
      </c>
      <c r="E412" s="39">
        <v>17.221</v>
      </c>
      <c r="F412" s="39">
        <v>2.9108532618859111</v>
      </c>
      <c r="G412" s="39">
        <v>52.862510794221294</v>
      </c>
      <c r="H412" s="39">
        <v>56.277078974918254</v>
      </c>
      <c r="I412" s="1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1</v>
      </c>
      <c r="Q412" s="40">
        <v>0</v>
      </c>
      <c r="R412" s="40">
        <v>0</v>
      </c>
      <c r="S412" s="40">
        <v>0</v>
      </c>
      <c r="T412" s="29">
        <f t="array" aca="1" ref="T412" ca="1">+fair_value_gap(OFFSET(S411,0,0,-1*$I$5,-1*$Z$1),OFFSET(E411,0,0,-1*$I$5,1),F412:S412,0)</f>
        <v>18.127135611338893</v>
      </c>
      <c r="U412" s="9" t="str" cm="1">
        <f t="array" aca="1" ref="U412" ca="1">z_score_diff(OFFSET(T412,0,0,$I$5*-1,1),OFFSET(E412,0,0,$I$5*-1,1))</f>
        <v/>
      </c>
      <c r="V412" s="9" t="str">
        <f t="shared" ca="1" si="55"/>
        <v/>
      </c>
      <c r="W412" s="17">
        <f t="shared" ca="1" si="52"/>
        <v>-4.8482447742204372E-2</v>
      </c>
      <c r="X412" s="13">
        <f t="shared" ca="1" si="53"/>
        <v>0</v>
      </c>
      <c r="Y412" s="13">
        <f t="shared" ca="1" si="54"/>
        <v>0</v>
      </c>
      <c r="Z412" t="str">
        <f t="shared" ca="1" si="56"/>
        <v/>
      </c>
      <c r="AA412" t="str">
        <f t="shared" ca="1" si="57"/>
        <v/>
      </c>
      <c r="AB412" s="24" t="str">
        <f t="shared" ca="1" si="58"/>
        <v/>
      </c>
      <c r="AC412" s="24" t="str">
        <f t="shared" ca="1" si="59"/>
        <v/>
      </c>
    </row>
    <row r="413" spans="3:29" x14ac:dyDescent="0.25">
      <c r="C413" s="6">
        <v>406</v>
      </c>
      <c r="D413" s="37">
        <v>42584</v>
      </c>
      <c r="E413" s="39">
        <v>16.997</v>
      </c>
      <c r="F413" s="39">
        <v>2.8896385692900752</v>
      </c>
      <c r="G413" s="39">
        <v>52.17372924147876</v>
      </c>
      <c r="H413" s="39">
        <v>55.125546368447168</v>
      </c>
      <c r="I413" s="1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1</v>
      </c>
      <c r="Q413" s="40">
        <v>0</v>
      </c>
      <c r="R413" s="40">
        <v>0</v>
      </c>
      <c r="S413" s="40">
        <v>0</v>
      </c>
      <c r="T413" s="29">
        <f t="array" aca="1" ref="T413" ca="1">+fair_value_gap(OFFSET(S412,0,0,-1*$I$5,-1*$Z$1),OFFSET(E412,0,0,-1*$I$5,1),F413:S413,0)</f>
        <v>17.341814036507074</v>
      </c>
      <c r="U413" s="9" t="str" cm="1">
        <f t="array" aca="1" ref="U413" ca="1">z_score_diff(OFFSET(T413,0,0,$I$5*-1,1),OFFSET(E413,0,0,$I$5*-1,1))</f>
        <v/>
      </c>
      <c r="V413" s="9" t="str">
        <f t="shared" ca="1" si="55"/>
        <v/>
      </c>
      <c r="W413" s="17">
        <f t="shared" ca="1" si="52"/>
        <v>-5.2728012640295086E-2</v>
      </c>
      <c r="X413" s="13">
        <f t="shared" ca="1" si="53"/>
        <v>0</v>
      </c>
      <c r="Y413" s="13">
        <f t="shared" ca="1" si="54"/>
        <v>0</v>
      </c>
      <c r="Z413" t="str">
        <f t="shared" ca="1" si="56"/>
        <v/>
      </c>
      <c r="AA413" t="str">
        <f t="shared" ca="1" si="57"/>
        <v/>
      </c>
      <c r="AB413" s="24" t="str">
        <f t="shared" ca="1" si="58"/>
        <v/>
      </c>
      <c r="AC413" s="24" t="str">
        <f t="shared" ca="1" si="59"/>
        <v/>
      </c>
    </row>
    <row r="414" spans="3:29" x14ac:dyDescent="0.25">
      <c r="C414" s="6">
        <v>407</v>
      </c>
      <c r="D414" s="37">
        <v>42585</v>
      </c>
      <c r="E414" s="39">
        <v>16.934000000000001</v>
      </c>
      <c r="F414" s="39">
        <v>2.9339113071524259</v>
      </c>
      <c r="G414" s="39">
        <v>51.914295418522158</v>
      </c>
      <c r="H414" s="39">
        <v>55.081931638904031</v>
      </c>
      <c r="I414" s="10">
        <v>0</v>
      </c>
      <c r="J414" s="40">
        <v>0</v>
      </c>
      <c r="K414" s="40">
        <v>0</v>
      </c>
      <c r="L414" s="40">
        <v>0</v>
      </c>
      <c r="M414" s="40">
        <v>0</v>
      </c>
      <c r="N414" s="40">
        <v>0</v>
      </c>
      <c r="O414" s="40">
        <v>0</v>
      </c>
      <c r="P414" s="40">
        <v>1</v>
      </c>
      <c r="Q414" s="40">
        <v>0</v>
      </c>
      <c r="R414" s="40">
        <v>0</v>
      </c>
      <c r="S414" s="40">
        <v>0</v>
      </c>
      <c r="T414" s="29">
        <f t="array" aca="1" ref="T414" ca="1">+fair_value_gap(OFFSET(S413,0,0,-1*$I$5,-1*$Z$1),OFFSET(E413,0,0,-1*$I$5,1),F414:S414,0)</f>
        <v>17.168942282582108</v>
      </c>
      <c r="U414" s="9" t="str" cm="1">
        <f t="array" aca="1" ref="U414" ca="1">z_score_diff(OFFSET(T414,0,0,$I$5*-1,1),OFFSET(E414,0,0,$I$5*-1,1))</f>
        <v/>
      </c>
      <c r="V414" s="9" t="str">
        <f t="shared" ca="1" si="55"/>
        <v/>
      </c>
      <c r="W414" s="17">
        <f t="shared" ca="1" si="52"/>
        <v>-3.5584954257569926E-2</v>
      </c>
      <c r="X414" s="13">
        <f t="shared" ca="1" si="53"/>
        <v>0</v>
      </c>
      <c r="Y414" s="13">
        <f t="shared" ca="1" si="54"/>
        <v>0</v>
      </c>
      <c r="Z414" t="str">
        <f t="shared" ca="1" si="56"/>
        <v/>
      </c>
      <c r="AA414" t="str">
        <f t="shared" ca="1" si="57"/>
        <v/>
      </c>
      <c r="AB414" s="24" t="str">
        <f t="shared" ca="1" si="58"/>
        <v/>
      </c>
      <c r="AC414" s="24" t="str">
        <f t="shared" ca="1" si="59"/>
        <v/>
      </c>
    </row>
    <row r="415" spans="3:29" x14ac:dyDescent="0.25">
      <c r="C415" s="6">
        <v>408</v>
      </c>
      <c r="D415" s="37">
        <v>42586</v>
      </c>
      <c r="E415" s="39">
        <v>16.882999999999999</v>
      </c>
      <c r="F415" s="39">
        <v>2.938015927692553</v>
      </c>
      <c r="G415" s="39">
        <v>51.552031585367558</v>
      </c>
      <c r="H415" s="39">
        <v>53.553929946901853</v>
      </c>
      <c r="I415" s="10">
        <v>0</v>
      </c>
      <c r="J415" s="40">
        <v>0</v>
      </c>
      <c r="K415" s="40">
        <v>0</v>
      </c>
      <c r="L415" s="40">
        <v>0</v>
      </c>
      <c r="M415" s="40">
        <v>0</v>
      </c>
      <c r="N415" s="40">
        <v>0</v>
      </c>
      <c r="O415" s="40">
        <v>0</v>
      </c>
      <c r="P415" s="40">
        <v>1</v>
      </c>
      <c r="Q415" s="40">
        <v>0</v>
      </c>
      <c r="R415" s="40">
        <v>0</v>
      </c>
      <c r="S415" s="40">
        <v>0</v>
      </c>
      <c r="T415" s="29">
        <f t="array" aca="1" ref="T415" ca="1">+fair_value_gap(OFFSET(S414,0,0,-1*$I$5,-1*$Z$1),OFFSET(E414,0,0,-1*$I$5,1),F415:S415,0)</f>
        <v>16.97321476373892</v>
      </c>
      <c r="U415" s="9" t="str" cm="1">
        <f t="array" aca="1" ref="U415" ca="1">z_score_diff(OFFSET(T415,0,0,$I$5*-1,1),OFFSET(E415,0,0,$I$5*-1,1))</f>
        <v/>
      </c>
      <c r="V415" s="9" t="str">
        <f t="shared" ca="1" si="55"/>
        <v/>
      </c>
      <c r="W415" s="17">
        <f t="shared" ca="1" si="52"/>
        <v>-2.3977651745837516E-2</v>
      </c>
      <c r="X415" s="13">
        <f t="shared" ca="1" si="53"/>
        <v>0</v>
      </c>
      <c r="Y415" s="13">
        <f t="shared" ca="1" si="54"/>
        <v>0</v>
      </c>
      <c r="Z415" t="str">
        <f t="shared" ca="1" si="56"/>
        <v/>
      </c>
      <c r="AA415" t="str">
        <f t="shared" ca="1" si="57"/>
        <v/>
      </c>
      <c r="AB415" s="24" t="str">
        <f t="shared" ca="1" si="58"/>
        <v/>
      </c>
      <c r="AC415" s="24" t="str">
        <f t="shared" ca="1" si="59"/>
        <v/>
      </c>
    </row>
    <row r="416" spans="3:29" x14ac:dyDescent="0.25">
      <c r="C416" s="6">
        <v>409</v>
      </c>
      <c r="D416" s="37">
        <v>42587</v>
      </c>
      <c r="E416" s="39">
        <v>16.701000000000001</v>
      </c>
      <c r="F416" s="39">
        <v>2.9287132559433449</v>
      </c>
      <c r="G416" s="39">
        <v>50.960444212000112</v>
      </c>
      <c r="H416" s="39">
        <v>51.946864773785023</v>
      </c>
      <c r="I416" s="10">
        <v>0</v>
      </c>
      <c r="J416" s="40">
        <v>0</v>
      </c>
      <c r="K416" s="40">
        <v>0</v>
      </c>
      <c r="L416" s="40">
        <v>0</v>
      </c>
      <c r="M416" s="40">
        <v>0</v>
      </c>
      <c r="N416" s="40">
        <v>0</v>
      </c>
      <c r="O416" s="40">
        <v>0</v>
      </c>
      <c r="P416" s="40">
        <v>1</v>
      </c>
      <c r="Q416" s="40">
        <v>0</v>
      </c>
      <c r="R416" s="40">
        <v>0</v>
      </c>
      <c r="S416" s="40">
        <v>0</v>
      </c>
      <c r="T416" s="29">
        <f t="array" aca="1" ref="T416" ca="1">+fair_value_gap(OFFSET(S415,0,0,-1*$I$5,-1*$Z$1),OFFSET(E415,0,0,-1*$I$5,1),F416:S416,0)</f>
        <v>16.749952612043792</v>
      </c>
      <c r="U416" s="9" t="str" cm="1">
        <f t="array" aca="1" ref="U416" ca="1">z_score_diff(OFFSET(T416,0,0,$I$5*-1,1),OFFSET(E416,0,0,$I$5*-1,1))</f>
        <v/>
      </c>
      <c r="V416" s="9" t="str">
        <f t="shared" ca="1" si="55"/>
        <v/>
      </c>
      <c r="W416" s="17">
        <f t="shared" ca="1" si="52"/>
        <v>7.456711259141457E-3</v>
      </c>
      <c r="X416" s="13">
        <f t="shared" ca="1" si="53"/>
        <v>0</v>
      </c>
      <c r="Y416" s="13">
        <f t="shared" ca="1" si="54"/>
        <v>0</v>
      </c>
      <c r="Z416" t="str">
        <f t="shared" ca="1" si="56"/>
        <v/>
      </c>
      <c r="AA416" t="str">
        <f t="shared" ca="1" si="57"/>
        <v/>
      </c>
      <c r="AB416" s="24" t="str">
        <f t="shared" ca="1" si="58"/>
        <v/>
      </c>
      <c r="AC416" s="24" t="str">
        <f t="shared" ca="1" si="59"/>
        <v/>
      </c>
    </row>
    <row r="417" spans="3:29" x14ac:dyDescent="0.25">
      <c r="C417" s="6">
        <v>410</v>
      </c>
      <c r="D417" s="37">
        <v>42590</v>
      </c>
      <c r="E417" s="39">
        <v>16.863</v>
      </c>
      <c r="F417" s="39">
        <v>2.9303049997229751</v>
      </c>
      <c r="G417" s="39">
        <v>51.049129989764587</v>
      </c>
      <c r="H417" s="39">
        <v>54.78931617129092</v>
      </c>
      <c r="I417" s="10">
        <v>0</v>
      </c>
      <c r="J417" s="40">
        <v>0</v>
      </c>
      <c r="K417" s="40">
        <v>0</v>
      </c>
      <c r="L417" s="40">
        <v>0</v>
      </c>
      <c r="M417" s="40">
        <v>0</v>
      </c>
      <c r="N417" s="40">
        <v>0</v>
      </c>
      <c r="O417" s="40">
        <v>0</v>
      </c>
      <c r="P417" s="40">
        <v>1</v>
      </c>
      <c r="Q417" s="40">
        <v>0</v>
      </c>
      <c r="R417" s="40">
        <v>0</v>
      </c>
      <c r="S417" s="40">
        <v>0</v>
      </c>
      <c r="T417" s="29">
        <f t="array" aca="1" ref="T417" ca="1">+fair_value_gap(OFFSET(S416,0,0,-1*$I$5,-1*$Z$1),OFFSET(E416,0,0,-1*$I$5,1),F417:S417,0)</f>
        <v>16.809974570432225</v>
      </c>
      <c r="U417" s="9" t="str" cm="1">
        <f t="array" aca="1" ref="U417" ca="1">z_score_diff(OFFSET(T417,0,0,$I$5*-1,1),OFFSET(E417,0,0,$I$5*-1,1))</f>
        <v/>
      </c>
      <c r="V417" s="9" t="str">
        <f t="shared" ca="1" si="55"/>
        <v/>
      </c>
      <c r="W417" s="17">
        <f t="shared" ca="1" si="52"/>
        <v>-9.1743762760412694E-3</v>
      </c>
      <c r="X417" s="13">
        <f t="shared" ca="1" si="53"/>
        <v>0</v>
      </c>
      <c r="Y417" s="13">
        <f t="shared" ca="1" si="54"/>
        <v>0</v>
      </c>
      <c r="Z417" t="str">
        <f t="shared" ca="1" si="56"/>
        <v/>
      </c>
      <c r="AA417" t="str">
        <f t="shared" ca="1" si="57"/>
        <v/>
      </c>
      <c r="AB417" s="24" t="str">
        <f t="shared" ca="1" si="58"/>
        <v/>
      </c>
      <c r="AC417" s="24" t="str">
        <f t="shared" ca="1" si="59"/>
        <v/>
      </c>
    </row>
    <row r="418" spans="3:29" x14ac:dyDescent="0.25">
      <c r="C418" s="6">
        <v>411</v>
      </c>
      <c r="D418" s="37">
        <v>42591</v>
      </c>
      <c r="E418" s="39">
        <v>16.835000000000001</v>
      </c>
      <c r="F418" s="39">
        <v>2.882251101225044</v>
      </c>
      <c r="G418" s="39">
        <v>51.182075988453121</v>
      </c>
      <c r="H418" s="39">
        <v>54.918805198220504</v>
      </c>
      <c r="I418" s="10">
        <v>0</v>
      </c>
      <c r="J418" s="40">
        <v>0</v>
      </c>
      <c r="K418" s="40">
        <v>0</v>
      </c>
      <c r="L418" s="40">
        <v>0</v>
      </c>
      <c r="M418" s="40">
        <v>0</v>
      </c>
      <c r="N418" s="40">
        <v>0</v>
      </c>
      <c r="O418" s="40">
        <v>0</v>
      </c>
      <c r="P418" s="40">
        <v>1</v>
      </c>
      <c r="Q418" s="40">
        <v>0</v>
      </c>
      <c r="R418" s="40">
        <v>0</v>
      </c>
      <c r="S418" s="40">
        <v>0</v>
      </c>
      <c r="T418" s="29">
        <f t="array" aca="1" ref="T418" ca="1">+fair_value_gap(OFFSET(S417,0,0,-1*$I$5,-1*$Z$1),OFFSET(E417,0,0,-1*$I$5,1),F418:S418,0)</f>
        <v>16.832286161546769</v>
      </c>
      <c r="U418" s="9" t="str" cm="1">
        <f t="array" aca="1" ref="U418" ca="1">z_score_diff(OFFSET(T418,0,0,$I$5*-1,1),OFFSET(E418,0,0,$I$5*-1,1))</f>
        <v/>
      </c>
      <c r="V418" s="9" t="str">
        <f t="shared" ca="1" si="55"/>
        <v/>
      </c>
      <c r="W418" s="17">
        <f t="shared" ca="1" si="52"/>
        <v>-3.6537058690104249E-2</v>
      </c>
      <c r="X418" s="13">
        <f t="shared" ca="1" si="53"/>
        <v>0</v>
      </c>
      <c r="Y418" s="13">
        <f t="shared" ca="1" si="54"/>
        <v>0</v>
      </c>
      <c r="Z418" t="str">
        <f t="shared" ca="1" si="56"/>
        <v/>
      </c>
      <c r="AA418" t="str">
        <f t="shared" ca="1" si="57"/>
        <v/>
      </c>
      <c r="AB418" s="24" t="str">
        <f t="shared" ca="1" si="58"/>
        <v/>
      </c>
      <c r="AC418" s="24" t="str">
        <f t="shared" ca="1" si="59"/>
        <v/>
      </c>
    </row>
    <row r="419" spans="3:29" x14ac:dyDescent="0.25">
      <c r="C419" s="6">
        <v>412</v>
      </c>
      <c r="D419" s="37">
        <v>42592</v>
      </c>
      <c r="E419" s="39">
        <v>16.780999999999999</v>
      </c>
      <c r="F419" s="39">
        <v>2.848329506199434</v>
      </c>
      <c r="G419" s="39">
        <v>51.148657980755949</v>
      </c>
      <c r="H419" s="39">
        <v>53.111839230724286</v>
      </c>
      <c r="I419" s="10">
        <v>0</v>
      </c>
      <c r="J419" s="40">
        <v>0</v>
      </c>
      <c r="K419" s="40">
        <v>0</v>
      </c>
      <c r="L419" s="40">
        <v>0</v>
      </c>
      <c r="M419" s="40">
        <v>0</v>
      </c>
      <c r="N419" s="40">
        <v>0</v>
      </c>
      <c r="O419" s="40">
        <v>0</v>
      </c>
      <c r="P419" s="40">
        <v>1</v>
      </c>
      <c r="Q419" s="40">
        <v>0</v>
      </c>
      <c r="R419" s="40">
        <v>0</v>
      </c>
      <c r="S419" s="40">
        <v>0</v>
      </c>
      <c r="T419" s="29">
        <f t="array" aca="1" ref="T419" ca="1">+fair_value_gap(OFFSET(S418,0,0,-1*$I$5,-1*$Z$1),OFFSET(E418,0,0,-1*$I$5,1),F419:S419,0)</f>
        <v>16.780712662133965</v>
      </c>
      <c r="U419" s="9" t="str" cm="1">
        <f t="array" aca="1" ref="U419" ca="1">z_score_diff(OFFSET(T419,0,0,$I$5*-1,1),OFFSET(E419,0,0,$I$5*-1,1))</f>
        <v/>
      </c>
      <c r="V419" s="9" t="str">
        <f t="shared" ca="1" si="55"/>
        <v/>
      </c>
      <c r="W419" s="17">
        <f t="shared" ca="1" si="52"/>
        <v>-9.0991349132472105E-3</v>
      </c>
      <c r="X419" s="13">
        <f t="shared" ca="1" si="53"/>
        <v>0</v>
      </c>
      <c r="Y419" s="13">
        <f t="shared" ca="1" si="54"/>
        <v>0</v>
      </c>
      <c r="Z419" t="str">
        <f t="shared" ca="1" si="56"/>
        <v/>
      </c>
      <c r="AA419" t="str">
        <f t="shared" ca="1" si="57"/>
        <v/>
      </c>
      <c r="AB419" s="24" t="str">
        <f t="shared" ca="1" si="58"/>
        <v/>
      </c>
      <c r="AC419" s="24" t="str">
        <f t="shared" ca="1" si="59"/>
        <v/>
      </c>
    </row>
    <row r="420" spans="3:29" x14ac:dyDescent="0.25">
      <c r="C420" s="6">
        <v>413</v>
      </c>
      <c r="D420" s="37">
        <v>42593</v>
      </c>
      <c r="E420" s="39">
        <v>16.704999999999998</v>
      </c>
      <c r="F420" s="39">
        <v>2.8540121582143216</v>
      </c>
      <c r="G420" s="39">
        <v>51.060599962049551</v>
      </c>
      <c r="H420" s="39">
        <v>54.393393325059826</v>
      </c>
      <c r="I420" s="10">
        <v>0</v>
      </c>
      <c r="J420" s="40">
        <v>0</v>
      </c>
      <c r="K420" s="40">
        <v>0</v>
      </c>
      <c r="L420" s="40">
        <v>0</v>
      </c>
      <c r="M420" s="40">
        <v>0</v>
      </c>
      <c r="N420" s="40">
        <v>0</v>
      </c>
      <c r="O420" s="40">
        <v>0</v>
      </c>
      <c r="P420" s="40">
        <v>1</v>
      </c>
      <c r="Q420" s="40">
        <v>0</v>
      </c>
      <c r="R420" s="40">
        <v>0</v>
      </c>
      <c r="S420" s="40">
        <v>0</v>
      </c>
      <c r="T420" s="29">
        <f t="array" aca="1" ref="T420" ca="1">+fair_value_gap(OFFSET(S419,0,0,-1*$I$5,-1*$Z$1),OFFSET(E419,0,0,-1*$I$5,1),F420:S420,0)</f>
        <v>16.770778788043195</v>
      </c>
      <c r="U420" s="9" t="str" cm="1">
        <f t="array" aca="1" ref="U420" ca="1">z_score_diff(OFFSET(T420,0,0,$I$5*-1,1),OFFSET(E420,0,0,$I$5*-1,1))</f>
        <v/>
      </c>
      <c r="V420" s="9" t="str">
        <f t="shared" ca="1" si="55"/>
        <v/>
      </c>
      <c r="W420" s="17">
        <f t="shared" ca="1" si="52"/>
        <v>5.7303326385455189E-3</v>
      </c>
      <c r="X420" s="13">
        <f t="shared" ca="1" si="53"/>
        <v>0</v>
      </c>
      <c r="Y420" s="13">
        <f t="shared" ca="1" si="54"/>
        <v>0</v>
      </c>
      <c r="Z420" t="str">
        <f t="shared" ca="1" si="56"/>
        <v/>
      </c>
      <c r="AA420" t="str">
        <f t="shared" ca="1" si="57"/>
        <v/>
      </c>
      <c r="AB420" s="24" t="str">
        <f t="shared" ca="1" si="58"/>
        <v/>
      </c>
      <c r="AC420" s="24" t="str">
        <f t="shared" ca="1" si="59"/>
        <v/>
      </c>
    </row>
    <row r="421" spans="3:29" x14ac:dyDescent="0.25">
      <c r="C421" s="6">
        <v>414</v>
      </c>
      <c r="D421" s="37">
        <v>42594</v>
      </c>
      <c r="E421" s="39">
        <v>16.77</v>
      </c>
      <c r="F421" s="39">
        <v>2.8374763398126741</v>
      </c>
      <c r="G421" s="39">
        <v>50.941539388929861</v>
      </c>
      <c r="H421" s="39">
        <v>55.22165492096974</v>
      </c>
      <c r="I421" s="10">
        <v>0</v>
      </c>
      <c r="J421" s="40">
        <v>0</v>
      </c>
      <c r="K421" s="40">
        <v>0</v>
      </c>
      <c r="L421" s="40">
        <v>0</v>
      </c>
      <c r="M421" s="40">
        <v>0</v>
      </c>
      <c r="N421" s="40">
        <v>0</v>
      </c>
      <c r="O421" s="40">
        <v>0</v>
      </c>
      <c r="P421" s="40">
        <v>1</v>
      </c>
      <c r="Q421" s="40">
        <v>0</v>
      </c>
      <c r="R421" s="40">
        <v>0</v>
      </c>
      <c r="S421" s="40">
        <v>0</v>
      </c>
      <c r="T421" s="29">
        <f t="array" aca="1" ref="T421" ca="1">+fair_value_gap(OFFSET(S420,0,0,-1*$I$5,-1*$Z$1),OFFSET(E420,0,0,-1*$I$5,1),F421:S421,0)</f>
        <v>16.72290869869996</v>
      </c>
      <c r="U421" s="9" t="str" cm="1">
        <f t="array" aca="1" ref="U421" ca="1">z_score_diff(OFFSET(T421,0,0,$I$5*-1,1),OFFSET(E421,0,0,$I$5*-1,1))</f>
        <v/>
      </c>
      <c r="V421" s="9" t="str">
        <f t="shared" ca="1" si="55"/>
        <v/>
      </c>
      <c r="W421" s="17">
        <f t="shared" ca="1" si="52"/>
        <v>-5.9581635802196255E-2</v>
      </c>
      <c r="X421" s="13">
        <f t="shared" ca="1" si="53"/>
        <v>0</v>
      </c>
      <c r="Y421" s="13">
        <f t="shared" ca="1" si="54"/>
        <v>0</v>
      </c>
      <c r="Z421" t="str">
        <f t="shared" ca="1" si="56"/>
        <v/>
      </c>
      <c r="AA421" t="str">
        <f t="shared" ca="1" si="57"/>
        <v/>
      </c>
      <c r="AB421" s="24" t="str">
        <f t="shared" ca="1" si="58"/>
        <v/>
      </c>
      <c r="AC421" s="24" t="str">
        <f t="shared" ca="1" si="59"/>
        <v/>
      </c>
    </row>
    <row r="422" spans="3:29" x14ac:dyDescent="0.25">
      <c r="C422" s="6">
        <v>415</v>
      </c>
      <c r="D422" s="37">
        <v>42597</v>
      </c>
      <c r="E422" s="39">
        <v>16.672000000000001</v>
      </c>
      <c r="F422" s="39">
        <v>2.8357900591305381</v>
      </c>
      <c r="G422" s="39">
        <v>50.841162258955983</v>
      </c>
      <c r="H422" s="39">
        <v>54.440543864956076</v>
      </c>
      <c r="I422" s="10">
        <v>0</v>
      </c>
      <c r="J422" s="40">
        <v>0</v>
      </c>
      <c r="K422" s="40">
        <v>0</v>
      </c>
      <c r="L422" s="40">
        <v>0</v>
      </c>
      <c r="M422" s="40">
        <v>0</v>
      </c>
      <c r="N422" s="40">
        <v>0</v>
      </c>
      <c r="O422" s="40">
        <v>0</v>
      </c>
      <c r="P422" s="40">
        <v>1</v>
      </c>
      <c r="Q422" s="40">
        <v>0</v>
      </c>
      <c r="R422" s="40">
        <v>0</v>
      </c>
      <c r="S422" s="40">
        <v>0</v>
      </c>
      <c r="T422" s="29">
        <f t="array" aca="1" ref="T422" ca="1">+fair_value_gap(OFFSET(S421,0,0,-1*$I$5,-1*$Z$1),OFFSET(E421,0,0,-1*$I$5,1),F422:S422,0)</f>
        <v>16.687675567930984</v>
      </c>
      <c r="U422" s="9" t="str" cm="1">
        <f t="array" aca="1" ref="U422" ca="1">z_score_diff(OFFSET(T422,0,0,$I$5*-1,1),OFFSET(E422,0,0,$I$5*-1,1))</f>
        <v/>
      </c>
      <c r="V422" s="9" t="str">
        <f t="shared" ca="1" si="55"/>
        <v/>
      </c>
      <c r="W422" s="17">
        <f t="shared" ca="1" si="52"/>
        <v>-4.3833061142666226E-2</v>
      </c>
      <c r="X422" s="13">
        <f t="shared" ca="1" si="53"/>
        <v>0</v>
      </c>
      <c r="Y422" s="13">
        <f t="shared" ca="1" si="54"/>
        <v>0</v>
      </c>
      <c r="Z422" t="str">
        <f t="shared" ca="1" si="56"/>
        <v/>
      </c>
      <c r="AA422" t="str">
        <f t="shared" ca="1" si="57"/>
        <v/>
      </c>
      <c r="AB422" s="24" t="str">
        <f t="shared" ca="1" si="58"/>
        <v/>
      </c>
      <c r="AC422" s="24" t="str">
        <f t="shared" ca="1" si="59"/>
        <v/>
      </c>
    </row>
    <row r="423" spans="3:29" x14ac:dyDescent="0.25">
      <c r="C423" s="6">
        <v>416</v>
      </c>
      <c r="D423" s="37">
        <v>42598</v>
      </c>
      <c r="E423" s="39">
        <v>16.846</v>
      </c>
      <c r="F423" s="39">
        <v>2.8308355033519863</v>
      </c>
      <c r="G423" s="39">
        <v>51.726740117722926</v>
      </c>
      <c r="H423" s="39">
        <v>53.846473488835954</v>
      </c>
      <c r="I423" s="10">
        <v>0</v>
      </c>
      <c r="J423" s="40">
        <v>0</v>
      </c>
      <c r="K423" s="40">
        <v>0</v>
      </c>
      <c r="L423" s="40">
        <v>0</v>
      </c>
      <c r="M423" s="40">
        <v>0</v>
      </c>
      <c r="N423" s="40">
        <v>0</v>
      </c>
      <c r="O423" s="40">
        <v>0</v>
      </c>
      <c r="P423" s="40">
        <v>1</v>
      </c>
      <c r="Q423" s="40">
        <v>0</v>
      </c>
      <c r="R423" s="40">
        <v>0</v>
      </c>
      <c r="S423" s="40">
        <v>0</v>
      </c>
      <c r="T423" s="29">
        <f t="array" aca="1" ref="T423" ca="1">+fair_value_gap(OFFSET(S422,0,0,-1*$I$5,-1*$Z$1),OFFSET(E422,0,0,-1*$I$5,1),F423:S423,0)</f>
        <v>16.9552721210889</v>
      </c>
      <c r="U423" s="9" t="str" cm="1">
        <f t="array" aca="1" ref="U423" ca="1">z_score_diff(OFFSET(T423,0,0,$I$5*-1,1),OFFSET(E423,0,0,$I$5*-1,1))</f>
        <v/>
      </c>
      <c r="V423" s="9" t="str">
        <f t="shared" ca="1" si="55"/>
        <v/>
      </c>
      <c r="W423" s="17">
        <f t="shared" ca="1" si="52"/>
        <v>-3.5774207562158863E-2</v>
      </c>
      <c r="X423" s="13">
        <f t="shared" ca="1" si="53"/>
        <v>0</v>
      </c>
      <c r="Y423" s="13">
        <f t="shared" ca="1" si="54"/>
        <v>0</v>
      </c>
      <c r="Z423" t="str">
        <f t="shared" ca="1" si="56"/>
        <v/>
      </c>
      <c r="AA423" t="str">
        <f t="shared" ca="1" si="57"/>
        <v/>
      </c>
      <c r="AB423" s="24" t="str">
        <f t="shared" ca="1" si="58"/>
        <v/>
      </c>
      <c r="AC423" s="24" t="str">
        <f t="shared" ca="1" si="59"/>
        <v/>
      </c>
    </row>
    <row r="424" spans="3:29" x14ac:dyDescent="0.25">
      <c r="C424" s="6">
        <v>417</v>
      </c>
      <c r="D424" s="37">
        <v>42599</v>
      </c>
      <c r="E424" s="39">
        <v>17.024000000000001</v>
      </c>
      <c r="F424" s="39">
        <v>2.8219526668618795</v>
      </c>
      <c r="G424" s="39">
        <v>52.0311798872144</v>
      </c>
      <c r="H424" s="39">
        <v>53.683611339291645</v>
      </c>
      <c r="I424" s="1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1</v>
      </c>
      <c r="Q424" s="40">
        <v>0</v>
      </c>
      <c r="R424" s="40">
        <v>0</v>
      </c>
      <c r="S424" s="40">
        <v>0</v>
      </c>
      <c r="T424" s="29">
        <f t="array" aca="1" ref="T424" ca="1">+fair_value_gap(OFFSET(S423,0,0,-1*$I$5,-1*$Z$1),OFFSET(E423,0,0,-1*$I$5,1),F424:S424,0)</f>
        <v>17.036100172511194</v>
      </c>
      <c r="U424" s="9" t="str" cm="1">
        <f t="array" aca="1" ref="U424" ca="1">z_score_diff(OFFSET(T424,0,0,$I$5*-1,1),OFFSET(E424,0,0,$I$5*-1,1))</f>
        <v/>
      </c>
      <c r="V424" s="9" t="str">
        <f t="shared" ca="1" si="55"/>
        <v/>
      </c>
      <c r="W424" s="17">
        <f t="shared" ca="1" si="52"/>
        <v>-3.7281804578262009E-2</v>
      </c>
      <c r="X424" s="13">
        <f t="shared" ca="1" si="53"/>
        <v>0</v>
      </c>
      <c r="Y424" s="13">
        <f t="shared" ca="1" si="54"/>
        <v>0</v>
      </c>
      <c r="Z424" t="str">
        <f t="shared" ca="1" si="56"/>
        <v/>
      </c>
      <c r="AA424" t="str">
        <f t="shared" ca="1" si="57"/>
        <v/>
      </c>
      <c r="AB424" s="24" t="str">
        <f t="shared" ca="1" si="58"/>
        <v/>
      </c>
      <c r="AC424" s="24" t="str">
        <f t="shared" ca="1" si="59"/>
        <v/>
      </c>
    </row>
    <row r="425" spans="3:29" x14ac:dyDescent="0.25">
      <c r="C425" s="6">
        <v>418</v>
      </c>
      <c r="D425" s="37">
        <v>42600</v>
      </c>
      <c r="E425" s="39">
        <v>17.064</v>
      </c>
      <c r="F425" s="39">
        <v>2.8149941454660268</v>
      </c>
      <c r="G425" s="39">
        <v>51.763498428996719</v>
      </c>
      <c r="H425" s="39">
        <v>52.307959671251353</v>
      </c>
      <c r="I425" s="10">
        <v>0</v>
      </c>
      <c r="J425" s="40">
        <v>0</v>
      </c>
      <c r="K425" s="40">
        <v>0</v>
      </c>
      <c r="L425" s="40">
        <v>0</v>
      </c>
      <c r="M425" s="40">
        <v>0</v>
      </c>
      <c r="N425" s="40">
        <v>0</v>
      </c>
      <c r="O425" s="40">
        <v>0</v>
      </c>
      <c r="P425" s="40">
        <v>1</v>
      </c>
      <c r="Q425" s="40">
        <v>0</v>
      </c>
      <c r="R425" s="40">
        <v>0</v>
      </c>
      <c r="S425" s="40">
        <v>0</v>
      </c>
      <c r="T425" s="29">
        <f t="array" aca="1" ref="T425" ca="1">+fair_value_gap(OFFSET(S424,0,0,-1*$I$5,-1*$Z$1),OFFSET(E424,0,0,-1*$I$5,1),F425:S425,0)</f>
        <v>16.928294720249145</v>
      </c>
      <c r="U425" s="9" t="str" cm="1">
        <f t="array" aca="1" ref="U425" ca="1">z_score_diff(OFFSET(T425,0,0,$I$5*-1,1),OFFSET(E425,0,0,$I$5*-1,1))</f>
        <v/>
      </c>
      <c r="V425" s="9" t="str">
        <f t="shared" ca="1" si="55"/>
        <v/>
      </c>
      <c r="W425" s="17">
        <f t="shared" ca="1" si="52"/>
        <v>-2.4200469296436454E-2</v>
      </c>
      <c r="X425" s="13">
        <f t="shared" ca="1" si="53"/>
        <v>0</v>
      </c>
      <c r="Y425" s="13">
        <f t="shared" ca="1" si="54"/>
        <v>0</v>
      </c>
      <c r="Z425" t="str">
        <f t="shared" ca="1" si="56"/>
        <v/>
      </c>
      <c r="AA425" t="str">
        <f t="shared" ca="1" si="57"/>
        <v/>
      </c>
      <c r="AB425" s="24" t="str">
        <f t="shared" ca="1" si="58"/>
        <v/>
      </c>
      <c r="AC425" s="24" t="str">
        <f t="shared" ca="1" si="59"/>
        <v/>
      </c>
    </row>
    <row r="426" spans="3:29" x14ac:dyDescent="0.25">
      <c r="C426" s="6">
        <v>419</v>
      </c>
      <c r="D426" s="37">
        <v>42601</v>
      </c>
      <c r="E426" s="39">
        <v>16.802</v>
      </c>
      <c r="F426" s="39">
        <v>2.7858964958121186</v>
      </c>
      <c r="G426" s="39">
        <v>51.3620115019881</v>
      </c>
      <c r="H426" s="39">
        <v>51.122104371714499</v>
      </c>
      <c r="I426" s="10">
        <v>0</v>
      </c>
      <c r="J426" s="40">
        <v>0</v>
      </c>
      <c r="K426" s="40">
        <v>0</v>
      </c>
      <c r="L426" s="40">
        <v>0</v>
      </c>
      <c r="M426" s="40">
        <v>0</v>
      </c>
      <c r="N426" s="40">
        <v>0</v>
      </c>
      <c r="O426" s="40">
        <v>0</v>
      </c>
      <c r="P426" s="40">
        <v>1</v>
      </c>
      <c r="Q426" s="40">
        <v>0</v>
      </c>
      <c r="R426" s="40">
        <v>0</v>
      </c>
      <c r="S426" s="40">
        <v>0</v>
      </c>
      <c r="T426" s="29">
        <f t="array" aca="1" ref="T426" ca="1">+fair_value_gap(OFFSET(S425,0,0,-1*$I$5,-1*$Z$1),OFFSET(E425,0,0,-1*$I$5,1),F426:S426,0)</f>
        <v>16.723922683121174</v>
      </c>
      <c r="U426" s="9" t="str" cm="1">
        <f t="array" aca="1" ref="U426" ca="1">z_score_diff(OFFSET(T426,0,0,$I$5*-1,1),OFFSET(E426,0,0,$I$5*-1,1))</f>
        <v/>
      </c>
      <c r="V426" s="9" t="str">
        <f t="shared" ca="1" si="55"/>
        <v/>
      </c>
      <c r="W426" s="17">
        <f t="shared" ca="1" si="52"/>
        <v>-3.6486684704317013E-2</v>
      </c>
      <c r="X426" s="13">
        <f t="shared" ca="1" si="53"/>
        <v>0</v>
      </c>
      <c r="Y426" s="13">
        <f t="shared" ca="1" si="54"/>
        <v>0</v>
      </c>
      <c r="Z426" t="str">
        <f t="shared" ca="1" si="56"/>
        <v/>
      </c>
      <c r="AA426" t="str">
        <f t="shared" ca="1" si="57"/>
        <v/>
      </c>
      <c r="AB426" s="24" t="str">
        <f t="shared" ca="1" si="58"/>
        <v/>
      </c>
      <c r="AC426" s="24" t="str">
        <f t="shared" ca="1" si="59"/>
        <v/>
      </c>
    </row>
    <row r="427" spans="3:29" x14ac:dyDescent="0.25">
      <c r="C427" s="6">
        <v>420</v>
      </c>
      <c r="D427" s="37">
        <v>42604</v>
      </c>
      <c r="E427" s="39">
        <v>16.626000000000001</v>
      </c>
      <c r="F427" s="39">
        <v>2.7844912276472256</v>
      </c>
      <c r="G427" s="39">
        <v>50.594604005873883</v>
      </c>
      <c r="H427" s="39">
        <v>51.445068290637515</v>
      </c>
      <c r="I427" s="10">
        <v>0</v>
      </c>
      <c r="J427" s="40">
        <v>0</v>
      </c>
      <c r="K427" s="40">
        <v>0</v>
      </c>
      <c r="L427" s="40">
        <v>0</v>
      </c>
      <c r="M427" s="40">
        <v>0</v>
      </c>
      <c r="N427" s="40">
        <v>0</v>
      </c>
      <c r="O427" s="40">
        <v>0</v>
      </c>
      <c r="P427" s="40">
        <v>1</v>
      </c>
      <c r="Q427" s="40">
        <v>0</v>
      </c>
      <c r="R427" s="40">
        <v>0</v>
      </c>
      <c r="S427" s="40">
        <v>0</v>
      </c>
      <c r="T427" s="29">
        <f t="array" aca="1" ref="T427" ca="1">+fair_value_gap(OFFSET(S426,0,0,-1*$I$5,-1*$Z$1),OFFSET(E426,0,0,-1*$I$5,1),F427:S427,0)</f>
        <v>16.44219323935155</v>
      </c>
      <c r="U427" s="9" t="str" cm="1">
        <f t="array" aca="1" ref="U427" ca="1">z_score_diff(OFFSET(T427,0,0,$I$5*-1,1),OFFSET(E427,0,0,$I$5*-1,1))</f>
        <v/>
      </c>
      <c r="V427" s="9" t="str">
        <f t="shared" ca="1" si="55"/>
        <v/>
      </c>
      <c r="W427" s="17">
        <f t="shared" ca="1" si="52"/>
        <v>-2.9914934456985839E-2</v>
      </c>
      <c r="X427" s="13">
        <f t="shared" ca="1" si="53"/>
        <v>0</v>
      </c>
      <c r="Y427" s="13">
        <f t="shared" ca="1" si="54"/>
        <v>0</v>
      </c>
      <c r="Z427" t="str">
        <f t="shared" ca="1" si="56"/>
        <v/>
      </c>
      <c r="AA427" t="str">
        <f t="shared" ca="1" si="57"/>
        <v/>
      </c>
      <c r="AB427" s="24" t="str">
        <f t="shared" ca="1" si="58"/>
        <v/>
      </c>
      <c r="AC427" s="24" t="str">
        <f t="shared" ca="1" si="59"/>
        <v/>
      </c>
    </row>
    <row r="428" spans="3:29" x14ac:dyDescent="0.25">
      <c r="C428" s="6">
        <v>421</v>
      </c>
      <c r="D428" s="37">
        <v>42605</v>
      </c>
      <c r="E428" s="39">
        <v>16.667000000000002</v>
      </c>
      <c r="F428" s="39">
        <v>2.8096547288670255</v>
      </c>
      <c r="G428" s="39">
        <v>51.016112233140056</v>
      </c>
      <c r="H428" s="39">
        <v>52.115258778770084</v>
      </c>
      <c r="I428" s="10">
        <v>0</v>
      </c>
      <c r="J428" s="40">
        <v>0</v>
      </c>
      <c r="K428" s="40">
        <v>0</v>
      </c>
      <c r="L428" s="40">
        <v>0</v>
      </c>
      <c r="M428" s="40">
        <v>0</v>
      </c>
      <c r="N428" s="40">
        <v>0</v>
      </c>
      <c r="O428" s="40">
        <v>0</v>
      </c>
      <c r="P428" s="40">
        <v>1</v>
      </c>
      <c r="Q428" s="40">
        <v>0</v>
      </c>
      <c r="R428" s="40">
        <v>0</v>
      </c>
      <c r="S428" s="40">
        <v>0</v>
      </c>
      <c r="T428" s="29">
        <f t="array" aca="1" ref="T428" ca="1">+fair_value_gap(OFFSET(S427,0,0,-1*$I$5,-1*$Z$1),OFFSET(E427,0,0,-1*$I$5,1),F428:S428,0)</f>
        <v>16.62251275858015</v>
      </c>
      <c r="U428" s="9" t="str" cm="1">
        <f t="array" aca="1" ref="U428" ca="1">z_score_diff(OFFSET(T428,0,0,$I$5*-1,1),OFFSET(E428,0,0,$I$5*-1,1))</f>
        <v/>
      </c>
      <c r="V428" s="9" t="str">
        <f t="shared" ca="1" si="55"/>
        <v/>
      </c>
      <c r="W428" s="17">
        <f t="shared" ca="1" si="52"/>
        <v>-4.5791724046171586E-2</v>
      </c>
      <c r="X428" s="13">
        <f t="shared" ca="1" si="53"/>
        <v>0</v>
      </c>
      <c r="Y428" s="13">
        <f t="shared" ca="1" si="54"/>
        <v>0</v>
      </c>
      <c r="Z428" t="str">
        <f t="shared" ca="1" si="56"/>
        <v/>
      </c>
      <c r="AA428" t="str">
        <f t="shared" ca="1" si="57"/>
        <v/>
      </c>
      <c r="AB428" s="24" t="str">
        <f t="shared" ca="1" si="58"/>
        <v/>
      </c>
      <c r="AC428" s="24" t="str">
        <f t="shared" ca="1" si="59"/>
        <v/>
      </c>
    </row>
    <row r="429" spans="3:29" x14ac:dyDescent="0.25">
      <c r="C429" s="6">
        <v>422</v>
      </c>
      <c r="D429" s="37">
        <v>42606</v>
      </c>
      <c r="E429" s="39">
        <v>16.483000000000001</v>
      </c>
      <c r="F429" s="39">
        <v>2.8490915870902325</v>
      </c>
      <c r="G429" s="39">
        <v>50.263258891147295</v>
      </c>
      <c r="H429" s="39">
        <v>52.041560571963998</v>
      </c>
      <c r="I429" s="10">
        <v>0</v>
      </c>
      <c r="J429" s="40">
        <v>0</v>
      </c>
      <c r="K429" s="40">
        <v>0</v>
      </c>
      <c r="L429" s="40">
        <v>0</v>
      </c>
      <c r="M429" s="40">
        <v>0</v>
      </c>
      <c r="N429" s="40">
        <v>0</v>
      </c>
      <c r="O429" s="40">
        <v>0</v>
      </c>
      <c r="P429" s="40">
        <v>1</v>
      </c>
      <c r="Q429" s="40">
        <v>0</v>
      </c>
      <c r="R429" s="40">
        <v>0</v>
      </c>
      <c r="S429" s="40">
        <v>0</v>
      </c>
      <c r="T429" s="29">
        <f t="array" aca="1" ref="T429" ca="1">+fair_value_gap(OFFSET(S428,0,0,-1*$I$5,-1*$Z$1),OFFSET(E428,0,0,-1*$I$5,1),F429:S429,0)</f>
        <v>16.430408315478726</v>
      </c>
      <c r="U429" s="9" t="str" cm="1">
        <f t="array" aca="1" ref="U429" ca="1">z_score_diff(OFFSET(T429,0,0,$I$5*-1,1),OFFSET(E429,0,0,$I$5*-1,1))</f>
        <v/>
      </c>
      <c r="V429" s="9" t="str">
        <f t="shared" ca="1" si="55"/>
        <v/>
      </c>
      <c r="W429" s="17">
        <f t="shared" ca="1" si="52"/>
        <v>-3.7458025653844408E-2</v>
      </c>
      <c r="X429" s="13">
        <f t="shared" ca="1" si="53"/>
        <v>0</v>
      </c>
      <c r="Y429" s="13">
        <f t="shared" ca="1" si="54"/>
        <v>0</v>
      </c>
      <c r="Z429" t="str">
        <f t="shared" ca="1" si="56"/>
        <v/>
      </c>
      <c r="AA429" t="str">
        <f t="shared" ca="1" si="57"/>
        <v/>
      </c>
      <c r="AB429" s="24" t="str">
        <f t="shared" ca="1" si="58"/>
        <v/>
      </c>
      <c r="AC429" s="24" t="str">
        <f t="shared" ca="1" si="59"/>
        <v/>
      </c>
    </row>
    <row r="430" spans="3:29" x14ac:dyDescent="0.25">
      <c r="C430" s="6">
        <v>423</v>
      </c>
      <c r="D430" s="37">
        <v>42607</v>
      </c>
      <c r="E430" s="39">
        <v>16.488</v>
      </c>
      <c r="F430" s="39">
        <v>2.845128419575659</v>
      </c>
      <c r="G430" s="39">
        <v>50.294151574576077</v>
      </c>
      <c r="H430" s="39">
        <v>52.05556856344775</v>
      </c>
      <c r="I430" s="10">
        <v>0</v>
      </c>
      <c r="J430" s="40">
        <v>0</v>
      </c>
      <c r="K430" s="40">
        <v>0</v>
      </c>
      <c r="L430" s="40">
        <v>0</v>
      </c>
      <c r="M430" s="40">
        <v>0</v>
      </c>
      <c r="N430" s="40">
        <v>0</v>
      </c>
      <c r="O430" s="40">
        <v>0</v>
      </c>
      <c r="P430" s="40">
        <v>1</v>
      </c>
      <c r="Q430" s="40">
        <v>0</v>
      </c>
      <c r="R430" s="40">
        <v>0</v>
      </c>
      <c r="S430" s="40">
        <v>0</v>
      </c>
      <c r="T430" s="29">
        <f t="array" aca="1" ref="T430" ca="1">+fair_value_gap(OFFSET(S429,0,0,-1*$I$5,-1*$Z$1),OFFSET(E429,0,0,-1*$I$5,1),F430:S430,0)</f>
        <v>16.440304567695406</v>
      </c>
      <c r="U430" s="9" t="str" cm="1">
        <f t="array" aca="1" ref="U430" ca="1">z_score_diff(OFFSET(T430,0,0,$I$5*-1,1),OFFSET(E430,0,0,$I$5*-1,1))</f>
        <v/>
      </c>
      <c r="V430" s="9" t="str">
        <f t="shared" ca="1" si="55"/>
        <v/>
      </c>
      <c r="W430" s="17">
        <f t="shared" ca="1" si="52"/>
        <v>-2.6114353012528919E-2</v>
      </c>
      <c r="X430" s="13">
        <f t="shared" ca="1" si="53"/>
        <v>0</v>
      </c>
      <c r="Y430" s="13">
        <f t="shared" ca="1" si="54"/>
        <v>0</v>
      </c>
      <c r="Z430" t="str">
        <f t="shared" ca="1" si="56"/>
        <v/>
      </c>
      <c r="AA430" t="str">
        <f t="shared" ca="1" si="57"/>
        <v/>
      </c>
      <c r="AB430" s="24" t="str">
        <f t="shared" ca="1" si="58"/>
        <v/>
      </c>
      <c r="AC430" s="24" t="str">
        <f t="shared" ca="1" si="59"/>
        <v/>
      </c>
    </row>
    <row r="431" spans="3:29" x14ac:dyDescent="0.25">
      <c r="C431" s="6">
        <v>424</v>
      </c>
      <c r="D431" s="37">
        <v>42608</v>
      </c>
      <c r="E431" s="39">
        <v>16.763000000000002</v>
      </c>
      <c r="F431" s="39">
        <v>2.8676572275486447</v>
      </c>
      <c r="G431" s="39">
        <v>51.100870337045585</v>
      </c>
      <c r="H431" s="39">
        <v>52.70853138897418</v>
      </c>
      <c r="I431" s="10">
        <v>0</v>
      </c>
      <c r="J431" s="40">
        <v>0</v>
      </c>
      <c r="K431" s="40">
        <v>0</v>
      </c>
      <c r="L431" s="40">
        <v>0</v>
      </c>
      <c r="M431" s="40">
        <v>0</v>
      </c>
      <c r="N431" s="40">
        <v>0</v>
      </c>
      <c r="O431" s="40">
        <v>0</v>
      </c>
      <c r="P431" s="40">
        <v>1</v>
      </c>
      <c r="Q431" s="40">
        <v>0</v>
      </c>
      <c r="R431" s="40">
        <v>0</v>
      </c>
      <c r="S431" s="40">
        <v>0</v>
      </c>
      <c r="T431" s="29">
        <f t="array" aca="1" ref="T431" ca="1">+fair_value_gap(OFFSET(S430,0,0,-1*$I$5,-1*$Z$1),OFFSET(E430,0,0,-1*$I$5,1),F431:S431,0)</f>
        <v>16.718179979528447</v>
      </c>
      <c r="U431" s="9" t="str" cm="1">
        <f t="array" aca="1" ref="U431" ca="1">z_score_diff(OFFSET(T431,0,0,$I$5*-1,1),OFFSET(E431,0,0,$I$5*-1,1))</f>
        <v/>
      </c>
      <c r="V431" s="9" t="str">
        <f t="shared" ca="1" si="55"/>
        <v/>
      </c>
      <c r="W431" s="17">
        <f t="shared" ca="1" si="52"/>
        <v>-2.6966567540207438E-2</v>
      </c>
      <c r="X431" s="13">
        <f t="shared" ca="1" si="53"/>
        <v>0</v>
      </c>
      <c r="Y431" s="13">
        <f t="shared" ca="1" si="54"/>
        <v>0</v>
      </c>
      <c r="Z431" t="str">
        <f t="shared" ca="1" si="56"/>
        <v/>
      </c>
      <c r="AA431" t="str">
        <f t="shared" ca="1" si="57"/>
        <v/>
      </c>
      <c r="AB431" s="24" t="str">
        <f t="shared" ca="1" si="58"/>
        <v/>
      </c>
      <c r="AC431" s="24" t="str">
        <f t="shared" ca="1" si="59"/>
        <v/>
      </c>
    </row>
    <row r="432" spans="3:29" x14ac:dyDescent="0.25">
      <c r="C432" s="6">
        <v>425</v>
      </c>
      <c r="D432" s="37">
        <v>42611</v>
      </c>
      <c r="E432" s="39">
        <v>16.905000000000001</v>
      </c>
      <c r="F432" s="39">
        <v>2.8818268117014885</v>
      </c>
      <c r="G432" s="39">
        <v>51.056262612112491</v>
      </c>
      <c r="H432" s="39">
        <v>52.776882680299238</v>
      </c>
      <c r="I432" s="10">
        <v>0</v>
      </c>
      <c r="J432" s="40">
        <v>0</v>
      </c>
      <c r="K432" s="40">
        <v>0</v>
      </c>
      <c r="L432" s="40">
        <v>0</v>
      </c>
      <c r="M432" s="40">
        <v>0</v>
      </c>
      <c r="N432" s="40">
        <v>0</v>
      </c>
      <c r="O432" s="40">
        <v>0</v>
      </c>
      <c r="P432" s="40">
        <v>1</v>
      </c>
      <c r="Q432" s="40">
        <v>0</v>
      </c>
      <c r="R432" s="40">
        <v>0</v>
      </c>
      <c r="S432" s="40">
        <v>0</v>
      </c>
      <c r="T432" s="29">
        <f t="array" aca="1" ref="T432" ca="1">+fair_value_gap(OFFSET(S431,0,0,-1*$I$5,-1*$Z$1),OFFSET(E431,0,0,-1*$I$5,1),F432:S432,0)</f>
        <v>16.719863206173748</v>
      </c>
      <c r="U432" s="9" t="str" cm="1">
        <f t="array" aca="1" ref="U432" ca="1">z_score_diff(OFFSET(T432,0,0,$I$5*-1,1),OFFSET(E432,0,0,$I$5*-1,1))</f>
        <v/>
      </c>
      <c r="V432" s="9" t="str">
        <f t="shared" ca="1" si="55"/>
        <v/>
      </c>
      <c r="W432" s="17">
        <f t="shared" ca="1" si="52"/>
        <v>-2.7892046531815429E-2</v>
      </c>
      <c r="X432" s="13">
        <f t="shared" ca="1" si="53"/>
        <v>0</v>
      </c>
      <c r="Y432" s="13">
        <f t="shared" ca="1" si="54"/>
        <v>0</v>
      </c>
      <c r="Z432" t="str">
        <f t="shared" ca="1" si="56"/>
        <v/>
      </c>
      <c r="AA432" t="str">
        <f t="shared" ca="1" si="57"/>
        <v/>
      </c>
      <c r="AB432" s="24" t="str">
        <f t="shared" ca="1" si="58"/>
        <v/>
      </c>
      <c r="AC432" s="24" t="str">
        <f t="shared" ca="1" si="59"/>
        <v/>
      </c>
    </row>
    <row r="433" spans="3:29" x14ac:dyDescent="0.25">
      <c r="C433" s="6">
        <v>426</v>
      </c>
      <c r="D433" s="37">
        <v>42612</v>
      </c>
      <c r="E433" s="39">
        <v>16.648</v>
      </c>
      <c r="F433" s="39">
        <v>2.8043708660233024</v>
      </c>
      <c r="G433" s="39">
        <v>50.723688101503043</v>
      </c>
      <c r="H433" s="39">
        <v>53.516525413353946</v>
      </c>
      <c r="I433" s="10">
        <v>0</v>
      </c>
      <c r="J433" s="40">
        <v>0</v>
      </c>
      <c r="K433" s="40">
        <v>0</v>
      </c>
      <c r="L433" s="40">
        <v>0</v>
      </c>
      <c r="M433" s="40">
        <v>0</v>
      </c>
      <c r="N433" s="40">
        <v>0</v>
      </c>
      <c r="O433" s="40">
        <v>0</v>
      </c>
      <c r="P433" s="40">
        <v>1</v>
      </c>
      <c r="Q433" s="40">
        <v>0</v>
      </c>
      <c r="R433" s="40">
        <v>0</v>
      </c>
      <c r="S433" s="40">
        <v>0</v>
      </c>
      <c r="T433" s="29">
        <f t="array" aca="1" ref="T433" ca="1">+fair_value_gap(OFFSET(S432,0,0,-1*$I$5,-1*$Z$1),OFFSET(E432,0,0,-1*$I$5,1),F433:S433,0)</f>
        <v>16.616174526857336</v>
      </c>
      <c r="U433" s="9" t="str" cm="1">
        <f t="array" aca="1" ref="U433" ca="1">z_score_diff(OFFSET(T433,0,0,$I$5*-1,1),OFFSET(E433,0,0,$I$5*-1,1))</f>
        <v/>
      </c>
      <c r="V433" s="9" t="str">
        <f t="shared" ca="1" si="55"/>
        <v/>
      </c>
      <c r="W433" s="17">
        <f t="shared" ca="1" si="52"/>
        <v>6.8243305853812539E-3</v>
      </c>
      <c r="X433" s="13">
        <f t="shared" ca="1" si="53"/>
        <v>0</v>
      </c>
      <c r="Y433" s="13">
        <f t="shared" ca="1" si="54"/>
        <v>0</v>
      </c>
      <c r="Z433" t="str">
        <f t="shared" ca="1" si="56"/>
        <v/>
      </c>
      <c r="AA433" t="str">
        <f t="shared" ca="1" si="57"/>
        <v/>
      </c>
      <c r="AB433" s="24" t="str">
        <f t="shared" ca="1" si="58"/>
        <v/>
      </c>
      <c r="AC433" s="24" t="str">
        <f t="shared" ca="1" si="59"/>
        <v/>
      </c>
    </row>
    <row r="434" spans="3:29" x14ac:dyDescent="0.25">
      <c r="C434" s="6">
        <v>427</v>
      </c>
      <c r="D434" s="37">
        <v>42613</v>
      </c>
      <c r="E434" s="39">
        <v>16.277000000000001</v>
      </c>
      <c r="F434" s="39">
        <v>2.8191401098661171</v>
      </c>
      <c r="G434" s="39">
        <v>50.402803568686039</v>
      </c>
      <c r="H434" s="39">
        <v>53.14271241801525</v>
      </c>
      <c r="I434" s="10">
        <v>0</v>
      </c>
      <c r="J434" s="40">
        <v>0</v>
      </c>
      <c r="K434" s="40">
        <v>0</v>
      </c>
      <c r="L434" s="40">
        <v>0</v>
      </c>
      <c r="M434" s="40">
        <v>0</v>
      </c>
      <c r="N434" s="40">
        <v>0</v>
      </c>
      <c r="O434" s="40">
        <v>0</v>
      </c>
      <c r="P434" s="40">
        <v>1</v>
      </c>
      <c r="Q434" s="40">
        <v>0</v>
      </c>
      <c r="R434" s="40">
        <v>0</v>
      </c>
      <c r="S434" s="40">
        <v>0</v>
      </c>
      <c r="T434" s="29">
        <f t="array" aca="1" ref="T434" ca="1">+fair_value_gap(OFFSET(S433,0,0,-1*$I$5,-1*$Z$1),OFFSET(E433,0,0,-1*$I$5,1),F434:S434,0)</f>
        <v>16.518552264373586</v>
      </c>
      <c r="U434" s="9" t="str" cm="1">
        <f t="array" aca="1" ref="U434" ca="1">z_score_diff(OFFSET(T434,0,0,$I$5*-1,1),OFFSET(E434,0,0,$I$5*-1,1))</f>
        <v/>
      </c>
      <c r="V434" s="9" t="str">
        <f t="shared" ca="1" si="55"/>
        <v/>
      </c>
      <c r="W434" s="17">
        <f t="shared" ca="1" si="52"/>
        <v>2.864518986171424E-2</v>
      </c>
      <c r="X434" s="13">
        <f t="shared" ca="1" si="53"/>
        <v>0</v>
      </c>
      <c r="Y434" s="13">
        <f t="shared" ca="1" si="54"/>
        <v>0</v>
      </c>
      <c r="Z434" t="str">
        <f t="shared" ca="1" si="56"/>
        <v/>
      </c>
      <c r="AA434" t="str">
        <f t="shared" ca="1" si="57"/>
        <v/>
      </c>
      <c r="AB434" s="24" t="str">
        <f t="shared" ca="1" si="58"/>
        <v/>
      </c>
      <c r="AC434" s="24" t="str">
        <f t="shared" ca="1" si="59"/>
        <v/>
      </c>
    </row>
    <row r="435" spans="3:29" x14ac:dyDescent="0.25">
      <c r="C435" s="6">
        <v>428</v>
      </c>
      <c r="D435" s="37">
        <v>42614</v>
      </c>
      <c r="E435" s="39">
        <v>16.198</v>
      </c>
      <c r="F435" s="39">
        <v>2.78251636262359</v>
      </c>
      <c r="G435" s="39">
        <v>49.960123249024157</v>
      </c>
      <c r="H435" s="39">
        <v>52.830385740147612</v>
      </c>
      <c r="I435" s="10">
        <v>0</v>
      </c>
      <c r="J435" s="40">
        <v>0</v>
      </c>
      <c r="K435" s="40">
        <v>0</v>
      </c>
      <c r="L435" s="40">
        <v>0</v>
      </c>
      <c r="M435" s="40">
        <v>0</v>
      </c>
      <c r="N435" s="40">
        <v>0</v>
      </c>
      <c r="O435" s="40">
        <v>0</v>
      </c>
      <c r="P435" s="40">
        <v>0</v>
      </c>
      <c r="Q435" s="40">
        <v>1</v>
      </c>
      <c r="R435" s="40">
        <v>0</v>
      </c>
      <c r="S435" s="40">
        <v>0</v>
      </c>
      <c r="T435" s="29">
        <f t="array" aca="1" ref="T435" ca="1">+fair_value_gap(OFFSET(S434,0,0,-1*$I$5,-1*$Z$1),OFFSET(E434,0,0,-1*$I$5,1),F435:S435,0)</f>
        <v>17.256475334437461</v>
      </c>
      <c r="U435" s="9" t="str" cm="1">
        <f t="array" aca="1" ref="U435" ca="1">z_score_diff(OFFSET(T435,0,0,$I$5*-1,1),OFFSET(E435,0,0,$I$5*-1,1))</f>
        <v/>
      </c>
      <c r="V435" s="9" t="str">
        <f t="shared" ca="1" si="55"/>
        <v/>
      </c>
      <c r="W435" s="17">
        <f t="shared" ca="1" si="52"/>
        <v>3.2016828187494052E-2</v>
      </c>
      <c r="X435" s="13">
        <f t="shared" ca="1" si="53"/>
        <v>0</v>
      </c>
      <c r="Y435" s="13">
        <f t="shared" ca="1" si="54"/>
        <v>0</v>
      </c>
      <c r="Z435" t="str">
        <f t="shared" ca="1" si="56"/>
        <v/>
      </c>
      <c r="AA435" t="str">
        <f t="shared" ca="1" si="57"/>
        <v/>
      </c>
      <c r="AB435" s="24" t="str">
        <f t="shared" ca="1" si="58"/>
        <v/>
      </c>
      <c r="AC435" s="24" t="str">
        <f t="shared" ca="1" si="59"/>
        <v/>
      </c>
    </row>
    <row r="436" spans="3:29" x14ac:dyDescent="0.25">
      <c r="C436" s="6">
        <v>429</v>
      </c>
      <c r="D436" s="37">
        <v>42615</v>
      </c>
      <c r="E436" s="39">
        <v>16.2</v>
      </c>
      <c r="F436" s="39">
        <v>2.7879117126354762</v>
      </c>
      <c r="G436" s="39">
        <v>50.173224085500351</v>
      </c>
      <c r="H436" s="39">
        <v>53.539783203181287</v>
      </c>
      <c r="I436" s="1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1</v>
      </c>
      <c r="R436" s="40">
        <v>0</v>
      </c>
      <c r="S436" s="40">
        <v>0</v>
      </c>
      <c r="T436" s="29">
        <f t="array" aca="1" ref="T436" ca="1">+fair_value_gap(OFFSET(S435,0,0,-1*$I$5,-1*$Z$1),OFFSET(E435,0,0,-1*$I$5,1),F436:S436,0)</f>
        <v>16.756059025619503</v>
      </c>
      <c r="U436" s="9" t="str" cm="1">
        <f t="array" aca="1" ref="U436" ca="1">z_score_diff(OFFSET(T436,0,0,$I$5*-1,1),OFFSET(E436,0,0,$I$5*-1,1))</f>
        <v/>
      </c>
      <c r="V436" s="9" t="str">
        <f t="shared" ca="1" si="55"/>
        <v/>
      </c>
      <c r="W436" s="17">
        <f t="shared" ca="1" si="52"/>
        <v>3.1474741038626075E-2</v>
      </c>
      <c r="X436" s="13">
        <f t="shared" ca="1" si="53"/>
        <v>0</v>
      </c>
      <c r="Y436" s="13">
        <f t="shared" ca="1" si="54"/>
        <v>0</v>
      </c>
      <c r="Z436" t="str">
        <f t="shared" ca="1" si="56"/>
        <v/>
      </c>
      <c r="AA436" t="str">
        <f t="shared" ca="1" si="57"/>
        <v/>
      </c>
      <c r="AB436" s="24" t="str">
        <f t="shared" ca="1" si="58"/>
        <v/>
      </c>
      <c r="AC436" s="24" t="str">
        <f t="shared" ca="1" si="59"/>
        <v/>
      </c>
    </row>
    <row r="437" spans="3:29" x14ac:dyDescent="0.25">
      <c r="C437" s="6">
        <v>430</v>
      </c>
      <c r="D437" s="37">
        <v>42618</v>
      </c>
      <c r="E437" s="39">
        <v>16.196000000000002</v>
      </c>
      <c r="F437" s="39">
        <v>2.7898781263765846</v>
      </c>
      <c r="G437" s="39">
        <v>50.09615724954871</v>
      </c>
      <c r="H437" s="39">
        <v>54.014557709922592</v>
      </c>
      <c r="I437" s="10">
        <v>0</v>
      </c>
      <c r="J437" s="40">
        <v>0</v>
      </c>
      <c r="K437" s="40">
        <v>0</v>
      </c>
      <c r="L437" s="40">
        <v>0</v>
      </c>
      <c r="M437" s="40">
        <v>0</v>
      </c>
      <c r="N437" s="40">
        <v>0</v>
      </c>
      <c r="O437" s="40">
        <v>0</v>
      </c>
      <c r="P437" s="40">
        <v>0</v>
      </c>
      <c r="Q437" s="40">
        <v>1</v>
      </c>
      <c r="R437" s="40">
        <v>0</v>
      </c>
      <c r="S437" s="40">
        <v>0</v>
      </c>
      <c r="T437" s="29">
        <f t="array" aca="1" ref="T437" ca="1">+fair_value_gap(OFFSET(S436,0,0,-1*$I$5,-1*$Z$1),OFFSET(E436,0,0,-1*$I$5,1),F437:S437,0)</f>
        <v>16.530007459044196</v>
      </c>
      <c r="U437" s="9" t="str" cm="1">
        <f t="array" aca="1" ref="U437" ca="1">z_score_diff(OFFSET(T437,0,0,$I$5*-1,1),OFFSET(E437,0,0,$I$5*-1,1))</f>
        <v/>
      </c>
      <c r="V437" s="9" t="str">
        <f t="shared" ca="1" si="55"/>
        <v/>
      </c>
      <c r="W437" s="17">
        <f t="shared" ca="1" si="52"/>
        <v>4.4263829485197914E-2</v>
      </c>
      <c r="X437" s="13">
        <f t="shared" ca="1" si="53"/>
        <v>0</v>
      </c>
      <c r="Y437" s="13">
        <f t="shared" ca="1" si="54"/>
        <v>0</v>
      </c>
      <c r="Z437" t="str">
        <f t="shared" ca="1" si="56"/>
        <v/>
      </c>
      <c r="AA437" t="str">
        <f t="shared" ca="1" si="57"/>
        <v/>
      </c>
      <c r="AB437" s="24" t="str">
        <f t="shared" ca="1" si="58"/>
        <v/>
      </c>
      <c r="AC437" s="24" t="str">
        <f t="shared" ca="1" si="59"/>
        <v/>
      </c>
    </row>
    <row r="438" spans="3:29" x14ac:dyDescent="0.25">
      <c r="C438" s="6">
        <v>431</v>
      </c>
      <c r="D438" s="37">
        <v>42619</v>
      </c>
      <c r="E438" s="39">
        <v>16.132999999999999</v>
      </c>
      <c r="F438" s="39">
        <v>2.7595405962547854</v>
      </c>
      <c r="G438" s="39">
        <v>49.817148554571993</v>
      </c>
      <c r="H438" s="39">
        <v>53.657733816065281</v>
      </c>
      <c r="I438" s="10">
        <v>0</v>
      </c>
      <c r="J438" s="40">
        <v>0</v>
      </c>
      <c r="K438" s="40">
        <v>0</v>
      </c>
      <c r="L438" s="40">
        <v>0</v>
      </c>
      <c r="M438" s="40">
        <v>0</v>
      </c>
      <c r="N438" s="40">
        <v>0</v>
      </c>
      <c r="O438" s="40">
        <v>0</v>
      </c>
      <c r="P438" s="40">
        <v>0</v>
      </c>
      <c r="Q438" s="40">
        <v>1</v>
      </c>
      <c r="R438" s="40">
        <v>0</v>
      </c>
      <c r="S438" s="40">
        <v>0</v>
      </c>
      <c r="T438" s="29">
        <f t="array" aca="1" ref="T438" ca="1">+fair_value_gap(OFFSET(S437,0,0,-1*$I$5,-1*$Z$1),OFFSET(E437,0,0,-1*$I$5,1),F438:S438,0)</f>
        <v>16.32519661950133</v>
      </c>
      <c r="U438" s="9" t="str" cm="1">
        <f t="array" aca="1" ref="U438" ca="1">z_score_diff(OFFSET(T438,0,0,$I$5*-1,1),OFFSET(E438,0,0,$I$5*-1,1))</f>
        <v/>
      </c>
      <c r="V438" s="9" t="str">
        <f t="shared" ca="1" si="55"/>
        <v/>
      </c>
      <c r="W438" s="17">
        <f t="shared" ca="1" si="52"/>
        <v>5.0639141345121513E-2</v>
      </c>
      <c r="X438" s="13">
        <f t="shared" ca="1" si="53"/>
        <v>0</v>
      </c>
      <c r="Y438" s="13">
        <f t="shared" ca="1" si="54"/>
        <v>0</v>
      </c>
      <c r="Z438" t="str">
        <f t="shared" ca="1" si="56"/>
        <v/>
      </c>
      <c r="AA438" t="str">
        <f t="shared" ca="1" si="57"/>
        <v/>
      </c>
      <c r="AB438" s="24" t="str">
        <f t="shared" ca="1" si="58"/>
        <v/>
      </c>
      <c r="AC438" s="24" t="str">
        <f t="shared" ca="1" si="59"/>
        <v/>
      </c>
    </row>
    <row r="439" spans="3:29" x14ac:dyDescent="0.25">
      <c r="C439" s="6">
        <v>432</v>
      </c>
      <c r="D439" s="37">
        <v>42620</v>
      </c>
      <c r="E439" s="39">
        <v>16.039000000000001</v>
      </c>
      <c r="F439" s="39">
        <v>2.7526563914704076</v>
      </c>
      <c r="G439" s="39">
        <v>49.361024235396094</v>
      </c>
      <c r="H439" s="39">
        <v>52.16518019752521</v>
      </c>
      <c r="I439" s="10">
        <v>0</v>
      </c>
      <c r="J439" s="40">
        <v>0</v>
      </c>
      <c r="K439" s="40">
        <v>0</v>
      </c>
      <c r="L439" s="40">
        <v>0</v>
      </c>
      <c r="M439" s="40">
        <v>0</v>
      </c>
      <c r="N439" s="40">
        <v>0</v>
      </c>
      <c r="O439" s="40">
        <v>0</v>
      </c>
      <c r="P439" s="40">
        <v>0</v>
      </c>
      <c r="Q439" s="40">
        <v>1</v>
      </c>
      <c r="R439" s="40">
        <v>0</v>
      </c>
      <c r="S439" s="40">
        <v>0</v>
      </c>
      <c r="T439" s="29">
        <f t="array" aca="1" ref="T439" ca="1">+fair_value_gap(OFFSET(S438,0,0,-1*$I$5,-1*$Z$1),OFFSET(E438,0,0,-1*$I$5,1),F439:S439,0)</f>
        <v>16.135131734568692</v>
      </c>
      <c r="U439" s="9" t="str" cm="1">
        <f t="array" aca="1" ref="U439" ca="1">z_score_diff(OFFSET(T439,0,0,$I$5*-1,1),OFFSET(E439,0,0,$I$5*-1,1))</f>
        <v/>
      </c>
      <c r="V439" s="9" t="str">
        <f t="shared" ca="1" si="55"/>
        <v/>
      </c>
      <c r="W439" s="17">
        <f t="shared" ca="1" si="52"/>
        <v>4.8911883861007942E-2</v>
      </c>
      <c r="X439" s="13">
        <f t="shared" ca="1" si="53"/>
        <v>0</v>
      </c>
      <c r="Y439" s="13">
        <f t="shared" ca="1" si="54"/>
        <v>0</v>
      </c>
      <c r="Z439" t="str">
        <f t="shared" ca="1" si="56"/>
        <v/>
      </c>
      <c r="AA439" t="str">
        <f t="shared" ca="1" si="57"/>
        <v/>
      </c>
      <c r="AB439" s="24" t="str">
        <f t="shared" ca="1" si="58"/>
        <v/>
      </c>
      <c r="AC439" s="24" t="str">
        <f t="shared" ca="1" si="59"/>
        <v/>
      </c>
    </row>
    <row r="440" spans="3:29" x14ac:dyDescent="0.25">
      <c r="C440" s="6">
        <v>433</v>
      </c>
      <c r="D440" s="37">
        <v>42621</v>
      </c>
      <c r="E440" s="39">
        <v>16.097000000000001</v>
      </c>
      <c r="F440" s="39">
        <v>2.7790499458474849</v>
      </c>
      <c r="G440" s="39">
        <v>49.577517389477606</v>
      </c>
      <c r="H440" s="39">
        <v>51.425410212878688</v>
      </c>
      <c r="I440" s="10">
        <v>0</v>
      </c>
      <c r="J440" s="40">
        <v>0</v>
      </c>
      <c r="K440" s="40">
        <v>0</v>
      </c>
      <c r="L440" s="40">
        <v>0</v>
      </c>
      <c r="M440" s="40">
        <v>0</v>
      </c>
      <c r="N440" s="40">
        <v>0</v>
      </c>
      <c r="O440" s="40">
        <v>0</v>
      </c>
      <c r="P440" s="40">
        <v>0</v>
      </c>
      <c r="Q440" s="40">
        <v>1</v>
      </c>
      <c r="R440" s="40">
        <v>0</v>
      </c>
      <c r="S440" s="40">
        <v>0</v>
      </c>
      <c r="T440" s="29">
        <f t="array" aca="1" ref="T440" ca="1">+fair_value_gap(OFFSET(S439,0,0,-1*$I$5,-1*$Z$1),OFFSET(E439,0,0,-1*$I$5,1),F440:S440,0)</f>
        <v>16.209183016393638</v>
      </c>
      <c r="U440" s="9" t="str" cm="1">
        <f t="array" aca="1" ref="U440" ca="1">z_score_diff(OFFSET(T440,0,0,$I$5*-1,1),OFFSET(E440,0,0,$I$5*-1,1))</f>
        <v/>
      </c>
      <c r="V440" s="9" t="str">
        <f t="shared" ca="1" si="55"/>
        <v/>
      </c>
      <c r="W440" s="17">
        <f t="shared" ca="1" si="52"/>
        <v>6.0445544284521806E-2</v>
      </c>
      <c r="X440" s="13">
        <f t="shared" ca="1" si="53"/>
        <v>0</v>
      </c>
      <c r="Y440" s="13">
        <f t="shared" ca="1" si="54"/>
        <v>0</v>
      </c>
      <c r="Z440" t="str">
        <f t="shared" ca="1" si="56"/>
        <v/>
      </c>
      <c r="AA440" t="str">
        <f t="shared" ca="1" si="57"/>
        <v/>
      </c>
      <c r="AB440" s="24" t="str">
        <f t="shared" ca="1" si="58"/>
        <v/>
      </c>
      <c r="AC440" s="24" t="str">
        <f t="shared" ca="1" si="59"/>
        <v/>
      </c>
    </row>
    <row r="441" spans="3:29" x14ac:dyDescent="0.25">
      <c r="C441" s="6">
        <v>434</v>
      </c>
      <c r="D441" s="37">
        <v>42622</v>
      </c>
      <c r="E441" s="39">
        <v>16.018000000000001</v>
      </c>
      <c r="F441" s="39">
        <v>2.7839571105565399</v>
      </c>
      <c r="G441" s="39">
        <v>49.115180462139797</v>
      </c>
      <c r="H441" s="39">
        <v>51.553152733706909</v>
      </c>
      <c r="I441" s="10">
        <v>0</v>
      </c>
      <c r="J441" s="40">
        <v>0</v>
      </c>
      <c r="K441" s="40">
        <v>0</v>
      </c>
      <c r="L441" s="40">
        <v>0</v>
      </c>
      <c r="M441" s="40">
        <v>0</v>
      </c>
      <c r="N441" s="40">
        <v>0</v>
      </c>
      <c r="O441" s="40">
        <v>0</v>
      </c>
      <c r="P441" s="40">
        <v>0</v>
      </c>
      <c r="Q441" s="40">
        <v>1</v>
      </c>
      <c r="R441" s="40">
        <v>0</v>
      </c>
      <c r="S441" s="40">
        <v>0</v>
      </c>
      <c r="T441" s="29">
        <f t="array" aca="1" ref="T441" ca="1">+fair_value_gap(OFFSET(S440,0,0,-1*$I$5,-1*$Z$1),OFFSET(E440,0,0,-1*$I$5,1),F441:S441,0)</f>
        <v>16.046492724538503</v>
      </c>
      <c r="U441" s="9" t="str" cm="1">
        <f t="array" aca="1" ref="U441" ca="1">z_score_diff(OFFSET(T441,0,0,$I$5*-1,1),OFFSET(E441,0,0,$I$5*-1,1))</f>
        <v/>
      </c>
      <c r="V441" s="9" t="str">
        <f t="shared" ca="1" si="55"/>
        <v/>
      </c>
      <c r="W441" s="17">
        <f t="shared" ca="1" si="52"/>
        <v>6.2202482198615204E-2</v>
      </c>
      <c r="X441" s="13">
        <f t="shared" ca="1" si="53"/>
        <v>0</v>
      </c>
      <c r="Y441" s="13">
        <f t="shared" ca="1" si="54"/>
        <v>0</v>
      </c>
      <c r="Z441" t="str">
        <f t="shared" ca="1" si="56"/>
        <v/>
      </c>
      <c r="AA441" t="str">
        <f t="shared" ca="1" si="57"/>
        <v/>
      </c>
      <c r="AB441" s="24" t="str">
        <f t="shared" ca="1" si="58"/>
        <v/>
      </c>
      <c r="AC441" s="24" t="str">
        <f t="shared" ca="1" si="59"/>
        <v/>
      </c>
    </row>
    <row r="442" spans="3:29" x14ac:dyDescent="0.25">
      <c r="C442" s="6">
        <v>435</v>
      </c>
      <c r="D442" s="37">
        <v>42625</v>
      </c>
      <c r="E442" s="39">
        <v>15.928000000000001</v>
      </c>
      <c r="F442" s="39">
        <v>2.7882540999397745</v>
      </c>
      <c r="G442" s="39">
        <v>49.264202440465581</v>
      </c>
      <c r="H442" s="39">
        <v>51.764505776970914</v>
      </c>
      <c r="I442" s="1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1</v>
      </c>
      <c r="R442" s="40">
        <v>0</v>
      </c>
      <c r="S442" s="40">
        <v>0</v>
      </c>
      <c r="T442" s="29">
        <f t="array" aca="1" ref="T442" ca="1">+fair_value_gap(OFFSET(S441,0,0,-1*$I$5,-1*$Z$1),OFFSET(E441,0,0,-1*$I$5,1),F442:S442,0)</f>
        <v>16.095845713596809</v>
      </c>
      <c r="U442" s="9" t="str" cm="1">
        <f t="array" aca="1" ref="U442" ca="1">z_score_diff(OFFSET(T442,0,0,$I$5*-1,1),OFFSET(E442,0,0,$I$5*-1,1))</f>
        <v/>
      </c>
      <c r="V442" s="9" t="str">
        <f t="shared" ca="1" si="55"/>
        <v/>
      </c>
      <c r="W442" s="17">
        <f t="shared" ca="1" si="52"/>
        <v>4.5472140199055683E-2</v>
      </c>
      <c r="X442" s="13">
        <f t="shared" ca="1" si="53"/>
        <v>0</v>
      </c>
      <c r="Y442" s="13">
        <f t="shared" ca="1" si="54"/>
        <v>0</v>
      </c>
      <c r="Z442" t="str">
        <f t="shared" ca="1" si="56"/>
        <v/>
      </c>
      <c r="AA442" t="str">
        <f t="shared" ca="1" si="57"/>
        <v/>
      </c>
      <c r="AB442" s="24" t="str">
        <f t="shared" ca="1" si="58"/>
        <v/>
      </c>
      <c r="AC442" s="24" t="str">
        <f t="shared" ca="1" si="59"/>
        <v/>
      </c>
    </row>
    <row r="443" spans="3:29" x14ac:dyDescent="0.25">
      <c r="C443" s="6">
        <v>436</v>
      </c>
      <c r="D443" s="37">
        <v>42626</v>
      </c>
      <c r="E443" s="39">
        <v>15.927</v>
      </c>
      <c r="F443" s="39">
        <v>2.7978166773862707</v>
      </c>
      <c r="G443" s="39">
        <v>48.905297860814613</v>
      </c>
      <c r="H443" s="39">
        <v>52.01905192344465</v>
      </c>
      <c r="I443" s="1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1</v>
      </c>
      <c r="R443" s="40">
        <v>0</v>
      </c>
      <c r="S443" s="40">
        <v>0</v>
      </c>
      <c r="T443" s="29">
        <f t="array" aca="1" ref="T443" ca="1">+fair_value_gap(OFFSET(S442,0,0,-1*$I$5,-1*$Z$1),OFFSET(E442,0,0,-1*$I$5,1),F443:S443,0)</f>
        <v>15.965308218994071</v>
      </c>
      <c r="U443" s="9" t="str" cm="1">
        <f t="array" aca="1" ref="U443" ca="1">z_score_diff(OFFSET(T443,0,0,$I$5*-1,1),OFFSET(E443,0,0,$I$5*-1,1))</f>
        <v/>
      </c>
      <c r="V443" s="9" t="str">
        <f t="shared" ca="1" si="55"/>
        <v/>
      </c>
      <c r="W443" s="17">
        <f t="shared" ca="1" si="52"/>
        <v>6.0362361612178735E-2</v>
      </c>
      <c r="X443" s="13">
        <f t="shared" ca="1" si="53"/>
        <v>0</v>
      </c>
      <c r="Y443" s="13">
        <f t="shared" ca="1" si="54"/>
        <v>0</v>
      </c>
      <c r="Z443" t="str">
        <f t="shared" ca="1" si="56"/>
        <v/>
      </c>
      <c r="AA443" t="str">
        <f t="shared" ca="1" si="57"/>
        <v/>
      </c>
      <c r="AB443" s="24" t="str">
        <f t="shared" ca="1" si="58"/>
        <v/>
      </c>
      <c r="AC443" s="24" t="str">
        <f t="shared" ca="1" si="59"/>
        <v/>
      </c>
    </row>
    <row r="444" spans="3:29" x14ac:dyDescent="0.25">
      <c r="C444" s="6">
        <v>437</v>
      </c>
      <c r="D444" s="37">
        <v>42627</v>
      </c>
      <c r="E444" s="39">
        <v>15.8</v>
      </c>
      <c r="F444" s="39">
        <v>2.7888888310940736</v>
      </c>
      <c r="G444" s="39">
        <v>48.80254205572718</v>
      </c>
      <c r="H444" s="39">
        <v>52.188718567567058</v>
      </c>
      <c r="I444" s="1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1</v>
      </c>
      <c r="R444" s="40">
        <v>0</v>
      </c>
      <c r="S444" s="40">
        <v>0</v>
      </c>
      <c r="T444" s="29">
        <f t="array" aca="1" ref="T444" ca="1">+fair_value_gap(OFFSET(S443,0,0,-1*$I$5,-1*$Z$1),OFFSET(E443,0,0,-1*$I$5,1),F444:S444,0)</f>
        <v>15.919622802087787</v>
      </c>
      <c r="U444" s="9" t="str" cm="1">
        <f t="array" aca="1" ref="U444" ca="1">z_score_diff(OFFSET(T444,0,0,$I$5*-1,1),OFFSET(E444,0,0,$I$5*-1,1))</f>
        <v/>
      </c>
      <c r="V444" s="9" t="str">
        <f t="shared" ca="1" si="55"/>
        <v/>
      </c>
      <c r="W444" s="17">
        <f t="shared" ca="1" si="52"/>
        <v>5.5997402574381308E-2</v>
      </c>
      <c r="X444" s="13">
        <f t="shared" ca="1" si="53"/>
        <v>0</v>
      </c>
      <c r="Y444" s="13">
        <f t="shared" ca="1" si="54"/>
        <v>0</v>
      </c>
      <c r="Z444" t="str">
        <f t="shared" ca="1" si="56"/>
        <v/>
      </c>
      <c r="AA444" t="str">
        <f t="shared" ca="1" si="57"/>
        <v/>
      </c>
      <c r="AB444" s="24" t="str">
        <f t="shared" ca="1" si="58"/>
        <v/>
      </c>
      <c r="AC444" s="24" t="str">
        <f t="shared" ca="1" si="59"/>
        <v/>
      </c>
    </row>
    <row r="445" spans="3:29" x14ac:dyDescent="0.25">
      <c r="C445" s="6">
        <v>438</v>
      </c>
      <c r="D445" s="37">
        <v>42628</v>
      </c>
      <c r="E445" s="39">
        <v>16.001999999999999</v>
      </c>
      <c r="F445" s="39">
        <v>2.7991189885711316</v>
      </c>
      <c r="G445" s="39">
        <v>49.429812573781263</v>
      </c>
      <c r="H445" s="39">
        <v>52.591873189851029</v>
      </c>
      <c r="I445" s="1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1</v>
      </c>
      <c r="R445" s="40">
        <v>0</v>
      </c>
      <c r="S445" s="40">
        <v>0</v>
      </c>
      <c r="T445" s="29">
        <f t="array" aca="1" ref="T445" ca="1">+fair_value_gap(OFFSET(S444,0,0,-1*$I$5,-1*$Z$1),OFFSET(E444,0,0,-1*$I$5,1),F445:S445,0)</f>
        <v>16.120865166247334</v>
      </c>
      <c r="U445" s="9" t="str" cm="1">
        <f t="array" aca="1" ref="U445" ca="1">z_score_diff(OFFSET(T445,0,0,$I$5*-1,1),OFFSET(E445,0,0,$I$5*-1,1))</f>
        <v/>
      </c>
      <c r="V445" s="9" t="str">
        <f t="shared" ca="1" si="55"/>
        <v/>
      </c>
      <c r="W445" s="17">
        <f t="shared" ca="1" si="52"/>
        <v>3.3491102081774991E-2</v>
      </c>
      <c r="X445" s="13">
        <f t="shared" ca="1" si="53"/>
        <v>0</v>
      </c>
      <c r="Y445" s="13">
        <f t="shared" ca="1" si="54"/>
        <v>0</v>
      </c>
      <c r="Z445" t="str">
        <f t="shared" ca="1" si="56"/>
        <v/>
      </c>
      <c r="AA445" t="str">
        <f t="shared" ca="1" si="57"/>
        <v/>
      </c>
      <c r="AB445" s="24" t="str">
        <f t="shared" ca="1" si="58"/>
        <v/>
      </c>
      <c r="AC445" s="24" t="str">
        <f t="shared" ca="1" si="59"/>
        <v/>
      </c>
    </row>
    <row r="446" spans="3:29" x14ac:dyDescent="0.25">
      <c r="C446" s="6">
        <v>439</v>
      </c>
      <c r="D446" s="37">
        <v>42629</v>
      </c>
      <c r="E446" s="39">
        <v>16.068000000000001</v>
      </c>
      <c r="F446" s="39">
        <v>2.8314599671760385</v>
      </c>
      <c r="G446" s="39">
        <v>49.111566914797997</v>
      </c>
      <c r="H446" s="39">
        <v>52.87139753523158</v>
      </c>
      <c r="I446" s="1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1</v>
      </c>
      <c r="R446" s="40">
        <v>0</v>
      </c>
      <c r="S446" s="40">
        <v>0</v>
      </c>
      <c r="T446" s="29">
        <f t="array" aca="1" ref="T446" ca="1">+fair_value_gap(OFFSET(S445,0,0,-1*$I$5,-1*$Z$1),OFFSET(E445,0,0,-1*$I$5,1),F446:S446,0)</f>
        <v>16.025163395533237</v>
      </c>
      <c r="U446" s="9" t="str" cm="1">
        <f t="array" aca="1" ref="U446" ca="1">z_score_diff(OFFSET(T446,0,0,$I$5*-1,1),OFFSET(E446,0,0,$I$5*-1,1))</f>
        <v/>
      </c>
      <c r="V446" s="9" t="str">
        <f t="shared" ca="1" si="55"/>
        <v/>
      </c>
      <c r="W446" s="17">
        <f t="shared" ca="1" si="52"/>
        <v>1.1755378827344743E-2</v>
      </c>
      <c r="X446" s="13">
        <f t="shared" ca="1" si="53"/>
        <v>0</v>
      </c>
      <c r="Y446" s="13">
        <f t="shared" ca="1" si="54"/>
        <v>0</v>
      </c>
      <c r="Z446" t="str">
        <f t="shared" ca="1" si="56"/>
        <v/>
      </c>
      <c r="AA446" t="str">
        <f t="shared" ca="1" si="57"/>
        <v/>
      </c>
      <c r="AB446" s="24" t="str">
        <f t="shared" ca="1" si="58"/>
        <v/>
      </c>
      <c r="AC446" s="24" t="str">
        <f t="shared" ca="1" si="59"/>
        <v/>
      </c>
    </row>
    <row r="447" spans="3:29" x14ac:dyDescent="0.25">
      <c r="C447" s="6">
        <v>440</v>
      </c>
      <c r="D447" s="37">
        <v>42632</v>
      </c>
      <c r="E447" s="39">
        <v>16.405999999999999</v>
      </c>
      <c r="F447" s="39">
        <v>2.8320878078052933</v>
      </c>
      <c r="G447" s="39">
        <v>50.10799931838384</v>
      </c>
      <c r="H447" s="39">
        <v>53.205222136163506</v>
      </c>
      <c r="I447" s="10">
        <v>0</v>
      </c>
      <c r="J447" s="40">
        <v>0</v>
      </c>
      <c r="K447" s="40">
        <v>0</v>
      </c>
      <c r="L447" s="40">
        <v>0</v>
      </c>
      <c r="M447" s="40">
        <v>0</v>
      </c>
      <c r="N447" s="40">
        <v>0</v>
      </c>
      <c r="O447" s="40">
        <v>0</v>
      </c>
      <c r="P447" s="40">
        <v>0</v>
      </c>
      <c r="Q447" s="40">
        <v>1</v>
      </c>
      <c r="R447" s="40">
        <v>0</v>
      </c>
      <c r="S447" s="40">
        <v>0</v>
      </c>
      <c r="T447" s="29">
        <f t="array" aca="1" ref="T447" ca="1">+fair_value_gap(OFFSET(S446,0,0,-1*$I$5,-1*$Z$1),OFFSET(E446,0,0,-1*$I$5,1),F447:S447,0)</f>
        <v>16.351850480138946</v>
      </c>
      <c r="U447" s="9" t="str" cm="1">
        <f t="array" aca="1" ref="U447" ca="1">z_score_diff(OFFSET(T447,0,0,$I$5*-1,1),OFFSET(E447,0,0,$I$5*-1,1))</f>
        <v/>
      </c>
      <c r="V447" s="9" t="str">
        <f t="shared" ca="1" si="55"/>
        <v/>
      </c>
      <c r="W447" s="17">
        <f t="shared" ca="1" si="52"/>
        <v>-1.9324867493016318E-2</v>
      </c>
      <c r="X447" s="13">
        <f t="shared" ca="1" si="53"/>
        <v>0</v>
      </c>
      <c r="Y447" s="13">
        <f t="shared" ca="1" si="54"/>
        <v>0</v>
      </c>
      <c r="Z447" t="str">
        <f t="shared" ca="1" si="56"/>
        <v/>
      </c>
      <c r="AA447" t="str">
        <f t="shared" ca="1" si="57"/>
        <v/>
      </c>
      <c r="AB447" s="24" t="str">
        <f t="shared" ca="1" si="58"/>
        <v/>
      </c>
      <c r="AC447" s="24" t="str">
        <f t="shared" ca="1" si="59"/>
        <v/>
      </c>
    </row>
    <row r="448" spans="3:29" x14ac:dyDescent="0.25">
      <c r="C448" s="6">
        <v>441</v>
      </c>
      <c r="D448" s="37">
        <v>42633</v>
      </c>
      <c r="E448" s="39">
        <v>16.123999999999999</v>
      </c>
      <c r="F448" s="39">
        <v>2.8438182369901002</v>
      </c>
      <c r="G448" s="39">
        <v>49.71687403139601</v>
      </c>
      <c r="H448" s="39">
        <v>53.605798870692844</v>
      </c>
      <c r="I448" s="1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1</v>
      </c>
      <c r="R448" s="40">
        <v>0</v>
      </c>
      <c r="S448" s="40">
        <v>0</v>
      </c>
      <c r="T448" s="29">
        <f t="array" aca="1" ref="T448" ca="1">+fair_value_gap(OFFSET(S447,0,0,-1*$I$5,-1*$Z$1),OFFSET(E447,0,0,-1*$I$5,1),F448:S448,0)</f>
        <v>16.231548574993486</v>
      </c>
      <c r="U448" s="9" t="str" cm="1">
        <f t="array" aca="1" ref="U448" ca="1">z_score_diff(OFFSET(T448,0,0,$I$5*-1,1),OFFSET(E448,0,0,$I$5*-1,1))</f>
        <v/>
      </c>
      <c r="V448" s="9" t="str">
        <f t="shared" ca="1" si="55"/>
        <v/>
      </c>
      <c r="W448" s="17">
        <f t="shared" ca="1" si="52"/>
        <v>-6.9079529145794601E-3</v>
      </c>
      <c r="X448" s="13">
        <f t="shared" ca="1" si="53"/>
        <v>0</v>
      </c>
      <c r="Y448" s="13">
        <f t="shared" ca="1" si="54"/>
        <v>0</v>
      </c>
      <c r="Z448" t="str">
        <f t="shared" ca="1" si="56"/>
        <v/>
      </c>
      <c r="AA448" t="str">
        <f t="shared" ca="1" si="57"/>
        <v/>
      </c>
      <c r="AB448" s="24" t="str">
        <f t="shared" ca="1" si="58"/>
        <v/>
      </c>
      <c r="AC448" s="24" t="str">
        <f t="shared" ca="1" si="59"/>
        <v/>
      </c>
    </row>
    <row r="449" spans="3:29" x14ac:dyDescent="0.25">
      <c r="C449" s="6">
        <v>442</v>
      </c>
      <c r="D449" s="37">
        <v>42634</v>
      </c>
      <c r="E449" s="39">
        <v>16.341999999999999</v>
      </c>
      <c r="F449" s="39">
        <v>2.8589300779160958</v>
      </c>
      <c r="G449" s="39">
        <v>50.003741071788284</v>
      </c>
      <c r="H449" s="39">
        <v>54.35195113035482</v>
      </c>
      <c r="I449" s="10">
        <v>0</v>
      </c>
      <c r="J449" s="40">
        <v>0</v>
      </c>
      <c r="K449" s="40">
        <v>0</v>
      </c>
      <c r="L449" s="40">
        <v>0</v>
      </c>
      <c r="M449" s="40">
        <v>0</v>
      </c>
      <c r="N449" s="40">
        <v>0</v>
      </c>
      <c r="O449" s="40">
        <v>0</v>
      </c>
      <c r="P449" s="40">
        <v>0</v>
      </c>
      <c r="Q449" s="40">
        <v>1</v>
      </c>
      <c r="R449" s="40">
        <v>0</v>
      </c>
      <c r="S449" s="40">
        <v>0</v>
      </c>
      <c r="T449" s="29">
        <f t="array" aca="1" ref="T449" ca="1">+fair_value_gap(OFFSET(S448,0,0,-1*$I$5,-1*$Z$1),OFFSET(E448,0,0,-1*$I$5,1),F449:S449,0)</f>
        <v>16.327370975808119</v>
      </c>
      <c r="U449" s="9" t="str" cm="1">
        <f t="array" aca="1" ref="U449" ca="1">z_score_diff(OFFSET(T449,0,0,$I$5*-1,1),OFFSET(E449,0,0,$I$5*-1,1))</f>
        <v/>
      </c>
      <c r="V449" s="9" t="str">
        <f t="shared" ca="1" si="55"/>
        <v/>
      </c>
      <c r="W449" s="17">
        <f t="shared" ca="1" si="52"/>
        <v>-1.4236212453666011E-2</v>
      </c>
      <c r="X449" s="13">
        <f t="shared" ca="1" si="53"/>
        <v>0</v>
      </c>
      <c r="Y449" s="13">
        <f t="shared" ca="1" si="54"/>
        <v>0</v>
      </c>
      <c r="Z449" t="str">
        <f t="shared" ca="1" si="56"/>
        <v/>
      </c>
      <c r="AA449" t="str">
        <f t="shared" ca="1" si="57"/>
        <v/>
      </c>
      <c r="AB449" s="24" t="str">
        <f t="shared" ca="1" si="58"/>
        <v/>
      </c>
      <c r="AC449" s="24" t="str">
        <f t="shared" ca="1" si="59"/>
        <v/>
      </c>
    </row>
    <row r="450" spans="3:29" x14ac:dyDescent="0.25">
      <c r="C450" s="6">
        <v>443</v>
      </c>
      <c r="D450" s="37">
        <v>42635</v>
      </c>
      <c r="E450" s="39">
        <v>16.483000000000001</v>
      </c>
      <c r="F450" s="39">
        <v>2.8314178514319952</v>
      </c>
      <c r="G450" s="39">
        <v>50.848825944549532</v>
      </c>
      <c r="H450" s="39">
        <v>54.259406996066843</v>
      </c>
      <c r="I450" s="10">
        <v>0</v>
      </c>
      <c r="J450" s="40">
        <v>0</v>
      </c>
      <c r="K450" s="40">
        <v>0</v>
      </c>
      <c r="L450" s="40">
        <v>0</v>
      </c>
      <c r="M450" s="40">
        <v>0</v>
      </c>
      <c r="N450" s="40">
        <v>0</v>
      </c>
      <c r="O450" s="40">
        <v>0</v>
      </c>
      <c r="P450" s="40">
        <v>0</v>
      </c>
      <c r="Q450" s="40">
        <v>1</v>
      </c>
      <c r="R450" s="40">
        <v>0</v>
      </c>
      <c r="S450" s="40">
        <v>0</v>
      </c>
      <c r="T450" s="29">
        <f t="array" aca="1" ref="T450" ca="1">+fair_value_gap(OFFSET(S449,0,0,-1*$I$5,-1*$Z$1),OFFSET(E449,0,0,-1*$I$5,1),F450:S450,0)</f>
        <v>16.549385027082966</v>
      </c>
      <c r="U450" s="9" t="str" cm="1">
        <f t="array" aca="1" ref="U450" ca="1">z_score_diff(OFFSET(T450,0,0,$I$5*-1,1),OFFSET(E450,0,0,$I$5*-1,1))</f>
        <v/>
      </c>
      <c r="V450" s="9" t="str">
        <f t="shared" ca="1" si="55"/>
        <v/>
      </c>
      <c r="W450" s="17">
        <f t="shared" ca="1" si="52"/>
        <v>-1.7688743485296445E-2</v>
      </c>
      <c r="X450" s="13">
        <f t="shared" ca="1" si="53"/>
        <v>0</v>
      </c>
      <c r="Y450" s="13">
        <f t="shared" ca="1" si="54"/>
        <v>0</v>
      </c>
      <c r="Z450" t="str">
        <f t="shared" ca="1" si="56"/>
        <v/>
      </c>
      <c r="AA450" t="str">
        <f t="shared" ca="1" si="57"/>
        <v/>
      </c>
      <c r="AB450" s="24" t="str">
        <f t="shared" ca="1" si="58"/>
        <v/>
      </c>
      <c r="AC450" s="24" t="str">
        <f t="shared" ca="1" si="59"/>
        <v/>
      </c>
    </row>
    <row r="451" spans="3:29" x14ac:dyDescent="0.25">
      <c r="C451" s="6">
        <v>444</v>
      </c>
      <c r="D451" s="37">
        <v>42636</v>
      </c>
      <c r="E451" s="39">
        <v>16.826000000000001</v>
      </c>
      <c r="F451" s="39">
        <v>2.7999986099913814</v>
      </c>
      <c r="G451" s="39">
        <v>51.679970044567845</v>
      </c>
      <c r="H451" s="39">
        <v>54.557838258597194</v>
      </c>
      <c r="I451" s="10">
        <v>0</v>
      </c>
      <c r="J451" s="40">
        <v>0</v>
      </c>
      <c r="K451" s="40">
        <v>0</v>
      </c>
      <c r="L451" s="40">
        <v>0</v>
      </c>
      <c r="M451" s="40">
        <v>0</v>
      </c>
      <c r="N451" s="40">
        <v>0</v>
      </c>
      <c r="O451" s="40">
        <v>0</v>
      </c>
      <c r="P451" s="40">
        <v>0</v>
      </c>
      <c r="Q451" s="40">
        <v>1</v>
      </c>
      <c r="R451" s="40">
        <v>0</v>
      </c>
      <c r="S451" s="40">
        <v>0</v>
      </c>
      <c r="T451" s="29">
        <f t="array" aca="1" ref="T451" ca="1">+fair_value_gap(OFFSET(S450,0,0,-1*$I$5,-1*$Z$1),OFFSET(E450,0,0,-1*$I$5,1),F451:S451,0)</f>
        <v>16.773877247766361</v>
      </c>
      <c r="U451" s="9" t="str" cm="1">
        <f t="array" aca="1" ref="U451" ca="1">z_score_diff(OFFSET(T451,0,0,$I$5*-1,1),OFFSET(E451,0,0,$I$5*-1,1))</f>
        <v/>
      </c>
      <c r="V451" s="9" t="str">
        <f t="shared" ca="1" si="55"/>
        <v/>
      </c>
      <c r="W451" s="17">
        <f t="shared" ca="1" si="52"/>
        <v>-5.7424144390735364E-2</v>
      </c>
      <c r="X451" s="13">
        <f t="shared" ca="1" si="53"/>
        <v>0</v>
      </c>
      <c r="Y451" s="13">
        <f t="shared" ca="1" si="54"/>
        <v>0</v>
      </c>
      <c r="Z451" t="str">
        <f t="shared" ca="1" si="56"/>
        <v/>
      </c>
      <c r="AA451" t="str">
        <f t="shared" ca="1" si="57"/>
        <v/>
      </c>
      <c r="AB451" s="24" t="str">
        <f t="shared" ca="1" si="58"/>
        <v/>
      </c>
      <c r="AC451" s="24" t="str">
        <f t="shared" ca="1" si="59"/>
        <v/>
      </c>
    </row>
    <row r="452" spans="3:29" x14ac:dyDescent="0.25">
      <c r="C452" s="6">
        <v>445</v>
      </c>
      <c r="D452" s="37">
        <v>42639</v>
      </c>
      <c r="E452" s="39">
        <v>16.709</v>
      </c>
      <c r="F452" s="39">
        <v>2.8047221921369001</v>
      </c>
      <c r="G452" s="39">
        <v>51.604445711028788</v>
      </c>
      <c r="H452" s="39">
        <v>55.063359688075373</v>
      </c>
      <c r="I452" s="10">
        <v>0</v>
      </c>
      <c r="J452" s="40">
        <v>0</v>
      </c>
      <c r="K452" s="40">
        <v>0</v>
      </c>
      <c r="L452" s="40">
        <v>0</v>
      </c>
      <c r="M452" s="40">
        <v>0</v>
      </c>
      <c r="N452" s="40">
        <v>0</v>
      </c>
      <c r="O452" s="40">
        <v>0</v>
      </c>
      <c r="P452" s="40">
        <v>0</v>
      </c>
      <c r="Q452" s="40">
        <v>1</v>
      </c>
      <c r="R452" s="40">
        <v>0</v>
      </c>
      <c r="S452" s="40">
        <v>0</v>
      </c>
      <c r="T452" s="29">
        <f t="array" aca="1" ref="T452" ca="1">+fair_value_gap(OFFSET(S451,0,0,-1*$I$5,-1*$Z$1),OFFSET(E451,0,0,-1*$I$5,1),F452:S452,0)</f>
        <v>16.778454967229184</v>
      </c>
      <c r="U452" s="9" t="str" cm="1">
        <f t="array" aca="1" ref="U452" ca="1">z_score_diff(OFFSET(T452,0,0,$I$5*-1,1),OFFSET(E452,0,0,$I$5*-1,1))</f>
        <v/>
      </c>
      <c r="V452" s="9" t="str">
        <f t="shared" ca="1" si="55"/>
        <v/>
      </c>
      <c r="W452" s="17">
        <f t="shared" ca="1" si="52"/>
        <v>-7.0023642881714754E-2</v>
      </c>
      <c r="X452" s="13">
        <f t="shared" ca="1" si="53"/>
        <v>0</v>
      </c>
      <c r="Y452" s="13">
        <f t="shared" ca="1" si="54"/>
        <v>0</v>
      </c>
      <c r="Z452" t="str">
        <f t="shared" ca="1" si="56"/>
        <v/>
      </c>
      <c r="AA452" t="str">
        <f t="shared" ca="1" si="57"/>
        <v/>
      </c>
      <c r="AB452" s="24" t="str">
        <f t="shared" ca="1" si="58"/>
        <v/>
      </c>
      <c r="AC452" s="24" t="str">
        <f t="shared" ca="1" si="59"/>
        <v/>
      </c>
    </row>
    <row r="453" spans="3:29" x14ac:dyDescent="0.25">
      <c r="C453" s="6">
        <v>446</v>
      </c>
      <c r="D453" s="37">
        <v>42640</v>
      </c>
      <c r="E453" s="39">
        <v>16.231000000000002</v>
      </c>
      <c r="F453" s="39">
        <v>2.8040387890584264</v>
      </c>
      <c r="G453" s="39">
        <v>49.78039074511225</v>
      </c>
      <c r="H453" s="39">
        <v>55.003301935977191</v>
      </c>
      <c r="I453" s="10">
        <v>0</v>
      </c>
      <c r="J453" s="40">
        <v>0</v>
      </c>
      <c r="K453" s="40">
        <v>0</v>
      </c>
      <c r="L453" s="40">
        <v>0</v>
      </c>
      <c r="M453" s="40">
        <v>0</v>
      </c>
      <c r="N453" s="40">
        <v>0</v>
      </c>
      <c r="O453" s="40">
        <v>0</v>
      </c>
      <c r="P453" s="40">
        <v>0</v>
      </c>
      <c r="Q453" s="40">
        <v>1</v>
      </c>
      <c r="R453" s="40">
        <v>0</v>
      </c>
      <c r="S453" s="40">
        <v>0</v>
      </c>
      <c r="T453" s="29">
        <f t="array" aca="1" ref="T453" ca="1">+fair_value_gap(OFFSET(S452,0,0,-1*$I$5,-1*$Z$1),OFFSET(E452,0,0,-1*$I$5,1),F453:S453,0)</f>
        <v>16.244550786536958</v>
      </c>
      <c r="U453" s="9" t="str" cm="1">
        <f t="array" aca="1" ref="U453" ca="1">z_score_diff(OFFSET(T453,0,0,$I$5*-1,1),OFFSET(E453,0,0,$I$5*-1,1))</f>
        <v/>
      </c>
      <c r="V453" s="9" t="str">
        <f t="shared" ca="1" si="55"/>
        <v/>
      </c>
      <c r="W453" s="17">
        <f t="shared" ca="1" si="52"/>
        <v>-2.5774461825708129E-2</v>
      </c>
      <c r="X453" s="13">
        <f t="shared" ca="1" si="53"/>
        <v>0</v>
      </c>
      <c r="Y453" s="13">
        <f t="shared" ca="1" si="54"/>
        <v>0</v>
      </c>
      <c r="Z453" t="str">
        <f t="shared" ca="1" si="56"/>
        <v/>
      </c>
      <c r="AA453" t="str">
        <f t="shared" ca="1" si="57"/>
        <v/>
      </c>
      <c r="AB453" s="24" t="str">
        <f t="shared" ca="1" si="58"/>
        <v/>
      </c>
      <c r="AC453" s="24" t="str">
        <f t="shared" ca="1" si="59"/>
        <v/>
      </c>
    </row>
    <row r="454" spans="3:29" x14ac:dyDescent="0.25">
      <c r="C454" s="6">
        <v>447</v>
      </c>
      <c r="D454" s="37">
        <v>42641</v>
      </c>
      <c r="E454" s="39">
        <v>16.629000000000001</v>
      </c>
      <c r="F454" s="39">
        <v>2.7947898994519118</v>
      </c>
      <c r="G454" s="39">
        <v>50.872893490472521</v>
      </c>
      <c r="H454" s="39">
        <v>57.261018941788542</v>
      </c>
      <c r="I454" s="10">
        <v>0</v>
      </c>
      <c r="J454" s="40">
        <v>0</v>
      </c>
      <c r="K454" s="40">
        <v>0</v>
      </c>
      <c r="L454" s="40">
        <v>0</v>
      </c>
      <c r="M454" s="40">
        <v>0</v>
      </c>
      <c r="N454" s="40">
        <v>0</v>
      </c>
      <c r="O454" s="40">
        <v>0</v>
      </c>
      <c r="P454" s="40">
        <v>0</v>
      </c>
      <c r="Q454" s="40">
        <v>1</v>
      </c>
      <c r="R454" s="40">
        <v>0</v>
      </c>
      <c r="S454" s="40">
        <v>0</v>
      </c>
      <c r="T454" s="29">
        <f t="array" aca="1" ref="T454" ca="1">+fair_value_gap(OFFSET(S453,0,0,-1*$I$5,-1*$Z$1),OFFSET(E453,0,0,-1*$I$5,1),F454:S454,0)</f>
        <v>16.638344946351644</v>
      </c>
      <c r="U454" s="9" t="str" cm="1">
        <f t="array" aca="1" ref="U454" ca="1">z_score_diff(OFFSET(T454,0,0,$I$5*-1,1),OFFSET(E454,0,0,$I$5*-1,1))</f>
        <v/>
      </c>
      <c r="V454" s="9" t="str">
        <f t="shared" ca="1" si="55"/>
        <v/>
      </c>
      <c r="W454" s="17">
        <f t="shared" ca="1" si="52"/>
        <v>-6.0293929012002277E-2</v>
      </c>
      <c r="X454" s="13">
        <f t="shared" ca="1" si="53"/>
        <v>0</v>
      </c>
      <c r="Y454" s="13">
        <f t="shared" ca="1" si="54"/>
        <v>0</v>
      </c>
      <c r="Z454" t="str">
        <f t="shared" ca="1" si="56"/>
        <v/>
      </c>
      <c r="AA454" t="str">
        <f t="shared" ca="1" si="57"/>
        <v/>
      </c>
      <c r="AB454" s="24" t="str">
        <f t="shared" ca="1" si="58"/>
        <v/>
      </c>
      <c r="AC454" s="24" t="str">
        <f t="shared" ca="1" si="59"/>
        <v/>
      </c>
    </row>
    <row r="455" spans="3:29" x14ac:dyDescent="0.25">
      <c r="C455" s="6">
        <v>448</v>
      </c>
      <c r="D455" s="37">
        <v>42642</v>
      </c>
      <c r="E455" s="39">
        <v>16.800999999999998</v>
      </c>
      <c r="F455" s="39">
        <v>2.4270028863066582</v>
      </c>
      <c r="G455" s="39">
        <v>51.504813437866318</v>
      </c>
      <c r="H455" s="39">
        <v>57.717434231701347</v>
      </c>
      <c r="I455" s="10">
        <v>0</v>
      </c>
      <c r="J455" s="40">
        <v>0</v>
      </c>
      <c r="K455" s="40">
        <v>0</v>
      </c>
      <c r="L455" s="40">
        <v>0</v>
      </c>
      <c r="M455" s="40">
        <v>0</v>
      </c>
      <c r="N455" s="40">
        <v>0</v>
      </c>
      <c r="O455" s="40">
        <v>0</v>
      </c>
      <c r="P455" s="40">
        <v>0</v>
      </c>
      <c r="Q455" s="40">
        <v>1</v>
      </c>
      <c r="R455" s="40">
        <v>0</v>
      </c>
      <c r="S455" s="40">
        <v>0</v>
      </c>
      <c r="T455" s="29">
        <f t="array" aca="1" ref="T455" ca="1">+fair_value_gap(OFFSET(S454,0,0,-1*$I$5,-1*$Z$1),OFFSET(E454,0,0,-1*$I$5,1),F455:S455,0)</f>
        <v>16.576124721620776</v>
      </c>
      <c r="U455" s="9" t="str" cm="1">
        <f t="array" aca="1" ref="U455" ca="1">z_score_diff(OFFSET(T455,0,0,$I$5*-1,1),OFFSET(E455,0,0,$I$5*-1,1))</f>
        <v/>
      </c>
      <c r="V455" s="9" t="str">
        <f t="shared" ca="1" si="55"/>
        <v/>
      </c>
      <c r="W455" s="17">
        <f t="shared" ref="W455:W518" ca="1" si="60">+LN(OFFSET(E455,$W$3,0,1,1)/E455)</f>
        <v>-6.0289876350039809E-2</v>
      </c>
      <c r="X455" s="13">
        <f t="shared" ca="1" si="53"/>
        <v>0</v>
      </c>
      <c r="Y455" s="13">
        <f t="shared" ca="1" si="54"/>
        <v>0</v>
      </c>
      <c r="Z455" t="str">
        <f t="shared" ca="1" si="56"/>
        <v/>
      </c>
      <c r="AA455" t="str">
        <f t="shared" ca="1" si="57"/>
        <v/>
      </c>
      <c r="AB455" s="24" t="str">
        <f t="shared" ca="1" si="58"/>
        <v/>
      </c>
      <c r="AC455" s="24" t="str">
        <f t="shared" ca="1" si="59"/>
        <v/>
      </c>
    </row>
    <row r="456" spans="3:29" x14ac:dyDescent="0.25">
      <c r="C456" s="6">
        <v>449</v>
      </c>
      <c r="D456" s="37">
        <v>42643</v>
      </c>
      <c r="E456" s="39">
        <v>15.8</v>
      </c>
      <c r="F456" s="39">
        <v>2.4080016012907373</v>
      </c>
      <c r="G456" s="39">
        <v>47.833138305516208</v>
      </c>
      <c r="H456" s="39">
        <v>55.889205931361126</v>
      </c>
      <c r="I456" s="10">
        <v>0</v>
      </c>
      <c r="J456" s="40">
        <v>0</v>
      </c>
      <c r="K456" s="40">
        <v>0</v>
      </c>
      <c r="L456" s="40">
        <v>0</v>
      </c>
      <c r="M456" s="40">
        <v>0</v>
      </c>
      <c r="N456" s="40">
        <v>0</v>
      </c>
      <c r="O456" s="40">
        <v>0</v>
      </c>
      <c r="P456" s="40">
        <v>0</v>
      </c>
      <c r="Q456" s="40">
        <v>1</v>
      </c>
      <c r="R456" s="40">
        <v>0</v>
      </c>
      <c r="S456" s="40">
        <v>0</v>
      </c>
      <c r="T456" s="29">
        <f t="array" aca="1" ref="T456" ca="1">+fair_value_gap(OFFSET(S455,0,0,-1*$I$5,-1*$Z$1),OFFSET(E455,0,0,-1*$I$5,1),F456:S456,0)</f>
        <v>15.481256779582694</v>
      </c>
      <c r="U456" s="9" t="str" cm="1">
        <f t="array" aca="1" ref="U456" ca="1">z_score_diff(OFFSET(T456,0,0,$I$5*-1,1),OFFSET(E456,0,0,$I$5*-1,1))</f>
        <v/>
      </c>
      <c r="V456" s="9" t="str">
        <f t="shared" ca="1" si="55"/>
        <v/>
      </c>
      <c r="W456" s="17">
        <f t="shared" ca="1" si="60"/>
        <v>3.9794133933970383E-3</v>
      </c>
      <c r="X456" s="13">
        <f t="shared" ca="1" si="53"/>
        <v>0</v>
      </c>
      <c r="Y456" s="13">
        <f t="shared" ca="1" si="54"/>
        <v>0</v>
      </c>
      <c r="Z456" t="str">
        <f t="shared" ca="1" si="56"/>
        <v/>
      </c>
      <c r="AA456" t="str">
        <f t="shared" ca="1" si="57"/>
        <v/>
      </c>
      <c r="AB456" s="24" t="str">
        <f t="shared" ca="1" si="58"/>
        <v/>
      </c>
      <c r="AC456" s="24" t="str">
        <f t="shared" ca="1" si="59"/>
        <v/>
      </c>
    </row>
    <row r="457" spans="3:29" x14ac:dyDescent="0.25">
      <c r="C457" s="6">
        <v>450</v>
      </c>
      <c r="D457" s="37">
        <v>42646</v>
      </c>
      <c r="E457" s="39">
        <v>15.957000000000001</v>
      </c>
      <c r="F457" s="39">
        <v>2.4337958877361703</v>
      </c>
      <c r="G457" s="39">
        <v>48.517263974884642</v>
      </c>
      <c r="H457" s="39">
        <v>57.848253434414318</v>
      </c>
      <c r="I457" s="10">
        <v>0</v>
      </c>
      <c r="J457" s="40">
        <v>0</v>
      </c>
      <c r="K457" s="40">
        <v>0</v>
      </c>
      <c r="L457" s="40">
        <v>0</v>
      </c>
      <c r="M457" s="40">
        <v>0</v>
      </c>
      <c r="N457" s="40">
        <v>0</v>
      </c>
      <c r="O457" s="40">
        <v>0</v>
      </c>
      <c r="P457" s="40">
        <v>0</v>
      </c>
      <c r="Q457" s="40">
        <v>0</v>
      </c>
      <c r="R457" s="40">
        <v>1</v>
      </c>
      <c r="S457" s="40">
        <v>0</v>
      </c>
      <c r="T457" s="29">
        <f t="array" aca="1" ref="T457" ca="1">+fair_value_gap(OFFSET(S456,0,0,-1*$I$5,-1*$Z$1),OFFSET(E456,0,0,-1*$I$5,1),F457:S457,0)</f>
        <v>16.987385012030067</v>
      </c>
      <c r="U457" s="9" t="str" cm="1">
        <f t="array" aca="1" ref="U457" ca="1">z_score_diff(OFFSET(T457,0,0,$I$5*-1,1),OFFSET(E457,0,0,$I$5*-1,1))</f>
        <v/>
      </c>
      <c r="V457" s="9" t="str">
        <f t="shared" ca="1" si="55"/>
        <v/>
      </c>
      <c r="W457" s="17">
        <f t="shared" ca="1" si="60"/>
        <v>-7.3592180420104705E-3</v>
      </c>
      <c r="X457" s="13">
        <f t="shared" ref="X457:X520" ca="1" si="61">+X456</f>
        <v>0</v>
      </c>
      <c r="Y457" s="13">
        <f t="shared" ref="Y457:Y520" ca="1" si="62">+Y456</f>
        <v>0</v>
      </c>
      <c r="Z457" t="str">
        <f t="shared" ca="1" si="56"/>
        <v/>
      </c>
      <c r="AA457" t="str">
        <f t="shared" ca="1" si="57"/>
        <v/>
      </c>
      <c r="AB457" s="24" t="str">
        <f t="shared" ca="1" si="58"/>
        <v/>
      </c>
      <c r="AC457" s="24" t="str">
        <f t="shared" ca="1" si="59"/>
        <v/>
      </c>
    </row>
    <row r="458" spans="3:29" x14ac:dyDescent="0.25">
      <c r="C458" s="6">
        <v>451</v>
      </c>
      <c r="D458" s="37">
        <v>42647</v>
      </c>
      <c r="E458" s="39">
        <v>16.254000000000001</v>
      </c>
      <c r="F458" s="39">
        <v>2.4279759880827423</v>
      </c>
      <c r="G458" s="39">
        <v>49.031270481132665</v>
      </c>
      <c r="H458" s="39">
        <v>57.699214473241391</v>
      </c>
      <c r="I458" s="10">
        <v>0</v>
      </c>
      <c r="J458" s="40">
        <v>0</v>
      </c>
      <c r="K458" s="40">
        <v>0</v>
      </c>
      <c r="L458" s="40">
        <v>0</v>
      </c>
      <c r="M458" s="40">
        <v>0</v>
      </c>
      <c r="N458" s="40">
        <v>0</v>
      </c>
      <c r="O458" s="40">
        <v>0</v>
      </c>
      <c r="P458" s="40">
        <v>0</v>
      </c>
      <c r="Q458" s="40">
        <v>0</v>
      </c>
      <c r="R458" s="40">
        <v>1</v>
      </c>
      <c r="S458" s="40">
        <v>0</v>
      </c>
      <c r="T458" s="29">
        <f t="array" aca="1" ref="T458" ca="1">+fair_value_gap(OFFSET(S457,0,0,-1*$I$5,-1*$Z$1),OFFSET(E457,0,0,-1*$I$5,1),F458:S458,0)</f>
        <v>16.527060373577164</v>
      </c>
      <c r="U458" s="9" t="str" cm="1">
        <f t="array" aca="1" ref="U458" ca="1">z_score_diff(OFFSET(T458,0,0,$I$5*-1,1),OFFSET(E458,0,0,$I$5*-1,1))</f>
        <v/>
      </c>
      <c r="V458" s="9" t="str">
        <f t="shared" ca="1" si="55"/>
        <v/>
      </c>
      <c r="W458" s="17">
        <f t="shared" ca="1" si="60"/>
        <v>-6.1713353109086114E-3</v>
      </c>
      <c r="X458" s="13">
        <f t="shared" ca="1" si="61"/>
        <v>0</v>
      </c>
      <c r="Y458" s="13">
        <f t="shared" ca="1" si="62"/>
        <v>0</v>
      </c>
      <c r="Z458" t="str">
        <f t="shared" ca="1" si="56"/>
        <v/>
      </c>
      <c r="AA458" t="str">
        <f t="shared" ca="1" si="57"/>
        <v/>
      </c>
      <c r="AB458" s="24" t="str">
        <f t="shared" ca="1" si="58"/>
        <v/>
      </c>
      <c r="AC458" s="24" t="str">
        <f t="shared" ca="1" si="59"/>
        <v/>
      </c>
    </row>
    <row r="459" spans="3:29" x14ac:dyDescent="0.25">
      <c r="C459" s="6">
        <v>452</v>
      </c>
      <c r="D459" s="37">
        <v>42648</v>
      </c>
      <c r="E459" s="39">
        <v>16.401</v>
      </c>
      <c r="F459" s="39">
        <v>2.4704261898219486</v>
      </c>
      <c r="G459" s="39">
        <v>50.220762335214879</v>
      </c>
      <c r="H459" s="39">
        <v>58.217188809778051</v>
      </c>
      <c r="I459" s="10">
        <v>0</v>
      </c>
      <c r="J459" s="40">
        <v>0</v>
      </c>
      <c r="K459" s="40">
        <v>0</v>
      </c>
      <c r="L459" s="40">
        <v>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1</v>
      </c>
      <c r="S459" s="40">
        <v>0</v>
      </c>
      <c r="T459" s="29">
        <f t="array" aca="1" ref="T459" ca="1">+fair_value_gap(OFFSET(S458,0,0,-1*$I$5,-1*$Z$1),OFFSET(E458,0,0,-1*$I$5,1),F459:S459,0)</f>
        <v>16.836646349554243</v>
      </c>
      <c r="U459" s="9" t="str" cm="1">
        <f t="array" aca="1" ref="U459" ca="1">z_score_diff(OFFSET(T459,0,0,$I$5*-1,1),OFFSET(E459,0,0,$I$5*-1,1))</f>
        <v/>
      </c>
      <c r="V459" s="9" t="str">
        <f t="shared" ref="V459:V522" ca="1" si="63">+IF(ISERROR(AVERAGE(OFFSET(U459,0,0,$V$5*-1,1))),"",AVERAGE(OFFSET(U459,0,0,$V$5*-1,1)))</f>
        <v/>
      </c>
      <c r="W459" s="17">
        <f t="shared" ca="1" si="60"/>
        <v>-4.3996404607991521E-3</v>
      </c>
      <c r="X459" s="13">
        <f t="shared" ca="1" si="61"/>
        <v>0</v>
      </c>
      <c r="Y459" s="13">
        <f t="shared" ca="1" si="62"/>
        <v>0</v>
      </c>
      <c r="Z459" t="str">
        <f t="shared" ref="Z459:Z522" ca="1" si="64">+IF(V459="","",IF(V459&lt;X459,1,0))</f>
        <v/>
      </c>
      <c r="AA459" t="str">
        <f t="shared" ref="AA459:AA522" ca="1" si="65">+IF(V459="","",IF(V459&gt;Y459,1,0))</f>
        <v/>
      </c>
      <c r="AB459" s="24" t="str">
        <f t="shared" ref="AB459:AB522" ca="1" si="66">+IF(ISERROR(Z459*W459),"",Z459*W459)</f>
        <v/>
      </c>
      <c r="AC459" s="24" t="str">
        <f t="shared" ref="AC459:AC522" ca="1" si="67">+IF(ISERROR(AA459*W459),"",AA459*W459)</f>
        <v/>
      </c>
    </row>
    <row r="460" spans="3:29" x14ac:dyDescent="0.25">
      <c r="C460" s="6">
        <v>453</v>
      </c>
      <c r="D460" s="37">
        <v>42649</v>
      </c>
      <c r="E460" s="39">
        <v>16.655999999999999</v>
      </c>
      <c r="F460" s="39">
        <v>2.4833872668054777</v>
      </c>
      <c r="G460" s="39">
        <v>50.86146821521772</v>
      </c>
      <c r="H460" s="39">
        <v>59.484161740975978</v>
      </c>
      <c r="I460" s="1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1</v>
      </c>
      <c r="S460" s="40">
        <v>0</v>
      </c>
      <c r="T460" s="29">
        <f t="array" aca="1" ref="T460" ca="1">+fair_value_gap(OFFSET(S459,0,0,-1*$I$5,-1*$Z$1),OFFSET(E459,0,0,-1*$I$5,1),F460:S460,0)</f>
        <v>16.947936278249031</v>
      </c>
      <c r="U460" s="9" t="str" cm="1">
        <f t="array" aca="1" ref="U460" ca="1">z_score_diff(OFFSET(T460,0,0,$I$5*-1,1),OFFSET(E460,0,0,$I$5*-1,1))</f>
        <v/>
      </c>
      <c r="V460" s="9" t="str">
        <f t="shared" ca="1" si="63"/>
        <v/>
      </c>
      <c r="W460" s="17">
        <f t="shared" ca="1" si="60"/>
        <v>-1.3783315778300772E-2</v>
      </c>
      <c r="X460" s="13">
        <f t="shared" ca="1" si="61"/>
        <v>0</v>
      </c>
      <c r="Y460" s="13">
        <f t="shared" ca="1" si="62"/>
        <v>0</v>
      </c>
      <c r="Z460" t="str">
        <f t="shared" ca="1" si="64"/>
        <v/>
      </c>
      <c r="AA460" t="str">
        <f t="shared" ca="1" si="65"/>
        <v/>
      </c>
      <c r="AB460" s="24" t="str">
        <f t="shared" ca="1" si="66"/>
        <v/>
      </c>
      <c r="AC460" s="24" t="str">
        <f t="shared" ca="1" si="67"/>
        <v/>
      </c>
    </row>
    <row r="461" spans="3:29" x14ac:dyDescent="0.25">
      <c r="C461" s="6">
        <v>454</v>
      </c>
      <c r="D461" s="37">
        <v>42650</v>
      </c>
      <c r="E461" s="39">
        <v>16.2</v>
      </c>
      <c r="F461" s="39">
        <v>2.4899301095168629</v>
      </c>
      <c r="G461" s="39">
        <v>49.283969013991914</v>
      </c>
      <c r="H461" s="39">
        <v>57.784841821071645</v>
      </c>
      <c r="I461" s="10">
        <v>0</v>
      </c>
      <c r="J461" s="40">
        <v>0</v>
      </c>
      <c r="K461" s="40">
        <v>0</v>
      </c>
      <c r="L461" s="40">
        <v>0</v>
      </c>
      <c r="M461" s="40">
        <v>0</v>
      </c>
      <c r="N461" s="40">
        <v>0</v>
      </c>
      <c r="O461" s="40">
        <v>0</v>
      </c>
      <c r="P461" s="40">
        <v>0</v>
      </c>
      <c r="Q461" s="40">
        <v>0</v>
      </c>
      <c r="R461" s="40">
        <v>1</v>
      </c>
      <c r="S461" s="40">
        <v>0</v>
      </c>
      <c r="T461" s="29">
        <f t="array" aca="1" ref="T461" ca="1">+fair_value_gap(OFFSET(S460,0,0,-1*$I$5,-1*$Z$1),OFFSET(E460,0,0,-1*$I$5,1),F461:S461,0)</f>
        <v>16.374902454352007</v>
      </c>
      <c r="U461" s="9" t="str" cm="1">
        <f t="array" aca="1" ref="U461" ca="1">z_score_diff(OFFSET(T461,0,0,$I$5*-1,1),OFFSET(E461,0,0,$I$5*-1,1))</f>
        <v/>
      </c>
      <c r="V461" s="9" t="str">
        <f t="shared" ca="1" si="63"/>
        <v/>
      </c>
      <c r="W461" s="17">
        <f t="shared" ca="1" si="60"/>
        <v>4.1887458066398962E-3</v>
      </c>
      <c r="X461" s="13">
        <f t="shared" ca="1" si="61"/>
        <v>0</v>
      </c>
      <c r="Y461" s="13">
        <f t="shared" ca="1" si="62"/>
        <v>0</v>
      </c>
      <c r="Z461" t="str">
        <f t="shared" ca="1" si="64"/>
        <v/>
      </c>
      <c r="AA461" t="str">
        <f t="shared" ca="1" si="65"/>
        <v/>
      </c>
      <c r="AB461" s="24" t="str">
        <f t="shared" ca="1" si="66"/>
        <v/>
      </c>
      <c r="AC461" s="24" t="str">
        <f t="shared" ca="1" si="67"/>
        <v/>
      </c>
    </row>
    <row r="462" spans="3:29" x14ac:dyDescent="0.25">
      <c r="C462" s="6">
        <v>455</v>
      </c>
      <c r="D462" s="37">
        <v>42653</v>
      </c>
      <c r="E462" s="39">
        <v>16.135999999999999</v>
      </c>
      <c r="F462" s="39">
        <v>2.4873511546854292</v>
      </c>
      <c r="G462" s="39">
        <v>49.170595348674183</v>
      </c>
      <c r="H462" s="39">
        <v>56.717553579940258</v>
      </c>
      <c r="I462" s="10">
        <v>0</v>
      </c>
      <c r="J462" s="40">
        <v>0</v>
      </c>
      <c r="K462" s="40">
        <v>0</v>
      </c>
      <c r="L462" s="40">
        <v>0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1</v>
      </c>
      <c r="S462" s="40">
        <v>0</v>
      </c>
      <c r="T462" s="29">
        <f t="array" aca="1" ref="T462" ca="1">+fair_value_gap(OFFSET(S461,0,0,-1*$I$5,-1*$Z$1),OFFSET(E461,0,0,-1*$I$5,1),F462:S462,0)</f>
        <v>16.303914815641491</v>
      </c>
      <c r="U462" s="9" t="str" cm="1">
        <f t="array" aca="1" ref="U462" ca="1">z_score_diff(OFFSET(T462,0,0,$I$5*-1,1),OFFSET(E462,0,0,$I$5*-1,1))</f>
        <v/>
      </c>
      <c r="V462" s="9" t="str">
        <f t="shared" ca="1" si="63"/>
        <v/>
      </c>
      <c r="W462" s="17">
        <f t="shared" ca="1" si="60"/>
        <v>1.3786530522690294E-2</v>
      </c>
      <c r="X462" s="13">
        <f t="shared" ca="1" si="61"/>
        <v>0</v>
      </c>
      <c r="Y462" s="13">
        <f t="shared" ca="1" si="62"/>
        <v>0</v>
      </c>
      <c r="Z462" t="str">
        <f t="shared" ca="1" si="64"/>
        <v/>
      </c>
      <c r="AA462" t="str">
        <f t="shared" ca="1" si="65"/>
        <v/>
      </c>
      <c r="AB462" s="24" t="str">
        <f t="shared" ca="1" si="66"/>
        <v/>
      </c>
      <c r="AC462" s="24" t="str">
        <f t="shared" ca="1" si="67"/>
        <v/>
      </c>
    </row>
    <row r="463" spans="3:29" x14ac:dyDescent="0.25">
      <c r="C463" s="6">
        <v>456</v>
      </c>
      <c r="D463" s="37">
        <v>42654</v>
      </c>
      <c r="E463" s="39">
        <v>15.920999999999999</v>
      </c>
      <c r="F463" s="39">
        <v>2.5262456198516174</v>
      </c>
      <c r="G463" s="39">
        <v>48.122341340737989</v>
      </c>
      <c r="H463" s="39">
        <v>55.815479140177096</v>
      </c>
      <c r="I463" s="10">
        <v>0</v>
      </c>
      <c r="J463" s="40">
        <v>0</v>
      </c>
      <c r="K463" s="40">
        <v>0</v>
      </c>
      <c r="L463" s="40">
        <v>0</v>
      </c>
      <c r="M463" s="40">
        <v>0</v>
      </c>
      <c r="N463" s="40">
        <v>0</v>
      </c>
      <c r="O463" s="40">
        <v>0</v>
      </c>
      <c r="P463" s="40">
        <v>0</v>
      </c>
      <c r="Q463" s="40">
        <v>0</v>
      </c>
      <c r="R463" s="40">
        <v>1</v>
      </c>
      <c r="S463" s="40">
        <v>0</v>
      </c>
      <c r="T463" s="29">
        <f t="array" aca="1" ref="T463" ca="1">+fair_value_gap(OFFSET(S462,0,0,-1*$I$5,-1*$Z$1),OFFSET(E462,0,0,-1*$I$5,1),F463:S463,0)</f>
        <v>15.965851670080356</v>
      </c>
      <c r="U463" s="9" t="str" cm="1">
        <f t="array" aca="1" ref="U463" ca="1">z_score_diff(OFFSET(T463,0,0,$I$5*-1,1),OFFSET(E463,0,0,$I$5*-1,1))</f>
        <v/>
      </c>
      <c r="V463" s="9" t="str">
        <f t="shared" ca="1" si="63"/>
        <v/>
      </c>
      <c r="W463" s="17">
        <f t="shared" ca="1" si="60"/>
        <v>2.1069111605797084E-2</v>
      </c>
      <c r="X463" s="13">
        <f t="shared" ca="1" si="61"/>
        <v>0</v>
      </c>
      <c r="Y463" s="13">
        <f t="shared" ca="1" si="62"/>
        <v>0</v>
      </c>
      <c r="Z463" t="str">
        <f t="shared" ca="1" si="64"/>
        <v/>
      </c>
      <c r="AA463" t="str">
        <f t="shared" ca="1" si="65"/>
        <v/>
      </c>
      <c r="AB463" s="24" t="str">
        <f t="shared" ca="1" si="66"/>
        <v/>
      </c>
      <c r="AC463" s="24" t="str">
        <f t="shared" ca="1" si="67"/>
        <v/>
      </c>
    </row>
    <row r="464" spans="3:29" x14ac:dyDescent="0.25">
      <c r="C464" s="6">
        <v>457</v>
      </c>
      <c r="D464" s="37">
        <v>42655</v>
      </c>
      <c r="E464" s="39">
        <v>15.877000000000001</v>
      </c>
      <c r="F464" s="39">
        <v>2.5574155747140193</v>
      </c>
      <c r="G464" s="39">
        <v>48.522131386030964</v>
      </c>
      <c r="H464" s="39">
        <v>57.333606266111239</v>
      </c>
      <c r="I464" s="10">
        <v>0</v>
      </c>
      <c r="J464" s="40">
        <v>0</v>
      </c>
      <c r="K464" s="40">
        <v>0</v>
      </c>
      <c r="L464" s="40">
        <v>0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1</v>
      </c>
      <c r="S464" s="40">
        <v>0</v>
      </c>
      <c r="T464" s="29">
        <f t="array" aca="1" ref="T464" ca="1">+fair_value_gap(OFFSET(S463,0,0,-1*$I$5,-1*$Z$1),OFFSET(E463,0,0,-1*$I$5,1),F464:S464,0)</f>
        <v>16.111893118941364</v>
      </c>
      <c r="U464" s="9" t="str" cm="1">
        <f t="array" aca="1" ref="U464" ca="1">z_score_diff(OFFSET(T464,0,0,$I$5*-1,1),OFFSET(E464,0,0,$I$5*-1,1))</f>
        <v/>
      </c>
      <c r="V464" s="9" t="str">
        <f t="shared" ca="1" si="63"/>
        <v/>
      </c>
      <c r="W464" s="17">
        <f t="shared" ca="1" si="60"/>
        <v>2.4512861061807393E-2</v>
      </c>
      <c r="X464" s="13">
        <f t="shared" ca="1" si="61"/>
        <v>0</v>
      </c>
      <c r="Y464" s="13">
        <f t="shared" ca="1" si="62"/>
        <v>0</v>
      </c>
      <c r="Z464" t="str">
        <f t="shared" ca="1" si="64"/>
        <v/>
      </c>
      <c r="AA464" t="str">
        <f t="shared" ca="1" si="65"/>
        <v/>
      </c>
      <c r="AB464" s="24" t="str">
        <f t="shared" ca="1" si="66"/>
        <v/>
      </c>
      <c r="AC464" s="24" t="str">
        <f t="shared" ca="1" si="67"/>
        <v/>
      </c>
    </row>
    <row r="465" spans="3:29" x14ac:dyDescent="0.25">
      <c r="C465" s="6">
        <v>458</v>
      </c>
      <c r="D465" s="37">
        <v>42656</v>
      </c>
      <c r="E465" s="39">
        <v>16.062999999999999</v>
      </c>
      <c r="F465" s="39">
        <v>2.5758104852505967</v>
      </c>
      <c r="G465" s="39">
        <v>49.316782140107776</v>
      </c>
      <c r="H465" s="39">
        <v>57.759529881518006</v>
      </c>
      <c r="I465" s="10">
        <v>0</v>
      </c>
      <c r="J465" s="40">
        <v>0</v>
      </c>
      <c r="K465" s="40">
        <v>0</v>
      </c>
      <c r="L465" s="40">
        <v>0</v>
      </c>
      <c r="M465" s="40">
        <v>0</v>
      </c>
      <c r="N465" s="40">
        <v>0</v>
      </c>
      <c r="O465" s="40">
        <v>0</v>
      </c>
      <c r="P465" s="40">
        <v>0</v>
      </c>
      <c r="Q465" s="40">
        <v>0</v>
      </c>
      <c r="R465" s="40">
        <v>1</v>
      </c>
      <c r="S465" s="40">
        <v>0</v>
      </c>
      <c r="T465" s="29">
        <f t="array" aca="1" ref="T465" ca="1">+fair_value_gap(OFFSET(S464,0,0,-1*$I$5,-1*$Z$1),OFFSET(E464,0,0,-1*$I$5,1),F465:S465,0)</f>
        <v>16.35485233170699</v>
      </c>
      <c r="U465" s="9" t="str" cm="1">
        <f t="array" aca="1" ref="U465" ca="1">z_score_diff(OFFSET(T465,0,0,$I$5*-1,1),OFFSET(E465,0,0,$I$5*-1,1))</f>
        <v/>
      </c>
      <c r="V465" s="9" t="str">
        <f t="shared" ca="1" si="63"/>
        <v/>
      </c>
      <c r="W465" s="17">
        <f t="shared" ca="1" si="60"/>
        <v>2.5507667317769399E-2</v>
      </c>
      <c r="X465" s="13">
        <f t="shared" ca="1" si="61"/>
        <v>0</v>
      </c>
      <c r="Y465" s="13">
        <f t="shared" ca="1" si="62"/>
        <v>0</v>
      </c>
      <c r="Z465" t="str">
        <f t="shared" ca="1" si="64"/>
        <v/>
      </c>
      <c r="AA465" t="str">
        <f t="shared" ca="1" si="65"/>
        <v/>
      </c>
      <c r="AB465" s="24" t="str">
        <f t="shared" ca="1" si="66"/>
        <v/>
      </c>
      <c r="AC465" s="24" t="str">
        <f t="shared" ca="1" si="67"/>
        <v/>
      </c>
    </row>
    <row r="466" spans="3:29" x14ac:dyDescent="0.25">
      <c r="C466" s="6">
        <v>459</v>
      </c>
      <c r="D466" s="37">
        <v>42657</v>
      </c>
      <c r="E466" s="39">
        <v>16.317</v>
      </c>
      <c r="F466" s="39">
        <v>2.5977074031993941</v>
      </c>
      <c r="G466" s="39">
        <v>50.228845865160096</v>
      </c>
      <c r="H466" s="39">
        <v>59.608583636043591</v>
      </c>
      <c r="I466" s="1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1</v>
      </c>
      <c r="S466" s="40">
        <v>0</v>
      </c>
      <c r="T466" s="29">
        <f t="array" aca="1" ref="T466" ca="1">+fair_value_gap(OFFSET(S465,0,0,-1*$I$5,-1*$Z$1),OFFSET(E465,0,0,-1*$I$5,1),F466:S466,0)</f>
        <v>16.631163670526789</v>
      </c>
      <c r="U466" s="9" t="str" cm="1">
        <f t="array" aca="1" ref="U466" ca="1">z_score_diff(OFFSET(T466,0,0,$I$5*-1,1),OFFSET(E466,0,0,$I$5*-1,1))</f>
        <v/>
      </c>
      <c r="V466" s="9" t="str">
        <f t="shared" ca="1" si="63"/>
        <v/>
      </c>
      <c r="W466" s="17">
        <f t="shared" ca="1" si="60"/>
        <v>-2.2087253595560433E-3</v>
      </c>
      <c r="X466" s="13">
        <f t="shared" ca="1" si="61"/>
        <v>0</v>
      </c>
      <c r="Y466" s="13">
        <f t="shared" ca="1" si="62"/>
        <v>0</v>
      </c>
      <c r="Z466" t="str">
        <f t="shared" ca="1" si="64"/>
        <v/>
      </c>
      <c r="AA466" t="str">
        <f t="shared" ca="1" si="65"/>
        <v/>
      </c>
      <c r="AB466" s="24" t="str">
        <f t="shared" ca="1" si="66"/>
        <v/>
      </c>
      <c r="AC466" s="24" t="str">
        <f t="shared" ca="1" si="67"/>
        <v/>
      </c>
    </row>
    <row r="467" spans="3:29" x14ac:dyDescent="0.25">
      <c r="C467" s="6">
        <v>460</v>
      </c>
      <c r="D467" s="37">
        <v>42660</v>
      </c>
      <c r="E467" s="39">
        <v>16.440000000000001</v>
      </c>
      <c r="F467" s="39">
        <v>2.6001279681249478</v>
      </c>
      <c r="G467" s="39">
        <v>50.338007160881801</v>
      </c>
      <c r="H467" s="39">
        <v>61.01527287164371</v>
      </c>
      <c r="I467" s="1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1</v>
      </c>
      <c r="S467" s="40">
        <v>0</v>
      </c>
      <c r="T467" s="29">
        <f t="array" aca="1" ref="T467" ca="1">+fair_value_gap(OFFSET(S466,0,0,-1*$I$5,-1*$Z$1),OFFSET(E466,0,0,-1*$I$5,1),F467:S467,0)</f>
        <v>16.62637919532445</v>
      </c>
      <c r="U467" s="9" t="str" cm="1">
        <f t="array" aca="1" ref="U467" ca="1">z_score_diff(OFFSET(T467,0,0,$I$5*-1,1),OFFSET(E467,0,0,$I$5*-1,1))</f>
        <v/>
      </c>
      <c r="V467" s="9" t="str">
        <f t="shared" ca="1" si="63"/>
        <v/>
      </c>
      <c r="W467" s="17">
        <f t="shared" ca="1" si="60"/>
        <v>-2.9631797606371229E-2</v>
      </c>
      <c r="X467" s="13">
        <f t="shared" ca="1" si="61"/>
        <v>0</v>
      </c>
      <c r="Y467" s="13">
        <f t="shared" ca="1" si="62"/>
        <v>0</v>
      </c>
      <c r="Z467" t="str">
        <f t="shared" ca="1" si="64"/>
        <v/>
      </c>
      <c r="AA467" t="str">
        <f t="shared" ca="1" si="65"/>
        <v/>
      </c>
      <c r="AB467" s="24" t="str">
        <f t="shared" ca="1" si="66"/>
        <v/>
      </c>
      <c r="AC467" s="24" t="str">
        <f t="shared" ca="1" si="67"/>
        <v/>
      </c>
    </row>
    <row r="468" spans="3:29" x14ac:dyDescent="0.25">
      <c r="C468" s="6">
        <v>461</v>
      </c>
      <c r="D468" s="37">
        <v>42661</v>
      </c>
      <c r="E468" s="39">
        <v>16.762</v>
      </c>
      <c r="F468" s="39">
        <v>2.6191700121486798</v>
      </c>
      <c r="G468" s="39">
        <v>51.195236953391671</v>
      </c>
      <c r="H468" s="39">
        <v>62.966803687649083</v>
      </c>
      <c r="I468" s="1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1</v>
      </c>
      <c r="S468" s="40">
        <v>0</v>
      </c>
      <c r="T468" s="29">
        <f t="array" aca="1" ref="T468" ca="1">+fair_value_gap(OFFSET(S467,0,0,-1*$I$5,-1*$Z$1),OFFSET(E467,0,0,-1*$I$5,1),F468:S468,0)</f>
        <v>16.884117062719188</v>
      </c>
      <c r="U468" s="9" t="str" cm="1">
        <f t="array" aca="1" ref="U468" ca="1">z_score_diff(OFFSET(T468,0,0,$I$5*-1,1),OFFSET(E468,0,0,$I$5*-1,1))</f>
        <v/>
      </c>
      <c r="V468" s="9" t="str">
        <f t="shared" ca="1" si="63"/>
        <v/>
      </c>
      <c r="W468" s="17">
        <f t="shared" ca="1" si="60"/>
        <v>-7.5375376165997307E-2</v>
      </c>
      <c r="X468" s="13">
        <f t="shared" ca="1" si="61"/>
        <v>0</v>
      </c>
      <c r="Y468" s="13">
        <f t="shared" ca="1" si="62"/>
        <v>0</v>
      </c>
      <c r="Z468" t="str">
        <f t="shared" ca="1" si="64"/>
        <v/>
      </c>
      <c r="AA468" t="str">
        <f t="shared" ca="1" si="65"/>
        <v/>
      </c>
      <c r="AB468" s="24" t="str">
        <f t="shared" ca="1" si="66"/>
        <v/>
      </c>
      <c r="AC468" s="24" t="str">
        <f t="shared" ca="1" si="67"/>
        <v/>
      </c>
    </row>
    <row r="469" spans="3:29" x14ac:dyDescent="0.25">
      <c r="C469" s="6">
        <v>462</v>
      </c>
      <c r="D469" s="37">
        <v>42662</v>
      </c>
      <c r="E469" s="39">
        <v>16.75</v>
      </c>
      <c r="F469" s="39">
        <v>2.6061805233338489</v>
      </c>
      <c r="G469" s="39">
        <v>51.00118137081008</v>
      </c>
      <c r="H469" s="39">
        <v>59.73237761529149</v>
      </c>
      <c r="I469" s="10">
        <v>0</v>
      </c>
      <c r="J469" s="40">
        <v>0</v>
      </c>
      <c r="K469" s="40">
        <v>0</v>
      </c>
      <c r="L469" s="40">
        <v>0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1</v>
      </c>
      <c r="S469" s="40">
        <v>0</v>
      </c>
      <c r="T469" s="29">
        <f t="array" aca="1" ref="T469" ca="1">+fair_value_gap(OFFSET(S468,0,0,-1*$I$5,-1*$Z$1),OFFSET(E468,0,0,-1*$I$5,1),F469:S469,0)</f>
        <v>16.840742214738118</v>
      </c>
      <c r="U469" s="9" t="str" cm="1">
        <f t="array" aca="1" ref="U469" ca="1">z_score_diff(OFFSET(T469,0,0,$I$5*-1,1),OFFSET(E469,0,0,$I$5*-1,1))</f>
        <v/>
      </c>
      <c r="V469" s="9" t="str">
        <f t="shared" ca="1" si="63"/>
        <v/>
      </c>
      <c r="W469" s="17">
        <f t="shared" ca="1" si="60"/>
        <v>-7.3887560166090979E-2</v>
      </c>
      <c r="X469" s="13">
        <f t="shared" ca="1" si="61"/>
        <v>0</v>
      </c>
      <c r="Y469" s="13">
        <f t="shared" ca="1" si="62"/>
        <v>0</v>
      </c>
      <c r="Z469" t="str">
        <f t="shared" ca="1" si="64"/>
        <v/>
      </c>
      <c r="AA469" t="str">
        <f t="shared" ca="1" si="65"/>
        <v/>
      </c>
      <c r="AB469" s="24" t="str">
        <f t="shared" ca="1" si="66"/>
        <v/>
      </c>
      <c r="AC469" s="24" t="str">
        <f t="shared" ca="1" si="67"/>
        <v/>
      </c>
    </row>
    <row r="470" spans="3:29" x14ac:dyDescent="0.25">
      <c r="C470" s="6">
        <v>463</v>
      </c>
      <c r="D470" s="37">
        <v>42663</v>
      </c>
      <c r="E470" s="39">
        <v>16.725000000000001</v>
      </c>
      <c r="F470" s="39">
        <v>2.6317597807491544</v>
      </c>
      <c r="G470" s="39">
        <v>50.9459976850776</v>
      </c>
      <c r="H470" s="39">
        <v>59.346227677117248</v>
      </c>
      <c r="I470" s="1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1</v>
      </c>
      <c r="S470" s="40">
        <v>0</v>
      </c>
      <c r="T470" s="29">
        <f t="array" aca="1" ref="T470" ca="1">+fair_value_gap(OFFSET(S469,0,0,-1*$I$5,-1*$Z$1),OFFSET(E469,0,0,-1*$I$5,1),F470:S470,0)</f>
        <v>16.852621341497631</v>
      </c>
      <c r="U470" s="9" t="str" cm="1">
        <f t="array" aca="1" ref="U470" ca="1">z_score_diff(OFFSET(T470,0,0,$I$5*-1,1),OFFSET(E470,0,0,$I$5*-1,1))</f>
        <v/>
      </c>
      <c r="V470" s="9" t="str">
        <f t="shared" ca="1" si="63"/>
        <v/>
      </c>
      <c r="W470" s="17">
        <f t="shared" ca="1" si="60"/>
        <v>-6.3243893660029887E-2</v>
      </c>
      <c r="X470" s="13">
        <f t="shared" ca="1" si="61"/>
        <v>0</v>
      </c>
      <c r="Y470" s="13">
        <f t="shared" ca="1" si="62"/>
        <v>0</v>
      </c>
      <c r="Z470" t="str">
        <f t="shared" ca="1" si="64"/>
        <v/>
      </c>
      <c r="AA470" t="str">
        <f t="shared" ca="1" si="65"/>
        <v/>
      </c>
      <c r="AB470" s="24" t="str">
        <f t="shared" ca="1" si="66"/>
        <v/>
      </c>
      <c r="AC470" s="24" t="str">
        <f t="shared" ca="1" si="67"/>
        <v/>
      </c>
    </row>
    <row r="471" spans="3:29" x14ac:dyDescent="0.25">
      <c r="C471" s="6">
        <v>464</v>
      </c>
      <c r="D471" s="37">
        <v>42664</v>
      </c>
      <c r="E471" s="39">
        <v>16.718</v>
      </c>
      <c r="F471" s="39">
        <v>2.626653412500112</v>
      </c>
      <c r="G471" s="39">
        <v>50.876959577817694</v>
      </c>
      <c r="H471" s="39">
        <v>61.300520315592458</v>
      </c>
      <c r="I471" s="1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1</v>
      </c>
      <c r="S471" s="40">
        <v>0</v>
      </c>
      <c r="T471" s="29">
        <f t="array" aca="1" ref="T471" ca="1">+fair_value_gap(OFFSET(S470,0,0,-1*$I$5,-1*$Z$1),OFFSET(E470,0,0,-1*$I$5,1),F471:S471,0)</f>
        <v>16.771592038487913</v>
      </c>
      <c r="U471" s="9" t="str" cm="1">
        <f t="array" aca="1" ref="U471" ca="1">z_score_diff(OFFSET(T471,0,0,$I$5*-1,1),OFFSET(E471,0,0,$I$5*-1,1))</f>
        <v/>
      </c>
      <c r="V471" s="9" t="str">
        <f t="shared" ca="1" si="63"/>
        <v/>
      </c>
      <c r="W471" s="17">
        <f t="shared" ca="1" si="60"/>
        <v>-6.1488585067587566E-2</v>
      </c>
      <c r="X471" s="13">
        <f t="shared" ca="1" si="61"/>
        <v>0</v>
      </c>
      <c r="Y471" s="13">
        <f t="shared" ca="1" si="62"/>
        <v>0</v>
      </c>
      <c r="Z471" t="str">
        <f t="shared" ca="1" si="64"/>
        <v/>
      </c>
      <c r="AA471" t="str">
        <f t="shared" ca="1" si="65"/>
        <v/>
      </c>
      <c r="AB471" s="24" t="str">
        <f t="shared" ca="1" si="66"/>
        <v/>
      </c>
      <c r="AC471" s="24" t="str">
        <f t="shared" ca="1" si="67"/>
        <v/>
      </c>
    </row>
    <row r="472" spans="3:29" x14ac:dyDescent="0.25">
      <c r="C472" s="6">
        <v>465</v>
      </c>
      <c r="D472" s="37">
        <v>42667</v>
      </c>
      <c r="E472" s="39">
        <v>16.928999999999998</v>
      </c>
      <c r="F472" s="39">
        <v>2.6311870573945058</v>
      </c>
      <c r="G472" s="39">
        <v>51.313394393240742</v>
      </c>
      <c r="H472" s="39">
        <v>61.585745479076998</v>
      </c>
      <c r="I472" s="1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1</v>
      </c>
      <c r="S472" s="40">
        <v>0</v>
      </c>
      <c r="T472" s="29">
        <f t="array" aca="1" ref="T472" ca="1">+fair_value_gap(OFFSET(S471,0,0,-1*$I$5,-1*$Z$1),OFFSET(E471,0,0,-1*$I$5,1),F472:S472,0)</f>
        <v>16.913826040687432</v>
      </c>
      <c r="U472" s="9" t="str" cm="1">
        <f t="array" aca="1" ref="U472" ca="1">z_score_diff(OFFSET(T472,0,0,$I$5*-1,1),OFFSET(E472,0,0,$I$5*-1,1))</f>
        <v/>
      </c>
      <c r="V472" s="9" t="str">
        <f t="shared" ca="1" si="63"/>
        <v/>
      </c>
      <c r="W472" s="17">
        <f t="shared" ca="1" si="60"/>
        <v>-3.9951087910529245E-2</v>
      </c>
      <c r="X472" s="13">
        <f t="shared" ca="1" si="61"/>
        <v>0</v>
      </c>
      <c r="Y472" s="13">
        <f t="shared" ca="1" si="62"/>
        <v>0</v>
      </c>
      <c r="Z472" t="str">
        <f t="shared" ca="1" si="64"/>
        <v/>
      </c>
      <c r="AA472" t="str">
        <f t="shared" ca="1" si="65"/>
        <v/>
      </c>
      <c r="AB472" s="24" t="str">
        <f t="shared" ca="1" si="66"/>
        <v/>
      </c>
      <c r="AC472" s="24" t="str">
        <f t="shared" ca="1" si="67"/>
        <v/>
      </c>
    </row>
    <row r="473" spans="3:29" x14ac:dyDescent="0.25">
      <c r="C473" s="6">
        <v>466</v>
      </c>
      <c r="D473" s="37">
        <v>42668</v>
      </c>
      <c r="E473" s="39">
        <v>16.971</v>
      </c>
      <c r="F473" s="39">
        <v>2.575916567879923</v>
      </c>
      <c r="G473" s="39">
        <v>51.706741967461411</v>
      </c>
      <c r="H473" s="39">
        <v>61.689486105987733</v>
      </c>
      <c r="I473" s="10">
        <v>0</v>
      </c>
      <c r="J473" s="40">
        <v>0</v>
      </c>
      <c r="K473" s="40">
        <v>0</v>
      </c>
      <c r="L473" s="40">
        <v>0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1</v>
      </c>
      <c r="S473" s="40">
        <v>0</v>
      </c>
      <c r="T473" s="29">
        <f t="array" aca="1" ref="T473" ca="1">+fair_value_gap(OFFSET(S472,0,0,-1*$I$5,-1*$Z$1),OFFSET(E472,0,0,-1*$I$5,1),F473:S473,0)</f>
        <v>17.015639592163947</v>
      </c>
      <c r="U473" s="9" t="str" cm="1">
        <f t="array" aca="1" ref="U473" ca="1">z_score_diff(OFFSET(T473,0,0,$I$5*-1,1),OFFSET(E473,0,0,$I$5*-1,1))</f>
        <v/>
      </c>
      <c r="V473" s="9" t="str">
        <f t="shared" ca="1" si="63"/>
        <v/>
      </c>
      <c r="W473" s="17">
        <f t="shared" ca="1" si="60"/>
        <v>-3.3919838616063291E-2</v>
      </c>
      <c r="X473" s="13">
        <f t="shared" ca="1" si="61"/>
        <v>0</v>
      </c>
      <c r="Y473" s="13">
        <f t="shared" ca="1" si="62"/>
        <v>0</v>
      </c>
      <c r="Z473" t="str">
        <f t="shared" ca="1" si="64"/>
        <v/>
      </c>
      <c r="AA473" t="str">
        <f t="shared" ca="1" si="65"/>
        <v/>
      </c>
      <c r="AB473" s="24" t="str">
        <f t="shared" ca="1" si="66"/>
        <v/>
      </c>
      <c r="AC473" s="24" t="str">
        <f t="shared" ca="1" si="67"/>
        <v/>
      </c>
    </row>
    <row r="474" spans="3:29" x14ac:dyDescent="0.25">
      <c r="C474" s="6">
        <v>467</v>
      </c>
      <c r="D474" s="37">
        <v>42669</v>
      </c>
      <c r="E474" s="39">
        <v>16.843</v>
      </c>
      <c r="F474" s="39">
        <v>2.5170535289215521</v>
      </c>
      <c r="G474" s="39">
        <v>51.461659458639723</v>
      </c>
      <c r="H474" s="39">
        <v>62.345754548873082</v>
      </c>
      <c r="I474" s="1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1</v>
      </c>
      <c r="S474" s="40">
        <v>0</v>
      </c>
      <c r="T474" s="29">
        <f t="array" aca="1" ref="T474" ca="1">+fair_value_gap(OFFSET(S473,0,0,-1*$I$5,-1*$Z$1),OFFSET(E473,0,0,-1*$I$5,1),F474:S474,0)</f>
        <v>16.922024058299076</v>
      </c>
      <c r="U474" s="9" t="str" cm="1">
        <f t="array" aca="1" ref="U474" ca="1">z_score_diff(OFFSET(T474,0,0,$I$5*-1,1),OFFSET(E474,0,0,$I$5*-1,1))</f>
        <v/>
      </c>
      <c r="V474" s="9" t="str">
        <f t="shared" ca="1" si="63"/>
        <v/>
      </c>
      <c r="W474" s="17">
        <f t="shared" ca="1" si="60"/>
        <v>-2.2941193471300955E-2</v>
      </c>
      <c r="X474" s="13">
        <f t="shared" ca="1" si="61"/>
        <v>0</v>
      </c>
      <c r="Y474" s="13">
        <f t="shared" ca="1" si="62"/>
        <v>0</v>
      </c>
      <c r="Z474" t="str">
        <f t="shared" ca="1" si="64"/>
        <v/>
      </c>
      <c r="AA474" t="str">
        <f t="shared" ca="1" si="65"/>
        <v/>
      </c>
      <c r="AB474" s="24" t="str">
        <f t="shared" ca="1" si="66"/>
        <v/>
      </c>
      <c r="AC474" s="24" t="str">
        <f t="shared" ca="1" si="67"/>
        <v/>
      </c>
    </row>
    <row r="475" spans="3:29" x14ac:dyDescent="0.25">
      <c r="C475" s="6">
        <v>468</v>
      </c>
      <c r="D475" s="37">
        <v>42670</v>
      </c>
      <c r="E475" s="39">
        <v>17.100000000000001</v>
      </c>
      <c r="F475" s="39">
        <v>2.5658149412678704</v>
      </c>
      <c r="G475" s="39">
        <v>51.956057503907715</v>
      </c>
      <c r="H475" s="39">
        <v>62.223247356182497</v>
      </c>
      <c r="I475" s="1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29">
        <f t="array" aca="1" ref="T475" ca="1">+fair_value_gap(OFFSET(S474,0,0,-1*$I$5,-1*$Z$1),OFFSET(E474,0,0,-1*$I$5,1),F475:S475,0)</f>
        <v>17.090865511654542</v>
      </c>
      <c r="U475" s="9" t="str" cm="1">
        <f t="array" aca="1" ref="U475" ca="1">z_score_diff(OFFSET(T475,0,0,$I$5*-1,1),OFFSET(E475,0,0,$I$5*-1,1))</f>
        <v/>
      </c>
      <c r="V475" s="9" t="str">
        <f t="shared" ca="1" si="63"/>
        <v/>
      </c>
      <c r="W475" s="17">
        <f t="shared" ca="1" si="60"/>
        <v>-3.8084516763666275E-2</v>
      </c>
      <c r="X475" s="13">
        <f t="shared" ca="1" si="61"/>
        <v>0</v>
      </c>
      <c r="Y475" s="13">
        <f t="shared" ca="1" si="62"/>
        <v>0</v>
      </c>
      <c r="Z475" t="str">
        <f t="shared" ca="1" si="64"/>
        <v/>
      </c>
      <c r="AA475" t="str">
        <f t="shared" ca="1" si="65"/>
        <v/>
      </c>
      <c r="AB475" s="24" t="str">
        <f t="shared" ca="1" si="66"/>
        <v/>
      </c>
      <c r="AC475" s="24" t="str">
        <f t="shared" ca="1" si="67"/>
        <v/>
      </c>
    </row>
    <row r="476" spans="3:29" x14ac:dyDescent="0.25">
      <c r="C476" s="6">
        <v>469</v>
      </c>
      <c r="D476" s="37">
        <v>42671</v>
      </c>
      <c r="E476" s="39">
        <v>17.045999999999999</v>
      </c>
      <c r="F476" s="39">
        <v>2.5372508913225662</v>
      </c>
      <c r="G476" s="39">
        <v>51.94016633128598</v>
      </c>
      <c r="H476" s="39">
        <v>62.543500802545417</v>
      </c>
      <c r="I476" s="1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1</v>
      </c>
      <c r="S476" s="40">
        <v>0</v>
      </c>
      <c r="T476" s="29">
        <f t="array" aca="1" ref="T476" ca="1">+fair_value_gap(OFFSET(S475,0,0,-1*$I$5,-1*$Z$1),OFFSET(E475,0,0,-1*$I$5,1),F476:S476,0)</f>
        <v>17.078529139668468</v>
      </c>
      <c r="U476" s="9" t="str" cm="1">
        <f t="array" aca="1" ref="U476" ca="1">z_score_diff(OFFSET(T476,0,0,$I$5*-1,1),OFFSET(E476,0,0,$I$5*-1,1))</f>
        <v/>
      </c>
      <c r="V476" s="9" t="str">
        <f t="shared" ca="1" si="63"/>
        <v/>
      </c>
      <c r="W476" s="17">
        <f t="shared" ca="1" si="60"/>
        <v>-1.8054771666458098E-2</v>
      </c>
      <c r="X476" s="13">
        <f t="shared" ca="1" si="61"/>
        <v>0</v>
      </c>
      <c r="Y476" s="13">
        <f t="shared" ca="1" si="62"/>
        <v>0</v>
      </c>
      <c r="Z476" t="str">
        <f t="shared" ca="1" si="64"/>
        <v/>
      </c>
      <c r="AA476" t="str">
        <f t="shared" ca="1" si="65"/>
        <v/>
      </c>
      <c r="AB476" s="24" t="str">
        <f t="shared" ca="1" si="66"/>
        <v/>
      </c>
      <c r="AC476" s="24" t="str">
        <f t="shared" ca="1" si="67"/>
        <v/>
      </c>
    </row>
    <row r="477" spans="3:29" x14ac:dyDescent="0.25">
      <c r="C477" s="6">
        <v>470</v>
      </c>
      <c r="D477" s="37">
        <v>42674</v>
      </c>
      <c r="E477" s="39">
        <v>16.669</v>
      </c>
      <c r="F477" s="39">
        <v>2.5323334227167713</v>
      </c>
      <c r="G477" s="39">
        <v>49.384998316420514</v>
      </c>
      <c r="H477" s="39">
        <v>64.462624996226353</v>
      </c>
      <c r="I477" s="1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1</v>
      </c>
      <c r="S477" s="40">
        <v>0</v>
      </c>
      <c r="T477" s="29">
        <f t="array" aca="1" ref="T477" ca="1">+fair_value_gap(OFFSET(S476,0,0,-1*$I$5,-1*$Z$1),OFFSET(E476,0,0,-1*$I$5,1),F477:S477,0)</f>
        <v>16.30701211966414</v>
      </c>
      <c r="U477" s="9" t="str" cm="1">
        <f t="array" aca="1" ref="U477" ca="1">z_score_diff(OFFSET(T477,0,0,$I$5*-1,1),OFFSET(E477,0,0,$I$5*-1,1))</f>
        <v/>
      </c>
      <c r="V477" s="9" t="str">
        <f t="shared" ca="1" si="63"/>
        <v/>
      </c>
      <c r="W477" s="17">
        <f t="shared" ca="1" si="60"/>
        <v>1.4387629123001839E-3</v>
      </c>
      <c r="X477" s="13">
        <f t="shared" ca="1" si="61"/>
        <v>0</v>
      </c>
      <c r="Y477" s="13">
        <f t="shared" ca="1" si="62"/>
        <v>0</v>
      </c>
      <c r="Z477" t="str">
        <f t="shared" ca="1" si="64"/>
        <v/>
      </c>
      <c r="AA477" t="str">
        <f t="shared" ca="1" si="65"/>
        <v/>
      </c>
      <c r="AB477" s="24" t="str">
        <f t="shared" ca="1" si="66"/>
        <v/>
      </c>
      <c r="AC477" s="24" t="str">
        <f t="shared" ca="1" si="67"/>
        <v/>
      </c>
    </row>
    <row r="478" spans="3:29" x14ac:dyDescent="0.25">
      <c r="C478" s="6">
        <v>471</v>
      </c>
      <c r="D478" s="37">
        <v>42675</v>
      </c>
      <c r="E478" s="39">
        <v>16.917999999999999</v>
      </c>
      <c r="F478" s="39">
        <v>2.4849268062471608</v>
      </c>
      <c r="G478" s="39">
        <v>49.826732402680456</v>
      </c>
      <c r="H478" s="39">
        <v>64.262306650729727</v>
      </c>
      <c r="I478" s="1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1</v>
      </c>
      <c r="T478" s="29">
        <f t="array" aca="1" ref="T478" ca="1">+fair_value_gap(OFFSET(S477,0,0,-1*$I$5,-1*$Z$1),OFFSET(E477,0,0,-1*$I$5,1),F478:S478,0)</f>
        <v>18.483276650201105</v>
      </c>
      <c r="U478" s="9" t="str" cm="1">
        <f t="array" aca="1" ref="U478" ca="1">z_score_diff(OFFSET(T478,0,0,$I$5*-1,1),OFFSET(E478,0,0,$I$5*-1,1))</f>
        <v/>
      </c>
      <c r="V478" s="9" t="str">
        <f t="shared" ca="1" si="63"/>
        <v/>
      </c>
      <c r="W478" s="17">
        <f t="shared" ca="1" si="60"/>
        <v>-1.952490044291667E-3</v>
      </c>
      <c r="X478" s="13">
        <f t="shared" ca="1" si="61"/>
        <v>0</v>
      </c>
      <c r="Y478" s="13">
        <f t="shared" ca="1" si="62"/>
        <v>0</v>
      </c>
      <c r="Z478" t="str">
        <f t="shared" ca="1" si="64"/>
        <v/>
      </c>
      <c r="AA478" t="str">
        <f t="shared" ca="1" si="65"/>
        <v/>
      </c>
      <c r="AB478" s="24" t="str">
        <f t="shared" ca="1" si="66"/>
        <v/>
      </c>
      <c r="AC478" s="24" t="str">
        <f t="shared" ca="1" si="67"/>
        <v/>
      </c>
    </row>
    <row r="479" spans="3:29" x14ac:dyDescent="0.25">
      <c r="C479" s="6">
        <v>472</v>
      </c>
      <c r="D479" s="37">
        <v>42676</v>
      </c>
      <c r="E479" s="39">
        <v>16.71</v>
      </c>
      <c r="F479" s="39">
        <v>2.4388529659825697</v>
      </c>
      <c r="G479" s="39">
        <v>49.653237200638692</v>
      </c>
      <c r="H479" s="39">
        <v>64.353739105988197</v>
      </c>
      <c r="I479" s="1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1</v>
      </c>
      <c r="T479" s="29">
        <f t="array" aca="1" ref="T479" ca="1">+fair_value_gap(OFFSET(S478,0,0,-1*$I$5,-1*$Z$1),OFFSET(E478,0,0,-1*$I$5,1),F479:S479,0)</f>
        <v>17.475945340189117</v>
      </c>
      <c r="U479" s="9" t="str" cm="1">
        <f t="array" aca="1" ref="U479" ca="1">z_score_diff(OFFSET(T479,0,0,$I$5*-1,1),OFFSET(E479,0,0,$I$5*-1,1))</f>
        <v/>
      </c>
      <c r="V479" s="9" t="str">
        <f t="shared" ca="1" si="63"/>
        <v/>
      </c>
      <c r="W479" s="17">
        <f t="shared" ca="1" si="60"/>
        <v>1.9614862517953267E-2</v>
      </c>
      <c r="X479" s="13">
        <f t="shared" ca="1" si="61"/>
        <v>0</v>
      </c>
      <c r="Y479" s="13">
        <f t="shared" ca="1" si="62"/>
        <v>0</v>
      </c>
      <c r="Z479" t="str">
        <f t="shared" ca="1" si="64"/>
        <v/>
      </c>
      <c r="AA479" t="str">
        <f t="shared" ca="1" si="65"/>
        <v/>
      </c>
      <c r="AB479" s="24" t="str">
        <f t="shared" ca="1" si="66"/>
        <v/>
      </c>
      <c r="AC479" s="24" t="str">
        <f t="shared" ca="1" si="67"/>
        <v/>
      </c>
    </row>
    <row r="480" spans="3:29" x14ac:dyDescent="0.25">
      <c r="C480" s="6">
        <v>473</v>
      </c>
      <c r="D480" s="37">
        <v>42677</v>
      </c>
      <c r="E480" s="39">
        <v>16.547000000000001</v>
      </c>
      <c r="F480" s="39">
        <v>2.4393030060718957</v>
      </c>
      <c r="G480" s="39">
        <v>49.26244707054493</v>
      </c>
      <c r="H480" s="39">
        <v>67.441104364559806</v>
      </c>
      <c r="I480" s="1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1</v>
      </c>
      <c r="T480" s="29">
        <f t="array" aca="1" ref="T480" ca="1">+fair_value_gap(OFFSET(S479,0,0,-1*$I$5,-1*$Z$1),OFFSET(E479,0,0,-1*$I$5,1),F480:S480,0)</f>
        <v>16.965562543563689</v>
      </c>
      <c r="U480" s="9" t="str" cm="1">
        <f t="array" aca="1" ref="U480" ca="1">z_score_diff(OFFSET(T480,0,0,$I$5*-1,1),OFFSET(E480,0,0,$I$5*-1,1))</f>
        <v/>
      </c>
      <c r="V480" s="9" t="str">
        <f t="shared" ca="1" si="63"/>
        <v/>
      </c>
      <c r="W480" s="17">
        <f t="shared" ca="1" si="60"/>
        <v>4.6868823306705089E-2</v>
      </c>
      <c r="X480" s="13">
        <f t="shared" ca="1" si="61"/>
        <v>0</v>
      </c>
      <c r="Y480" s="13">
        <f t="shared" ca="1" si="62"/>
        <v>0</v>
      </c>
      <c r="Z480" t="str">
        <f t="shared" ca="1" si="64"/>
        <v/>
      </c>
      <c r="AA480" t="str">
        <f t="shared" ca="1" si="65"/>
        <v/>
      </c>
      <c r="AB480" s="24" t="str">
        <f t="shared" ca="1" si="66"/>
        <v/>
      </c>
      <c r="AC480" s="24" t="str">
        <f t="shared" ca="1" si="67"/>
        <v/>
      </c>
    </row>
    <row r="481" spans="3:29" x14ac:dyDescent="0.25">
      <c r="C481" s="6">
        <v>474</v>
      </c>
      <c r="D481" s="37">
        <v>42678</v>
      </c>
      <c r="E481" s="39">
        <v>16.257999999999999</v>
      </c>
      <c r="F481" s="39">
        <v>2.4237754154918476</v>
      </c>
      <c r="G481" s="39">
        <v>47.971146375174712</v>
      </c>
      <c r="H481" s="39">
        <v>67.468170434843515</v>
      </c>
      <c r="I481" s="1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1</v>
      </c>
      <c r="T481" s="29">
        <f t="array" aca="1" ref="T481" ca="1">+fair_value_gap(OFFSET(S480,0,0,-1*$I$5,-1*$Z$1),OFFSET(E480,0,0,-1*$I$5,1),F481:S481,0)</f>
        <v>16.365185860639265</v>
      </c>
      <c r="U481" s="9" t="str" cm="1">
        <f t="array" aca="1" ref="U481" ca="1">z_score_diff(OFFSET(T481,0,0,$I$5*-1,1),OFFSET(E481,0,0,$I$5*-1,1))</f>
        <v/>
      </c>
      <c r="V481" s="9" t="str">
        <f t="shared" ca="1" si="63"/>
        <v/>
      </c>
      <c r="W481" s="17">
        <f t="shared" ca="1" si="60"/>
        <v>5.3646287243849254E-2</v>
      </c>
      <c r="X481" s="13">
        <f t="shared" ca="1" si="61"/>
        <v>0</v>
      </c>
      <c r="Y481" s="13">
        <f t="shared" ca="1" si="62"/>
        <v>0</v>
      </c>
      <c r="Z481" t="str">
        <f t="shared" ca="1" si="64"/>
        <v/>
      </c>
      <c r="AA481" t="str">
        <f t="shared" ca="1" si="65"/>
        <v/>
      </c>
      <c r="AB481" s="24" t="str">
        <f t="shared" ca="1" si="66"/>
        <v/>
      </c>
      <c r="AC481" s="24" t="str">
        <f t="shared" ca="1" si="67"/>
        <v/>
      </c>
    </row>
    <row r="482" spans="3:29" x14ac:dyDescent="0.25">
      <c r="C482" s="6">
        <v>475</v>
      </c>
      <c r="D482" s="37">
        <v>42681</v>
      </c>
      <c r="E482" s="39">
        <v>16.091999999999999</v>
      </c>
      <c r="F482" s="39">
        <v>2.4699229263950606</v>
      </c>
      <c r="G482" s="39">
        <v>47.424310113749613</v>
      </c>
      <c r="H482" s="39">
        <v>69.408631396014201</v>
      </c>
      <c r="I482" s="1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1</v>
      </c>
      <c r="T482" s="29">
        <f t="array" aca="1" ref="T482" ca="1">+fair_value_gap(OFFSET(S481,0,0,-1*$I$5,-1*$Z$1),OFFSET(E481,0,0,-1*$I$5,1),F482:S482,0)</f>
        <v>16.117030039162106</v>
      </c>
      <c r="U482" s="9" t="str" cm="1">
        <f t="array" aca="1" ref="U482" ca="1">z_score_diff(OFFSET(T482,0,0,$I$5*-1,1),OFFSET(E482,0,0,$I$5*-1,1))</f>
        <v/>
      </c>
      <c r="V482" s="9" t="str">
        <f t="shared" ca="1" si="63"/>
        <v/>
      </c>
      <c r="W482" s="17">
        <f t="shared" ca="1" si="60"/>
        <v>7.5558395226207942E-2</v>
      </c>
      <c r="X482" s="13">
        <f t="shared" ca="1" si="61"/>
        <v>0</v>
      </c>
      <c r="Y482" s="13">
        <f t="shared" ca="1" si="62"/>
        <v>0</v>
      </c>
      <c r="Z482" t="str">
        <f t="shared" ca="1" si="64"/>
        <v/>
      </c>
      <c r="AA482" t="str">
        <f t="shared" ca="1" si="65"/>
        <v/>
      </c>
      <c r="AB482" s="24" t="str">
        <f t="shared" ca="1" si="66"/>
        <v/>
      </c>
      <c r="AC482" s="24" t="str">
        <f t="shared" ca="1" si="67"/>
        <v/>
      </c>
    </row>
    <row r="483" spans="3:29" x14ac:dyDescent="0.25">
      <c r="C483" s="6">
        <v>476</v>
      </c>
      <c r="D483" s="37">
        <v>42682</v>
      </c>
      <c r="E483" s="39">
        <v>16.013000000000002</v>
      </c>
      <c r="F483" s="39">
        <v>2.4280714794512064</v>
      </c>
      <c r="G483" s="39">
        <v>47.00776032806737</v>
      </c>
      <c r="H483" s="39">
        <v>67.869199152298663</v>
      </c>
      <c r="I483" s="10">
        <v>0</v>
      </c>
      <c r="J483" s="40">
        <v>0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1</v>
      </c>
      <c r="T483" s="29">
        <f t="array" aca="1" ref="T483" ca="1">+fair_value_gap(OFFSET(S482,0,0,-1*$I$5,-1*$Z$1),OFFSET(E482,0,0,-1*$I$5,1),F483:S483,0)</f>
        <v>15.985626135166038</v>
      </c>
      <c r="U483" s="9" t="str" cm="1">
        <f t="array" aca="1" ref="U483" ca="1">z_score_diff(OFFSET(T483,0,0,$I$5*-1,1),OFFSET(E483,0,0,$I$5*-1,1))</f>
        <v/>
      </c>
      <c r="V483" s="9" t="str">
        <f t="shared" ca="1" si="63"/>
        <v/>
      </c>
      <c r="W483" s="17">
        <f t="shared" ca="1" si="60"/>
        <v>8.5594857640180183E-2</v>
      </c>
      <c r="X483" s="13">
        <f t="shared" ca="1" si="61"/>
        <v>0</v>
      </c>
      <c r="Y483" s="13">
        <f t="shared" ca="1" si="62"/>
        <v>0</v>
      </c>
      <c r="Z483" t="str">
        <f t="shared" ca="1" si="64"/>
        <v/>
      </c>
      <c r="AA483" t="str">
        <f t="shared" ca="1" si="65"/>
        <v/>
      </c>
      <c r="AB483" s="24" t="str">
        <f t="shared" ca="1" si="66"/>
        <v/>
      </c>
      <c r="AC483" s="24" t="str">
        <f t="shared" ca="1" si="67"/>
        <v/>
      </c>
    </row>
    <row r="484" spans="3:29" x14ac:dyDescent="0.25">
      <c r="C484" s="6">
        <v>477</v>
      </c>
      <c r="D484" s="37">
        <v>42683</v>
      </c>
      <c r="E484" s="39">
        <v>16.111000000000001</v>
      </c>
      <c r="F484" s="39">
        <v>2.4525899618039273</v>
      </c>
      <c r="G484" s="39">
        <v>47.590565982582731</v>
      </c>
      <c r="H484" s="39">
        <v>68.529562867162554</v>
      </c>
      <c r="I484" s="1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1</v>
      </c>
      <c r="T484" s="29">
        <f t="array" aca="1" ref="T484" ca="1">+fair_value_gap(OFFSET(S483,0,0,-1*$I$5,-1*$Z$1),OFFSET(E483,0,0,-1*$I$5,1),F484:S484,0)</f>
        <v>16.189882434492532</v>
      </c>
      <c r="U484" s="9" t="str" cm="1">
        <f t="array" aca="1" ref="U484" ca="1">z_score_diff(OFFSET(T484,0,0,$I$5*-1,1),OFFSET(E484,0,0,$I$5*-1,1))</f>
        <v/>
      </c>
      <c r="V484" s="9" t="str">
        <f t="shared" ca="1" si="63"/>
        <v/>
      </c>
      <c r="W484" s="17">
        <f t="shared" ca="1" si="60"/>
        <v>8.25843201752232E-2</v>
      </c>
      <c r="X484" s="13">
        <f t="shared" ca="1" si="61"/>
        <v>0</v>
      </c>
      <c r="Y484" s="13">
        <f t="shared" ca="1" si="62"/>
        <v>0</v>
      </c>
      <c r="Z484" t="str">
        <f t="shared" ca="1" si="64"/>
        <v/>
      </c>
      <c r="AA484" t="str">
        <f t="shared" ca="1" si="65"/>
        <v/>
      </c>
      <c r="AB484" s="24" t="str">
        <f t="shared" ca="1" si="66"/>
        <v/>
      </c>
      <c r="AC484" s="24" t="str">
        <f t="shared" ca="1" si="67"/>
        <v/>
      </c>
    </row>
    <row r="485" spans="3:29" x14ac:dyDescent="0.25">
      <c r="C485" s="6">
        <v>478</v>
      </c>
      <c r="D485" s="37">
        <v>42684</v>
      </c>
      <c r="E485" s="39">
        <v>16.193999999999999</v>
      </c>
      <c r="F485" s="39">
        <v>2.4553227890462539</v>
      </c>
      <c r="G485" s="39">
        <v>48.013719505260809</v>
      </c>
      <c r="H485" s="39">
        <v>66.930810721814794</v>
      </c>
      <c r="I485" s="1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1</v>
      </c>
      <c r="T485" s="29">
        <f t="array" aca="1" ref="T485" ca="1">+fair_value_gap(OFFSET(S484,0,0,-1*$I$5,-1*$Z$1),OFFSET(E484,0,0,-1*$I$5,1),F485:S485,0)</f>
        <v>16.381496327460258</v>
      </c>
      <c r="U485" s="9" t="str" cm="1">
        <f t="array" aca="1" ref="U485" ca="1">z_score_diff(OFFSET(T485,0,0,$I$5*-1,1),OFFSET(E485,0,0,$I$5*-1,1))</f>
        <v/>
      </c>
      <c r="V485" s="9" t="str">
        <f t="shared" ca="1" si="63"/>
        <v/>
      </c>
      <c r="W485" s="17">
        <f t="shared" ca="1" si="60"/>
        <v>9.0109573729285339E-2</v>
      </c>
      <c r="X485" s="13">
        <f t="shared" ca="1" si="61"/>
        <v>0</v>
      </c>
      <c r="Y485" s="13">
        <f t="shared" ca="1" si="62"/>
        <v>0</v>
      </c>
      <c r="Z485" t="str">
        <f t="shared" ca="1" si="64"/>
        <v/>
      </c>
      <c r="AA485" t="str">
        <f t="shared" ca="1" si="65"/>
        <v/>
      </c>
      <c r="AB485" s="24" t="str">
        <f t="shared" ca="1" si="66"/>
        <v/>
      </c>
      <c r="AC485" s="24" t="str">
        <f t="shared" ca="1" si="67"/>
        <v/>
      </c>
    </row>
    <row r="486" spans="3:29" x14ac:dyDescent="0.25">
      <c r="C486" s="6">
        <v>479</v>
      </c>
      <c r="D486" s="37">
        <v>42685</v>
      </c>
      <c r="E486" s="39">
        <v>15.887</v>
      </c>
      <c r="F486" s="39">
        <v>2.4808410958830258</v>
      </c>
      <c r="G486" s="39">
        <v>46.710194156417323</v>
      </c>
      <c r="H486" s="39">
        <v>65.098492356655271</v>
      </c>
      <c r="I486" s="10">
        <v>0</v>
      </c>
      <c r="J486" s="40">
        <v>0</v>
      </c>
      <c r="K486" s="40">
        <v>0</v>
      </c>
      <c r="L486" s="40">
        <v>0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1</v>
      </c>
      <c r="T486" s="29">
        <f t="array" aca="1" ref="T486" ca="1">+fair_value_gap(OFFSET(S485,0,0,-1*$I$5,-1*$Z$1),OFFSET(E485,0,0,-1*$I$5,1),F486:S486,0)</f>
        <v>15.985747149162359</v>
      </c>
      <c r="U486" s="9" t="str" cm="1">
        <f t="array" aca="1" ref="U486" ca="1">z_score_diff(OFFSET(T486,0,0,$I$5*-1,1),OFFSET(E486,0,0,$I$5*-1,1))</f>
        <v/>
      </c>
      <c r="V486" s="9" t="str">
        <f t="shared" ca="1" si="63"/>
        <v/>
      </c>
      <c r="W486" s="17">
        <f t="shared" ca="1" si="60"/>
        <v>9.4583192219821782E-2</v>
      </c>
      <c r="X486" s="13">
        <f t="shared" ca="1" si="61"/>
        <v>0</v>
      </c>
      <c r="Y486" s="13">
        <f t="shared" ca="1" si="62"/>
        <v>0</v>
      </c>
      <c r="Z486" t="str">
        <f t="shared" ca="1" si="64"/>
        <v/>
      </c>
      <c r="AA486" t="str">
        <f t="shared" ca="1" si="65"/>
        <v/>
      </c>
      <c r="AB486" s="24" t="str">
        <f t="shared" ca="1" si="66"/>
        <v/>
      </c>
      <c r="AC486" s="24" t="str">
        <f t="shared" ca="1" si="67"/>
        <v/>
      </c>
    </row>
    <row r="487" spans="3:29" x14ac:dyDescent="0.25">
      <c r="C487" s="6">
        <v>480</v>
      </c>
      <c r="D487" s="37">
        <v>42688</v>
      </c>
      <c r="E487" s="39">
        <v>15.579000000000001</v>
      </c>
      <c r="F487" s="39">
        <v>2.5298625299350448</v>
      </c>
      <c r="G487" s="39">
        <v>45.614139695309468</v>
      </c>
      <c r="H487" s="39">
        <v>60.277985754453773</v>
      </c>
      <c r="I487" s="10">
        <v>0</v>
      </c>
      <c r="J487" s="40">
        <v>0</v>
      </c>
      <c r="K487" s="40">
        <v>0</v>
      </c>
      <c r="L487" s="40">
        <v>0</v>
      </c>
      <c r="M487" s="40">
        <v>0</v>
      </c>
      <c r="N487" s="40">
        <v>0</v>
      </c>
      <c r="O487" s="40">
        <v>0</v>
      </c>
      <c r="P487" s="40">
        <v>0</v>
      </c>
      <c r="Q487" s="40">
        <v>0</v>
      </c>
      <c r="R487" s="40">
        <v>0</v>
      </c>
      <c r="S487" s="40">
        <v>1</v>
      </c>
      <c r="T487" s="29">
        <f t="array" aca="1" ref="T487" ca="1">+fair_value_gap(OFFSET(S486,0,0,-1*$I$5,-1*$Z$1),OFFSET(E486,0,0,-1*$I$5,1),F487:S487,0)</f>
        <v>15.787787237446862</v>
      </c>
      <c r="U487" s="9" t="str" cm="1">
        <f t="array" aca="1" ref="U487" ca="1">z_score_diff(OFFSET(T487,0,0,$I$5*-1,1),OFFSET(E487,0,0,$I$5*-1,1))</f>
        <v/>
      </c>
      <c r="V487" s="9" t="str">
        <f t="shared" ca="1" si="63"/>
        <v/>
      </c>
      <c r="W487" s="17">
        <f t="shared" ca="1" si="60"/>
        <v>8.9698351594964004E-2</v>
      </c>
      <c r="X487" s="13">
        <f t="shared" ca="1" si="61"/>
        <v>0</v>
      </c>
      <c r="Y487" s="13">
        <f t="shared" ca="1" si="62"/>
        <v>0</v>
      </c>
      <c r="Z487" t="str">
        <f t="shared" ca="1" si="64"/>
        <v/>
      </c>
      <c r="AA487" t="str">
        <f t="shared" ca="1" si="65"/>
        <v/>
      </c>
      <c r="AB487" s="24" t="str">
        <f t="shared" ca="1" si="66"/>
        <v/>
      </c>
      <c r="AC487" s="24" t="str">
        <f t="shared" ca="1" si="67"/>
        <v/>
      </c>
    </row>
    <row r="488" spans="3:29" x14ac:dyDescent="0.25">
      <c r="C488" s="6">
        <v>481</v>
      </c>
      <c r="D488" s="37">
        <v>42689</v>
      </c>
      <c r="E488" s="39">
        <v>15.818</v>
      </c>
      <c r="F488" s="39">
        <v>2.5128636848560504</v>
      </c>
      <c r="G488" s="39">
        <v>46.545216497629823</v>
      </c>
      <c r="H488" s="39">
        <v>60.145437655579826</v>
      </c>
      <c r="I488" s="10">
        <v>0</v>
      </c>
      <c r="J488" s="40">
        <v>0</v>
      </c>
      <c r="K488" s="40">
        <v>0</v>
      </c>
      <c r="L488" s="40">
        <v>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1</v>
      </c>
      <c r="T488" s="29">
        <f t="array" aca="1" ref="T488" ca="1">+fair_value_gap(OFFSET(S487,0,0,-1*$I$5,-1*$Z$1),OFFSET(E487,0,0,-1*$I$5,1),F488:S488,0)</f>
        <v>16.073414089791495</v>
      </c>
      <c r="U488" s="9" t="str" cm="1">
        <f t="array" aca="1" ref="U488" ca="1">z_score_diff(OFFSET(T488,0,0,$I$5*-1,1),OFFSET(E488,0,0,$I$5*-1,1))</f>
        <v/>
      </c>
      <c r="V488" s="9" t="str">
        <f t="shared" ca="1" si="63"/>
        <v/>
      </c>
      <c r="W488" s="17">
        <f t="shared" ca="1" si="60"/>
        <v>7.6408306490889269E-2</v>
      </c>
      <c r="X488" s="13">
        <f t="shared" ca="1" si="61"/>
        <v>0</v>
      </c>
      <c r="Y488" s="13">
        <f t="shared" ca="1" si="62"/>
        <v>0</v>
      </c>
      <c r="Z488" t="str">
        <f t="shared" ca="1" si="64"/>
        <v/>
      </c>
      <c r="AA488" t="str">
        <f t="shared" ca="1" si="65"/>
        <v/>
      </c>
      <c r="AB488" s="24" t="str">
        <f t="shared" ca="1" si="66"/>
        <v/>
      </c>
      <c r="AC488" s="24" t="str">
        <f t="shared" ca="1" si="67"/>
        <v/>
      </c>
    </row>
    <row r="489" spans="3:29" x14ac:dyDescent="0.25">
      <c r="C489" s="6">
        <v>482</v>
      </c>
      <c r="D489" s="37">
        <v>42690</v>
      </c>
      <c r="E489" s="39">
        <v>15.656000000000001</v>
      </c>
      <c r="F489" s="39">
        <v>2.5291332847778585</v>
      </c>
      <c r="G489" s="39">
        <v>46.13304315086733</v>
      </c>
      <c r="H489" s="39">
        <v>58.038965768390383</v>
      </c>
      <c r="I489" s="10">
        <v>0</v>
      </c>
      <c r="J489" s="40">
        <v>0</v>
      </c>
      <c r="K489" s="40">
        <v>0</v>
      </c>
      <c r="L489" s="40">
        <v>0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1</v>
      </c>
      <c r="T489" s="29">
        <f t="array" aca="1" ref="T489" ca="1">+fair_value_gap(OFFSET(S488,0,0,-1*$I$5,-1*$Z$1),OFFSET(E488,0,0,-1*$I$5,1),F489:S489,0)</f>
        <v>15.967976322457243</v>
      </c>
      <c r="U489" s="9" t="str" cm="1">
        <f t="array" aca="1" ref="U489" ca="1">z_score_diff(OFFSET(T489,0,0,$I$5*-1,1),OFFSET(E489,0,0,$I$5*-1,1))</f>
        <v/>
      </c>
      <c r="V489" s="9" t="str">
        <f t="shared" ca="1" si="63"/>
        <v/>
      </c>
      <c r="W489" s="17">
        <f t="shared" ca="1" si="60"/>
        <v>8.0533919896914052E-2</v>
      </c>
      <c r="X489" s="13">
        <f t="shared" ca="1" si="61"/>
        <v>0</v>
      </c>
      <c r="Y489" s="13">
        <f t="shared" ca="1" si="62"/>
        <v>0</v>
      </c>
      <c r="Z489" t="str">
        <f t="shared" ca="1" si="64"/>
        <v/>
      </c>
      <c r="AA489" t="str">
        <f t="shared" ca="1" si="65"/>
        <v/>
      </c>
      <c r="AB489" s="24" t="str">
        <f t="shared" ca="1" si="66"/>
        <v/>
      </c>
      <c r="AC489" s="24" t="str">
        <f t="shared" ca="1" si="67"/>
        <v/>
      </c>
    </row>
    <row r="490" spans="3:29" x14ac:dyDescent="0.25">
      <c r="C490" s="6">
        <v>483</v>
      </c>
      <c r="D490" s="37">
        <v>42691</v>
      </c>
      <c r="E490" s="39">
        <v>15.818</v>
      </c>
      <c r="F490" s="39">
        <v>2.557753057407143</v>
      </c>
      <c r="G490" s="39">
        <v>46.385868625257984</v>
      </c>
      <c r="H490" s="39">
        <v>58.521756000424617</v>
      </c>
      <c r="I490" s="10">
        <v>0</v>
      </c>
      <c r="J490" s="40">
        <v>0</v>
      </c>
      <c r="K490" s="40">
        <v>0</v>
      </c>
      <c r="L490" s="40">
        <v>0</v>
      </c>
      <c r="M490" s="40">
        <v>0</v>
      </c>
      <c r="N490" s="40">
        <v>0</v>
      </c>
      <c r="O490" s="40">
        <v>0</v>
      </c>
      <c r="P490" s="40">
        <v>0</v>
      </c>
      <c r="Q490" s="40">
        <v>0</v>
      </c>
      <c r="R490" s="40">
        <v>0</v>
      </c>
      <c r="S490" s="40">
        <v>1</v>
      </c>
      <c r="T490" s="29">
        <f t="array" aca="1" ref="T490" ca="1">+fair_value_gap(OFFSET(S489,0,0,-1*$I$5,-1*$Z$1),OFFSET(E489,0,0,-1*$I$5,1),F490:S490,0)</f>
        <v>15.991786526076716</v>
      </c>
      <c r="U490" s="9" t="str" cm="1">
        <f t="array" aca="1" ref="U490" ca="1">z_score_diff(OFFSET(T490,0,0,$I$5*-1,1),OFFSET(E490,0,0,$I$5*-1,1))</f>
        <v/>
      </c>
      <c r="V490" s="9" t="str">
        <f t="shared" ca="1" si="63"/>
        <v/>
      </c>
      <c r="W490" s="17">
        <f t="shared" ca="1" si="60"/>
        <v>5.4559543711494206E-2</v>
      </c>
      <c r="X490" s="13">
        <f t="shared" ca="1" si="61"/>
        <v>0</v>
      </c>
      <c r="Y490" s="13">
        <f t="shared" ca="1" si="62"/>
        <v>0</v>
      </c>
      <c r="Z490" t="str">
        <f t="shared" ca="1" si="64"/>
        <v/>
      </c>
      <c r="AA490" t="str">
        <f t="shared" ca="1" si="65"/>
        <v/>
      </c>
      <c r="AB490" s="24" t="str">
        <f t="shared" ca="1" si="66"/>
        <v/>
      </c>
      <c r="AC490" s="24" t="str">
        <f t="shared" ca="1" si="67"/>
        <v/>
      </c>
    </row>
    <row r="491" spans="3:29" x14ac:dyDescent="0.25">
      <c r="C491" s="6">
        <v>484</v>
      </c>
      <c r="D491" s="37">
        <v>42692</v>
      </c>
      <c r="E491" s="39">
        <v>15.863</v>
      </c>
      <c r="F491" s="39">
        <v>2.5747503731322734</v>
      </c>
      <c r="G491" s="39">
        <v>46.512216503266096</v>
      </c>
      <c r="H491" s="39">
        <v>56.31405896316042</v>
      </c>
      <c r="I491" s="10">
        <v>0</v>
      </c>
      <c r="J491" s="40">
        <v>0</v>
      </c>
      <c r="K491" s="40">
        <v>0</v>
      </c>
      <c r="L491" s="40">
        <v>0</v>
      </c>
      <c r="M491" s="40">
        <v>0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1</v>
      </c>
      <c r="T491" s="29">
        <f t="array" aca="1" ref="T491" ca="1">+fair_value_gap(OFFSET(S490,0,0,-1*$I$5,-1*$Z$1),OFFSET(E490,0,0,-1*$I$5,1),F491:S491,0)</f>
        <v>15.972676111278719</v>
      </c>
      <c r="U491" s="9" t="str" cm="1">
        <f t="array" aca="1" ref="U491" ca="1">z_score_diff(OFFSET(T491,0,0,$I$5*-1,1),OFFSET(E491,0,0,$I$5*-1,1))</f>
        <v/>
      </c>
      <c r="V491" s="9" t="str">
        <f t="shared" ca="1" si="63"/>
        <v/>
      </c>
      <c r="W491" s="17">
        <f t="shared" ca="1" si="60"/>
        <v>6.4270566183923961E-2</v>
      </c>
      <c r="X491" s="13">
        <f t="shared" ca="1" si="61"/>
        <v>0</v>
      </c>
      <c r="Y491" s="13">
        <f t="shared" ca="1" si="62"/>
        <v>0</v>
      </c>
      <c r="Z491" t="str">
        <f t="shared" ca="1" si="64"/>
        <v/>
      </c>
      <c r="AA491" t="str">
        <f t="shared" ca="1" si="65"/>
        <v/>
      </c>
      <c r="AB491" s="24" t="str">
        <f t="shared" ca="1" si="66"/>
        <v/>
      </c>
      <c r="AC491" s="24" t="str">
        <f t="shared" ca="1" si="67"/>
        <v/>
      </c>
    </row>
    <row r="492" spans="3:29" x14ac:dyDescent="0.25">
      <c r="C492" s="6">
        <v>485</v>
      </c>
      <c r="D492" s="37">
        <v>42695</v>
      </c>
      <c r="E492" s="39">
        <v>15.84</v>
      </c>
      <c r="F492" s="39">
        <v>2.6017725317887801</v>
      </c>
      <c r="G492" s="39">
        <v>46.212466128428716</v>
      </c>
      <c r="H492" s="39">
        <v>58.350255059611385</v>
      </c>
      <c r="I492" s="10">
        <v>0</v>
      </c>
      <c r="J492" s="40">
        <v>0</v>
      </c>
      <c r="K492" s="40">
        <v>0</v>
      </c>
      <c r="L492" s="40">
        <v>0</v>
      </c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1</v>
      </c>
      <c r="T492" s="29">
        <f t="array" aca="1" ref="T492" ca="1">+fair_value_gap(OFFSET(S491,0,0,-1*$I$5,-1*$Z$1),OFFSET(E491,0,0,-1*$I$5,1),F492:S492,0)</f>
        <v>15.690199303828539</v>
      </c>
      <c r="U492" s="9" t="str" cm="1">
        <f t="array" aca="1" ref="U492" ca="1">z_score_diff(OFFSET(T492,0,0,$I$5*-1,1),OFFSET(E492,0,0,$I$5*-1,1))</f>
        <v/>
      </c>
      <c r="V492" s="9" t="str">
        <f t="shared" ca="1" si="63"/>
        <v/>
      </c>
      <c r="W492" s="17">
        <f t="shared" ca="1" si="60"/>
        <v>8.213841224775538E-2</v>
      </c>
      <c r="X492" s="13">
        <f t="shared" ca="1" si="61"/>
        <v>0</v>
      </c>
      <c r="Y492" s="13">
        <f t="shared" ca="1" si="62"/>
        <v>0</v>
      </c>
      <c r="Z492" t="str">
        <f t="shared" ca="1" si="64"/>
        <v/>
      </c>
      <c r="AA492" t="str">
        <f t="shared" ca="1" si="65"/>
        <v/>
      </c>
      <c r="AB492" s="24" t="str">
        <f t="shared" ca="1" si="66"/>
        <v/>
      </c>
      <c r="AC492" s="24" t="str">
        <f t="shared" ca="1" si="67"/>
        <v/>
      </c>
    </row>
    <row r="493" spans="3:29" x14ac:dyDescent="0.25">
      <c r="C493" s="6">
        <v>486</v>
      </c>
      <c r="D493" s="37">
        <v>42696</v>
      </c>
      <c r="E493" s="39">
        <v>16.154</v>
      </c>
      <c r="F493" s="39">
        <v>2.5884375200007317</v>
      </c>
      <c r="G493" s="39">
        <v>46.763642564016308</v>
      </c>
      <c r="H493" s="39">
        <v>60.66507575134176</v>
      </c>
      <c r="I493" s="10">
        <v>0</v>
      </c>
      <c r="J493" s="40">
        <v>0</v>
      </c>
      <c r="K493" s="40">
        <v>0</v>
      </c>
      <c r="L493" s="40">
        <v>0</v>
      </c>
      <c r="M493" s="40">
        <v>0</v>
      </c>
      <c r="N493" s="40">
        <v>0</v>
      </c>
      <c r="O493" s="40">
        <v>0</v>
      </c>
      <c r="P493" s="40">
        <v>0</v>
      </c>
      <c r="Q493" s="40">
        <v>0</v>
      </c>
      <c r="R493" s="40">
        <v>0</v>
      </c>
      <c r="S493" s="40">
        <v>1</v>
      </c>
      <c r="T493" s="29">
        <f t="array" aca="1" ref="T493" ca="1">+fair_value_gap(OFFSET(S492,0,0,-1*$I$5,-1*$Z$1),OFFSET(E492,0,0,-1*$I$5,1),F493:S493,0)</f>
        <v>15.906215976268111</v>
      </c>
      <c r="U493" s="9" t="str" cm="1">
        <f t="array" aca="1" ref="U493" ca="1">z_score_diff(OFFSET(T493,0,0,$I$5*-1,1),OFFSET(E493,0,0,$I$5*-1,1))</f>
        <v/>
      </c>
      <c r="V493" s="9" t="str">
        <f t="shared" ca="1" si="63"/>
        <v/>
      </c>
      <c r="W493" s="17">
        <f t="shared" ca="1" si="60"/>
        <v>7.9918891663968344E-2</v>
      </c>
      <c r="X493" s="13">
        <f t="shared" ca="1" si="61"/>
        <v>0</v>
      </c>
      <c r="Y493" s="13">
        <f t="shared" ca="1" si="62"/>
        <v>0</v>
      </c>
      <c r="Z493" t="str">
        <f t="shared" ca="1" si="64"/>
        <v/>
      </c>
      <c r="AA493" t="str">
        <f t="shared" ca="1" si="65"/>
        <v/>
      </c>
      <c r="AB493" s="24" t="str">
        <f t="shared" ca="1" si="66"/>
        <v/>
      </c>
      <c r="AC493" s="24" t="str">
        <f t="shared" ca="1" si="67"/>
        <v/>
      </c>
    </row>
    <row r="494" spans="3:29" x14ac:dyDescent="0.25">
      <c r="C494" s="6">
        <v>487</v>
      </c>
      <c r="D494" s="37">
        <v>42697</v>
      </c>
      <c r="E494" s="39">
        <v>16.329000000000001</v>
      </c>
      <c r="F494" s="39">
        <v>2.6113481809847463</v>
      </c>
      <c r="G494" s="39">
        <v>47.421568445130454</v>
      </c>
      <c r="H494" s="39">
        <v>58.173142417425439</v>
      </c>
      <c r="I494" s="10">
        <v>0</v>
      </c>
      <c r="J494" s="40">
        <v>0</v>
      </c>
      <c r="K494" s="40">
        <v>0</v>
      </c>
      <c r="L494" s="40">
        <v>0</v>
      </c>
      <c r="M494" s="40">
        <v>0</v>
      </c>
      <c r="N494" s="40">
        <v>0</v>
      </c>
      <c r="O494" s="40">
        <v>0</v>
      </c>
      <c r="P494" s="40">
        <v>0</v>
      </c>
      <c r="Q494" s="40">
        <v>0</v>
      </c>
      <c r="R494" s="40">
        <v>0</v>
      </c>
      <c r="S494" s="40">
        <v>1</v>
      </c>
      <c r="T494" s="29">
        <f t="array" aca="1" ref="T494" ca="1">+fair_value_gap(OFFSET(S493,0,0,-1*$I$5,-1*$Z$1),OFFSET(E493,0,0,-1*$I$5,1),F494:S494,0)</f>
        <v>16.114219952307394</v>
      </c>
      <c r="U494" s="9" t="str" cm="1">
        <f t="array" aca="1" ref="U494" ca="1">z_score_diff(OFFSET(T494,0,0,$I$5*-1,1),OFFSET(E494,0,0,$I$5*-1,1))</f>
        <v/>
      </c>
      <c r="V494" s="9" t="str">
        <f t="shared" ca="1" si="63"/>
        <v/>
      </c>
      <c r="W494" s="17">
        <f t="shared" ca="1" si="60"/>
        <v>6.1283643139638799E-2</v>
      </c>
      <c r="X494" s="13">
        <f t="shared" ca="1" si="61"/>
        <v>0</v>
      </c>
      <c r="Y494" s="13">
        <f t="shared" ca="1" si="62"/>
        <v>0</v>
      </c>
      <c r="Z494" t="str">
        <f t="shared" ca="1" si="64"/>
        <v/>
      </c>
      <c r="AA494" t="str">
        <f t="shared" ca="1" si="65"/>
        <v/>
      </c>
      <c r="AB494" s="24" t="str">
        <f t="shared" ca="1" si="66"/>
        <v/>
      </c>
      <c r="AC494" s="24" t="str">
        <f t="shared" ca="1" si="67"/>
        <v/>
      </c>
    </row>
    <row r="495" spans="3:29" x14ac:dyDescent="0.25">
      <c r="C495" s="6">
        <v>488</v>
      </c>
      <c r="D495" s="37">
        <v>42698</v>
      </c>
      <c r="E495" s="39">
        <v>16.428000000000001</v>
      </c>
      <c r="F495" s="39">
        <v>2.6097339304046425</v>
      </c>
      <c r="G495" s="39">
        <v>47.64309215884289</v>
      </c>
      <c r="H495" s="39">
        <v>60.298928141707542</v>
      </c>
      <c r="I495" s="10">
        <v>0</v>
      </c>
      <c r="J495" s="40">
        <v>0</v>
      </c>
      <c r="K495" s="40">
        <v>0</v>
      </c>
      <c r="L495" s="40">
        <v>0</v>
      </c>
      <c r="M495" s="40">
        <v>0</v>
      </c>
      <c r="N495" s="40">
        <v>0</v>
      </c>
      <c r="O495" s="40">
        <v>0</v>
      </c>
      <c r="P495" s="40">
        <v>0</v>
      </c>
      <c r="Q495" s="40">
        <v>0</v>
      </c>
      <c r="R495" s="40">
        <v>0</v>
      </c>
      <c r="S495" s="40">
        <v>1</v>
      </c>
      <c r="T495" s="29">
        <f t="array" aca="1" ref="T495" ca="1">+fair_value_gap(OFFSET(S494,0,0,-1*$I$5,-1*$Z$1),OFFSET(E494,0,0,-1*$I$5,1),F495:S495,0)</f>
        <v>16.230889189832322</v>
      </c>
      <c r="U495" s="9" t="str" cm="1">
        <f t="array" aca="1" ref="U495" ca="1">z_score_diff(OFFSET(T495,0,0,$I$5*-1,1),OFFSET(E495,0,0,$I$5*-1,1))</f>
        <v/>
      </c>
      <c r="V495" s="9" t="str">
        <f t="shared" ca="1" si="63"/>
        <v/>
      </c>
      <c r="W495" s="17">
        <f t="shared" ca="1" si="60"/>
        <v>4.6619618882040956E-2</v>
      </c>
      <c r="X495" s="13">
        <f t="shared" ca="1" si="61"/>
        <v>0</v>
      </c>
      <c r="Y495" s="13">
        <f t="shared" ca="1" si="62"/>
        <v>0</v>
      </c>
      <c r="Z495" t="str">
        <f t="shared" ca="1" si="64"/>
        <v/>
      </c>
      <c r="AA495" t="str">
        <f t="shared" ca="1" si="65"/>
        <v/>
      </c>
      <c r="AB495" s="24" t="str">
        <f t="shared" ca="1" si="66"/>
        <v/>
      </c>
      <c r="AC495" s="24" t="str">
        <f t="shared" ca="1" si="67"/>
        <v/>
      </c>
    </row>
    <row r="496" spans="3:29" x14ac:dyDescent="0.25">
      <c r="C496" s="6">
        <v>489</v>
      </c>
      <c r="D496" s="37">
        <v>42699</v>
      </c>
      <c r="E496" s="39">
        <v>16.268000000000001</v>
      </c>
      <c r="F496" s="39">
        <v>2.607232043651885</v>
      </c>
      <c r="G496" s="39">
        <v>47.205381111814916</v>
      </c>
      <c r="H496" s="39">
        <v>59.405287070549285</v>
      </c>
      <c r="I496" s="10">
        <v>0</v>
      </c>
      <c r="J496" s="40">
        <v>0</v>
      </c>
      <c r="K496" s="40">
        <v>0</v>
      </c>
      <c r="L496" s="40">
        <v>0</v>
      </c>
      <c r="M496" s="40">
        <v>0</v>
      </c>
      <c r="N496" s="40">
        <v>0</v>
      </c>
      <c r="O496" s="40">
        <v>0</v>
      </c>
      <c r="P496" s="40">
        <v>0</v>
      </c>
      <c r="Q496" s="40">
        <v>0</v>
      </c>
      <c r="R496" s="40">
        <v>0</v>
      </c>
      <c r="S496" s="40">
        <v>1</v>
      </c>
      <c r="T496" s="29">
        <f t="array" aca="1" ref="T496" ca="1">+fair_value_gap(OFFSET(S495,0,0,-1*$I$5,-1*$Z$1),OFFSET(E495,0,0,-1*$I$5,1),F496:S496,0)</f>
        <v>16.095733699715549</v>
      </c>
      <c r="U496" s="9" t="str" cm="1">
        <f t="array" aca="1" ref="U496" ca="1">z_score_diff(OFFSET(T496,0,0,$I$5*-1,1),OFFSET(E496,0,0,$I$5*-1,1))</f>
        <v/>
      </c>
      <c r="V496" s="9" t="str">
        <f t="shared" ca="1" si="63"/>
        <v/>
      </c>
      <c r="W496" s="17">
        <f t="shared" ca="1" si="60"/>
        <v>3.9059931565264105E-2</v>
      </c>
      <c r="X496" s="13">
        <f t="shared" ca="1" si="61"/>
        <v>0</v>
      </c>
      <c r="Y496" s="13">
        <f t="shared" ca="1" si="62"/>
        <v>0</v>
      </c>
      <c r="Z496" t="str">
        <f t="shared" ca="1" si="64"/>
        <v/>
      </c>
      <c r="AA496" t="str">
        <f t="shared" ca="1" si="65"/>
        <v/>
      </c>
      <c r="AB496" s="24" t="str">
        <f t="shared" ca="1" si="66"/>
        <v/>
      </c>
      <c r="AC496" s="24" t="str">
        <f t="shared" ca="1" si="67"/>
        <v/>
      </c>
    </row>
    <row r="497" spans="3:29" x14ac:dyDescent="0.25">
      <c r="C497" s="6">
        <v>490</v>
      </c>
      <c r="D497" s="37">
        <v>42702</v>
      </c>
      <c r="E497" s="39">
        <v>16.36</v>
      </c>
      <c r="F497" s="39">
        <v>2.6038352552335344</v>
      </c>
      <c r="G497" s="39">
        <v>47.293376966279823</v>
      </c>
      <c r="H497" s="39">
        <v>61.021666582740892</v>
      </c>
      <c r="I497" s="10">
        <v>0</v>
      </c>
      <c r="J497" s="40">
        <v>0</v>
      </c>
      <c r="K497" s="40">
        <v>0</v>
      </c>
      <c r="L497" s="40">
        <v>0</v>
      </c>
      <c r="M497" s="40">
        <v>0</v>
      </c>
      <c r="N497" s="40">
        <v>0</v>
      </c>
      <c r="O497" s="40">
        <v>0</v>
      </c>
      <c r="P497" s="40">
        <v>0</v>
      </c>
      <c r="Q497" s="40">
        <v>0</v>
      </c>
      <c r="R497" s="40">
        <v>0</v>
      </c>
      <c r="S497" s="40">
        <v>1</v>
      </c>
      <c r="T497" s="29">
        <f t="array" aca="1" ref="T497" ca="1">+fair_value_gap(OFFSET(S496,0,0,-1*$I$5,-1*$Z$1),OFFSET(E496,0,0,-1*$I$5,1),F497:S497,0)</f>
        <v>16.149903298155991</v>
      </c>
      <c r="U497" s="9" t="str" cm="1">
        <f t="array" aca="1" ref="U497" ca="1">z_score_diff(OFFSET(T497,0,0,$I$5*-1,1),OFFSET(E497,0,0,$I$5*-1,1))</f>
        <v/>
      </c>
      <c r="V497" s="9" t="str">
        <f t="shared" ca="1" si="63"/>
        <v/>
      </c>
      <c r="W497" s="17">
        <f t="shared" ca="1" si="60"/>
        <v>4.8266100920474043E-2</v>
      </c>
      <c r="X497" s="13">
        <f t="shared" ca="1" si="61"/>
        <v>0</v>
      </c>
      <c r="Y497" s="13">
        <f t="shared" ca="1" si="62"/>
        <v>0</v>
      </c>
      <c r="Z497" t="str">
        <f t="shared" ca="1" si="64"/>
        <v/>
      </c>
      <c r="AA497" t="str">
        <f t="shared" ca="1" si="65"/>
        <v/>
      </c>
      <c r="AB497" s="24" t="str">
        <f t="shared" ca="1" si="66"/>
        <v/>
      </c>
      <c r="AC497" s="24" t="str">
        <f t="shared" ca="1" si="67"/>
        <v/>
      </c>
    </row>
    <row r="498" spans="3:29" x14ac:dyDescent="0.25">
      <c r="C498" s="6">
        <v>491</v>
      </c>
      <c r="D498" s="37">
        <v>42703</v>
      </c>
      <c r="E498" s="39">
        <v>16.260000000000002</v>
      </c>
      <c r="F498" s="39">
        <v>2.5932635350478241</v>
      </c>
      <c r="G498" s="39">
        <v>46.770639973630793</v>
      </c>
      <c r="H498" s="39">
        <v>59.74631077932905</v>
      </c>
      <c r="I498" s="10">
        <v>0</v>
      </c>
      <c r="J498" s="40">
        <v>0</v>
      </c>
      <c r="K498" s="40">
        <v>0</v>
      </c>
      <c r="L498" s="40">
        <v>0</v>
      </c>
      <c r="M498" s="40">
        <v>0</v>
      </c>
      <c r="N498" s="40">
        <v>0</v>
      </c>
      <c r="O498" s="40">
        <v>0</v>
      </c>
      <c r="P498" s="40">
        <v>0</v>
      </c>
      <c r="Q498" s="40">
        <v>0</v>
      </c>
      <c r="R498" s="40">
        <v>0</v>
      </c>
      <c r="S498" s="40">
        <v>1</v>
      </c>
      <c r="T498" s="29">
        <f t="array" aca="1" ref="T498" ca="1">+fair_value_gap(OFFSET(S497,0,0,-1*$I$5,-1*$Z$1),OFFSET(E497,0,0,-1*$I$5,1),F498:S498,0)</f>
        <v>15.977703435357462</v>
      </c>
      <c r="U498" s="9" t="str" cm="1">
        <f t="array" aca="1" ref="U498" ca="1">z_score_diff(OFFSET(T498,0,0,$I$5*-1,1),OFFSET(E498,0,0,$I$5*-1,1))</f>
        <v/>
      </c>
      <c r="V498" s="9" t="str">
        <f t="shared" ca="1" si="63"/>
        <v/>
      </c>
      <c r="W498" s="17">
        <f t="shared" ca="1" si="60"/>
        <v>5.8756152765223509E-2</v>
      </c>
      <c r="X498" s="13">
        <f t="shared" ca="1" si="61"/>
        <v>0</v>
      </c>
      <c r="Y498" s="13">
        <f t="shared" ca="1" si="62"/>
        <v>0</v>
      </c>
      <c r="Z498" t="str">
        <f t="shared" ca="1" si="64"/>
        <v/>
      </c>
      <c r="AA498" t="str">
        <f t="shared" ca="1" si="65"/>
        <v/>
      </c>
      <c r="AB498" s="24" t="str">
        <f t="shared" ca="1" si="66"/>
        <v/>
      </c>
      <c r="AC498" s="24" t="str">
        <f t="shared" ca="1" si="67"/>
        <v/>
      </c>
    </row>
    <row r="499" spans="3:29" x14ac:dyDescent="0.25">
      <c r="C499" s="6">
        <v>492</v>
      </c>
      <c r="D499" s="37">
        <v>42704</v>
      </c>
      <c r="E499" s="39">
        <v>16.271000000000001</v>
      </c>
      <c r="F499" s="39">
        <v>2.5787626887679034</v>
      </c>
      <c r="G499" s="39">
        <v>47.873572786574904</v>
      </c>
      <c r="H499" s="39">
        <v>59.88704396268033</v>
      </c>
      <c r="I499" s="10">
        <v>0</v>
      </c>
      <c r="J499" s="40">
        <v>0</v>
      </c>
      <c r="K499" s="40">
        <v>0</v>
      </c>
      <c r="L499" s="40">
        <v>0</v>
      </c>
      <c r="M499" s="40">
        <v>0</v>
      </c>
      <c r="N499" s="40">
        <v>0</v>
      </c>
      <c r="O499" s="40">
        <v>0</v>
      </c>
      <c r="P499" s="40">
        <v>0</v>
      </c>
      <c r="Q499" s="40">
        <v>0</v>
      </c>
      <c r="R499" s="40">
        <v>0</v>
      </c>
      <c r="S499" s="40">
        <v>1</v>
      </c>
      <c r="T499" s="29">
        <f t="array" aca="1" ref="T499" ca="1">+fair_value_gap(OFFSET(S498,0,0,-1*$I$5,-1*$Z$1),OFFSET(E498,0,0,-1*$I$5,1),F499:S499,0)</f>
        <v>16.335290281427394</v>
      </c>
      <c r="U499" s="9" t="str" cm="1">
        <f t="array" aca="1" ref="U499" ca="1">z_score_diff(OFFSET(T499,0,0,$I$5*-1,1),OFFSET(E499,0,0,$I$5*-1,1))</f>
        <v/>
      </c>
      <c r="V499" s="9" t="str">
        <f t="shared" ca="1" si="63"/>
        <v/>
      </c>
      <c r="W499" s="17">
        <f t="shared" ca="1" si="60"/>
        <v>5.9991755035463182E-2</v>
      </c>
      <c r="X499" s="13">
        <f t="shared" ca="1" si="61"/>
        <v>0</v>
      </c>
      <c r="Y499" s="13">
        <f t="shared" ca="1" si="62"/>
        <v>0</v>
      </c>
      <c r="Z499" t="str">
        <f t="shared" ca="1" si="64"/>
        <v/>
      </c>
      <c r="AA499" t="str">
        <f t="shared" ca="1" si="65"/>
        <v/>
      </c>
      <c r="AB499" s="24" t="str">
        <f t="shared" ca="1" si="66"/>
        <v/>
      </c>
      <c r="AC499" s="24" t="str">
        <f t="shared" ca="1" si="67"/>
        <v/>
      </c>
    </row>
    <row r="500" spans="3:29" x14ac:dyDescent="0.25">
      <c r="C500" s="6">
        <v>493</v>
      </c>
      <c r="D500" s="37">
        <v>42705</v>
      </c>
      <c r="E500" s="39">
        <v>16.478000000000002</v>
      </c>
      <c r="F500" s="39">
        <v>2.580733318150763</v>
      </c>
      <c r="G500" s="39">
        <v>48.135660336705037</v>
      </c>
      <c r="H500" s="39">
        <v>60.077431109086774</v>
      </c>
      <c r="I500" s="10">
        <v>0</v>
      </c>
      <c r="J500" s="40">
        <v>0</v>
      </c>
      <c r="K500" s="40">
        <v>0</v>
      </c>
      <c r="L500" s="40">
        <v>0</v>
      </c>
      <c r="M500" s="40">
        <v>0</v>
      </c>
      <c r="N500" s="40">
        <v>0</v>
      </c>
      <c r="O500" s="40">
        <v>0</v>
      </c>
      <c r="P500" s="40">
        <v>0</v>
      </c>
      <c r="Q500" s="40">
        <v>0</v>
      </c>
      <c r="R500" s="40">
        <v>0</v>
      </c>
      <c r="S500" s="40">
        <v>0</v>
      </c>
      <c r="T500" s="29">
        <f t="array" aca="1" ref="T500" ca="1">+fair_value_gap(OFFSET(S499,0,0,-1*$I$5,-1*$Z$1),OFFSET(E499,0,0,-1*$I$5,1),F500:S500,0)</f>
        <v>17.499606840976792</v>
      </c>
      <c r="U500" s="9" t="str" cm="1">
        <f t="array" aca="1" ref="U500" ca="1">z_score_diff(OFFSET(T500,0,0,$I$5*-1,1),OFFSET(E500,0,0,$I$5*-1,1))</f>
        <v/>
      </c>
      <c r="V500" s="9" t="str">
        <f t="shared" ca="1" si="63"/>
        <v/>
      </c>
      <c r="W500" s="17">
        <f t="shared" ca="1" si="60"/>
        <v>5.2372939543948858E-2</v>
      </c>
      <c r="X500" s="13">
        <f t="shared" ca="1" si="61"/>
        <v>0</v>
      </c>
      <c r="Y500" s="13">
        <f t="shared" ca="1" si="62"/>
        <v>0</v>
      </c>
      <c r="Z500" t="str">
        <f t="shared" ca="1" si="64"/>
        <v/>
      </c>
      <c r="AA500" t="str">
        <f t="shared" ca="1" si="65"/>
        <v/>
      </c>
      <c r="AB500" s="24" t="str">
        <f t="shared" ca="1" si="66"/>
        <v/>
      </c>
      <c r="AC500" s="24" t="str">
        <f t="shared" ca="1" si="67"/>
        <v/>
      </c>
    </row>
    <row r="501" spans="3:29" x14ac:dyDescent="0.25">
      <c r="C501" s="6">
        <v>494</v>
      </c>
      <c r="D501" s="37">
        <v>42706</v>
      </c>
      <c r="E501" s="39">
        <v>16.280999999999999</v>
      </c>
      <c r="F501" s="39">
        <v>2.5777136990191578</v>
      </c>
      <c r="G501" s="39">
        <v>48.025845952569476</v>
      </c>
      <c r="H501" s="39">
        <v>59.027095120548154</v>
      </c>
      <c r="I501" s="10">
        <v>0</v>
      </c>
      <c r="J501" s="40">
        <v>0</v>
      </c>
      <c r="K501" s="40">
        <v>0</v>
      </c>
      <c r="L501" s="40">
        <v>0</v>
      </c>
      <c r="M501" s="40">
        <v>0</v>
      </c>
      <c r="N501" s="40">
        <v>0</v>
      </c>
      <c r="O501" s="40">
        <v>0</v>
      </c>
      <c r="P501" s="40">
        <v>0</v>
      </c>
      <c r="Q501" s="40">
        <v>0</v>
      </c>
      <c r="R501" s="40">
        <v>0</v>
      </c>
      <c r="S501" s="40">
        <v>0</v>
      </c>
      <c r="T501" s="29">
        <f t="array" aca="1" ref="T501" ca="1">+fair_value_gap(OFFSET(S500,0,0,-1*$I$5,-1*$Z$1),OFFSET(E500,0,0,-1*$I$5,1),F501:S501,0)</f>
        <v>17.093412917507724</v>
      </c>
      <c r="U501" s="9" t="str" cm="1">
        <f t="array" aca="1" ref="U501" ca="1">z_score_diff(OFFSET(T501,0,0,$I$5*-1,1),OFFSET(E501,0,0,$I$5*-1,1))</f>
        <v/>
      </c>
      <c r="V501" s="9" t="str">
        <f t="shared" ca="1" si="63"/>
        <v/>
      </c>
      <c r="W501" s="17">
        <f t="shared" ca="1" si="60"/>
        <v>7.1573328117676832E-2</v>
      </c>
      <c r="X501" s="13">
        <f t="shared" ca="1" si="61"/>
        <v>0</v>
      </c>
      <c r="Y501" s="13">
        <f t="shared" ca="1" si="62"/>
        <v>0</v>
      </c>
      <c r="Z501" t="str">
        <f t="shared" ca="1" si="64"/>
        <v/>
      </c>
      <c r="AA501" t="str">
        <f t="shared" ca="1" si="65"/>
        <v/>
      </c>
      <c r="AB501" s="24" t="str">
        <f t="shared" ca="1" si="66"/>
        <v/>
      </c>
      <c r="AC501" s="24" t="str">
        <f t="shared" ca="1" si="67"/>
        <v/>
      </c>
    </row>
    <row r="502" spans="3:29" x14ac:dyDescent="0.25">
      <c r="C502" s="6">
        <v>495</v>
      </c>
      <c r="D502" s="37">
        <v>42709</v>
      </c>
      <c r="E502" s="39">
        <v>15.96</v>
      </c>
      <c r="F502" s="39">
        <v>2.5884538723089552</v>
      </c>
      <c r="G502" s="39">
        <v>46.778431331407646</v>
      </c>
      <c r="H502" s="39">
        <v>57.04519422423045</v>
      </c>
      <c r="I502" s="10">
        <v>0</v>
      </c>
      <c r="J502" s="40">
        <v>0</v>
      </c>
      <c r="K502" s="40">
        <v>0</v>
      </c>
      <c r="L502" s="40">
        <v>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0</v>
      </c>
      <c r="S502" s="40">
        <v>0</v>
      </c>
      <c r="T502" s="29">
        <f t="array" aca="1" ref="T502" ca="1">+fair_value_gap(OFFSET(S501,0,0,-1*$I$5,-1*$Z$1),OFFSET(E501,0,0,-1*$I$5,1),F502:S502,0)</f>
        <v>16.511592172114444</v>
      </c>
      <c r="U502" s="9" t="str" cm="1">
        <f t="array" aca="1" ref="U502" ca="1">z_score_diff(OFFSET(T502,0,0,$I$5*-1,1),OFFSET(E502,0,0,$I$5*-1,1))</f>
        <v/>
      </c>
      <c r="V502" s="9" t="str">
        <f t="shared" ca="1" si="63"/>
        <v/>
      </c>
      <c r="W502" s="17">
        <f t="shared" ca="1" si="60"/>
        <v>7.8248154527603364E-2</v>
      </c>
      <c r="X502" s="13">
        <f t="shared" ca="1" si="61"/>
        <v>0</v>
      </c>
      <c r="Y502" s="13">
        <f t="shared" ca="1" si="62"/>
        <v>0</v>
      </c>
      <c r="Z502" t="str">
        <f t="shared" ca="1" si="64"/>
        <v/>
      </c>
      <c r="AA502" t="str">
        <f t="shared" ca="1" si="65"/>
        <v/>
      </c>
      <c r="AB502" s="24" t="str">
        <f t="shared" ca="1" si="66"/>
        <v/>
      </c>
      <c r="AC502" s="24" t="str">
        <f t="shared" ca="1" si="67"/>
        <v/>
      </c>
    </row>
    <row r="503" spans="3:29" x14ac:dyDescent="0.25">
      <c r="C503" s="6">
        <v>496</v>
      </c>
      <c r="D503" s="37">
        <v>42710</v>
      </c>
      <c r="E503" s="39">
        <v>15.545</v>
      </c>
      <c r="F503" s="39">
        <v>2.5754167727301138</v>
      </c>
      <c r="G503" s="39">
        <v>44.946020482143986</v>
      </c>
      <c r="H503" s="39">
        <v>55.258678556643318</v>
      </c>
      <c r="I503" s="10">
        <v>0</v>
      </c>
      <c r="J503" s="40">
        <v>0</v>
      </c>
      <c r="K503" s="40">
        <v>0</v>
      </c>
      <c r="L503" s="40">
        <v>0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29">
        <f t="array" aca="1" ref="T503" ca="1">+fair_value_gap(OFFSET(S502,0,0,-1*$I$5,-1*$Z$1),OFFSET(E502,0,0,-1*$I$5,1),F503:S503,0)</f>
        <v>15.812207568458676</v>
      </c>
      <c r="U503" s="9" t="str" cm="1">
        <f t="array" aca="1" ref="U503" ca="1">z_score_diff(OFFSET(T503,0,0,$I$5*-1,1),OFFSET(E503,0,0,$I$5*-1,1))</f>
        <v/>
      </c>
      <c r="V503" s="9" t="str">
        <f t="shared" ca="1" si="63"/>
        <v/>
      </c>
      <c r="W503" s="17">
        <f t="shared" ca="1" si="60"/>
        <v>8.953312234487476E-2</v>
      </c>
      <c r="X503" s="13">
        <f t="shared" ca="1" si="61"/>
        <v>0</v>
      </c>
      <c r="Y503" s="13">
        <f t="shared" ca="1" si="62"/>
        <v>0</v>
      </c>
      <c r="Z503" t="str">
        <f t="shared" ca="1" si="64"/>
        <v/>
      </c>
      <c r="AA503" t="str">
        <f t="shared" ca="1" si="65"/>
        <v/>
      </c>
      <c r="AB503" s="24" t="str">
        <f t="shared" ca="1" si="66"/>
        <v/>
      </c>
      <c r="AC503" s="24" t="str">
        <f t="shared" ca="1" si="67"/>
        <v/>
      </c>
    </row>
    <row r="504" spans="3:29" x14ac:dyDescent="0.25">
      <c r="C504" s="6">
        <v>497</v>
      </c>
      <c r="D504" s="37">
        <v>42711</v>
      </c>
      <c r="E504" s="39">
        <v>15.557</v>
      </c>
      <c r="F504" s="39">
        <v>2.5802035082459041</v>
      </c>
      <c r="G504" s="39">
        <v>44.722273984113407</v>
      </c>
      <c r="H504" s="39">
        <v>55.406190140317193</v>
      </c>
      <c r="I504" s="10">
        <v>0</v>
      </c>
      <c r="J504" s="40">
        <v>0</v>
      </c>
      <c r="K504" s="40">
        <v>0</v>
      </c>
      <c r="L504" s="40">
        <v>0</v>
      </c>
      <c r="M504" s="40">
        <v>0</v>
      </c>
      <c r="N504" s="40">
        <v>0</v>
      </c>
      <c r="O504" s="40">
        <v>0</v>
      </c>
      <c r="P504" s="40">
        <v>0</v>
      </c>
      <c r="Q504" s="40">
        <v>0</v>
      </c>
      <c r="R504" s="40">
        <v>0</v>
      </c>
      <c r="S504" s="40">
        <v>0</v>
      </c>
      <c r="T504" s="29">
        <f t="array" aca="1" ref="T504" ca="1">+fair_value_gap(OFFSET(S503,0,0,-1*$I$5,-1*$Z$1),OFFSET(E503,0,0,-1*$I$5,1),F504:S504,0)</f>
        <v>15.688566687534633</v>
      </c>
      <c r="U504" s="9" t="str" cm="1">
        <f t="array" aca="1" ref="U504" ca="1">z_score_diff(OFFSET(T504,0,0,$I$5*-1,1),OFFSET(E504,0,0,$I$5*-1,1))</f>
        <v/>
      </c>
      <c r="V504" s="9" t="str">
        <f t="shared" ca="1" si="63"/>
        <v/>
      </c>
      <c r="W504" s="17">
        <f t="shared" ca="1" si="60"/>
        <v>8.7525482778216854E-2</v>
      </c>
      <c r="X504" s="13">
        <f t="shared" ca="1" si="61"/>
        <v>0</v>
      </c>
      <c r="Y504" s="13">
        <f t="shared" ca="1" si="62"/>
        <v>0</v>
      </c>
      <c r="Z504" t="str">
        <f t="shared" ca="1" si="64"/>
        <v/>
      </c>
      <c r="AA504" t="str">
        <f t="shared" ca="1" si="65"/>
        <v/>
      </c>
      <c r="AB504" s="24" t="str">
        <f t="shared" ca="1" si="66"/>
        <v/>
      </c>
      <c r="AC504" s="24" t="str">
        <f t="shared" ca="1" si="67"/>
        <v/>
      </c>
    </row>
    <row r="505" spans="3:29" x14ac:dyDescent="0.25">
      <c r="C505" s="6">
        <v>498</v>
      </c>
      <c r="D505" s="37">
        <v>42712</v>
      </c>
      <c r="E505" s="39">
        <v>15.7</v>
      </c>
      <c r="F505" s="39">
        <v>2.6213255450187951</v>
      </c>
      <c r="G505" s="39">
        <v>45.645714446021167</v>
      </c>
      <c r="H505" s="39">
        <v>57.066916107514622</v>
      </c>
      <c r="I505" s="10">
        <v>0</v>
      </c>
      <c r="J505" s="40">
        <v>0</v>
      </c>
      <c r="K505" s="40">
        <v>0</v>
      </c>
      <c r="L505" s="40">
        <v>0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29">
        <f t="array" aca="1" ref="T505" ca="1">+fair_value_gap(OFFSET(S504,0,0,-1*$I$5,-1*$Z$1),OFFSET(E504,0,0,-1*$I$5,1),F505:S505,0)</f>
        <v>15.966012500906679</v>
      </c>
      <c r="U505" s="9" t="str" cm="1">
        <f t="array" aca="1" ref="U505" ca="1">z_score_diff(OFFSET(T505,0,0,$I$5*-1,1),OFFSET(E505,0,0,$I$5*-1,1))</f>
        <v/>
      </c>
      <c r="V505" s="9" t="str">
        <f t="shared" ca="1" si="63"/>
        <v/>
      </c>
      <c r="W505" s="17">
        <f t="shared" ca="1" si="60"/>
        <v>6.8134753940166992E-2</v>
      </c>
      <c r="X505" s="13">
        <f t="shared" ca="1" si="61"/>
        <v>0</v>
      </c>
      <c r="Y505" s="13">
        <f t="shared" ca="1" si="62"/>
        <v>0</v>
      </c>
      <c r="Z505" t="str">
        <f t="shared" ca="1" si="64"/>
        <v/>
      </c>
      <c r="AA505" t="str">
        <f t="shared" ca="1" si="65"/>
        <v/>
      </c>
      <c r="AB505" s="24" t="str">
        <f t="shared" ca="1" si="66"/>
        <v/>
      </c>
      <c r="AC505" s="24" t="str">
        <f t="shared" ca="1" si="67"/>
        <v/>
      </c>
    </row>
    <row r="506" spans="3:29" x14ac:dyDescent="0.25">
      <c r="C506" s="6">
        <v>499</v>
      </c>
      <c r="D506" s="37">
        <v>42713</v>
      </c>
      <c r="E506" s="39">
        <v>15.721</v>
      </c>
      <c r="F506" s="39">
        <v>2.6383329712453008</v>
      </c>
      <c r="G506" s="39">
        <v>45.380837113111319</v>
      </c>
      <c r="H506" s="39">
        <v>58.639850058731909</v>
      </c>
      <c r="I506" s="10">
        <v>0</v>
      </c>
      <c r="J506" s="40">
        <v>0</v>
      </c>
      <c r="K506" s="40">
        <v>0</v>
      </c>
      <c r="L506" s="40">
        <v>0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29">
        <f t="array" aca="1" ref="T506" ca="1">+fair_value_gap(OFFSET(S505,0,0,-1*$I$5,-1*$Z$1),OFFSET(E505,0,0,-1*$I$5,1),F506:S506,0)</f>
        <v>15.805525450673192</v>
      </c>
      <c r="U506" s="9" cm="1">
        <f t="array" aca="1" ref="U506" ca="1">z_score_diff(OFFSET(T506,0,0,$I$5*-1,1),OFFSET(E506,0,0,$I$5*-1,1))</f>
        <v>-1.3769189773061331E-2</v>
      </c>
      <c r="V506" s="9">
        <f t="shared" ca="1" si="63"/>
        <v>-1.3769189773061331E-2</v>
      </c>
      <c r="W506" s="17">
        <f t="shared" ca="1" si="60"/>
        <v>7.0302362943072863E-2</v>
      </c>
      <c r="X506" s="13">
        <f t="shared" ca="1" si="61"/>
        <v>0</v>
      </c>
      <c r="Y506" s="13">
        <f t="shared" ca="1" si="62"/>
        <v>0</v>
      </c>
      <c r="Z506">
        <f t="shared" ca="1" si="64"/>
        <v>1</v>
      </c>
      <c r="AA506">
        <f t="shared" ca="1" si="65"/>
        <v>0</v>
      </c>
      <c r="AB506" s="24">
        <f t="shared" ca="1" si="66"/>
        <v>7.0302362943072863E-2</v>
      </c>
      <c r="AC506" s="24">
        <f t="shared" ca="1" si="67"/>
        <v>0</v>
      </c>
    </row>
    <row r="507" spans="3:29" x14ac:dyDescent="0.25">
      <c r="C507" s="6">
        <v>500</v>
      </c>
      <c r="D507" s="37">
        <v>42716</v>
      </c>
      <c r="E507" s="39">
        <v>16.265999999999998</v>
      </c>
      <c r="F507" s="39">
        <v>2.6014829365539391</v>
      </c>
      <c r="G507" s="39">
        <v>46.87176786956767</v>
      </c>
      <c r="H507" s="39">
        <v>58.327985840630419</v>
      </c>
      <c r="I507" s="10">
        <v>0</v>
      </c>
      <c r="J507" s="40">
        <v>0</v>
      </c>
      <c r="K507" s="40">
        <v>0</v>
      </c>
      <c r="L507" s="40">
        <v>0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29">
        <f t="array" aca="1" ref="T507" ca="1">+fair_value_gap(OFFSET(S506,0,0,-1*$I$5,-1*$Z$1),OFFSET(E506,0,0,-1*$I$5,1),F507:S507,0)</f>
        <v>16.27547730818257</v>
      </c>
      <c r="U507" s="9" cm="1">
        <f t="array" aca="1" ref="U507" ca="1">z_score_diff(OFFSET(T507,0,0,$I$5*-1,1),OFFSET(E507,0,0,$I$5*-1,1))</f>
        <v>-6.7888240871954164E-2</v>
      </c>
      <c r="V507" s="9">
        <f t="shared" ca="1" si="63"/>
        <v>-4.0828715322507744E-2</v>
      </c>
      <c r="W507" s="17">
        <f t="shared" ca="1" si="60"/>
        <v>3.752627080143621E-2</v>
      </c>
      <c r="X507" s="13">
        <f t="shared" ca="1" si="61"/>
        <v>0</v>
      </c>
      <c r="Y507" s="13">
        <f t="shared" ca="1" si="62"/>
        <v>0</v>
      </c>
      <c r="Z507">
        <f t="shared" ca="1" si="64"/>
        <v>1</v>
      </c>
      <c r="AA507">
        <f t="shared" ca="1" si="65"/>
        <v>0</v>
      </c>
      <c r="AB507" s="24">
        <f t="shared" ca="1" si="66"/>
        <v>3.752627080143621E-2</v>
      </c>
      <c r="AC507" s="24">
        <f t="shared" ca="1" si="67"/>
        <v>0</v>
      </c>
    </row>
    <row r="508" spans="3:29" x14ac:dyDescent="0.25">
      <c r="C508" s="6">
        <v>501</v>
      </c>
      <c r="D508" s="37">
        <v>42717</v>
      </c>
      <c r="E508" s="39">
        <v>16.405000000000001</v>
      </c>
      <c r="F508" s="39">
        <v>2.5980838332108771</v>
      </c>
      <c r="G508" s="39">
        <v>47.347984186008254</v>
      </c>
      <c r="H508" s="39">
        <v>58.71504969532144</v>
      </c>
      <c r="I508" s="10">
        <v>0</v>
      </c>
      <c r="J508" s="40">
        <v>0</v>
      </c>
      <c r="K508" s="40">
        <v>0</v>
      </c>
      <c r="L508" s="40">
        <v>0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0</v>
      </c>
      <c r="S508" s="40">
        <v>0</v>
      </c>
      <c r="T508" s="29">
        <f t="array" aca="1" ref="T508" ca="1">+fair_value_gap(OFFSET(S507,0,0,-1*$I$5,-1*$Z$1),OFFSET(E507,0,0,-1*$I$5,1),F508:S508,0)</f>
        <v>16.414382291486014</v>
      </c>
      <c r="U508" s="9" cm="1">
        <f t="array" aca="1" ref="U508" ca="1">z_score_diff(OFFSET(T508,0,0,$I$5*-1,1),OFFSET(E508,0,0,$I$5*-1,1))</f>
        <v>-6.9588152600051023E-2</v>
      </c>
      <c r="V508" s="9">
        <f t="shared" ca="1" si="63"/>
        <v>-5.0415194415022173E-2</v>
      </c>
      <c r="W508" s="17">
        <f t="shared" ca="1" si="60"/>
        <v>3.386091283306987E-2</v>
      </c>
      <c r="X508" s="13">
        <f t="shared" ca="1" si="61"/>
        <v>0</v>
      </c>
      <c r="Y508" s="13">
        <f t="shared" ca="1" si="62"/>
        <v>0</v>
      </c>
      <c r="Z508">
        <f t="shared" ca="1" si="64"/>
        <v>1</v>
      </c>
      <c r="AA508">
        <f t="shared" ca="1" si="65"/>
        <v>0</v>
      </c>
      <c r="AB508" s="24">
        <f t="shared" ca="1" si="66"/>
        <v>3.386091283306987E-2</v>
      </c>
      <c r="AC508" s="24">
        <f t="shared" ca="1" si="67"/>
        <v>0</v>
      </c>
    </row>
    <row r="509" spans="3:29" x14ac:dyDescent="0.25">
      <c r="C509" s="6">
        <v>502</v>
      </c>
      <c r="D509" s="37">
        <v>42718</v>
      </c>
      <c r="E509" s="39">
        <v>16.460999999999999</v>
      </c>
      <c r="F509" s="39">
        <v>2.6242583567609206</v>
      </c>
      <c r="G509" s="39">
        <v>47.65239291745862</v>
      </c>
      <c r="H509" s="39">
        <v>59.70924912854904</v>
      </c>
      <c r="I509" s="10">
        <v>0</v>
      </c>
      <c r="J509" s="40">
        <v>0</v>
      </c>
      <c r="K509" s="40">
        <v>0</v>
      </c>
      <c r="L509" s="40">
        <v>0</v>
      </c>
      <c r="M509" s="40">
        <v>0</v>
      </c>
      <c r="N509" s="40">
        <v>0</v>
      </c>
      <c r="O509" s="40">
        <v>0</v>
      </c>
      <c r="P509" s="40">
        <v>0</v>
      </c>
      <c r="Q509" s="40">
        <v>0</v>
      </c>
      <c r="R509" s="40">
        <v>0</v>
      </c>
      <c r="S509" s="40">
        <v>0</v>
      </c>
      <c r="T509" s="29">
        <f t="array" aca="1" ref="T509" ca="1">+fair_value_gap(OFFSET(S508,0,0,-1*$I$5,-1*$Z$1),OFFSET(E508,0,0,-1*$I$5,1),F509:S509,0)</f>
        <v>16.502771165900974</v>
      </c>
      <c r="U509" s="9" cm="1">
        <f t="array" aca="1" ref="U509" ca="1">z_score_diff(OFFSET(T509,0,0,$I$5*-1,1),OFFSET(E509,0,0,$I$5*-1,1))</f>
        <v>-4.9953516072581583E-2</v>
      </c>
      <c r="V509" s="9">
        <f t="shared" ca="1" si="63"/>
        <v>-5.0299774829412024E-2</v>
      </c>
      <c r="W509" s="17">
        <f t="shared" ca="1" si="60"/>
        <v>2.5727784074760902E-2</v>
      </c>
      <c r="X509" s="13">
        <f t="shared" ca="1" si="61"/>
        <v>0</v>
      </c>
      <c r="Y509" s="13">
        <f t="shared" ca="1" si="62"/>
        <v>0</v>
      </c>
      <c r="Z509">
        <f t="shared" ca="1" si="64"/>
        <v>1</v>
      </c>
      <c r="AA509">
        <f t="shared" ca="1" si="65"/>
        <v>0</v>
      </c>
      <c r="AB509" s="24">
        <f t="shared" ca="1" si="66"/>
        <v>2.5727784074760902E-2</v>
      </c>
      <c r="AC509" s="24">
        <f t="shared" ca="1" si="67"/>
        <v>0</v>
      </c>
    </row>
    <row r="510" spans="3:29" x14ac:dyDescent="0.25">
      <c r="C510" s="6">
        <v>503</v>
      </c>
      <c r="D510" s="37">
        <v>42719</v>
      </c>
      <c r="E510" s="39">
        <v>16.460999999999999</v>
      </c>
      <c r="F510" s="39">
        <v>2.6460712262083868</v>
      </c>
      <c r="G510" s="39">
        <v>47.493732567601256</v>
      </c>
      <c r="H510" s="39">
        <v>60.988034063980216</v>
      </c>
      <c r="I510" s="10">
        <v>0</v>
      </c>
      <c r="J510" s="40">
        <v>0</v>
      </c>
      <c r="K510" s="40">
        <v>0</v>
      </c>
      <c r="L510" s="40">
        <v>0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29">
        <f t="array" aca="1" ref="T510" ca="1">+fair_value_gap(OFFSET(S509,0,0,-1*$I$5,-1*$Z$1),OFFSET(E509,0,0,-1*$I$5,1),F510:S510,0)</f>
        <v>16.429499197725704</v>
      </c>
      <c r="U510" s="9" cm="1">
        <f t="array" aca="1" ref="U510" ca="1">z_score_diff(OFFSET(T510,0,0,$I$5*-1,1),OFFSET(E510,0,0,$I$5*-1,1))</f>
        <v>-9.5421516125342554E-2</v>
      </c>
      <c r="V510" s="9">
        <f t="shared" ca="1" si="63"/>
        <v>-5.9324123088598135E-2</v>
      </c>
      <c r="W510" s="17">
        <f t="shared" ca="1" si="60"/>
        <v>2.9155886019364939E-2</v>
      </c>
      <c r="X510" s="13">
        <f t="shared" ca="1" si="61"/>
        <v>0</v>
      </c>
      <c r="Y510" s="13">
        <f t="shared" ca="1" si="62"/>
        <v>0</v>
      </c>
      <c r="Z510">
        <f t="shared" ca="1" si="64"/>
        <v>1</v>
      </c>
      <c r="AA510">
        <f t="shared" ca="1" si="65"/>
        <v>0</v>
      </c>
      <c r="AB510" s="24">
        <f t="shared" ca="1" si="66"/>
        <v>2.9155886019364939E-2</v>
      </c>
      <c r="AC510" s="24">
        <f t="shared" ca="1" si="67"/>
        <v>0</v>
      </c>
    </row>
    <row r="511" spans="3:29" x14ac:dyDescent="0.25">
      <c r="C511" s="6">
        <v>504</v>
      </c>
      <c r="D511" s="37">
        <v>42720</v>
      </c>
      <c r="E511" s="39">
        <v>16.741</v>
      </c>
      <c r="F511" s="39">
        <v>2.6653030807822553</v>
      </c>
      <c r="G511" s="39">
        <v>48.265481347476133</v>
      </c>
      <c r="H511" s="39">
        <v>61.714016320341223</v>
      </c>
      <c r="I511" s="10">
        <v>0</v>
      </c>
      <c r="J511" s="40">
        <v>0</v>
      </c>
      <c r="K511" s="40">
        <v>0</v>
      </c>
      <c r="L511" s="40">
        <v>0</v>
      </c>
      <c r="M511" s="40">
        <v>0</v>
      </c>
      <c r="N511" s="40">
        <v>0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29">
        <f t="array" aca="1" ref="T511" ca="1">+fair_value_gap(OFFSET(S510,0,0,-1*$I$5,-1*$Z$1),OFFSET(E510,0,0,-1*$I$5,1),F511:S511,0)</f>
        <v>16.674232366466338</v>
      </c>
      <c r="U511" s="9" cm="1">
        <f t="array" aca="1" ref="U511" ca="1">z_score_diff(OFFSET(T511,0,0,$I$5*-1,1),OFFSET(E511,0,0,$I$5*-1,1))</f>
        <v>-0.12055831267732398</v>
      </c>
      <c r="V511" s="9">
        <f t="shared" ca="1" si="63"/>
        <v>-6.9529821353385771E-2</v>
      </c>
      <c r="W511" s="17">
        <f t="shared" ca="1" si="60"/>
        <v>3.8751650723787947E-3</v>
      </c>
      <c r="X511" s="13">
        <f t="shared" ca="1" si="61"/>
        <v>0</v>
      </c>
      <c r="Y511" s="13">
        <f t="shared" ca="1" si="62"/>
        <v>0</v>
      </c>
      <c r="Z511">
        <f t="shared" ca="1" si="64"/>
        <v>1</v>
      </c>
      <c r="AA511">
        <f t="shared" ca="1" si="65"/>
        <v>0</v>
      </c>
      <c r="AB511" s="24">
        <f t="shared" ca="1" si="66"/>
        <v>3.8751650723787947E-3</v>
      </c>
      <c r="AC511" s="24">
        <f t="shared" ca="1" si="67"/>
        <v>0</v>
      </c>
    </row>
    <row r="512" spans="3:29" x14ac:dyDescent="0.25">
      <c r="C512" s="6">
        <v>505</v>
      </c>
      <c r="D512" s="37">
        <v>42723</v>
      </c>
      <c r="E512" s="39">
        <v>16.693000000000001</v>
      </c>
      <c r="F512" s="39">
        <v>2.6993370964975725</v>
      </c>
      <c r="G512" s="39">
        <v>48.212109782134846</v>
      </c>
      <c r="H512" s="39">
        <v>61.657855294652784</v>
      </c>
      <c r="I512" s="10">
        <v>0</v>
      </c>
      <c r="J512" s="40">
        <v>0</v>
      </c>
      <c r="K512" s="40">
        <v>0</v>
      </c>
      <c r="L512" s="40">
        <v>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29">
        <f t="array" aca="1" ref="T512" ca="1">+fair_value_gap(OFFSET(S511,0,0,-1*$I$5,-1*$Z$1),OFFSET(E511,0,0,-1*$I$5,1),F512:S512,0)</f>
        <v>16.674478976593718</v>
      </c>
      <c r="U512" s="9" cm="1">
        <f t="array" aca="1" ref="U512" ca="1">z_score_diff(OFFSET(T512,0,0,$I$5*-1,1),OFFSET(E512,0,0,$I$5*-1,1))</f>
        <v>-8.9729934759220087E-2</v>
      </c>
      <c r="V512" s="9">
        <f t="shared" ca="1" si="63"/>
        <v>-7.2415551839933534E-2</v>
      </c>
      <c r="W512" s="17">
        <f t="shared" ca="1" si="60"/>
        <v>1.2383321902839986E-2</v>
      </c>
      <c r="X512" s="13">
        <f t="shared" ca="1" si="61"/>
        <v>0</v>
      </c>
      <c r="Y512" s="13">
        <f t="shared" ca="1" si="62"/>
        <v>0</v>
      </c>
      <c r="Z512">
        <f t="shared" ca="1" si="64"/>
        <v>1</v>
      </c>
      <c r="AA512">
        <f t="shared" ca="1" si="65"/>
        <v>0</v>
      </c>
      <c r="AB512" s="24">
        <f t="shared" ca="1" si="66"/>
        <v>1.2383321902839986E-2</v>
      </c>
      <c r="AC512" s="24">
        <f t="shared" ca="1" si="67"/>
        <v>0</v>
      </c>
    </row>
    <row r="513" spans="3:29" x14ac:dyDescent="0.25">
      <c r="C513" s="6">
        <v>506</v>
      </c>
      <c r="D513" s="37">
        <v>42724</v>
      </c>
      <c r="E513" s="39">
        <v>16.885000000000002</v>
      </c>
      <c r="F513" s="39">
        <v>2.6365120074609467</v>
      </c>
      <c r="G513" s="39">
        <v>48.693395833553275</v>
      </c>
      <c r="H513" s="39">
        <v>63.697831662392169</v>
      </c>
      <c r="I513" s="10">
        <v>0</v>
      </c>
      <c r="J513" s="40">
        <v>0</v>
      </c>
      <c r="K513" s="40">
        <v>0</v>
      </c>
      <c r="L513" s="40">
        <v>0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29">
        <f t="array" aca="1" ref="T513" ca="1">+fair_value_gap(OFFSET(S512,0,0,-1*$I$5,-1*$Z$1),OFFSET(E512,0,0,-1*$I$5,1),F513:S513,0)</f>
        <v>16.775703120801957</v>
      </c>
      <c r="U513" s="9" cm="1">
        <f t="array" aca="1" ref="U513" ca="1">z_score_diff(OFFSET(T513,0,0,$I$5*-1,1),OFFSET(E513,0,0,$I$5*-1,1))</f>
        <v>-0.14690253688420729</v>
      </c>
      <c r="V513" s="9">
        <f t="shared" ca="1" si="63"/>
        <v>-8.1726424970467754E-2</v>
      </c>
      <c r="W513" s="17">
        <f t="shared" ca="1" si="60"/>
        <v>-2.6092643636138418E-3</v>
      </c>
      <c r="X513" s="13">
        <f t="shared" ca="1" si="61"/>
        <v>0</v>
      </c>
      <c r="Y513" s="13">
        <f t="shared" ca="1" si="62"/>
        <v>0</v>
      </c>
      <c r="Z513">
        <f t="shared" ca="1" si="64"/>
        <v>1</v>
      </c>
      <c r="AA513">
        <f t="shared" ca="1" si="65"/>
        <v>0</v>
      </c>
      <c r="AB513" s="24">
        <f t="shared" ca="1" si="66"/>
        <v>-2.6092643636138418E-3</v>
      </c>
      <c r="AC513" s="24">
        <f t="shared" ca="1" si="67"/>
        <v>0</v>
      </c>
    </row>
    <row r="514" spans="3:29" x14ac:dyDescent="0.25">
      <c r="C514" s="6">
        <v>507</v>
      </c>
      <c r="D514" s="37">
        <v>42725</v>
      </c>
      <c r="E514" s="39">
        <v>17.041</v>
      </c>
      <c r="F514" s="39">
        <v>2.6861307355629767</v>
      </c>
      <c r="G514" s="39">
        <v>48.925840018228875</v>
      </c>
      <c r="H514" s="39">
        <v>63.714277481952259</v>
      </c>
      <c r="I514" s="10">
        <v>0</v>
      </c>
      <c r="J514" s="40">
        <v>0</v>
      </c>
      <c r="K514" s="40">
        <v>0</v>
      </c>
      <c r="L514" s="40">
        <v>0</v>
      </c>
      <c r="M514" s="40">
        <v>0</v>
      </c>
      <c r="N514" s="40">
        <v>0</v>
      </c>
      <c r="O514" s="40">
        <v>0</v>
      </c>
      <c r="P514" s="40">
        <v>0</v>
      </c>
      <c r="Q514" s="40">
        <v>0</v>
      </c>
      <c r="R514" s="40">
        <v>0</v>
      </c>
      <c r="S514" s="40">
        <v>0</v>
      </c>
      <c r="T514" s="29">
        <f t="array" aca="1" ref="T514" ca="1">+fair_value_gap(OFFSET(S513,0,0,-1*$I$5,-1*$Z$1),OFFSET(E513,0,0,-1*$I$5,1),F514:S514,0)</f>
        <v>16.880774373047807</v>
      </c>
      <c r="U514" s="9" cm="1">
        <f t="array" aca="1" ref="U514" ca="1">z_score_diff(OFFSET(T514,0,0,$I$5*-1,1),OFFSET(E514,0,0,$I$5*-1,1))</f>
        <v>-0.17990672356753756</v>
      </c>
      <c r="V514" s="9">
        <f t="shared" ca="1" si="63"/>
        <v>-9.2635347036808841E-2</v>
      </c>
      <c r="W514" s="17">
        <f t="shared" ca="1" si="60"/>
        <v>-6.9485616993070062E-3</v>
      </c>
      <c r="X514" s="13">
        <f t="shared" ca="1" si="61"/>
        <v>0</v>
      </c>
      <c r="Y514" s="13">
        <f t="shared" ca="1" si="62"/>
        <v>0</v>
      </c>
      <c r="Z514">
        <f t="shared" ca="1" si="64"/>
        <v>1</v>
      </c>
      <c r="AA514">
        <f t="shared" ca="1" si="65"/>
        <v>0</v>
      </c>
      <c r="AB514" s="24">
        <f t="shared" ca="1" si="66"/>
        <v>-6.9485616993070062E-3</v>
      </c>
      <c r="AC514" s="24">
        <f t="shared" ca="1" si="67"/>
        <v>0</v>
      </c>
    </row>
    <row r="515" spans="3:29" x14ac:dyDescent="0.25">
      <c r="C515" s="6">
        <v>508</v>
      </c>
      <c r="D515" s="37">
        <v>42726</v>
      </c>
      <c r="E515" s="39">
        <v>17.341000000000001</v>
      </c>
      <c r="F515" s="39">
        <v>2.6821399559011252</v>
      </c>
      <c r="G515" s="39">
        <v>49.714706039321612</v>
      </c>
      <c r="H515" s="39">
        <v>64.152257166067059</v>
      </c>
      <c r="I515" s="10">
        <v>0</v>
      </c>
      <c r="J515" s="40">
        <v>0</v>
      </c>
      <c r="K515" s="40">
        <v>0</v>
      </c>
      <c r="L515" s="40">
        <v>0</v>
      </c>
      <c r="M515" s="40">
        <v>0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29">
        <f t="array" aca="1" ref="T515" ca="1">+fair_value_gap(OFFSET(S514,0,0,-1*$I$5,-1*$Z$1),OFFSET(E514,0,0,-1*$I$5,1),F515:S515,0)</f>
        <v>17.134908053628237</v>
      </c>
      <c r="U515" s="9" cm="1">
        <f t="array" aca="1" ref="U515" ca="1">z_score_diff(OFFSET(T515,0,0,$I$5*-1,1),OFFSET(E515,0,0,$I$5*-1,1))</f>
        <v>-0.21061043433108817</v>
      </c>
      <c r="V515" s="9">
        <f t="shared" ca="1" si="63"/>
        <v>-0.10443285576623677</v>
      </c>
      <c r="W515" s="17">
        <f t="shared" ca="1" si="60"/>
        <v>-2.1273057944785078E-2</v>
      </c>
      <c r="X515" s="13">
        <f t="shared" ca="1" si="61"/>
        <v>0</v>
      </c>
      <c r="Y515" s="13">
        <f t="shared" ca="1" si="62"/>
        <v>0</v>
      </c>
      <c r="Z515">
        <f t="shared" ca="1" si="64"/>
        <v>1</v>
      </c>
      <c r="AA515">
        <f t="shared" ca="1" si="65"/>
        <v>0</v>
      </c>
      <c r="AB515" s="24">
        <f t="shared" ca="1" si="66"/>
        <v>-2.1273057944785078E-2</v>
      </c>
      <c r="AC515" s="24">
        <f t="shared" ca="1" si="67"/>
        <v>0</v>
      </c>
    </row>
    <row r="516" spans="3:29" x14ac:dyDescent="0.25">
      <c r="C516" s="6">
        <v>509</v>
      </c>
      <c r="D516" s="37">
        <v>42727</v>
      </c>
      <c r="E516" s="39">
        <v>17.154</v>
      </c>
      <c r="F516" s="39">
        <v>2.6774208501367447</v>
      </c>
      <c r="G516" s="39">
        <v>49.406942920790186</v>
      </c>
      <c r="H516" s="39">
        <v>64.617809298660362</v>
      </c>
      <c r="I516" s="10">
        <v>0</v>
      </c>
      <c r="J516" s="40">
        <v>0</v>
      </c>
      <c r="K516" s="40">
        <v>0</v>
      </c>
      <c r="L516" s="40">
        <v>0</v>
      </c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29">
        <f t="array" aca="1" ref="T516" ca="1">+fair_value_gap(OFFSET(S515,0,0,-1*$I$5,-1*$Z$1),OFFSET(E515,0,0,-1*$I$5,1),F516:S516,0)</f>
        <v>17.060043024769438</v>
      </c>
      <c r="U516" s="9" cm="1">
        <f t="array" aca="1" ref="U516" ca="1">z_score_diff(OFFSET(T516,0,0,$I$5*-1,1),OFFSET(E516,0,0,$I$5*-1,1))</f>
        <v>-0.13864084022588419</v>
      </c>
      <c r="V516" s="9">
        <f t="shared" ca="1" si="63"/>
        <v>-0.10754267253529565</v>
      </c>
      <c r="W516" s="17">
        <f t="shared" ca="1" si="60"/>
        <v>-2.0316925316972489E-2</v>
      </c>
      <c r="X516" s="13">
        <f t="shared" ca="1" si="61"/>
        <v>0</v>
      </c>
      <c r="Y516" s="13">
        <f t="shared" ca="1" si="62"/>
        <v>0</v>
      </c>
      <c r="Z516">
        <f t="shared" ca="1" si="64"/>
        <v>1</v>
      </c>
      <c r="AA516">
        <f t="shared" ca="1" si="65"/>
        <v>0</v>
      </c>
      <c r="AB516" s="24">
        <f t="shared" ca="1" si="66"/>
        <v>-2.0316925316972489E-2</v>
      </c>
      <c r="AC516" s="24">
        <f t="shared" ca="1" si="67"/>
        <v>0</v>
      </c>
    </row>
    <row r="517" spans="3:29" x14ac:dyDescent="0.25">
      <c r="C517" s="6">
        <v>510</v>
      </c>
      <c r="D517" s="37">
        <v>42731</v>
      </c>
      <c r="E517" s="39">
        <v>17.355</v>
      </c>
      <c r="F517" s="39">
        <v>2.6943835033658941</v>
      </c>
      <c r="G517" s="39">
        <v>49.315708411768242</v>
      </c>
      <c r="H517" s="39">
        <v>64.602177566082844</v>
      </c>
      <c r="I517" s="10">
        <v>0</v>
      </c>
      <c r="J517" s="40">
        <v>0</v>
      </c>
      <c r="K517" s="40">
        <v>0</v>
      </c>
      <c r="L517" s="40">
        <v>0</v>
      </c>
      <c r="M517" s="40">
        <v>0</v>
      </c>
      <c r="N517" s="40">
        <v>0</v>
      </c>
      <c r="O517" s="40">
        <v>0</v>
      </c>
      <c r="P517" s="40">
        <v>0</v>
      </c>
      <c r="Q517" s="40">
        <v>0</v>
      </c>
      <c r="R517" s="40">
        <v>0</v>
      </c>
      <c r="S517" s="40">
        <v>0</v>
      </c>
      <c r="T517" s="29">
        <f t="array" aca="1" ref="T517" ca="1">+fair_value_gap(OFFSET(S516,0,0,-1*$I$5,-1*$Z$1),OFFSET(E516,0,0,-1*$I$5,1),F517:S517,0)</f>
        <v>17.047881250238927</v>
      </c>
      <c r="U517" s="9" cm="1">
        <f t="array" aca="1" ref="U517" ca="1">z_score_diff(OFFSET(T517,0,0,$I$5*-1,1),OFFSET(E517,0,0,$I$5*-1,1))</f>
        <v>-0.27047885149669759</v>
      </c>
      <c r="V517" s="9">
        <f t="shared" ca="1" si="63"/>
        <v>-0.12112068744874581</v>
      </c>
      <c r="W517" s="17">
        <f t="shared" ca="1" si="60"/>
        <v>-3.4706572664608679E-2</v>
      </c>
      <c r="X517" s="13">
        <f t="shared" ca="1" si="61"/>
        <v>0</v>
      </c>
      <c r="Y517" s="13">
        <f t="shared" ca="1" si="62"/>
        <v>0</v>
      </c>
      <c r="Z517">
        <f t="shared" ca="1" si="64"/>
        <v>1</v>
      </c>
      <c r="AA517">
        <f t="shared" ca="1" si="65"/>
        <v>0</v>
      </c>
      <c r="AB517" s="24">
        <f t="shared" ca="1" si="66"/>
        <v>-3.4706572664608679E-2</v>
      </c>
      <c r="AC517" s="24">
        <f t="shared" ca="1" si="67"/>
        <v>0</v>
      </c>
    </row>
    <row r="518" spans="3:29" x14ac:dyDescent="0.25">
      <c r="C518" s="6">
        <v>511</v>
      </c>
      <c r="D518" s="37">
        <v>42732</v>
      </c>
      <c r="E518" s="39">
        <v>17.443999999999999</v>
      </c>
      <c r="F518" s="39">
        <v>2.7097466988070402</v>
      </c>
      <c r="G518" s="39">
        <v>50.422363896616226</v>
      </c>
      <c r="H518" s="39">
        <v>65.483214857652072</v>
      </c>
      <c r="I518" s="10">
        <v>0</v>
      </c>
      <c r="J518" s="40">
        <v>0</v>
      </c>
      <c r="K518" s="40">
        <v>0</v>
      </c>
      <c r="L518" s="40">
        <v>0</v>
      </c>
      <c r="M518" s="40">
        <v>0</v>
      </c>
      <c r="N518" s="40">
        <v>0</v>
      </c>
      <c r="O518" s="40">
        <v>0</v>
      </c>
      <c r="P518" s="40">
        <v>0</v>
      </c>
      <c r="Q518" s="40">
        <v>0</v>
      </c>
      <c r="R518" s="40">
        <v>0</v>
      </c>
      <c r="S518" s="40">
        <v>0</v>
      </c>
      <c r="T518" s="29">
        <f t="array" aca="1" ref="T518" ca="1">+fair_value_gap(OFFSET(S517,0,0,-1*$I$5,-1*$Z$1),OFFSET(E517,0,0,-1*$I$5,1),F518:S518,0)</f>
        <v>17.419618723220882</v>
      </c>
      <c r="U518" s="9" cm="1">
        <f t="array" aca="1" ref="U518" ca="1">z_score_diff(OFFSET(T518,0,0,$I$5*-1,1),OFFSET(E518,0,0,$I$5*-1,1))</f>
        <v>-9.6261117111257732E-2</v>
      </c>
      <c r="V518" s="9">
        <f t="shared" ca="1" si="63"/>
        <v>-0.11920841280740056</v>
      </c>
      <c r="W518" s="17">
        <f t="shared" ca="1" si="60"/>
        <v>-3.8510119548521668E-2</v>
      </c>
      <c r="X518" s="13">
        <f t="shared" ca="1" si="61"/>
        <v>0</v>
      </c>
      <c r="Y518" s="13">
        <f t="shared" ca="1" si="62"/>
        <v>0</v>
      </c>
      <c r="Z518">
        <f t="shared" ca="1" si="64"/>
        <v>1</v>
      </c>
      <c r="AA518">
        <f t="shared" ca="1" si="65"/>
        <v>0</v>
      </c>
      <c r="AB518" s="24">
        <f t="shared" ca="1" si="66"/>
        <v>-3.8510119548521668E-2</v>
      </c>
      <c r="AC518" s="24">
        <f t="shared" ca="1" si="67"/>
        <v>0</v>
      </c>
    </row>
    <row r="519" spans="3:29" x14ac:dyDescent="0.25">
      <c r="C519" s="6">
        <v>512</v>
      </c>
      <c r="D519" s="37">
        <v>42733</v>
      </c>
      <c r="E519" s="39">
        <v>17.498000000000001</v>
      </c>
      <c r="F519" s="39">
        <v>2.711077042854805</v>
      </c>
      <c r="G519" s="39">
        <v>51.00270746575903</v>
      </c>
      <c r="H519" s="39">
        <v>64.956740198004795</v>
      </c>
      <c r="I519" s="10">
        <v>0</v>
      </c>
      <c r="J519" s="40">
        <v>0</v>
      </c>
      <c r="K519" s="40">
        <v>0</v>
      </c>
      <c r="L519" s="40">
        <v>0</v>
      </c>
      <c r="M519" s="40">
        <v>0</v>
      </c>
      <c r="N519" s="40">
        <v>0</v>
      </c>
      <c r="O519" s="40">
        <v>0</v>
      </c>
      <c r="P519" s="40">
        <v>0</v>
      </c>
      <c r="Q519" s="40">
        <v>0</v>
      </c>
      <c r="R519" s="40">
        <v>0</v>
      </c>
      <c r="S519" s="40">
        <v>0</v>
      </c>
      <c r="T519" s="29">
        <f t="array" aca="1" ref="T519" ca="1">+fair_value_gap(OFFSET(S518,0,0,-1*$I$5,-1*$Z$1),OFFSET(E518,0,0,-1*$I$5,1),F519:S519,0)</f>
        <v>17.585988647290826</v>
      </c>
      <c r="U519" s="9" cm="1">
        <f t="array" aca="1" ref="U519" ca="1">z_score_diff(OFFSET(T519,0,0,$I$5*-1,1),OFFSET(E519,0,0,$I$5*-1,1))</f>
        <v>-2.7234763657308703E-2</v>
      </c>
      <c r="V519" s="9">
        <f t="shared" ca="1" si="63"/>
        <v>-0.11263886643953687</v>
      </c>
      <c r="W519" s="17">
        <f t="shared" ref="W519:W582" ca="1" si="68">+LN(OFFSET(E519,$W$3,0,1,1)/E519)</f>
        <v>-4.0053154633151282E-2</v>
      </c>
      <c r="X519" s="13">
        <f t="shared" ca="1" si="61"/>
        <v>0</v>
      </c>
      <c r="Y519" s="13">
        <f t="shared" ca="1" si="62"/>
        <v>0</v>
      </c>
      <c r="Z519">
        <f t="shared" ca="1" si="64"/>
        <v>1</v>
      </c>
      <c r="AA519">
        <f t="shared" ca="1" si="65"/>
        <v>0</v>
      </c>
      <c r="AB519" s="24">
        <f t="shared" ca="1" si="66"/>
        <v>-4.0053154633151282E-2</v>
      </c>
      <c r="AC519" s="24">
        <f t="shared" ca="1" si="67"/>
        <v>0</v>
      </c>
    </row>
    <row r="520" spans="3:29" x14ac:dyDescent="0.25">
      <c r="C520" s="6">
        <v>513</v>
      </c>
      <c r="D520" s="37">
        <v>42734</v>
      </c>
      <c r="E520" s="39">
        <v>17.721</v>
      </c>
      <c r="F520" s="39">
        <v>2.7126625982878854</v>
      </c>
      <c r="G520" s="39">
        <v>52.043528154071005</v>
      </c>
      <c r="H520" s="39">
        <v>65.648280227273148</v>
      </c>
      <c r="I520" s="10">
        <v>0</v>
      </c>
      <c r="J520" s="40">
        <v>0</v>
      </c>
      <c r="K520" s="40">
        <v>0</v>
      </c>
      <c r="L520" s="40">
        <v>0</v>
      </c>
      <c r="M520" s="40">
        <v>0</v>
      </c>
      <c r="N520" s="40">
        <v>0</v>
      </c>
      <c r="O520" s="40">
        <v>0</v>
      </c>
      <c r="P520" s="40">
        <v>0</v>
      </c>
      <c r="Q520" s="40">
        <v>0</v>
      </c>
      <c r="R520" s="40">
        <v>0</v>
      </c>
      <c r="S520" s="40">
        <v>0</v>
      </c>
      <c r="T520" s="29">
        <f t="array" aca="1" ref="T520" ca="1">+fair_value_gap(OFFSET(S519,0,0,-1*$I$5,-1*$Z$1),OFFSET(E519,0,0,-1*$I$5,1),F520:S520,0)</f>
        <v>17.900287348735191</v>
      </c>
      <c r="U520" s="9" cm="1">
        <f t="array" aca="1" ref="U520" ca="1">z_score_diff(OFFSET(T520,0,0,$I$5*-1,1),OFFSET(E520,0,0,$I$5*-1,1))</f>
        <v>2.682261114301232E-2</v>
      </c>
      <c r="V520" s="9">
        <f t="shared" ca="1" si="63"/>
        <v>-0.10334143460070025</v>
      </c>
      <c r="W520" s="17">
        <f t="shared" ca="1" si="68"/>
        <v>-5.7068793382525546E-2</v>
      </c>
      <c r="X520" s="13">
        <f t="shared" ca="1" si="61"/>
        <v>0</v>
      </c>
      <c r="Y520" s="13">
        <f t="shared" ca="1" si="62"/>
        <v>0</v>
      </c>
      <c r="Z520">
        <f t="shared" ca="1" si="64"/>
        <v>1</v>
      </c>
      <c r="AA520">
        <f t="shared" ca="1" si="65"/>
        <v>0</v>
      </c>
      <c r="AB520" s="24">
        <f t="shared" ca="1" si="66"/>
        <v>-5.7068793382525546E-2</v>
      </c>
      <c r="AC520" s="24">
        <f t="shared" ca="1" si="67"/>
        <v>0</v>
      </c>
    </row>
    <row r="521" spans="3:29" x14ac:dyDescent="0.25">
      <c r="C521" s="6">
        <v>514</v>
      </c>
      <c r="D521" s="37">
        <v>42737</v>
      </c>
      <c r="E521" s="39">
        <v>17.463000000000001</v>
      </c>
      <c r="F521" s="39">
        <v>2.7258819711649904</v>
      </c>
      <c r="G521" s="39">
        <v>52.185529512954353</v>
      </c>
      <c r="H521" s="39">
        <v>65.968198043669759</v>
      </c>
      <c r="I521" s="10">
        <v>1</v>
      </c>
      <c r="J521" s="40">
        <v>0</v>
      </c>
      <c r="K521" s="40">
        <v>0</v>
      </c>
      <c r="L521" s="40">
        <v>0</v>
      </c>
      <c r="M521" s="40">
        <v>0</v>
      </c>
      <c r="N521" s="40">
        <v>0</v>
      </c>
      <c r="O521" s="40">
        <v>0</v>
      </c>
      <c r="P521" s="40">
        <v>0</v>
      </c>
      <c r="Q521" s="40">
        <v>0</v>
      </c>
      <c r="R521" s="40">
        <v>0</v>
      </c>
      <c r="S521" s="40">
        <v>0</v>
      </c>
      <c r="T521" s="29">
        <f t="array" aca="1" ref="T521" ca="1">+fair_value_gap(OFFSET(S520,0,0,-1*$I$5,-1*$Z$1),OFFSET(E520,0,0,-1*$I$5,1),F521:S521,0)</f>
        <v>18.17994280202382</v>
      </c>
      <c r="U521" s="9" cm="1">
        <f t="array" aca="1" ref="U521" ca="1">z_score_diff(OFFSET(T521,0,0,$I$5*-1,1),OFFSET(E521,0,0,$I$5*-1,1))</f>
        <v>0.35678973129517777</v>
      </c>
      <c r="V521" s="9">
        <f t="shared" ca="1" si="63"/>
        <v>-7.4583236732207875E-2</v>
      </c>
      <c r="W521" s="17">
        <f t="shared" ca="1" si="68"/>
        <v>-2.7341711898179875E-2</v>
      </c>
      <c r="X521" s="13">
        <f t="shared" ref="X521:X584" ca="1" si="69">+X520</f>
        <v>0</v>
      </c>
      <c r="Y521" s="13">
        <f t="shared" ref="Y521:Y584" ca="1" si="70">+Y520</f>
        <v>0</v>
      </c>
      <c r="Z521">
        <f t="shared" ca="1" si="64"/>
        <v>1</v>
      </c>
      <c r="AA521">
        <f t="shared" ca="1" si="65"/>
        <v>0</v>
      </c>
      <c r="AB521" s="24">
        <f t="shared" ca="1" si="66"/>
        <v>-2.7341711898179875E-2</v>
      </c>
      <c r="AC521" s="24">
        <f t="shared" ca="1" si="67"/>
        <v>0</v>
      </c>
    </row>
    <row r="522" spans="3:29" x14ac:dyDescent="0.25">
      <c r="C522" s="6">
        <v>515</v>
      </c>
      <c r="D522" s="37">
        <v>42738</v>
      </c>
      <c r="E522" s="39">
        <v>17.041</v>
      </c>
      <c r="F522" s="39">
        <v>2.7062906118266294</v>
      </c>
      <c r="G522" s="39">
        <v>49.099361847453366</v>
      </c>
      <c r="H522" s="39">
        <v>63.39520693108507</v>
      </c>
      <c r="I522" s="10">
        <v>1</v>
      </c>
      <c r="J522" s="40">
        <v>0</v>
      </c>
      <c r="K522" s="40">
        <v>0</v>
      </c>
      <c r="L522" s="40">
        <v>0</v>
      </c>
      <c r="M522" s="40">
        <v>0</v>
      </c>
      <c r="N522" s="40">
        <v>0</v>
      </c>
      <c r="O522" s="40">
        <v>0</v>
      </c>
      <c r="P522" s="40">
        <v>0</v>
      </c>
      <c r="Q522" s="40">
        <v>0</v>
      </c>
      <c r="R522" s="40">
        <v>0</v>
      </c>
      <c r="S522" s="40">
        <v>0</v>
      </c>
      <c r="T522" s="29">
        <f t="array" aca="1" ref="T522" ca="1">+fair_value_gap(OFFSET(S521,0,0,-1*$I$5,-1*$Z$1),OFFSET(E521,0,0,-1*$I$5,1),F522:S522,0)</f>
        <v>17.003304878370749</v>
      </c>
      <c r="U522" s="9" cm="1">
        <f t="array" aca="1" ref="U522" ca="1">z_score_diff(OFFSET(T522,0,0,$I$5*-1,1),OFFSET(E522,0,0,$I$5*-1,1))</f>
        <v>-0.10326709504069043</v>
      </c>
      <c r="V522" s="9">
        <f t="shared" ca="1" si="63"/>
        <v>-7.6270522515059794E-2</v>
      </c>
      <c r="W522" s="17">
        <f t="shared" ca="1" si="68"/>
        <v>-5.1773958094396971E-3</v>
      </c>
      <c r="X522" s="13">
        <f t="shared" ca="1" si="69"/>
        <v>0</v>
      </c>
      <c r="Y522" s="13">
        <f t="shared" ca="1" si="70"/>
        <v>0</v>
      </c>
      <c r="Z522">
        <f t="shared" ca="1" si="64"/>
        <v>1</v>
      </c>
      <c r="AA522">
        <f t="shared" ca="1" si="65"/>
        <v>0</v>
      </c>
      <c r="AB522" s="24">
        <f t="shared" ca="1" si="66"/>
        <v>-5.1773958094396971E-3</v>
      </c>
      <c r="AC522" s="24">
        <f t="shared" ca="1" si="67"/>
        <v>0</v>
      </c>
    </row>
    <row r="523" spans="3:29" x14ac:dyDescent="0.25">
      <c r="C523" s="6">
        <v>516</v>
      </c>
      <c r="D523" s="37">
        <v>42739</v>
      </c>
      <c r="E523" s="39">
        <v>17.074000000000002</v>
      </c>
      <c r="F523" s="39">
        <v>2.6681439336487633</v>
      </c>
      <c r="G523" s="39">
        <v>49.921931828185159</v>
      </c>
      <c r="H523" s="39">
        <v>63.351077800672542</v>
      </c>
      <c r="I523" s="10">
        <v>1</v>
      </c>
      <c r="J523" s="40">
        <v>0</v>
      </c>
      <c r="K523" s="40">
        <v>0</v>
      </c>
      <c r="L523" s="40">
        <v>0</v>
      </c>
      <c r="M523" s="40">
        <v>0</v>
      </c>
      <c r="N523" s="40">
        <v>0</v>
      </c>
      <c r="O523" s="40">
        <v>0</v>
      </c>
      <c r="P523" s="40">
        <v>0</v>
      </c>
      <c r="Q523" s="40">
        <v>0</v>
      </c>
      <c r="R523" s="40">
        <v>0</v>
      </c>
      <c r="S523" s="40">
        <v>0</v>
      </c>
      <c r="T523" s="29">
        <f t="array" aca="1" ref="T523" ca="1">+fair_value_gap(OFFSET(S522,0,0,-1*$I$5,-1*$Z$1),OFFSET(E522,0,0,-1*$I$5,1),F523:S523,0)</f>
        <v>17.228795379759159</v>
      </c>
      <c r="U523" s="9" cm="1">
        <f t="array" aca="1" ref="U523" ca="1">z_score_diff(OFFSET(T523,0,0,$I$5*-1,1),OFFSET(E523,0,0,$I$5*-1,1))</f>
        <v>1.5288958682853515E-2</v>
      </c>
      <c r="V523" s="9">
        <f t="shared" ref="V523:V586" ca="1" si="71">+IF(ISERROR(AVERAGE(OFFSET(U523,0,0,$V$5*-1,1))),"",AVERAGE(OFFSET(U523,0,0,$V$5*-1,1)))</f>
        <v>-7.1183884670731279E-2</v>
      </c>
      <c r="W523" s="17">
        <f t="shared" ca="1" si="68"/>
        <v>-1.0124880465824125E-2</v>
      </c>
      <c r="X523" s="13">
        <f t="shared" ca="1" si="69"/>
        <v>0</v>
      </c>
      <c r="Y523" s="13">
        <f t="shared" ca="1" si="70"/>
        <v>0</v>
      </c>
      <c r="Z523">
        <f t="shared" ref="Z523:Z586" ca="1" si="72">+IF(V523="","",IF(V523&lt;X523,1,0))</f>
        <v>1</v>
      </c>
      <c r="AA523">
        <f t="shared" ref="AA523:AA586" ca="1" si="73">+IF(V523="","",IF(V523&gt;Y523,1,0))</f>
        <v>0</v>
      </c>
      <c r="AB523" s="24">
        <f t="shared" ref="AB523:AB586" ca="1" si="74">+IF(ISERROR(Z523*W523),"",Z523*W523)</f>
        <v>-1.0124880465824125E-2</v>
      </c>
      <c r="AC523" s="24">
        <f t="shared" ref="AC523:AC586" ca="1" si="75">+IF(ISERROR(AA523*W523),"",AA523*W523)</f>
        <v>0</v>
      </c>
    </row>
    <row r="524" spans="3:29" x14ac:dyDescent="0.25">
      <c r="C524" s="6">
        <v>517</v>
      </c>
      <c r="D524" s="37">
        <v>42740</v>
      </c>
      <c r="E524" s="39">
        <v>16.969000000000001</v>
      </c>
      <c r="F524" s="39">
        <v>2.6401203148384642</v>
      </c>
      <c r="G524" s="39">
        <v>49.524614507051687</v>
      </c>
      <c r="H524" s="39">
        <v>63.944702012199812</v>
      </c>
      <c r="I524" s="10">
        <v>1</v>
      </c>
      <c r="J524" s="40">
        <v>0</v>
      </c>
      <c r="K524" s="40">
        <v>0</v>
      </c>
      <c r="L524" s="40">
        <v>0</v>
      </c>
      <c r="M524" s="40">
        <v>0</v>
      </c>
      <c r="N524" s="40">
        <v>0</v>
      </c>
      <c r="O524" s="40">
        <v>0</v>
      </c>
      <c r="P524" s="40">
        <v>0</v>
      </c>
      <c r="Q524" s="40">
        <v>0</v>
      </c>
      <c r="R524" s="40">
        <v>0</v>
      </c>
      <c r="S524" s="40">
        <v>0</v>
      </c>
      <c r="T524" s="29">
        <f t="array" aca="1" ref="T524" ca="1">+fair_value_gap(OFFSET(S523,0,0,-1*$I$5,-1*$Z$1),OFFSET(E523,0,0,-1*$I$5,1),F524:S524,0)</f>
        <v>17.06330151686161</v>
      </c>
      <c r="U524" s="9" cm="1">
        <f t="array" aca="1" ref="U524" ca="1">z_score_diff(OFFSET(T524,0,0,$I$5*-1,1),OFFSET(E524,0,0,$I$5*-1,1))</f>
        <v>-2.1164303959412267E-2</v>
      </c>
      <c r="V524" s="9">
        <f t="shared" ca="1" si="71"/>
        <v>-6.8551275159609223E-2</v>
      </c>
      <c r="W524" s="17">
        <f t="shared" ca="1" si="68"/>
        <v>4.5274221094166942E-3</v>
      </c>
      <c r="X524" s="13">
        <f t="shared" ca="1" si="69"/>
        <v>0</v>
      </c>
      <c r="Y524" s="13">
        <f t="shared" ca="1" si="70"/>
        <v>0</v>
      </c>
      <c r="Z524">
        <f t="shared" ca="1" si="72"/>
        <v>1</v>
      </c>
      <c r="AA524">
        <f t="shared" ca="1" si="73"/>
        <v>0</v>
      </c>
      <c r="AB524" s="24">
        <f t="shared" ca="1" si="74"/>
        <v>4.5274221094166942E-3</v>
      </c>
      <c r="AC524" s="24">
        <f t="shared" ca="1" si="75"/>
        <v>0</v>
      </c>
    </row>
    <row r="525" spans="3:29" x14ac:dyDescent="0.25">
      <c r="C525" s="6">
        <v>518</v>
      </c>
      <c r="D525" s="37">
        <v>42741</v>
      </c>
      <c r="E525" s="39">
        <v>16.704999999999998</v>
      </c>
      <c r="F525" s="39">
        <v>2.65632964618462</v>
      </c>
      <c r="G525" s="39">
        <v>48.500978185486055</v>
      </c>
      <c r="H525" s="39">
        <v>63.30290254849389</v>
      </c>
      <c r="I525" s="10">
        <v>1</v>
      </c>
      <c r="J525" s="40">
        <v>0</v>
      </c>
      <c r="K525" s="40">
        <v>0</v>
      </c>
      <c r="L525" s="40">
        <v>0</v>
      </c>
      <c r="M525" s="40">
        <v>0</v>
      </c>
      <c r="N525" s="40">
        <v>0</v>
      </c>
      <c r="O525" s="40">
        <v>0</v>
      </c>
      <c r="P525" s="40">
        <v>0</v>
      </c>
      <c r="Q525" s="40">
        <v>0</v>
      </c>
      <c r="R525" s="40">
        <v>0</v>
      </c>
      <c r="S525" s="40">
        <v>0</v>
      </c>
      <c r="T525" s="29">
        <f t="array" aca="1" ref="T525" ca="1">+fair_value_gap(OFFSET(S524,0,0,-1*$I$5,-1*$Z$1),OFFSET(E524,0,0,-1*$I$5,1),F525:S525,0)</f>
        <v>16.74579035211724</v>
      </c>
      <c r="U525" s="9" cm="1">
        <f t="array" aca="1" ref="U525" ca="1">z_score_diff(OFFSET(T525,0,0,$I$5*-1,1),OFFSET(E525,0,0,$I$5*-1,1))</f>
        <v>-5.1995110355816498E-2</v>
      </c>
      <c r="V525" s="9">
        <f t="shared" ca="1" si="71"/>
        <v>-6.7723466919419578E-2</v>
      </c>
      <c r="W525" s="17">
        <f t="shared" ca="1" si="68"/>
        <v>8.2864344909616746E-3</v>
      </c>
      <c r="X525" s="13">
        <f t="shared" ca="1" si="69"/>
        <v>0</v>
      </c>
      <c r="Y525" s="13">
        <f t="shared" ca="1" si="70"/>
        <v>0</v>
      </c>
      <c r="Z525">
        <f t="shared" ca="1" si="72"/>
        <v>1</v>
      </c>
      <c r="AA525">
        <f t="shared" ca="1" si="73"/>
        <v>0</v>
      </c>
      <c r="AB525" s="24">
        <f t="shared" ca="1" si="74"/>
        <v>8.2864344909616746E-3</v>
      </c>
      <c r="AC525" s="24">
        <f t="shared" ca="1" si="75"/>
        <v>0</v>
      </c>
    </row>
    <row r="526" spans="3:29" x14ac:dyDescent="0.25">
      <c r="C526" s="6">
        <v>519</v>
      </c>
      <c r="D526" s="37">
        <v>42744</v>
      </c>
      <c r="E526" s="39">
        <v>16.916</v>
      </c>
      <c r="F526" s="39">
        <v>2.6161111365824588</v>
      </c>
      <c r="G526" s="39">
        <v>48.826606528146804</v>
      </c>
      <c r="H526" s="39">
        <v>62.216312869652924</v>
      </c>
      <c r="I526" s="10">
        <v>1</v>
      </c>
      <c r="J526" s="40">
        <v>0</v>
      </c>
      <c r="K526" s="40">
        <v>0</v>
      </c>
      <c r="L526" s="40">
        <v>0</v>
      </c>
      <c r="M526" s="40">
        <v>0</v>
      </c>
      <c r="N526" s="40">
        <v>0</v>
      </c>
      <c r="O526" s="40">
        <v>0</v>
      </c>
      <c r="P526" s="40">
        <v>0</v>
      </c>
      <c r="Q526" s="40">
        <v>0</v>
      </c>
      <c r="R526" s="40">
        <v>0</v>
      </c>
      <c r="S526" s="40">
        <v>0</v>
      </c>
      <c r="T526" s="29">
        <f t="array" aca="1" ref="T526" ca="1">+fair_value_gap(OFFSET(S525,0,0,-1*$I$5,-1*$Z$1),OFFSET(E525,0,0,-1*$I$5,1),F526:S526,0)</f>
        <v>16.800806093179023</v>
      </c>
      <c r="U526" s="9" cm="1">
        <f t="array" aca="1" ref="U526" ca="1">z_score_diff(OFFSET(T526,0,0,$I$5*-1,1),OFFSET(E526,0,0,$I$5*-1,1))</f>
        <v>-0.15202029044681553</v>
      </c>
      <c r="V526" s="9">
        <f t="shared" ca="1" si="71"/>
        <v>-7.17376013731051E-2</v>
      </c>
      <c r="W526" s="17">
        <f t="shared" ca="1" si="68"/>
        <v>-2.0123085352913926E-2</v>
      </c>
      <c r="X526" s="13">
        <f t="shared" ca="1" si="69"/>
        <v>0</v>
      </c>
      <c r="Y526" s="13">
        <f t="shared" ca="1" si="70"/>
        <v>0</v>
      </c>
      <c r="Z526">
        <f t="shared" ca="1" si="72"/>
        <v>1</v>
      </c>
      <c r="AA526">
        <f t="shared" ca="1" si="73"/>
        <v>0</v>
      </c>
      <c r="AB526" s="24">
        <f t="shared" ca="1" si="74"/>
        <v>-2.0123085352913926E-2</v>
      </c>
      <c r="AC526" s="24">
        <f t="shared" ca="1" si="75"/>
        <v>0</v>
      </c>
    </row>
    <row r="527" spans="3:29" x14ac:dyDescent="0.25">
      <c r="C527" s="6">
        <v>520</v>
      </c>
      <c r="D527" s="37">
        <v>42745</v>
      </c>
      <c r="E527" s="39">
        <v>17.196000000000002</v>
      </c>
      <c r="F527" s="39">
        <v>2.6599502692981734</v>
      </c>
      <c r="G527" s="39">
        <v>49.906708997979642</v>
      </c>
      <c r="H527" s="39">
        <v>63.81495040692927</v>
      </c>
      <c r="I527" s="10">
        <v>1</v>
      </c>
      <c r="J527" s="40">
        <v>0</v>
      </c>
      <c r="K527" s="40">
        <v>0</v>
      </c>
      <c r="L527" s="40">
        <v>0</v>
      </c>
      <c r="M527" s="40">
        <v>0</v>
      </c>
      <c r="N527" s="40">
        <v>0</v>
      </c>
      <c r="O527" s="40">
        <v>0</v>
      </c>
      <c r="P527" s="40">
        <v>0</v>
      </c>
      <c r="Q527" s="40">
        <v>0</v>
      </c>
      <c r="R527" s="40">
        <v>0</v>
      </c>
      <c r="S527" s="40">
        <v>0</v>
      </c>
      <c r="T527" s="29">
        <f t="array" aca="1" ref="T527" ca="1">+fair_value_gap(OFFSET(S526,0,0,-1*$I$5,-1*$Z$1),OFFSET(E526,0,0,-1*$I$5,1),F527:S527,0)</f>
        <v>17.18246250504755</v>
      </c>
      <c r="U527" s="9" cm="1">
        <f t="array" aca="1" ref="U527" ca="1">z_score_diff(OFFSET(T527,0,0,$I$5*-1,1),OFFSET(E527,0,0,$I$5*-1,1))</f>
        <v>-9.1112665295706607E-2</v>
      </c>
      <c r="V527" s="9">
        <f t="shared" ca="1" si="71"/>
        <v>-7.2618286096859719E-2</v>
      </c>
      <c r="W527" s="17">
        <f t="shared" ca="1" si="68"/>
        <v>-5.3818486344510287E-2</v>
      </c>
      <c r="X527" s="13">
        <f t="shared" ca="1" si="69"/>
        <v>0</v>
      </c>
      <c r="Y527" s="13">
        <f t="shared" ca="1" si="70"/>
        <v>0</v>
      </c>
      <c r="Z527">
        <f t="shared" ca="1" si="72"/>
        <v>1</v>
      </c>
      <c r="AA527">
        <f t="shared" ca="1" si="73"/>
        <v>0</v>
      </c>
      <c r="AB527" s="24">
        <f t="shared" ca="1" si="74"/>
        <v>-5.3818486344510287E-2</v>
      </c>
      <c r="AC527" s="24">
        <f t="shared" ca="1" si="75"/>
        <v>0</v>
      </c>
    </row>
    <row r="528" spans="3:29" x14ac:dyDescent="0.25">
      <c r="C528" s="6">
        <v>521</v>
      </c>
      <c r="D528" s="37">
        <v>42746</v>
      </c>
      <c r="E528" s="39">
        <v>17.498000000000001</v>
      </c>
      <c r="F528" s="39">
        <v>2.6621951800255692</v>
      </c>
      <c r="G528" s="39">
        <v>50.624236566704575</v>
      </c>
      <c r="H528" s="39">
        <v>66.623563586811201</v>
      </c>
      <c r="I528" s="10">
        <v>1</v>
      </c>
      <c r="J528" s="40">
        <v>0</v>
      </c>
      <c r="K528" s="40">
        <v>0</v>
      </c>
      <c r="L528" s="40">
        <v>0</v>
      </c>
      <c r="M528" s="40">
        <v>0</v>
      </c>
      <c r="N528" s="40">
        <v>0</v>
      </c>
      <c r="O528" s="40">
        <v>0</v>
      </c>
      <c r="P528" s="40">
        <v>0</v>
      </c>
      <c r="Q528" s="40">
        <v>0</v>
      </c>
      <c r="R528" s="40">
        <v>0</v>
      </c>
      <c r="S528" s="40">
        <v>0</v>
      </c>
      <c r="T528" s="29">
        <f t="array" aca="1" ref="T528" ca="1">+fair_value_gap(OFFSET(S527,0,0,-1*$I$5,-1*$Z$1),OFFSET(E527,0,0,-1*$I$5,1),F528:S528,0)</f>
        <v>17.419361857078993</v>
      </c>
      <c r="U528" s="9" cm="1">
        <f t="array" aca="1" ref="U528" ca="1">z_score_diff(OFFSET(T528,0,0,$I$5*-1,1),OFFSET(E528,0,0,$I$5*-1,1))</f>
        <v>-0.13475376646684689</v>
      </c>
      <c r="V528" s="9">
        <f t="shared" ca="1" si="71"/>
        <v>-7.5319828721641779E-2</v>
      </c>
      <c r="W528" s="17">
        <f t="shared" ca="1" si="68"/>
        <v>-6.4622343753724221E-2</v>
      </c>
      <c r="X528" s="13">
        <f t="shared" ca="1" si="69"/>
        <v>0</v>
      </c>
      <c r="Y528" s="13">
        <f t="shared" ca="1" si="70"/>
        <v>0</v>
      </c>
      <c r="Z528">
        <f t="shared" ca="1" si="72"/>
        <v>1</v>
      </c>
      <c r="AA528">
        <f t="shared" ca="1" si="73"/>
        <v>0</v>
      </c>
      <c r="AB528" s="24">
        <f t="shared" ca="1" si="74"/>
        <v>-6.4622343753724221E-2</v>
      </c>
      <c r="AC528" s="24">
        <f t="shared" ca="1" si="75"/>
        <v>0</v>
      </c>
    </row>
    <row r="529" spans="3:29" x14ac:dyDescent="0.25">
      <c r="C529" s="6">
        <v>522</v>
      </c>
      <c r="D529" s="37">
        <v>42747</v>
      </c>
      <c r="E529" s="39">
        <v>17.361000000000001</v>
      </c>
      <c r="F529" s="39">
        <v>2.6769096018393492</v>
      </c>
      <c r="G529" s="39">
        <v>50.22569344352916</v>
      </c>
      <c r="H529" s="39">
        <v>67.059596365096169</v>
      </c>
      <c r="I529" s="10">
        <v>1</v>
      </c>
      <c r="J529" s="40">
        <v>0</v>
      </c>
      <c r="K529" s="40">
        <v>0</v>
      </c>
      <c r="L529" s="40">
        <v>0</v>
      </c>
      <c r="M529" s="40">
        <v>0</v>
      </c>
      <c r="N529" s="40">
        <v>0</v>
      </c>
      <c r="O529" s="40">
        <v>0</v>
      </c>
      <c r="P529" s="40">
        <v>0</v>
      </c>
      <c r="Q529" s="40">
        <v>0</v>
      </c>
      <c r="R529" s="40">
        <v>0</v>
      </c>
      <c r="S529" s="40">
        <v>0</v>
      </c>
      <c r="T529" s="29">
        <f t="array" aca="1" ref="T529" ca="1">+fair_value_gap(OFFSET(S528,0,0,-1*$I$5,-1*$Z$1),OFFSET(E528,0,0,-1*$I$5,1),F529:S529,0)</f>
        <v>17.321577775348473</v>
      </c>
      <c r="U529" s="9" cm="1">
        <f t="array" aca="1" ref="U529" ca="1">z_score_diff(OFFSET(T529,0,0,$I$5*-1,1),OFFSET(E529,0,0,$I$5*-1,1))</f>
        <v>-0.10806036771838379</v>
      </c>
      <c r="V529" s="9">
        <f t="shared" ca="1" si="71"/>
        <v>-7.6684017846506025E-2</v>
      </c>
      <c r="W529" s="17">
        <f t="shared" ca="1" si="68"/>
        <v>-6.9462013089896607E-2</v>
      </c>
      <c r="X529" s="13">
        <f t="shared" ca="1" si="69"/>
        <v>0</v>
      </c>
      <c r="Y529" s="13">
        <f t="shared" ca="1" si="70"/>
        <v>0</v>
      </c>
      <c r="Z529">
        <f t="shared" ca="1" si="72"/>
        <v>1</v>
      </c>
      <c r="AA529">
        <f t="shared" ca="1" si="73"/>
        <v>0</v>
      </c>
      <c r="AB529" s="24">
        <f t="shared" ca="1" si="74"/>
        <v>-6.9462013089896607E-2</v>
      </c>
      <c r="AC529" s="24">
        <f t="shared" ca="1" si="75"/>
        <v>0</v>
      </c>
    </row>
    <row r="530" spans="3:29" x14ac:dyDescent="0.25">
      <c r="C530" s="6">
        <v>523</v>
      </c>
      <c r="D530" s="37">
        <v>42748</v>
      </c>
      <c r="E530" s="39">
        <v>17.212</v>
      </c>
      <c r="F530" s="39">
        <v>2.678869901288973</v>
      </c>
      <c r="G530" s="39">
        <v>49.764404771594727</v>
      </c>
      <c r="H530" s="39">
        <v>66.265822957760207</v>
      </c>
      <c r="I530" s="10">
        <v>1</v>
      </c>
      <c r="J530" s="40">
        <v>0</v>
      </c>
      <c r="K530" s="40">
        <v>0</v>
      </c>
      <c r="L530" s="40">
        <v>0</v>
      </c>
      <c r="M530" s="40">
        <v>0</v>
      </c>
      <c r="N530" s="40">
        <v>0</v>
      </c>
      <c r="O530" s="40">
        <v>0</v>
      </c>
      <c r="P530" s="40">
        <v>0</v>
      </c>
      <c r="Q530" s="40">
        <v>0</v>
      </c>
      <c r="R530" s="40">
        <v>0</v>
      </c>
      <c r="S530" s="40">
        <v>0</v>
      </c>
      <c r="T530" s="29">
        <f t="array" aca="1" ref="T530" ca="1">+fair_value_gap(OFFSET(S529,0,0,-1*$I$5,-1*$Z$1),OFFSET(E529,0,0,-1*$I$5,1),F530:S530,0)</f>
        <v>17.184162315996545</v>
      </c>
      <c r="U530" s="9" cm="1">
        <f t="array" aca="1" ref="U530" ca="1">z_score_diff(OFFSET(T530,0,0,$I$5*-1,1),OFFSET(E530,0,0,$I$5*-1,1))</f>
        <v>-9.8832173416762648E-2</v>
      </c>
      <c r="V530" s="9">
        <f t="shared" ca="1" si="71"/>
        <v>-7.7569944069316291E-2</v>
      </c>
      <c r="W530" s="17">
        <f t="shared" ca="1" si="68"/>
        <v>-5.751390620060675E-2</v>
      </c>
      <c r="X530" s="13">
        <f t="shared" ca="1" si="69"/>
        <v>0</v>
      </c>
      <c r="Y530" s="13">
        <f t="shared" ca="1" si="70"/>
        <v>0</v>
      </c>
      <c r="Z530">
        <f t="shared" ca="1" si="72"/>
        <v>1</v>
      </c>
      <c r="AA530">
        <f t="shared" ca="1" si="73"/>
        <v>0</v>
      </c>
      <c r="AB530" s="24">
        <f t="shared" ca="1" si="74"/>
        <v>-5.751390620060675E-2</v>
      </c>
      <c r="AC530" s="24">
        <f t="shared" ca="1" si="75"/>
        <v>0</v>
      </c>
    </row>
    <row r="531" spans="3:29" x14ac:dyDescent="0.25">
      <c r="C531" s="6">
        <v>524</v>
      </c>
      <c r="D531" s="37">
        <v>42751</v>
      </c>
      <c r="E531" s="39">
        <v>16.916</v>
      </c>
      <c r="F531" s="39">
        <v>2.6878477477279872</v>
      </c>
      <c r="G531" s="39">
        <v>48.801423589633252</v>
      </c>
      <c r="H531" s="39">
        <v>66.487903314250616</v>
      </c>
      <c r="I531" s="10">
        <v>1</v>
      </c>
      <c r="J531" s="40">
        <v>0</v>
      </c>
      <c r="K531" s="40">
        <v>0</v>
      </c>
      <c r="L531" s="40">
        <v>0</v>
      </c>
      <c r="M531" s="40">
        <v>0</v>
      </c>
      <c r="N531" s="40">
        <v>0</v>
      </c>
      <c r="O531" s="40">
        <v>0</v>
      </c>
      <c r="P531" s="40">
        <v>0</v>
      </c>
      <c r="Q531" s="40">
        <v>0</v>
      </c>
      <c r="R531" s="40">
        <v>0</v>
      </c>
      <c r="S531" s="40">
        <v>0</v>
      </c>
      <c r="T531" s="29">
        <f t="array" aca="1" ref="T531" ca="1">+fair_value_gap(OFFSET(S530,0,0,-1*$I$5,-1*$Z$1),OFFSET(E530,0,0,-1*$I$5,1),F531:S531,0)</f>
        <v>16.909128902168362</v>
      </c>
      <c r="U531" s="9" cm="1">
        <f t="array" aca="1" ref="U531" ca="1">z_score_diff(OFFSET(T531,0,0,$I$5*-1,1),OFFSET(E531,0,0,$I$5*-1,1))</f>
        <v>-8.2147266484569381E-2</v>
      </c>
      <c r="V531" s="9">
        <f t="shared" ca="1" si="71"/>
        <v>-7.7745994931441409E-2</v>
      </c>
      <c r="W531" s="17">
        <f t="shared" ca="1" si="68"/>
        <v>-3.4093186216966706E-2</v>
      </c>
      <c r="X531" s="13">
        <f t="shared" ca="1" si="69"/>
        <v>0</v>
      </c>
      <c r="Y531" s="13">
        <f t="shared" ca="1" si="70"/>
        <v>0</v>
      </c>
      <c r="Z531">
        <f t="shared" ca="1" si="72"/>
        <v>1</v>
      </c>
      <c r="AA531">
        <f t="shared" ca="1" si="73"/>
        <v>0</v>
      </c>
      <c r="AB531" s="24">
        <f t="shared" ca="1" si="74"/>
        <v>-3.4093186216966706E-2</v>
      </c>
      <c r="AC531" s="24">
        <f t="shared" ca="1" si="75"/>
        <v>0</v>
      </c>
    </row>
    <row r="532" spans="3:29" x14ac:dyDescent="0.25">
      <c r="C532" s="6">
        <v>525</v>
      </c>
      <c r="D532" s="37">
        <v>42752</v>
      </c>
      <c r="E532" s="39">
        <v>17.169</v>
      </c>
      <c r="F532" s="39">
        <v>2.6667101161186606</v>
      </c>
      <c r="G532" s="39">
        <v>49.855369162786232</v>
      </c>
      <c r="H532" s="39">
        <v>69.609642881712489</v>
      </c>
      <c r="I532" s="10">
        <v>1</v>
      </c>
      <c r="J532" s="40">
        <v>0</v>
      </c>
      <c r="K532" s="40">
        <v>0</v>
      </c>
      <c r="L532" s="40">
        <v>0</v>
      </c>
      <c r="M532" s="40">
        <v>0</v>
      </c>
      <c r="N532" s="40">
        <v>0</v>
      </c>
      <c r="O532" s="40">
        <v>0</v>
      </c>
      <c r="P532" s="40">
        <v>0</v>
      </c>
      <c r="Q532" s="40">
        <v>0</v>
      </c>
      <c r="R532" s="40">
        <v>0</v>
      </c>
      <c r="S532" s="40">
        <v>0</v>
      </c>
      <c r="T532" s="29">
        <f t="array" aca="1" ref="T532" ca="1">+fair_value_gap(OFFSET(S531,0,0,-1*$I$5,-1*$Z$1),OFFSET(E531,0,0,-1*$I$5,1),F532:S532,0)</f>
        <v>17.228830146726125</v>
      </c>
      <c r="U532" s="9" cm="1">
        <f t="array" aca="1" ref="U532" ca="1">z_score_diff(OFFSET(T532,0,0,$I$5*-1,1),OFFSET(E532,0,0,$I$5*-1,1))</f>
        <v>-4.1756664479945305E-2</v>
      </c>
      <c r="V532" s="9">
        <f t="shared" ca="1" si="71"/>
        <v>-7.6413056766571175E-2</v>
      </c>
      <c r="W532" s="17">
        <f t="shared" ca="1" si="68"/>
        <v>-5.7292042527142796E-2</v>
      </c>
      <c r="X532" s="13">
        <f t="shared" ca="1" si="69"/>
        <v>0</v>
      </c>
      <c r="Y532" s="13">
        <f t="shared" ca="1" si="70"/>
        <v>0</v>
      </c>
      <c r="Z532">
        <f t="shared" ca="1" si="72"/>
        <v>1</v>
      </c>
      <c r="AA532">
        <f t="shared" ca="1" si="73"/>
        <v>0</v>
      </c>
      <c r="AB532" s="24">
        <f t="shared" ca="1" si="74"/>
        <v>-5.7292042527142796E-2</v>
      </c>
      <c r="AC532" s="24">
        <f t="shared" ca="1" si="75"/>
        <v>0</v>
      </c>
    </row>
    <row r="533" spans="3:29" x14ac:dyDescent="0.25">
      <c r="C533" s="6">
        <v>526</v>
      </c>
      <c r="D533" s="37">
        <v>42753</v>
      </c>
      <c r="E533" s="39">
        <v>17.244</v>
      </c>
      <c r="F533" s="39">
        <v>2.679832032281865</v>
      </c>
      <c r="G533" s="39">
        <v>49.718033249219033</v>
      </c>
      <c r="H533" s="39">
        <v>68.225499394259586</v>
      </c>
      <c r="I533" s="10">
        <v>1</v>
      </c>
      <c r="J533" s="40">
        <v>0</v>
      </c>
      <c r="K533" s="40">
        <v>0</v>
      </c>
      <c r="L533" s="40">
        <v>0</v>
      </c>
      <c r="M533" s="40">
        <v>0</v>
      </c>
      <c r="N533" s="40">
        <v>0</v>
      </c>
      <c r="O533" s="40">
        <v>0</v>
      </c>
      <c r="P533" s="40">
        <v>0</v>
      </c>
      <c r="Q533" s="40">
        <v>0</v>
      </c>
      <c r="R533" s="40">
        <v>0</v>
      </c>
      <c r="S533" s="40">
        <v>0</v>
      </c>
      <c r="T533" s="29">
        <f t="array" aca="1" ref="T533" ca="1">+fair_value_gap(OFFSET(S532,0,0,-1*$I$5,-1*$Z$1),OFFSET(E532,0,0,-1*$I$5,1),F533:S533,0)</f>
        <v>17.178385894294586</v>
      </c>
      <c r="U533" s="9" cm="1">
        <f t="array" aca="1" ref="U533" ca="1">z_score_diff(OFFSET(T533,0,0,$I$5*-1,1),OFFSET(E533,0,0,$I$5*-1,1))</f>
        <v>-0.12239701833698347</v>
      </c>
      <c r="V533" s="9">
        <f t="shared" ca="1" si="71"/>
        <v>-7.8055341108371618E-2</v>
      </c>
      <c r="W533" s="17">
        <f t="shared" ca="1" si="68"/>
        <v>-7.2316312250183895E-2</v>
      </c>
      <c r="X533" s="13">
        <f t="shared" ca="1" si="69"/>
        <v>0</v>
      </c>
      <c r="Y533" s="13">
        <f t="shared" ca="1" si="70"/>
        <v>0</v>
      </c>
      <c r="Z533">
        <f t="shared" ca="1" si="72"/>
        <v>1</v>
      </c>
      <c r="AA533">
        <f t="shared" ca="1" si="73"/>
        <v>0</v>
      </c>
      <c r="AB533" s="24">
        <f t="shared" ca="1" si="74"/>
        <v>-7.2316312250183895E-2</v>
      </c>
      <c r="AC533" s="24">
        <f t="shared" ca="1" si="75"/>
        <v>0</v>
      </c>
    </row>
    <row r="534" spans="3:29" x14ac:dyDescent="0.25">
      <c r="C534" s="6">
        <v>527</v>
      </c>
      <c r="D534" s="37">
        <v>42754</v>
      </c>
      <c r="E534" s="39">
        <v>17.277000000000001</v>
      </c>
      <c r="F534" s="39">
        <v>2.6767378132132933</v>
      </c>
      <c r="G534" s="39">
        <v>49.832711803289165</v>
      </c>
      <c r="H534" s="39">
        <v>66.441591800662508</v>
      </c>
      <c r="I534" s="10">
        <v>1</v>
      </c>
      <c r="J534" s="40">
        <v>0</v>
      </c>
      <c r="K534" s="40">
        <v>0</v>
      </c>
      <c r="L534" s="40">
        <v>0</v>
      </c>
      <c r="M534" s="40">
        <v>0</v>
      </c>
      <c r="N534" s="40">
        <v>0</v>
      </c>
      <c r="O534" s="40">
        <v>0</v>
      </c>
      <c r="P534" s="40">
        <v>0</v>
      </c>
      <c r="Q534" s="40">
        <v>0</v>
      </c>
      <c r="R534" s="40">
        <v>0</v>
      </c>
      <c r="S534" s="40">
        <v>0</v>
      </c>
      <c r="T534" s="29">
        <f t="array" aca="1" ref="T534" ca="1">+fair_value_gap(OFFSET(S533,0,0,-1*$I$5,-1*$Z$1),OFFSET(E533,0,0,-1*$I$5,1),F534:S534,0)</f>
        <v>17.177816172207272</v>
      </c>
      <c r="U534" s="9" cm="1">
        <f t="array" aca="1" ref="U534" ca="1">z_score_diff(OFFSET(T534,0,0,$I$5*-1,1),OFFSET(E534,0,0,$I$5*-1,1))</f>
        <v>-0.14358868616460341</v>
      </c>
      <c r="V534" s="9">
        <f t="shared" ca="1" si="71"/>
        <v>-8.0315111627552019E-2</v>
      </c>
      <c r="W534" s="17">
        <f t="shared" ca="1" si="68"/>
        <v>-8.671149615055708E-2</v>
      </c>
      <c r="X534" s="13">
        <f t="shared" ca="1" si="69"/>
        <v>0</v>
      </c>
      <c r="Y534" s="13">
        <f t="shared" ca="1" si="70"/>
        <v>0</v>
      </c>
      <c r="Z534">
        <f t="shared" ca="1" si="72"/>
        <v>1</v>
      </c>
      <c r="AA534">
        <f t="shared" ca="1" si="73"/>
        <v>0</v>
      </c>
      <c r="AB534" s="24">
        <f t="shared" ca="1" si="74"/>
        <v>-8.671149615055708E-2</v>
      </c>
      <c r="AC534" s="24">
        <f t="shared" ca="1" si="75"/>
        <v>0</v>
      </c>
    </row>
    <row r="535" spans="3:29" x14ac:dyDescent="0.25">
      <c r="C535" s="6">
        <v>528</v>
      </c>
      <c r="D535" s="37">
        <v>42755</v>
      </c>
      <c r="E535" s="39">
        <v>17.364000000000001</v>
      </c>
      <c r="F535" s="39">
        <v>2.6400618974017953</v>
      </c>
      <c r="G535" s="39">
        <v>50.321476157422445</v>
      </c>
      <c r="H535" s="39">
        <v>66.499843263312215</v>
      </c>
      <c r="I535" s="10">
        <v>1</v>
      </c>
      <c r="J535" s="40">
        <v>0</v>
      </c>
      <c r="K535" s="40">
        <v>0</v>
      </c>
      <c r="L535" s="40">
        <v>0</v>
      </c>
      <c r="M535" s="40">
        <v>0</v>
      </c>
      <c r="N535" s="40">
        <v>0</v>
      </c>
      <c r="O535" s="40">
        <v>0</v>
      </c>
      <c r="P535" s="40">
        <v>0</v>
      </c>
      <c r="Q535" s="40">
        <v>0</v>
      </c>
      <c r="R535" s="40">
        <v>0</v>
      </c>
      <c r="S535" s="40">
        <v>0</v>
      </c>
      <c r="T535" s="29">
        <f t="array" aca="1" ref="T535" ca="1">+fair_value_gap(OFFSET(S534,0,0,-1*$I$5,-1*$Z$1),OFFSET(E534,0,0,-1*$I$5,1),F535:S535,0)</f>
        <v>17.302939241308479</v>
      </c>
      <c r="U535" s="9" cm="1">
        <f t="array" aca="1" ref="U535" ca="1">z_score_diff(OFFSET(T535,0,0,$I$5*-1,1),OFFSET(E535,0,0,$I$5*-1,1))</f>
        <v>-0.1190719394881109</v>
      </c>
      <c r="V535" s="9">
        <f t="shared" ca="1" si="71"/>
        <v>-8.1607005889570636E-2</v>
      </c>
      <c r="W535" s="17">
        <f t="shared" ca="1" si="68"/>
        <v>-9.3882956431835127E-2</v>
      </c>
      <c r="X535" s="13">
        <f t="shared" ca="1" si="69"/>
        <v>0</v>
      </c>
      <c r="Y535" s="13">
        <f t="shared" ca="1" si="70"/>
        <v>0</v>
      </c>
      <c r="Z535">
        <f t="shared" ca="1" si="72"/>
        <v>1</v>
      </c>
      <c r="AA535">
        <f t="shared" ca="1" si="73"/>
        <v>0</v>
      </c>
      <c r="AB535" s="24">
        <f t="shared" ca="1" si="74"/>
        <v>-9.3882956431835127E-2</v>
      </c>
      <c r="AC535" s="24">
        <f t="shared" ca="1" si="75"/>
        <v>0</v>
      </c>
    </row>
    <row r="536" spans="3:29" x14ac:dyDescent="0.25">
      <c r="C536" s="6">
        <v>529</v>
      </c>
      <c r="D536" s="37">
        <v>42758</v>
      </c>
      <c r="E536" s="39">
        <v>17.489000000000001</v>
      </c>
      <c r="F536" s="39">
        <v>2.6375133048294277</v>
      </c>
      <c r="G536" s="39">
        <v>50.89776731367413</v>
      </c>
      <c r="H536" s="39">
        <v>67.78697840558533</v>
      </c>
      <c r="I536" s="10">
        <v>1</v>
      </c>
      <c r="J536" s="40">
        <v>0</v>
      </c>
      <c r="K536" s="40">
        <v>0</v>
      </c>
      <c r="L536" s="40">
        <v>0</v>
      </c>
      <c r="M536" s="40">
        <v>0</v>
      </c>
      <c r="N536" s="40">
        <v>0</v>
      </c>
      <c r="O536" s="40">
        <v>0</v>
      </c>
      <c r="P536" s="40">
        <v>0</v>
      </c>
      <c r="Q536" s="40">
        <v>0</v>
      </c>
      <c r="R536" s="40">
        <v>0</v>
      </c>
      <c r="S536" s="40">
        <v>0</v>
      </c>
      <c r="T536" s="29">
        <f t="array" aca="1" ref="T536" ca="1">+fair_value_gap(OFFSET(S535,0,0,-1*$I$5,-1*$Z$1),OFFSET(E535,0,0,-1*$I$5,1),F536:S536,0)</f>
        <v>17.494945079143751</v>
      </c>
      <c r="U536" s="9" cm="1">
        <f t="array" aca="1" ref="U536" ca="1">z_score_diff(OFFSET(T536,0,0,$I$5*-1,1),OFFSET(E536,0,0,$I$5*-1,1))</f>
        <v>-7.5993263716049309E-2</v>
      </c>
      <c r="V536" s="9">
        <f t="shared" ca="1" si="71"/>
        <v>-8.1425917432360273E-2</v>
      </c>
      <c r="W536" s="17">
        <f t="shared" ca="1" si="68"/>
        <v>-0.11577664452258542</v>
      </c>
      <c r="X536" s="13">
        <f t="shared" ca="1" si="69"/>
        <v>0</v>
      </c>
      <c r="Y536" s="13">
        <f t="shared" ca="1" si="70"/>
        <v>0</v>
      </c>
      <c r="Z536">
        <f t="shared" ca="1" si="72"/>
        <v>1</v>
      </c>
      <c r="AA536">
        <f t="shared" ca="1" si="73"/>
        <v>0</v>
      </c>
      <c r="AB536" s="24">
        <f t="shared" ca="1" si="74"/>
        <v>-0.11577664452258542</v>
      </c>
      <c r="AC536" s="24">
        <f t="shared" ca="1" si="75"/>
        <v>0</v>
      </c>
    </row>
    <row r="537" spans="3:29" x14ac:dyDescent="0.25">
      <c r="C537" s="6">
        <v>530</v>
      </c>
      <c r="D537" s="37">
        <v>42759</v>
      </c>
      <c r="E537" s="39">
        <v>17.259</v>
      </c>
      <c r="F537" s="39">
        <v>2.6319923866347157</v>
      </c>
      <c r="G537" s="39">
        <v>50.382643524392442</v>
      </c>
      <c r="H537" s="39">
        <v>66.725295839555912</v>
      </c>
      <c r="I537" s="10">
        <v>1</v>
      </c>
      <c r="J537" s="40">
        <v>0</v>
      </c>
      <c r="K537" s="40">
        <v>0</v>
      </c>
      <c r="L537" s="40">
        <v>0</v>
      </c>
      <c r="M537" s="40">
        <v>0</v>
      </c>
      <c r="N537" s="40">
        <v>0</v>
      </c>
      <c r="O537" s="40">
        <v>0</v>
      </c>
      <c r="P537" s="40">
        <v>0</v>
      </c>
      <c r="Q537" s="40">
        <v>0</v>
      </c>
      <c r="R537" s="40">
        <v>0</v>
      </c>
      <c r="S537" s="40">
        <v>0</v>
      </c>
      <c r="T537" s="29">
        <f t="array" aca="1" ref="T537" ca="1">+fair_value_gap(OFFSET(S536,0,0,-1*$I$5,-1*$Z$1),OFFSET(E536,0,0,-1*$I$5,1),F537:S537,0)</f>
        <v>17.323538917913123</v>
      </c>
      <c r="U537" s="9" cm="1">
        <f t="array" aca="1" ref="U537" ca="1">z_score_diff(OFFSET(T537,0,0,$I$5*-1,1),OFFSET(E537,0,0,$I$5*-1,1))</f>
        <v>-3.6143624432509958E-2</v>
      </c>
      <c r="V537" s="9">
        <f t="shared" ca="1" si="71"/>
        <v>-8.0010845776114947E-2</v>
      </c>
      <c r="W537" s="17">
        <f t="shared" ca="1" si="68"/>
        <v>-0.10601095150495982</v>
      </c>
      <c r="X537" s="13">
        <f t="shared" ca="1" si="69"/>
        <v>0</v>
      </c>
      <c r="Y537" s="13">
        <f t="shared" ca="1" si="70"/>
        <v>0</v>
      </c>
      <c r="Z537">
        <f t="shared" ca="1" si="72"/>
        <v>1</v>
      </c>
      <c r="AA537">
        <f t="shared" ca="1" si="73"/>
        <v>0</v>
      </c>
      <c r="AB537" s="24">
        <f t="shared" ca="1" si="74"/>
        <v>-0.10601095150495982</v>
      </c>
      <c r="AC537" s="24">
        <f t="shared" ca="1" si="75"/>
        <v>0</v>
      </c>
    </row>
    <row r="538" spans="3:29" x14ac:dyDescent="0.25">
      <c r="C538" s="6">
        <v>531</v>
      </c>
      <c r="D538" s="37">
        <v>42760</v>
      </c>
      <c r="E538" s="39">
        <v>17.001000000000001</v>
      </c>
      <c r="F538" s="39">
        <v>2.6267594012828108</v>
      </c>
      <c r="G538" s="39">
        <v>49.488827926070421</v>
      </c>
      <c r="H538" s="39">
        <v>64.834878459400656</v>
      </c>
      <c r="I538" s="10">
        <v>1</v>
      </c>
      <c r="J538" s="40">
        <v>0</v>
      </c>
      <c r="K538" s="40">
        <v>0</v>
      </c>
      <c r="L538" s="40">
        <v>0</v>
      </c>
      <c r="M538" s="40">
        <v>0</v>
      </c>
      <c r="N538" s="40">
        <v>0</v>
      </c>
      <c r="O538" s="40">
        <v>0</v>
      </c>
      <c r="P538" s="40">
        <v>0</v>
      </c>
      <c r="Q538" s="40">
        <v>0</v>
      </c>
      <c r="R538" s="40">
        <v>0</v>
      </c>
      <c r="S538" s="40">
        <v>0</v>
      </c>
      <c r="T538" s="29">
        <f t="array" aca="1" ref="T538" ca="1">+fair_value_gap(OFFSET(S537,0,0,-1*$I$5,-1*$Z$1),OFFSET(E537,0,0,-1*$I$5,1),F538:S538,0)</f>
        <v>17.024429709253116</v>
      </c>
      <c r="U538" s="9" cm="1">
        <f t="array" aca="1" ref="U538" ca="1">z_score_diff(OFFSET(T538,0,0,$I$5*-1,1),OFFSET(E538,0,0,$I$5*-1,1))</f>
        <v>-6.1273360532528076E-2</v>
      </c>
      <c r="V538" s="9">
        <f t="shared" ca="1" si="71"/>
        <v>-7.944304319297596E-2</v>
      </c>
      <c r="W538" s="17">
        <f t="shared" ca="1" si="68"/>
        <v>-7.7003392482907579E-2</v>
      </c>
      <c r="X538" s="13">
        <f t="shared" ca="1" si="69"/>
        <v>0</v>
      </c>
      <c r="Y538" s="13">
        <f t="shared" ca="1" si="70"/>
        <v>0</v>
      </c>
      <c r="Z538">
        <f t="shared" ca="1" si="72"/>
        <v>1</v>
      </c>
      <c r="AA538">
        <f t="shared" ca="1" si="73"/>
        <v>0</v>
      </c>
      <c r="AB538" s="24">
        <f t="shared" ca="1" si="74"/>
        <v>-7.7003392482907579E-2</v>
      </c>
      <c r="AC538" s="24">
        <f t="shared" ca="1" si="75"/>
        <v>0</v>
      </c>
    </row>
    <row r="539" spans="3:29" x14ac:dyDescent="0.25">
      <c r="C539" s="6">
        <v>532</v>
      </c>
      <c r="D539" s="37">
        <v>42761</v>
      </c>
      <c r="E539" s="39">
        <v>16.98</v>
      </c>
      <c r="F539" s="39">
        <v>2.6581677999094859</v>
      </c>
      <c r="G539" s="39">
        <v>49.206371358658743</v>
      </c>
      <c r="H539" s="39">
        <v>65.113751406329811</v>
      </c>
      <c r="I539" s="10">
        <v>1</v>
      </c>
      <c r="J539" s="40">
        <v>0</v>
      </c>
      <c r="K539" s="40">
        <v>0</v>
      </c>
      <c r="L539" s="40">
        <v>0</v>
      </c>
      <c r="M539" s="40">
        <v>0</v>
      </c>
      <c r="N539" s="40">
        <v>0</v>
      </c>
      <c r="O539" s="40">
        <v>0</v>
      </c>
      <c r="P539" s="40">
        <v>0</v>
      </c>
      <c r="Q539" s="40">
        <v>0</v>
      </c>
      <c r="R539" s="40">
        <v>0</v>
      </c>
      <c r="S539" s="40">
        <v>0</v>
      </c>
      <c r="T539" s="29">
        <f t="array" aca="1" ref="T539" ca="1">+fair_value_gap(OFFSET(S538,0,0,-1*$I$5,-1*$Z$1),OFFSET(E538,0,0,-1*$I$5,1),F539:S539,0)</f>
        <v>16.967193376271819</v>
      </c>
      <c r="U539" s="9" cm="1">
        <f t="array" aca="1" ref="U539" ca="1">z_score_diff(OFFSET(T539,0,0,$I$5*-1,1),OFFSET(E539,0,0,$I$5*-1,1))</f>
        <v>-8.484042140263226E-2</v>
      </c>
      <c r="V539" s="9">
        <f t="shared" ca="1" si="71"/>
        <v>-7.9601789610907026E-2</v>
      </c>
      <c r="W539" s="17">
        <f t="shared" ca="1" si="68"/>
        <v>-7.6212204976150555E-2</v>
      </c>
      <c r="X539" s="13">
        <f t="shared" ca="1" si="69"/>
        <v>0</v>
      </c>
      <c r="Y539" s="13">
        <f t="shared" ca="1" si="70"/>
        <v>0</v>
      </c>
      <c r="Z539">
        <f t="shared" ca="1" si="72"/>
        <v>1</v>
      </c>
      <c r="AA539">
        <f t="shared" ca="1" si="73"/>
        <v>0</v>
      </c>
      <c r="AB539" s="24">
        <f t="shared" ca="1" si="74"/>
        <v>-7.6212204976150555E-2</v>
      </c>
      <c r="AC539" s="24">
        <f t="shared" ca="1" si="75"/>
        <v>0</v>
      </c>
    </row>
    <row r="540" spans="3:29" x14ac:dyDescent="0.25">
      <c r="C540" s="6">
        <v>533</v>
      </c>
      <c r="D540" s="37">
        <v>42762</v>
      </c>
      <c r="E540" s="39">
        <v>16.806999999999999</v>
      </c>
      <c r="F540" s="39">
        <v>2.6533371514323307</v>
      </c>
      <c r="G540" s="39">
        <v>48.418674089244391</v>
      </c>
      <c r="H540" s="39">
        <v>64.249181706472768</v>
      </c>
      <c r="I540" s="10">
        <v>1</v>
      </c>
      <c r="J540" s="40">
        <v>0</v>
      </c>
      <c r="K540" s="40">
        <v>0</v>
      </c>
      <c r="L540" s="40">
        <v>0</v>
      </c>
      <c r="M540" s="40">
        <v>0</v>
      </c>
      <c r="N540" s="40">
        <v>0</v>
      </c>
      <c r="O540" s="40">
        <v>0</v>
      </c>
      <c r="P540" s="40">
        <v>0</v>
      </c>
      <c r="Q540" s="40">
        <v>0</v>
      </c>
      <c r="R540" s="40">
        <v>0</v>
      </c>
      <c r="S540" s="40">
        <v>0</v>
      </c>
      <c r="T540" s="29">
        <f t="array" aca="1" ref="T540" ca="1">+fair_value_gap(OFFSET(S539,0,0,-1*$I$5,-1*$Z$1),OFFSET(E539,0,0,-1*$I$5,1),F540:S540,0)</f>
        <v>16.722741457312669</v>
      </c>
      <c r="U540" s="9" cm="1">
        <f t="array" aca="1" ref="U540" ca="1">z_score_diff(OFFSET(T540,0,0,$I$5*-1,1),OFFSET(E540,0,0,$I$5*-1,1))</f>
        <v>-0.13130194162410147</v>
      </c>
      <c r="V540" s="9">
        <f t="shared" ca="1" si="71"/>
        <v>-8.1078936811284003E-2</v>
      </c>
      <c r="W540" s="17">
        <f t="shared" ca="1" si="68"/>
        <v>-6.4891610974830996E-2</v>
      </c>
      <c r="X540" s="13">
        <f t="shared" ca="1" si="69"/>
        <v>0</v>
      </c>
      <c r="Y540" s="13">
        <f t="shared" ca="1" si="70"/>
        <v>0</v>
      </c>
      <c r="Z540">
        <f t="shared" ca="1" si="72"/>
        <v>1</v>
      </c>
      <c r="AA540">
        <f t="shared" ca="1" si="73"/>
        <v>0</v>
      </c>
      <c r="AB540" s="24">
        <f t="shared" ca="1" si="74"/>
        <v>-6.4891610974830996E-2</v>
      </c>
      <c r="AC540" s="24">
        <f t="shared" ca="1" si="75"/>
        <v>0</v>
      </c>
    </row>
    <row r="541" spans="3:29" x14ac:dyDescent="0.25">
      <c r="C541" s="6">
        <v>534</v>
      </c>
      <c r="D541" s="37">
        <v>42765</v>
      </c>
      <c r="E541" s="39">
        <v>16.866</v>
      </c>
      <c r="F541" s="39">
        <v>2.6425705795621268</v>
      </c>
      <c r="G541" s="39">
        <v>48.204192499243575</v>
      </c>
      <c r="H541" s="39">
        <v>65.158033151754779</v>
      </c>
      <c r="I541" s="10">
        <v>1</v>
      </c>
      <c r="J541" s="40">
        <v>0</v>
      </c>
      <c r="K541" s="40">
        <v>0</v>
      </c>
      <c r="L541" s="40">
        <v>0</v>
      </c>
      <c r="M541" s="40">
        <v>0</v>
      </c>
      <c r="N541" s="40">
        <v>0</v>
      </c>
      <c r="O541" s="40">
        <v>0</v>
      </c>
      <c r="P541" s="40">
        <v>0</v>
      </c>
      <c r="Q541" s="40">
        <v>0</v>
      </c>
      <c r="R541" s="40">
        <v>0</v>
      </c>
      <c r="S541" s="40">
        <v>0</v>
      </c>
      <c r="T541" s="29">
        <f t="array" aca="1" ref="T541" ca="1">+fair_value_gap(OFFSET(S540,0,0,-1*$I$5,-1*$Z$1),OFFSET(E540,0,0,-1*$I$5,1),F541:S541,0)</f>
        <v>16.676247118516986</v>
      </c>
      <c r="U541" s="9" cm="1">
        <f t="array" aca="1" ref="U541" ca="1">z_score_diff(OFFSET(T541,0,0,$I$5*-1,1),OFFSET(E541,0,0,$I$5*-1,1))</f>
        <v>-0.20219248819400354</v>
      </c>
      <c r="V541" s="9">
        <f t="shared" ca="1" si="71"/>
        <v>-8.6462459623310936E-2</v>
      </c>
      <c r="W541" s="17">
        <f t="shared" ca="1" si="68"/>
        <v>-7.5148384031604426E-2</v>
      </c>
      <c r="X541" s="13">
        <f t="shared" ca="1" si="69"/>
        <v>0</v>
      </c>
      <c r="Y541" s="13">
        <f t="shared" ca="1" si="70"/>
        <v>0</v>
      </c>
      <c r="Z541">
        <f t="shared" ca="1" si="72"/>
        <v>1</v>
      </c>
      <c r="AA541">
        <f t="shared" ca="1" si="73"/>
        <v>0</v>
      </c>
      <c r="AB541" s="24">
        <f t="shared" ca="1" si="74"/>
        <v>-7.5148384031604426E-2</v>
      </c>
      <c r="AC541" s="24">
        <f t="shared" ca="1" si="75"/>
        <v>0</v>
      </c>
    </row>
    <row r="542" spans="3:29" x14ac:dyDescent="0.25">
      <c r="C542" s="6">
        <v>535</v>
      </c>
      <c r="D542" s="37">
        <v>42766</v>
      </c>
      <c r="E542" s="39">
        <v>16.888000000000002</v>
      </c>
      <c r="F542" s="39">
        <v>2.6091644204851749</v>
      </c>
      <c r="G542" s="39">
        <v>49.061023959206246</v>
      </c>
      <c r="H542" s="39">
        <v>66.307277628032338</v>
      </c>
      <c r="I542" s="10">
        <v>1</v>
      </c>
      <c r="J542" s="40">
        <v>0</v>
      </c>
      <c r="K542" s="40">
        <v>0</v>
      </c>
      <c r="L542" s="40">
        <v>0</v>
      </c>
      <c r="M542" s="40">
        <v>0</v>
      </c>
      <c r="N542" s="40">
        <v>0</v>
      </c>
      <c r="O542" s="40">
        <v>0</v>
      </c>
      <c r="P542" s="40">
        <v>0</v>
      </c>
      <c r="Q542" s="40">
        <v>0</v>
      </c>
      <c r="R542" s="40">
        <v>0</v>
      </c>
      <c r="S542" s="40">
        <v>0</v>
      </c>
      <c r="T542" s="29">
        <f t="array" aca="1" ref="T542" ca="1">+fair_value_gap(OFFSET(S541,0,0,-1*$I$5,-1*$Z$1),OFFSET(E541,0,0,-1*$I$5,1),F542:S542,0)</f>
        <v>16.931536151289681</v>
      </c>
      <c r="U542" s="9" cm="1">
        <f t="array" aca="1" ref="U542" ca="1">z_score_diff(OFFSET(T542,0,0,$I$5*-1,1),OFFSET(E542,0,0,$I$5*-1,1))</f>
        <v>-4.6387120836754336E-2</v>
      </c>
      <c r="V542" s="9">
        <f t="shared" ca="1" si="71"/>
        <v>-8.5848141908019496E-2</v>
      </c>
      <c r="W542" s="17">
        <f t="shared" ca="1" si="68"/>
        <v>-8.8606033075857488E-2</v>
      </c>
      <c r="X542" s="13">
        <f t="shared" ca="1" si="69"/>
        <v>0</v>
      </c>
      <c r="Y542" s="13">
        <f t="shared" ca="1" si="70"/>
        <v>0</v>
      </c>
      <c r="Z542">
        <f t="shared" ca="1" si="72"/>
        <v>1</v>
      </c>
      <c r="AA542">
        <f t="shared" ca="1" si="73"/>
        <v>0</v>
      </c>
      <c r="AB542" s="24">
        <f t="shared" ca="1" si="74"/>
        <v>-8.8606033075857488E-2</v>
      </c>
      <c r="AC542" s="24">
        <f t="shared" ca="1" si="75"/>
        <v>0</v>
      </c>
    </row>
    <row r="543" spans="3:29" x14ac:dyDescent="0.25">
      <c r="C543" s="6">
        <v>536</v>
      </c>
      <c r="D543" s="37">
        <v>42767</v>
      </c>
      <c r="E543" s="39">
        <v>16.97</v>
      </c>
      <c r="F543" s="39">
        <v>2.6300317026416464</v>
      </c>
      <c r="G543" s="39">
        <v>49.305504042726803</v>
      </c>
      <c r="H543" s="39">
        <v>66.26851534215173</v>
      </c>
      <c r="I543" s="10">
        <v>0</v>
      </c>
      <c r="J543" s="40">
        <v>1</v>
      </c>
      <c r="K543" s="40">
        <v>0</v>
      </c>
      <c r="L543" s="40">
        <v>0</v>
      </c>
      <c r="M543" s="40">
        <v>0</v>
      </c>
      <c r="N543" s="40">
        <v>0</v>
      </c>
      <c r="O543" s="40">
        <v>0</v>
      </c>
      <c r="P543" s="40">
        <v>0</v>
      </c>
      <c r="Q543" s="40">
        <v>0</v>
      </c>
      <c r="R543" s="40">
        <v>0</v>
      </c>
      <c r="S543" s="40">
        <v>0</v>
      </c>
      <c r="T543" s="29">
        <f t="array" aca="1" ref="T543" ca="1">+fair_value_gap(OFFSET(S542,0,0,-1*$I$5,-1*$Z$1),OFFSET(E542,0,0,-1*$I$5,1),F543:S543,0)</f>
        <v>17.372546689418957</v>
      </c>
      <c r="U543" s="9" cm="1">
        <f t="array" aca="1" ref="U543" ca="1">z_score_diff(OFFSET(T543,0,0,$I$5*-1,1),OFFSET(E543,0,0,$I$5*-1,1))</f>
        <v>0.19586745364056135</v>
      </c>
      <c r="V543" s="9">
        <f t="shared" ca="1" si="71"/>
        <v>-7.8263696015430567E-2</v>
      </c>
      <c r="W543" s="17">
        <f t="shared" ca="1" si="68"/>
        <v>-9.8119070959656288E-2</v>
      </c>
      <c r="X543" s="13">
        <f t="shared" ca="1" si="69"/>
        <v>0</v>
      </c>
      <c r="Y543" s="13">
        <f t="shared" ca="1" si="70"/>
        <v>0</v>
      </c>
      <c r="Z543">
        <f t="shared" ca="1" si="72"/>
        <v>1</v>
      </c>
      <c r="AA543">
        <f t="shared" ca="1" si="73"/>
        <v>0</v>
      </c>
      <c r="AB543" s="24">
        <f t="shared" ca="1" si="74"/>
        <v>-9.8119070959656288E-2</v>
      </c>
      <c r="AC543" s="24">
        <f t="shared" ca="1" si="75"/>
        <v>0</v>
      </c>
    </row>
    <row r="544" spans="3:29" x14ac:dyDescent="0.25">
      <c r="C544" s="6">
        <v>537</v>
      </c>
      <c r="D544" s="37">
        <v>42768</v>
      </c>
      <c r="E544" s="39">
        <v>16.89</v>
      </c>
      <c r="F544" s="39">
        <v>2.6540335630671033</v>
      </c>
      <c r="G544" s="39">
        <v>49.243586781476417</v>
      </c>
      <c r="H544" s="39">
        <v>67.387570937250672</v>
      </c>
      <c r="I544" s="10">
        <v>0</v>
      </c>
      <c r="J544" s="40">
        <v>1</v>
      </c>
      <c r="K544" s="40">
        <v>0</v>
      </c>
      <c r="L544" s="40">
        <v>0</v>
      </c>
      <c r="M544" s="40">
        <v>0</v>
      </c>
      <c r="N544" s="40">
        <v>0</v>
      </c>
      <c r="O544" s="40">
        <v>0</v>
      </c>
      <c r="P544" s="40">
        <v>0</v>
      </c>
      <c r="Q544" s="40">
        <v>0</v>
      </c>
      <c r="R544" s="40">
        <v>0</v>
      </c>
      <c r="S544" s="40">
        <v>0</v>
      </c>
      <c r="T544" s="29">
        <f t="array" aca="1" ref="T544" ca="1">+fair_value_gap(OFFSET(S543,0,0,-1*$I$5,-1*$Z$1),OFFSET(E543,0,0,-1*$I$5,1),F544:S544,0)</f>
        <v>17.254395416034921</v>
      </c>
      <c r="U544" s="9" cm="1">
        <f t="array" aca="1" ref="U544" ca="1">z_score_diff(OFFSET(T544,0,0,$I$5*-1,1),OFFSET(E544,0,0,$I$5*-1,1))</f>
        <v>0.17044765458938649</v>
      </c>
      <c r="V544" s="9">
        <f t="shared" ca="1" si="71"/>
        <v>-7.1966519710802909E-2</v>
      </c>
      <c r="W544" s="17">
        <f t="shared" ca="1" si="68"/>
        <v>-8.917745448979611E-2</v>
      </c>
      <c r="X544" s="13">
        <f t="shared" ca="1" si="69"/>
        <v>0</v>
      </c>
      <c r="Y544" s="13">
        <f t="shared" ca="1" si="70"/>
        <v>0</v>
      </c>
      <c r="Z544">
        <f t="shared" ca="1" si="72"/>
        <v>1</v>
      </c>
      <c r="AA544">
        <f t="shared" ca="1" si="73"/>
        <v>0</v>
      </c>
      <c r="AB544" s="24">
        <f t="shared" ca="1" si="74"/>
        <v>-8.917745448979611E-2</v>
      </c>
      <c r="AC544" s="24">
        <f t="shared" ca="1" si="75"/>
        <v>0</v>
      </c>
    </row>
    <row r="545" spans="3:29" x14ac:dyDescent="0.25">
      <c r="C545" s="6">
        <v>538</v>
      </c>
      <c r="D545" s="37">
        <v>42769</v>
      </c>
      <c r="E545" s="39">
        <v>16.948</v>
      </c>
      <c r="F545" s="39">
        <v>2.6097207598786931</v>
      </c>
      <c r="G545" s="39">
        <v>48.994229720880313</v>
      </c>
      <c r="H545" s="39">
        <v>66.412893820361219</v>
      </c>
      <c r="I545" s="10">
        <v>0</v>
      </c>
      <c r="J545" s="40">
        <v>1</v>
      </c>
      <c r="K545" s="40">
        <v>0</v>
      </c>
      <c r="L545" s="40">
        <v>0</v>
      </c>
      <c r="M545" s="40">
        <v>0</v>
      </c>
      <c r="N545" s="40">
        <v>0</v>
      </c>
      <c r="O545" s="40">
        <v>0</v>
      </c>
      <c r="P545" s="40">
        <v>0</v>
      </c>
      <c r="Q545" s="40">
        <v>0</v>
      </c>
      <c r="R545" s="40">
        <v>0</v>
      </c>
      <c r="S545" s="40">
        <v>0</v>
      </c>
      <c r="T545" s="29">
        <f t="array" aca="1" ref="T545" ca="1">+fair_value_gap(OFFSET(S544,0,0,-1*$I$5,-1*$Z$1),OFFSET(E544,0,0,-1*$I$5,1),F545:S545,0)</f>
        <v>17.043548280822357</v>
      </c>
      <c r="U545" s="9" cm="1">
        <f t="array" aca="1" ref="U545" ca="1">z_score_diff(OFFSET(T545,0,0,$I$5*-1,1),OFFSET(E545,0,0,$I$5*-1,1))</f>
        <v>-1.3509164300876009E-2</v>
      </c>
      <c r="V545" s="9">
        <f t="shared" ca="1" si="71"/>
        <v>-6.9626166801532441E-2</v>
      </c>
      <c r="W545" s="17">
        <f t="shared" ca="1" si="68"/>
        <v>-9.7146890306526415E-2</v>
      </c>
      <c r="X545" s="13">
        <f t="shared" ca="1" si="69"/>
        <v>0</v>
      </c>
      <c r="Y545" s="13">
        <f t="shared" ca="1" si="70"/>
        <v>0</v>
      </c>
      <c r="Z545">
        <f t="shared" ca="1" si="72"/>
        <v>1</v>
      </c>
      <c r="AA545">
        <f t="shared" ca="1" si="73"/>
        <v>0</v>
      </c>
      <c r="AB545" s="24">
        <f t="shared" ca="1" si="74"/>
        <v>-9.7146890306526415E-2</v>
      </c>
      <c r="AC545" s="24">
        <f t="shared" ca="1" si="75"/>
        <v>0</v>
      </c>
    </row>
    <row r="546" spans="3:29" x14ac:dyDescent="0.25">
      <c r="C546" s="6">
        <v>539</v>
      </c>
      <c r="D546" s="37">
        <v>42772</v>
      </c>
      <c r="E546" s="39">
        <v>16.806000000000001</v>
      </c>
      <c r="F546" s="39">
        <v>2.6290930711578384</v>
      </c>
      <c r="G546" s="39">
        <v>48.794114481845888</v>
      </c>
      <c r="H546" s="39">
        <v>65.276212662412348</v>
      </c>
      <c r="I546" s="10">
        <v>0</v>
      </c>
      <c r="J546" s="40">
        <v>1</v>
      </c>
      <c r="K546" s="40">
        <v>0</v>
      </c>
      <c r="L546" s="40">
        <v>0</v>
      </c>
      <c r="M546" s="40">
        <v>0</v>
      </c>
      <c r="N546" s="40">
        <v>0</v>
      </c>
      <c r="O546" s="40">
        <v>0</v>
      </c>
      <c r="P546" s="40">
        <v>0</v>
      </c>
      <c r="Q546" s="40">
        <v>0</v>
      </c>
      <c r="R546" s="40">
        <v>0</v>
      </c>
      <c r="S546" s="40">
        <v>0</v>
      </c>
      <c r="T546" s="29">
        <f t="array" aca="1" ref="T546" ca="1">+fair_value_gap(OFFSET(S545,0,0,-1*$I$5,-1*$Z$1),OFFSET(E545,0,0,-1*$I$5,1),F546:S546,0)</f>
        <v>16.967632334361145</v>
      </c>
      <c r="U546" s="9" cm="1">
        <f t="array" aca="1" ref="U546" ca="1">z_score_diff(OFFSET(T546,0,0,$I$5*-1,1),OFFSET(E546,0,0,$I$5*-1,1))</f>
        <v>3.2418862803248238E-2</v>
      </c>
      <c r="V546" s="9">
        <f t="shared" ca="1" si="71"/>
        <v>-6.5255390359230378E-2</v>
      </c>
      <c r="W546" s="17">
        <f t="shared" ca="1" si="68"/>
        <v>-9.8928523428909426E-2</v>
      </c>
      <c r="X546" s="13">
        <f t="shared" ca="1" si="69"/>
        <v>0</v>
      </c>
      <c r="Y546" s="13">
        <f t="shared" ca="1" si="70"/>
        <v>0</v>
      </c>
      <c r="Z546">
        <f t="shared" ca="1" si="72"/>
        <v>1</v>
      </c>
      <c r="AA546">
        <f t="shared" ca="1" si="73"/>
        <v>0</v>
      </c>
      <c r="AB546" s="24">
        <f t="shared" ca="1" si="74"/>
        <v>-9.8928523428909426E-2</v>
      </c>
      <c r="AC546" s="24">
        <f t="shared" ca="1" si="75"/>
        <v>0</v>
      </c>
    </row>
    <row r="547" spans="3:29" x14ac:dyDescent="0.25">
      <c r="C547" s="6">
        <v>540</v>
      </c>
      <c r="D547" s="37">
        <v>42773</v>
      </c>
      <c r="E547" s="39">
        <v>16.901</v>
      </c>
      <c r="F547" s="39">
        <v>2.6702790945565709</v>
      </c>
      <c r="G547" s="39">
        <v>49.150098438843138</v>
      </c>
      <c r="H547" s="39">
        <v>66.053316602852959</v>
      </c>
      <c r="I547" s="10">
        <v>0</v>
      </c>
      <c r="J547" s="40">
        <v>1</v>
      </c>
      <c r="K547" s="40">
        <v>0</v>
      </c>
      <c r="L547" s="40">
        <v>0</v>
      </c>
      <c r="M547" s="40">
        <v>0</v>
      </c>
      <c r="N547" s="40">
        <v>0</v>
      </c>
      <c r="O547" s="40">
        <v>0</v>
      </c>
      <c r="P547" s="40">
        <v>0</v>
      </c>
      <c r="Q547" s="40">
        <v>0</v>
      </c>
      <c r="R547" s="40">
        <v>0</v>
      </c>
      <c r="S547" s="40">
        <v>0</v>
      </c>
      <c r="T547" s="29">
        <f t="array" aca="1" ref="T547" ca="1">+fair_value_gap(OFFSET(S546,0,0,-1*$I$5,-1*$Z$1),OFFSET(E546,0,0,-1*$I$5,1),F547:S547,0)</f>
        <v>17.07969696346559</v>
      </c>
      <c r="U547" s="9" cm="1">
        <f t="array" aca="1" ref="U547" ca="1">z_score_diff(OFFSET(T547,0,0,$I$5*-1,1),OFFSET(E547,0,0,$I$5*-1,1))</f>
        <v>4.4150056332171284E-2</v>
      </c>
      <c r="V547" s="9">
        <f t="shared" ca="1" si="71"/>
        <v>-6.1430247756619212E-2</v>
      </c>
      <c r="W547" s="17">
        <f t="shared" ca="1" si="68"/>
        <v>-9.7822059227878386E-2</v>
      </c>
      <c r="X547" s="13">
        <f t="shared" ca="1" si="69"/>
        <v>0</v>
      </c>
      <c r="Y547" s="13">
        <f t="shared" ca="1" si="70"/>
        <v>0</v>
      </c>
      <c r="Z547">
        <f t="shared" ca="1" si="72"/>
        <v>1</v>
      </c>
      <c r="AA547">
        <f t="shared" ca="1" si="73"/>
        <v>0</v>
      </c>
      <c r="AB547" s="24">
        <f t="shared" ca="1" si="74"/>
        <v>-9.7822059227878386E-2</v>
      </c>
      <c r="AC547" s="24">
        <f t="shared" ca="1" si="75"/>
        <v>0</v>
      </c>
    </row>
    <row r="548" spans="3:29" x14ac:dyDescent="0.25">
      <c r="C548" s="6">
        <v>541</v>
      </c>
      <c r="D548" s="37">
        <v>42774</v>
      </c>
      <c r="E548" s="39">
        <v>16.841000000000001</v>
      </c>
      <c r="F548" s="39">
        <v>2.6617667885583973</v>
      </c>
      <c r="G548" s="39">
        <v>48.78805740616145</v>
      </c>
      <c r="H548" s="39">
        <v>65.137028335288207</v>
      </c>
      <c r="I548" s="10">
        <v>0</v>
      </c>
      <c r="J548" s="40">
        <v>1</v>
      </c>
      <c r="K548" s="40">
        <v>0</v>
      </c>
      <c r="L548" s="40">
        <v>0</v>
      </c>
      <c r="M548" s="40">
        <v>0</v>
      </c>
      <c r="N548" s="40">
        <v>0</v>
      </c>
      <c r="O548" s="40">
        <v>0</v>
      </c>
      <c r="P548" s="40">
        <v>0</v>
      </c>
      <c r="Q548" s="40">
        <v>0</v>
      </c>
      <c r="R548" s="40">
        <v>0</v>
      </c>
      <c r="S548" s="40">
        <v>0</v>
      </c>
      <c r="T548" s="29">
        <f t="array" aca="1" ref="T548" ca="1">+fair_value_gap(OFFSET(S547,0,0,-1*$I$5,-1*$Z$1),OFFSET(E547,0,0,-1*$I$5,1),F548:S548,0)</f>
        <v>16.928192401456851</v>
      </c>
      <c r="U548" s="9" cm="1">
        <f t="array" aca="1" ref="U548" ca="1">z_score_diff(OFFSET(T548,0,0,$I$5*-1,1),OFFSET(E548,0,0,$I$5*-1,1))</f>
        <v>-1.9759575037540333E-2</v>
      </c>
      <c r="V548" s="9">
        <f t="shared" ca="1" si="71"/>
        <v>-5.7797591703857308E-2</v>
      </c>
      <c r="W548" s="17">
        <f t="shared" ca="1" si="68"/>
        <v>-6.8183101633549556E-2</v>
      </c>
      <c r="X548" s="13">
        <f t="shared" ca="1" si="69"/>
        <v>0</v>
      </c>
      <c r="Y548" s="13">
        <f t="shared" ca="1" si="70"/>
        <v>0</v>
      </c>
      <c r="Z548">
        <f t="shared" ca="1" si="72"/>
        <v>1</v>
      </c>
      <c r="AA548">
        <f t="shared" ca="1" si="73"/>
        <v>0</v>
      </c>
      <c r="AB548" s="24">
        <f t="shared" ca="1" si="74"/>
        <v>-6.8183101633549556E-2</v>
      </c>
      <c r="AC548" s="24">
        <f t="shared" ca="1" si="75"/>
        <v>0</v>
      </c>
    </row>
    <row r="549" spans="3:29" x14ac:dyDescent="0.25">
      <c r="C549" s="6">
        <v>542</v>
      </c>
      <c r="D549" s="37">
        <v>42775</v>
      </c>
      <c r="E549" s="39">
        <v>16.922999999999998</v>
      </c>
      <c r="F549" s="39">
        <v>2.6725879620743576</v>
      </c>
      <c r="G549" s="39">
        <v>49.00825719088791</v>
      </c>
      <c r="H549" s="39">
        <v>65.859553592302078</v>
      </c>
      <c r="I549" s="10">
        <v>0</v>
      </c>
      <c r="J549" s="40">
        <v>1</v>
      </c>
      <c r="K549" s="40">
        <v>0</v>
      </c>
      <c r="L549" s="40">
        <v>0</v>
      </c>
      <c r="M549" s="40">
        <v>0</v>
      </c>
      <c r="N549" s="40">
        <v>0</v>
      </c>
      <c r="O549" s="40">
        <v>0</v>
      </c>
      <c r="P549" s="40">
        <v>0</v>
      </c>
      <c r="Q549" s="40">
        <v>0</v>
      </c>
      <c r="R549" s="40">
        <v>0</v>
      </c>
      <c r="S549" s="40">
        <v>0</v>
      </c>
      <c r="T549" s="29">
        <f t="array" aca="1" ref="T549" ca="1">+fair_value_gap(OFFSET(S548,0,0,-1*$I$5,-1*$Z$1),OFFSET(E548,0,0,-1*$I$5,1),F549:S549,0)</f>
        <v>16.996143355136269</v>
      </c>
      <c r="U549" s="9" cm="1">
        <f t="array" aca="1" ref="U549" ca="1">z_score_diff(OFFSET(T549,0,0,$I$5*-1,1),OFFSET(E549,0,0,$I$5*-1,1))</f>
        <v>-2.9817520466311032E-2</v>
      </c>
      <c r="V549" s="9">
        <f t="shared" ca="1" si="71"/>
        <v>-5.3509328758107981E-2</v>
      </c>
      <c r="W549" s="17">
        <f t="shared" ca="1" si="68"/>
        <v>-4.8923128158547588E-2</v>
      </c>
      <c r="X549" s="13">
        <f t="shared" ca="1" si="69"/>
        <v>0</v>
      </c>
      <c r="Y549" s="13">
        <f t="shared" ca="1" si="70"/>
        <v>0</v>
      </c>
      <c r="Z549">
        <f t="shared" ca="1" si="72"/>
        <v>1</v>
      </c>
      <c r="AA549">
        <f t="shared" ca="1" si="73"/>
        <v>0</v>
      </c>
      <c r="AB549" s="24">
        <f t="shared" ca="1" si="74"/>
        <v>-4.8923128158547588E-2</v>
      </c>
      <c r="AC549" s="24">
        <f t="shared" ca="1" si="75"/>
        <v>0</v>
      </c>
    </row>
    <row r="550" spans="3:29" x14ac:dyDescent="0.25">
      <c r="C550" s="6">
        <v>543</v>
      </c>
      <c r="D550" s="37">
        <v>42776</v>
      </c>
      <c r="E550" s="39">
        <v>16.975999999999999</v>
      </c>
      <c r="F550" s="39">
        <v>2.6651421652296965</v>
      </c>
      <c r="G550" s="39">
        <v>49.1786367909056</v>
      </c>
      <c r="H550" s="39">
        <v>65.238084817716313</v>
      </c>
      <c r="I550" s="10">
        <v>0</v>
      </c>
      <c r="J550" s="40">
        <v>1</v>
      </c>
      <c r="K550" s="40">
        <v>0</v>
      </c>
      <c r="L550" s="40">
        <v>0</v>
      </c>
      <c r="M550" s="40">
        <v>0</v>
      </c>
      <c r="N550" s="40">
        <v>0</v>
      </c>
      <c r="O550" s="40">
        <v>0</v>
      </c>
      <c r="P550" s="40">
        <v>0</v>
      </c>
      <c r="Q550" s="40">
        <v>0</v>
      </c>
      <c r="R550" s="40">
        <v>0</v>
      </c>
      <c r="S550" s="40">
        <v>0</v>
      </c>
      <c r="T550" s="29">
        <f t="array" aca="1" ref="T550" ca="1">+fair_value_gap(OFFSET(S549,0,0,-1*$I$5,-1*$Z$1),OFFSET(E549,0,0,-1*$I$5,1),F550:S550,0)</f>
        <v>17.028269295145357</v>
      </c>
      <c r="U550" s="9" cm="1">
        <f t="array" aca="1" ref="U550" ca="1">z_score_diff(OFFSET(T550,0,0,$I$5*-1,1),OFFSET(E550,0,0,$I$5*-1,1))</f>
        <v>-4.4826628128828871E-2</v>
      </c>
      <c r="V550" s="9">
        <f t="shared" ca="1" si="71"/>
        <v>-4.8772648580900566E-2</v>
      </c>
      <c r="W550" s="17">
        <f t="shared" ca="1" si="68"/>
        <v>-2.9471035122408271E-2</v>
      </c>
      <c r="X550" s="13">
        <f t="shared" ca="1" si="69"/>
        <v>0</v>
      </c>
      <c r="Y550" s="13">
        <f t="shared" ca="1" si="70"/>
        <v>0</v>
      </c>
      <c r="Z550">
        <f t="shared" ca="1" si="72"/>
        <v>1</v>
      </c>
      <c r="AA550">
        <f t="shared" ca="1" si="73"/>
        <v>0</v>
      </c>
      <c r="AB550" s="24">
        <f t="shared" ca="1" si="74"/>
        <v>-2.9471035122408271E-2</v>
      </c>
      <c r="AC550" s="24">
        <f t="shared" ca="1" si="75"/>
        <v>0</v>
      </c>
    </row>
    <row r="551" spans="3:29" x14ac:dyDescent="0.25">
      <c r="C551" s="6">
        <v>544</v>
      </c>
      <c r="D551" s="37">
        <v>42779</v>
      </c>
      <c r="E551" s="39">
        <v>16.809000000000001</v>
      </c>
      <c r="F551" s="39">
        <v>2.6541264301038865</v>
      </c>
      <c r="G551" s="39">
        <v>48.771212736273839</v>
      </c>
      <c r="H551" s="39">
        <v>64.820702369134906</v>
      </c>
      <c r="I551" s="10">
        <v>0</v>
      </c>
      <c r="J551" s="40">
        <v>1</v>
      </c>
      <c r="K551" s="40">
        <v>0</v>
      </c>
      <c r="L551" s="40">
        <v>0</v>
      </c>
      <c r="M551" s="40">
        <v>0</v>
      </c>
      <c r="N551" s="40">
        <v>0</v>
      </c>
      <c r="O551" s="40">
        <v>0</v>
      </c>
      <c r="P551" s="40">
        <v>0</v>
      </c>
      <c r="Q551" s="40">
        <v>0</v>
      </c>
      <c r="R551" s="40">
        <v>0</v>
      </c>
      <c r="S551" s="40">
        <v>0</v>
      </c>
      <c r="T551" s="29">
        <f t="array" aca="1" ref="T551" ca="1">+fair_value_gap(OFFSET(S550,0,0,-1*$I$5,-1*$Z$1),OFFSET(E550,0,0,-1*$I$5,1),F551:S551,0)</f>
        <v>16.883312495379631</v>
      </c>
      <c r="U551" s="9" cm="1">
        <f t="array" aca="1" ref="U551" ca="1">z_score_diff(OFFSET(T551,0,0,$I$5*-1,1),OFFSET(E551,0,0,$I$5*-1,1))</f>
        <v>-2.8764492263417873E-2</v>
      </c>
      <c r="V551" s="9">
        <f t="shared" ca="1" si="71"/>
        <v>-4.5633324353401519E-2</v>
      </c>
      <c r="W551" s="17">
        <f t="shared" ca="1" si="68"/>
        <v>-9.8646661305624734E-3</v>
      </c>
      <c r="X551" s="13">
        <f t="shared" ca="1" si="69"/>
        <v>0</v>
      </c>
      <c r="Y551" s="13">
        <f t="shared" ca="1" si="70"/>
        <v>0</v>
      </c>
      <c r="Z551">
        <f t="shared" ca="1" si="72"/>
        <v>1</v>
      </c>
      <c r="AA551">
        <f t="shared" ca="1" si="73"/>
        <v>0</v>
      </c>
      <c r="AB551" s="24">
        <f t="shared" ca="1" si="74"/>
        <v>-9.8646661305624734E-3</v>
      </c>
      <c r="AC551" s="24">
        <f t="shared" ca="1" si="75"/>
        <v>0</v>
      </c>
    </row>
    <row r="552" spans="3:29" x14ac:dyDescent="0.25">
      <c r="C552" s="6">
        <v>545</v>
      </c>
      <c r="D552" s="37">
        <v>42780</v>
      </c>
      <c r="E552" s="39">
        <v>16.763000000000002</v>
      </c>
      <c r="F552" s="39">
        <v>2.6498406520936126</v>
      </c>
      <c r="G552" s="39">
        <v>48.331886712105309</v>
      </c>
      <c r="H552" s="39">
        <v>63.794157518407275</v>
      </c>
      <c r="I552" s="10">
        <v>0</v>
      </c>
      <c r="J552" s="40">
        <v>1</v>
      </c>
      <c r="K552" s="40">
        <v>0</v>
      </c>
      <c r="L552" s="40">
        <v>0</v>
      </c>
      <c r="M552" s="40">
        <v>0</v>
      </c>
      <c r="N552" s="40">
        <v>0</v>
      </c>
      <c r="O552" s="40">
        <v>0</v>
      </c>
      <c r="P552" s="40">
        <v>0</v>
      </c>
      <c r="Q552" s="40">
        <v>0</v>
      </c>
      <c r="R552" s="40">
        <v>0</v>
      </c>
      <c r="S552" s="40">
        <v>0</v>
      </c>
      <c r="T552" s="29">
        <f t="array" aca="1" ref="T552" ca="1">+fair_value_gap(OFFSET(S551,0,0,-1*$I$5,-1*$Z$1),OFFSET(E551,0,0,-1*$I$5,1),F552:S552,0)</f>
        <v>16.725576769421249</v>
      </c>
      <c r="U552" s="9" cm="1">
        <f t="array" aca="1" ref="U552" ca="1">z_score_diff(OFFSET(T552,0,0,$I$5*-1,1),OFFSET(E552,0,0,$I$5*-1,1))</f>
        <v>-0.10941799448568085</v>
      </c>
      <c r="V552" s="9">
        <f t="shared" ca="1" si="71"/>
        <v>-4.1031585581658175E-2</v>
      </c>
      <c r="W552" s="17">
        <f t="shared" ca="1" si="68"/>
        <v>-1.0796002417179269E-2</v>
      </c>
      <c r="X552" s="13">
        <f t="shared" ca="1" si="69"/>
        <v>0</v>
      </c>
      <c r="Y552" s="13">
        <f t="shared" ca="1" si="70"/>
        <v>0</v>
      </c>
      <c r="Z552">
        <f t="shared" ca="1" si="72"/>
        <v>1</v>
      </c>
      <c r="AA552">
        <f t="shared" ca="1" si="73"/>
        <v>0</v>
      </c>
      <c r="AB552" s="24">
        <f t="shared" ca="1" si="74"/>
        <v>-1.0796002417179269E-2</v>
      </c>
      <c r="AC552" s="24">
        <f t="shared" ca="1" si="75"/>
        <v>0</v>
      </c>
    </row>
    <row r="553" spans="3:29" x14ac:dyDescent="0.25">
      <c r="C553" s="6">
        <v>546</v>
      </c>
      <c r="D553" s="37">
        <v>42781</v>
      </c>
      <c r="E553" s="39">
        <v>16.785</v>
      </c>
      <c r="F553" s="39">
        <v>2.6245016826773755</v>
      </c>
      <c r="G553" s="39">
        <v>48.561870582846808</v>
      </c>
      <c r="H553" s="39">
        <v>66.046457242455361</v>
      </c>
      <c r="I553" s="10">
        <v>0</v>
      </c>
      <c r="J553" s="40">
        <v>1</v>
      </c>
      <c r="K553" s="40">
        <v>0</v>
      </c>
      <c r="L553" s="40">
        <v>0</v>
      </c>
      <c r="M553" s="40">
        <v>0</v>
      </c>
      <c r="N553" s="40">
        <v>0</v>
      </c>
      <c r="O553" s="40">
        <v>0</v>
      </c>
      <c r="P553" s="40">
        <v>0</v>
      </c>
      <c r="Q553" s="40">
        <v>0</v>
      </c>
      <c r="R553" s="40">
        <v>0</v>
      </c>
      <c r="S553" s="40">
        <v>0</v>
      </c>
      <c r="T553" s="29">
        <f t="array" aca="1" ref="T553" ca="1">+fair_value_gap(OFFSET(S552,0,0,-1*$I$5,-1*$Z$1),OFFSET(E552,0,0,-1*$I$5,1),F553:S553,0)</f>
        <v>16.79597540869332</v>
      </c>
      <c r="U553" s="9" cm="1">
        <f t="array" aca="1" ref="U553" ca="1">z_score_diff(OFFSET(T553,0,0,$I$5*-1,1),OFFSET(E553,0,0,$I$5*-1,1))</f>
        <v>-7.4628499802404547E-2</v>
      </c>
      <c r="V553" s="9">
        <f t="shared" ca="1" si="71"/>
        <v>-4.041351080140524E-2</v>
      </c>
      <c r="W553" s="17">
        <f t="shared" ca="1" si="68"/>
        <v>-9.7585113011637043E-3</v>
      </c>
      <c r="X553" s="13">
        <f t="shared" ca="1" si="69"/>
        <v>0</v>
      </c>
      <c r="Y553" s="13">
        <f t="shared" ca="1" si="70"/>
        <v>0</v>
      </c>
      <c r="Z553">
        <f t="shared" ca="1" si="72"/>
        <v>1</v>
      </c>
      <c r="AA553">
        <f t="shared" ca="1" si="73"/>
        <v>0</v>
      </c>
      <c r="AB553" s="24">
        <f t="shared" ca="1" si="74"/>
        <v>-9.7585113011637043E-3</v>
      </c>
      <c r="AC553" s="24">
        <f t="shared" ca="1" si="75"/>
        <v>0</v>
      </c>
    </row>
    <row r="554" spans="3:29" x14ac:dyDescent="0.25">
      <c r="C554" s="6">
        <v>547</v>
      </c>
      <c r="D554" s="37">
        <v>42782</v>
      </c>
      <c r="E554" s="39">
        <v>16.811</v>
      </c>
      <c r="F554" s="39">
        <v>2.5937086219015804</v>
      </c>
      <c r="G554" s="39">
        <v>48.555126931694808</v>
      </c>
      <c r="H554" s="39">
        <v>65.977917150262556</v>
      </c>
      <c r="I554" s="10">
        <v>0</v>
      </c>
      <c r="J554" s="40">
        <v>1</v>
      </c>
      <c r="K554" s="40">
        <v>0</v>
      </c>
      <c r="L554" s="40">
        <v>0</v>
      </c>
      <c r="M554" s="40">
        <v>0</v>
      </c>
      <c r="N554" s="40">
        <v>0</v>
      </c>
      <c r="O554" s="40">
        <v>0</v>
      </c>
      <c r="P554" s="40">
        <v>0</v>
      </c>
      <c r="Q554" s="40">
        <v>0</v>
      </c>
      <c r="R554" s="40">
        <v>0</v>
      </c>
      <c r="S554" s="40">
        <v>0</v>
      </c>
      <c r="T554" s="29">
        <f t="array" aca="1" ref="T554" ca="1">+fair_value_gap(OFFSET(S553,0,0,-1*$I$5,-1*$Z$1),OFFSET(E553,0,0,-1*$I$5,1),F554:S554,0)</f>
        <v>16.76253027169961</v>
      </c>
      <c r="U554" s="9" cm="1">
        <f t="array" aca="1" ref="U554" ca="1">z_score_diff(OFFSET(T554,0,0,$I$5*-1,1),OFFSET(E554,0,0,$I$5*-1,1))</f>
        <v>-0.11866485826364009</v>
      </c>
      <c r="V554" s="9">
        <f t="shared" ca="1" si="71"/>
        <v>-4.3025799218728983E-2</v>
      </c>
      <c r="W554" s="17">
        <f t="shared" ca="1" si="68"/>
        <v>-1.2028510425718085E-2</v>
      </c>
      <c r="X554" s="13">
        <f t="shared" ca="1" si="69"/>
        <v>0</v>
      </c>
      <c r="Y554" s="13">
        <f t="shared" ca="1" si="70"/>
        <v>0</v>
      </c>
      <c r="Z554">
        <f t="shared" ca="1" si="72"/>
        <v>1</v>
      </c>
      <c r="AA554">
        <f t="shared" ca="1" si="73"/>
        <v>0</v>
      </c>
      <c r="AB554" s="24">
        <f t="shared" ca="1" si="74"/>
        <v>-1.2028510425718085E-2</v>
      </c>
      <c r="AC554" s="24">
        <f t="shared" ca="1" si="75"/>
        <v>0</v>
      </c>
    </row>
    <row r="555" spans="3:29" x14ac:dyDescent="0.25">
      <c r="C555" s="6">
        <v>548</v>
      </c>
      <c r="D555" s="37">
        <v>42783</v>
      </c>
      <c r="E555" s="39">
        <v>16.738</v>
      </c>
      <c r="F555" s="39">
        <v>2.6096295788487467</v>
      </c>
      <c r="G555" s="39">
        <v>48.598221570907171</v>
      </c>
      <c r="H555" s="39">
        <v>66.954594273439824</v>
      </c>
      <c r="I555" s="10">
        <v>0</v>
      </c>
      <c r="J555" s="40">
        <v>1</v>
      </c>
      <c r="K555" s="40">
        <v>0</v>
      </c>
      <c r="L555" s="40">
        <v>0</v>
      </c>
      <c r="M555" s="40">
        <v>0</v>
      </c>
      <c r="N555" s="40">
        <v>0</v>
      </c>
      <c r="O555" s="40">
        <v>0</v>
      </c>
      <c r="P555" s="40">
        <v>0</v>
      </c>
      <c r="Q555" s="40">
        <v>0</v>
      </c>
      <c r="R555" s="40">
        <v>0</v>
      </c>
      <c r="S555" s="40">
        <v>0</v>
      </c>
      <c r="T555" s="29">
        <f t="array" aca="1" ref="T555" ca="1">+fair_value_gap(OFFSET(S554,0,0,-1*$I$5,-1*$Z$1),OFFSET(E554,0,0,-1*$I$5,1),F555:S555,0)</f>
        <v>16.788669337934785</v>
      </c>
      <c r="U555" s="9" cm="1">
        <f t="array" aca="1" ref="U555" ca="1">z_score_diff(OFFSET(T555,0,0,$I$5*-1,1),OFFSET(E555,0,0,$I$5*-1,1))</f>
        <v>-4.5351515962111177E-2</v>
      </c>
      <c r="V555" s="9">
        <f t="shared" ca="1" si="71"/>
        <v>-4.508791713601823E-2</v>
      </c>
      <c r="W555" s="17">
        <f t="shared" ca="1" si="68"/>
        <v>-3.0635376281974311E-2</v>
      </c>
      <c r="X555" s="13">
        <f t="shared" ca="1" si="69"/>
        <v>0</v>
      </c>
      <c r="Y555" s="13">
        <f t="shared" ca="1" si="70"/>
        <v>0</v>
      </c>
      <c r="Z555">
        <f t="shared" ca="1" si="72"/>
        <v>1</v>
      </c>
      <c r="AA555">
        <f t="shared" ca="1" si="73"/>
        <v>0</v>
      </c>
      <c r="AB555" s="24">
        <f t="shared" ca="1" si="74"/>
        <v>-3.0635376281974311E-2</v>
      </c>
      <c r="AC555" s="24">
        <f t="shared" ca="1" si="75"/>
        <v>0</v>
      </c>
    </row>
    <row r="556" spans="3:29" x14ac:dyDescent="0.25">
      <c r="C556" s="6">
        <v>549</v>
      </c>
      <c r="D556" s="37">
        <v>42786</v>
      </c>
      <c r="E556" s="39">
        <v>16.992000000000001</v>
      </c>
      <c r="F556" s="39">
        <v>2.6074249965751859</v>
      </c>
      <c r="G556" s="39">
        <v>49.287362720198544</v>
      </c>
      <c r="H556" s="39">
        <v>68.085300698662024</v>
      </c>
      <c r="I556" s="10">
        <v>0</v>
      </c>
      <c r="J556" s="40">
        <v>1</v>
      </c>
      <c r="K556" s="40">
        <v>0</v>
      </c>
      <c r="L556" s="40">
        <v>0</v>
      </c>
      <c r="M556" s="40">
        <v>0</v>
      </c>
      <c r="N556" s="40">
        <v>0</v>
      </c>
      <c r="O556" s="40">
        <v>0</v>
      </c>
      <c r="P556" s="40">
        <v>0</v>
      </c>
      <c r="Q556" s="40">
        <v>0</v>
      </c>
      <c r="R556" s="40">
        <v>0</v>
      </c>
      <c r="S556" s="40">
        <v>0</v>
      </c>
      <c r="T556" s="29">
        <f t="array" aca="1" ref="T556" ca="1">+fair_value_gap(OFFSET(S555,0,0,-1*$I$5,-1*$Z$1),OFFSET(E555,0,0,-1*$I$5,1),F556:S556,0)</f>
        <v>17.00243577780698</v>
      </c>
      <c r="U556" s="9" cm="1">
        <f t="array" aca="1" ref="U556" ca="1">z_score_diff(OFFSET(T556,0,0,$I$5*-1,1),OFFSET(E556,0,0,$I$5*-1,1))</f>
        <v>-7.6518511444380655E-2</v>
      </c>
      <c r="V556" s="9">
        <f t="shared" ca="1" si="71"/>
        <v>-5.7468152642862758E-2</v>
      </c>
      <c r="W556" s="17">
        <f t="shared" ca="1" si="68"/>
        <v>-4.6744235909829394E-2</v>
      </c>
      <c r="X556" s="13">
        <f t="shared" ca="1" si="69"/>
        <v>0</v>
      </c>
      <c r="Y556" s="13">
        <f t="shared" ca="1" si="70"/>
        <v>0</v>
      </c>
      <c r="Z556">
        <f t="shared" ca="1" si="72"/>
        <v>1</v>
      </c>
      <c r="AA556">
        <f t="shared" ca="1" si="73"/>
        <v>0</v>
      </c>
      <c r="AB556" s="24">
        <f t="shared" ca="1" si="74"/>
        <v>-4.6744235909829394E-2</v>
      </c>
      <c r="AC556" s="24">
        <f t="shared" ca="1" si="75"/>
        <v>0</v>
      </c>
    </row>
    <row r="557" spans="3:29" x14ac:dyDescent="0.25">
      <c r="C557" s="6">
        <v>550</v>
      </c>
      <c r="D557" s="37">
        <v>42787</v>
      </c>
      <c r="E557" s="39">
        <v>16.952999999999999</v>
      </c>
      <c r="F557" s="39">
        <v>2.5739044135890392</v>
      </c>
      <c r="G557" s="39">
        <v>49.263960458021685</v>
      </c>
      <c r="H557" s="39">
        <v>68.046276981888013</v>
      </c>
      <c r="I557" s="10">
        <v>0</v>
      </c>
      <c r="J557" s="40">
        <v>1</v>
      </c>
      <c r="K557" s="40">
        <v>0</v>
      </c>
      <c r="L557" s="40">
        <v>0</v>
      </c>
      <c r="M557" s="40">
        <v>0</v>
      </c>
      <c r="N557" s="40">
        <v>0</v>
      </c>
      <c r="O557" s="40">
        <v>0</v>
      </c>
      <c r="P557" s="40">
        <v>0</v>
      </c>
      <c r="Q557" s="40">
        <v>0</v>
      </c>
      <c r="R557" s="40">
        <v>0</v>
      </c>
      <c r="S557" s="40">
        <v>0</v>
      </c>
      <c r="T557" s="29">
        <f t="array" aca="1" ref="T557" ca="1">+fair_value_gap(OFFSET(S556,0,0,-1*$I$5,-1*$Z$1),OFFSET(E556,0,0,-1*$I$5,1),F557:S557,0)</f>
        <v>16.973137726512689</v>
      </c>
      <c r="U557" s="9" cm="1">
        <f t="array" aca="1" ref="U557" ca="1">z_score_diff(OFFSET(T557,0,0,$I$5*-1,1),OFFSET(E557,0,0,$I$5*-1,1))</f>
        <v>-6.9370796917247846E-2</v>
      </c>
      <c r="V557" s="9">
        <f t="shared" ca="1" si="71"/>
        <v>-5.6499686982192959E-2</v>
      </c>
      <c r="W557" s="17">
        <f t="shared" ca="1" si="68"/>
        <v>-4.1613711530170072E-2</v>
      </c>
      <c r="X557" s="13">
        <f t="shared" ca="1" si="69"/>
        <v>0</v>
      </c>
      <c r="Y557" s="13">
        <f t="shared" ca="1" si="70"/>
        <v>0</v>
      </c>
      <c r="Z557">
        <f t="shared" ca="1" si="72"/>
        <v>1</v>
      </c>
      <c r="AA557">
        <f t="shared" ca="1" si="73"/>
        <v>0</v>
      </c>
      <c r="AB557" s="24">
        <f t="shared" ca="1" si="74"/>
        <v>-4.1613711530170072E-2</v>
      </c>
      <c r="AC557" s="24">
        <f t="shared" ca="1" si="75"/>
        <v>0</v>
      </c>
    </row>
    <row r="558" spans="3:29" x14ac:dyDescent="0.25">
      <c r="C558" s="6">
        <v>551</v>
      </c>
      <c r="D558" s="37">
        <v>42788</v>
      </c>
      <c r="E558" s="39">
        <v>16.902000000000001</v>
      </c>
      <c r="F558" s="39">
        <v>2.5717307583031341</v>
      </c>
      <c r="G558" s="39">
        <v>49.024001042865734</v>
      </c>
      <c r="H558" s="39">
        <v>67.776011965971776</v>
      </c>
      <c r="I558" s="10">
        <v>0</v>
      </c>
      <c r="J558" s="40">
        <v>1</v>
      </c>
      <c r="K558" s="40">
        <v>0</v>
      </c>
      <c r="L558" s="40">
        <v>0</v>
      </c>
      <c r="M558" s="40">
        <v>0</v>
      </c>
      <c r="N558" s="40">
        <v>0</v>
      </c>
      <c r="O558" s="40">
        <v>0</v>
      </c>
      <c r="P558" s="40">
        <v>0</v>
      </c>
      <c r="Q558" s="40">
        <v>0</v>
      </c>
      <c r="R558" s="40">
        <v>0</v>
      </c>
      <c r="S558" s="40">
        <v>0</v>
      </c>
      <c r="T558" s="29">
        <f t="array" aca="1" ref="T558" ca="1">+fair_value_gap(OFFSET(S557,0,0,-1*$I$5,-1*$Z$1),OFFSET(E557,0,0,-1*$I$5,1),F558:S558,0)</f>
        <v>16.896522784962233</v>
      </c>
      <c r="U558" s="9" cm="1">
        <f t="array" aca="1" ref="U558" ca="1">z_score_diff(OFFSET(T558,0,0,$I$5*-1,1),OFFSET(E558,0,0,$I$5*-1,1))</f>
        <v>-8.900014183334426E-2</v>
      </c>
      <c r="V558" s="9">
        <f t="shared" ca="1" si="71"/>
        <v>-5.947937556837004E-2</v>
      </c>
      <c r="W558" s="17">
        <f t="shared" ca="1" si="68"/>
        <v>-2.8018751006107907E-2</v>
      </c>
      <c r="X558" s="13">
        <f t="shared" ca="1" si="69"/>
        <v>0</v>
      </c>
      <c r="Y558" s="13">
        <f t="shared" ca="1" si="70"/>
        <v>0</v>
      </c>
      <c r="Z558">
        <f t="shared" ca="1" si="72"/>
        <v>1</v>
      </c>
      <c r="AA558">
        <f t="shared" ca="1" si="73"/>
        <v>0</v>
      </c>
      <c r="AB558" s="24">
        <f t="shared" ca="1" si="74"/>
        <v>-2.8018751006107907E-2</v>
      </c>
      <c r="AC558" s="24">
        <f t="shared" ca="1" si="75"/>
        <v>0</v>
      </c>
    </row>
    <row r="559" spans="3:29" x14ac:dyDescent="0.25">
      <c r="C559" s="6">
        <v>552</v>
      </c>
      <c r="D559" s="37">
        <v>42789</v>
      </c>
      <c r="E559" s="39">
        <v>17.045999999999999</v>
      </c>
      <c r="F559" s="39">
        <v>2.5786752536980253</v>
      </c>
      <c r="G559" s="39">
        <v>49.597858364709815</v>
      </c>
      <c r="H559" s="39">
        <v>67.949100945880815</v>
      </c>
      <c r="I559" s="10">
        <v>0</v>
      </c>
      <c r="J559" s="40">
        <v>1</v>
      </c>
      <c r="K559" s="40">
        <v>0</v>
      </c>
      <c r="L559" s="40">
        <v>0</v>
      </c>
      <c r="M559" s="40">
        <v>0</v>
      </c>
      <c r="N559" s="40">
        <v>0</v>
      </c>
      <c r="O559" s="40">
        <v>0</v>
      </c>
      <c r="P559" s="40">
        <v>0</v>
      </c>
      <c r="Q559" s="40">
        <v>0</v>
      </c>
      <c r="R559" s="40">
        <v>0</v>
      </c>
      <c r="S559" s="40">
        <v>0</v>
      </c>
      <c r="T559" s="29">
        <f t="array" aca="1" ref="T559" ca="1">+fair_value_gap(OFFSET(S558,0,0,-1*$I$5,-1*$Z$1),OFFSET(E558,0,0,-1*$I$5,1),F559:S559,0)</f>
        <v>17.06832069966929</v>
      </c>
      <c r="U559" s="9" cm="1">
        <f t="array" aca="1" ref="U559" ca="1">z_score_diff(OFFSET(T559,0,0,$I$5*-1,1),OFFSET(E559,0,0,$I$5*-1,1))</f>
        <v>-6.8714567631718793E-2</v>
      </c>
      <c r="V559" s="9">
        <f t="shared" ca="1" si="71"/>
        <v>-6.0837954530435945E-2</v>
      </c>
      <c r="W559" s="17">
        <f t="shared" ca="1" si="68"/>
        <v>-3.7171892383473459E-2</v>
      </c>
      <c r="X559" s="13">
        <f t="shared" ca="1" si="69"/>
        <v>0</v>
      </c>
      <c r="Y559" s="13">
        <f t="shared" ca="1" si="70"/>
        <v>0</v>
      </c>
      <c r="Z559">
        <f t="shared" ca="1" si="72"/>
        <v>1</v>
      </c>
      <c r="AA559">
        <f t="shared" ca="1" si="73"/>
        <v>0</v>
      </c>
      <c r="AB559" s="24">
        <f t="shared" ca="1" si="74"/>
        <v>-3.7171892383473459E-2</v>
      </c>
      <c r="AC559" s="24">
        <f t="shared" ca="1" si="75"/>
        <v>0</v>
      </c>
    </row>
    <row r="560" spans="3:29" x14ac:dyDescent="0.25">
      <c r="C560" s="6">
        <v>553</v>
      </c>
      <c r="D560" s="37">
        <v>42790</v>
      </c>
      <c r="E560" s="39">
        <v>16.844000000000001</v>
      </c>
      <c r="F560" s="39">
        <v>2.5878197136966254</v>
      </c>
      <c r="G560" s="39">
        <v>48.643557290071847</v>
      </c>
      <c r="H560" s="39">
        <v>67.885515369941629</v>
      </c>
      <c r="I560" s="10">
        <v>0</v>
      </c>
      <c r="J560" s="40">
        <v>1</v>
      </c>
      <c r="K560" s="40">
        <v>0</v>
      </c>
      <c r="L560" s="40">
        <v>0</v>
      </c>
      <c r="M560" s="40">
        <v>0</v>
      </c>
      <c r="N560" s="40">
        <v>0</v>
      </c>
      <c r="O560" s="40">
        <v>0</v>
      </c>
      <c r="P560" s="40">
        <v>0</v>
      </c>
      <c r="Q560" s="40">
        <v>0</v>
      </c>
      <c r="R560" s="40">
        <v>0</v>
      </c>
      <c r="S560" s="40">
        <v>0</v>
      </c>
      <c r="T560" s="29">
        <f t="array" aca="1" ref="T560" ca="1">+fair_value_gap(OFFSET(S559,0,0,-1*$I$5,-1*$Z$1),OFFSET(E559,0,0,-1*$I$5,1),F560:S560,0)</f>
        <v>16.79968767076501</v>
      </c>
      <c r="U560" s="9" cm="1">
        <f t="array" aca="1" ref="U560" ca="1">z_score_diff(OFFSET(T560,0,0,$I$5*-1,1),OFFSET(E560,0,0,$I$5*-1,1))</f>
        <v>-0.11969926078827553</v>
      </c>
      <c r="V560" s="9">
        <f t="shared" ca="1" si="71"/>
        <v>-6.2772358828506208E-2</v>
      </c>
      <c r="W560" s="17">
        <f t="shared" ca="1" si="68"/>
        <v>8.2772141012737478E-3</v>
      </c>
      <c r="X560" s="13">
        <f t="shared" ca="1" si="69"/>
        <v>0</v>
      </c>
      <c r="Y560" s="13">
        <f t="shared" ca="1" si="70"/>
        <v>0</v>
      </c>
      <c r="Z560">
        <f t="shared" ca="1" si="72"/>
        <v>1</v>
      </c>
      <c r="AA560">
        <f t="shared" ca="1" si="73"/>
        <v>0</v>
      </c>
      <c r="AB560" s="24">
        <f t="shared" ca="1" si="74"/>
        <v>8.2772141012737478E-3</v>
      </c>
      <c r="AC560" s="24">
        <f t="shared" ca="1" si="75"/>
        <v>0</v>
      </c>
    </row>
    <row r="561" spans="3:29" x14ac:dyDescent="0.25">
      <c r="C561" s="6">
        <v>554</v>
      </c>
      <c r="D561" s="37">
        <v>42793</v>
      </c>
      <c r="E561" s="39">
        <v>16.579000000000001</v>
      </c>
      <c r="F561" s="39">
        <v>2.5399816155453827</v>
      </c>
      <c r="G561" s="39">
        <v>47.810501616096978</v>
      </c>
      <c r="H561" s="39">
        <v>66.906609714492163</v>
      </c>
      <c r="I561" s="10">
        <v>0</v>
      </c>
      <c r="J561" s="40">
        <v>1</v>
      </c>
      <c r="K561" s="40">
        <v>0</v>
      </c>
      <c r="L561" s="40">
        <v>0</v>
      </c>
      <c r="M561" s="40">
        <v>0</v>
      </c>
      <c r="N561" s="40">
        <v>0</v>
      </c>
      <c r="O561" s="40">
        <v>0</v>
      </c>
      <c r="P561" s="40">
        <v>0</v>
      </c>
      <c r="Q561" s="40">
        <v>0</v>
      </c>
      <c r="R561" s="40">
        <v>0</v>
      </c>
      <c r="S561" s="40">
        <v>0</v>
      </c>
      <c r="T561" s="29">
        <f t="array" aca="1" ref="T561" ca="1">+fair_value_gap(OFFSET(S560,0,0,-1*$I$5,-1*$Z$1),OFFSET(E560,0,0,-1*$I$5,1),F561:S561,0)</f>
        <v>16.515061729394972</v>
      </c>
      <c r="U561" s="9" cm="1">
        <f t="array" aca="1" ref="U561" ca="1">z_score_diff(OFFSET(T561,0,0,$I$5*-1,1),OFFSET(E561,0,0,$I$5*-1,1))</f>
        <v>-0.13415468578371709</v>
      </c>
      <c r="V561" s="9">
        <f t="shared" ca="1" si="71"/>
        <v>-6.2261912980989112E-2</v>
      </c>
      <c r="W561" s="17">
        <f t="shared" ca="1" si="68"/>
        <v>1.5560790370843592E-2</v>
      </c>
      <c r="X561" s="13">
        <f t="shared" ca="1" si="69"/>
        <v>0</v>
      </c>
      <c r="Y561" s="13">
        <f t="shared" ca="1" si="70"/>
        <v>0</v>
      </c>
      <c r="Z561">
        <f t="shared" ca="1" si="72"/>
        <v>1</v>
      </c>
      <c r="AA561">
        <f t="shared" ca="1" si="73"/>
        <v>0</v>
      </c>
      <c r="AB561" s="24">
        <f t="shared" ca="1" si="74"/>
        <v>1.5560790370843592E-2</v>
      </c>
      <c r="AC561" s="24">
        <f t="shared" ca="1" si="75"/>
        <v>0</v>
      </c>
    </row>
    <row r="562" spans="3:29" x14ac:dyDescent="0.25">
      <c r="C562" s="6">
        <v>555</v>
      </c>
      <c r="D562" s="37">
        <v>42794</v>
      </c>
      <c r="E562" s="39">
        <v>16.295000000000002</v>
      </c>
      <c r="F562" s="39">
        <v>2.5537743943141207</v>
      </c>
      <c r="G562" s="39">
        <v>46.471805525546202</v>
      </c>
      <c r="H562" s="39">
        <v>66.339532043046987</v>
      </c>
      <c r="I562" s="10">
        <v>0</v>
      </c>
      <c r="J562" s="40">
        <v>1</v>
      </c>
      <c r="K562" s="40">
        <v>0</v>
      </c>
      <c r="L562" s="40">
        <v>0</v>
      </c>
      <c r="M562" s="40">
        <v>0</v>
      </c>
      <c r="N562" s="40">
        <v>0</v>
      </c>
      <c r="O562" s="40">
        <v>0</v>
      </c>
      <c r="P562" s="40">
        <v>0</v>
      </c>
      <c r="Q562" s="40">
        <v>0</v>
      </c>
      <c r="R562" s="40">
        <v>0</v>
      </c>
      <c r="S562" s="40">
        <v>0</v>
      </c>
      <c r="T562" s="29">
        <f t="array" aca="1" ref="T562" ca="1">+fair_value_gap(OFFSET(S561,0,0,-1*$I$5,-1*$Z$1),OFFSET(E561,0,0,-1*$I$5,1),F562:S562,0)</f>
        <v>16.136105238770348</v>
      </c>
      <c r="U562" s="9" cm="1">
        <f t="array" aca="1" ref="U562" ca="1">z_score_diff(OFFSET(T562,0,0,$I$5*-1,1),OFFSET(E562,0,0,$I$5*-1,1))</f>
        <v>-0.20859165288596948</v>
      </c>
      <c r="V562" s="9">
        <f t="shared" ca="1" si="71"/>
        <v>-6.5618455483568053E-2</v>
      </c>
      <c r="W562" s="17">
        <f t="shared" ca="1" si="68"/>
        <v>2.1431776801808224E-2</v>
      </c>
      <c r="X562" s="13">
        <f t="shared" ca="1" si="69"/>
        <v>0</v>
      </c>
      <c r="Y562" s="13">
        <f t="shared" ca="1" si="70"/>
        <v>0</v>
      </c>
      <c r="Z562">
        <f t="shared" ca="1" si="72"/>
        <v>1</v>
      </c>
      <c r="AA562">
        <f t="shared" ca="1" si="73"/>
        <v>0</v>
      </c>
      <c r="AB562" s="24">
        <f t="shared" ca="1" si="74"/>
        <v>2.1431776801808224E-2</v>
      </c>
      <c r="AC562" s="24">
        <f t="shared" ca="1" si="75"/>
        <v>0</v>
      </c>
    </row>
    <row r="563" spans="3:29" x14ac:dyDescent="0.25">
      <c r="C563" s="6">
        <v>556</v>
      </c>
      <c r="D563" s="37">
        <v>42795</v>
      </c>
      <c r="E563" s="39">
        <v>16.402999999999999</v>
      </c>
      <c r="F563" s="39">
        <v>2.6078923638340425</v>
      </c>
      <c r="G563" s="39">
        <v>46.645010191733419</v>
      </c>
      <c r="H563" s="39">
        <v>67.722556983366417</v>
      </c>
      <c r="I563" s="10">
        <v>0</v>
      </c>
      <c r="J563" s="40">
        <v>0</v>
      </c>
      <c r="K563" s="40">
        <v>1</v>
      </c>
      <c r="L563" s="40">
        <v>0</v>
      </c>
      <c r="M563" s="40">
        <v>0</v>
      </c>
      <c r="N563" s="40">
        <v>0</v>
      </c>
      <c r="O563" s="40">
        <v>0</v>
      </c>
      <c r="P563" s="40">
        <v>0</v>
      </c>
      <c r="Q563" s="40">
        <v>0</v>
      </c>
      <c r="R563" s="40">
        <v>0</v>
      </c>
      <c r="S563" s="40">
        <v>0</v>
      </c>
      <c r="T563" s="29">
        <f t="array" aca="1" ref="T563" ca="1">+fair_value_gap(OFFSET(S562,0,0,-1*$I$5,-1*$Z$1),OFFSET(E562,0,0,-1*$I$5,1),F563:S563,0)</f>
        <v>16.57291481172355</v>
      </c>
      <c r="U563" s="9" cm="1">
        <f t="array" aca="1" ref="U563" ca="1">z_score_diff(OFFSET(T563,0,0,$I$5*-1,1),OFFSET(E563,0,0,$I$5*-1,1))</f>
        <v>5.2263609648089807E-2</v>
      </c>
      <c r="V563" s="9">
        <f t="shared" ca="1" si="71"/>
        <v>-6.0275101880284156E-2</v>
      </c>
      <c r="W563" s="17">
        <f t="shared" ca="1" si="68"/>
        <v>1.8543097676953783E-2</v>
      </c>
      <c r="X563" s="13">
        <f t="shared" ca="1" si="69"/>
        <v>0</v>
      </c>
      <c r="Y563" s="13">
        <f t="shared" ca="1" si="70"/>
        <v>0</v>
      </c>
      <c r="Z563">
        <f t="shared" ca="1" si="72"/>
        <v>1</v>
      </c>
      <c r="AA563">
        <f t="shared" ca="1" si="73"/>
        <v>0</v>
      </c>
      <c r="AB563" s="24">
        <f t="shared" ca="1" si="74"/>
        <v>1.8543097676953783E-2</v>
      </c>
      <c r="AC563" s="24">
        <f t="shared" ca="1" si="75"/>
        <v>0</v>
      </c>
    </row>
    <row r="564" spans="3:29" x14ac:dyDescent="0.25">
      <c r="C564" s="6">
        <v>557</v>
      </c>
      <c r="D564" s="37">
        <v>42796</v>
      </c>
      <c r="E564" s="39">
        <v>16.196000000000002</v>
      </c>
      <c r="F564" s="39">
        <v>2.6323890774287384</v>
      </c>
      <c r="G564" s="39">
        <v>46.1751772951474</v>
      </c>
      <c r="H564" s="39">
        <v>67.238369467236168</v>
      </c>
      <c r="I564" s="10">
        <v>0</v>
      </c>
      <c r="J564" s="40">
        <v>0</v>
      </c>
      <c r="K564" s="40">
        <v>1</v>
      </c>
      <c r="L564" s="40">
        <v>0</v>
      </c>
      <c r="M564" s="40">
        <v>0</v>
      </c>
      <c r="N564" s="40">
        <v>0</v>
      </c>
      <c r="O564" s="40">
        <v>0</v>
      </c>
      <c r="P564" s="40">
        <v>0</v>
      </c>
      <c r="Q564" s="40">
        <v>0</v>
      </c>
      <c r="R564" s="40">
        <v>0</v>
      </c>
      <c r="S564" s="40">
        <v>0</v>
      </c>
      <c r="T564" s="29">
        <f t="array" aca="1" ref="T564" ca="1">+fair_value_gap(OFFSET(S563,0,0,-1*$I$5,-1*$Z$1),OFFSET(E563,0,0,-1*$I$5,1),F564:S564,0)</f>
        <v>16.386846118507147</v>
      </c>
      <c r="U564" s="9" cm="1">
        <f t="array" aca="1" ref="U564" ca="1">z_score_diff(OFFSET(T564,0,0,$I$5*-1,1),OFFSET(E564,0,0,$I$5*-1,1))</f>
        <v>7.0895576573752089E-2</v>
      </c>
      <c r="V564" s="9">
        <f t="shared" ca="1" si="71"/>
        <v>-5.5162074900508846E-2</v>
      </c>
      <c r="W564" s="17">
        <f t="shared" ca="1" si="68"/>
        <v>2.0170600109077855E-2</v>
      </c>
      <c r="X564" s="13">
        <f t="shared" ca="1" si="69"/>
        <v>0</v>
      </c>
      <c r="Y564" s="13">
        <f t="shared" ca="1" si="70"/>
        <v>0</v>
      </c>
      <c r="Z564">
        <f t="shared" ca="1" si="72"/>
        <v>1</v>
      </c>
      <c r="AA564">
        <f t="shared" ca="1" si="73"/>
        <v>0</v>
      </c>
      <c r="AB564" s="24">
        <f t="shared" ca="1" si="74"/>
        <v>2.0170600109077855E-2</v>
      </c>
      <c r="AC564" s="24">
        <f t="shared" ca="1" si="75"/>
        <v>0</v>
      </c>
    </row>
    <row r="565" spans="3:29" x14ac:dyDescent="0.25">
      <c r="C565" s="6">
        <v>558</v>
      </c>
      <c r="D565" s="37">
        <v>42797</v>
      </c>
      <c r="E565" s="39">
        <v>16.25</v>
      </c>
      <c r="F565" s="39">
        <v>2.6101415864915132</v>
      </c>
      <c r="G565" s="39">
        <v>46.341695053338718</v>
      </c>
      <c r="H565" s="39">
        <v>65.892385505135408</v>
      </c>
      <c r="I565" s="10">
        <v>0</v>
      </c>
      <c r="J565" s="40">
        <v>0</v>
      </c>
      <c r="K565" s="40">
        <v>1</v>
      </c>
      <c r="L565" s="40">
        <v>0</v>
      </c>
      <c r="M565" s="40">
        <v>0</v>
      </c>
      <c r="N565" s="40">
        <v>0</v>
      </c>
      <c r="O565" s="40">
        <v>0</v>
      </c>
      <c r="P565" s="40">
        <v>0</v>
      </c>
      <c r="Q565" s="40">
        <v>0</v>
      </c>
      <c r="R565" s="40">
        <v>0</v>
      </c>
      <c r="S565" s="40">
        <v>0</v>
      </c>
      <c r="T565" s="29">
        <f t="array" aca="1" ref="T565" ca="1">+fair_value_gap(OFFSET(S564,0,0,-1*$I$5,-1*$Z$1),OFFSET(E564,0,0,-1*$I$5,1),F565:S565,0)</f>
        <v>16.344582602244223</v>
      </c>
      <c r="U565" s="9" cm="1">
        <f t="array" aca="1" ref="U565" ca="1">z_score_diff(OFFSET(T565,0,0,$I$5*-1,1),OFFSET(E565,0,0,$I$5*-1,1))</f>
        <v>-7.8833616348994856E-3</v>
      </c>
      <c r="V565" s="9">
        <f t="shared" ca="1" si="71"/>
        <v>-5.2563537421027033E-2</v>
      </c>
      <c r="W565" s="17">
        <f t="shared" ca="1" si="68"/>
        <v>-4.1933953900986478E-3</v>
      </c>
      <c r="X565" s="13">
        <f t="shared" ca="1" si="69"/>
        <v>0</v>
      </c>
      <c r="Y565" s="13">
        <f t="shared" ca="1" si="70"/>
        <v>0</v>
      </c>
      <c r="Z565">
        <f t="shared" ca="1" si="72"/>
        <v>1</v>
      </c>
      <c r="AA565">
        <f t="shared" ca="1" si="73"/>
        <v>0</v>
      </c>
      <c r="AB565" s="24">
        <f t="shared" ca="1" si="74"/>
        <v>-4.1933953900986478E-3</v>
      </c>
      <c r="AC565" s="24">
        <f t="shared" ca="1" si="75"/>
        <v>0</v>
      </c>
    </row>
    <row r="566" spans="3:29" x14ac:dyDescent="0.25">
      <c r="C566" s="6">
        <v>559</v>
      </c>
      <c r="D566" s="37">
        <v>42800</v>
      </c>
      <c r="E566" s="39">
        <v>16.349</v>
      </c>
      <c r="F566" s="39">
        <v>2.6105046487310073</v>
      </c>
      <c r="G566" s="39">
        <v>46.650648001837233</v>
      </c>
      <c r="H566" s="39">
        <v>66.2469348774775</v>
      </c>
      <c r="I566" s="10">
        <v>0</v>
      </c>
      <c r="J566" s="40">
        <v>0</v>
      </c>
      <c r="K566" s="40">
        <v>1</v>
      </c>
      <c r="L566" s="40">
        <v>0</v>
      </c>
      <c r="M566" s="40">
        <v>0</v>
      </c>
      <c r="N566" s="40">
        <v>0</v>
      </c>
      <c r="O566" s="40">
        <v>0</v>
      </c>
      <c r="P566" s="40">
        <v>0</v>
      </c>
      <c r="Q566" s="40">
        <v>0</v>
      </c>
      <c r="R566" s="40">
        <v>0</v>
      </c>
      <c r="S566" s="40">
        <v>0</v>
      </c>
      <c r="T566" s="29">
        <f t="array" aca="1" ref="T566" ca="1">+fair_value_gap(OFFSET(S565,0,0,-1*$I$5,-1*$Z$1),OFFSET(E565,0,0,-1*$I$5,1),F566:S566,0)</f>
        <v>16.417193474903193</v>
      </c>
      <c r="U566" s="9" cm="1">
        <f t="array" aca="1" ref="U566" ca="1">z_score_diff(OFFSET(T566,0,0,$I$5*-1,1),OFFSET(E566,0,0,$I$5*-1,1))</f>
        <v>-3.0837336719360807E-2</v>
      </c>
      <c r="V566" s="9">
        <f t="shared" ca="1" si="71"/>
        <v>-5.1097539427735365E-2</v>
      </c>
      <c r="W566" s="17">
        <f t="shared" ca="1" si="68"/>
        <v>3.1755751876964555E-3</v>
      </c>
      <c r="X566" s="13">
        <f t="shared" ca="1" si="69"/>
        <v>0</v>
      </c>
      <c r="Y566" s="13">
        <f t="shared" ca="1" si="70"/>
        <v>0</v>
      </c>
      <c r="Z566">
        <f t="shared" ca="1" si="72"/>
        <v>1</v>
      </c>
      <c r="AA566">
        <f t="shared" ca="1" si="73"/>
        <v>0</v>
      </c>
      <c r="AB566" s="24">
        <f t="shared" ca="1" si="74"/>
        <v>3.1755751876964555E-3</v>
      </c>
      <c r="AC566" s="24">
        <f t="shared" ca="1" si="75"/>
        <v>0</v>
      </c>
    </row>
    <row r="567" spans="3:29" x14ac:dyDescent="0.25">
      <c r="C567" s="6">
        <v>560</v>
      </c>
      <c r="D567" s="37">
        <v>42801</v>
      </c>
      <c r="E567" s="39">
        <v>16.213000000000001</v>
      </c>
      <c r="F567" s="39">
        <v>2.6020313637872809</v>
      </c>
      <c r="G567" s="39">
        <v>46.212713058056721</v>
      </c>
      <c r="H567" s="39">
        <v>64.477548422363697</v>
      </c>
      <c r="I567" s="10">
        <v>0</v>
      </c>
      <c r="J567" s="40">
        <v>0</v>
      </c>
      <c r="K567" s="40">
        <v>1</v>
      </c>
      <c r="L567" s="40">
        <v>0</v>
      </c>
      <c r="M567" s="40">
        <v>0</v>
      </c>
      <c r="N567" s="40">
        <v>0</v>
      </c>
      <c r="O567" s="40">
        <v>0</v>
      </c>
      <c r="P567" s="40">
        <v>0</v>
      </c>
      <c r="Q567" s="40">
        <v>0</v>
      </c>
      <c r="R567" s="40">
        <v>0</v>
      </c>
      <c r="S567" s="40">
        <v>0</v>
      </c>
      <c r="T567" s="29">
        <f t="array" aca="1" ref="T567" ca="1">+fair_value_gap(OFFSET(S566,0,0,-1*$I$5,-1*$Z$1),OFFSET(E566,0,0,-1*$I$5,1),F567:S567,0)</f>
        <v>16.241504331750249</v>
      </c>
      <c r="U567" s="9" cm="1">
        <f t="array" aca="1" ref="U567" ca="1">z_score_diff(OFFSET(T567,0,0,$I$5*-1,1),OFFSET(E567,0,0,$I$5*-1,1))</f>
        <v>-6.3995391275961072E-2</v>
      </c>
      <c r="V567" s="9">
        <f t="shared" ca="1" si="71"/>
        <v>-5.1732931621907237E-2</v>
      </c>
      <c r="W567" s="17">
        <f t="shared" ca="1" si="68"/>
        <v>4.369641072800131E-3</v>
      </c>
      <c r="X567" s="13">
        <f t="shared" ca="1" si="69"/>
        <v>0</v>
      </c>
      <c r="Y567" s="13">
        <f t="shared" ca="1" si="70"/>
        <v>0</v>
      </c>
      <c r="Z567">
        <f t="shared" ca="1" si="72"/>
        <v>1</v>
      </c>
      <c r="AA567">
        <f t="shared" ca="1" si="73"/>
        <v>0</v>
      </c>
      <c r="AB567" s="24">
        <f t="shared" ca="1" si="74"/>
        <v>4.369641072800131E-3</v>
      </c>
      <c r="AC567" s="24">
        <f t="shared" ca="1" si="75"/>
        <v>0</v>
      </c>
    </row>
    <row r="568" spans="3:29" x14ac:dyDescent="0.25">
      <c r="C568" s="6">
        <v>561</v>
      </c>
      <c r="D568" s="37">
        <v>42802</v>
      </c>
      <c r="E568" s="39">
        <v>16.041</v>
      </c>
      <c r="F568" s="39">
        <v>2.6216774326300549</v>
      </c>
      <c r="G568" s="39">
        <v>45.902244628878989</v>
      </c>
      <c r="H568" s="39">
        <v>64.209969355585443</v>
      </c>
      <c r="I568" s="10">
        <v>0</v>
      </c>
      <c r="J568" s="40">
        <v>0</v>
      </c>
      <c r="K568" s="40">
        <v>1</v>
      </c>
      <c r="L568" s="40">
        <v>0</v>
      </c>
      <c r="M568" s="40">
        <v>0</v>
      </c>
      <c r="N568" s="40">
        <v>0</v>
      </c>
      <c r="O568" s="40">
        <v>0</v>
      </c>
      <c r="P568" s="40">
        <v>0</v>
      </c>
      <c r="Q568" s="40">
        <v>0</v>
      </c>
      <c r="R568" s="40">
        <v>0</v>
      </c>
      <c r="S568" s="40">
        <v>0</v>
      </c>
      <c r="T568" s="29">
        <f t="array" aca="1" ref="T568" ca="1">+fair_value_gap(OFFSET(S567,0,0,-1*$I$5,-1*$Z$1),OFFSET(E567,0,0,-1*$I$5,1),F568:S568,0)</f>
        <v>16.154201523014933</v>
      </c>
      <c r="U568" s="9" cm="1">
        <f t="array" aca="1" ref="U568" ca="1">z_score_diff(OFFSET(T568,0,0,$I$5*-1,1),OFFSET(E568,0,0,$I$5*-1,1))</f>
        <v>9.2898748650405705E-3</v>
      </c>
      <c r="V568" s="9">
        <f t="shared" ca="1" si="71"/>
        <v>-4.7970448958992266E-2</v>
      </c>
      <c r="W568" s="17">
        <f t="shared" ca="1" si="68"/>
        <v>6.5975210691868111E-2</v>
      </c>
      <c r="X568" s="13">
        <f t="shared" ca="1" si="69"/>
        <v>0</v>
      </c>
      <c r="Y568" s="13">
        <f t="shared" ca="1" si="70"/>
        <v>0</v>
      </c>
      <c r="Z568">
        <f t="shared" ca="1" si="72"/>
        <v>1</v>
      </c>
      <c r="AA568">
        <f t="shared" ca="1" si="73"/>
        <v>0</v>
      </c>
      <c r="AB568" s="24">
        <f t="shared" ca="1" si="74"/>
        <v>6.5975210691868111E-2</v>
      </c>
      <c r="AC568" s="24">
        <f t="shared" ca="1" si="75"/>
        <v>0</v>
      </c>
    </row>
    <row r="569" spans="3:29" x14ac:dyDescent="0.25">
      <c r="C569" s="6">
        <v>562</v>
      </c>
      <c r="D569" s="37">
        <v>42803</v>
      </c>
      <c r="E569" s="39">
        <v>15.842000000000001</v>
      </c>
      <c r="F569" s="39">
        <v>2.6226512853279829</v>
      </c>
      <c r="G569" s="39">
        <v>45.451650181533623</v>
      </c>
      <c r="H569" s="39">
        <v>62.98024727070338</v>
      </c>
      <c r="I569" s="10">
        <v>0</v>
      </c>
      <c r="J569" s="40">
        <v>0</v>
      </c>
      <c r="K569" s="40">
        <v>1</v>
      </c>
      <c r="L569" s="40">
        <v>0</v>
      </c>
      <c r="M569" s="40">
        <v>0</v>
      </c>
      <c r="N569" s="40">
        <v>0</v>
      </c>
      <c r="O569" s="40">
        <v>0</v>
      </c>
      <c r="P569" s="40">
        <v>0</v>
      </c>
      <c r="Q569" s="40">
        <v>0</v>
      </c>
      <c r="R569" s="40">
        <v>0</v>
      </c>
      <c r="S569" s="40">
        <v>0</v>
      </c>
      <c r="T569" s="29">
        <f t="array" aca="1" ref="T569" ca="1">+fair_value_gap(OFFSET(S568,0,0,-1*$I$5,-1*$Z$1),OFFSET(E568,0,0,-1*$I$5,1),F569:S569,0)</f>
        <v>15.991788181111076</v>
      </c>
      <c r="U569" s="9" cm="1">
        <f t="array" aca="1" ref="U569" ca="1">z_score_diff(OFFSET(T569,0,0,$I$5*-1,1),OFFSET(E569,0,0,$I$5*-1,1))</f>
        <v>4.2936863396637936E-2</v>
      </c>
      <c r="V569" s="9">
        <f t="shared" ca="1" si="71"/>
        <v>-4.2641147542956809E-2</v>
      </c>
      <c r="W569" s="17">
        <f t="shared" ca="1" si="68"/>
        <v>7.8049910245293661E-2</v>
      </c>
      <c r="X569" s="13">
        <f t="shared" ca="1" si="69"/>
        <v>0</v>
      </c>
      <c r="Y569" s="13">
        <f t="shared" ca="1" si="70"/>
        <v>0</v>
      </c>
      <c r="Z569">
        <f t="shared" ca="1" si="72"/>
        <v>1</v>
      </c>
      <c r="AA569">
        <f t="shared" ca="1" si="73"/>
        <v>0</v>
      </c>
      <c r="AB569" s="24">
        <f t="shared" ca="1" si="74"/>
        <v>7.8049910245293661E-2</v>
      </c>
      <c r="AC569" s="24">
        <f t="shared" ca="1" si="75"/>
        <v>0</v>
      </c>
    </row>
    <row r="570" spans="3:29" x14ac:dyDescent="0.25">
      <c r="C570" s="6">
        <v>563</v>
      </c>
      <c r="D570" s="37">
        <v>42804</v>
      </c>
      <c r="E570" s="39">
        <v>15.808</v>
      </c>
      <c r="F570" s="39">
        <v>2.6022038462550126</v>
      </c>
      <c r="G570" s="39">
        <v>45.335679821402849</v>
      </c>
      <c r="H570" s="39">
        <v>63.127705716050485</v>
      </c>
      <c r="I570" s="10">
        <v>0</v>
      </c>
      <c r="J570" s="40">
        <v>0</v>
      </c>
      <c r="K570" s="40">
        <v>1</v>
      </c>
      <c r="L570" s="40">
        <v>0</v>
      </c>
      <c r="M570" s="40">
        <v>0</v>
      </c>
      <c r="N570" s="40">
        <v>0</v>
      </c>
      <c r="O570" s="40">
        <v>0</v>
      </c>
      <c r="P570" s="40">
        <v>0</v>
      </c>
      <c r="Q570" s="40">
        <v>0</v>
      </c>
      <c r="R570" s="40">
        <v>0</v>
      </c>
      <c r="S570" s="40">
        <v>0</v>
      </c>
      <c r="T570" s="29">
        <f t="array" aca="1" ref="T570" ca="1">+fair_value_gap(OFFSET(S569,0,0,-1*$I$5,-1*$Z$1),OFFSET(E569,0,0,-1*$I$5,1),F570:S570,0)</f>
        <v>15.92922280074124</v>
      </c>
      <c r="U570" s="9" cm="1">
        <f t="array" aca="1" ref="U570" ca="1">z_score_diff(OFFSET(T570,0,0,$I$5*-1,1),OFFSET(E570,0,0,$I$5*-1,1))</f>
        <v>1.8854871556914454E-2</v>
      </c>
      <c r="V570" s="9">
        <f t="shared" ca="1" si="71"/>
        <v>-3.8700381513098937E-2</v>
      </c>
      <c r="W570" s="17">
        <f t="shared" ca="1" si="68"/>
        <v>8.7585815544454756E-2</v>
      </c>
      <c r="X570" s="13">
        <f t="shared" ca="1" si="69"/>
        <v>0</v>
      </c>
      <c r="Y570" s="13">
        <f t="shared" ca="1" si="70"/>
        <v>0</v>
      </c>
      <c r="Z570">
        <f t="shared" ca="1" si="72"/>
        <v>1</v>
      </c>
      <c r="AA570">
        <f t="shared" ca="1" si="73"/>
        <v>0</v>
      </c>
      <c r="AB570" s="24">
        <f t="shared" ca="1" si="74"/>
        <v>8.7585815544454756E-2</v>
      </c>
      <c r="AC570" s="24">
        <f t="shared" ca="1" si="75"/>
        <v>0</v>
      </c>
    </row>
    <row r="571" spans="3:29" x14ac:dyDescent="0.25">
      <c r="C571" s="6">
        <v>564</v>
      </c>
      <c r="D571" s="37">
        <v>42807</v>
      </c>
      <c r="E571" s="39">
        <v>15.577</v>
      </c>
      <c r="F571" s="39">
        <v>2.6120940317471288</v>
      </c>
      <c r="G571" s="39">
        <v>44.817762237128761</v>
      </c>
      <c r="H571" s="39">
        <v>63.938095554255973</v>
      </c>
      <c r="I571" s="10">
        <v>0</v>
      </c>
      <c r="J571" s="40">
        <v>0</v>
      </c>
      <c r="K571" s="40">
        <v>1</v>
      </c>
      <c r="L571" s="40">
        <v>0</v>
      </c>
      <c r="M571" s="40">
        <v>0</v>
      </c>
      <c r="N571" s="40">
        <v>0</v>
      </c>
      <c r="O571" s="40">
        <v>0</v>
      </c>
      <c r="P571" s="40">
        <v>0</v>
      </c>
      <c r="Q571" s="40">
        <v>0</v>
      </c>
      <c r="R571" s="40">
        <v>0</v>
      </c>
      <c r="S571" s="40">
        <v>0</v>
      </c>
      <c r="T571" s="29">
        <f t="array" aca="1" ref="T571" ca="1">+fair_value_gap(OFFSET(S570,0,0,-1*$I$5,-1*$Z$1),OFFSET(E570,0,0,-1*$I$5,1),F571:S571,0)</f>
        <v>15.785891201555209</v>
      </c>
      <c r="U571" s="9" cm="1">
        <f t="array" aca="1" ref="U571" ca="1">z_score_diff(OFFSET(T571,0,0,$I$5*-1,1),OFFSET(E571,0,0,$I$5*-1,1))</f>
        <v>9.8983482903964415E-2</v>
      </c>
      <c r="V571" s="9">
        <f t="shared" ca="1" si="71"/>
        <v>-3.3701045895384266E-2</v>
      </c>
      <c r="W571" s="17">
        <f t="shared" ca="1" si="68"/>
        <v>9.8357816750081623E-2</v>
      </c>
      <c r="X571" s="13">
        <f t="shared" ca="1" si="69"/>
        <v>0</v>
      </c>
      <c r="Y571" s="13">
        <f t="shared" ca="1" si="70"/>
        <v>0</v>
      </c>
      <c r="Z571">
        <f t="shared" ca="1" si="72"/>
        <v>1</v>
      </c>
      <c r="AA571">
        <f t="shared" ca="1" si="73"/>
        <v>0</v>
      </c>
      <c r="AB571" s="24">
        <f t="shared" ca="1" si="74"/>
        <v>9.8357816750081623E-2</v>
      </c>
      <c r="AC571" s="24">
        <f t="shared" ca="1" si="75"/>
        <v>0</v>
      </c>
    </row>
    <row r="572" spans="3:29" x14ac:dyDescent="0.25">
      <c r="C572" s="6">
        <v>565</v>
      </c>
      <c r="D572" s="37">
        <v>42808</v>
      </c>
      <c r="E572" s="39">
        <v>15.523</v>
      </c>
      <c r="F572" s="39">
        <v>2.5824927447295409</v>
      </c>
      <c r="G572" s="39">
        <v>44.914397842660414</v>
      </c>
      <c r="H572" s="39">
        <v>63.557812953739763</v>
      </c>
      <c r="I572" s="10">
        <v>0</v>
      </c>
      <c r="J572" s="40">
        <v>0</v>
      </c>
      <c r="K572" s="40">
        <v>1</v>
      </c>
      <c r="L572" s="40">
        <v>0</v>
      </c>
      <c r="M572" s="40">
        <v>0</v>
      </c>
      <c r="N572" s="40">
        <v>0</v>
      </c>
      <c r="O572" s="40">
        <v>0</v>
      </c>
      <c r="P572" s="40">
        <v>0</v>
      </c>
      <c r="Q572" s="40">
        <v>0</v>
      </c>
      <c r="R572" s="40">
        <v>0</v>
      </c>
      <c r="S572" s="40">
        <v>0</v>
      </c>
      <c r="T572" s="29">
        <f t="array" aca="1" ref="T572" ca="1">+fair_value_gap(OFFSET(S571,0,0,-1*$I$5,-1*$Z$1),OFFSET(E571,0,0,-1*$I$5,1),F572:S572,0)</f>
        <v>15.762570225115306</v>
      </c>
      <c r="U572" s="9" cm="1">
        <f t="array" aca="1" ref="U572" ca="1">z_score_diff(OFFSET(T572,0,0,$I$5*-1,1),OFFSET(E572,0,0,$I$5*-1,1))</f>
        <v>0.12877989785492627</v>
      </c>
      <c r="V572" s="9">
        <f t="shared" ca="1" si="71"/>
        <v>-2.8988945258600372E-2</v>
      </c>
      <c r="W572" s="17">
        <f t="shared" ca="1" si="68"/>
        <v>8.6646260631582608E-2</v>
      </c>
      <c r="X572" s="13">
        <f t="shared" ca="1" si="69"/>
        <v>0</v>
      </c>
      <c r="Y572" s="13">
        <f t="shared" ca="1" si="70"/>
        <v>0</v>
      </c>
      <c r="Z572">
        <f t="shared" ca="1" si="72"/>
        <v>1</v>
      </c>
      <c r="AA572">
        <f t="shared" ca="1" si="73"/>
        <v>0</v>
      </c>
      <c r="AB572" s="24">
        <f t="shared" ca="1" si="74"/>
        <v>8.6646260631582608E-2</v>
      </c>
      <c r="AC572" s="24">
        <f t="shared" ca="1" si="75"/>
        <v>0</v>
      </c>
    </row>
    <row r="573" spans="3:29" x14ac:dyDescent="0.25">
      <c r="C573" s="6">
        <v>566</v>
      </c>
      <c r="D573" s="37">
        <v>42809</v>
      </c>
      <c r="E573" s="39">
        <v>15.741</v>
      </c>
      <c r="F573" s="39">
        <v>2.564343347515476</v>
      </c>
      <c r="G573" s="39">
        <v>45.033070630994651</v>
      </c>
      <c r="H573" s="39">
        <v>63.115352109623878</v>
      </c>
      <c r="I573" s="10">
        <v>0</v>
      </c>
      <c r="J573" s="40">
        <v>0</v>
      </c>
      <c r="K573" s="40">
        <v>1</v>
      </c>
      <c r="L573" s="40">
        <v>0</v>
      </c>
      <c r="M573" s="40">
        <v>0</v>
      </c>
      <c r="N573" s="40">
        <v>0</v>
      </c>
      <c r="O573" s="40">
        <v>0</v>
      </c>
      <c r="P573" s="40">
        <v>0</v>
      </c>
      <c r="Q573" s="40">
        <v>0</v>
      </c>
      <c r="R573" s="40">
        <v>0</v>
      </c>
      <c r="S573" s="40">
        <v>0</v>
      </c>
      <c r="T573" s="29">
        <f t="array" aca="1" ref="T573" ca="1">+fair_value_gap(OFFSET(S572,0,0,-1*$I$5,-1*$Z$1),OFFSET(E572,0,0,-1*$I$5,1),F573:S573,0)</f>
        <v>15.751581791374742</v>
      </c>
      <c r="U573" s="9" cm="1">
        <f t="array" aca="1" ref="U573" ca="1">z_score_diff(OFFSET(T573,0,0,$I$5*-1,1),OFFSET(E573,0,0,$I$5*-1,1))</f>
        <v>-8.0877502767542797E-2</v>
      </c>
      <c r="V573" s="9">
        <f t="shared" ca="1" si="71"/>
        <v>-2.9549063608172218E-2</v>
      </c>
      <c r="W573" s="17">
        <f t="shared" ca="1" si="68"/>
        <v>7.2168477403974973E-2</v>
      </c>
      <c r="X573" s="13">
        <f t="shared" ca="1" si="69"/>
        <v>0</v>
      </c>
      <c r="Y573" s="13">
        <f t="shared" ca="1" si="70"/>
        <v>0</v>
      </c>
      <c r="Z573">
        <f t="shared" ca="1" si="72"/>
        <v>1</v>
      </c>
      <c r="AA573">
        <f t="shared" ca="1" si="73"/>
        <v>0</v>
      </c>
      <c r="AB573" s="24">
        <f t="shared" ca="1" si="74"/>
        <v>7.2168477403974973E-2</v>
      </c>
      <c r="AC573" s="24">
        <f t="shared" ca="1" si="75"/>
        <v>0</v>
      </c>
    </row>
    <row r="574" spans="3:29" x14ac:dyDescent="0.25">
      <c r="C574" s="6">
        <v>567</v>
      </c>
      <c r="D574" s="37">
        <v>42810</v>
      </c>
      <c r="E574" s="39">
        <v>15.734</v>
      </c>
      <c r="F574" s="39">
        <v>2.5426558648045128</v>
      </c>
      <c r="G574" s="39">
        <v>44.831098015999927</v>
      </c>
      <c r="H574" s="39">
        <v>62.463829032719708</v>
      </c>
      <c r="I574" s="10">
        <v>0</v>
      </c>
      <c r="J574" s="40">
        <v>0</v>
      </c>
      <c r="K574" s="40">
        <v>1</v>
      </c>
      <c r="L574" s="40">
        <v>0</v>
      </c>
      <c r="M574" s="40">
        <v>0</v>
      </c>
      <c r="N574" s="40">
        <v>0</v>
      </c>
      <c r="O574" s="40">
        <v>0</v>
      </c>
      <c r="P574" s="40">
        <v>0</v>
      </c>
      <c r="Q574" s="40">
        <v>0</v>
      </c>
      <c r="R574" s="40">
        <v>0</v>
      </c>
      <c r="S574" s="40">
        <v>0</v>
      </c>
      <c r="T574" s="29">
        <f t="array" aca="1" ref="T574" ca="1">+fair_value_gap(OFFSET(S573,0,0,-1*$I$5,-1*$Z$1),OFFSET(E573,0,0,-1*$I$5,1),F574:S574,0)</f>
        <v>15.665877287718494</v>
      </c>
      <c r="U574" s="9" cm="1">
        <f t="array" aca="1" ref="U574" ca="1">z_score_diff(OFFSET(T574,0,0,$I$5*-1,1),OFFSET(E574,0,0,$I$5*-1,1))</f>
        <v>-0.15402296597421838</v>
      </c>
      <c r="V574" s="9">
        <f t="shared" ca="1" si="71"/>
        <v>-3.1525707738788968E-2</v>
      </c>
      <c r="W574" s="17">
        <f t="shared" ca="1" si="68"/>
        <v>6.5852485270018149E-2</v>
      </c>
      <c r="X574" s="13">
        <f t="shared" ca="1" si="69"/>
        <v>0</v>
      </c>
      <c r="Y574" s="13">
        <f t="shared" ca="1" si="70"/>
        <v>0</v>
      </c>
      <c r="Z574">
        <f t="shared" ca="1" si="72"/>
        <v>1</v>
      </c>
      <c r="AA574">
        <f t="shared" ca="1" si="73"/>
        <v>0</v>
      </c>
      <c r="AB574" s="24">
        <f t="shared" ca="1" si="74"/>
        <v>6.5852485270018149E-2</v>
      </c>
      <c r="AC574" s="24">
        <f t="shared" ca="1" si="75"/>
        <v>0</v>
      </c>
    </row>
    <row r="575" spans="3:29" x14ac:dyDescent="0.25">
      <c r="C575" s="6">
        <v>568</v>
      </c>
      <c r="D575" s="37">
        <v>42811</v>
      </c>
      <c r="E575" s="39">
        <v>15.750999999999999</v>
      </c>
      <c r="F575" s="39">
        <v>2.5505835699157315</v>
      </c>
      <c r="G575" s="39">
        <v>45.255409649099839</v>
      </c>
      <c r="H575" s="39">
        <v>62.683069712946683</v>
      </c>
      <c r="I575" s="10">
        <v>0</v>
      </c>
      <c r="J575" s="40">
        <v>0</v>
      </c>
      <c r="K575" s="40">
        <v>1</v>
      </c>
      <c r="L575" s="40">
        <v>0</v>
      </c>
      <c r="M575" s="40">
        <v>0</v>
      </c>
      <c r="N575" s="40">
        <v>0</v>
      </c>
      <c r="O575" s="40">
        <v>0</v>
      </c>
      <c r="P575" s="40">
        <v>0</v>
      </c>
      <c r="Q575" s="40">
        <v>0</v>
      </c>
      <c r="R575" s="40">
        <v>0</v>
      </c>
      <c r="S575" s="40">
        <v>0</v>
      </c>
      <c r="T575" s="29">
        <f t="array" aca="1" ref="T575" ca="1">+fair_value_gap(OFFSET(S574,0,0,-1*$I$5,-1*$Z$1),OFFSET(E574,0,0,-1*$I$5,1),F575:S575,0)</f>
        <v>15.797776847440471</v>
      </c>
      <c r="U575" s="9" cm="1">
        <f t="array" aca="1" ref="U575" ca="1">z_score_diff(OFFSET(T575,0,0,$I$5*-1,1),OFFSET(E575,0,0,$I$5*-1,1))</f>
        <v>-4.6511946098028889E-2</v>
      </c>
      <c r="V575" s="9">
        <f t="shared" ca="1" si="71"/>
        <v>-2.9103136438044023E-2</v>
      </c>
      <c r="W575" s="17">
        <f t="shared" ca="1" si="68"/>
        <v>5.8983791315330561E-2</v>
      </c>
      <c r="X575" s="13">
        <f t="shared" ca="1" si="69"/>
        <v>0</v>
      </c>
      <c r="Y575" s="13">
        <f t="shared" ca="1" si="70"/>
        <v>0</v>
      </c>
      <c r="Z575">
        <f t="shared" ca="1" si="72"/>
        <v>1</v>
      </c>
      <c r="AA575">
        <f t="shared" ca="1" si="73"/>
        <v>0</v>
      </c>
      <c r="AB575" s="24">
        <f t="shared" ca="1" si="74"/>
        <v>5.8983791315330561E-2</v>
      </c>
      <c r="AC575" s="24">
        <f t="shared" ca="1" si="75"/>
        <v>0</v>
      </c>
    </row>
    <row r="576" spans="3:29" x14ac:dyDescent="0.25">
      <c r="C576" s="6">
        <v>569</v>
      </c>
      <c r="D576" s="37">
        <v>42814</v>
      </c>
      <c r="E576" s="39">
        <v>15.645</v>
      </c>
      <c r="F576" s="39">
        <v>2.571009477552832</v>
      </c>
      <c r="G576" s="39">
        <v>44.783836455474678</v>
      </c>
      <c r="H576" s="39">
        <v>62.065070896713976</v>
      </c>
      <c r="I576" s="10">
        <v>0</v>
      </c>
      <c r="J576" s="40">
        <v>0</v>
      </c>
      <c r="K576" s="40">
        <v>1</v>
      </c>
      <c r="L576" s="40">
        <v>0</v>
      </c>
      <c r="M576" s="40">
        <v>0</v>
      </c>
      <c r="N576" s="40">
        <v>0</v>
      </c>
      <c r="O576" s="40">
        <v>0</v>
      </c>
      <c r="P576" s="40">
        <v>0</v>
      </c>
      <c r="Q576" s="40">
        <v>0</v>
      </c>
      <c r="R576" s="40">
        <v>0</v>
      </c>
      <c r="S576" s="40">
        <v>0</v>
      </c>
      <c r="T576" s="29">
        <f t="array" aca="1" ref="T576" ca="1">+fair_value_gap(OFFSET(S575,0,0,-1*$I$5,-1*$Z$1),OFFSET(E575,0,0,-1*$I$5,1),F576:S576,0)</f>
        <v>15.641374096684842</v>
      </c>
      <c r="U576" s="9" cm="1">
        <f t="array" aca="1" ref="U576" ca="1">z_score_diff(OFFSET(T576,0,0,$I$5*-1,1),OFFSET(E576,0,0,$I$5*-1,1))</f>
        <v>-8.7730893462157677E-2</v>
      </c>
      <c r="V576" s="9">
        <f t="shared" ca="1" si="71"/>
        <v>-2.5832805159991281E-2</v>
      </c>
      <c r="W576" s="17">
        <f t="shared" ca="1" si="68"/>
        <v>7.0632093968603982E-2</v>
      </c>
      <c r="X576" s="13">
        <f t="shared" ca="1" si="69"/>
        <v>0</v>
      </c>
      <c r="Y576" s="13">
        <f t="shared" ca="1" si="70"/>
        <v>0</v>
      </c>
      <c r="Z576">
        <f t="shared" ca="1" si="72"/>
        <v>1</v>
      </c>
      <c r="AA576">
        <f t="shared" ca="1" si="73"/>
        <v>0</v>
      </c>
      <c r="AB576" s="24">
        <f t="shared" ca="1" si="74"/>
        <v>7.0632093968603982E-2</v>
      </c>
      <c r="AC576" s="24">
        <f t="shared" ca="1" si="75"/>
        <v>0</v>
      </c>
    </row>
    <row r="577" spans="3:29" x14ac:dyDescent="0.25">
      <c r="C577" s="6">
        <v>570</v>
      </c>
      <c r="D577" s="37">
        <v>42815</v>
      </c>
      <c r="E577" s="39">
        <v>15.456</v>
      </c>
      <c r="F577" s="39">
        <v>2.5711045881567713</v>
      </c>
      <c r="G577" s="39">
        <v>44.499945829127967</v>
      </c>
      <c r="H577" s="39">
        <v>60.82375822645816</v>
      </c>
      <c r="I577" s="10">
        <v>0</v>
      </c>
      <c r="J577" s="40">
        <v>0</v>
      </c>
      <c r="K577" s="40">
        <v>1</v>
      </c>
      <c r="L577" s="40">
        <v>0</v>
      </c>
      <c r="M577" s="40">
        <v>0</v>
      </c>
      <c r="N577" s="40">
        <v>0</v>
      </c>
      <c r="O577" s="40">
        <v>0</v>
      </c>
      <c r="P577" s="40">
        <v>0</v>
      </c>
      <c r="Q577" s="40">
        <v>0</v>
      </c>
      <c r="R577" s="40">
        <v>0</v>
      </c>
      <c r="S577" s="40">
        <v>0</v>
      </c>
      <c r="T577" s="29">
        <f t="array" aca="1" ref="T577" ca="1">+fair_value_gap(OFFSET(S576,0,0,-1*$I$5,-1*$Z$1),OFFSET(E576,0,0,-1*$I$5,1),F577:S577,0)</f>
        <v>15.535087872683818</v>
      </c>
      <c r="U577" s="9" cm="1">
        <f t="array" aca="1" ref="U577" ca="1">z_score_diff(OFFSET(T577,0,0,$I$5*-1,1),OFFSET(E577,0,0,$I$5*-1,1))</f>
        <v>-1.6734295371001462E-3</v>
      </c>
      <c r="V577" s="9">
        <f t="shared" ca="1" si="71"/>
        <v>-2.4555271122858303E-2</v>
      </c>
      <c r="W577" s="17">
        <f t="shared" ca="1" si="68"/>
        <v>8.0102428776005749E-2</v>
      </c>
      <c r="X577" s="13">
        <f t="shared" ca="1" si="69"/>
        <v>0</v>
      </c>
      <c r="Y577" s="13">
        <f t="shared" ca="1" si="70"/>
        <v>0</v>
      </c>
      <c r="Z577">
        <f t="shared" ca="1" si="72"/>
        <v>1</v>
      </c>
      <c r="AA577">
        <f t="shared" ca="1" si="73"/>
        <v>0</v>
      </c>
      <c r="AB577" s="24">
        <f t="shared" ca="1" si="74"/>
        <v>8.0102428776005749E-2</v>
      </c>
      <c r="AC577" s="24">
        <f t="shared" ca="1" si="75"/>
        <v>0</v>
      </c>
    </row>
    <row r="578" spans="3:29" x14ac:dyDescent="0.25">
      <c r="C578" s="6">
        <v>571</v>
      </c>
      <c r="D578" s="37">
        <v>42816</v>
      </c>
      <c r="E578" s="39">
        <v>15.384</v>
      </c>
      <c r="F578" s="39">
        <v>2.5530875110720634</v>
      </c>
      <c r="G578" s="39">
        <v>44.430633259339402</v>
      </c>
      <c r="H578" s="39">
        <v>60.278737506310847</v>
      </c>
      <c r="I578" s="10">
        <v>0</v>
      </c>
      <c r="J578" s="40">
        <v>0</v>
      </c>
      <c r="K578" s="40">
        <v>1</v>
      </c>
      <c r="L578" s="40">
        <v>0</v>
      </c>
      <c r="M578" s="40">
        <v>0</v>
      </c>
      <c r="N578" s="40">
        <v>0</v>
      </c>
      <c r="O578" s="40">
        <v>0</v>
      </c>
      <c r="P578" s="40">
        <v>0</v>
      </c>
      <c r="Q578" s="40">
        <v>0</v>
      </c>
      <c r="R578" s="40">
        <v>0</v>
      </c>
      <c r="S578" s="40">
        <v>0</v>
      </c>
      <c r="T578" s="29">
        <f t="array" aca="1" ref="T578" ca="1">+fair_value_gap(OFFSET(S577,0,0,-1*$I$5,-1*$Z$1),OFFSET(E577,0,0,-1*$I$5,1),F578:S578,0)</f>
        <v>15.486498768235414</v>
      </c>
      <c r="U578" s="9" cm="1">
        <f t="array" aca="1" ref="U578" ca="1">z_score_diff(OFFSET(T578,0,0,$I$5*-1,1),OFFSET(E578,0,0,$I$5*-1,1))</f>
        <v>2.4687529669954467E-2</v>
      </c>
      <c r="V578" s="9">
        <f t="shared" ca="1" si="71"/>
        <v>-2.9446126093447069E-2</v>
      </c>
      <c r="W578" s="17">
        <f t="shared" ca="1" si="68"/>
        <v>8.3516805207840036E-2</v>
      </c>
      <c r="X578" s="13">
        <f t="shared" ca="1" si="69"/>
        <v>0</v>
      </c>
      <c r="Y578" s="13">
        <f t="shared" ca="1" si="70"/>
        <v>0</v>
      </c>
      <c r="Z578">
        <f t="shared" ca="1" si="72"/>
        <v>1</v>
      </c>
      <c r="AA578">
        <f t="shared" ca="1" si="73"/>
        <v>0</v>
      </c>
      <c r="AB578" s="24">
        <f t="shared" ca="1" si="74"/>
        <v>8.3516805207840036E-2</v>
      </c>
      <c r="AC578" s="24">
        <f t="shared" ca="1" si="75"/>
        <v>0</v>
      </c>
    </row>
    <row r="579" spans="3:29" x14ac:dyDescent="0.25">
      <c r="C579" s="6">
        <v>572</v>
      </c>
      <c r="D579" s="37">
        <v>42817</v>
      </c>
      <c r="E579" s="39">
        <v>15.449</v>
      </c>
      <c r="F579" s="39">
        <v>2.5747597970419949</v>
      </c>
      <c r="G579" s="39">
        <v>44.533493591213947</v>
      </c>
      <c r="H579" s="39">
        <v>61.760048940228145</v>
      </c>
      <c r="I579" s="10">
        <v>0</v>
      </c>
      <c r="J579" s="40">
        <v>0</v>
      </c>
      <c r="K579" s="40">
        <v>1</v>
      </c>
      <c r="L579" s="40">
        <v>0</v>
      </c>
      <c r="M579" s="40">
        <v>0</v>
      </c>
      <c r="N579" s="40">
        <v>0</v>
      </c>
      <c r="O579" s="40">
        <v>0</v>
      </c>
      <c r="P579" s="40">
        <v>0</v>
      </c>
      <c r="Q579" s="40">
        <v>0</v>
      </c>
      <c r="R579" s="40">
        <v>0</v>
      </c>
      <c r="S579" s="40">
        <v>0</v>
      </c>
      <c r="T579" s="29">
        <f t="array" aca="1" ref="T579" ca="1">+fair_value_gap(OFFSET(S578,0,0,-1*$I$5,-1*$Z$1),OFFSET(E578,0,0,-1*$I$5,1),F579:S579,0)</f>
        <v>15.554529095548855</v>
      </c>
      <c r="U579" s="9" cm="1">
        <f t="array" aca="1" ref="U579" ca="1">z_score_diff(OFFSET(T579,0,0,$I$5*-1,1),OFFSET(E579,0,0,$I$5*-1,1))</f>
        <v>2.8208642865231282E-2</v>
      </c>
      <c r="V579" s="9">
        <f t="shared" ca="1" si="71"/>
        <v>-3.3510097856994374E-2</v>
      </c>
      <c r="W579" s="17">
        <f t="shared" ca="1" si="68"/>
        <v>8.751829317057111E-2</v>
      </c>
      <c r="X579" s="13">
        <f t="shared" ca="1" si="69"/>
        <v>0</v>
      </c>
      <c r="Y579" s="13">
        <f t="shared" ca="1" si="70"/>
        <v>0</v>
      </c>
      <c r="Z579">
        <f t="shared" ca="1" si="72"/>
        <v>1</v>
      </c>
      <c r="AA579">
        <f t="shared" ca="1" si="73"/>
        <v>0</v>
      </c>
      <c r="AB579" s="24">
        <f t="shared" ca="1" si="74"/>
        <v>8.751829317057111E-2</v>
      </c>
      <c r="AC579" s="24">
        <f t="shared" ca="1" si="75"/>
        <v>0</v>
      </c>
    </row>
    <row r="580" spans="3:29" x14ac:dyDescent="0.25">
      <c r="C580" s="6">
        <v>573</v>
      </c>
      <c r="D580" s="37">
        <v>42818</v>
      </c>
      <c r="E580" s="39">
        <v>15.379</v>
      </c>
      <c r="F580" s="39">
        <v>2.5774584643017513</v>
      </c>
      <c r="G580" s="39">
        <v>44.025386718723269</v>
      </c>
      <c r="H580" s="39">
        <v>62.325999101930854</v>
      </c>
      <c r="I580" s="10">
        <v>0</v>
      </c>
      <c r="J580" s="40">
        <v>0</v>
      </c>
      <c r="K580" s="40">
        <v>1</v>
      </c>
      <c r="L580" s="40">
        <v>0</v>
      </c>
      <c r="M580" s="40">
        <v>0</v>
      </c>
      <c r="N580" s="40">
        <v>0</v>
      </c>
      <c r="O580" s="40">
        <v>0</v>
      </c>
      <c r="P580" s="40">
        <v>0</v>
      </c>
      <c r="Q580" s="40">
        <v>0</v>
      </c>
      <c r="R580" s="40">
        <v>0</v>
      </c>
      <c r="S580" s="40">
        <v>0</v>
      </c>
      <c r="T580" s="29">
        <f t="array" aca="1" ref="T580" ca="1">+fair_value_gap(OFFSET(S579,0,0,-1*$I$5,-1*$Z$1),OFFSET(E579,0,0,-1*$I$5,1),F580:S580,0)</f>
        <v>15.418580994009389</v>
      </c>
      <c r="U580" s="9" cm="1">
        <f t="array" aca="1" ref="U580" ca="1">z_score_diff(OFFSET(T580,0,0,$I$5*-1,1),OFFSET(E580,0,0,$I$5*-1,1))</f>
        <v>-3.7935312507812124E-2</v>
      </c>
      <c r="V580" s="9">
        <f t="shared" ca="1" si="71"/>
        <v>-3.4207987805763979E-2</v>
      </c>
      <c r="W580" s="17">
        <f t="shared" ca="1" si="68"/>
        <v>8.491758978007817E-2</v>
      </c>
      <c r="X580" s="13">
        <f t="shared" ca="1" si="69"/>
        <v>0</v>
      </c>
      <c r="Y580" s="13">
        <f t="shared" ca="1" si="70"/>
        <v>0</v>
      </c>
      <c r="Z580">
        <f t="shared" ca="1" si="72"/>
        <v>1</v>
      </c>
      <c r="AA580">
        <f t="shared" ca="1" si="73"/>
        <v>0</v>
      </c>
      <c r="AB580" s="24">
        <f t="shared" ca="1" si="74"/>
        <v>8.491758978007817E-2</v>
      </c>
      <c r="AC580" s="24">
        <f t="shared" ca="1" si="75"/>
        <v>0</v>
      </c>
    </row>
    <row r="581" spans="3:29" x14ac:dyDescent="0.25">
      <c r="C581" s="6">
        <v>574</v>
      </c>
      <c r="D581" s="37">
        <v>42821</v>
      </c>
      <c r="E581" s="39">
        <v>15.223000000000001</v>
      </c>
      <c r="F581" s="39">
        <v>2.5667346543127487</v>
      </c>
      <c r="G581" s="39">
        <v>43.455933537983995</v>
      </c>
      <c r="H581" s="39">
        <v>60.751116078408252</v>
      </c>
      <c r="I581" s="10">
        <v>0</v>
      </c>
      <c r="J581" s="40">
        <v>0</v>
      </c>
      <c r="K581" s="40">
        <v>1</v>
      </c>
      <c r="L581" s="40">
        <v>0</v>
      </c>
      <c r="M581" s="40">
        <v>0</v>
      </c>
      <c r="N581" s="40">
        <v>0</v>
      </c>
      <c r="O581" s="40">
        <v>0</v>
      </c>
      <c r="P581" s="40">
        <v>0</v>
      </c>
      <c r="Q581" s="40">
        <v>0</v>
      </c>
      <c r="R581" s="40">
        <v>0</v>
      </c>
      <c r="S581" s="40">
        <v>0</v>
      </c>
      <c r="T581" s="29">
        <f t="array" aca="1" ref="T581" ca="1">+fair_value_gap(OFFSET(S580,0,0,-1*$I$5,-1*$Z$1),OFFSET(E580,0,0,-1*$I$5,1),F581:S581,0)</f>
        <v>15.214135023599619</v>
      </c>
      <c r="U581" s="9" cm="1">
        <f t="array" aca="1" ref="U581" ca="1">z_score_diff(OFFSET(T581,0,0,$I$5*-1,1),OFFSET(E581,0,0,$I$5*-1,1))</f>
        <v>-8.3589498537613993E-2</v>
      </c>
      <c r="V581" s="9">
        <f t="shared" ca="1" si="71"/>
        <v>-3.7522512415502911E-2</v>
      </c>
      <c r="W581" s="17">
        <f t="shared" ca="1" si="68"/>
        <v>0.10521598705076475</v>
      </c>
      <c r="X581" s="13">
        <f t="shared" ca="1" si="69"/>
        <v>0</v>
      </c>
      <c r="Y581" s="13">
        <f t="shared" ca="1" si="70"/>
        <v>0</v>
      </c>
      <c r="Z581">
        <f t="shared" ca="1" si="72"/>
        <v>1</v>
      </c>
      <c r="AA581">
        <f t="shared" ca="1" si="73"/>
        <v>0</v>
      </c>
      <c r="AB581" s="24">
        <f t="shared" ca="1" si="74"/>
        <v>0.10521598705076475</v>
      </c>
      <c r="AC581" s="24">
        <f t="shared" ca="1" si="75"/>
        <v>0</v>
      </c>
    </row>
    <row r="582" spans="3:29" x14ac:dyDescent="0.25">
      <c r="C582" s="6">
        <v>575</v>
      </c>
      <c r="D582" s="37">
        <v>42822</v>
      </c>
      <c r="E582" s="39">
        <v>15.326000000000001</v>
      </c>
      <c r="F582" s="39">
        <v>2.5832301866334442</v>
      </c>
      <c r="G582" s="39">
        <v>43.605328050867961</v>
      </c>
      <c r="H582" s="39">
        <v>62.695840353143176</v>
      </c>
      <c r="I582" s="10">
        <v>0</v>
      </c>
      <c r="J582" s="40">
        <v>0</v>
      </c>
      <c r="K582" s="40">
        <v>1</v>
      </c>
      <c r="L582" s="40">
        <v>0</v>
      </c>
      <c r="M582" s="40">
        <v>0</v>
      </c>
      <c r="N582" s="40">
        <v>0</v>
      </c>
      <c r="O582" s="40">
        <v>0</v>
      </c>
      <c r="P582" s="40">
        <v>0</v>
      </c>
      <c r="Q582" s="40">
        <v>0</v>
      </c>
      <c r="R582" s="40">
        <v>0</v>
      </c>
      <c r="S582" s="40">
        <v>0</v>
      </c>
      <c r="T582" s="29">
        <f t="array" aca="1" ref="T582" ca="1">+fair_value_gap(OFFSET(S581,0,0,-1*$I$5,-1*$Z$1),OFFSET(E581,0,0,-1*$I$5,1),F582:S582,0)</f>
        <v>15.309703329607121</v>
      </c>
      <c r="U582" s="9" cm="1">
        <f t="array" aca="1" ref="U582" ca="1">z_score_diff(OFFSET(T582,0,0,$I$5*-1,1),OFFSET(E582,0,0,$I$5*-1,1))</f>
        <v>-9.3546529969866343E-2</v>
      </c>
      <c r="V582" s="9">
        <f t="shared" ca="1" si="71"/>
        <v>-4.145670059556112E-2</v>
      </c>
      <c r="W582" s="17">
        <f t="shared" ca="1" si="68"/>
        <v>0.10695131543522139</v>
      </c>
      <c r="X582" s="13">
        <f t="shared" ca="1" si="69"/>
        <v>0</v>
      </c>
      <c r="Y582" s="13">
        <f t="shared" ca="1" si="70"/>
        <v>0</v>
      </c>
      <c r="Z582">
        <f t="shared" ca="1" si="72"/>
        <v>1</v>
      </c>
      <c r="AA582">
        <f t="shared" ca="1" si="73"/>
        <v>0</v>
      </c>
      <c r="AB582" s="24">
        <f t="shared" ca="1" si="74"/>
        <v>0.10695131543522139</v>
      </c>
      <c r="AC582" s="24">
        <f t="shared" ca="1" si="75"/>
        <v>0</v>
      </c>
    </row>
    <row r="583" spans="3:29" x14ac:dyDescent="0.25">
      <c r="C583" s="6">
        <v>576</v>
      </c>
      <c r="D583" s="37">
        <v>42823</v>
      </c>
      <c r="E583" s="39">
        <v>15.731</v>
      </c>
      <c r="F583" s="39">
        <v>2.6022301481928158</v>
      </c>
      <c r="G583" s="39">
        <v>45.001790491917696</v>
      </c>
      <c r="H583" s="39">
        <v>63.230497019648787</v>
      </c>
      <c r="I583" s="10">
        <v>0</v>
      </c>
      <c r="J583" s="40">
        <v>0</v>
      </c>
      <c r="K583" s="40">
        <v>1</v>
      </c>
      <c r="L583" s="40">
        <v>0</v>
      </c>
      <c r="M583" s="40">
        <v>0</v>
      </c>
      <c r="N583" s="40">
        <v>0</v>
      </c>
      <c r="O583" s="40">
        <v>0</v>
      </c>
      <c r="P583" s="40">
        <v>0</v>
      </c>
      <c r="Q583" s="40">
        <v>0</v>
      </c>
      <c r="R583" s="40">
        <v>0</v>
      </c>
      <c r="S583" s="40">
        <v>0</v>
      </c>
      <c r="T583" s="29">
        <f t="array" aca="1" ref="T583" ca="1">+fair_value_gap(OFFSET(S582,0,0,-1*$I$5,-1*$Z$1),OFFSET(E582,0,0,-1*$I$5,1),F583:S583,0)</f>
        <v>15.729090353430529</v>
      </c>
      <c r="U583" s="9" cm="1">
        <f t="array" aca="1" ref="U583" ca="1">z_score_diff(OFFSET(T583,0,0,$I$5*-1,1),OFFSET(E583,0,0,$I$5*-1,1))</f>
        <v>-8.9079044543152186E-2</v>
      </c>
      <c r="V583" s="9">
        <f t="shared" ca="1" si="71"/>
        <v>-4.3437256867150033E-2</v>
      </c>
      <c r="W583" s="17">
        <f t="shared" ref="W583:W646" ca="1" si="76">+LN(OFFSET(E583,$W$3,0,1,1)/E583)</f>
        <v>7.5165378520895623E-2</v>
      </c>
      <c r="X583" s="13">
        <f t="shared" ca="1" si="69"/>
        <v>0</v>
      </c>
      <c r="Y583" s="13">
        <f t="shared" ca="1" si="70"/>
        <v>0</v>
      </c>
      <c r="Z583">
        <f t="shared" ca="1" si="72"/>
        <v>1</v>
      </c>
      <c r="AA583">
        <f t="shared" ca="1" si="73"/>
        <v>0</v>
      </c>
      <c r="AB583" s="24">
        <f t="shared" ca="1" si="74"/>
        <v>7.5165378520895623E-2</v>
      </c>
      <c r="AC583" s="24">
        <f t="shared" ca="1" si="75"/>
        <v>0</v>
      </c>
    </row>
    <row r="584" spans="3:29" x14ac:dyDescent="0.25">
      <c r="C584" s="6">
        <v>577</v>
      </c>
      <c r="D584" s="37">
        <v>42824</v>
      </c>
      <c r="E584" s="39">
        <v>16.114999999999998</v>
      </c>
      <c r="F584" s="39">
        <v>2.6151449502450279</v>
      </c>
      <c r="G584" s="39">
        <v>46.260414648323966</v>
      </c>
      <c r="H584" s="39">
        <v>63.720881646296881</v>
      </c>
      <c r="I584" s="10">
        <v>0</v>
      </c>
      <c r="J584" s="40">
        <v>0</v>
      </c>
      <c r="K584" s="40">
        <v>1</v>
      </c>
      <c r="L584" s="40">
        <v>0</v>
      </c>
      <c r="M584" s="40">
        <v>0</v>
      </c>
      <c r="N584" s="40">
        <v>0</v>
      </c>
      <c r="O584" s="40">
        <v>0</v>
      </c>
      <c r="P584" s="40">
        <v>0</v>
      </c>
      <c r="Q584" s="40">
        <v>0</v>
      </c>
      <c r="R584" s="40">
        <v>0</v>
      </c>
      <c r="S584" s="40">
        <v>0</v>
      </c>
      <c r="T584" s="29">
        <f t="array" aca="1" ref="T584" ca="1">+fair_value_gap(OFFSET(S583,0,0,-1*$I$5,-1*$Z$1),OFFSET(E583,0,0,-1*$I$5,1),F584:S584,0)</f>
        <v>16.103814105389318</v>
      </c>
      <c r="U584" s="9" cm="1">
        <f t="array" aca="1" ref="U584" ca="1">z_score_diff(OFFSET(T584,0,0,$I$5*-1,1),OFFSET(E584,0,0,$I$5*-1,1))</f>
        <v>-0.11013618100490563</v>
      </c>
      <c r="V584" s="9">
        <f t="shared" ca="1" si="71"/>
        <v>-4.5732075739681313E-2</v>
      </c>
      <c r="W584" s="17">
        <f t="shared" ca="1" si="76"/>
        <v>5.4403562630534953E-2</v>
      </c>
      <c r="X584" s="13">
        <f t="shared" ca="1" si="69"/>
        <v>0</v>
      </c>
      <c r="Y584" s="13">
        <f t="shared" ca="1" si="70"/>
        <v>0</v>
      </c>
      <c r="Z584">
        <f t="shared" ca="1" si="72"/>
        <v>1</v>
      </c>
      <c r="AA584">
        <f t="shared" ca="1" si="73"/>
        <v>0</v>
      </c>
      <c r="AB584" s="24">
        <f t="shared" ca="1" si="74"/>
        <v>5.4403562630534953E-2</v>
      </c>
      <c r="AC584" s="24">
        <f t="shared" ca="1" si="75"/>
        <v>0</v>
      </c>
    </row>
    <row r="585" spans="3:29" x14ac:dyDescent="0.25">
      <c r="C585" s="6">
        <v>578</v>
      </c>
      <c r="D585" s="37">
        <v>42825</v>
      </c>
      <c r="E585" s="39">
        <v>16.483000000000001</v>
      </c>
      <c r="F585" s="39">
        <v>2.6041903873585182</v>
      </c>
      <c r="G585" s="39">
        <v>50.037010654652832</v>
      </c>
      <c r="H585" s="39">
        <v>64.171113252678424</v>
      </c>
      <c r="I585" s="10">
        <v>0</v>
      </c>
      <c r="J585" s="40">
        <v>0</v>
      </c>
      <c r="K585" s="40">
        <v>1</v>
      </c>
      <c r="L585" s="40">
        <v>0</v>
      </c>
      <c r="M585" s="40">
        <v>0</v>
      </c>
      <c r="N585" s="40">
        <v>0</v>
      </c>
      <c r="O585" s="40">
        <v>0</v>
      </c>
      <c r="P585" s="40">
        <v>0</v>
      </c>
      <c r="Q585" s="40">
        <v>0</v>
      </c>
      <c r="R585" s="40">
        <v>0</v>
      </c>
      <c r="S585" s="40">
        <v>0</v>
      </c>
      <c r="T585" s="29">
        <f t="array" aca="1" ref="T585" ca="1">+fair_value_gap(OFFSET(S584,0,0,-1*$I$5,-1*$Z$1),OFFSET(E584,0,0,-1*$I$5,1),F585:S585,0)</f>
        <v>17.173303391819545</v>
      </c>
      <c r="U585" s="9" cm="1">
        <f t="array" aca="1" ref="U585" ca="1">z_score_diff(OFFSET(T585,0,0,$I$5*-1,1),OFFSET(E585,0,0,$I$5*-1,1))</f>
        <v>0.67342705835136207</v>
      </c>
      <c r="V585" s="9">
        <f t="shared" ca="1" si="71"/>
        <v>-2.5210541840247281E-2</v>
      </c>
      <c r="W585" s="17">
        <f t="shared" ca="1" si="76"/>
        <v>4.1125291359194217E-2</v>
      </c>
      <c r="X585" s="13">
        <f t="shared" ref="X585:X648" ca="1" si="77">+X584</f>
        <v>0</v>
      </c>
      <c r="Y585" s="13">
        <f t="shared" ref="Y585:Y648" ca="1" si="78">+Y584</f>
        <v>0</v>
      </c>
      <c r="Z585">
        <f t="shared" ca="1" si="72"/>
        <v>1</v>
      </c>
      <c r="AA585">
        <f t="shared" ca="1" si="73"/>
        <v>0</v>
      </c>
      <c r="AB585" s="24">
        <f t="shared" ca="1" si="74"/>
        <v>4.1125291359194217E-2</v>
      </c>
      <c r="AC585" s="24">
        <f t="shared" ca="1" si="75"/>
        <v>0</v>
      </c>
    </row>
    <row r="586" spans="3:29" x14ac:dyDescent="0.25">
      <c r="C586" s="6">
        <v>579</v>
      </c>
      <c r="D586" s="37">
        <v>42828</v>
      </c>
      <c r="E586" s="39">
        <v>16.643999999999998</v>
      </c>
      <c r="F586" s="39">
        <v>2.6053621735229386</v>
      </c>
      <c r="G586" s="39">
        <v>50.263571626745581</v>
      </c>
      <c r="H586" s="39">
        <v>65.997660082960692</v>
      </c>
      <c r="I586" s="10">
        <v>0</v>
      </c>
      <c r="J586" s="40">
        <v>0</v>
      </c>
      <c r="K586" s="40">
        <v>0</v>
      </c>
      <c r="L586" s="40">
        <v>1</v>
      </c>
      <c r="M586" s="40">
        <v>0</v>
      </c>
      <c r="N586" s="40">
        <v>0</v>
      </c>
      <c r="O586" s="40">
        <v>0</v>
      </c>
      <c r="P586" s="40">
        <v>0</v>
      </c>
      <c r="Q586" s="40">
        <v>0</v>
      </c>
      <c r="R586" s="40">
        <v>0</v>
      </c>
      <c r="S586" s="40">
        <v>0</v>
      </c>
      <c r="T586" s="29">
        <f t="array" aca="1" ref="T586" ca="1">+fair_value_gap(OFFSET(S585,0,0,-1*$I$5,-1*$Z$1),OFFSET(E585,0,0,-1*$I$5,1),F586:S586,0)</f>
        <v>17.672648881850449</v>
      </c>
      <c r="U586" s="9" cm="1">
        <f t="array" aca="1" ref="U586" ca="1">z_score_diff(OFFSET(T586,0,0,$I$5*-1,1),OFFSET(E586,0,0,$I$5*-1,1))</f>
        <v>1.0714819270913221</v>
      </c>
      <c r="V586" s="9">
        <f t="shared" ca="1" si="71"/>
        <v>6.2250701413167275E-3</v>
      </c>
      <c r="W586" s="17">
        <f t="shared" ca="1" si="76"/>
        <v>3.0531302939121426E-2</v>
      </c>
      <c r="X586" s="13">
        <f t="shared" ca="1" si="77"/>
        <v>0</v>
      </c>
      <c r="Y586" s="13">
        <f t="shared" ca="1" si="78"/>
        <v>0</v>
      </c>
      <c r="Z586">
        <f t="shared" ca="1" si="72"/>
        <v>0</v>
      </c>
      <c r="AA586">
        <f t="shared" ca="1" si="73"/>
        <v>1</v>
      </c>
      <c r="AB586" s="24">
        <f t="shared" ca="1" si="74"/>
        <v>0</v>
      </c>
      <c r="AC586" s="24">
        <f t="shared" ca="1" si="75"/>
        <v>3.0531302939121426E-2</v>
      </c>
    </row>
    <row r="587" spans="3:29" x14ac:dyDescent="0.25">
      <c r="C587" s="6">
        <v>580</v>
      </c>
      <c r="D587" s="37">
        <v>42829</v>
      </c>
      <c r="E587" s="39">
        <v>16.582999999999998</v>
      </c>
      <c r="F587" s="39">
        <v>2.6387142265223491</v>
      </c>
      <c r="G587" s="39">
        <v>50.259183095413</v>
      </c>
      <c r="H587" s="39">
        <v>64.786613068541143</v>
      </c>
      <c r="I587" s="10">
        <v>0</v>
      </c>
      <c r="J587" s="40">
        <v>0</v>
      </c>
      <c r="K587" s="40">
        <v>0</v>
      </c>
      <c r="L587" s="40">
        <v>1</v>
      </c>
      <c r="M587" s="40">
        <v>0</v>
      </c>
      <c r="N587" s="40">
        <v>0</v>
      </c>
      <c r="O587" s="40">
        <v>0</v>
      </c>
      <c r="P587" s="40">
        <v>0</v>
      </c>
      <c r="Q587" s="40">
        <v>0</v>
      </c>
      <c r="R587" s="40">
        <v>0</v>
      </c>
      <c r="S587" s="40">
        <v>0</v>
      </c>
      <c r="T587" s="29">
        <f t="array" aca="1" ref="T587" ca="1">+fair_value_gap(OFFSET(S586,0,0,-1*$I$5,-1*$Z$1),OFFSET(E586,0,0,-1*$I$5,1),F587:S587,0)</f>
        <v>17.402090679223871</v>
      </c>
      <c r="U587" s="9" cm="1">
        <f t="array" aca="1" ref="U587" ca="1">z_score_diff(OFFSET(T587,0,0,$I$5*-1,1),OFFSET(E587,0,0,$I$5*-1,1))</f>
        <v>0.8483727197414771</v>
      </c>
      <c r="V587" s="9">
        <f t="shared" ref="V587:V650" ca="1" si="79">+IF(ISERROR(AVERAGE(OFFSET(U587,0,0,$V$5*-1,1))),"",AVERAGE(OFFSET(U587,0,0,$V$5*-1,1)))</f>
        <v>3.359051911923553E-2</v>
      </c>
      <c r="W587" s="17">
        <f t="shared" ca="1" si="76"/>
        <v>2.5305747367630509E-2</v>
      </c>
      <c r="X587" s="13">
        <f t="shared" ca="1" si="77"/>
        <v>0</v>
      </c>
      <c r="Y587" s="13">
        <f t="shared" ca="1" si="78"/>
        <v>0</v>
      </c>
      <c r="Z587">
        <f t="shared" ref="Z587:Z650" ca="1" si="80">+IF(V587="","",IF(V587&lt;X587,1,0))</f>
        <v>0</v>
      </c>
      <c r="AA587">
        <f t="shared" ref="AA587:AA650" ca="1" si="81">+IF(V587="","",IF(V587&gt;Y587,1,0))</f>
        <v>1</v>
      </c>
      <c r="AB587" s="24">
        <f t="shared" ref="AB587:AB650" ca="1" si="82">+IF(ISERROR(Z587*W587),"",Z587*W587)</f>
        <v>0</v>
      </c>
      <c r="AC587" s="24">
        <f t="shared" ref="AC587:AC650" ca="1" si="83">+IF(ISERROR(AA587*W587),"",AA587*W587)</f>
        <v>2.5305747367630509E-2</v>
      </c>
    </row>
    <row r="588" spans="3:29" x14ac:dyDescent="0.25">
      <c r="C588" s="6">
        <v>581</v>
      </c>
      <c r="D588" s="37">
        <v>42830</v>
      </c>
      <c r="E588" s="39">
        <v>16.622</v>
      </c>
      <c r="F588" s="39">
        <v>2.6387720295622512</v>
      </c>
      <c r="G588" s="39">
        <v>50.565012571890989</v>
      </c>
      <c r="H588" s="39">
        <v>65.537237066515061</v>
      </c>
      <c r="I588" s="10">
        <v>0</v>
      </c>
      <c r="J588" s="40">
        <v>0</v>
      </c>
      <c r="K588" s="40">
        <v>0</v>
      </c>
      <c r="L588" s="40">
        <v>1</v>
      </c>
      <c r="M588" s="40">
        <v>0</v>
      </c>
      <c r="N588" s="40">
        <v>0</v>
      </c>
      <c r="O588" s="40">
        <v>0</v>
      </c>
      <c r="P588" s="40">
        <v>0</v>
      </c>
      <c r="Q588" s="40">
        <v>0</v>
      </c>
      <c r="R588" s="40">
        <v>0</v>
      </c>
      <c r="S588" s="40">
        <v>0</v>
      </c>
      <c r="T588" s="29">
        <f t="array" aca="1" ref="T588" ca="1">+fair_value_gap(OFFSET(S587,0,0,-1*$I$5,-1*$Z$1),OFFSET(E587,0,0,-1*$I$5,1),F588:S588,0)</f>
        <v>17.328816345462798</v>
      </c>
      <c r="U588" s="9" cm="1">
        <f t="array" aca="1" ref="U588" ca="1">z_score_diff(OFFSET(T588,0,0,$I$5*-1,1),OFFSET(E588,0,0,$I$5*-1,1))</f>
        <v>0.72544623019162735</v>
      </c>
      <c r="V588" s="9">
        <f t="shared" ca="1" si="79"/>
        <v>5.6449797119065011E-2</v>
      </c>
      <c r="W588" s="17">
        <f t="shared" ca="1" si="76"/>
        <v>1.7946524295114091E-2</v>
      </c>
      <c r="X588" s="13">
        <f t="shared" ca="1" si="77"/>
        <v>0</v>
      </c>
      <c r="Y588" s="13">
        <f t="shared" ca="1" si="78"/>
        <v>0</v>
      </c>
      <c r="Z588">
        <f t="shared" ca="1" si="80"/>
        <v>0</v>
      </c>
      <c r="AA588">
        <f t="shared" ca="1" si="81"/>
        <v>1</v>
      </c>
      <c r="AB588" s="24">
        <f t="shared" ca="1" si="82"/>
        <v>0</v>
      </c>
      <c r="AC588" s="24">
        <f t="shared" ca="1" si="83"/>
        <v>1.7946524295114091E-2</v>
      </c>
    </row>
    <row r="589" spans="3:29" x14ac:dyDescent="0.25">
      <c r="C589" s="6">
        <v>582</v>
      </c>
      <c r="D589" s="37">
        <v>42831</v>
      </c>
      <c r="E589" s="39">
        <v>16.61</v>
      </c>
      <c r="F589" s="39">
        <v>2.6349920749719504</v>
      </c>
      <c r="G589" s="39">
        <v>50.423709679847065</v>
      </c>
      <c r="H589" s="39">
        <v>65.806443380482477</v>
      </c>
      <c r="I589" s="10">
        <v>0</v>
      </c>
      <c r="J589" s="40">
        <v>0</v>
      </c>
      <c r="K589" s="40">
        <v>0</v>
      </c>
      <c r="L589" s="40">
        <v>1</v>
      </c>
      <c r="M589" s="40">
        <v>0</v>
      </c>
      <c r="N589" s="40">
        <v>0</v>
      </c>
      <c r="O589" s="40">
        <v>0</v>
      </c>
      <c r="P589" s="40">
        <v>0</v>
      </c>
      <c r="Q589" s="40">
        <v>0</v>
      </c>
      <c r="R589" s="40">
        <v>0</v>
      </c>
      <c r="S589" s="40">
        <v>0</v>
      </c>
      <c r="T589" s="29">
        <f t="array" aca="1" ref="T589" ca="1">+fair_value_gap(OFFSET(S588,0,0,-1*$I$5,-1*$Z$1),OFFSET(E588,0,0,-1*$I$5,1),F589:S589,0)</f>
        <v>17.148902391266155</v>
      </c>
      <c r="U589" s="9" cm="1">
        <f t="array" aca="1" ref="U589" ca="1">z_score_diff(OFFSET(T589,0,0,$I$5*-1,1),OFFSET(E589,0,0,$I$5*-1,1))</f>
        <v>0.53080783131276765</v>
      </c>
      <c r="V589" s="9">
        <f t="shared" ca="1" si="79"/>
        <v>7.5006159678390957E-2</v>
      </c>
      <c r="W589" s="17">
        <f t="shared" ca="1" si="76"/>
        <v>2.3090766451231187E-2</v>
      </c>
      <c r="X589" s="13">
        <f t="shared" ca="1" si="77"/>
        <v>0</v>
      </c>
      <c r="Y589" s="13">
        <f t="shared" ca="1" si="78"/>
        <v>0</v>
      </c>
      <c r="Z589">
        <f t="shared" ca="1" si="80"/>
        <v>0</v>
      </c>
      <c r="AA589">
        <f t="shared" ca="1" si="81"/>
        <v>1</v>
      </c>
      <c r="AB589" s="24">
        <f t="shared" ca="1" si="82"/>
        <v>0</v>
      </c>
      <c r="AC589" s="24">
        <f t="shared" ca="1" si="83"/>
        <v>2.3090766451231187E-2</v>
      </c>
    </row>
    <row r="590" spans="3:29" x14ac:dyDescent="0.25">
      <c r="C590" s="6">
        <v>583</v>
      </c>
      <c r="D590" s="37">
        <v>42832</v>
      </c>
      <c r="E590" s="39">
        <v>16.233000000000001</v>
      </c>
      <c r="F590" s="39">
        <v>2.627249084443501</v>
      </c>
      <c r="G590" s="39">
        <v>49.797448790410613</v>
      </c>
      <c r="H590" s="39">
        <v>65.109290267556631</v>
      </c>
      <c r="I590" s="10">
        <v>0</v>
      </c>
      <c r="J590" s="40">
        <v>0</v>
      </c>
      <c r="K590" s="40">
        <v>0</v>
      </c>
      <c r="L590" s="40">
        <v>1</v>
      </c>
      <c r="M590" s="40">
        <v>0</v>
      </c>
      <c r="N590" s="40">
        <v>0</v>
      </c>
      <c r="O590" s="40">
        <v>0</v>
      </c>
      <c r="P590" s="40">
        <v>0</v>
      </c>
      <c r="Q590" s="40">
        <v>0</v>
      </c>
      <c r="R590" s="40">
        <v>0</v>
      </c>
      <c r="S590" s="40">
        <v>0</v>
      </c>
      <c r="T590" s="29">
        <f t="array" aca="1" ref="T590" ca="1">+fair_value_gap(OFFSET(S589,0,0,-1*$I$5,-1*$Z$1),OFFSET(E589,0,0,-1*$I$5,1),F590:S590,0)</f>
        <v>16.853313506224616</v>
      </c>
      <c r="U590" s="9" cm="1">
        <f t="array" aca="1" ref="U590" ca="1">z_score_diff(OFFSET(T590,0,0,$I$5*-1,1),OFFSET(E590,0,0,$I$5*-1,1))</f>
        <v>0.65835693017458086</v>
      </c>
      <c r="V590" s="9">
        <f t="shared" ca="1" si="79"/>
        <v>9.5112115282296447E-2</v>
      </c>
      <c r="W590" s="17">
        <f t="shared" ca="1" si="76"/>
        <v>5.518517523952178E-2</v>
      </c>
      <c r="X590" s="13">
        <f t="shared" ca="1" si="77"/>
        <v>0</v>
      </c>
      <c r="Y590" s="13">
        <f t="shared" ca="1" si="78"/>
        <v>0</v>
      </c>
      <c r="Z590">
        <f t="shared" ca="1" si="80"/>
        <v>0</v>
      </c>
      <c r="AA590">
        <f t="shared" ca="1" si="81"/>
        <v>1</v>
      </c>
      <c r="AB590" s="24">
        <f t="shared" ca="1" si="82"/>
        <v>0</v>
      </c>
      <c r="AC590" s="24">
        <f t="shared" ca="1" si="83"/>
        <v>5.518517523952178E-2</v>
      </c>
    </row>
    <row r="591" spans="3:29" x14ac:dyDescent="0.25">
      <c r="C591" s="6">
        <v>584</v>
      </c>
      <c r="D591" s="37">
        <v>42835</v>
      </c>
      <c r="E591" s="39">
        <v>16.216000000000001</v>
      </c>
      <c r="F591" s="39">
        <v>2.6302162906905893</v>
      </c>
      <c r="G591" s="39">
        <v>49.376197060124554</v>
      </c>
      <c r="H591" s="39">
        <v>63.170933868586154</v>
      </c>
      <c r="I591" s="10">
        <v>0</v>
      </c>
      <c r="J591" s="40">
        <v>0</v>
      </c>
      <c r="K591" s="40">
        <v>0</v>
      </c>
      <c r="L591" s="40">
        <v>1</v>
      </c>
      <c r="M591" s="40">
        <v>0</v>
      </c>
      <c r="N591" s="40">
        <v>0</v>
      </c>
      <c r="O591" s="40">
        <v>0</v>
      </c>
      <c r="P591" s="40">
        <v>0</v>
      </c>
      <c r="Q591" s="40">
        <v>0</v>
      </c>
      <c r="R591" s="40">
        <v>0</v>
      </c>
      <c r="S591" s="40">
        <v>0</v>
      </c>
      <c r="T591" s="29">
        <f t="array" aca="1" ref="T591" ca="1">+fair_value_gap(OFFSET(S590,0,0,-1*$I$5,-1*$Z$1),OFFSET(E590,0,0,-1*$I$5,1),F591:S591,0)</f>
        <v>16.630784222150623</v>
      </c>
      <c r="U591" s="9" cm="1">
        <f t="array" aca="1" ref="U591" ca="1">z_score_diff(OFFSET(T591,0,0,$I$5*-1,1),OFFSET(E591,0,0,$I$5*-1,1))</f>
        <v>0.40035368472973143</v>
      </c>
      <c r="V591" s="9">
        <f t="shared" ca="1" si="79"/>
        <v>0.10873703517298536</v>
      </c>
      <c r="W591" s="17">
        <f t="shared" ca="1" si="76"/>
        <v>6.2335337399567106E-2</v>
      </c>
      <c r="X591" s="13">
        <f t="shared" ca="1" si="77"/>
        <v>0</v>
      </c>
      <c r="Y591" s="13">
        <f t="shared" ca="1" si="78"/>
        <v>0</v>
      </c>
      <c r="Z591">
        <f t="shared" ca="1" si="80"/>
        <v>0</v>
      </c>
      <c r="AA591">
        <f t="shared" ca="1" si="81"/>
        <v>1</v>
      </c>
      <c r="AB591" s="24">
        <f t="shared" ca="1" si="82"/>
        <v>0</v>
      </c>
      <c r="AC591" s="24">
        <f t="shared" ca="1" si="83"/>
        <v>6.2335337399567106E-2</v>
      </c>
    </row>
    <row r="592" spans="3:29" x14ac:dyDescent="0.25">
      <c r="C592" s="6">
        <v>585</v>
      </c>
      <c r="D592" s="37">
        <v>42836</v>
      </c>
      <c r="E592" s="39">
        <v>16.262</v>
      </c>
      <c r="F592" s="39">
        <v>2.6469326587039181</v>
      </c>
      <c r="G592" s="39">
        <v>49.677526738917123</v>
      </c>
      <c r="H592" s="39">
        <v>63.017850789460937</v>
      </c>
      <c r="I592" s="10">
        <v>0</v>
      </c>
      <c r="J592" s="40">
        <v>0</v>
      </c>
      <c r="K592" s="40">
        <v>0</v>
      </c>
      <c r="L592" s="40">
        <v>1</v>
      </c>
      <c r="M592" s="40">
        <v>0</v>
      </c>
      <c r="N592" s="40">
        <v>0</v>
      </c>
      <c r="O592" s="40">
        <v>0</v>
      </c>
      <c r="P592" s="40">
        <v>0</v>
      </c>
      <c r="Q592" s="40">
        <v>0</v>
      </c>
      <c r="R592" s="40">
        <v>0</v>
      </c>
      <c r="S592" s="40">
        <v>0</v>
      </c>
      <c r="T592" s="29">
        <f t="array" aca="1" ref="T592" ca="1">+fair_value_gap(OFFSET(S591,0,0,-1*$I$5,-1*$Z$1),OFFSET(E591,0,0,-1*$I$5,1),F592:S592,0)</f>
        <v>16.664164471912155</v>
      </c>
      <c r="U592" s="9" cm="1">
        <f t="array" aca="1" ref="U592" ca="1">z_score_diff(OFFSET(T592,0,0,$I$5*-1,1),OFFSET(E592,0,0,$I$5*-1,1))</f>
        <v>0.3826814727556021</v>
      </c>
      <c r="V592" s="9">
        <f t="shared" ca="1" si="79"/>
        <v>0.12165281430649537</v>
      </c>
      <c r="W592" s="17">
        <f t="shared" ca="1" si="76"/>
        <v>5.4274334309429087E-2</v>
      </c>
      <c r="X592" s="13">
        <f t="shared" ca="1" si="77"/>
        <v>0</v>
      </c>
      <c r="Y592" s="13">
        <f t="shared" ca="1" si="78"/>
        <v>0</v>
      </c>
      <c r="Z592">
        <f t="shared" ca="1" si="80"/>
        <v>0</v>
      </c>
      <c r="AA592">
        <f t="shared" ca="1" si="81"/>
        <v>1</v>
      </c>
      <c r="AB592" s="24">
        <f t="shared" ca="1" si="82"/>
        <v>0</v>
      </c>
      <c r="AC592" s="24">
        <f t="shared" ca="1" si="83"/>
        <v>5.4274334309429087E-2</v>
      </c>
    </row>
    <row r="593" spans="3:29" x14ac:dyDescent="0.25">
      <c r="C593" s="6">
        <v>586</v>
      </c>
      <c r="D593" s="37">
        <v>42837</v>
      </c>
      <c r="E593" s="39">
        <v>16.434999999999999</v>
      </c>
      <c r="F593" s="39">
        <v>2.634048921166614</v>
      </c>
      <c r="G593" s="39">
        <v>49.950699669821347</v>
      </c>
      <c r="H593" s="39">
        <v>62.784677631118662</v>
      </c>
      <c r="I593" s="10">
        <v>0</v>
      </c>
      <c r="J593" s="40">
        <v>0</v>
      </c>
      <c r="K593" s="40">
        <v>0</v>
      </c>
      <c r="L593" s="40">
        <v>1</v>
      </c>
      <c r="M593" s="40">
        <v>0</v>
      </c>
      <c r="N593" s="40">
        <v>0</v>
      </c>
      <c r="O593" s="40">
        <v>0</v>
      </c>
      <c r="P593" s="40">
        <v>0</v>
      </c>
      <c r="Q593" s="40">
        <v>0</v>
      </c>
      <c r="R593" s="40">
        <v>0</v>
      </c>
      <c r="S593" s="40">
        <v>0</v>
      </c>
      <c r="T593" s="29">
        <f t="array" aca="1" ref="T593" ca="1">+fair_value_gap(OFFSET(S592,0,0,-1*$I$5,-1*$Z$1),OFFSET(E592,0,0,-1*$I$5,1),F593:S593,0)</f>
        <v>16.655651323154007</v>
      </c>
      <c r="U593" s="9" cm="1">
        <f t="array" aca="1" ref="U593" ca="1">z_score_diff(OFFSET(T593,0,0,$I$5*-1,1),OFFSET(E593,0,0,$I$5*-1,1))</f>
        <v>0.1398864566953249</v>
      </c>
      <c r="V593" s="9">
        <f t="shared" ca="1" si="79"/>
        <v>0.12819243140731448</v>
      </c>
      <c r="W593" s="17">
        <f t="shared" ca="1" si="76"/>
        <v>4.2818175452047136E-2</v>
      </c>
      <c r="X593" s="13">
        <f t="shared" ca="1" si="77"/>
        <v>0</v>
      </c>
      <c r="Y593" s="13">
        <f t="shared" ca="1" si="78"/>
        <v>0</v>
      </c>
      <c r="Z593">
        <f t="shared" ca="1" si="80"/>
        <v>0</v>
      </c>
      <c r="AA593">
        <f t="shared" ca="1" si="81"/>
        <v>1</v>
      </c>
      <c r="AB593" s="24">
        <f t="shared" ca="1" si="82"/>
        <v>0</v>
      </c>
      <c r="AC593" s="24">
        <f t="shared" ca="1" si="83"/>
        <v>4.2818175452047136E-2</v>
      </c>
    </row>
    <row r="594" spans="3:29" x14ac:dyDescent="0.25">
      <c r="C594" s="6">
        <v>587</v>
      </c>
      <c r="D594" s="37">
        <v>42838</v>
      </c>
      <c r="E594" s="39">
        <v>16.423999999999999</v>
      </c>
      <c r="F594" s="39">
        <v>2.6709318757084959</v>
      </c>
      <c r="G594" s="39">
        <v>50.147836006798123</v>
      </c>
      <c r="H594" s="39">
        <v>63.576217014128346</v>
      </c>
      <c r="I594" s="10">
        <v>0</v>
      </c>
      <c r="J594" s="40">
        <v>0</v>
      </c>
      <c r="K594" s="40">
        <v>0</v>
      </c>
      <c r="L594" s="40">
        <v>1</v>
      </c>
      <c r="M594" s="40">
        <v>0</v>
      </c>
      <c r="N594" s="40">
        <v>0</v>
      </c>
      <c r="O594" s="40">
        <v>0</v>
      </c>
      <c r="P594" s="40">
        <v>0</v>
      </c>
      <c r="Q594" s="40">
        <v>0</v>
      </c>
      <c r="R594" s="40">
        <v>0</v>
      </c>
      <c r="S594" s="40">
        <v>0</v>
      </c>
      <c r="T594" s="29">
        <f t="array" aca="1" ref="T594" ca="1">+fair_value_gap(OFFSET(S593,0,0,-1*$I$5,-1*$Z$1),OFFSET(E593,0,0,-1*$I$5,1),F594:S594,0)</f>
        <v>16.685181859319268</v>
      </c>
      <c r="U594" s="9" cm="1">
        <f t="array" aca="1" ref="U594" ca="1">z_score_diff(OFFSET(T594,0,0,$I$5*-1,1),OFFSET(E594,0,0,$I$5*-1,1))</f>
        <v>0.19088050528427764</v>
      </c>
      <c r="V594" s="9">
        <f t="shared" ca="1" si="79"/>
        <v>0.13560943349062868</v>
      </c>
      <c r="W594" s="17">
        <f t="shared" ca="1" si="76"/>
        <v>4.6746930506815582E-2</v>
      </c>
      <c r="X594" s="13">
        <f t="shared" ca="1" si="77"/>
        <v>0</v>
      </c>
      <c r="Y594" s="13">
        <f t="shared" ca="1" si="78"/>
        <v>0</v>
      </c>
      <c r="Z594">
        <f t="shared" ca="1" si="80"/>
        <v>0</v>
      </c>
      <c r="AA594">
        <f t="shared" ca="1" si="81"/>
        <v>1</v>
      </c>
      <c r="AB594" s="24">
        <f t="shared" ca="1" si="82"/>
        <v>0</v>
      </c>
      <c r="AC594" s="24">
        <f t="shared" ca="1" si="83"/>
        <v>4.6746930506815582E-2</v>
      </c>
    </row>
    <row r="595" spans="3:29" x14ac:dyDescent="0.25">
      <c r="C595" s="6">
        <v>588</v>
      </c>
      <c r="D595" s="37">
        <v>42843</v>
      </c>
      <c r="E595" s="39">
        <v>16.984000000000002</v>
      </c>
      <c r="F595" s="39">
        <v>2.6503899626992204</v>
      </c>
      <c r="G595" s="39">
        <v>51.679464331117543</v>
      </c>
      <c r="H595" s="39">
        <v>63.207867073584275</v>
      </c>
      <c r="I595" s="10">
        <v>0</v>
      </c>
      <c r="J595" s="40">
        <v>0</v>
      </c>
      <c r="K595" s="40">
        <v>0</v>
      </c>
      <c r="L595" s="40">
        <v>1</v>
      </c>
      <c r="M595" s="40">
        <v>0</v>
      </c>
      <c r="N595" s="40">
        <v>0</v>
      </c>
      <c r="O595" s="40">
        <v>0</v>
      </c>
      <c r="P595" s="40">
        <v>0</v>
      </c>
      <c r="Q595" s="40">
        <v>0</v>
      </c>
      <c r="R595" s="40">
        <v>0</v>
      </c>
      <c r="S595" s="40">
        <v>0</v>
      </c>
      <c r="T595" s="29">
        <f t="array" aca="1" ref="T595" ca="1">+fair_value_gap(OFFSET(S594,0,0,-1*$I$5,-1*$Z$1),OFFSET(E594,0,0,-1*$I$5,1),F595:S595,0)</f>
        <v>17.007567393204756</v>
      </c>
      <c r="U595" s="9" cm="1">
        <f t="array" aca="1" ref="U595" ca="1">z_score_diff(OFFSET(T595,0,0,$I$5*-1,1),OFFSET(E595,0,0,$I$5*-1,1))</f>
        <v>-0.14377919224904195</v>
      </c>
      <c r="V595" s="9">
        <f t="shared" ca="1" si="79"/>
        <v>0.13492143544889248</v>
      </c>
      <c r="W595" s="17">
        <f t="shared" ca="1" si="76"/>
        <v>6.6312851200171713E-3</v>
      </c>
      <c r="X595" s="13">
        <f t="shared" ca="1" si="77"/>
        <v>0</v>
      </c>
      <c r="Y595" s="13">
        <f t="shared" ca="1" si="78"/>
        <v>0</v>
      </c>
      <c r="Z595">
        <f t="shared" ca="1" si="80"/>
        <v>0</v>
      </c>
      <c r="AA595">
        <f t="shared" ca="1" si="81"/>
        <v>1</v>
      </c>
      <c r="AB595" s="24">
        <f t="shared" ca="1" si="82"/>
        <v>0</v>
      </c>
      <c r="AC595" s="24">
        <f t="shared" ca="1" si="83"/>
        <v>6.6312851200171713E-3</v>
      </c>
    </row>
    <row r="596" spans="3:29" x14ac:dyDescent="0.25">
      <c r="C596" s="6">
        <v>589</v>
      </c>
      <c r="D596" s="37">
        <v>42844</v>
      </c>
      <c r="E596" s="39">
        <v>16.838999999999999</v>
      </c>
      <c r="F596" s="39">
        <v>2.6536998682663158</v>
      </c>
      <c r="G596" s="39">
        <v>51.065465431474301</v>
      </c>
      <c r="H596" s="39">
        <v>63.737721315307375</v>
      </c>
      <c r="I596" s="10">
        <v>0</v>
      </c>
      <c r="J596" s="40">
        <v>0</v>
      </c>
      <c r="K596" s="40">
        <v>0</v>
      </c>
      <c r="L596" s="40">
        <v>1</v>
      </c>
      <c r="M596" s="40">
        <v>0</v>
      </c>
      <c r="N596" s="40">
        <v>0</v>
      </c>
      <c r="O596" s="40">
        <v>0</v>
      </c>
      <c r="P596" s="40">
        <v>0</v>
      </c>
      <c r="Q596" s="40">
        <v>0</v>
      </c>
      <c r="R596" s="40">
        <v>0</v>
      </c>
      <c r="S596" s="40">
        <v>0</v>
      </c>
      <c r="T596" s="29">
        <f t="array" aca="1" ref="T596" ca="1">+fair_value_gap(OFFSET(S595,0,0,-1*$I$5,-1*$Z$1),OFFSET(E595,0,0,-1*$I$5,1),F596:S596,0)</f>
        <v>16.780554562357878</v>
      </c>
      <c r="U596" s="9" cm="1">
        <f t="array" aca="1" ref="U596" ca="1">z_score_diff(OFFSET(T596,0,0,$I$5*-1,1),OFFSET(E596,0,0,$I$5*-1,1))</f>
        <v>-0.23961692680587648</v>
      </c>
      <c r="V596" s="9">
        <f t="shared" ca="1" si="79"/>
        <v>0.13190822856254508</v>
      </c>
      <c r="W596" s="17">
        <f t="shared" ca="1" si="76"/>
        <v>1.4854384538196371E-2</v>
      </c>
      <c r="X596" s="13">
        <f t="shared" ca="1" si="77"/>
        <v>0</v>
      </c>
      <c r="Y596" s="13">
        <f t="shared" ca="1" si="78"/>
        <v>0</v>
      </c>
      <c r="Z596">
        <f t="shared" ca="1" si="80"/>
        <v>0</v>
      </c>
      <c r="AA596">
        <f t="shared" ca="1" si="81"/>
        <v>1</v>
      </c>
      <c r="AB596" s="24">
        <f t="shared" ca="1" si="82"/>
        <v>0</v>
      </c>
      <c r="AC596" s="24">
        <f t="shared" ca="1" si="83"/>
        <v>1.4854384538196371E-2</v>
      </c>
    </row>
    <row r="597" spans="3:29" x14ac:dyDescent="0.25">
      <c r="C597" s="6">
        <v>590</v>
      </c>
      <c r="D597" s="37">
        <v>42845</v>
      </c>
      <c r="E597" s="39">
        <v>16.648</v>
      </c>
      <c r="F597" s="39">
        <v>2.6710305869659865</v>
      </c>
      <c r="G597" s="39">
        <v>50.689301274200538</v>
      </c>
      <c r="H597" s="39">
        <v>64.173523760043523</v>
      </c>
      <c r="I597" s="10">
        <v>0</v>
      </c>
      <c r="J597" s="40">
        <v>0</v>
      </c>
      <c r="K597" s="40">
        <v>0</v>
      </c>
      <c r="L597" s="40">
        <v>1</v>
      </c>
      <c r="M597" s="40">
        <v>0</v>
      </c>
      <c r="N597" s="40">
        <v>0</v>
      </c>
      <c r="O597" s="40">
        <v>0</v>
      </c>
      <c r="P597" s="40">
        <v>0</v>
      </c>
      <c r="Q597" s="40">
        <v>0</v>
      </c>
      <c r="R597" s="40">
        <v>0</v>
      </c>
      <c r="S597" s="40">
        <v>0</v>
      </c>
      <c r="T597" s="29">
        <f t="array" aca="1" ref="T597" ca="1">+fair_value_gap(OFFSET(S596,0,0,-1*$I$5,-1*$Z$1),OFFSET(E596,0,0,-1*$I$5,1),F597:S597,0)</f>
        <v>16.662373164289622</v>
      </c>
      <c r="U597" s="9" cm="1">
        <f t="array" aca="1" ref="U597" ca="1">z_score_diff(OFFSET(T597,0,0,$I$5*-1,1),OFFSET(E597,0,0,$I$5*-1,1))</f>
        <v>-0.1310898231796418</v>
      </c>
      <c r="V597" s="9">
        <f t="shared" ca="1" si="79"/>
        <v>0.13412256655415444</v>
      </c>
      <c r="W597" s="17">
        <f t="shared" ca="1" si="76"/>
        <v>3.6912391766760498E-2</v>
      </c>
      <c r="X597" s="13">
        <f t="shared" ca="1" si="77"/>
        <v>0</v>
      </c>
      <c r="Y597" s="13">
        <f t="shared" ca="1" si="78"/>
        <v>0</v>
      </c>
      <c r="Z597">
        <f t="shared" ca="1" si="80"/>
        <v>0</v>
      </c>
      <c r="AA597">
        <f t="shared" ca="1" si="81"/>
        <v>1</v>
      </c>
      <c r="AB597" s="24">
        <f t="shared" ca="1" si="82"/>
        <v>0</v>
      </c>
      <c r="AC597" s="24">
        <f t="shared" ca="1" si="83"/>
        <v>3.6912391766760498E-2</v>
      </c>
    </row>
    <row r="598" spans="3:29" x14ac:dyDescent="0.25">
      <c r="C598" s="6">
        <v>591</v>
      </c>
      <c r="D598" s="37">
        <v>42846</v>
      </c>
      <c r="E598" s="39">
        <v>16.71</v>
      </c>
      <c r="F598" s="39">
        <v>2.6649063394387147</v>
      </c>
      <c r="G598" s="39">
        <v>50.778421647220867</v>
      </c>
      <c r="H598" s="39">
        <v>63.932432371332588</v>
      </c>
      <c r="I598" s="10">
        <v>0</v>
      </c>
      <c r="J598" s="40">
        <v>0</v>
      </c>
      <c r="K598" s="40">
        <v>0</v>
      </c>
      <c r="L598" s="40">
        <v>1</v>
      </c>
      <c r="M598" s="40">
        <v>0</v>
      </c>
      <c r="N598" s="40">
        <v>0</v>
      </c>
      <c r="O598" s="40">
        <v>0</v>
      </c>
      <c r="P598" s="40">
        <v>0</v>
      </c>
      <c r="Q598" s="40">
        <v>0</v>
      </c>
      <c r="R598" s="40">
        <v>0</v>
      </c>
      <c r="S598" s="40">
        <v>0</v>
      </c>
      <c r="T598" s="29">
        <f t="array" aca="1" ref="T598" ca="1">+fair_value_gap(OFFSET(S597,0,0,-1*$I$5,-1*$Z$1),OFFSET(E597,0,0,-1*$I$5,1),F598:S598,0)</f>
        <v>16.675200288623927</v>
      </c>
      <c r="U598" s="9" cm="1">
        <f t="array" aca="1" ref="U598" ca="1">z_score_diff(OFFSET(T598,0,0,$I$5*-1,1),OFFSET(E598,0,0,$I$5*-1,1))</f>
        <v>-0.20032454150817663</v>
      </c>
      <c r="V598" s="9">
        <f t="shared" ca="1" si="79"/>
        <v>0.12690576223540395</v>
      </c>
      <c r="W598" s="17">
        <f t="shared" ca="1" si="76"/>
        <v>2.2427639057469275E-2</v>
      </c>
      <c r="X598" s="13">
        <f t="shared" ca="1" si="77"/>
        <v>0</v>
      </c>
      <c r="Y598" s="13">
        <f t="shared" ca="1" si="78"/>
        <v>0</v>
      </c>
      <c r="Z598">
        <f t="shared" ca="1" si="80"/>
        <v>0</v>
      </c>
      <c r="AA598">
        <f t="shared" ca="1" si="81"/>
        <v>1</v>
      </c>
      <c r="AB598" s="24">
        <f t="shared" ca="1" si="82"/>
        <v>0</v>
      </c>
      <c r="AC598" s="24">
        <f t="shared" ca="1" si="83"/>
        <v>2.2427639057469275E-2</v>
      </c>
    </row>
    <row r="599" spans="3:29" x14ac:dyDescent="0.25">
      <c r="C599" s="6">
        <v>592</v>
      </c>
      <c r="D599" s="37">
        <v>42849</v>
      </c>
      <c r="E599" s="39">
        <v>16.526</v>
      </c>
      <c r="F599" s="39">
        <v>2.6275368359422764</v>
      </c>
      <c r="G599" s="39">
        <v>50.06169042222762</v>
      </c>
      <c r="H599" s="39">
        <v>62.118398023635329</v>
      </c>
      <c r="I599" s="10">
        <v>0</v>
      </c>
      <c r="J599" s="40">
        <v>0</v>
      </c>
      <c r="K599" s="40">
        <v>0</v>
      </c>
      <c r="L599" s="40">
        <v>1</v>
      </c>
      <c r="M599" s="40">
        <v>0</v>
      </c>
      <c r="N599" s="40">
        <v>0</v>
      </c>
      <c r="O599" s="40">
        <v>0</v>
      </c>
      <c r="P599" s="40">
        <v>0</v>
      </c>
      <c r="Q599" s="40">
        <v>0</v>
      </c>
      <c r="R599" s="40">
        <v>0</v>
      </c>
      <c r="S599" s="40">
        <v>0</v>
      </c>
      <c r="T599" s="29">
        <f t="array" aca="1" ref="T599" ca="1">+fair_value_gap(OFFSET(S598,0,0,-1*$I$5,-1*$Z$1),OFFSET(E598,0,0,-1*$I$5,1),F599:S599,0)</f>
        <v>16.409539255184491</v>
      </c>
      <c r="U599" s="9" cm="1">
        <f t="array" aca="1" ref="U599" ca="1">z_score_diff(OFFSET(T599,0,0,$I$5*-1,1),OFFSET(E599,0,0,$I$5*-1,1))</f>
        <v>-0.29728973460446889</v>
      </c>
      <c r="V599" s="9">
        <f t="shared" ca="1" si="79"/>
        <v>0.1163861819160262</v>
      </c>
      <c r="W599" s="17">
        <f t="shared" ca="1" si="76"/>
        <v>2.7101282604208597E-2</v>
      </c>
      <c r="X599" s="13">
        <f t="shared" ca="1" si="77"/>
        <v>0</v>
      </c>
      <c r="Y599" s="13">
        <f t="shared" ca="1" si="78"/>
        <v>0</v>
      </c>
      <c r="Z599">
        <f t="shared" ca="1" si="80"/>
        <v>0</v>
      </c>
      <c r="AA599">
        <f t="shared" ca="1" si="81"/>
        <v>1</v>
      </c>
      <c r="AB599" s="24">
        <f t="shared" ca="1" si="82"/>
        <v>0</v>
      </c>
      <c r="AC599" s="24">
        <f t="shared" ca="1" si="83"/>
        <v>2.7101282604208597E-2</v>
      </c>
    </row>
    <row r="600" spans="3:29" x14ac:dyDescent="0.25">
      <c r="C600" s="6">
        <v>593</v>
      </c>
      <c r="D600" s="37">
        <v>42850</v>
      </c>
      <c r="E600" s="39">
        <v>16.181999999999999</v>
      </c>
      <c r="F600" s="39">
        <v>2.6245764020669982</v>
      </c>
      <c r="G600" s="39">
        <v>49.0709823133231</v>
      </c>
      <c r="H600" s="39">
        <v>61.420590809278423</v>
      </c>
      <c r="I600" s="10">
        <v>0</v>
      </c>
      <c r="J600" s="40">
        <v>0</v>
      </c>
      <c r="K600" s="40">
        <v>0</v>
      </c>
      <c r="L600" s="40">
        <v>1</v>
      </c>
      <c r="M600" s="40">
        <v>0</v>
      </c>
      <c r="N600" s="40">
        <v>0</v>
      </c>
      <c r="O600" s="40">
        <v>0</v>
      </c>
      <c r="P600" s="40">
        <v>0</v>
      </c>
      <c r="Q600" s="40">
        <v>0</v>
      </c>
      <c r="R600" s="40">
        <v>0</v>
      </c>
      <c r="S600" s="40">
        <v>0</v>
      </c>
      <c r="T600" s="29">
        <f t="array" aca="1" ref="T600" ca="1">+fair_value_gap(OFFSET(S599,0,0,-1*$I$5,-1*$Z$1),OFFSET(E599,0,0,-1*$I$5,1),F600:S600,0)</f>
        <v>16.127236891352389</v>
      </c>
      <c r="U600" s="9" cm="1">
        <f t="array" aca="1" ref="U600" ca="1">z_score_diff(OFFSET(T600,0,0,$I$5*-1,1),OFFSET(E600,0,0,$I$5*-1,1))</f>
        <v>-0.19487442106500885</v>
      </c>
      <c r="V600" s="9">
        <f t="shared" ca="1" si="79"/>
        <v>0.11104358021802307</v>
      </c>
      <c r="W600" s="17">
        <f t="shared" ca="1" si="76"/>
        <v>4.6132304390624691E-2</v>
      </c>
      <c r="X600" s="13">
        <f t="shared" ca="1" si="77"/>
        <v>0</v>
      </c>
      <c r="Y600" s="13">
        <f t="shared" ca="1" si="78"/>
        <v>0</v>
      </c>
      <c r="Z600">
        <f t="shared" ca="1" si="80"/>
        <v>0</v>
      </c>
      <c r="AA600">
        <f t="shared" ca="1" si="81"/>
        <v>1</v>
      </c>
      <c r="AB600" s="24">
        <f t="shared" ca="1" si="82"/>
        <v>0</v>
      </c>
      <c r="AC600" s="24">
        <f t="shared" ca="1" si="83"/>
        <v>4.6132304390624691E-2</v>
      </c>
    </row>
    <row r="601" spans="3:29" x14ac:dyDescent="0.25">
      <c r="C601" s="6">
        <v>594</v>
      </c>
      <c r="D601" s="37">
        <v>42851</v>
      </c>
      <c r="E601" s="39">
        <v>16.401</v>
      </c>
      <c r="F601" s="39">
        <v>2.6415933137725616</v>
      </c>
      <c r="G601" s="39">
        <v>49.368769216435297</v>
      </c>
      <c r="H601" s="39">
        <v>62.016537743398239</v>
      </c>
      <c r="I601" s="10">
        <v>0</v>
      </c>
      <c r="J601" s="40">
        <v>0</v>
      </c>
      <c r="K601" s="40">
        <v>0</v>
      </c>
      <c r="L601" s="40">
        <v>1</v>
      </c>
      <c r="M601" s="40">
        <v>0</v>
      </c>
      <c r="N601" s="40">
        <v>0</v>
      </c>
      <c r="O601" s="40">
        <v>0</v>
      </c>
      <c r="P601" s="40">
        <v>0</v>
      </c>
      <c r="Q601" s="40">
        <v>0</v>
      </c>
      <c r="R601" s="40">
        <v>0</v>
      </c>
      <c r="S601" s="40">
        <v>0</v>
      </c>
      <c r="T601" s="29">
        <f t="array" aca="1" ref="T601" ca="1">+fair_value_gap(OFFSET(S600,0,0,-1*$I$5,-1*$Z$1),OFFSET(E600,0,0,-1*$I$5,1),F601:S601,0)</f>
        <v>16.239402570801108</v>
      </c>
      <c r="U601" s="9" cm="1">
        <f t="array" aca="1" ref="U601" ca="1">z_score_diff(OFFSET(T601,0,0,$I$5*-1,1),OFFSET(E601,0,0,$I$5*-1,1))</f>
        <v>-0.35150764847151439</v>
      </c>
      <c r="V601" s="9">
        <f t="shared" ca="1" si="79"/>
        <v>0.10188157131081871</v>
      </c>
      <c r="W601" s="17">
        <f t="shared" ca="1" si="76"/>
        <v>3.1981126639113698E-2</v>
      </c>
      <c r="X601" s="13">
        <f t="shared" ca="1" si="77"/>
        <v>0</v>
      </c>
      <c r="Y601" s="13">
        <f t="shared" ca="1" si="78"/>
        <v>0</v>
      </c>
      <c r="Z601">
        <f t="shared" ca="1" si="80"/>
        <v>0</v>
      </c>
      <c r="AA601">
        <f t="shared" ca="1" si="81"/>
        <v>1</v>
      </c>
      <c r="AB601" s="24">
        <f t="shared" ca="1" si="82"/>
        <v>0</v>
      </c>
      <c r="AC601" s="24">
        <f t="shared" ca="1" si="83"/>
        <v>3.1981126639113698E-2</v>
      </c>
    </row>
    <row r="602" spans="3:29" x14ac:dyDescent="0.25">
      <c r="C602" s="6">
        <v>595</v>
      </c>
      <c r="D602" s="37">
        <v>42852</v>
      </c>
      <c r="E602" s="39">
        <v>16.283999999999999</v>
      </c>
      <c r="F602" s="39">
        <v>2.6800610240259797</v>
      </c>
      <c r="G602" s="39">
        <v>49.190826157227676</v>
      </c>
      <c r="H602" s="39">
        <v>62.763746018717598</v>
      </c>
      <c r="I602" s="10">
        <v>0</v>
      </c>
      <c r="J602" s="40">
        <v>0</v>
      </c>
      <c r="K602" s="40">
        <v>0</v>
      </c>
      <c r="L602" s="40">
        <v>1</v>
      </c>
      <c r="M602" s="40">
        <v>0</v>
      </c>
      <c r="N602" s="40">
        <v>0</v>
      </c>
      <c r="O602" s="40">
        <v>0</v>
      </c>
      <c r="P602" s="40">
        <v>0</v>
      </c>
      <c r="Q602" s="40">
        <v>0</v>
      </c>
      <c r="R602" s="40">
        <v>0</v>
      </c>
      <c r="S602" s="40">
        <v>0</v>
      </c>
      <c r="T602" s="29">
        <f t="array" aca="1" ref="T602" ca="1">+fair_value_gap(OFFSET(S601,0,0,-1*$I$5,-1*$Z$1),OFFSET(E601,0,0,-1*$I$5,1),F602:S602,0)</f>
        <v>16.247164625272816</v>
      </c>
      <c r="U602" s="9" cm="1">
        <f t="array" aca="1" ref="U602" ca="1">z_score_diff(OFFSET(T602,0,0,$I$5*-1,1),OFFSET(E602,0,0,$I$5*-1,1))</f>
        <v>-0.17836462216515925</v>
      </c>
      <c r="V602" s="9">
        <f t="shared" ca="1" si="79"/>
        <v>9.861387899969877E-2</v>
      </c>
      <c r="W602" s="17">
        <f t="shared" ca="1" si="76"/>
        <v>3.4998141718219605E-2</v>
      </c>
      <c r="X602" s="13">
        <f t="shared" ca="1" si="77"/>
        <v>0</v>
      </c>
      <c r="Y602" s="13">
        <f t="shared" ca="1" si="78"/>
        <v>0</v>
      </c>
      <c r="Z602">
        <f t="shared" ca="1" si="80"/>
        <v>0</v>
      </c>
      <c r="AA602">
        <f t="shared" ca="1" si="81"/>
        <v>1</v>
      </c>
      <c r="AB602" s="24">
        <f t="shared" ca="1" si="82"/>
        <v>0</v>
      </c>
      <c r="AC602" s="24">
        <f t="shared" ca="1" si="83"/>
        <v>3.4998141718219605E-2</v>
      </c>
    </row>
    <row r="603" spans="3:29" x14ac:dyDescent="0.25">
      <c r="C603" s="6">
        <v>596</v>
      </c>
      <c r="D603" s="37">
        <v>42853</v>
      </c>
      <c r="E603" s="39">
        <v>17.135000000000002</v>
      </c>
      <c r="F603" s="39">
        <v>2.6743677068764877</v>
      </c>
      <c r="G603" s="39">
        <v>52.349309026756835</v>
      </c>
      <c r="H603" s="39">
        <v>62.855648200540216</v>
      </c>
      <c r="I603" s="10">
        <v>0</v>
      </c>
      <c r="J603" s="40">
        <v>0</v>
      </c>
      <c r="K603" s="40">
        <v>0</v>
      </c>
      <c r="L603" s="40">
        <v>1</v>
      </c>
      <c r="M603" s="40">
        <v>0</v>
      </c>
      <c r="N603" s="40">
        <v>0</v>
      </c>
      <c r="O603" s="40">
        <v>0</v>
      </c>
      <c r="P603" s="40">
        <v>0</v>
      </c>
      <c r="Q603" s="40">
        <v>0</v>
      </c>
      <c r="R603" s="40">
        <v>0</v>
      </c>
      <c r="S603" s="40">
        <v>0</v>
      </c>
      <c r="T603" s="29">
        <f t="array" aca="1" ref="T603" ca="1">+fair_value_gap(OFFSET(S602,0,0,-1*$I$5,-1*$Z$1),OFFSET(E602,0,0,-1*$I$5,1),F603:S603,0)</f>
        <v>17.112310357593174</v>
      </c>
      <c r="U603" s="9" cm="1">
        <f t="array" aca="1" ref="U603" ca="1">z_score_diff(OFFSET(T603,0,0,$I$5*-1,1),OFFSET(E603,0,0,$I$5*-1,1))</f>
        <v>-0.21202636202325159</v>
      </c>
      <c r="V603" s="9">
        <f t="shared" ca="1" si="79"/>
        <v>9.2290557945747531E-2</v>
      </c>
      <c r="W603" s="17">
        <f t="shared" ca="1" si="76"/>
        <v>-1.6297833751281788E-2</v>
      </c>
      <c r="X603" s="13">
        <f t="shared" ca="1" si="77"/>
        <v>0</v>
      </c>
      <c r="Y603" s="13">
        <f t="shared" ca="1" si="78"/>
        <v>0</v>
      </c>
      <c r="Z603">
        <f t="shared" ca="1" si="80"/>
        <v>0</v>
      </c>
      <c r="AA603">
        <f t="shared" ca="1" si="81"/>
        <v>1</v>
      </c>
      <c r="AB603" s="24">
        <f t="shared" ca="1" si="82"/>
        <v>0</v>
      </c>
      <c r="AC603" s="24">
        <f t="shared" ca="1" si="83"/>
        <v>-1.6297833751281788E-2</v>
      </c>
    </row>
    <row r="604" spans="3:29" x14ac:dyDescent="0.25">
      <c r="C604" s="6">
        <v>597</v>
      </c>
      <c r="D604" s="37">
        <v>42856</v>
      </c>
      <c r="E604" s="39">
        <v>17.128</v>
      </c>
      <c r="F604" s="39">
        <v>2.6420044018585624</v>
      </c>
      <c r="G604" s="39">
        <v>51.984363813463609</v>
      </c>
      <c r="H604" s="39">
        <v>62.115115270892147</v>
      </c>
      <c r="I604" s="10">
        <v>0</v>
      </c>
      <c r="J604" s="40">
        <v>0</v>
      </c>
      <c r="K604" s="40">
        <v>0</v>
      </c>
      <c r="L604" s="40">
        <v>0</v>
      </c>
      <c r="M604" s="40">
        <v>1</v>
      </c>
      <c r="N604" s="40">
        <v>0</v>
      </c>
      <c r="O604" s="40">
        <v>0</v>
      </c>
      <c r="P604" s="40">
        <v>0</v>
      </c>
      <c r="Q604" s="40">
        <v>0</v>
      </c>
      <c r="R604" s="40">
        <v>0</v>
      </c>
      <c r="S604" s="40">
        <v>0</v>
      </c>
      <c r="T604" s="29">
        <f t="array" aca="1" ref="T604" ca="1">+fair_value_gap(OFFSET(S603,0,0,-1*$I$5,-1*$Z$1),OFFSET(E603,0,0,-1*$I$5,1),F604:S604,0)</f>
        <v>17.255854825467583</v>
      </c>
      <c r="U604" s="9" cm="1">
        <f t="array" aca="1" ref="U604" ca="1">z_score_diff(OFFSET(T604,0,0,$I$5*-1,1),OFFSET(E604,0,0,$I$5*-1,1))</f>
        <v>-8.5727303399970589E-3</v>
      </c>
      <c r="V604" s="9">
        <f t="shared" ca="1" si="79"/>
        <v>9.0818855267557994E-2</v>
      </c>
      <c r="W604" s="17">
        <f t="shared" ca="1" si="76"/>
        <v>-1.4585062119570672E-2</v>
      </c>
      <c r="X604" s="13">
        <f t="shared" ca="1" si="77"/>
        <v>0</v>
      </c>
      <c r="Y604" s="13">
        <f t="shared" ca="1" si="78"/>
        <v>0</v>
      </c>
      <c r="Z604">
        <f t="shared" ca="1" si="80"/>
        <v>0</v>
      </c>
      <c r="AA604">
        <f t="shared" ca="1" si="81"/>
        <v>1</v>
      </c>
      <c r="AB604" s="24">
        <f t="shared" ca="1" si="82"/>
        <v>0</v>
      </c>
      <c r="AC604" s="24">
        <f t="shared" ca="1" si="83"/>
        <v>-1.4585062119570672E-2</v>
      </c>
    </row>
    <row r="605" spans="3:29" x14ac:dyDescent="0.25">
      <c r="C605" s="6">
        <v>598</v>
      </c>
      <c r="D605" s="37">
        <v>42857</v>
      </c>
      <c r="E605" s="39">
        <v>17.254999999999999</v>
      </c>
      <c r="F605" s="39">
        <v>2.6275883474482331</v>
      </c>
      <c r="G605" s="39">
        <v>52.810127944112004</v>
      </c>
      <c r="H605" s="39">
        <v>62.741098745178022</v>
      </c>
      <c r="I605" s="10">
        <v>0</v>
      </c>
      <c r="J605" s="40">
        <v>0</v>
      </c>
      <c r="K605" s="40">
        <v>0</v>
      </c>
      <c r="L605" s="40">
        <v>0</v>
      </c>
      <c r="M605" s="40">
        <v>1</v>
      </c>
      <c r="N605" s="40">
        <v>0</v>
      </c>
      <c r="O605" s="40">
        <v>0</v>
      </c>
      <c r="P605" s="40">
        <v>0</v>
      </c>
      <c r="Q605" s="40">
        <v>0</v>
      </c>
      <c r="R605" s="40">
        <v>0</v>
      </c>
      <c r="S605" s="40">
        <v>0</v>
      </c>
      <c r="T605" s="29">
        <f t="array" aca="1" ref="T605" ca="1">+fair_value_gap(OFFSET(S604,0,0,-1*$I$5,-1*$Z$1),OFFSET(E604,0,0,-1*$I$5,1),F605:S605,0)</f>
        <v>17.449155634702347</v>
      </c>
      <c r="U605" s="9" cm="1">
        <f t="array" aca="1" ref="U605" ca="1">z_score_diff(OFFSET(T605,0,0,$I$5*-1,1),OFFSET(E605,0,0,$I$5*-1,1))</f>
        <v>7.381381013947419E-2</v>
      </c>
      <c r="V605" s="9">
        <f t="shared" ca="1" si="79"/>
        <v>9.2389110655631115E-2</v>
      </c>
      <c r="W605" s="17">
        <f t="shared" ca="1" si="76"/>
        <v>-2.2446513373493262E-2</v>
      </c>
      <c r="X605" s="13">
        <f t="shared" ca="1" si="77"/>
        <v>0</v>
      </c>
      <c r="Y605" s="13">
        <f t="shared" ca="1" si="78"/>
        <v>0</v>
      </c>
      <c r="Z605">
        <f t="shared" ca="1" si="80"/>
        <v>0</v>
      </c>
      <c r="AA605">
        <f t="shared" ca="1" si="81"/>
        <v>1</v>
      </c>
      <c r="AB605" s="24">
        <f t="shared" ca="1" si="82"/>
        <v>0</v>
      </c>
      <c r="AC605" s="24">
        <f t="shared" ca="1" si="83"/>
        <v>-2.2446513373493262E-2</v>
      </c>
    </row>
    <row r="606" spans="3:29" x14ac:dyDescent="0.25">
      <c r="C606" s="6">
        <v>599</v>
      </c>
      <c r="D606" s="37">
        <v>42858</v>
      </c>
      <c r="E606" s="39">
        <v>17.187000000000001</v>
      </c>
      <c r="F606" s="39">
        <v>2.650141278532876</v>
      </c>
      <c r="G606" s="39">
        <v>52.172247820512524</v>
      </c>
      <c r="H606" s="39">
        <v>61.711959207771606</v>
      </c>
      <c r="I606" s="10">
        <v>0</v>
      </c>
      <c r="J606" s="40">
        <v>0</v>
      </c>
      <c r="K606" s="40">
        <v>0</v>
      </c>
      <c r="L606" s="40">
        <v>0</v>
      </c>
      <c r="M606" s="40">
        <v>1</v>
      </c>
      <c r="N606" s="40">
        <v>0</v>
      </c>
      <c r="O606" s="40">
        <v>0</v>
      </c>
      <c r="P606" s="40">
        <v>0</v>
      </c>
      <c r="Q606" s="40">
        <v>0</v>
      </c>
      <c r="R606" s="40">
        <v>0</v>
      </c>
      <c r="S606" s="40">
        <v>0</v>
      </c>
      <c r="T606" s="29">
        <f t="array" aca="1" ref="T606" ca="1">+fair_value_gap(OFFSET(S605,0,0,-1*$I$5,-1*$Z$1),OFFSET(E605,0,0,-1*$I$5,1),F606:S606,0)</f>
        <v>17.225407545787917</v>
      </c>
      <c r="U606" s="9" cm="1">
        <f t="array" aca="1" ref="U606" ca="1">z_score_diff(OFFSET(T606,0,0,$I$5*-1,1),OFFSET(E606,0,0,$I$5*-1,1))</f>
        <v>-0.13377011649822779</v>
      </c>
      <c r="V606" s="9">
        <f t="shared" ca="1" si="79"/>
        <v>8.5739007815568494E-2</v>
      </c>
      <c r="W606" s="17">
        <f t="shared" ca="1" si="76"/>
        <v>-2.0574438418887845E-2</v>
      </c>
      <c r="X606" s="13">
        <f t="shared" ca="1" si="77"/>
        <v>0</v>
      </c>
      <c r="Y606" s="13">
        <f t="shared" ca="1" si="78"/>
        <v>0</v>
      </c>
      <c r="Z606">
        <f t="shared" ca="1" si="80"/>
        <v>0</v>
      </c>
      <c r="AA606">
        <f t="shared" ca="1" si="81"/>
        <v>1</v>
      </c>
      <c r="AB606" s="24">
        <f t="shared" ca="1" si="82"/>
        <v>0</v>
      </c>
      <c r="AC606" s="24">
        <f t="shared" ca="1" si="83"/>
        <v>-2.0574438418887845E-2</v>
      </c>
    </row>
    <row r="607" spans="3:29" x14ac:dyDescent="0.25">
      <c r="C607" s="6">
        <v>600</v>
      </c>
      <c r="D607" s="37">
        <v>42859</v>
      </c>
      <c r="E607" s="39">
        <v>16.928000000000001</v>
      </c>
      <c r="F607" s="39">
        <v>2.6189961103581032</v>
      </c>
      <c r="G607" s="39">
        <v>51.291232361373005</v>
      </c>
      <c r="H607" s="39">
        <v>60.48591826012477</v>
      </c>
      <c r="I607" s="10">
        <v>0</v>
      </c>
      <c r="J607" s="40">
        <v>0</v>
      </c>
      <c r="K607" s="40">
        <v>0</v>
      </c>
      <c r="L607" s="40">
        <v>0</v>
      </c>
      <c r="M607" s="40">
        <v>1</v>
      </c>
      <c r="N607" s="40">
        <v>0</v>
      </c>
      <c r="O607" s="40">
        <v>0</v>
      </c>
      <c r="P607" s="40">
        <v>0</v>
      </c>
      <c r="Q607" s="40">
        <v>0</v>
      </c>
      <c r="R607" s="40">
        <v>0</v>
      </c>
      <c r="S607" s="40">
        <v>0</v>
      </c>
      <c r="T607" s="29">
        <f t="array" aca="1" ref="T607" ca="1">+fair_value_gap(OFFSET(S606,0,0,-1*$I$5,-1*$Z$1),OFFSET(E606,0,0,-1*$I$5,1),F607:S607,0)</f>
        <v>16.918708601299794</v>
      </c>
      <c r="U607" s="9" cm="1">
        <f t="array" aca="1" ref="U607" ca="1">z_score_diff(OFFSET(T607,0,0,$I$5*-1,1),OFFSET(E607,0,0,$I$5*-1,1))</f>
        <v>-0.18442747193885331</v>
      </c>
      <c r="V607" s="9">
        <f t="shared" ca="1" si="79"/>
        <v>7.67902258214605E-2</v>
      </c>
      <c r="W607" s="17">
        <f t="shared" ca="1" si="76"/>
        <v>-8.9601548876254503E-3</v>
      </c>
      <c r="X607" s="13">
        <f t="shared" ca="1" si="77"/>
        <v>0</v>
      </c>
      <c r="Y607" s="13">
        <f t="shared" ca="1" si="78"/>
        <v>0</v>
      </c>
      <c r="Z607">
        <f t="shared" ca="1" si="80"/>
        <v>0</v>
      </c>
      <c r="AA607">
        <f t="shared" ca="1" si="81"/>
        <v>1</v>
      </c>
      <c r="AB607" s="24">
        <f t="shared" ca="1" si="82"/>
        <v>0</v>
      </c>
      <c r="AC607" s="24">
        <f t="shared" ca="1" si="83"/>
        <v>-8.9601548876254503E-3</v>
      </c>
    </row>
    <row r="608" spans="3:29" x14ac:dyDescent="0.25">
      <c r="C608" s="6">
        <v>601</v>
      </c>
      <c r="D608" s="37">
        <v>42860</v>
      </c>
      <c r="E608" s="39">
        <v>16.919</v>
      </c>
      <c r="F608" s="39">
        <v>2.6324605483558141</v>
      </c>
      <c r="G608" s="39">
        <v>51.446592814971879</v>
      </c>
      <c r="H608" s="39">
        <v>60.521907784536722</v>
      </c>
      <c r="I608" s="10">
        <v>0</v>
      </c>
      <c r="J608" s="40">
        <v>0</v>
      </c>
      <c r="K608" s="40">
        <v>0</v>
      </c>
      <c r="L608" s="40">
        <v>0</v>
      </c>
      <c r="M608" s="40">
        <v>1</v>
      </c>
      <c r="N608" s="40">
        <v>0</v>
      </c>
      <c r="O608" s="40">
        <v>0</v>
      </c>
      <c r="P608" s="40">
        <v>0</v>
      </c>
      <c r="Q608" s="40">
        <v>0</v>
      </c>
      <c r="R608" s="40">
        <v>0</v>
      </c>
      <c r="S608" s="40">
        <v>0</v>
      </c>
      <c r="T608" s="29">
        <f t="array" aca="1" ref="T608" ca="1">+fair_value_gap(OFFSET(S607,0,0,-1*$I$5,-1*$Z$1),OFFSET(E607,0,0,-1*$I$5,1),F608:S608,0)</f>
        <v>16.965637017479949</v>
      </c>
      <c r="U608" s="9" cm="1">
        <f t="array" aca="1" ref="U608" ca="1">z_score_diff(OFFSET(T608,0,0,$I$5*-1,1),OFFSET(E608,0,0,$I$5*-1,1))</f>
        <v>-0.10747015129367851</v>
      </c>
      <c r="V608" s="9">
        <f t="shared" ca="1" si="79"/>
        <v>7.6030435863570903E-2</v>
      </c>
      <c r="W608" s="17">
        <f t="shared" ca="1" si="76"/>
        <v>-8.1899567576346997E-3</v>
      </c>
      <c r="X608" s="13">
        <f t="shared" ca="1" si="77"/>
        <v>0</v>
      </c>
      <c r="Y608" s="13">
        <f t="shared" ca="1" si="78"/>
        <v>0</v>
      </c>
      <c r="Z608">
        <f t="shared" ca="1" si="80"/>
        <v>0</v>
      </c>
      <c r="AA608">
        <f t="shared" ca="1" si="81"/>
        <v>1</v>
      </c>
      <c r="AB608" s="24">
        <f t="shared" ca="1" si="82"/>
        <v>0</v>
      </c>
      <c r="AC608" s="24">
        <f t="shared" ca="1" si="83"/>
        <v>-8.1899567576346997E-3</v>
      </c>
    </row>
    <row r="609" spans="3:29" x14ac:dyDescent="0.25">
      <c r="C609" s="6">
        <v>602</v>
      </c>
      <c r="D609" s="37">
        <v>42863</v>
      </c>
      <c r="E609" s="39">
        <v>16.805</v>
      </c>
      <c r="F609" s="39">
        <v>2.6271831803472496</v>
      </c>
      <c r="G609" s="39">
        <v>51.08452230238386</v>
      </c>
      <c r="H609" s="39">
        <v>59.644158688964595</v>
      </c>
      <c r="I609" s="10">
        <v>0</v>
      </c>
      <c r="J609" s="40">
        <v>0</v>
      </c>
      <c r="K609" s="40">
        <v>0</v>
      </c>
      <c r="L609" s="40">
        <v>0</v>
      </c>
      <c r="M609" s="40">
        <v>1</v>
      </c>
      <c r="N609" s="40">
        <v>0</v>
      </c>
      <c r="O609" s="40">
        <v>0</v>
      </c>
      <c r="P609" s="40">
        <v>0</v>
      </c>
      <c r="Q609" s="40">
        <v>0</v>
      </c>
      <c r="R609" s="40">
        <v>0</v>
      </c>
      <c r="S609" s="40">
        <v>0</v>
      </c>
      <c r="T609" s="29">
        <f t="array" aca="1" ref="T609" ca="1">+fair_value_gap(OFFSET(S608,0,0,-1*$I$5,-1*$Z$1),OFFSET(E608,0,0,-1*$I$5,1),F609:S609,0)</f>
        <v>16.824822985597489</v>
      </c>
      <c r="U609" s="9" cm="1">
        <f t="array" aca="1" ref="U609" ca="1">z_score_diff(OFFSET(T609,0,0,$I$5*-1,1),OFFSET(E609,0,0,$I$5*-1,1))</f>
        <v>-0.1376491919131064</v>
      </c>
      <c r="V609" s="9">
        <f t="shared" ca="1" si="79"/>
        <v>7.6498257979602691E-2</v>
      </c>
      <c r="W609" s="17">
        <f t="shared" ca="1" si="76"/>
        <v>2.0805476371117786E-3</v>
      </c>
      <c r="X609" s="13">
        <f t="shared" ca="1" si="77"/>
        <v>0</v>
      </c>
      <c r="Y609" s="13">
        <f t="shared" ca="1" si="78"/>
        <v>0</v>
      </c>
      <c r="Z609">
        <f t="shared" ca="1" si="80"/>
        <v>0</v>
      </c>
      <c r="AA609">
        <f t="shared" ca="1" si="81"/>
        <v>1</v>
      </c>
      <c r="AB609" s="24">
        <f t="shared" ca="1" si="82"/>
        <v>0</v>
      </c>
      <c r="AC609" s="24">
        <f t="shared" ca="1" si="83"/>
        <v>2.0805476371117786E-3</v>
      </c>
    </row>
    <row r="610" spans="3:29" x14ac:dyDescent="0.25">
      <c r="C610" s="6">
        <v>603</v>
      </c>
      <c r="D610" s="37">
        <v>42864</v>
      </c>
      <c r="E610" s="39">
        <v>16.707999999999998</v>
      </c>
      <c r="F610" s="39">
        <v>2.6514489834478283</v>
      </c>
      <c r="G610" s="39">
        <v>50.886998442378577</v>
      </c>
      <c r="H610" s="39">
        <v>59.802429172890513</v>
      </c>
      <c r="I610" s="10">
        <v>0</v>
      </c>
      <c r="J610" s="40">
        <v>0</v>
      </c>
      <c r="K610" s="40">
        <v>0</v>
      </c>
      <c r="L610" s="40">
        <v>0</v>
      </c>
      <c r="M610" s="40">
        <v>1</v>
      </c>
      <c r="N610" s="40">
        <v>0</v>
      </c>
      <c r="O610" s="40">
        <v>0</v>
      </c>
      <c r="P610" s="40">
        <v>0</v>
      </c>
      <c r="Q610" s="40">
        <v>0</v>
      </c>
      <c r="R610" s="40">
        <v>0</v>
      </c>
      <c r="S610" s="40">
        <v>0</v>
      </c>
      <c r="T610" s="29">
        <f t="array" aca="1" ref="T610" ca="1">+fair_value_gap(OFFSET(S609,0,0,-1*$I$5,-1*$Z$1),OFFSET(E609,0,0,-1*$I$5,1),F610:S610,0)</f>
        <v>16.785318084912923</v>
      </c>
      <c r="U610" s="9" cm="1">
        <f t="array" aca="1" ref="U610" ca="1">z_score_diff(OFFSET(T610,0,0,$I$5*-1,1),OFFSET(E610,0,0,$I$5*-1,1))</f>
        <v>-5.2560512858678743E-2</v>
      </c>
      <c r="V610" s="9">
        <f t="shared" ca="1" si="79"/>
        <v>7.6325441786441267E-2</v>
      </c>
      <c r="W610" s="17">
        <f t="shared" ca="1" si="76"/>
        <v>1.5264751601264706E-2</v>
      </c>
      <c r="X610" s="13">
        <f t="shared" ca="1" si="77"/>
        <v>0</v>
      </c>
      <c r="Y610" s="13">
        <f t="shared" ca="1" si="78"/>
        <v>0</v>
      </c>
      <c r="Z610">
        <f t="shared" ca="1" si="80"/>
        <v>0</v>
      </c>
      <c r="AA610">
        <f t="shared" ca="1" si="81"/>
        <v>1</v>
      </c>
      <c r="AB610" s="24">
        <f t="shared" ca="1" si="82"/>
        <v>0</v>
      </c>
      <c r="AC610" s="24">
        <f t="shared" ca="1" si="83"/>
        <v>1.5264751601264706E-2</v>
      </c>
    </row>
    <row r="611" spans="3:29" x14ac:dyDescent="0.25">
      <c r="C611" s="6">
        <v>604</v>
      </c>
      <c r="D611" s="37">
        <v>42865</v>
      </c>
      <c r="E611" s="39">
        <v>16.79</v>
      </c>
      <c r="F611" s="39">
        <v>2.662778391517659</v>
      </c>
      <c r="G611" s="39">
        <v>50.905429755682171</v>
      </c>
      <c r="H611" s="39">
        <v>59.742966927649888</v>
      </c>
      <c r="I611" s="10">
        <v>0</v>
      </c>
      <c r="J611" s="40">
        <v>0</v>
      </c>
      <c r="K611" s="40">
        <v>0</v>
      </c>
      <c r="L611" s="40">
        <v>0</v>
      </c>
      <c r="M611" s="40">
        <v>1</v>
      </c>
      <c r="N611" s="40">
        <v>0</v>
      </c>
      <c r="O611" s="40">
        <v>0</v>
      </c>
      <c r="P611" s="40">
        <v>0</v>
      </c>
      <c r="Q611" s="40">
        <v>0</v>
      </c>
      <c r="R611" s="40">
        <v>0</v>
      </c>
      <c r="S611" s="40">
        <v>0</v>
      </c>
      <c r="T611" s="29">
        <f t="array" aca="1" ref="T611" ca="1">+fair_value_gap(OFFSET(S610,0,0,-1*$I$5,-1*$Z$1),OFFSET(E610,0,0,-1*$I$5,1),F611:S611,0)</f>
        <v>16.786017707890142</v>
      </c>
      <c r="U611" s="9" cm="1">
        <f t="array" aca="1" ref="U611" ca="1">z_score_diff(OFFSET(T611,0,0,$I$5*-1,1),OFFSET(E611,0,0,$I$5*-1,1))</f>
        <v>-0.16973296334427734</v>
      </c>
      <c r="V611" s="9">
        <f t="shared" ca="1" si="79"/>
        <v>7.3982525504094968E-2</v>
      </c>
      <c r="W611" s="17">
        <f t="shared" ca="1" si="76"/>
        <v>1.1664874547724463E-2</v>
      </c>
      <c r="X611" s="13">
        <f t="shared" ca="1" si="77"/>
        <v>0</v>
      </c>
      <c r="Y611" s="13">
        <f t="shared" ca="1" si="78"/>
        <v>0</v>
      </c>
      <c r="Z611">
        <f t="shared" ca="1" si="80"/>
        <v>0</v>
      </c>
      <c r="AA611">
        <f t="shared" ca="1" si="81"/>
        <v>1</v>
      </c>
      <c r="AB611" s="24">
        <f t="shared" ca="1" si="82"/>
        <v>0</v>
      </c>
      <c r="AC611" s="24">
        <f t="shared" ca="1" si="83"/>
        <v>1.1664874547724463E-2</v>
      </c>
    </row>
    <row r="612" spans="3:29" x14ac:dyDescent="0.25">
      <c r="C612" s="6">
        <v>605</v>
      </c>
      <c r="D612" s="37">
        <v>42866</v>
      </c>
      <c r="E612" s="39">
        <v>16.745000000000001</v>
      </c>
      <c r="F612" s="39">
        <v>2.6745722870761135</v>
      </c>
      <c r="G612" s="39">
        <v>50.83348867090826</v>
      </c>
      <c r="H612" s="39">
        <v>58.676385677428918</v>
      </c>
      <c r="I612" s="10">
        <v>0</v>
      </c>
      <c r="J612" s="40">
        <v>0</v>
      </c>
      <c r="K612" s="40">
        <v>0</v>
      </c>
      <c r="L612" s="40">
        <v>0</v>
      </c>
      <c r="M612" s="40">
        <v>1</v>
      </c>
      <c r="N612" s="40">
        <v>0</v>
      </c>
      <c r="O612" s="40">
        <v>0</v>
      </c>
      <c r="P612" s="40">
        <v>0</v>
      </c>
      <c r="Q612" s="40">
        <v>0</v>
      </c>
      <c r="R612" s="40">
        <v>0</v>
      </c>
      <c r="S612" s="40">
        <v>0</v>
      </c>
      <c r="T612" s="29">
        <f t="array" aca="1" ref="T612" ca="1">+fair_value_gap(OFFSET(S611,0,0,-1*$I$5,-1*$Z$1),OFFSET(E611,0,0,-1*$I$5,1),F612:S612,0)</f>
        <v>16.737408198603276</v>
      </c>
      <c r="U612" s="9" cm="1">
        <f t="array" aca="1" ref="U612" ca="1">z_score_diff(OFFSET(T612,0,0,$I$5*-1,1),OFFSET(E612,0,0,$I$5*-1,1))</f>
        <v>-0.17235845438302735</v>
      </c>
      <c r="V612" s="9">
        <f t="shared" ca="1" si="79"/>
        <v>6.9105810508497068E-2</v>
      </c>
      <c r="W612" s="17">
        <f t="shared" ca="1" si="76"/>
        <v>9.3322518761227193E-3</v>
      </c>
      <c r="X612" s="13">
        <f t="shared" ca="1" si="77"/>
        <v>0</v>
      </c>
      <c r="Y612" s="13">
        <f t="shared" ca="1" si="78"/>
        <v>0</v>
      </c>
      <c r="Z612">
        <f t="shared" ca="1" si="80"/>
        <v>0</v>
      </c>
      <c r="AA612">
        <f t="shared" ca="1" si="81"/>
        <v>1</v>
      </c>
      <c r="AB612" s="24">
        <f t="shared" ca="1" si="82"/>
        <v>0</v>
      </c>
      <c r="AC612" s="24">
        <f t="shared" ca="1" si="83"/>
        <v>9.3322518761227193E-3</v>
      </c>
    </row>
    <row r="613" spans="3:29" x14ac:dyDescent="0.25">
      <c r="C613" s="6">
        <v>606</v>
      </c>
      <c r="D613" s="37">
        <v>42867</v>
      </c>
      <c r="E613" s="39">
        <v>16.724</v>
      </c>
      <c r="F613" s="39">
        <v>2.6613705481500416</v>
      </c>
      <c r="G613" s="39">
        <v>50.584736716991152</v>
      </c>
      <c r="H613" s="39">
        <v>58.835901081142964</v>
      </c>
      <c r="I613" s="10">
        <v>0</v>
      </c>
      <c r="J613" s="40">
        <v>0</v>
      </c>
      <c r="K613" s="40">
        <v>0</v>
      </c>
      <c r="L613" s="40">
        <v>0</v>
      </c>
      <c r="M613" s="40">
        <v>1</v>
      </c>
      <c r="N613" s="40">
        <v>0</v>
      </c>
      <c r="O613" s="40">
        <v>0</v>
      </c>
      <c r="P613" s="40">
        <v>0</v>
      </c>
      <c r="Q613" s="40">
        <v>0</v>
      </c>
      <c r="R613" s="40">
        <v>0</v>
      </c>
      <c r="S613" s="40">
        <v>0</v>
      </c>
      <c r="T613" s="29">
        <f t="array" aca="1" ref="T613" ca="1">+fair_value_gap(OFFSET(S612,0,0,-1*$I$5,-1*$Z$1),OFFSET(E612,0,0,-1*$I$5,1),F613:S613,0)</f>
        <v>16.657827404511103</v>
      </c>
      <c r="U613" s="9" cm="1">
        <f t="array" aca="1" ref="U613" ca="1">z_score_diff(OFFSET(T613,0,0,$I$5*-1,1),OFFSET(E613,0,0,$I$5*-1,1))</f>
        <v>-0.25235168164220168</v>
      </c>
      <c r="V613" s="9">
        <f t="shared" ca="1" si="79"/>
        <v>6.119040447100689E-2</v>
      </c>
      <c r="W613" s="17">
        <f t="shared" ca="1" si="76"/>
        <v>5.4853679136224853E-2</v>
      </c>
      <c r="X613" s="13">
        <f t="shared" ca="1" si="77"/>
        <v>0</v>
      </c>
      <c r="Y613" s="13">
        <f t="shared" ca="1" si="78"/>
        <v>0</v>
      </c>
      <c r="Z613">
        <f t="shared" ca="1" si="80"/>
        <v>0</v>
      </c>
      <c r="AA613">
        <f t="shared" ca="1" si="81"/>
        <v>1</v>
      </c>
      <c r="AB613" s="24">
        <f t="shared" ca="1" si="82"/>
        <v>0</v>
      </c>
      <c r="AC613" s="24">
        <f t="shared" ca="1" si="83"/>
        <v>5.4853679136224853E-2</v>
      </c>
    </row>
    <row r="614" spans="3:29" x14ac:dyDescent="0.25">
      <c r="C614" s="6">
        <v>607</v>
      </c>
      <c r="D614" s="37">
        <v>42870</v>
      </c>
      <c r="E614" s="39">
        <v>16.861999999999998</v>
      </c>
      <c r="F614" s="39">
        <v>2.6418398514914907</v>
      </c>
      <c r="G614" s="39">
        <v>51.159625928618041</v>
      </c>
      <c r="H614" s="39">
        <v>58.62410506570582</v>
      </c>
      <c r="I614" s="10">
        <v>0</v>
      </c>
      <c r="J614" s="40">
        <v>0</v>
      </c>
      <c r="K614" s="40">
        <v>0</v>
      </c>
      <c r="L614" s="40">
        <v>0</v>
      </c>
      <c r="M614" s="40">
        <v>1</v>
      </c>
      <c r="N614" s="40">
        <v>0</v>
      </c>
      <c r="O614" s="40">
        <v>0</v>
      </c>
      <c r="P614" s="40">
        <v>0</v>
      </c>
      <c r="Q614" s="40">
        <v>0</v>
      </c>
      <c r="R614" s="40">
        <v>0</v>
      </c>
      <c r="S614" s="40">
        <v>0</v>
      </c>
      <c r="T614" s="29">
        <f t="array" aca="1" ref="T614" ca="1">+fair_value_gap(OFFSET(S613,0,0,-1*$I$5,-1*$Z$1),OFFSET(E613,0,0,-1*$I$5,1),F614:S614,0)</f>
        <v>16.789304684901175</v>
      </c>
      <c r="U614" s="9" cm="1">
        <f t="array" aca="1" ref="U614" ca="1">z_score_diff(OFFSET(T614,0,0,$I$5*-1,1),OFFSET(E614,0,0,$I$5*-1,1))</f>
        <v>-0.26926833947886852</v>
      </c>
      <c r="V614" s="9">
        <f t="shared" ca="1" si="79"/>
        <v>5.2691062118318296E-2</v>
      </c>
      <c r="W614" s="17">
        <f t="shared" ca="1" si="76"/>
        <v>5.9794007707570665E-2</v>
      </c>
      <c r="X614" s="13">
        <f t="shared" ca="1" si="77"/>
        <v>0</v>
      </c>
      <c r="Y614" s="13">
        <f t="shared" ca="1" si="78"/>
        <v>0</v>
      </c>
      <c r="Z614">
        <f t="shared" ca="1" si="80"/>
        <v>0</v>
      </c>
      <c r="AA614">
        <f t="shared" ca="1" si="81"/>
        <v>1</v>
      </c>
      <c r="AB614" s="24">
        <f t="shared" ca="1" si="82"/>
        <v>0</v>
      </c>
      <c r="AC614" s="24">
        <f t="shared" ca="1" si="83"/>
        <v>5.9794007707570665E-2</v>
      </c>
    </row>
    <row r="615" spans="3:29" x14ac:dyDescent="0.25">
      <c r="C615" s="6">
        <v>608</v>
      </c>
      <c r="D615" s="37">
        <v>42871</v>
      </c>
      <c r="E615" s="39">
        <v>16.742000000000001</v>
      </c>
      <c r="F615" s="39">
        <v>2.5995608151886498</v>
      </c>
      <c r="G615" s="39">
        <v>50.614955591018266</v>
      </c>
      <c r="H615" s="39">
        <v>58.487929422230316</v>
      </c>
      <c r="I615" s="10">
        <v>0</v>
      </c>
      <c r="J615" s="40">
        <v>0</v>
      </c>
      <c r="K615" s="40">
        <v>0</v>
      </c>
      <c r="L615" s="40">
        <v>0</v>
      </c>
      <c r="M615" s="40">
        <v>1</v>
      </c>
      <c r="N615" s="40">
        <v>0</v>
      </c>
      <c r="O615" s="40">
        <v>0</v>
      </c>
      <c r="P615" s="40">
        <v>0</v>
      </c>
      <c r="Q615" s="40">
        <v>0</v>
      </c>
      <c r="R615" s="40">
        <v>0</v>
      </c>
      <c r="S615" s="40">
        <v>0</v>
      </c>
      <c r="T615" s="29">
        <f t="array" aca="1" ref="T615" ca="1">+fair_value_gap(OFFSET(S614,0,0,-1*$I$5,-1*$Z$1),OFFSET(E614,0,0,-1*$I$5,1),F615:S615,0)</f>
        <v>16.609334686365084</v>
      </c>
      <c r="U615" s="9" cm="1">
        <f t="array" aca="1" ref="U615" ca="1">z_score_diff(OFFSET(T615,0,0,$I$5*-1,1),OFFSET(E615,0,0,$I$5*-1,1))</f>
        <v>-0.3454365366907336</v>
      </c>
      <c r="V615" s="9">
        <f t="shared" ca="1" si="79"/>
        <v>4.3905312855949126E-2</v>
      </c>
      <c r="W615" s="17">
        <f t="shared" ca="1" si="76"/>
        <v>5.9140811598447668E-2</v>
      </c>
      <c r="X615" s="13">
        <f t="shared" ca="1" si="77"/>
        <v>0</v>
      </c>
      <c r="Y615" s="13">
        <f t="shared" ca="1" si="78"/>
        <v>0</v>
      </c>
      <c r="Z615">
        <f t="shared" ca="1" si="80"/>
        <v>0</v>
      </c>
      <c r="AA615">
        <f t="shared" ca="1" si="81"/>
        <v>1</v>
      </c>
      <c r="AB615" s="24">
        <f t="shared" ca="1" si="82"/>
        <v>0</v>
      </c>
      <c r="AC615" s="24">
        <f t="shared" ca="1" si="83"/>
        <v>5.9140811598447668E-2</v>
      </c>
    </row>
    <row r="616" spans="3:29" x14ac:dyDescent="0.25">
      <c r="C616" s="6">
        <v>609</v>
      </c>
      <c r="D616" s="37">
        <v>42872</v>
      </c>
      <c r="E616" s="39">
        <v>16.911999999999999</v>
      </c>
      <c r="F616" s="39">
        <v>2.5850401672795846</v>
      </c>
      <c r="G616" s="39">
        <v>50.917116717786655</v>
      </c>
      <c r="H616" s="39">
        <v>59.233255515390205</v>
      </c>
      <c r="I616" s="10">
        <v>0</v>
      </c>
      <c r="J616" s="40">
        <v>0</v>
      </c>
      <c r="K616" s="40">
        <v>0</v>
      </c>
      <c r="L616" s="40">
        <v>0</v>
      </c>
      <c r="M616" s="40">
        <v>1</v>
      </c>
      <c r="N616" s="40">
        <v>0</v>
      </c>
      <c r="O616" s="40">
        <v>0</v>
      </c>
      <c r="P616" s="40">
        <v>0</v>
      </c>
      <c r="Q616" s="40">
        <v>0</v>
      </c>
      <c r="R616" s="40">
        <v>0</v>
      </c>
      <c r="S616" s="40">
        <v>0</v>
      </c>
      <c r="T616" s="29">
        <f t="array" aca="1" ref="T616" ca="1">+fair_value_gap(OFFSET(S615,0,0,-1*$I$5,-1*$Z$1),OFFSET(E615,0,0,-1*$I$5,1),F616:S616,0)</f>
        <v>16.702095326669241</v>
      </c>
      <c r="U616" s="9" cm="1">
        <f t="array" aca="1" ref="U616" ca="1">z_score_diff(OFFSET(T616,0,0,$I$5*-1,1),OFFSET(E616,0,0,$I$5*-1,1))</f>
        <v>-0.46430022950938277</v>
      </c>
      <c r="V616" s="9">
        <f t="shared" ca="1" si="79"/>
        <v>3.3027863399612896E-2</v>
      </c>
      <c r="W616" s="17">
        <f t="shared" ca="1" si="76"/>
        <v>4.604955579878018E-2</v>
      </c>
      <c r="X616" s="13">
        <f t="shared" ca="1" si="77"/>
        <v>0</v>
      </c>
      <c r="Y616" s="13">
        <f t="shared" ca="1" si="78"/>
        <v>0</v>
      </c>
      <c r="Z616">
        <f t="shared" ca="1" si="80"/>
        <v>0</v>
      </c>
      <c r="AA616">
        <f t="shared" ca="1" si="81"/>
        <v>1</v>
      </c>
      <c r="AB616" s="24">
        <f t="shared" ca="1" si="82"/>
        <v>0</v>
      </c>
      <c r="AC616" s="24">
        <f t="shared" ca="1" si="83"/>
        <v>4.604955579878018E-2</v>
      </c>
    </row>
    <row r="617" spans="3:29" x14ac:dyDescent="0.25">
      <c r="C617" s="6">
        <v>610</v>
      </c>
      <c r="D617" s="37">
        <v>42873</v>
      </c>
      <c r="E617" s="39">
        <v>17.056000000000001</v>
      </c>
      <c r="F617" s="39">
        <v>2.6009848083609075</v>
      </c>
      <c r="G617" s="39">
        <v>51.188703944846075</v>
      </c>
      <c r="H617" s="39">
        <v>59.300006467502541</v>
      </c>
      <c r="I617" s="10">
        <v>0</v>
      </c>
      <c r="J617" s="40">
        <v>0</v>
      </c>
      <c r="K617" s="40">
        <v>0</v>
      </c>
      <c r="L617" s="40">
        <v>0</v>
      </c>
      <c r="M617" s="40">
        <v>1</v>
      </c>
      <c r="N617" s="40">
        <v>0</v>
      </c>
      <c r="O617" s="40">
        <v>0</v>
      </c>
      <c r="P617" s="40">
        <v>0</v>
      </c>
      <c r="Q617" s="40">
        <v>0</v>
      </c>
      <c r="R617" s="40">
        <v>0</v>
      </c>
      <c r="S617" s="40">
        <v>0</v>
      </c>
      <c r="T617" s="29">
        <f t="array" aca="1" ref="T617" ca="1">+fair_value_gap(OFFSET(S616,0,0,-1*$I$5,-1*$Z$1),OFFSET(E616,0,0,-1*$I$5,1),F617:S617,0)</f>
        <v>16.801314812525916</v>
      </c>
      <c r="U617" s="9" cm="1">
        <f t="array" aca="1" ref="U617" ca="1">z_score_diff(OFFSET(T617,0,0,$I$5*-1,1),OFFSET(E617,0,0,$I$5*-1,1))</f>
        <v>-0.53310984546493856</v>
      </c>
      <c r="V617" s="9">
        <f t="shared" ca="1" si="79"/>
        <v>2.0468911528325088E-2</v>
      </c>
      <c r="W617" s="17">
        <f t="shared" ca="1" si="76"/>
        <v>3.2135217766724511E-2</v>
      </c>
      <c r="X617" s="13">
        <f t="shared" ca="1" si="77"/>
        <v>0</v>
      </c>
      <c r="Y617" s="13">
        <f t="shared" ca="1" si="78"/>
        <v>0</v>
      </c>
      <c r="Z617">
        <f t="shared" ca="1" si="80"/>
        <v>0</v>
      </c>
      <c r="AA617">
        <f t="shared" ca="1" si="81"/>
        <v>1</v>
      </c>
      <c r="AB617" s="24">
        <f t="shared" ca="1" si="82"/>
        <v>0</v>
      </c>
      <c r="AC617" s="24">
        <f t="shared" ca="1" si="83"/>
        <v>3.2135217766724511E-2</v>
      </c>
    </row>
    <row r="618" spans="3:29" x14ac:dyDescent="0.25">
      <c r="C618" s="6">
        <v>611</v>
      </c>
      <c r="D618" s="37">
        <v>42874</v>
      </c>
      <c r="E618" s="39">
        <v>16.959</v>
      </c>
      <c r="F618" s="39">
        <v>2.581332317310773</v>
      </c>
      <c r="G618" s="39">
        <v>51.116213538901413</v>
      </c>
      <c r="H618" s="39">
        <v>58.623347159322151</v>
      </c>
      <c r="I618" s="10">
        <v>0</v>
      </c>
      <c r="J618" s="40">
        <v>0</v>
      </c>
      <c r="K618" s="40">
        <v>0</v>
      </c>
      <c r="L618" s="40">
        <v>0</v>
      </c>
      <c r="M618" s="40">
        <v>1</v>
      </c>
      <c r="N618" s="40">
        <v>0</v>
      </c>
      <c r="O618" s="40">
        <v>0</v>
      </c>
      <c r="P618" s="40">
        <v>0</v>
      </c>
      <c r="Q618" s="40">
        <v>0</v>
      </c>
      <c r="R618" s="40">
        <v>0</v>
      </c>
      <c r="S618" s="40">
        <v>0</v>
      </c>
      <c r="T618" s="29">
        <f t="array" aca="1" ref="T618" ca="1">+fair_value_gap(OFFSET(S617,0,0,-1*$I$5,-1*$Z$1),OFFSET(E617,0,0,-1*$I$5,1),F618:S618,0)</f>
        <v>16.784759680925845</v>
      </c>
      <c r="U618" s="9" cm="1">
        <f t="array" aca="1" ref="U618" ca="1">z_score_diff(OFFSET(T618,0,0,$I$5*-1,1),OFFSET(E618,0,0,$I$5*-1,1))</f>
        <v>-0.40949330535475853</v>
      </c>
      <c r="V618" s="9">
        <f t="shared" ca="1" si="79"/>
        <v>1.1314218362279218E-2</v>
      </c>
      <c r="W618" s="17">
        <f t="shared" ca="1" si="76"/>
        <v>2.7164677447831669E-2</v>
      </c>
      <c r="X618" s="13">
        <f t="shared" ca="1" si="77"/>
        <v>0</v>
      </c>
      <c r="Y618" s="13">
        <f t="shared" ca="1" si="78"/>
        <v>0</v>
      </c>
      <c r="Z618">
        <f t="shared" ca="1" si="80"/>
        <v>0</v>
      </c>
      <c r="AA618">
        <f t="shared" ca="1" si="81"/>
        <v>1</v>
      </c>
      <c r="AB618" s="24">
        <f t="shared" ca="1" si="82"/>
        <v>0</v>
      </c>
      <c r="AC618" s="24">
        <f t="shared" ca="1" si="83"/>
        <v>2.7164677447831669E-2</v>
      </c>
    </row>
    <row r="619" spans="3:29" x14ac:dyDescent="0.25">
      <c r="C619" s="6">
        <v>612</v>
      </c>
      <c r="D619" s="37">
        <v>42877</v>
      </c>
      <c r="E619" s="39">
        <v>17.015999999999998</v>
      </c>
      <c r="F619" s="39">
        <v>2.5860111985678538</v>
      </c>
      <c r="G619" s="39">
        <v>51.273843480447916</v>
      </c>
      <c r="H619" s="39">
        <v>60.463980126728352</v>
      </c>
      <c r="I619" s="10">
        <v>0</v>
      </c>
      <c r="J619" s="40">
        <v>0</v>
      </c>
      <c r="K619" s="40">
        <v>0</v>
      </c>
      <c r="L619" s="40">
        <v>0</v>
      </c>
      <c r="M619" s="40">
        <v>1</v>
      </c>
      <c r="N619" s="40">
        <v>0</v>
      </c>
      <c r="O619" s="40">
        <v>0</v>
      </c>
      <c r="P619" s="40">
        <v>0</v>
      </c>
      <c r="Q619" s="40">
        <v>0</v>
      </c>
      <c r="R619" s="40">
        <v>0</v>
      </c>
      <c r="S619" s="40">
        <v>0</v>
      </c>
      <c r="T619" s="29">
        <f t="array" aca="1" ref="T619" ca="1">+fair_value_gap(OFFSET(S618,0,0,-1*$I$5,-1*$Z$1),OFFSET(E618,0,0,-1*$I$5,1),F619:S619,0)</f>
        <v>16.894761604178672</v>
      </c>
      <c r="U619" s="9" cm="1">
        <f t="array" aca="1" ref="U619" ca="1">z_score_diff(OFFSET(T619,0,0,$I$5*-1,1),OFFSET(E619,0,0,$I$5*-1,1))</f>
        <v>-0.33607420701007734</v>
      </c>
      <c r="V619" s="9">
        <f t="shared" ca="1" si="79"/>
        <v>4.8588461907028684E-3</v>
      </c>
      <c r="W619" s="17">
        <f t="shared" ca="1" si="76"/>
        <v>2.1683744501995852E-2</v>
      </c>
      <c r="X619" s="13">
        <f t="shared" ca="1" si="77"/>
        <v>0</v>
      </c>
      <c r="Y619" s="13">
        <f t="shared" ca="1" si="78"/>
        <v>0</v>
      </c>
      <c r="Z619">
        <f t="shared" ca="1" si="80"/>
        <v>0</v>
      </c>
      <c r="AA619">
        <f t="shared" ca="1" si="81"/>
        <v>1</v>
      </c>
      <c r="AB619" s="24">
        <f t="shared" ca="1" si="82"/>
        <v>0</v>
      </c>
      <c r="AC619" s="24">
        <f t="shared" ca="1" si="83"/>
        <v>2.1683744501995852E-2</v>
      </c>
    </row>
    <row r="620" spans="3:29" x14ac:dyDescent="0.25">
      <c r="C620" s="6">
        <v>613</v>
      </c>
      <c r="D620" s="37">
        <v>42878</v>
      </c>
      <c r="E620" s="39">
        <v>17.175000000000001</v>
      </c>
      <c r="F620" s="39">
        <v>2.5888199404181136</v>
      </c>
      <c r="G620" s="39">
        <v>51.703974700102059</v>
      </c>
      <c r="H620" s="39">
        <v>60.319070973561075</v>
      </c>
      <c r="I620" s="10">
        <v>0</v>
      </c>
      <c r="J620" s="40">
        <v>0</v>
      </c>
      <c r="K620" s="40">
        <v>0</v>
      </c>
      <c r="L620" s="40">
        <v>0</v>
      </c>
      <c r="M620" s="40">
        <v>1</v>
      </c>
      <c r="N620" s="40">
        <v>0</v>
      </c>
      <c r="O620" s="40">
        <v>0</v>
      </c>
      <c r="P620" s="40">
        <v>0</v>
      </c>
      <c r="Q620" s="40">
        <v>0</v>
      </c>
      <c r="R620" s="40">
        <v>0</v>
      </c>
      <c r="S620" s="40">
        <v>0</v>
      </c>
      <c r="T620" s="29">
        <f t="array" aca="1" ref="T620" ca="1">+fair_value_gap(OFFSET(S619,0,0,-1*$I$5,-1*$Z$1),OFFSET(E619,0,0,-1*$I$5,1),F620:S620,0)</f>
        <v>17.015369714461251</v>
      </c>
      <c r="U620" s="9" cm="1">
        <f t="array" aca="1" ref="U620" ca="1">z_score_diff(OFFSET(T620,0,0,$I$5*-1,1),OFFSET(E620,0,0,$I$5*-1,1))</f>
        <v>-0.39918565780513038</v>
      </c>
      <c r="V620" s="9">
        <f t="shared" ca="1" si="79"/>
        <v>-2.578723141376835E-2</v>
      </c>
      <c r="W620" s="17">
        <f t="shared" ca="1" si="76"/>
        <v>8.3493266384931722E-3</v>
      </c>
      <c r="X620" s="13">
        <f t="shared" ca="1" si="77"/>
        <v>0</v>
      </c>
      <c r="Y620" s="13">
        <f t="shared" ca="1" si="78"/>
        <v>0</v>
      </c>
      <c r="Z620">
        <f t="shared" ca="1" si="80"/>
        <v>1</v>
      </c>
      <c r="AA620">
        <f t="shared" ca="1" si="81"/>
        <v>0</v>
      </c>
      <c r="AB620" s="24">
        <f t="shared" ca="1" si="82"/>
        <v>8.3493266384931722E-3</v>
      </c>
      <c r="AC620" s="24">
        <f t="shared" ca="1" si="83"/>
        <v>0</v>
      </c>
    </row>
    <row r="621" spans="3:29" x14ac:dyDescent="0.25">
      <c r="C621" s="6">
        <v>614</v>
      </c>
      <c r="D621" s="37">
        <v>42879</v>
      </c>
      <c r="E621" s="39">
        <v>17.16</v>
      </c>
      <c r="F621" s="39">
        <v>2.5732859027858241</v>
      </c>
      <c r="G621" s="39">
        <v>51.413676197786728</v>
      </c>
      <c r="H621" s="39">
        <v>58.798199391611568</v>
      </c>
      <c r="I621" s="10">
        <v>0</v>
      </c>
      <c r="J621" s="40">
        <v>0</v>
      </c>
      <c r="K621" s="40">
        <v>0</v>
      </c>
      <c r="L621" s="40">
        <v>0</v>
      </c>
      <c r="M621" s="40">
        <v>1</v>
      </c>
      <c r="N621" s="40">
        <v>0</v>
      </c>
      <c r="O621" s="40">
        <v>0</v>
      </c>
      <c r="P621" s="40">
        <v>0</v>
      </c>
      <c r="Q621" s="40">
        <v>0</v>
      </c>
      <c r="R621" s="40">
        <v>0</v>
      </c>
      <c r="S621" s="40">
        <v>0</v>
      </c>
      <c r="T621" s="29">
        <f t="array" aca="1" ref="T621" ca="1">+fair_value_gap(OFFSET(S620,0,0,-1*$I$5,-1*$Z$1),OFFSET(E620,0,0,-1*$I$5,1),F621:S621,0)</f>
        <v>16.894329951478305</v>
      </c>
      <c r="U621" s="9" cm="1">
        <f t="array" aca="1" ref="U621" ca="1">z_score_diff(OFFSET(T621,0,0,$I$5*-1,1),OFFSET(E621,0,0,$I$5*-1,1))</f>
        <v>-0.54625467383138482</v>
      </c>
      <c r="V621" s="9">
        <f t="shared" ca="1" si="79"/>
        <v>-7.2008277154417114E-2</v>
      </c>
      <c r="W621" s="17">
        <f t="shared" ca="1" si="76"/>
        <v>9.8003045982920558E-3</v>
      </c>
      <c r="X621" s="13">
        <f t="shared" ca="1" si="77"/>
        <v>0</v>
      </c>
      <c r="Y621" s="13">
        <f t="shared" ca="1" si="78"/>
        <v>0</v>
      </c>
      <c r="Z621">
        <f t="shared" ca="1" si="80"/>
        <v>1</v>
      </c>
      <c r="AA621">
        <f t="shared" ca="1" si="81"/>
        <v>0</v>
      </c>
      <c r="AB621" s="24">
        <f t="shared" ca="1" si="82"/>
        <v>9.8003045982920558E-3</v>
      </c>
      <c r="AC621" s="24">
        <f t="shared" ca="1" si="83"/>
        <v>0</v>
      </c>
    </row>
    <row r="622" spans="3:29" x14ac:dyDescent="0.25">
      <c r="C622" s="6">
        <v>615</v>
      </c>
      <c r="D622" s="37">
        <v>42880</v>
      </c>
      <c r="E622" s="39">
        <v>17.007999999999999</v>
      </c>
      <c r="F622" s="39">
        <v>2.5801427644386763</v>
      </c>
      <c r="G622" s="39">
        <v>51.066626202792463</v>
      </c>
      <c r="H622" s="39">
        <v>58.187324248323598</v>
      </c>
      <c r="I622" s="10">
        <v>0</v>
      </c>
      <c r="J622" s="40">
        <v>0</v>
      </c>
      <c r="K622" s="40">
        <v>0</v>
      </c>
      <c r="L622" s="40">
        <v>0</v>
      </c>
      <c r="M622" s="40">
        <v>1</v>
      </c>
      <c r="N622" s="40">
        <v>0</v>
      </c>
      <c r="O622" s="40">
        <v>0</v>
      </c>
      <c r="P622" s="40">
        <v>0</v>
      </c>
      <c r="Q622" s="40">
        <v>0</v>
      </c>
      <c r="R622" s="40">
        <v>0</v>
      </c>
      <c r="S622" s="40">
        <v>0</v>
      </c>
      <c r="T622" s="29">
        <f t="array" aca="1" ref="T622" ca="1">+fair_value_gap(OFFSET(S621,0,0,-1*$I$5,-1*$Z$1),OFFSET(E621,0,0,-1*$I$5,1),F622:S622,0)</f>
        <v>16.807486507118803</v>
      </c>
      <c r="U622" s="9" cm="1">
        <f t="array" aca="1" ref="U622" ca="1">z_score_diff(OFFSET(T622,0,0,$I$5*-1,1),OFFSET(E622,0,0,$I$5*-1,1))</f>
        <v>-0.44196840425301964</v>
      </c>
      <c r="V622" s="9">
        <f t="shared" ca="1" si="79"/>
        <v>-0.10887516641140274</v>
      </c>
      <c r="W622" s="17">
        <f t="shared" ca="1" si="76"/>
        <v>2.7659548915747088E-2</v>
      </c>
      <c r="X622" s="13">
        <f t="shared" ca="1" si="77"/>
        <v>0</v>
      </c>
      <c r="Y622" s="13">
        <f t="shared" ca="1" si="78"/>
        <v>0</v>
      </c>
      <c r="Z622">
        <f t="shared" ca="1" si="80"/>
        <v>1</v>
      </c>
      <c r="AA622">
        <f t="shared" ca="1" si="81"/>
        <v>0</v>
      </c>
      <c r="AB622" s="24">
        <f t="shared" ca="1" si="82"/>
        <v>2.7659548915747088E-2</v>
      </c>
      <c r="AC622" s="24">
        <f t="shared" ca="1" si="83"/>
        <v>0</v>
      </c>
    </row>
    <row r="623" spans="3:29" x14ac:dyDescent="0.25">
      <c r="C623" s="6">
        <v>616</v>
      </c>
      <c r="D623" s="37">
        <v>42881</v>
      </c>
      <c r="E623" s="39">
        <v>16.922999999999998</v>
      </c>
      <c r="F623" s="39">
        <v>2.5953568095153829</v>
      </c>
      <c r="G623" s="39">
        <v>50.797700307138371</v>
      </c>
      <c r="H623" s="39">
        <v>58.24806475901002</v>
      </c>
      <c r="I623" s="10">
        <v>0</v>
      </c>
      <c r="J623" s="40">
        <v>0</v>
      </c>
      <c r="K623" s="40">
        <v>0</v>
      </c>
      <c r="L623" s="40">
        <v>0</v>
      </c>
      <c r="M623" s="40">
        <v>1</v>
      </c>
      <c r="N623" s="40">
        <v>0</v>
      </c>
      <c r="O623" s="40">
        <v>0</v>
      </c>
      <c r="P623" s="40">
        <v>0</v>
      </c>
      <c r="Q623" s="40">
        <v>0</v>
      </c>
      <c r="R623" s="40">
        <v>0</v>
      </c>
      <c r="S623" s="40">
        <v>0</v>
      </c>
      <c r="T623" s="29">
        <f t="array" aca="1" ref="T623" ca="1">+fair_value_gap(OFFSET(S622,0,0,-1*$I$5,-1*$Z$1),OFFSET(E622,0,0,-1*$I$5,1),F623:S623,0)</f>
        <v>16.760240304704723</v>
      </c>
      <c r="U623" s="9" cm="1">
        <f t="array" aca="1" ref="U623" ca="1">z_score_diff(OFFSET(T623,0,0,$I$5*-1,1),OFFSET(E623,0,0,$I$5*-1,1))</f>
        <v>-0.38222180560149877</v>
      </c>
      <c r="V623" s="9">
        <f t="shared" ca="1" si="79"/>
        <v>-0.14052282457692064</v>
      </c>
      <c r="W623" s="17">
        <f t="shared" ca="1" si="76"/>
        <v>4.0871629877657856E-2</v>
      </c>
      <c r="X623" s="13">
        <f t="shared" ca="1" si="77"/>
        <v>0</v>
      </c>
      <c r="Y623" s="13">
        <f t="shared" ca="1" si="78"/>
        <v>0</v>
      </c>
      <c r="Z623">
        <f t="shared" ca="1" si="80"/>
        <v>1</v>
      </c>
      <c r="AA623">
        <f t="shared" ca="1" si="81"/>
        <v>0</v>
      </c>
      <c r="AB623" s="24">
        <f t="shared" ca="1" si="82"/>
        <v>4.0871629877657856E-2</v>
      </c>
      <c r="AC623" s="24">
        <f t="shared" ca="1" si="83"/>
        <v>0</v>
      </c>
    </row>
    <row r="624" spans="3:29" x14ac:dyDescent="0.25">
      <c r="C624" s="6">
        <v>617</v>
      </c>
      <c r="D624" s="37">
        <v>42884</v>
      </c>
      <c r="E624" s="39">
        <v>16.998000000000001</v>
      </c>
      <c r="F624" s="39">
        <v>2.599196438266913</v>
      </c>
      <c r="G624" s="39">
        <v>51.067158087641793</v>
      </c>
      <c r="H624" s="39">
        <v>57.943316320990341</v>
      </c>
      <c r="I624" s="10">
        <v>0</v>
      </c>
      <c r="J624" s="40">
        <v>0</v>
      </c>
      <c r="K624" s="40">
        <v>0</v>
      </c>
      <c r="L624" s="40">
        <v>0</v>
      </c>
      <c r="M624" s="40">
        <v>1</v>
      </c>
      <c r="N624" s="40">
        <v>0</v>
      </c>
      <c r="O624" s="40">
        <v>0</v>
      </c>
      <c r="P624" s="40">
        <v>0</v>
      </c>
      <c r="Q624" s="40">
        <v>0</v>
      </c>
      <c r="R624" s="40">
        <v>0</v>
      </c>
      <c r="S624" s="40">
        <v>0</v>
      </c>
      <c r="T624" s="29">
        <f t="array" aca="1" ref="T624" ca="1">+fair_value_gap(OFFSET(S623,0,0,-1*$I$5,-1*$Z$1),OFFSET(E623,0,0,-1*$I$5,1),F624:S624,0)</f>
        <v>16.836535799604341</v>
      </c>
      <c r="U624" s="9" cm="1">
        <f t="array" aca="1" ref="U624" ca="1">z_score_diff(OFFSET(T624,0,0,$I$5*-1,1),OFFSET(E624,0,0,$I$5*-1,1))</f>
        <v>-0.38587773190756808</v>
      </c>
      <c r="V624" s="9">
        <f t="shared" ca="1" si="79"/>
        <v>-0.16671384066893022</v>
      </c>
      <c r="W624" s="17">
        <f t="shared" ca="1" si="76"/>
        <v>4.4922295457999945E-2</v>
      </c>
      <c r="X624" s="13">
        <f t="shared" ca="1" si="77"/>
        <v>0</v>
      </c>
      <c r="Y624" s="13">
        <f t="shared" ca="1" si="78"/>
        <v>0</v>
      </c>
      <c r="Z624">
        <f t="shared" ca="1" si="80"/>
        <v>1</v>
      </c>
      <c r="AA624">
        <f t="shared" ca="1" si="81"/>
        <v>0</v>
      </c>
      <c r="AB624" s="24">
        <f t="shared" ca="1" si="82"/>
        <v>4.4922295457999945E-2</v>
      </c>
      <c r="AC624" s="24">
        <f t="shared" ca="1" si="83"/>
        <v>0</v>
      </c>
    </row>
    <row r="625" spans="3:29" x14ac:dyDescent="0.25">
      <c r="C625" s="6">
        <v>618</v>
      </c>
      <c r="D625" s="37">
        <v>42885</v>
      </c>
      <c r="E625" s="39">
        <v>17.154</v>
      </c>
      <c r="F625" s="39">
        <v>2.6916698669075445</v>
      </c>
      <c r="G625" s="39">
        <v>51.675417476698904</v>
      </c>
      <c r="H625" s="39">
        <v>59.554821209838423</v>
      </c>
      <c r="I625" s="10">
        <v>0</v>
      </c>
      <c r="J625" s="40">
        <v>0</v>
      </c>
      <c r="K625" s="40">
        <v>0</v>
      </c>
      <c r="L625" s="40">
        <v>0</v>
      </c>
      <c r="M625" s="40">
        <v>1</v>
      </c>
      <c r="N625" s="40">
        <v>0</v>
      </c>
      <c r="O625" s="40">
        <v>0</v>
      </c>
      <c r="P625" s="40">
        <v>0</v>
      </c>
      <c r="Q625" s="40">
        <v>0</v>
      </c>
      <c r="R625" s="40">
        <v>0</v>
      </c>
      <c r="S625" s="40">
        <v>0</v>
      </c>
      <c r="T625" s="29">
        <f t="array" aca="1" ref="T625" ca="1">+fair_value_gap(OFFSET(S624,0,0,-1*$I$5,-1*$Z$1),OFFSET(E624,0,0,-1*$I$5,1),F625:S625,0)</f>
        <v>17.122825349696004</v>
      </c>
      <c r="U625" s="9" cm="1">
        <f t="array" aca="1" ref="U625" ca="1">z_score_diff(OFFSET(T625,0,0,$I$5*-1,1),OFFSET(E625,0,0,$I$5*-1,1))</f>
        <v>-0.21097621346939616</v>
      </c>
      <c r="V625" s="9">
        <f t="shared" ca="1" si="79"/>
        <v>-0.19155193048732957</v>
      </c>
      <c r="W625" s="17">
        <f t="shared" ca="1" si="76"/>
        <v>2.9014185862757443E-2</v>
      </c>
      <c r="X625" s="13">
        <f t="shared" ca="1" si="77"/>
        <v>0</v>
      </c>
      <c r="Y625" s="13">
        <f t="shared" ca="1" si="78"/>
        <v>0</v>
      </c>
      <c r="Z625">
        <f t="shared" ca="1" si="80"/>
        <v>1</v>
      </c>
      <c r="AA625">
        <f t="shared" ca="1" si="81"/>
        <v>0</v>
      </c>
      <c r="AB625" s="24">
        <f t="shared" ca="1" si="82"/>
        <v>2.9014185862757443E-2</v>
      </c>
      <c r="AC625" s="24">
        <f t="shared" ca="1" si="83"/>
        <v>0</v>
      </c>
    </row>
    <row r="626" spans="3:29" x14ac:dyDescent="0.25">
      <c r="C626" s="6">
        <v>619</v>
      </c>
      <c r="D626" s="37">
        <v>42886</v>
      </c>
      <c r="E626" s="39">
        <v>17.259</v>
      </c>
      <c r="F626" s="39">
        <v>2.6688763443644592</v>
      </c>
      <c r="G626" s="39">
        <v>52.32649650269672</v>
      </c>
      <c r="H626" s="39">
        <v>58.521932777461288</v>
      </c>
      <c r="I626" s="10">
        <v>0</v>
      </c>
      <c r="J626" s="40">
        <v>0</v>
      </c>
      <c r="K626" s="40">
        <v>0</v>
      </c>
      <c r="L626" s="40">
        <v>0</v>
      </c>
      <c r="M626" s="40">
        <v>1</v>
      </c>
      <c r="N626" s="40">
        <v>0</v>
      </c>
      <c r="O626" s="40">
        <v>0</v>
      </c>
      <c r="P626" s="40">
        <v>0</v>
      </c>
      <c r="Q626" s="40">
        <v>0</v>
      </c>
      <c r="R626" s="40">
        <v>0</v>
      </c>
      <c r="S626" s="40">
        <v>0</v>
      </c>
      <c r="T626" s="29">
        <f t="array" aca="1" ref="T626" ca="1">+fair_value_gap(OFFSET(S625,0,0,-1*$I$5,-1*$Z$1),OFFSET(E625,0,0,-1*$I$5,1),F626:S626,0)</f>
        <v>17.255723817413269</v>
      </c>
      <c r="U626" s="9" cm="1">
        <f t="array" aca="1" ref="U626" ca="1">z_score_diff(OFFSET(T626,0,0,$I$5*-1,1),OFFSET(E626,0,0,$I$5*-1,1))</f>
        <v>-0.17744807398726992</v>
      </c>
      <c r="V626" s="9">
        <f t="shared" ca="1" si="79"/>
        <v>-0.20806055216495817</v>
      </c>
      <c r="W626" s="17">
        <f t="shared" ca="1" si="76"/>
        <v>2.7375484404994526E-2</v>
      </c>
      <c r="X626" s="13">
        <f t="shared" ca="1" si="77"/>
        <v>0</v>
      </c>
      <c r="Y626" s="13">
        <f t="shared" ca="1" si="78"/>
        <v>0</v>
      </c>
      <c r="Z626">
        <f t="shared" ca="1" si="80"/>
        <v>1</v>
      </c>
      <c r="AA626">
        <f t="shared" ca="1" si="81"/>
        <v>0</v>
      </c>
      <c r="AB626" s="24">
        <f t="shared" ca="1" si="82"/>
        <v>2.7375484404994526E-2</v>
      </c>
      <c r="AC626" s="24">
        <f t="shared" ca="1" si="83"/>
        <v>0</v>
      </c>
    </row>
    <row r="627" spans="3:29" x14ac:dyDescent="0.25">
      <c r="C627" s="6">
        <v>620</v>
      </c>
      <c r="D627" s="37">
        <v>42887</v>
      </c>
      <c r="E627" s="39">
        <v>17.169</v>
      </c>
      <c r="F627" s="39">
        <v>2.6744929318826025</v>
      </c>
      <c r="G627" s="39">
        <v>52.33646133301842</v>
      </c>
      <c r="H627" s="39">
        <v>59.164073913573752</v>
      </c>
      <c r="I627" s="10">
        <v>0</v>
      </c>
      <c r="J627" s="40">
        <v>0</v>
      </c>
      <c r="K627" s="40">
        <v>0</v>
      </c>
      <c r="L627" s="40">
        <v>0</v>
      </c>
      <c r="M627" s="40">
        <v>0</v>
      </c>
      <c r="N627" s="40">
        <v>1</v>
      </c>
      <c r="O627" s="40">
        <v>0</v>
      </c>
      <c r="P627" s="40">
        <v>0</v>
      </c>
      <c r="Q627" s="40">
        <v>0</v>
      </c>
      <c r="R627" s="40">
        <v>0</v>
      </c>
      <c r="S627" s="40">
        <v>0</v>
      </c>
      <c r="T627" s="29">
        <f t="array" aca="1" ref="T627" ca="1">+fair_value_gap(OFFSET(S626,0,0,-1*$I$5,-1*$Z$1),OFFSET(E626,0,0,-1*$I$5,1),F627:S627,0)</f>
        <v>17.039644430796955</v>
      </c>
      <c r="U627" s="9" cm="1">
        <f t="array" aca="1" ref="U627" ca="1">z_score_diff(OFFSET(T627,0,0,$I$5*-1,1),OFFSET(E627,0,0,$I$5*-1,1))</f>
        <v>-0.34989936523779941</v>
      </c>
      <c r="V627" s="9">
        <f t="shared" ca="1" si="79"/>
        <v>-0.22899143325048393</v>
      </c>
      <c r="W627" s="17">
        <f t="shared" ca="1" si="76"/>
        <v>3.1024019699667331E-2</v>
      </c>
      <c r="X627" s="13">
        <f t="shared" ca="1" si="77"/>
        <v>0</v>
      </c>
      <c r="Y627" s="13">
        <f t="shared" ca="1" si="78"/>
        <v>0</v>
      </c>
      <c r="Z627">
        <f t="shared" ca="1" si="80"/>
        <v>1</v>
      </c>
      <c r="AA627">
        <f t="shared" ca="1" si="81"/>
        <v>0</v>
      </c>
      <c r="AB627" s="24">
        <f t="shared" ca="1" si="82"/>
        <v>3.1024019699667331E-2</v>
      </c>
      <c r="AC627" s="24">
        <f t="shared" ca="1" si="83"/>
        <v>0</v>
      </c>
    </row>
    <row r="628" spans="3:29" x14ac:dyDescent="0.25">
      <c r="C628" s="6">
        <v>621</v>
      </c>
      <c r="D628" s="37">
        <v>42888</v>
      </c>
      <c r="E628" s="39">
        <v>17.154</v>
      </c>
      <c r="F628" s="39">
        <v>2.6683177043696604</v>
      </c>
      <c r="G628" s="39">
        <v>52.217640869082189</v>
      </c>
      <c r="H628" s="39">
        <v>59.377163224854989</v>
      </c>
      <c r="I628" s="10">
        <v>0</v>
      </c>
      <c r="J628" s="40">
        <v>0</v>
      </c>
      <c r="K628" s="40">
        <v>0</v>
      </c>
      <c r="L628" s="40">
        <v>0</v>
      </c>
      <c r="M628" s="40">
        <v>0</v>
      </c>
      <c r="N628" s="40">
        <v>1</v>
      </c>
      <c r="O628" s="40">
        <v>0</v>
      </c>
      <c r="P628" s="40">
        <v>0</v>
      </c>
      <c r="Q628" s="40">
        <v>0</v>
      </c>
      <c r="R628" s="40">
        <v>0</v>
      </c>
      <c r="S628" s="40">
        <v>0</v>
      </c>
      <c r="T628" s="29">
        <f t="array" aca="1" ref="T628" ca="1">+fair_value_gap(OFFSET(S627,0,0,-1*$I$5,-1*$Z$1),OFFSET(E627,0,0,-1*$I$5,1),F628:S628,0)</f>
        <v>17.030821057545023</v>
      </c>
      <c r="U628" s="9" cm="1">
        <f t="array" aca="1" ref="U628" ca="1">z_score_diff(OFFSET(T628,0,0,$I$5*-1,1),OFFSET(E628,0,0,$I$5*-1,1))</f>
        <v>-0.33825331990046303</v>
      </c>
      <c r="V628" s="9">
        <f t="shared" ca="1" si="79"/>
        <v>-0.24265256972464933</v>
      </c>
      <c r="W628" s="17">
        <f t="shared" ca="1" si="76"/>
        <v>2.2936520964644689E-2</v>
      </c>
      <c r="X628" s="13">
        <f t="shared" ca="1" si="77"/>
        <v>0</v>
      </c>
      <c r="Y628" s="13">
        <f t="shared" ca="1" si="78"/>
        <v>0</v>
      </c>
      <c r="Z628">
        <f t="shared" ca="1" si="80"/>
        <v>1</v>
      </c>
      <c r="AA628">
        <f t="shared" ca="1" si="81"/>
        <v>0</v>
      </c>
      <c r="AB628" s="24">
        <f t="shared" ca="1" si="82"/>
        <v>2.2936520964644689E-2</v>
      </c>
      <c r="AC628" s="24">
        <f t="shared" ca="1" si="83"/>
        <v>0</v>
      </c>
    </row>
    <row r="629" spans="3:29" x14ac:dyDescent="0.25">
      <c r="C629" s="6">
        <v>622</v>
      </c>
      <c r="D629" s="37">
        <v>42891</v>
      </c>
      <c r="E629" s="39">
        <v>17.21</v>
      </c>
      <c r="F629" s="39">
        <v>2.6624962841374673</v>
      </c>
      <c r="G629" s="39">
        <v>52.684520424738501</v>
      </c>
      <c r="H629" s="39">
        <v>60.315449802466901</v>
      </c>
      <c r="I629" s="10">
        <v>0</v>
      </c>
      <c r="J629" s="40">
        <v>0</v>
      </c>
      <c r="K629" s="40">
        <v>0</v>
      </c>
      <c r="L629" s="40">
        <v>0</v>
      </c>
      <c r="M629" s="40">
        <v>0</v>
      </c>
      <c r="N629" s="40">
        <v>1</v>
      </c>
      <c r="O629" s="40">
        <v>0</v>
      </c>
      <c r="P629" s="40">
        <v>0</v>
      </c>
      <c r="Q629" s="40">
        <v>0</v>
      </c>
      <c r="R629" s="40">
        <v>0</v>
      </c>
      <c r="S629" s="40">
        <v>0</v>
      </c>
      <c r="T629" s="29">
        <f t="array" aca="1" ref="T629" ca="1">+fair_value_gap(OFFSET(S628,0,0,-1*$I$5,-1*$Z$1),OFFSET(E628,0,0,-1*$I$5,1),F629:S629,0)</f>
        <v>17.199754450862578</v>
      </c>
      <c r="U629" s="9" cm="1">
        <f t="array" aca="1" ref="U629" ca="1">z_score_diff(OFFSET(T629,0,0,$I$5*-1,1),OFFSET(E629,0,0,$I$5*-1,1))</f>
        <v>-0.17894886676613075</v>
      </c>
      <c r="V629" s="9">
        <f t="shared" ca="1" si="79"/>
        <v>-0.2532191232118039</v>
      </c>
      <c r="W629" s="17">
        <f t="shared" ca="1" si="76"/>
        <v>1.1554143556649509E-2</v>
      </c>
      <c r="X629" s="13">
        <f t="shared" ca="1" si="77"/>
        <v>0</v>
      </c>
      <c r="Y629" s="13">
        <f t="shared" ca="1" si="78"/>
        <v>0</v>
      </c>
      <c r="Z629">
        <f t="shared" ca="1" si="80"/>
        <v>1</v>
      </c>
      <c r="AA629">
        <f t="shared" ca="1" si="81"/>
        <v>0</v>
      </c>
      <c r="AB629" s="24">
        <f t="shared" ca="1" si="82"/>
        <v>1.1554143556649509E-2</v>
      </c>
      <c r="AC629" s="24">
        <f t="shared" ca="1" si="83"/>
        <v>0</v>
      </c>
    </row>
    <row r="630" spans="3:29" x14ac:dyDescent="0.25">
      <c r="C630" s="6">
        <v>623</v>
      </c>
      <c r="D630" s="37">
        <v>42892</v>
      </c>
      <c r="E630" s="39">
        <v>17.097000000000001</v>
      </c>
      <c r="F630" s="39">
        <v>2.6695334336701788</v>
      </c>
      <c r="G630" s="39">
        <v>52.464272068116507</v>
      </c>
      <c r="H630" s="39">
        <v>59.944098043431524</v>
      </c>
      <c r="I630" s="10">
        <v>0</v>
      </c>
      <c r="J630" s="40">
        <v>0</v>
      </c>
      <c r="K630" s="40">
        <v>0</v>
      </c>
      <c r="L630" s="40">
        <v>0</v>
      </c>
      <c r="M630" s="40">
        <v>0</v>
      </c>
      <c r="N630" s="40">
        <v>1</v>
      </c>
      <c r="O630" s="40">
        <v>0</v>
      </c>
      <c r="P630" s="40">
        <v>0</v>
      </c>
      <c r="Q630" s="40">
        <v>0</v>
      </c>
      <c r="R630" s="40">
        <v>0</v>
      </c>
      <c r="S630" s="40">
        <v>0</v>
      </c>
      <c r="T630" s="29">
        <f t="array" aca="1" ref="T630" ca="1">+fair_value_gap(OFFSET(S629,0,0,-1*$I$5,-1*$Z$1),OFFSET(E629,0,0,-1*$I$5,1),F630:S630,0)</f>
        <v>17.140640864802652</v>
      </c>
      <c r="U630" s="9" cm="1">
        <f t="array" aca="1" ref="U630" ca="1">z_score_diff(OFFSET(T630,0,0,$I$5*-1,1),OFFSET(E630,0,0,$I$5*-1,1))</f>
        <v>-9.3732760992887521E-2</v>
      </c>
      <c r="V630" s="9">
        <f t="shared" ca="1" si="79"/>
        <v>-0.25178922517591373</v>
      </c>
      <c r="W630" s="17">
        <f t="shared" ca="1" si="76"/>
        <v>2.2669102346082017E-2</v>
      </c>
      <c r="X630" s="13">
        <f t="shared" ca="1" si="77"/>
        <v>0</v>
      </c>
      <c r="Y630" s="13">
        <f t="shared" ca="1" si="78"/>
        <v>0</v>
      </c>
      <c r="Z630">
        <f t="shared" ca="1" si="80"/>
        <v>1</v>
      </c>
      <c r="AA630">
        <f t="shared" ca="1" si="81"/>
        <v>0</v>
      </c>
      <c r="AB630" s="24">
        <f t="shared" ca="1" si="82"/>
        <v>2.2669102346082017E-2</v>
      </c>
      <c r="AC630" s="24">
        <f t="shared" ca="1" si="83"/>
        <v>0</v>
      </c>
    </row>
    <row r="631" spans="3:29" x14ac:dyDescent="0.25">
      <c r="C631" s="6">
        <v>624</v>
      </c>
      <c r="D631" s="37">
        <v>42893</v>
      </c>
      <c r="E631" s="39">
        <v>17.091000000000001</v>
      </c>
      <c r="F631" s="39">
        <v>2.6749254811419907</v>
      </c>
      <c r="G631" s="39">
        <v>52.637146038508831</v>
      </c>
      <c r="H631" s="39">
        <v>60.131980220196766</v>
      </c>
      <c r="I631" s="10">
        <v>0</v>
      </c>
      <c r="J631" s="40">
        <v>0</v>
      </c>
      <c r="K631" s="40">
        <v>0</v>
      </c>
      <c r="L631" s="40">
        <v>0</v>
      </c>
      <c r="M631" s="40">
        <v>0</v>
      </c>
      <c r="N631" s="40">
        <v>1</v>
      </c>
      <c r="O631" s="40">
        <v>0</v>
      </c>
      <c r="P631" s="40">
        <v>0</v>
      </c>
      <c r="Q631" s="40">
        <v>0</v>
      </c>
      <c r="R631" s="40">
        <v>0</v>
      </c>
      <c r="S631" s="40">
        <v>0</v>
      </c>
      <c r="T631" s="29">
        <f t="array" aca="1" ref="T631" ca="1">+fair_value_gap(OFFSET(S630,0,0,-1*$I$5,-1*$Z$1),OFFSET(E630,0,0,-1*$I$5,1),F631:S631,0)</f>
        <v>17.19214012668332</v>
      </c>
      <c r="U631" s="9" cm="1">
        <f t="array" aca="1" ref="U631" ca="1">z_score_diff(OFFSET(T631,0,0,$I$5*-1,1),OFFSET(E631,0,0,$I$5*-1,1))</f>
        <v>-1.0555785646348848E-2</v>
      </c>
      <c r="V631" s="9">
        <f t="shared" ca="1" si="79"/>
        <v>-0.24524462114278434</v>
      </c>
      <c r="W631" s="17">
        <f t="shared" ca="1" si="76"/>
        <v>3.450402652010854E-2</v>
      </c>
      <c r="X631" s="13">
        <f t="shared" ca="1" si="77"/>
        <v>0</v>
      </c>
      <c r="Y631" s="13">
        <f t="shared" ca="1" si="78"/>
        <v>0</v>
      </c>
      <c r="Z631">
        <f t="shared" ca="1" si="80"/>
        <v>1</v>
      </c>
      <c r="AA631">
        <f t="shared" ca="1" si="81"/>
        <v>0</v>
      </c>
      <c r="AB631" s="24">
        <f t="shared" ca="1" si="82"/>
        <v>3.450402652010854E-2</v>
      </c>
      <c r="AC631" s="24">
        <f t="shared" ca="1" si="83"/>
        <v>0</v>
      </c>
    </row>
    <row r="632" spans="3:29" x14ac:dyDescent="0.25">
      <c r="C632" s="6">
        <v>625</v>
      </c>
      <c r="D632" s="37">
        <v>42894</v>
      </c>
      <c r="E632" s="39">
        <v>17.274000000000001</v>
      </c>
      <c r="F632" s="39">
        <v>2.6929306678450762</v>
      </c>
      <c r="G632" s="39">
        <v>52.716422467793137</v>
      </c>
      <c r="H632" s="39">
        <v>61.39951105234438</v>
      </c>
      <c r="I632" s="10">
        <v>0</v>
      </c>
      <c r="J632" s="40">
        <v>0</v>
      </c>
      <c r="K632" s="40">
        <v>0</v>
      </c>
      <c r="L632" s="40">
        <v>0</v>
      </c>
      <c r="M632" s="40">
        <v>0</v>
      </c>
      <c r="N632" s="40">
        <v>1</v>
      </c>
      <c r="O632" s="40">
        <v>0</v>
      </c>
      <c r="P632" s="40">
        <v>0</v>
      </c>
      <c r="Q632" s="40">
        <v>0</v>
      </c>
      <c r="R632" s="40">
        <v>0</v>
      </c>
      <c r="S632" s="40">
        <v>0</v>
      </c>
      <c r="T632" s="29">
        <f t="array" aca="1" ref="T632" ca="1">+fair_value_gap(OFFSET(S631,0,0,-1*$I$5,-1*$Z$1),OFFSET(E631,0,0,-1*$I$5,1),F632:S632,0)</f>
        <v>17.250035699294891</v>
      </c>
      <c r="U632" s="9" cm="1">
        <f t="array" aca="1" ref="U632" ca="1">z_score_diff(OFFSET(T632,0,0,$I$5*-1,1),OFFSET(E632,0,0,$I$5*-1,1))</f>
        <v>-0.20262850576560842</v>
      </c>
      <c r="V632" s="9">
        <f t="shared" ca="1" si="79"/>
        <v>-0.24728858350238336</v>
      </c>
      <c r="W632" s="17">
        <f t="shared" ca="1" si="76"/>
        <v>2.3005306410399551E-2</v>
      </c>
      <c r="X632" s="13">
        <f t="shared" ca="1" si="77"/>
        <v>0</v>
      </c>
      <c r="Y632" s="13">
        <f t="shared" ca="1" si="78"/>
        <v>0</v>
      </c>
      <c r="Z632">
        <f t="shared" ca="1" si="80"/>
        <v>1</v>
      </c>
      <c r="AA632">
        <f t="shared" ca="1" si="81"/>
        <v>0</v>
      </c>
      <c r="AB632" s="24">
        <f t="shared" ca="1" si="82"/>
        <v>2.3005306410399551E-2</v>
      </c>
      <c r="AC632" s="24">
        <f t="shared" ca="1" si="83"/>
        <v>0</v>
      </c>
    </row>
    <row r="633" spans="3:29" x14ac:dyDescent="0.25">
      <c r="C633" s="6">
        <v>626</v>
      </c>
      <c r="D633" s="37">
        <v>42895</v>
      </c>
      <c r="E633" s="39">
        <v>17.088999999999999</v>
      </c>
      <c r="F633" s="39">
        <v>2.6948739375727953</v>
      </c>
      <c r="G633" s="39">
        <v>52.473333085870664</v>
      </c>
      <c r="H633" s="39">
        <v>61.353412107015586</v>
      </c>
      <c r="I633" s="10">
        <v>0</v>
      </c>
      <c r="J633" s="40">
        <v>0</v>
      </c>
      <c r="K633" s="40">
        <v>0</v>
      </c>
      <c r="L633" s="40">
        <v>0</v>
      </c>
      <c r="M633" s="40">
        <v>0</v>
      </c>
      <c r="N633" s="40">
        <v>1</v>
      </c>
      <c r="O633" s="40">
        <v>0</v>
      </c>
      <c r="P633" s="40">
        <v>0</v>
      </c>
      <c r="Q633" s="40">
        <v>0</v>
      </c>
      <c r="R633" s="40">
        <v>0</v>
      </c>
      <c r="S633" s="40">
        <v>0</v>
      </c>
      <c r="T633" s="29">
        <f t="array" aca="1" ref="T633" ca="1">+fair_value_gap(OFFSET(S632,0,0,-1*$I$5,-1*$Z$1),OFFSET(E632,0,0,-1*$I$5,1),F633:S633,0)</f>
        <v>17.186250726405309</v>
      </c>
      <c r="U633" s="9" cm="1">
        <f t="array" aca="1" ref="U633" ca="1">z_score_diff(OFFSET(T633,0,0,$I$5*-1,1),OFFSET(E633,0,0,$I$5*-1,1))</f>
        <v>-1.5597829630739857E-2</v>
      </c>
      <c r="V633" s="9">
        <f t="shared" ca="1" si="79"/>
        <v>-0.24201067744874233</v>
      </c>
      <c r="W633" s="17">
        <f t="shared" ca="1" si="76"/>
        <v>3.0826627835270213E-2</v>
      </c>
      <c r="X633" s="13">
        <f t="shared" ca="1" si="77"/>
        <v>0</v>
      </c>
      <c r="Y633" s="13">
        <f t="shared" ca="1" si="78"/>
        <v>0</v>
      </c>
      <c r="Z633">
        <f t="shared" ca="1" si="80"/>
        <v>1</v>
      </c>
      <c r="AA633">
        <f t="shared" ca="1" si="81"/>
        <v>0</v>
      </c>
      <c r="AB633" s="24">
        <f t="shared" ca="1" si="82"/>
        <v>3.0826627835270213E-2</v>
      </c>
      <c r="AC633" s="24">
        <f t="shared" ca="1" si="83"/>
        <v>0</v>
      </c>
    </row>
    <row r="634" spans="3:29" x14ac:dyDescent="0.25">
      <c r="C634" s="6">
        <v>627</v>
      </c>
      <c r="D634" s="37">
        <v>42898</v>
      </c>
      <c r="E634" s="39">
        <v>16.98</v>
      </c>
      <c r="F634" s="39">
        <v>2.6925874701700576</v>
      </c>
      <c r="G634" s="39">
        <v>52.105434777753459</v>
      </c>
      <c r="H634" s="39">
        <v>60.286972910649865</v>
      </c>
      <c r="I634" s="10">
        <v>0</v>
      </c>
      <c r="J634" s="40">
        <v>0</v>
      </c>
      <c r="K634" s="40">
        <v>0</v>
      </c>
      <c r="L634" s="40">
        <v>0</v>
      </c>
      <c r="M634" s="40">
        <v>0</v>
      </c>
      <c r="N634" s="40">
        <v>1</v>
      </c>
      <c r="O634" s="40">
        <v>0</v>
      </c>
      <c r="P634" s="40">
        <v>0</v>
      </c>
      <c r="Q634" s="40">
        <v>0</v>
      </c>
      <c r="R634" s="40">
        <v>0</v>
      </c>
      <c r="S634" s="40">
        <v>0</v>
      </c>
      <c r="T634" s="29">
        <f t="array" aca="1" ref="T634" ca="1">+fair_value_gap(OFFSET(S633,0,0,-1*$I$5,-1*$Z$1),OFFSET(E633,0,0,-1*$I$5,1),F634:S634,0)</f>
        <v>17.045400075194962</v>
      </c>
      <c r="U634" s="9" cm="1">
        <f t="array" aca="1" ref="U634" ca="1">z_score_diff(OFFSET(T634,0,0,$I$5*-1,1),OFFSET(E634,0,0,$I$5*-1,1))</f>
        <v>-5.497935329886855E-2</v>
      </c>
      <c r="V634" s="9">
        <f t="shared" ca="1" si="79"/>
        <v>-0.2350875236971538</v>
      </c>
      <c r="W634" s="17">
        <f t="shared" ca="1" si="76"/>
        <v>2.1902087052903037E-2</v>
      </c>
      <c r="X634" s="13">
        <f t="shared" ca="1" si="77"/>
        <v>0</v>
      </c>
      <c r="Y634" s="13">
        <f t="shared" ca="1" si="78"/>
        <v>0</v>
      </c>
      <c r="Z634">
        <f t="shared" ca="1" si="80"/>
        <v>1</v>
      </c>
      <c r="AA634">
        <f t="shared" ca="1" si="81"/>
        <v>0</v>
      </c>
      <c r="AB634" s="24">
        <f t="shared" ca="1" si="82"/>
        <v>2.1902087052903037E-2</v>
      </c>
      <c r="AC634" s="24">
        <f t="shared" ca="1" si="83"/>
        <v>0</v>
      </c>
    </row>
    <row r="635" spans="3:29" x14ac:dyDescent="0.25">
      <c r="C635" s="6">
        <v>628</v>
      </c>
      <c r="D635" s="37">
        <v>42899</v>
      </c>
      <c r="E635" s="39">
        <v>16.946000000000002</v>
      </c>
      <c r="F635" s="39">
        <v>2.6779686509970637</v>
      </c>
      <c r="G635" s="39">
        <v>52.19460198523889</v>
      </c>
      <c r="H635" s="39">
        <v>59.990646991348044</v>
      </c>
      <c r="I635" s="10">
        <v>0</v>
      </c>
      <c r="J635" s="40">
        <v>0</v>
      </c>
      <c r="K635" s="40">
        <v>0</v>
      </c>
      <c r="L635" s="40">
        <v>0</v>
      </c>
      <c r="M635" s="40">
        <v>0</v>
      </c>
      <c r="N635" s="40">
        <v>1</v>
      </c>
      <c r="O635" s="40">
        <v>0</v>
      </c>
      <c r="P635" s="40">
        <v>0</v>
      </c>
      <c r="Q635" s="40">
        <v>0</v>
      </c>
      <c r="R635" s="40">
        <v>0</v>
      </c>
      <c r="S635" s="40">
        <v>0</v>
      </c>
      <c r="T635" s="29">
        <f t="array" aca="1" ref="T635" ca="1">+fair_value_gap(OFFSET(S634,0,0,-1*$I$5,-1*$Z$1),OFFSET(E634,0,0,-1*$I$5,1),F635:S635,0)</f>
        <v>17.043075399881413</v>
      </c>
      <c r="U635" s="9" cm="1">
        <f t="array" aca="1" ref="U635" ca="1">z_score_diff(OFFSET(T635,0,0,$I$5*-1,1),OFFSET(E635,0,0,$I$5*-1,1))</f>
        <v>-6.1998806092744552E-3</v>
      </c>
      <c r="V635" s="9">
        <f t="shared" ca="1" si="79"/>
        <v>-0.22969682254127569</v>
      </c>
      <c r="W635" s="17">
        <f t="shared" ca="1" si="76"/>
        <v>1.5110097145217504E-2</v>
      </c>
      <c r="X635" s="13">
        <f t="shared" ca="1" si="77"/>
        <v>0</v>
      </c>
      <c r="Y635" s="13">
        <f t="shared" ca="1" si="78"/>
        <v>0</v>
      </c>
      <c r="Z635">
        <f t="shared" ca="1" si="80"/>
        <v>1</v>
      </c>
      <c r="AA635">
        <f t="shared" ca="1" si="81"/>
        <v>0</v>
      </c>
      <c r="AB635" s="24">
        <f t="shared" ca="1" si="82"/>
        <v>1.5110097145217504E-2</v>
      </c>
      <c r="AC635" s="24">
        <f t="shared" ca="1" si="83"/>
        <v>0</v>
      </c>
    </row>
    <row r="636" spans="3:29" x14ac:dyDescent="0.25">
      <c r="C636" s="6">
        <v>629</v>
      </c>
      <c r="D636" s="37">
        <v>42900</v>
      </c>
      <c r="E636" s="39">
        <v>16.934000000000001</v>
      </c>
      <c r="F636" s="39">
        <v>2.6599400238417763</v>
      </c>
      <c r="G636" s="39">
        <v>52.062038630369642</v>
      </c>
      <c r="H636" s="39">
        <v>59.258657339731478</v>
      </c>
      <c r="I636" s="10">
        <v>0</v>
      </c>
      <c r="J636" s="40">
        <v>0</v>
      </c>
      <c r="K636" s="40">
        <v>0</v>
      </c>
      <c r="L636" s="40">
        <v>0</v>
      </c>
      <c r="M636" s="40">
        <v>0</v>
      </c>
      <c r="N636" s="40">
        <v>1</v>
      </c>
      <c r="O636" s="40">
        <v>0</v>
      </c>
      <c r="P636" s="40">
        <v>0</v>
      </c>
      <c r="Q636" s="40">
        <v>0</v>
      </c>
      <c r="R636" s="40">
        <v>0</v>
      </c>
      <c r="S636" s="40">
        <v>0</v>
      </c>
      <c r="T636" s="29">
        <f t="array" aca="1" ref="T636" ca="1">+fair_value_gap(OFFSET(S635,0,0,-1*$I$5,-1*$Z$1),OFFSET(E635,0,0,-1*$I$5,1),F636:S636,0)</f>
        <v>16.963835622785194</v>
      </c>
      <c r="U636" s="9" cm="1">
        <f t="array" aca="1" ref="U636" ca="1">z_score_diff(OFFSET(T636,0,0,$I$5*-1,1),OFFSET(E636,0,0,$I$5*-1,1))</f>
        <v>-0.10810676365032482</v>
      </c>
      <c r="V636" s="9">
        <f t="shared" ca="1" si="79"/>
        <v>-0.22274251154638455</v>
      </c>
      <c r="W636" s="17">
        <f t="shared" ca="1" si="76"/>
        <v>1.6922264633523861E-2</v>
      </c>
      <c r="X636" s="13">
        <f t="shared" ca="1" si="77"/>
        <v>0</v>
      </c>
      <c r="Y636" s="13">
        <f t="shared" ca="1" si="78"/>
        <v>0</v>
      </c>
      <c r="Z636">
        <f t="shared" ca="1" si="80"/>
        <v>1</v>
      </c>
      <c r="AA636">
        <f t="shared" ca="1" si="81"/>
        <v>0</v>
      </c>
      <c r="AB636" s="24">
        <f t="shared" ca="1" si="82"/>
        <v>1.6922264633523861E-2</v>
      </c>
      <c r="AC636" s="24">
        <f t="shared" ca="1" si="83"/>
        <v>0</v>
      </c>
    </row>
    <row r="637" spans="3:29" x14ac:dyDescent="0.25">
      <c r="C637" s="6">
        <v>630</v>
      </c>
      <c r="D637" s="37">
        <v>42901</v>
      </c>
      <c r="E637" s="39">
        <v>16.864000000000001</v>
      </c>
      <c r="F637" s="39">
        <v>2.6956850771780116</v>
      </c>
      <c r="G637" s="39">
        <v>51.804219828901424</v>
      </c>
      <c r="H637" s="39">
        <v>60.672486006184677</v>
      </c>
      <c r="I637" s="10">
        <v>0</v>
      </c>
      <c r="J637" s="40">
        <v>0</v>
      </c>
      <c r="K637" s="40">
        <v>0</v>
      </c>
      <c r="L637" s="40">
        <v>0</v>
      </c>
      <c r="M637" s="40">
        <v>0</v>
      </c>
      <c r="N637" s="40">
        <v>1</v>
      </c>
      <c r="O637" s="40">
        <v>0</v>
      </c>
      <c r="P637" s="40">
        <v>0</v>
      </c>
      <c r="Q637" s="40">
        <v>0</v>
      </c>
      <c r="R637" s="40">
        <v>0</v>
      </c>
      <c r="S637" s="40">
        <v>0</v>
      </c>
      <c r="T637" s="29">
        <f t="array" aca="1" ref="T637" ca="1">+fair_value_gap(OFFSET(S636,0,0,-1*$I$5,-1*$Z$1),OFFSET(E636,0,0,-1*$I$5,1),F637:S637,0)</f>
        <v>16.954717732231558</v>
      </c>
      <c r="U637" s="9" cm="1">
        <f t="array" aca="1" ref="U637" ca="1">z_score_diff(OFFSET(T637,0,0,$I$5*-1,1),OFFSET(E637,0,0,$I$5*-1,1))</f>
        <v>-1.2030987118988867E-2</v>
      </c>
      <c r="V637" s="9">
        <f t="shared" ca="1" si="79"/>
        <v>-0.21799012197363682</v>
      </c>
      <c r="W637" s="17">
        <f t="shared" ca="1" si="76"/>
        <v>2.2341074029852508E-2</v>
      </c>
      <c r="X637" s="13">
        <f t="shared" ca="1" si="77"/>
        <v>0</v>
      </c>
      <c r="Y637" s="13">
        <f t="shared" ca="1" si="78"/>
        <v>0</v>
      </c>
      <c r="Z637">
        <f t="shared" ca="1" si="80"/>
        <v>1</v>
      </c>
      <c r="AA637">
        <f t="shared" ca="1" si="81"/>
        <v>0</v>
      </c>
      <c r="AB637" s="24">
        <f t="shared" ca="1" si="82"/>
        <v>2.2341074029852508E-2</v>
      </c>
      <c r="AC637" s="24">
        <f t="shared" ca="1" si="83"/>
        <v>0</v>
      </c>
    </row>
    <row r="638" spans="3:29" x14ac:dyDescent="0.25">
      <c r="C638" s="6">
        <v>631</v>
      </c>
      <c r="D638" s="37">
        <v>42902</v>
      </c>
      <c r="E638" s="39">
        <v>16.858000000000001</v>
      </c>
      <c r="F638" s="39">
        <v>2.6714945296731667</v>
      </c>
      <c r="G638" s="39">
        <v>51.606939543901973</v>
      </c>
      <c r="H638" s="39">
        <v>60.203913687511374</v>
      </c>
      <c r="I638" s="10">
        <v>0</v>
      </c>
      <c r="J638" s="40">
        <v>0</v>
      </c>
      <c r="K638" s="40">
        <v>0</v>
      </c>
      <c r="L638" s="40">
        <v>0</v>
      </c>
      <c r="M638" s="40">
        <v>0</v>
      </c>
      <c r="N638" s="40">
        <v>1</v>
      </c>
      <c r="O638" s="40">
        <v>0</v>
      </c>
      <c r="P638" s="40">
        <v>0</v>
      </c>
      <c r="Q638" s="40">
        <v>0</v>
      </c>
      <c r="R638" s="40">
        <v>0</v>
      </c>
      <c r="S638" s="40">
        <v>0</v>
      </c>
      <c r="T638" s="29">
        <f t="array" aca="1" ref="T638" ca="1">+fair_value_gap(OFFSET(S637,0,0,-1*$I$5,-1*$Z$1),OFFSET(E637,0,0,-1*$I$5,1),F638:S638,0)</f>
        <v>16.861158743833101</v>
      </c>
      <c r="U638" s="9" cm="1">
        <f t="array" aca="1" ref="U638" ca="1">z_score_diff(OFFSET(T638,0,0,$I$5*-1,1),OFFSET(E638,0,0,$I$5*-1,1))</f>
        <v>-0.14339367979646395</v>
      </c>
      <c r="V638" s="9">
        <f t="shared" ca="1" si="79"/>
        <v>-0.21602918819572858</v>
      </c>
      <c r="W638" s="17">
        <f t="shared" ca="1" si="76"/>
        <v>2.5187297629294361E-2</v>
      </c>
      <c r="X638" s="13">
        <f t="shared" ca="1" si="77"/>
        <v>0</v>
      </c>
      <c r="Y638" s="13">
        <f t="shared" ca="1" si="78"/>
        <v>0</v>
      </c>
      <c r="Z638">
        <f t="shared" ca="1" si="80"/>
        <v>1</v>
      </c>
      <c r="AA638">
        <f t="shared" ca="1" si="81"/>
        <v>0</v>
      </c>
      <c r="AB638" s="24">
        <f t="shared" ca="1" si="82"/>
        <v>2.5187297629294361E-2</v>
      </c>
      <c r="AC638" s="24">
        <f t="shared" ca="1" si="83"/>
        <v>0</v>
      </c>
    </row>
    <row r="639" spans="3:29" x14ac:dyDescent="0.25">
      <c r="C639" s="6">
        <v>632</v>
      </c>
      <c r="D639" s="37">
        <v>42905</v>
      </c>
      <c r="E639" s="39">
        <v>16.88</v>
      </c>
      <c r="F639" s="39">
        <v>2.6325607850197117</v>
      </c>
      <c r="G639" s="39">
        <v>51.864727586101871</v>
      </c>
      <c r="H639" s="39">
        <v>60.617603804385169</v>
      </c>
      <c r="I639" s="10">
        <v>0</v>
      </c>
      <c r="J639" s="40">
        <v>0</v>
      </c>
      <c r="K639" s="40">
        <v>0</v>
      </c>
      <c r="L639" s="40">
        <v>0</v>
      </c>
      <c r="M639" s="40">
        <v>0</v>
      </c>
      <c r="N639" s="40">
        <v>1</v>
      </c>
      <c r="O639" s="40">
        <v>0</v>
      </c>
      <c r="P639" s="40">
        <v>0</v>
      </c>
      <c r="Q639" s="40">
        <v>0</v>
      </c>
      <c r="R639" s="40">
        <v>0</v>
      </c>
      <c r="S639" s="40">
        <v>0</v>
      </c>
      <c r="T639" s="29">
        <f t="array" aca="1" ref="T639" ca="1">+fair_value_gap(OFFSET(S638,0,0,-1*$I$5,-1*$Z$1),OFFSET(E638,0,0,-1*$I$5,1),F639:S639,0)</f>
        <v>16.908810736970711</v>
      </c>
      <c r="U639" s="9" cm="1">
        <f t="array" aca="1" ref="U639" ca="1">z_score_diff(OFFSET(T639,0,0,$I$5*-1,1),OFFSET(E639,0,0,$I$5*-1,1))</f>
        <v>-0.10750507409996851</v>
      </c>
      <c r="V639" s="9">
        <f t="shared" ca="1" si="79"/>
        <v>-0.21885582658887062</v>
      </c>
      <c r="W639" s="17">
        <f t="shared" ca="1" si="76"/>
        <v>3.4641798952063083E-2</v>
      </c>
      <c r="X639" s="13">
        <f t="shared" ca="1" si="77"/>
        <v>0</v>
      </c>
      <c r="Y639" s="13">
        <f t="shared" ca="1" si="78"/>
        <v>0</v>
      </c>
      <c r="Z639">
        <f t="shared" ca="1" si="80"/>
        <v>1</v>
      </c>
      <c r="AA639">
        <f t="shared" ca="1" si="81"/>
        <v>0</v>
      </c>
      <c r="AB639" s="24">
        <f t="shared" ca="1" si="82"/>
        <v>3.4641798952063083E-2</v>
      </c>
      <c r="AC639" s="24">
        <f t="shared" ca="1" si="83"/>
        <v>0</v>
      </c>
    </row>
    <row r="640" spans="3:29" x14ac:dyDescent="0.25">
      <c r="C640" s="6">
        <v>633</v>
      </c>
      <c r="D640" s="37">
        <v>42906</v>
      </c>
      <c r="E640" s="39">
        <v>16.872</v>
      </c>
      <c r="F640" s="39">
        <v>2.6468247680110331</v>
      </c>
      <c r="G640" s="39">
        <v>51.747369788720647</v>
      </c>
      <c r="H640" s="39">
        <v>60.33715671814624</v>
      </c>
      <c r="I640" s="10">
        <v>0</v>
      </c>
      <c r="J640" s="40">
        <v>0</v>
      </c>
      <c r="K640" s="40">
        <v>0</v>
      </c>
      <c r="L640" s="40">
        <v>0</v>
      </c>
      <c r="M640" s="40">
        <v>0</v>
      </c>
      <c r="N640" s="40">
        <v>1</v>
      </c>
      <c r="O640" s="40">
        <v>0</v>
      </c>
      <c r="P640" s="40">
        <v>0</v>
      </c>
      <c r="Q640" s="40">
        <v>0</v>
      </c>
      <c r="R640" s="40">
        <v>0</v>
      </c>
      <c r="S640" s="40">
        <v>0</v>
      </c>
      <c r="T640" s="29">
        <f t="array" aca="1" ref="T640" ca="1">+fair_value_gap(OFFSET(S639,0,0,-1*$I$5,-1*$Z$1),OFFSET(E639,0,0,-1*$I$5,1),F640:S640,0)</f>
        <v>16.874985440971336</v>
      </c>
      <c r="U640" s="9" cm="1">
        <f t="array" aca="1" ref="U640" ca="1">z_score_diff(OFFSET(T640,0,0,$I$5*-1,1),OFFSET(E640,0,0,$I$5*-1,1))</f>
        <v>-0.14449341834972609</v>
      </c>
      <c r="V640" s="9">
        <f t="shared" ca="1" si="79"/>
        <v>-0.22509317597427639</v>
      </c>
      <c r="W640" s="17">
        <f t="shared" ca="1" si="76"/>
        <v>2.9261833735288959E-2</v>
      </c>
      <c r="X640" s="13">
        <f t="shared" ca="1" si="77"/>
        <v>0</v>
      </c>
      <c r="Y640" s="13">
        <f t="shared" ca="1" si="78"/>
        <v>0</v>
      </c>
      <c r="Z640">
        <f t="shared" ca="1" si="80"/>
        <v>1</v>
      </c>
      <c r="AA640">
        <f t="shared" ca="1" si="81"/>
        <v>0</v>
      </c>
      <c r="AB640" s="24">
        <f t="shared" ca="1" si="82"/>
        <v>2.9261833735288959E-2</v>
      </c>
      <c r="AC640" s="24">
        <f t="shared" ca="1" si="83"/>
        <v>0</v>
      </c>
    </row>
    <row r="641" spans="3:29" x14ac:dyDescent="0.25">
      <c r="C641" s="6">
        <v>634</v>
      </c>
      <c r="D641" s="37">
        <v>42907</v>
      </c>
      <c r="E641" s="39">
        <v>16.837</v>
      </c>
      <c r="F641" s="39">
        <v>2.6468920937880069</v>
      </c>
      <c r="G641" s="39">
        <v>51.553436559698703</v>
      </c>
      <c r="H641" s="39">
        <v>60.030366771217025</v>
      </c>
      <c r="I641" s="10">
        <v>0</v>
      </c>
      <c r="J641" s="40">
        <v>0</v>
      </c>
      <c r="K641" s="40">
        <v>0</v>
      </c>
      <c r="L641" s="40">
        <v>0</v>
      </c>
      <c r="M641" s="40">
        <v>0</v>
      </c>
      <c r="N641" s="40">
        <v>1</v>
      </c>
      <c r="O641" s="40">
        <v>0</v>
      </c>
      <c r="P641" s="40">
        <v>0</v>
      </c>
      <c r="Q641" s="40">
        <v>0</v>
      </c>
      <c r="R641" s="40">
        <v>0</v>
      </c>
      <c r="S641" s="40">
        <v>0</v>
      </c>
      <c r="T641" s="29">
        <f t="array" aca="1" ref="T641" ca="1">+fair_value_gap(OFFSET(S640,0,0,-1*$I$5,-1*$Z$1),OFFSET(E640,0,0,-1*$I$5,1),F641:S641,0)</f>
        <v>16.82860478967201</v>
      </c>
      <c r="U641" s="9" cm="1">
        <f t="array" aca="1" ref="U641" ca="1">z_score_diff(OFFSET(T641,0,0,$I$5*-1,1),OFFSET(E641,0,0,$I$5*-1,1))</f>
        <v>-0.15600283500629841</v>
      </c>
      <c r="V641" s="9">
        <f t="shared" ca="1" si="79"/>
        <v>-0.22572839650307838</v>
      </c>
      <c r="W641" s="17">
        <f t="shared" ca="1" si="76"/>
        <v>3.9992524275989344E-2</v>
      </c>
      <c r="X641" s="13">
        <f t="shared" ca="1" si="77"/>
        <v>0</v>
      </c>
      <c r="Y641" s="13">
        <f t="shared" ca="1" si="78"/>
        <v>0</v>
      </c>
      <c r="Z641">
        <f t="shared" ca="1" si="80"/>
        <v>1</v>
      </c>
      <c r="AA641">
        <f t="shared" ca="1" si="81"/>
        <v>0</v>
      </c>
      <c r="AB641" s="24">
        <f t="shared" ca="1" si="82"/>
        <v>3.9992524275989344E-2</v>
      </c>
      <c r="AC641" s="24">
        <f t="shared" ca="1" si="83"/>
        <v>0</v>
      </c>
    </row>
    <row r="642" spans="3:29" x14ac:dyDescent="0.25">
      <c r="C642" s="6">
        <v>635</v>
      </c>
      <c r="D642" s="37">
        <v>42908</v>
      </c>
      <c r="E642" s="39">
        <v>16.777000000000001</v>
      </c>
      <c r="F642" s="39">
        <v>2.6491298386612985</v>
      </c>
      <c r="G642" s="39">
        <v>51.389791399420673</v>
      </c>
      <c r="H642" s="39">
        <v>60.511794148613838</v>
      </c>
      <c r="I642" s="10">
        <v>0</v>
      </c>
      <c r="J642" s="40">
        <v>0</v>
      </c>
      <c r="K642" s="40">
        <v>0</v>
      </c>
      <c r="L642" s="40">
        <v>0</v>
      </c>
      <c r="M642" s="40">
        <v>0</v>
      </c>
      <c r="N642" s="40">
        <v>1</v>
      </c>
      <c r="O642" s="40">
        <v>0</v>
      </c>
      <c r="P642" s="40">
        <v>0</v>
      </c>
      <c r="Q642" s="40">
        <v>0</v>
      </c>
      <c r="R642" s="40">
        <v>0</v>
      </c>
      <c r="S642" s="40">
        <v>0</v>
      </c>
      <c r="T642" s="29">
        <f t="array" aca="1" ref="T642" ca="1">+fair_value_gap(OFFSET(S641,0,0,-1*$I$5,-1*$Z$1),OFFSET(E641,0,0,-1*$I$5,1),F642:S642,0)</f>
        <v>16.799417607192165</v>
      </c>
      <c r="U642" s="9" cm="1">
        <f t="array" aca="1" ref="U642" ca="1">z_score_diff(OFFSET(T642,0,0,$I$5*-1,1),OFFSET(E642,0,0,$I$5*-1,1))</f>
        <v>-0.10443420321539737</v>
      </c>
      <c r="V642" s="9">
        <f t="shared" ca="1" si="79"/>
        <v>-0.22344287453955108</v>
      </c>
      <c r="W642" s="17">
        <f t="shared" ca="1" si="76"/>
        <v>5.0500228011649488E-2</v>
      </c>
      <c r="X642" s="13">
        <f t="shared" ca="1" si="77"/>
        <v>0</v>
      </c>
      <c r="Y642" s="13">
        <f t="shared" ca="1" si="78"/>
        <v>0</v>
      </c>
      <c r="Z642">
        <f t="shared" ca="1" si="80"/>
        <v>1</v>
      </c>
      <c r="AA642">
        <f t="shared" ca="1" si="81"/>
        <v>0</v>
      </c>
      <c r="AB642" s="24">
        <f t="shared" ca="1" si="82"/>
        <v>5.0500228011649488E-2</v>
      </c>
      <c r="AC642" s="24">
        <f t="shared" ca="1" si="83"/>
        <v>0</v>
      </c>
    </row>
    <row r="643" spans="3:29" x14ac:dyDescent="0.25">
      <c r="C643" s="6">
        <v>636</v>
      </c>
      <c r="D643" s="37">
        <v>42909</v>
      </c>
      <c r="E643" s="39">
        <v>16.780999999999999</v>
      </c>
      <c r="F643" s="39">
        <v>2.649930264993027</v>
      </c>
      <c r="G643" s="39">
        <v>51.363890736219503</v>
      </c>
      <c r="H643" s="39">
        <v>59.556294775505258</v>
      </c>
      <c r="I643" s="10">
        <v>0</v>
      </c>
      <c r="J643" s="40">
        <v>0</v>
      </c>
      <c r="K643" s="40">
        <v>0</v>
      </c>
      <c r="L643" s="40">
        <v>0</v>
      </c>
      <c r="M643" s="40">
        <v>0</v>
      </c>
      <c r="N643" s="40">
        <v>1</v>
      </c>
      <c r="O643" s="40">
        <v>0</v>
      </c>
      <c r="P643" s="40">
        <v>0</v>
      </c>
      <c r="Q643" s="40">
        <v>0</v>
      </c>
      <c r="R643" s="40">
        <v>0</v>
      </c>
      <c r="S643" s="40">
        <v>0</v>
      </c>
      <c r="T643" s="29">
        <f t="array" aca="1" ref="T643" ca="1">+fair_value_gap(OFFSET(S642,0,0,-1*$I$5,-1*$Z$1),OFFSET(E642,0,0,-1*$I$5,1),F643:S643,0)</f>
        <v>16.767712727365716</v>
      </c>
      <c r="U643" s="9" cm="1">
        <f t="array" aca="1" ref="U643" ca="1">z_score_diff(OFFSET(T643,0,0,$I$5*-1,1),OFFSET(E643,0,0,$I$5*-1,1))</f>
        <v>-0.16009052769559207</v>
      </c>
      <c r="V643" s="9">
        <f t="shared" ca="1" si="79"/>
        <v>-0.22494631386532007</v>
      </c>
      <c r="W643" s="17">
        <f t="shared" ca="1" si="76"/>
        <v>5.5236406938790707E-2</v>
      </c>
      <c r="X643" s="13">
        <f t="shared" ca="1" si="77"/>
        <v>0</v>
      </c>
      <c r="Y643" s="13">
        <f t="shared" ca="1" si="78"/>
        <v>0</v>
      </c>
      <c r="Z643">
        <f t="shared" ca="1" si="80"/>
        <v>1</v>
      </c>
      <c r="AA643">
        <f t="shared" ca="1" si="81"/>
        <v>0</v>
      </c>
      <c r="AB643" s="24">
        <f t="shared" ca="1" si="82"/>
        <v>5.5236406938790707E-2</v>
      </c>
      <c r="AC643" s="24">
        <f t="shared" ca="1" si="83"/>
        <v>0</v>
      </c>
    </row>
    <row r="644" spans="3:29" x14ac:dyDescent="0.25">
      <c r="C644" s="6">
        <v>637</v>
      </c>
      <c r="D644" s="37">
        <v>42912</v>
      </c>
      <c r="E644" s="39">
        <v>16.84</v>
      </c>
      <c r="F644" s="39">
        <v>2.6594845558322722</v>
      </c>
      <c r="G644" s="39">
        <v>51.453990546563958</v>
      </c>
      <c r="H644" s="39">
        <v>59.552343215670504</v>
      </c>
      <c r="I644" s="10">
        <v>0</v>
      </c>
      <c r="J644" s="40">
        <v>0</v>
      </c>
      <c r="K644" s="40">
        <v>0</v>
      </c>
      <c r="L644" s="40">
        <v>0</v>
      </c>
      <c r="M644" s="40">
        <v>0</v>
      </c>
      <c r="N644" s="40">
        <v>1</v>
      </c>
      <c r="O644" s="40">
        <v>0</v>
      </c>
      <c r="P644" s="40">
        <v>0</v>
      </c>
      <c r="Q644" s="40">
        <v>0</v>
      </c>
      <c r="R644" s="40">
        <v>0</v>
      </c>
      <c r="S644" s="40">
        <v>0</v>
      </c>
      <c r="T644" s="29">
        <f t="array" aca="1" ref="T644" ca="1">+fair_value_gap(OFFSET(S643,0,0,-1*$I$5,-1*$Z$1),OFFSET(E643,0,0,-1*$I$5,1),F644:S644,0)</f>
        <v>16.800413897420864</v>
      </c>
      <c r="U644" s="9" cm="1">
        <f t="array" aca="1" ref="U644" ca="1">z_score_diff(OFFSET(T644,0,0,$I$5*-1,1),OFFSET(E644,0,0,$I$5*-1,1))</f>
        <v>-0.20415122077373357</v>
      </c>
      <c r="V644" s="9">
        <f t="shared" ca="1" si="79"/>
        <v>-0.22684637183276657</v>
      </c>
      <c r="W644" s="17">
        <f t="shared" ca="1" si="76"/>
        <v>4.3004883442850091E-2</v>
      </c>
      <c r="X644" s="13">
        <f t="shared" ca="1" si="77"/>
        <v>0</v>
      </c>
      <c r="Y644" s="13">
        <f t="shared" ca="1" si="78"/>
        <v>0</v>
      </c>
      <c r="Z644">
        <f t="shared" ca="1" si="80"/>
        <v>1</v>
      </c>
      <c r="AA644">
        <f t="shared" ca="1" si="81"/>
        <v>0</v>
      </c>
      <c r="AB644" s="24">
        <f t="shared" ca="1" si="82"/>
        <v>4.3004883442850091E-2</v>
      </c>
      <c r="AC644" s="24">
        <f t="shared" ca="1" si="83"/>
        <v>0</v>
      </c>
    </row>
    <row r="645" spans="3:29" x14ac:dyDescent="0.25">
      <c r="C645" s="6">
        <v>638</v>
      </c>
      <c r="D645" s="37">
        <v>42913</v>
      </c>
      <c r="E645" s="39">
        <v>16.965</v>
      </c>
      <c r="F645" s="39">
        <v>2.6195277150651926</v>
      </c>
      <c r="G645" s="39">
        <v>51.634228348943381</v>
      </c>
      <c r="H645" s="39">
        <v>59.927471077830418</v>
      </c>
      <c r="I645" s="10">
        <v>0</v>
      </c>
      <c r="J645" s="40">
        <v>0</v>
      </c>
      <c r="K645" s="40">
        <v>0</v>
      </c>
      <c r="L645" s="40">
        <v>0</v>
      </c>
      <c r="M645" s="40">
        <v>0</v>
      </c>
      <c r="N645" s="40">
        <v>1</v>
      </c>
      <c r="O645" s="40">
        <v>0</v>
      </c>
      <c r="P645" s="40">
        <v>0</v>
      </c>
      <c r="Q645" s="40">
        <v>0</v>
      </c>
      <c r="R645" s="40">
        <v>0</v>
      </c>
      <c r="S645" s="40">
        <v>0</v>
      </c>
      <c r="T645" s="29">
        <f t="array" aca="1" ref="T645" ca="1">+fair_value_gap(OFFSET(S644,0,0,-1*$I$5,-1*$Z$1),OFFSET(E644,0,0,-1*$I$5,1),F645:S645,0)</f>
        <v>16.827048129386096</v>
      </c>
      <c r="U645" s="9" cm="1">
        <f t="array" aca="1" ref="U645" ca="1">z_score_diff(OFFSET(T645,0,0,$I$5*-1,1),OFFSET(E645,0,0,$I$5*-1,1))</f>
        <v>-0.37011492993966877</v>
      </c>
      <c r="V645" s="9">
        <f t="shared" ca="1" si="79"/>
        <v>-0.23591935517793766</v>
      </c>
      <c r="W645" s="17">
        <f t="shared" ca="1" si="76"/>
        <v>2.1055865231755063E-2</v>
      </c>
      <c r="X645" s="13">
        <f t="shared" ca="1" si="77"/>
        <v>0</v>
      </c>
      <c r="Y645" s="13">
        <f t="shared" ca="1" si="78"/>
        <v>0</v>
      </c>
      <c r="Z645">
        <f t="shared" ca="1" si="80"/>
        <v>1</v>
      </c>
      <c r="AA645">
        <f t="shared" ca="1" si="81"/>
        <v>0</v>
      </c>
      <c r="AB645" s="24">
        <f t="shared" ca="1" si="82"/>
        <v>2.1055865231755063E-2</v>
      </c>
      <c r="AC645" s="24">
        <f t="shared" ca="1" si="83"/>
        <v>0</v>
      </c>
    </row>
    <row r="646" spans="3:29" x14ac:dyDescent="0.25">
      <c r="C646" s="6">
        <v>639</v>
      </c>
      <c r="D646" s="37">
        <v>42914</v>
      </c>
      <c r="E646" s="39">
        <v>16.986999999999998</v>
      </c>
      <c r="F646" s="39">
        <v>2.6058798466126971</v>
      </c>
      <c r="G646" s="39">
        <v>52.029311340483623</v>
      </c>
      <c r="H646" s="39">
        <v>60.715807413719645</v>
      </c>
      <c r="I646" s="10">
        <v>0</v>
      </c>
      <c r="J646" s="40">
        <v>0</v>
      </c>
      <c r="K646" s="40">
        <v>0</v>
      </c>
      <c r="L646" s="40">
        <v>0</v>
      </c>
      <c r="M646" s="40">
        <v>0</v>
      </c>
      <c r="N646" s="40">
        <v>1</v>
      </c>
      <c r="O646" s="40">
        <v>0</v>
      </c>
      <c r="P646" s="40">
        <v>0</v>
      </c>
      <c r="Q646" s="40">
        <v>0</v>
      </c>
      <c r="R646" s="40">
        <v>0</v>
      </c>
      <c r="S646" s="40">
        <v>0</v>
      </c>
      <c r="T646" s="29">
        <f t="array" aca="1" ref="T646" ca="1">+fair_value_gap(OFFSET(S645,0,0,-1*$I$5,-1*$Z$1),OFFSET(E645,0,0,-1*$I$5,1),F646:S646,0)</f>
        <v>16.948906512551698</v>
      </c>
      <c r="U646" s="9" cm="1">
        <f t="array" aca="1" ref="U646" ca="1">z_score_diff(OFFSET(T646,0,0,$I$5*-1,1),OFFSET(E646,0,0,$I$5*-1,1))</f>
        <v>-0.20868371603096475</v>
      </c>
      <c r="V646" s="9">
        <f t="shared" ca="1" si="79"/>
        <v>-0.23703223382612876</v>
      </c>
      <c r="W646" s="17">
        <f t="shared" ca="1" si="76"/>
        <v>3.1807565128431241E-2</v>
      </c>
      <c r="X646" s="13">
        <f t="shared" ca="1" si="77"/>
        <v>0</v>
      </c>
      <c r="Y646" s="13">
        <f t="shared" ca="1" si="78"/>
        <v>0</v>
      </c>
      <c r="Z646">
        <f t="shared" ca="1" si="80"/>
        <v>1</v>
      </c>
      <c r="AA646">
        <f t="shared" ca="1" si="81"/>
        <v>0</v>
      </c>
      <c r="AB646" s="24">
        <f t="shared" ca="1" si="82"/>
        <v>3.1807565128431241E-2</v>
      </c>
      <c r="AC646" s="24">
        <f t="shared" ca="1" si="83"/>
        <v>0</v>
      </c>
    </row>
    <row r="647" spans="3:29" x14ac:dyDescent="0.25">
      <c r="C647" s="6">
        <v>640</v>
      </c>
      <c r="D647" s="37">
        <v>42915</v>
      </c>
      <c r="E647" s="39">
        <v>16.902000000000001</v>
      </c>
      <c r="F647" s="39">
        <v>2.6554984763324776</v>
      </c>
      <c r="G647" s="39">
        <v>51.852723472686833</v>
      </c>
      <c r="H647" s="39">
        <v>59.623616380125576</v>
      </c>
      <c r="I647" s="10">
        <v>0</v>
      </c>
      <c r="J647" s="40">
        <v>0</v>
      </c>
      <c r="K647" s="40">
        <v>0</v>
      </c>
      <c r="L647" s="40">
        <v>0</v>
      </c>
      <c r="M647" s="40">
        <v>0</v>
      </c>
      <c r="N647" s="40">
        <v>1</v>
      </c>
      <c r="O647" s="40">
        <v>0</v>
      </c>
      <c r="P647" s="40">
        <v>0</v>
      </c>
      <c r="Q647" s="40">
        <v>0</v>
      </c>
      <c r="R647" s="40">
        <v>0</v>
      </c>
      <c r="S647" s="40">
        <v>0</v>
      </c>
      <c r="T647" s="29">
        <f t="array" aca="1" ref="T647" ca="1">+fair_value_gap(OFFSET(S646,0,0,-1*$I$5,-1*$Z$1),OFFSET(E646,0,0,-1*$I$5,1),F647:S647,0)</f>
        <v>16.916718845714783</v>
      </c>
      <c r="U647" s="9" cm="1">
        <f t="array" aca="1" ref="U647" ca="1">z_score_diff(OFFSET(T647,0,0,$I$5*-1,1),OFFSET(E647,0,0,$I$5*-1,1))</f>
        <v>-0.11840487164031216</v>
      </c>
      <c r="V647" s="9">
        <f t="shared" ca="1" si="79"/>
        <v>-0.23549070289062263</v>
      </c>
      <c r="W647" s="17">
        <f t="shared" ref="W647:W710" ca="1" si="84">+LN(OFFSET(E647,$W$3,0,1,1)/E647)</f>
        <v>3.5739879847219699E-2</v>
      </c>
      <c r="X647" s="13">
        <f t="shared" ca="1" si="77"/>
        <v>0</v>
      </c>
      <c r="Y647" s="13">
        <f t="shared" ca="1" si="78"/>
        <v>0</v>
      </c>
      <c r="Z647">
        <f t="shared" ca="1" si="80"/>
        <v>1</v>
      </c>
      <c r="AA647">
        <f t="shared" ca="1" si="81"/>
        <v>0</v>
      </c>
      <c r="AB647" s="24">
        <f t="shared" ca="1" si="82"/>
        <v>3.5739879847219699E-2</v>
      </c>
      <c r="AC647" s="24">
        <f t="shared" ca="1" si="83"/>
        <v>0</v>
      </c>
    </row>
    <row r="648" spans="3:29" x14ac:dyDescent="0.25">
      <c r="C648" s="6">
        <v>641</v>
      </c>
      <c r="D648" s="37">
        <v>42916</v>
      </c>
      <c r="E648" s="39">
        <v>17.667000000000002</v>
      </c>
      <c r="F648" s="39">
        <v>2.658057682906958</v>
      </c>
      <c r="G648" s="39">
        <v>54.801819757657917</v>
      </c>
      <c r="H648" s="39">
        <v>59.322551735375598</v>
      </c>
      <c r="I648" s="10">
        <v>0</v>
      </c>
      <c r="J648" s="40">
        <v>0</v>
      </c>
      <c r="K648" s="40">
        <v>0</v>
      </c>
      <c r="L648" s="40">
        <v>0</v>
      </c>
      <c r="M648" s="40">
        <v>0</v>
      </c>
      <c r="N648" s="40">
        <v>1</v>
      </c>
      <c r="O648" s="40">
        <v>0</v>
      </c>
      <c r="P648" s="40">
        <v>0</v>
      </c>
      <c r="Q648" s="40">
        <v>0</v>
      </c>
      <c r="R648" s="40">
        <v>0</v>
      </c>
      <c r="S648" s="40">
        <v>0</v>
      </c>
      <c r="T648" s="29">
        <f t="array" aca="1" ref="T648" ca="1">+fair_value_gap(OFFSET(S647,0,0,-1*$I$5,-1*$Z$1),OFFSET(E647,0,0,-1*$I$5,1),F648:S648,0)</f>
        <v>17.697619724760564</v>
      </c>
      <c r="U648" s="9" cm="1">
        <f t="array" aca="1" ref="U648" ca="1">z_score_diff(OFFSET(T648,0,0,$I$5*-1,1),OFFSET(E648,0,0,$I$5*-1,1))</f>
        <v>-0.11786973598731088</v>
      </c>
      <c r="V648" s="9">
        <f t="shared" ca="1" si="79"/>
        <v>-0.23164836158619717</v>
      </c>
      <c r="W648" s="17">
        <f t="shared" ca="1" si="84"/>
        <v>-1.9432514101833744E-2</v>
      </c>
      <c r="X648" s="13">
        <f t="shared" ca="1" si="77"/>
        <v>0</v>
      </c>
      <c r="Y648" s="13">
        <f t="shared" ca="1" si="78"/>
        <v>0</v>
      </c>
      <c r="Z648">
        <f t="shared" ca="1" si="80"/>
        <v>1</v>
      </c>
      <c r="AA648">
        <f t="shared" ca="1" si="81"/>
        <v>0</v>
      </c>
      <c r="AB648" s="24">
        <f t="shared" ca="1" si="82"/>
        <v>-1.9432514101833744E-2</v>
      </c>
      <c r="AC648" s="24">
        <f t="shared" ca="1" si="83"/>
        <v>0</v>
      </c>
    </row>
    <row r="649" spans="3:29" x14ac:dyDescent="0.25">
      <c r="C649" s="6">
        <v>642</v>
      </c>
      <c r="D649" s="37">
        <v>42919</v>
      </c>
      <c r="E649" s="39">
        <v>17.901</v>
      </c>
      <c r="F649" s="39">
        <v>2.6530969148151149</v>
      </c>
      <c r="G649" s="39">
        <v>55.449998932573479</v>
      </c>
      <c r="H649" s="39">
        <v>60.313167806247151</v>
      </c>
      <c r="I649" s="10">
        <v>0</v>
      </c>
      <c r="J649" s="40">
        <v>0</v>
      </c>
      <c r="K649" s="40">
        <v>0</v>
      </c>
      <c r="L649" s="40">
        <v>0</v>
      </c>
      <c r="M649" s="40">
        <v>0</v>
      </c>
      <c r="N649" s="40">
        <v>0</v>
      </c>
      <c r="O649" s="40">
        <v>1</v>
      </c>
      <c r="P649" s="40">
        <v>0</v>
      </c>
      <c r="Q649" s="40">
        <v>0</v>
      </c>
      <c r="R649" s="40">
        <v>0</v>
      </c>
      <c r="S649" s="40">
        <v>0</v>
      </c>
      <c r="T649" s="29">
        <f t="array" aca="1" ref="T649" ca="1">+fair_value_gap(OFFSET(S648,0,0,-1*$I$5,-1*$Z$1),OFFSET(E648,0,0,-1*$I$5,1),F649:S649,0)</f>
        <v>17.581907560666977</v>
      </c>
      <c r="U649" s="9" cm="1">
        <f t="array" aca="1" ref="U649" ca="1">z_score_diff(OFFSET(T649,0,0,$I$5*-1,1),OFFSET(E649,0,0,$I$5*-1,1))</f>
        <v>-0.69790677246515664</v>
      </c>
      <c r="V649" s="9">
        <f t="shared" ca="1" si="79"/>
        <v>-0.24389517395723392</v>
      </c>
      <c r="W649" s="17">
        <f t="shared" ca="1" si="84"/>
        <v>-3.2706032132087601E-2</v>
      </c>
      <c r="X649" s="13">
        <f t="shared" ref="X649:X712" ca="1" si="85">+X648</f>
        <v>0</v>
      </c>
      <c r="Y649" s="13">
        <f t="shared" ref="Y649:Y712" ca="1" si="86">+Y648</f>
        <v>0</v>
      </c>
      <c r="Z649">
        <f t="shared" ca="1" si="80"/>
        <v>1</v>
      </c>
      <c r="AA649">
        <f t="shared" ca="1" si="81"/>
        <v>0</v>
      </c>
      <c r="AB649" s="24">
        <f t="shared" ca="1" si="82"/>
        <v>-3.2706032132087601E-2</v>
      </c>
      <c r="AC649" s="24">
        <f t="shared" ca="1" si="83"/>
        <v>0</v>
      </c>
    </row>
    <row r="650" spans="3:29" x14ac:dyDescent="0.25">
      <c r="C650" s="6">
        <v>643</v>
      </c>
      <c r="D650" s="37">
        <v>42920</v>
      </c>
      <c r="E650" s="39">
        <v>17.762</v>
      </c>
      <c r="F650" s="39">
        <v>2.6569501458759603</v>
      </c>
      <c r="G650" s="39">
        <v>55.125738381449878</v>
      </c>
      <c r="H650" s="39">
        <v>61.383237292986415</v>
      </c>
      <c r="I650" s="10">
        <v>0</v>
      </c>
      <c r="J650" s="40">
        <v>0</v>
      </c>
      <c r="K650" s="40">
        <v>0</v>
      </c>
      <c r="L650" s="40">
        <v>0</v>
      </c>
      <c r="M650" s="40">
        <v>0</v>
      </c>
      <c r="N650" s="40">
        <v>0</v>
      </c>
      <c r="O650" s="40">
        <v>1</v>
      </c>
      <c r="P650" s="40">
        <v>0</v>
      </c>
      <c r="Q650" s="40">
        <v>0</v>
      </c>
      <c r="R650" s="40">
        <v>0</v>
      </c>
      <c r="S650" s="40">
        <v>0</v>
      </c>
      <c r="T650" s="29">
        <f t="array" aca="1" ref="T650" ca="1">+fair_value_gap(OFFSET(S649,0,0,-1*$I$5,-1*$Z$1),OFFSET(E649,0,0,-1*$I$5,1),F650:S650,0)</f>
        <v>17.577634519822382</v>
      </c>
      <c r="U650" s="9" cm="1">
        <f t="array" aca="1" ref="U650" ca="1">z_score_diff(OFFSET(T650,0,0,$I$5*-1,1),OFFSET(E650,0,0,$I$5*-1,1))</f>
        <v>-0.45902049931347566</v>
      </c>
      <c r="V650" s="9">
        <f t="shared" ca="1" si="79"/>
        <v>-0.24714043003216943</v>
      </c>
      <c r="W650" s="17">
        <f t="shared" ca="1" si="84"/>
        <v>-2.5141705648169269E-2</v>
      </c>
      <c r="X650" s="13">
        <f t="shared" ca="1" si="85"/>
        <v>0</v>
      </c>
      <c r="Y650" s="13">
        <f t="shared" ca="1" si="86"/>
        <v>0</v>
      </c>
      <c r="Z650">
        <f t="shared" ca="1" si="80"/>
        <v>1</v>
      </c>
      <c r="AA650">
        <f t="shared" ca="1" si="81"/>
        <v>0</v>
      </c>
      <c r="AB650" s="24">
        <f t="shared" ca="1" si="82"/>
        <v>-2.5141705648169269E-2</v>
      </c>
      <c r="AC650" s="24">
        <f t="shared" ca="1" si="83"/>
        <v>0</v>
      </c>
    </row>
    <row r="651" spans="3:29" x14ac:dyDescent="0.25">
      <c r="C651" s="6">
        <v>644</v>
      </c>
      <c r="D651" s="37">
        <v>42921</v>
      </c>
      <c r="E651" s="39">
        <v>17.709</v>
      </c>
      <c r="F651" s="39">
        <v>2.6220208771261762</v>
      </c>
      <c r="G651" s="39">
        <v>54.982918310289818</v>
      </c>
      <c r="H651" s="39">
        <v>61.729765358587599</v>
      </c>
      <c r="I651" s="10">
        <v>0</v>
      </c>
      <c r="J651" s="40">
        <v>0</v>
      </c>
      <c r="K651" s="40">
        <v>0</v>
      </c>
      <c r="L651" s="40">
        <v>0</v>
      </c>
      <c r="M651" s="40">
        <v>0</v>
      </c>
      <c r="N651" s="40">
        <v>0</v>
      </c>
      <c r="O651" s="40">
        <v>1</v>
      </c>
      <c r="P651" s="40">
        <v>0</v>
      </c>
      <c r="Q651" s="40">
        <v>0</v>
      </c>
      <c r="R651" s="40">
        <v>0</v>
      </c>
      <c r="S651" s="40">
        <v>0</v>
      </c>
      <c r="T651" s="29">
        <f t="array" aca="1" ref="T651" ca="1">+fair_value_gap(OFFSET(S650,0,0,-1*$I$5,-1*$Z$1),OFFSET(E650,0,0,-1*$I$5,1),F651:S651,0)</f>
        <v>17.561907606399863</v>
      </c>
      <c r="U651" s="9" cm="1">
        <f t="array" aca="1" ref="U651" ca="1">z_score_diff(OFFSET(T651,0,0,$I$5*-1,1),OFFSET(E651,0,0,$I$5*-1,1))</f>
        <v>-0.37538211010122846</v>
      </c>
      <c r="V651" s="9">
        <f t="shared" ref="V651:V714" ca="1" si="87">+IF(ISERROR(AVERAGE(OFFSET(U651,0,0,$V$5*-1,1))),"",AVERAGE(OFFSET(U651,0,0,$V$5*-1,1)))</f>
        <v>-0.24459991233479356</v>
      </c>
      <c r="W651" s="17">
        <f t="shared" ca="1" si="84"/>
        <v>-1.8407700269789468E-2</v>
      </c>
      <c r="X651" s="13">
        <f t="shared" ca="1" si="85"/>
        <v>0</v>
      </c>
      <c r="Y651" s="13">
        <f t="shared" ca="1" si="86"/>
        <v>0</v>
      </c>
      <c r="Z651">
        <f t="shared" ref="Z651:Z714" ca="1" si="88">+IF(V651="","",IF(V651&lt;X651,1,0))</f>
        <v>1</v>
      </c>
      <c r="AA651">
        <f t="shared" ref="AA651:AA714" ca="1" si="89">+IF(V651="","",IF(V651&gt;Y651,1,0))</f>
        <v>0</v>
      </c>
      <c r="AB651" s="24">
        <f t="shared" ref="AB651:AB714" ca="1" si="90">+IF(ISERROR(Z651*W651),"",Z651*W651)</f>
        <v>-1.8407700269789468E-2</v>
      </c>
      <c r="AC651" s="24">
        <f t="shared" ref="AC651:AC714" ca="1" si="91">+IF(ISERROR(AA651*W651),"",AA651*W651)</f>
        <v>0</v>
      </c>
    </row>
    <row r="652" spans="3:29" x14ac:dyDescent="0.25">
      <c r="C652" s="6">
        <v>645</v>
      </c>
      <c r="D652" s="37">
        <v>42922</v>
      </c>
      <c r="E652" s="39">
        <v>17.613</v>
      </c>
      <c r="F652" s="39">
        <v>2.613462897736385</v>
      </c>
      <c r="G652" s="39">
        <v>55.076569318036647</v>
      </c>
      <c r="H652" s="39">
        <v>61.433348635102043</v>
      </c>
      <c r="I652" s="10">
        <v>0</v>
      </c>
      <c r="J652" s="40">
        <v>0</v>
      </c>
      <c r="K652" s="40">
        <v>0</v>
      </c>
      <c r="L652" s="40">
        <v>0</v>
      </c>
      <c r="M652" s="40">
        <v>0</v>
      </c>
      <c r="N652" s="40">
        <v>0</v>
      </c>
      <c r="O652" s="40">
        <v>1</v>
      </c>
      <c r="P652" s="40">
        <v>0</v>
      </c>
      <c r="Q652" s="40">
        <v>0</v>
      </c>
      <c r="R652" s="40">
        <v>0</v>
      </c>
      <c r="S652" s="40">
        <v>0</v>
      </c>
      <c r="T652" s="29">
        <f t="array" aca="1" ref="T652" ca="1">+fair_value_gap(OFFSET(S651,0,0,-1*$I$5,-1*$Z$1),OFFSET(E651,0,0,-1*$I$5,1),F652:S652,0)</f>
        <v>17.622572983888375</v>
      </c>
      <c r="U652" s="9" cm="1">
        <f t="array" aca="1" ref="U652" ca="1">z_score_diff(OFFSET(T652,0,0,$I$5*-1,1),OFFSET(E652,0,0,$I$5*-1,1))</f>
        <v>-0.1096210720662758</v>
      </c>
      <c r="V652" s="9">
        <f t="shared" ca="1" si="87"/>
        <v>-0.23250023309483175</v>
      </c>
      <c r="W652" s="17">
        <f t="shared" ca="1" si="84"/>
        <v>-1.8104189688372133E-2</v>
      </c>
      <c r="X652" s="13">
        <f t="shared" ca="1" si="85"/>
        <v>0</v>
      </c>
      <c r="Y652" s="13">
        <f t="shared" ca="1" si="86"/>
        <v>0</v>
      </c>
      <c r="Z652">
        <f t="shared" ca="1" si="88"/>
        <v>1</v>
      </c>
      <c r="AA652">
        <f t="shared" ca="1" si="89"/>
        <v>0</v>
      </c>
      <c r="AB652" s="24">
        <f t="shared" ca="1" si="90"/>
        <v>-1.8104189688372133E-2</v>
      </c>
      <c r="AC652" s="24">
        <f t="shared" ca="1" si="91"/>
        <v>0</v>
      </c>
    </row>
    <row r="653" spans="3:29" x14ac:dyDescent="0.25">
      <c r="C653" s="6">
        <v>646</v>
      </c>
      <c r="D653" s="37">
        <v>42923</v>
      </c>
      <c r="E653" s="39">
        <v>17.425999999999998</v>
      </c>
      <c r="F653" s="39">
        <v>2.6253123297011411</v>
      </c>
      <c r="G653" s="39">
        <v>54.776025306992345</v>
      </c>
      <c r="H653" s="39">
        <v>61.59452017061129</v>
      </c>
      <c r="I653" s="10">
        <v>0</v>
      </c>
      <c r="J653" s="40">
        <v>0</v>
      </c>
      <c r="K653" s="40">
        <v>0</v>
      </c>
      <c r="L653" s="40">
        <v>0</v>
      </c>
      <c r="M653" s="40">
        <v>0</v>
      </c>
      <c r="N653" s="40">
        <v>0</v>
      </c>
      <c r="O653" s="40">
        <v>1</v>
      </c>
      <c r="P653" s="40">
        <v>0</v>
      </c>
      <c r="Q653" s="40">
        <v>0</v>
      </c>
      <c r="R653" s="40">
        <v>0</v>
      </c>
      <c r="S653" s="40">
        <v>0</v>
      </c>
      <c r="T653" s="29">
        <f t="array" aca="1" ref="T653" ca="1">+fair_value_gap(OFFSET(S652,0,0,-1*$I$5,-1*$Z$1),OFFSET(E652,0,0,-1*$I$5,1),F653:S653,0)</f>
        <v>17.559150518660907</v>
      </c>
      <c r="U653" s="9" cm="1">
        <f t="array" aca="1" ref="U653" ca="1">z_score_diff(OFFSET(T653,0,0,$I$5*-1,1),OFFSET(E653,0,0,$I$5*-1,1))</f>
        <v>9.4912265298705112E-2</v>
      </c>
      <c r="V653" s="9">
        <f t="shared" ca="1" si="87"/>
        <v>-0.21808864536187567</v>
      </c>
      <c r="W653" s="17">
        <f t="shared" ca="1" si="84"/>
        <v>-4.7743770406462639E-3</v>
      </c>
      <c r="X653" s="13">
        <f t="shared" ca="1" si="85"/>
        <v>0</v>
      </c>
      <c r="Y653" s="13">
        <f t="shared" ca="1" si="86"/>
        <v>0</v>
      </c>
      <c r="Z653">
        <f t="shared" ca="1" si="88"/>
        <v>1</v>
      </c>
      <c r="AA653">
        <f t="shared" ca="1" si="89"/>
        <v>0</v>
      </c>
      <c r="AB653" s="24">
        <f t="shared" ca="1" si="90"/>
        <v>-4.7743770406462639E-3</v>
      </c>
      <c r="AC653" s="24">
        <f t="shared" ca="1" si="91"/>
        <v>0</v>
      </c>
    </row>
    <row r="654" spans="3:29" x14ac:dyDescent="0.25">
      <c r="C654" s="6">
        <v>647</v>
      </c>
      <c r="D654" s="37">
        <v>42926</v>
      </c>
      <c r="E654" s="39">
        <v>17.388999999999999</v>
      </c>
      <c r="F654" s="39">
        <v>2.6471043416592828</v>
      </c>
      <c r="G654" s="39">
        <v>54.531806130450249</v>
      </c>
      <c r="H654" s="39">
        <v>60.884250196853401</v>
      </c>
      <c r="I654" s="10">
        <v>0</v>
      </c>
      <c r="J654" s="40">
        <v>0</v>
      </c>
      <c r="K654" s="40">
        <v>0</v>
      </c>
      <c r="L654" s="40">
        <v>0</v>
      </c>
      <c r="M654" s="40">
        <v>0</v>
      </c>
      <c r="N654" s="40">
        <v>0</v>
      </c>
      <c r="O654" s="40">
        <v>1</v>
      </c>
      <c r="P654" s="40">
        <v>0</v>
      </c>
      <c r="Q654" s="40">
        <v>0</v>
      </c>
      <c r="R654" s="40">
        <v>0</v>
      </c>
      <c r="S654" s="40">
        <v>0</v>
      </c>
      <c r="T654" s="29">
        <f t="array" aca="1" ref="T654" ca="1">+fair_value_gap(OFFSET(S653,0,0,-1*$I$5,-1*$Z$1),OFFSET(E653,0,0,-1*$I$5,1),F654:S654,0)</f>
        <v>17.472976709621882</v>
      </c>
      <c r="U654" s="9" cm="1">
        <f t="array" aca="1" ref="U654" ca="1">z_score_diff(OFFSET(T654,0,0,$I$5*-1,1),OFFSET(E654,0,0,$I$5*-1,1))</f>
        <v>6.8193308415855913E-3</v>
      </c>
      <c r="V654" s="9">
        <f t="shared" ca="1" si="87"/>
        <v>-0.20829168713754248</v>
      </c>
      <c r="W654" s="17">
        <f t="shared" ca="1" si="84"/>
        <v>-1.8995544638274254E-3</v>
      </c>
      <c r="X654" s="13">
        <f t="shared" ca="1" si="85"/>
        <v>0</v>
      </c>
      <c r="Y654" s="13">
        <f t="shared" ca="1" si="86"/>
        <v>0</v>
      </c>
      <c r="Z654">
        <f t="shared" ca="1" si="88"/>
        <v>1</v>
      </c>
      <c r="AA654">
        <f t="shared" ca="1" si="89"/>
        <v>0</v>
      </c>
      <c r="AB654" s="24">
        <f t="shared" ca="1" si="90"/>
        <v>-1.8995544638274254E-3</v>
      </c>
      <c r="AC654" s="24">
        <f t="shared" ca="1" si="91"/>
        <v>0</v>
      </c>
    </row>
    <row r="655" spans="3:29" x14ac:dyDescent="0.25">
      <c r="C655" s="6">
        <v>648</v>
      </c>
      <c r="D655" s="37">
        <v>42927</v>
      </c>
      <c r="E655" s="39">
        <v>17.318999999999999</v>
      </c>
      <c r="F655" s="39">
        <v>2.6653948538937429</v>
      </c>
      <c r="G655" s="39">
        <v>53.855831910493315</v>
      </c>
      <c r="H655" s="39">
        <v>61.011497052168011</v>
      </c>
      <c r="I655" s="10">
        <v>0</v>
      </c>
      <c r="J655" s="40">
        <v>0</v>
      </c>
      <c r="K655" s="40">
        <v>0</v>
      </c>
      <c r="L655" s="40">
        <v>0</v>
      </c>
      <c r="M655" s="40">
        <v>0</v>
      </c>
      <c r="N655" s="40">
        <v>0</v>
      </c>
      <c r="O655" s="40">
        <v>1</v>
      </c>
      <c r="P655" s="40">
        <v>0</v>
      </c>
      <c r="Q655" s="40">
        <v>0</v>
      </c>
      <c r="R655" s="40">
        <v>0</v>
      </c>
      <c r="S655" s="40">
        <v>0</v>
      </c>
      <c r="T655" s="29">
        <f t="array" aca="1" ref="T655" ca="1">+fair_value_gap(OFFSET(S654,0,0,-1*$I$5,-1*$Z$1),OFFSET(E654,0,0,-1*$I$5,1),F655:S655,0)</f>
        <v>17.300206529152089</v>
      </c>
      <c r="U655" s="9" cm="1">
        <f t="array" aca="1" ref="U655" ca="1">z_score_diff(OFFSET(T655,0,0,$I$5*-1,1),OFFSET(E655,0,0,$I$5*-1,1))</f>
        <v>-0.17731178908205392</v>
      </c>
      <c r="V655" s="9">
        <f t="shared" ca="1" si="87"/>
        <v>-0.20195243374545457</v>
      </c>
      <c r="W655" s="17">
        <f t="shared" ca="1" si="84"/>
        <v>6.3493898060851424E-4</v>
      </c>
      <c r="X655" s="13">
        <f t="shared" ca="1" si="85"/>
        <v>0</v>
      </c>
      <c r="Y655" s="13">
        <f t="shared" ca="1" si="86"/>
        <v>0</v>
      </c>
      <c r="Z655">
        <f t="shared" ca="1" si="88"/>
        <v>1</v>
      </c>
      <c r="AA655">
        <f t="shared" ca="1" si="89"/>
        <v>0</v>
      </c>
      <c r="AB655" s="24">
        <f t="shared" ca="1" si="90"/>
        <v>6.3493898060851424E-4</v>
      </c>
      <c r="AC655" s="24">
        <f t="shared" ca="1" si="91"/>
        <v>0</v>
      </c>
    </row>
    <row r="656" spans="3:29" x14ac:dyDescent="0.25">
      <c r="C656" s="6">
        <v>649</v>
      </c>
      <c r="D656" s="37">
        <v>42928</v>
      </c>
      <c r="E656" s="39">
        <v>17.329000000000001</v>
      </c>
      <c r="F656" s="39">
        <v>2.6630434320800713</v>
      </c>
      <c r="G656" s="39">
        <v>54.276033672748817</v>
      </c>
      <c r="H656" s="39">
        <v>60.840430675473229</v>
      </c>
      <c r="I656" s="10">
        <v>0</v>
      </c>
      <c r="J656" s="40">
        <v>0</v>
      </c>
      <c r="K656" s="40">
        <v>0</v>
      </c>
      <c r="L656" s="40">
        <v>0</v>
      </c>
      <c r="M656" s="40">
        <v>0</v>
      </c>
      <c r="N656" s="40">
        <v>0</v>
      </c>
      <c r="O656" s="40">
        <v>1</v>
      </c>
      <c r="P656" s="40">
        <v>0</v>
      </c>
      <c r="Q656" s="40">
        <v>0</v>
      </c>
      <c r="R656" s="40">
        <v>0</v>
      </c>
      <c r="S656" s="40">
        <v>0</v>
      </c>
      <c r="T656" s="29">
        <f t="array" aca="1" ref="T656" ca="1">+fair_value_gap(OFFSET(S655,0,0,-1*$I$5,-1*$Z$1),OFFSET(E655,0,0,-1*$I$5,1),F656:S656,0)</f>
        <v>17.410107539223283</v>
      </c>
      <c r="U656" s="9" cm="1">
        <f t="array" aca="1" ref="U656" ca="1">z_score_diff(OFFSET(T656,0,0,$I$5*-1,1),OFFSET(E656,0,0,$I$5*-1,1))</f>
        <v>-5.2546378927920134E-3</v>
      </c>
      <c r="V656" s="9">
        <f t="shared" ca="1" si="87"/>
        <v>-0.18649528986149475</v>
      </c>
      <c r="W656" s="17">
        <f t="shared" ca="1" si="84"/>
        <v>-9.2373426116934413E-4</v>
      </c>
      <c r="X656" s="13">
        <f t="shared" ca="1" si="85"/>
        <v>0</v>
      </c>
      <c r="Y656" s="13">
        <f t="shared" ca="1" si="86"/>
        <v>0</v>
      </c>
      <c r="Z656">
        <f t="shared" ca="1" si="88"/>
        <v>1</v>
      </c>
      <c r="AA656">
        <f t="shared" ca="1" si="89"/>
        <v>0</v>
      </c>
      <c r="AB656" s="24">
        <f t="shared" ca="1" si="90"/>
        <v>-9.2373426116934413E-4</v>
      </c>
      <c r="AC656" s="24">
        <f t="shared" ca="1" si="91"/>
        <v>0</v>
      </c>
    </row>
    <row r="657" spans="3:29" x14ac:dyDescent="0.25">
      <c r="C657" s="6">
        <v>650</v>
      </c>
      <c r="D657" s="37">
        <v>42929</v>
      </c>
      <c r="E657" s="39">
        <v>17.484999999999999</v>
      </c>
      <c r="F657" s="39">
        <v>2.6827421317291904</v>
      </c>
      <c r="G657" s="39">
        <v>54.689311611452716</v>
      </c>
      <c r="H657" s="39">
        <v>60.708420900373525</v>
      </c>
      <c r="I657" s="10">
        <v>0</v>
      </c>
      <c r="J657" s="40">
        <v>0</v>
      </c>
      <c r="K657" s="40">
        <v>0</v>
      </c>
      <c r="L657" s="40">
        <v>0</v>
      </c>
      <c r="M657" s="40">
        <v>0</v>
      </c>
      <c r="N657" s="40">
        <v>0</v>
      </c>
      <c r="O657" s="40">
        <v>1</v>
      </c>
      <c r="P657" s="40">
        <v>0</v>
      </c>
      <c r="Q657" s="40">
        <v>0</v>
      </c>
      <c r="R657" s="40">
        <v>0</v>
      </c>
      <c r="S657" s="40">
        <v>0</v>
      </c>
      <c r="T657" s="29">
        <f t="array" aca="1" ref="T657" ca="1">+fair_value_gap(OFFSET(S656,0,0,-1*$I$5,-1*$Z$1),OFFSET(E656,0,0,-1*$I$5,1),F657:S657,0)</f>
        <v>17.53014974544072</v>
      </c>
      <c r="U657" s="9" cm="1">
        <f t="array" aca="1" ref="U657" ca="1">z_score_diff(OFFSET(T657,0,0,$I$5*-1,1),OFFSET(E657,0,0,$I$5*-1,1))</f>
        <v>-7.7800445828323683E-2</v>
      </c>
      <c r="V657" s="9">
        <f t="shared" ca="1" si="87"/>
        <v>-0.17609049104936056</v>
      </c>
      <c r="W657" s="17">
        <f t="shared" ca="1" si="84"/>
        <v>-4.9413750037100995E-2</v>
      </c>
      <c r="X657" s="13">
        <f t="shared" ca="1" si="85"/>
        <v>0</v>
      </c>
      <c r="Y657" s="13">
        <f t="shared" ca="1" si="86"/>
        <v>0</v>
      </c>
      <c r="Z657">
        <f t="shared" ca="1" si="88"/>
        <v>1</v>
      </c>
      <c r="AA657">
        <f t="shared" ca="1" si="89"/>
        <v>0</v>
      </c>
      <c r="AB657" s="24">
        <f t="shared" ca="1" si="90"/>
        <v>-4.9413750037100995E-2</v>
      </c>
      <c r="AC657" s="24">
        <f t="shared" ca="1" si="91"/>
        <v>0</v>
      </c>
    </row>
    <row r="658" spans="3:29" x14ac:dyDescent="0.25">
      <c r="C658" s="6">
        <v>651</v>
      </c>
      <c r="D658" s="37">
        <v>42930</v>
      </c>
      <c r="E658" s="39">
        <v>17.629000000000001</v>
      </c>
      <c r="F658" s="39">
        <v>2.6786137581188072</v>
      </c>
      <c r="G658" s="39">
        <v>55.097599206125466</v>
      </c>
      <c r="H658" s="39">
        <v>60.404264109284725</v>
      </c>
      <c r="I658" s="10">
        <v>0</v>
      </c>
      <c r="J658" s="40">
        <v>0</v>
      </c>
      <c r="K658" s="40">
        <v>0</v>
      </c>
      <c r="L658" s="40">
        <v>0</v>
      </c>
      <c r="M658" s="40">
        <v>0</v>
      </c>
      <c r="N658" s="40">
        <v>0</v>
      </c>
      <c r="O658" s="40">
        <v>1</v>
      </c>
      <c r="P658" s="40">
        <v>0</v>
      </c>
      <c r="Q658" s="40">
        <v>0</v>
      </c>
      <c r="R658" s="40">
        <v>0</v>
      </c>
      <c r="S658" s="40">
        <v>0</v>
      </c>
      <c r="T658" s="29">
        <f t="array" aca="1" ref="T658" ca="1">+fair_value_gap(OFFSET(S657,0,0,-1*$I$5,-1*$Z$1),OFFSET(E657,0,0,-1*$I$5,1),F658:S658,0)</f>
        <v>17.630806672821546</v>
      </c>
      <c r="U658" s="9" cm="1">
        <f t="array" aca="1" ref="U658" ca="1">z_score_diff(OFFSET(T658,0,0,$I$5*-1,1),OFFSET(E658,0,0,$I$5*-1,1))</f>
        <v>-0.15958120753686145</v>
      </c>
      <c r="V658" s="9">
        <f t="shared" ca="1" si="87"/>
        <v>-0.16972933110465668</v>
      </c>
      <c r="W658" s="17">
        <f t="shared" ca="1" si="84"/>
        <v>-5.5694653315184778E-2</v>
      </c>
      <c r="X658" s="13">
        <f t="shared" ca="1" si="85"/>
        <v>0</v>
      </c>
      <c r="Y658" s="13">
        <f t="shared" ca="1" si="86"/>
        <v>0</v>
      </c>
      <c r="Z658">
        <f t="shared" ca="1" si="88"/>
        <v>1</v>
      </c>
      <c r="AA658">
        <f t="shared" ca="1" si="89"/>
        <v>0</v>
      </c>
      <c r="AB658" s="24">
        <f t="shared" ca="1" si="90"/>
        <v>-5.5694653315184778E-2</v>
      </c>
      <c r="AC658" s="24">
        <f t="shared" ca="1" si="91"/>
        <v>0</v>
      </c>
    </row>
    <row r="659" spans="3:29" x14ac:dyDescent="0.25">
      <c r="C659" s="6">
        <v>652</v>
      </c>
      <c r="D659" s="37">
        <v>42933</v>
      </c>
      <c r="E659" s="39">
        <v>17.779</v>
      </c>
      <c r="F659" s="39">
        <v>2.6719040378442305</v>
      </c>
      <c r="G659" s="39">
        <v>55.328016095422861</v>
      </c>
      <c r="H659" s="39">
        <v>60.778847778340939</v>
      </c>
      <c r="I659" s="10">
        <v>0</v>
      </c>
      <c r="J659" s="40">
        <v>0</v>
      </c>
      <c r="K659" s="40">
        <v>0</v>
      </c>
      <c r="L659" s="40">
        <v>0</v>
      </c>
      <c r="M659" s="40">
        <v>0</v>
      </c>
      <c r="N659" s="40">
        <v>0</v>
      </c>
      <c r="O659" s="40">
        <v>1</v>
      </c>
      <c r="P659" s="40">
        <v>0</v>
      </c>
      <c r="Q659" s="40">
        <v>0</v>
      </c>
      <c r="R659" s="40">
        <v>0</v>
      </c>
      <c r="S659" s="40">
        <v>0</v>
      </c>
      <c r="T659" s="29">
        <f t="array" aca="1" ref="T659" ca="1">+fair_value_gap(OFFSET(S658,0,0,-1*$I$5,-1*$Z$1),OFFSET(E658,0,0,-1*$I$5,1),F659:S659,0)</f>
        <v>17.708228687208752</v>
      </c>
      <c r="U659" s="9" cm="1">
        <f t="array" aca="1" ref="U659" ca="1">z_score_diff(OFFSET(T659,0,0,$I$5*-1,1),OFFSET(E659,0,0,$I$5*-1,1))</f>
        <v>-0.29066605005772828</v>
      </c>
      <c r="V659" s="9">
        <f t="shared" ca="1" si="87"/>
        <v>-0.16700899733751839</v>
      </c>
      <c r="W659" s="17">
        <f t="shared" ca="1" si="84"/>
        <v>-6.0216920473105388E-2</v>
      </c>
      <c r="X659" s="13">
        <f t="shared" ca="1" si="85"/>
        <v>0</v>
      </c>
      <c r="Y659" s="13">
        <f t="shared" ca="1" si="86"/>
        <v>0</v>
      </c>
      <c r="Z659">
        <f t="shared" ca="1" si="88"/>
        <v>1</v>
      </c>
      <c r="AA659">
        <f t="shared" ca="1" si="89"/>
        <v>0</v>
      </c>
      <c r="AB659" s="24">
        <f t="shared" ca="1" si="90"/>
        <v>-6.0216920473105388E-2</v>
      </c>
      <c r="AC659" s="24">
        <f t="shared" ca="1" si="91"/>
        <v>0</v>
      </c>
    </row>
    <row r="660" spans="3:29" x14ac:dyDescent="0.25">
      <c r="C660" s="6">
        <v>653</v>
      </c>
      <c r="D660" s="37">
        <v>42934</v>
      </c>
      <c r="E660" s="39">
        <v>17.658999999999999</v>
      </c>
      <c r="F660" s="39">
        <v>2.6662415893417455</v>
      </c>
      <c r="G660" s="39">
        <v>54.884301573855282</v>
      </c>
      <c r="H660" s="39">
        <v>62.964578753964126</v>
      </c>
      <c r="I660" s="10">
        <v>0</v>
      </c>
      <c r="J660" s="40">
        <v>0</v>
      </c>
      <c r="K660" s="40">
        <v>0</v>
      </c>
      <c r="L660" s="40">
        <v>0</v>
      </c>
      <c r="M660" s="40">
        <v>0</v>
      </c>
      <c r="N660" s="40">
        <v>0</v>
      </c>
      <c r="O660" s="40">
        <v>1</v>
      </c>
      <c r="P660" s="40">
        <v>0</v>
      </c>
      <c r="Q660" s="40">
        <v>0</v>
      </c>
      <c r="R660" s="40">
        <v>0</v>
      </c>
      <c r="S660" s="40">
        <v>0</v>
      </c>
      <c r="T660" s="29">
        <f t="array" aca="1" ref="T660" ca="1">+fair_value_gap(OFFSET(S659,0,0,-1*$I$5,-1*$Z$1),OFFSET(E659,0,0,-1*$I$5,1),F660:S660,0)</f>
        <v>17.648910583960749</v>
      </c>
      <c r="U660" s="9" cm="1">
        <f t="array" aca="1" ref="U660" ca="1">z_score_diff(OFFSET(T660,0,0,$I$5*-1,1),OFFSET(E660,0,0,$I$5*-1,1))</f>
        <v>-0.17671596381002441</v>
      </c>
      <c r="V660" s="9">
        <f t="shared" ca="1" si="87"/>
        <v>-0.16603013306153636</v>
      </c>
      <c r="W660" s="17">
        <f t="shared" ca="1" si="84"/>
        <v>-3.1991681713432564E-2</v>
      </c>
      <c r="X660" s="13">
        <f t="shared" ca="1" si="85"/>
        <v>0</v>
      </c>
      <c r="Y660" s="13">
        <f t="shared" ca="1" si="86"/>
        <v>0</v>
      </c>
      <c r="Z660">
        <f t="shared" ca="1" si="88"/>
        <v>1</v>
      </c>
      <c r="AA660">
        <f t="shared" ca="1" si="89"/>
        <v>0</v>
      </c>
      <c r="AB660" s="24">
        <f t="shared" ca="1" si="90"/>
        <v>-3.1991681713432564E-2</v>
      </c>
      <c r="AC660" s="24">
        <f t="shared" ca="1" si="91"/>
        <v>0</v>
      </c>
    </row>
    <row r="661" spans="3:29" x14ac:dyDescent="0.25">
      <c r="C661" s="6">
        <v>654</v>
      </c>
      <c r="D661" s="37">
        <v>42935</v>
      </c>
      <c r="E661" s="39">
        <v>17.738</v>
      </c>
      <c r="F661" s="39">
        <v>2.6735018495580509</v>
      </c>
      <c r="G661" s="39">
        <v>55.077475723603506</v>
      </c>
      <c r="H661" s="39">
        <v>62.353641562133447</v>
      </c>
      <c r="I661" s="10">
        <v>0</v>
      </c>
      <c r="J661" s="40">
        <v>0</v>
      </c>
      <c r="K661" s="40">
        <v>0</v>
      </c>
      <c r="L661" s="40">
        <v>0</v>
      </c>
      <c r="M661" s="40">
        <v>0</v>
      </c>
      <c r="N661" s="40">
        <v>0</v>
      </c>
      <c r="O661" s="40">
        <v>1</v>
      </c>
      <c r="P661" s="40">
        <v>0</v>
      </c>
      <c r="Q661" s="40">
        <v>0</v>
      </c>
      <c r="R661" s="40">
        <v>0</v>
      </c>
      <c r="S661" s="40">
        <v>0</v>
      </c>
      <c r="T661" s="29">
        <f t="array" aca="1" ref="T661" ca="1">+fair_value_gap(OFFSET(S660,0,0,-1*$I$5,-1*$Z$1),OFFSET(E660,0,0,-1*$I$5,1),F661:S661,0)</f>
        <v>17.706954591703109</v>
      </c>
      <c r="U661" s="9" cm="1">
        <f t="array" aca="1" ref="U661" ca="1">z_score_diff(OFFSET(T661,0,0,$I$5*-1,1),OFFSET(E661,0,0,$I$5*-1,1))</f>
        <v>-0.22353229557262866</v>
      </c>
      <c r="V661" s="9">
        <f t="shared" ca="1" si="87"/>
        <v>-0.16734682510683235</v>
      </c>
      <c r="W661" s="17">
        <f t="shared" ca="1" si="84"/>
        <v>-2.7085822438481809E-2</v>
      </c>
      <c r="X661" s="13">
        <f t="shared" ca="1" si="85"/>
        <v>0</v>
      </c>
      <c r="Y661" s="13">
        <f t="shared" ca="1" si="86"/>
        <v>0</v>
      </c>
      <c r="Z661">
        <f t="shared" ca="1" si="88"/>
        <v>1</v>
      </c>
      <c r="AA661">
        <f t="shared" ca="1" si="89"/>
        <v>0</v>
      </c>
      <c r="AB661" s="24">
        <f t="shared" ca="1" si="90"/>
        <v>-2.7085822438481809E-2</v>
      </c>
      <c r="AC661" s="24">
        <f t="shared" ca="1" si="91"/>
        <v>0</v>
      </c>
    </row>
    <row r="662" spans="3:29" x14ac:dyDescent="0.25">
      <c r="C662" s="6">
        <v>655</v>
      </c>
      <c r="D662" s="37">
        <v>42936</v>
      </c>
      <c r="E662" s="39">
        <v>17.71</v>
      </c>
      <c r="F662" s="39">
        <v>2.6500676896811579</v>
      </c>
      <c r="G662" s="39">
        <v>54.755281350703726</v>
      </c>
      <c r="H662" s="39">
        <v>62.062768007789316</v>
      </c>
      <c r="I662" s="10">
        <v>0</v>
      </c>
      <c r="J662" s="40">
        <v>0</v>
      </c>
      <c r="K662" s="40">
        <v>0</v>
      </c>
      <c r="L662" s="40">
        <v>0</v>
      </c>
      <c r="M662" s="40">
        <v>0</v>
      </c>
      <c r="N662" s="40">
        <v>0</v>
      </c>
      <c r="O662" s="40">
        <v>1</v>
      </c>
      <c r="P662" s="40">
        <v>0</v>
      </c>
      <c r="Q662" s="40">
        <v>0</v>
      </c>
      <c r="R662" s="40">
        <v>0</v>
      </c>
      <c r="S662" s="40">
        <v>0</v>
      </c>
      <c r="T662" s="29">
        <f t="array" aca="1" ref="T662" ca="1">+fair_value_gap(OFFSET(S661,0,0,-1*$I$5,-1*$Z$1),OFFSET(E661,0,0,-1*$I$5,1),F662:S662,0)</f>
        <v>17.580045927249166</v>
      </c>
      <c r="U662" s="9" cm="1">
        <f t="array" aca="1" ref="U662" ca="1">z_score_diff(OFFSET(T662,0,0,$I$5*-1,1),OFFSET(E662,0,0,$I$5*-1,1))</f>
        <v>-0.37091201572501054</v>
      </c>
      <c r="V662" s="9">
        <f t="shared" ca="1" si="87"/>
        <v>-0.16794718654932408</v>
      </c>
      <c r="W662" s="17">
        <f t="shared" ca="1" si="84"/>
        <v>-2.4348233725055603E-2</v>
      </c>
      <c r="X662" s="13">
        <f t="shared" ca="1" si="85"/>
        <v>0</v>
      </c>
      <c r="Y662" s="13">
        <f t="shared" ca="1" si="86"/>
        <v>0</v>
      </c>
      <c r="Z662">
        <f t="shared" ca="1" si="88"/>
        <v>1</v>
      </c>
      <c r="AA662">
        <f t="shared" ca="1" si="89"/>
        <v>0</v>
      </c>
      <c r="AB662" s="24">
        <f t="shared" ca="1" si="90"/>
        <v>-2.4348233725055603E-2</v>
      </c>
      <c r="AC662" s="24">
        <f t="shared" ca="1" si="91"/>
        <v>0</v>
      </c>
    </row>
    <row r="663" spans="3:29" x14ac:dyDescent="0.25">
      <c r="C663" s="6">
        <v>656</v>
      </c>
      <c r="D663" s="37">
        <v>42937</v>
      </c>
      <c r="E663" s="39">
        <v>17.552</v>
      </c>
      <c r="F663" s="39">
        <v>2.6272075610368493</v>
      </c>
      <c r="G663" s="39">
        <v>54.373587458001793</v>
      </c>
      <c r="H663" s="39">
        <v>61.731063736387988</v>
      </c>
      <c r="I663" s="10">
        <v>0</v>
      </c>
      <c r="J663" s="40">
        <v>0</v>
      </c>
      <c r="K663" s="40">
        <v>0</v>
      </c>
      <c r="L663" s="40">
        <v>0</v>
      </c>
      <c r="M663" s="40">
        <v>0</v>
      </c>
      <c r="N663" s="40">
        <v>0</v>
      </c>
      <c r="O663" s="40">
        <v>1</v>
      </c>
      <c r="P663" s="40">
        <v>0</v>
      </c>
      <c r="Q663" s="40">
        <v>0</v>
      </c>
      <c r="R663" s="40">
        <v>0</v>
      </c>
      <c r="S663" s="40">
        <v>0</v>
      </c>
      <c r="T663" s="29">
        <f t="array" aca="1" ref="T663" ca="1">+fair_value_gap(OFFSET(S662,0,0,-1*$I$5,-1*$Z$1),OFFSET(E662,0,0,-1*$I$5,1),F663:S663,0)</f>
        <v>17.459627143094821</v>
      </c>
      <c r="U663" s="9" cm="1">
        <f t="array" aca="1" ref="U663" ca="1">z_score_diff(OFFSET(T663,0,0,$I$5*-1,1),OFFSET(E663,0,0,$I$5*-1,1))</f>
        <v>-0.29284120622667142</v>
      </c>
      <c r="V663" s="9">
        <f t="shared" ca="1" si="87"/>
        <v>-0.16664969758721573</v>
      </c>
      <c r="W663" s="17">
        <f t="shared" ca="1" si="84"/>
        <v>-1.313280523607049E-2</v>
      </c>
      <c r="X663" s="13">
        <f t="shared" ca="1" si="85"/>
        <v>0</v>
      </c>
      <c r="Y663" s="13">
        <f t="shared" ca="1" si="86"/>
        <v>0</v>
      </c>
      <c r="Z663">
        <f t="shared" ca="1" si="88"/>
        <v>1</v>
      </c>
      <c r="AA663">
        <f t="shared" ca="1" si="89"/>
        <v>0</v>
      </c>
      <c r="AB663" s="24">
        <f t="shared" ca="1" si="90"/>
        <v>-1.313280523607049E-2</v>
      </c>
      <c r="AC663" s="24">
        <f t="shared" ca="1" si="91"/>
        <v>0</v>
      </c>
    </row>
    <row r="664" spans="3:29" x14ac:dyDescent="0.25">
      <c r="C664" s="6">
        <v>657</v>
      </c>
      <c r="D664" s="37">
        <v>42940</v>
      </c>
      <c r="E664" s="39">
        <v>17.41</v>
      </c>
      <c r="F664" s="39">
        <v>2.5870938312628811</v>
      </c>
      <c r="G664" s="39">
        <v>54.008970195090697</v>
      </c>
      <c r="H664" s="39">
        <v>60.55697433216686</v>
      </c>
      <c r="I664" s="10">
        <v>0</v>
      </c>
      <c r="J664" s="40">
        <v>0</v>
      </c>
      <c r="K664" s="40">
        <v>0</v>
      </c>
      <c r="L664" s="40">
        <v>0</v>
      </c>
      <c r="M664" s="40">
        <v>0</v>
      </c>
      <c r="N664" s="40">
        <v>0</v>
      </c>
      <c r="O664" s="40">
        <v>1</v>
      </c>
      <c r="P664" s="40">
        <v>0</v>
      </c>
      <c r="Q664" s="40">
        <v>0</v>
      </c>
      <c r="R664" s="40">
        <v>0</v>
      </c>
      <c r="S664" s="40">
        <v>0</v>
      </c>
      <c r="T664" s="29">
        <f t="array" aca="1" ref="T664" ca="1">+fair_value_gap(OFFSET(S663,0,0,-1*$I$5,-1*$Z$1),OFFSET(E663,0,0,-1*$I$5,1),F664:S664,0)</f>
        <v>17.309596739638984</v>
      </c>
      <c r="U664" s="9" cm="1">
        <f t="array" aca="1" ref="U664" ca="1">z_score_diff(OFFSET(T664,0,0,$I$5*-1,1),OFFSET(E664,0,0,$I$5*-1,1))</f>
        <v>-0.30220216724491933</v>
      </c>
      <c r="V664" s="9">
        <f t="shared" ca="1" si="87"/>
        <v>-0.17017122045803826</v>
      </c>
      <c r="W664" s="17">
        <f t="shared" ca="1" si="84"/>
        <v>1.2103367664440243E-2</v>
      </c>
      <c r="X664" s="13">
        <f t="shared" ca="1" si="85"/>
        <v>0</v>
      </c>
      <c r="Y664" s="13">
        <f t="shared" ca="1" si="86"/>
        <v>0</v>
      </c>
      <c r="Z664">
        <f t="shared" ca="1" si="88"/>
        <v>1</v>
      </c>
      <c r="AA664">
        <f t="shared" ca="1" si="89"/>
        <v>0</v>
      </c>
      <c r="AB664" s="24">
        <f t="shared" ca="1" si="90"/>
        <v>1.2103367664440243E-2</v>
      </c>
      <c r="AC664" s="24">
        <f t="shared" ca="1" si="91"/>
        <v>0</v>
      </c>
    </row>
    <row r="665" spans="3:29" x14ac:dyDescent="0.25">
      <c r="C665" s="6">
        <v>658</v>
      </c>
      <c r="D665" s="37">
        <v>42941</v>
      </c>
      <c r="E665" s="39">
        <v>17.489000000000001</v>
      </c>
      <c r="F665" s="39">
        <v>2.5987837392528688</v>
      </c>
      <c r="G665" s="39">
        <v>54.628402133035443</v>
      </c>
      <c r="H665" s="39">
        <v>61.245751908104737</v>
      </c>
      <c r="I665" s="10">
        <v>0</v>
      </c>
      <c r="J665" s="40">
        <v>0</v>
      </c>
      <c r="K665" s="40">
        <v>0</v>
      </c>
      <c r="L665" s="40">
        <v>0</v>
      </c>
      <c r="M665" s="40">
        <v>0</v>
      </c>
      <c r="N665" s="40">
        <v>0</v>
      </c>
      <c r="O665" s="40">
        <v>1</v>
      </c>
      <c r="P665" s="40">
        <v>0</v>
      </c>
      <c r="Q665" s="40">
        <v>0</v>
      </c>
      <c r="R665" s="40">
        <v>0</v>
      </c>
      <c r="S665" s="40">
        <v>0</v>
      </c>
      <c r="T665" s="29">
        <f t="array" aca="1" ref="T665" ca="1">+fair_value_gap(OFFSET(S664,0,0,-1*$I$5,-1*$Z$1),OFFSET(E664,0,0,-1*$I$5,1),F665:S665,0)</f>
        <v>17.511063793724865</v>
      </c>
      <c r="U665" s="9" cm="1">
        <f t="array" aca="1" ref="U665" ca="1">z_score_diff(OFFSET(T665,0,0,$I$5*-1,1),OFFSET(E665,0,0,$I$5*-1,1))</f>
        <v>-7.7354072442052502E-2</v>
      </c>
      <c r="V665" s="9">
        <f t="shared" ca="1" si="87"/>
        <v>-0.16970325792801438</v>
      </c>
      <c r="W665" s="17">
        <f t="shared" ca="1" si="84"/>
        <v>4.4500301641916306E-3</v>
      </c>
      <c r="X665" s="13">
        <f t="shared" ca="1" si="85"/>
        <v>0</v>
      </c>
      <c r="Y665" s="13">
        <f t="shared" ca="1" si="86"/>
        <v>0</v>
      </c>
      <c r="Z665">
        <f t="shared" ca="1" si="88"/>
        <v>1</v>
      </c>
      <c r="AA665">
        <f t="shared" ca="1" si="89"/>
        <v>0</v>
      </c>
      <c r="AB665" s="24">
        <f t="shared" ca="1" si="90"/>
        <v>4.4500301641916306E-3</v>
      </c>
      <c r="AC665" s="24">
        <f t="shared" ca="1" si="91"/>
        <v>0</v>
      </c>
    </row>
    <row r="666" spans="3:29" x14ac:dyDescent="0.25">
      <c r="C666" s="6">
        <v>659</v>
      </c>
      <c r="D666" s="37">
        <v>42942</v>
      </c>
      <c r="E666" s="39">
        <v>17.690999999999999</v>
      </c>
      <c r="F666" s="39">
        <v>2.5787953778335968</v>
      </c>
      <c r="G666" s="39">
        <v>54.993374092868635</v>
      </c>
      <c r="H666" s="39">
        <v>60.565748540596807</v>
      </c>
      <c r="I666" s="10">
        <v>0</v>
      </c>
      <c r="J666" s="40">
        <v>0</v>
      </c>
      <c r="K666" s="40">
        <v>0</v>
      </c>
      <c r="L666" s="40">
        <v>0</v>
      </c>
      <c r="M666" s="40">
        <v>0</v>
      </c>
      <c r="N666" s="40">
        <v>0</v>
      </c>
      <c r="O666" s="40">
        <v>1</v>
      </c>
      <c r="P666" s="40">
        <v>0</v>
      </c>
      <c r="Q666" s="40">
        <v>0</v>
      </c>
      <c r="R666" s="40">
        <v>0</v>
      </c>
      <c r="S666" s="40">
        <v>0</v>
      </c>
      <c r="T666" s="29">
        <f t="array" aca="1" ref="T666" ca="1">+fair_value_gap(OFFSET(S665,0,0,-1*$I$5,-1*$Z$1),OFFSET(E665,0,0,-1*$I$5,1),F666:S666,0)</f>
        <v>17.580370731963011</v>
      </c>
      <c r="U666" s="9" cm="1">
        <f t="array" aca="1" ref="U666" ca="1">z_score_diff(OFFSET(T666,0,0,$I$5*-1,1),OFFSET(E666,0,0,$I$5*-1,1))</f>
        <v>-0.30928178413367724</v>
      </c>
      <c r="V666" s="9">
        <f t="shared" ca="1" si="87"/>
        <v>-0.17823828645622375</v>
      </c>
      <c r="W666" s="17">
        <f t="shared" ca="1" si="84"/>
        <v>-5.1003170746442214E-3</v>
      </c>
      <c r="X666" s="13">
        <f t="shared" ca="1" si="85"/>
        <v>0</v>
      </c>
      <c r="Y666" s="13">
        <f t="shared" ca="1" si="86"/>
        <v>0</v>
      </c>
      <c r="Z666">
        <f t="shared" ca="1" si="88"/>
        <v>1</v>
      </c>
      <c r="AA666">
        <f t="shared" ca="1" si="89"/>
        <v>0</v>
      </c>
      <c r="AB666" s="24">
        <f t="shared" ca="1" si="90"/>
        <v>-5.1003170746442214E-3</v>
      </c>
      <c r="AC666" s="24">
        <f t="shared" ca="1" si="91"/>
        <v>0</v>
      </c>
    </row>
    <row r="667" spans="3:29" x14ac:dyDescent="0.25">
      <c r="C667" s="6">
        <v>660</v>
      </c>
      <c r="D667" s="37">
        <v>42943</v>
      </c>
      <c r="E667" s="39">
        <v>17.675999999999998</v>
      </c>
      <c r="F667" s="39">
        <v>2.5983855320300187</v>
      </c>
      <c r="G667" s="39">
        <v>55.010374521324671</v>
      </c>
      <c r="H667" s="39">
        <v>61.204386134530147</v>
      </c>
      <c r="I667" s="10">
        <v>0</v>
      </c>
      <c r="J667" s="40">
        <v>0</v>
      </c>
      <c r="K667" s="40">
        <v>0</v>
      </c>
      <c r="L667" s="40">
        <v>0</v>
      </c>
      <c r="M667" s="40">
        <v>0</v>
      </c>
      <c r="N667" s="40">
        <v>0</v>
      </c>
      <c r="O667" s="40">
        <v>1</v>
      </c>
      <c r="P667" s="40">
        <v>0</v>
      </c>
      <c r="Q667" s="40">
        <v>0</v>
      </c>
      <c r="R667" s="40">
        <v>0</v>
      </c>
      <c r="S667" s="40">
        <v>0</v>
      </c>
      <c r="T667" s="29">
        <f t="array" aca="1" ref="T667" ca="1">+fair_value_gap(OFFSET(S666,0,0,-1*$I$5,-1*$Z$1),OFFSET(E666,0,0,-1*$I$5,1),F667:S667,0)</f>
        <v>17.62036088553387</v>
      </c>
      <c r="U667" s="9" cm="1">
        <f t="array" aca="1" ref="U667" ca="1">z_score_diff(OFFSET(T667,0,0,$I$5*-1,1),OFFSET(E667,0,0,$I$5*-1,1))</f>
        <v>-0.20713434710174305</v>
      </c>
      <c r="V667" s="9">
        <f t="shared" ca="1" si="87"/>
        <v>-0.17836702478011332</v>
      </c>
      <c r="W667" s="17">
        <f t="shared" ca="1" si="84"/>
        <v>7.9172090320054624E-4</v>
      </c>
      <c r="X667" s="13">
        <f t="shared" ca="1" si="85"/>
        <v>0</v>
      </c>
      <c r="Y667" s="13">
        <f t="shared" ca="1" si="86"/>
        <v>0</v>
      </c>
      <c r="Z667">
        <f t="shared" ca="1" si="88"/>
        <v>1</v>
      </c>
      <c r="AA667">
        <f t="shared" ca="1" si="89"/>
        <v>0</v>
      </c>
      <c r="AB667" s="24">
        <f t="shared" ca="1" si="90"/>
        <v>7.9172090320054624E-4</v>
      </c>
      <c r="AC667" s="24">
        <f t="shared" ca="1" si="91"/>
        <v>0</v>
      </c>
    </row>
    <row r="668" spans="3:29" x14ac:dyDescent="0.25">
      <c r="C668" s="6">
        <v>661</v>
      </c>
      <c r="D668" s="37">
        <v>42944</v>
      </c>
      <c r="E668" s="39">
        <v>17.623999999999999</v>
      </c>
      <c r="F668" s="39">
        <v>2.5665775665775667</v>
      </c>
      <c r="G668" s="39">
        <v>55.16611092163167</v>
      </c>
      <c r="H668" s="39">
        <v>62.163812163812153</v>
      </c>
      <c r="I668" s="10">
        <v>0</v>
      </c>
      <c r="J668" s="40">
        <v>0</v>
      </c>
      <c r="K668" s="40">
        <v>0</v>
      </c>
      <c r="L668" s="40">
        <v>0</v>
      </c>
      <c r="M668" s="40">
        <v>0</v>
      </c>
      <c r="N668" s="40">
        <v>0</v>
      </c>
      <c r="O668" s="40">
        <v>1</v>
      </c>
      <c r="P668" s="40">
        <v>0</v>
      </c>
      <c r="Q668" s="40">
        <v>0</v>
      </c>
      <c r="R668" s="40">
        <v>0</v>
      </c>
      <c r="S668" s="40">
        <v>0</v>
      </c>
      <c r="T668" s="29">
        <f t="array" aca="1" ref="T668" ca="1">+fair_value_gap(OFFSET(S667,0,0,-1*$I$5,-1*$Z$1),OFFSET(E667,0,0,-1*$I$5,1),F668:S668,0)</f>
        <v>17.664168380356109</v>
      </c>
      <c r="U668" s="9" cm="1">
        <f t="array" aca="1" ref="U668" ca="1">z_score_diff(OFFSET(T668,0,0,$I$5*-1,1),OFFSET(E668,0,0,$I$5*-1,1))</f>
        <v>-3.6043152394157341E-2</v>
      </c>
      <c r="V668" s="9">
        <f t="shared" ca="1" si="87"/>
        <v>-0.17895117685906808</v>
      </c>
      <c r="W668" s="17">
        <f t="shared" ca="1" si="84"/>
        <v>-1.1470437059273753E-2</v>
      </c>
      <c r="X668" s="13">
        <f t="shared" ca="1" si="85"/>
        <v>0</v>
      </c>
      <c r="Y668" s="13">
        <f t="shared" ca="1" si="86"/>
        <v>0</v>
      </c>
      <c r="Z668">
        <f t="shared" ca="1" si="88"/>
        <v>1</v>
      </c>
      <c r="AA668">
        <f t="shared" ca="1" si="89"/>
        <v>0</v>
      </c>
      <c r="AB668" s="24">
        <f t="shared" ca="1" si="90"/>
        <v>-1.1470437059273753E-2</v>
      </c>
      <c r="AC668" s="24">
        <f t="shared" ca="1" si="91"/>
        <v>0</v>
      </c>
    </row>
    <row r="669" spans="3:29" x14ac:dyDescent="0.25">
      <c r="C669" s="6">
        <v>662</v>
      </c>
      <c r="D669" s="37">
        <v>42947</v>
      </c>
      <c r="E669" s="39">
        <v>17.356000000000002</v>
      </c>
      <c r="F669" s="39">
        <v>2.5161659981992304</v>
      </c>
      <c r="G669" s="39">
        <v>54.807913566885361</v>
      </c>
      <c r="H669" s="39">
        <v>61.962838667430631</v>
      </c>
      <c r="I669" s="10">
        <v>0</v>
      </c>
      <c r="J669" s="40">
        <v>0</v>
      </c>
      <c r="K669" s="40">
        <v>0</v>
      </c>
      <c r="L669" s="40">
        <v>0</v>
      </c>
      <c r="M669" s="40">
        <v>0</v>
      </c>
      <c r="N669" s="40">
        <v>0</v>
      </c>
      <c r="O669" s="40">
        <v>1</v>
      </c>
      <c r="P669" s="40">
        <v>0</v>
      </c>
      <c r="Q669" s="40">
        <v>0</v>
      </c>
      <c r="R669" s="40">
        <v>0</v>
      </c>
      <c r="S669" s="40">
        <v>0</v>
      </c>
      <c r="T669" s="29">
        <f t="array" aca="1" ref="T669" ca="1">+fair_value_gap(OFFSET(S668,0,0,-1*$I$5,-1*$Z$1),OFFSET(E668,0,0,-1*$I$5,1),F669:S669,0)</f>
        <v>17.520814119784966</v>
      </c>
      <c r="U669" s="9" cm="1">
        <f t="array" aca="1" ref="U669" ca="1">z_score_diff(OFFSET(T669,0,0,$I$5*-1,1),OFFSET(E669,0,0,$I$5*-1,1))</f>
        <v>0.17904090695935104</v>
      </c>
      <c r="V669" s="9">
        <f t="shared" ca="1" si="87"/>
        <v>-0.17226488370883325</v>
      </c>
      <c r="W669" s="17">
        <f t="shared" ca="1" si="84"/>
        <v>-6.3398751439135907E-4</v>
      </c>
      <c r="X669" s="13">
        <f t="shared" ca="1" si="85"/>
        <v>0</v>
      </c>
      <c r="Y669" s="13">
        <f t="shared" ca="1" si="86"/>
        <v>0</v>
      </c>
      <c r="Z669">
        <f t="shared" ca="1" si="88"/>
        <v>1</v>
      </c>
      <c r="AA669">
        <f t="shared" ca="1" si="89"/>
        <v>0</v>
      </c>
      <c r="AB669" s="24">
        <f t="shared" ca="1" si="90"/>
        <v>-6.3398751439135907E-4</v>
      </c>
      <c r="AC669" s="24">
        <f t="shared" ca="1" si="91"/>
        <v>0</v>
      </c>
    </row>
    <row r="670" spans="3:29" x14ac:dyDescent="0.25">
      <c r="C670" s="6">
        <v>663</v>
      </c>
      <c r="D670" s="37">
        <v>42948</v>
      </c>
      <c r="E670" s="39">
        <v>17.204000000000001</v>
      </c>
      <c r="F670" s="39">
        <v>2.5325644761024129</v>
      </c>
      <c r="G670" s="39">
        <v>54.510356526002852</v>
      </c>
      <c r="H670" s="39">
        <v>61.014766723219608</v>
      </c>
      <c r="I670" s="10">
        <v>0</v>
      </c>
      <c r="J670" s="40">
        <v>0</v>
      </c>
      <c r="K670" s="40">
        <v>0</v>
      </c>
      <c r="L670" s="40">
        <v>0</v>
      </c>
      <c r="M670" s="40">
        <v>0</v>
      </c>
      <c r="N670" s="40">
        <v>0</v>
      </c>
      <c r="O670" s="40">
        <v>0</v>
      </c>
      <c r="P670" s="40">
        <v>1</v>
      </c>
      <c r="Q670" s="40">
        <v>0</v>
      </c>
      <c r="R670" s="40">
        <v>0</v>
      </c>
      <c r="S670" s="40">
        <v>0</v>
      </c>
      <c r="T670" s="29">
        <f t="array" aca="1" ref="T670" ca="1">+fair_value_gap(OFFSET(S669,0,0,-1*$I$5,-1*$Z$1),OFFSET(E669,0,0,-1*$I$5,1),F670:S670,0)</f>
        <v>17.63138378886898</v>
      </c>
      <c r="U670" s="9" cm="1">
        <f t="array" aca="1" ref="U670" ca="1">z_score_diff(OFFSET(T670,0,0,$I$5*-1,1),OFFSET(E670,0,0,$I$5*-1,1))</f>
        <v>0.63470434743408322</v>
      </c>
      <c r="V670" s="9">
        <f t="shared" ca="1" si="87"/>
        <v>-0.15395333433616587</v>
      </c>
      <c r="W670" s="17">
        <f t="shared" ca="1" si="84"/>
        <v>1.0063123495524242E-2</v>
      </c>
      <c r="X670" s="13">
        <f t="shared" ca="1" si="85"/>
        <v>0</v>
      </c>
      <c r="Y670" s="13">
        <f t="shared" ca="1" si="86"/>
        <v>0</v>
      </c>
      <c r="Z670">
        <f t="shared" ca="1" si="88"/>
        <v>1</v>
      </c>
      <c r="AA670">
        <f t="shared" ca="1" si="89"/>
        <v>0</v>
      </c>
      <c r="AB670" s="24">
        <f t="shared" ca="1" si="90"/>
        <v>1.0063123495524242E-2</v>
      </c>
      <c r="AC670" s="24">
        <f t="shared" ca="1" si="91"/>
        <v>0</v>
      </c>
    </row>
    <row r="671" spans="3:29" x14ac:dyDescent="0.25">
      <c r="C671" s="6">
        <v>664</v>
      </c>
      <c r="D671" s="37">
        <v>42949</v>
      </c>
      <c r="E671" s="39">
        <v>17.222999999999999</v>
      </c>
      <c r="F671" s="39">
        <v>2.5392994607463217</v>
      </c>
      <c r="G671" s="39">
        <v>54.691731508514209</v>
      </c>
      <c r="H671" s="39">
        <v>60.498441756351525</v>
      </c>
      <c r="I671" s="10">
        <v>0</v>
      </c>
      <c r="J671" s="40">
        <v>0</v>
      </c>
      <c r="K671" s="40">
        <v>0</v>
      </c>
      <c r="L671" s="40">
        <v>0</v>
      </c>
      <c r="M671" s="40">
        <v>0</v>
      </c>
      <c r="N671" s="40">
        <v>0</v>
      </c>
      <c r="O671" s="40">
        <v>0</v>
      </c>
      <c r="P671" s="40">
        <v>1</v>
      </c>
      <c r="Q671" s="40">
        <v>0</v>
      </c>
      <c r="R671" s="40">
        <v>0</v>
      </c>
      <c r="S671" s="40">
        <v>0</v>
      </c>
      <c r="T671" s="29">
        <f t="array" aca="1" ref="T671" ca="1">+fair_value_gap(OFFSET(S670,0,0,-1*$I$5,-1*$Z$1),OFFSET(E670,0,0,-1*$I$5,1),F671:S671,0)</f>
        <v>17.583627820167933</v>
      </c>
      <c r="U671" s="9" cm="1">
        <f t="array" aca="1" ref="U671" ca="1">z_score_diff(OFFSET(T671,0,0,$I$5*-1,1),OFFSET(E671,0,0,$I$5*-1,1))</f>
        <v>0.5091966233838866</v>
      </c>
      <c r="V671" s="9">
        <f t="shared" ca="1" si="87"/>
        <v>-0.13631609470661696</v>
      </c>
      <c r="W671" s="17">
        <f t="shared" ca="1" si="84"/>
        <v>8.9593385634048322E-3</v>
      </c>
      <c r="X671" s="13">
        <f t="shared" ca="1" si="85"/>
        <v>0</v>
      </c>
      <c r="Y671" s="13">
        <f t="shared" ca="1" si="86"/>
        <v>0</v>
      </c>
      <c r="Z671">
        <f t="shared" ca="1" si="88"/>
        <v>1</v>
      </c>
      <c r="AA671">
        <f t="shared" ca="1" si="89"/>
        <v>0</v>
      </c>
      <c r="AB671" s="24">
        <f t="shared" ca="1" si="90"/>
        <v>8.9593385634048322E-3</v>
      </c>
      <c r="AC671" s="24">
        <f t="shared" ca="1" si="91"/>
        <v>0</v>
      </c>
    </row>
    <row r="672" spans="3:29" x14ac:dyDescent="0.25">
      <c r="C672" s="6">
        <v>665</v>
      </c>
      <c r="D672" s="37">
        <v>42950</v>
      </c>
      <c r="E672" s="39">
        <v>17.245000000000001</v>
      </c>
      <c r="F672" s="39">
        <v>2.5465534139170205</v>
      </c>
      <c r="G672" s="39">
        <v>54.989796665635588</v>
      </c>
      <c r="H672" s="39">
        <v>60.846128716105852</v>
      </c>
      <c r="I672" s="10">
        <v>0</v>
      </c>
      <c r="J672" s="40">
        <v>0</v>
      </c>
      <c r="K672" s="40">
        <v>0</v>
      </c>
      <c r="L672" s="40">
        <v>0</v>
      </c>
      <c r="M672" s="40">
        <v>0</v>
      </c>
      <c r="N672" s="40">
        <v>0</v>
      </c>
      <c r="O672" s="40">
        <v>0</v>
      </c>
      <c r="P672" s="40">
        <v>1</v>
      </c>
      <c r="Q672" s="40">
        <v>0</v>
      </c>
      <c r="R672" s="40">
        <v>0</v>
      </c>
      <c r="S672" s="40">
        <v>0</v>
      </c>
      <c r="T672" s="29">
        <f t="array" aca="1" ref="T672" ca="1">+fair_value_gap(OFFSET(S671,0,0,-1*$I$5,-1*$Z$1),OFFSET(E671,0,0,-1*$I$5,1),F672:S672,0)</f>
        <v>17.608507318672682</v>
      </c>
      <c r="U672" s="9" cm="1">
        <f t="array" aca="1" ref="U672" ca="1">z_score_diff(OFFSET(T672,0,0,$I$5*-1,1),OFFSET(E672,0,0,$I$5*-1,1))</f>
        <v>0.50700490609091775</v>
      </c>
      <c r="V672" s="9">
        <f t="shared" ca="1" si="87"/>
        <v>-0.12148649775776248</v>
      </c>
      <c r="W672" s="17">
        <f t="shared" ca="1" si="84"/>
        <v>2.5482147338346832E-3</v>
      </c>
      <c r="X672" s="13">
        <f t="shared" ca="1" si="85"/>
        <v>0</v>
      </c>
      <c r="Y672" s="13">
        <f t="shared" ca="1" si="86"/>
        <v>0</v>
      </c>
      <c r="Z672">
        <f t="shared" ca="1" si="88"/>
        <v>1</v>
      </c>
      <c r="AA672">
        <f t="shared" ca="1" si="89"/>
        <v>0</v>
      </c>
      <c r="AB672" s="24">
        <f t="shared" ca="1" si="90"/>
        <v>2.5482147338346832E-3</v>
      </c>
      <c r="AC672" s="24">
        <f t="shared" ca="1" si="91"/>
        <v>0</v>
      </c>
    </row>
    <row r="673" spans="3:29" x14ac:dyDescent="0.25">
      <c r="C673" s="6">
        <v>666</v>
      </c>
      <c r="D673" s="37">
        <v>42951</v>
      </c>
      <c r="E673" s="39">
        <v>17.288</v>
      </c>
      <c r="F673" s="39">
        <v>2.5603935925944521</v>
      </c>
      <c r="G673" s="39">
        <v>55.271453360405957</v>
      </c>
      <c r="H673" s="39">
        <v>61.951645608595676</v>
      </c>
      <c r="I673" s="10">
        <v>0</v>
      </c>
      <c r="J673" s="40">
        <v>0</v>
      </c>
      <c r="K673" s="40">
        <v>0</v>
      </c>
      <c r="L673" s="40">
        <v>0</v>
      </c>
      <c r="M673" s="40">
        <v>0</v>
      </c>
      <c r="N673" s="40">
        <v>0</v>
      </c>
      <c r="O673" s="40">
        <v>0</v>
      </c>
      <c r="P673" s="40">
        <v>1</v>
      </c>
      <c r="Q673" s="40">
        <v>0</v>
      </c>
      <c r="R673" s="40">
        <v>0</v>
      </c>
      <c r="S673" s="40">
        <v>0</v>
      </c>
      <c r="T673" s="29">
        <f t="array" aca="1" ref="T673" ca="1">+fair_value_gap(OFFSET(S672,0,0,-1*$I$5,-1*$Z$1),OFFSET(E672,0,0,-1*$I$5,1),F673:S673,0)</f>
        <v>17.660726262288463</v>
      </c>
      <c r="U673" s="9" cm="1">
        <f t="array" aca="1" ref="U673" ca="1">z_score_diff(OFFSET(T673,0,0,$I$5*-1,1),OFFSET(E673,0,0,$I$5*-1,1))</f>
        <v>0.51588311240981</v>
      </c>
      <c r="V673" s="9">
        <f t="shared" ca="1" si="87"/>
        <v>-0.10265001798044036</v>
      </c>
      <c r="W673" s="17">
        <f t="shared" ca="1" si="84"/>
        <v>-3.7088591425229098E-3</v>
      </c>
      <c r="X673" s="13">
        <f t="shared" ca="1" si="85"/>
        <v>0</v>
      </c>
      <c r="Y673" s="13">
        <f t="shared" ca="1" si="86"/>
        <v>0</v>
      </c>
      <c r="Z673">
        <f t="shared" ca="1" si="88"/>
        <v>1</v>
      </c>
      <c r="AA673">
        <f t="shared" ca="1" si="89"/>
        <v>0</v>
      </c>
      <c r="AB673" s="24">
        <f t="shared" ca="1" si="90"/>
        <v>-3.7088591425229098E-3</v>
      </c>
      <c r="AC673" s="24">
        <f t="shared" ca="1" si="91"/>
        <v>0</v>
      </c>
    </row>
    <row r="674" spans="3:29" x14ac:dyDescent="0.25">
      <c r="C674" s="6">
        <v>667</v>
      </c>
      <c r="D674" s="37">
        <v>42954</v>
      </c>
      <c r="E674" s="39">
        <v>17.475000000000001</v>
      </c>
      <c r="F674" s="39">
        <v>2.5627209525436645</v>
      </c>
      <c r="G674" s="39">
        <v>55.55707181807761</v>
      </c>
      <c r="H674" s="39">
        <v>61.973492265839582</v>
      </c>
      <c r="I674" s="10">
        <v>0</v>
      </c>
      <c r="J674" s="40">
        <v>0</v>
      </c>
      <c r="K674" s="40">
        <v>0</v>
      </c>
      <c r="L674" s="40">
        <v>0</v>
      </c>
      <c r="M674" s="40">
        <v>0</v>
      </c>
      <c r="N674" s="40">
        <v>0</v>
      </c>
      <c r="O674" s="40">
        <v>0</v>
      </c>
      <c r="P674" s="40">
        <v>1</v>
      </c>
      <c r="Q674" s="40">
        <v>0</v>
      </c>
      <c r="R674" s="40">
        <v>0</v>
      </c>
      <c r="S674" s="40">
        <v>0</v>
      </c>
      <c r="T674" s="29">
        <f t="array" aca="1" ref="T674" ca="1">+fair_value_gap(OFFSET(S673,0,0,-1*$I$5,-1*$Z$1),OFFSET(E673,0,0,-1*$I$5,1),F674:S674,0)</f>
        <v>17.684953711428971</v>
      </c>
      <c r="U674" s="9" cm="1">
        <f t="array" aca="1" ref="U674" ca="1">z_score_diff(OFFSET(T674,0,0,$I$5*-1,1),OFFSET(E674,0,0,$I$5*-1,1))</f>
        <v>0.22621259157334772</v>
      </c>
      <c r="V674" s="9">
        <f t="shared" ca="1" si="87"/>
        <v>-9.3115227532631323E-2</v>
      </c>
      <c r="W674" s="17">
        <f t="shared" ca="1" si="84"/>
        <v>5.1939273750516608E-3</v>
      </c>
      <c r="X674" s="13">
        <f t="shared" ca="1" si="85"/>
        <v>0</v>
      </c>
      <c r="Y674" s="13">
        <f t="shared" ca="1" si="86"/>
        <v>0</v>
      </c>
      <c r="Z674">
        <f t="shared" ca="1" si="88"/>
        <v>1</v>
      </c>
      <c r="AA674">
        <f t="shared" ca="1" si="89"/>
        <v>0</v>
      </c>
      <c r="AB674" s="24">
        <f t="shared" ca="1" si="90"/>
        <v>5.1939273750516608E-3</v>
      </c>
      <c r="AC674" s="24">
        <f t="shared" ca="1" si="91"/>
        <v>0</v>
      </c>
    </row>
    <row r="675" spans="3:29" x14ac:dyDescent="0.25">
      <c r="C675" s="6">
        <v>668</v>
      </c>
      <c r="D675" s="37">
        <v>42955</v>
      </c>
      <c r="E675" s="39">
        <v>17.373000000000001</v>
      </c>
      <c r="F675" s="39">
        <v>2.5818059778167535</v>
      </c>
      <c r="G675" s="39">
        <v>55.538026680524787</v>
      </c>
      <c r="H675" s="39">
        <v>61.184926079208914</v>
      </c>
      <c r="I675" s="10">
        <v>0</v>
      </c>
      <c r="J675" s="40">
        <v>0</v>
      </c>
      <c r="K675" s="40">
        <v>0</v>
      </c>
      <c r="L675" s="40">
        <v>0</v>
      </c>
      <c r="M675" s="40">
        <v>0</v>
      </c>
      <c r="N675" s="40">
        <v>0</v>
      </c>
      <c r="O675" s="40">
        <v>0</v>
      </c>
      <c r="P675" s="40">
        <v>1</v>
      </c>
      <c r="Q675" s="40">
        <v>0</v>
      </c>
      <c r="R675" s="40">
        <v>0</v>
      </c>
      <c r="S675" s="40">
        <v>0</v>
      </c>
      <c r="T675" s="29">
        <f t="array" aca="1" ref="T675" ca="1">+fair_value_gap(OFFSET(S674,0,0,-1*$I$5,-1*$Z$1),OFFSET(E674,0,0,-1*$I$5,1),F675:S675,0)</f>
        <v>17.654449622370919</v>
      </c>
      <c r="U675" s="9" cm="1">
        <f t="array" aca="1" ref="U675" ca="1">z_score_diff(OFFSET(T675,0,0,$I$5*-1,1),OFFSET(E675,0,0,$I$5*-1,1))</f>
        <v>0.34349372151221269</v>
      </c>
      <c r="V675" s="9">
        <f t="shared" ca="1" si="87"/>
        <v>-7.9172737822290257E-2</v>
      </c>
      <c r="W675" s="17">
        <f t="shared" ca="1" si="84"/>
        <v>1.0193651433790604E-2</v>
      </c>
      <c r="X675" s="13">
        <f t="shared" ca="1" si="85"/>
        <v>0</v>
      </c>
      <c r="Y675" s="13">
        <f t="shared" ca="1" si="86"/>
        <v>0</v>
      </c>
      <c r="Z675">
        <f t="shared" ca="1" si="88"/>
        <v>1</v>
      </c>
      <c r="AA675">
        <f t="shared" ca="1" si="89"/>
        <v>0</v>
      </c>
      <c r="AB675" s="24">
        <f t="shared" ca="1" si="90"/>
        <v>1.0193651433790604E-2</v>
      </c>
      <c r="AC675" s="24">
        <f t="shared" ca="1" si="91"/>
        <v>0</v>
      </c>
    </row>
    <row r="676" spans="3:29" x14ac:dyDescent="0.25">
      <c r="C676" s="6">
        <v>669</v>
      </c>
      <c r="D676" s="37">
        <v>42956</v>
      </c>
      <c r="E676" s="39">
        <v>17.524000000000001</v>
      </c>
      <c r="F676" s="39">
        <v>2.5827055179878475</v>
      </c>
      <c r="G676" s="39">
        <v>55.752151478038371</v>
      </c>
      <c r="H676" s="39">
        <v>62.073962816624608</v>
      </c>
      <c r="I676" s="10">
        <v>0</v>
      </c>
      <c r="J676" s="40">
        <v>0</v>
      </c>
      <c r="K676" s="40">
        <v>0</v>
      </c>
      <c r="L676" s="40">
        <v>0</v>
      </c>
      <c r="M676" s="40">
        <v>0</v>
      </c>
      <c r="N676" s="40">
        <v>0</v>
      </c>
      <c r="O676" s="40">
        <v>0</v>
      </c>
      <c r="P676" s="40">
        <v>1</v>
      </c>
      <c r="Q676" s="40">
        <v>0</v>
      </c>
      <c r="R676" s="40">
        <v>0</v>
      </c>
      <c r="S676" s="40">
        <v>0</v>
      </c>
      <c r="T676" s="29">
        <f t="array" aca="1" ref="T676" ca="1">+fair_value_gap(OFFSET(S675,0,0,-1*$I$5,-1*$Z$1),OFFSET(E675,0,0,-1*$I$5,1),F676:S676,0)</f>
        <v>17.683828807920271</v>
      </c>
      <c r="U676" s="9" cm="1">
        <f t="array" aca="1" ref="U676" ca="1">z_score_diff(OFFSET(T676,0,0,$I$5*-1,1),OFFSET(E676,0,0,$I$5*-1,1))</f>
        <v>0.12786097568757393</v>
      </c>
      <c r="V676" s="9">
        <f t="shared" ca="1" si="87"/>
        <v>-7.1062343231036787E-2</v>
      </c>
      <c r="W676" s="17">
        <f t="shared" ca="1" si="84"/>
        <v>1.1406411639350749E-3</v>
      </c>
      <c r="X676" s="13">
        <f t="shared" ca="1" si="85"/>
        <v>0</v>
      </c>
      <c r="Y676" s="13">
        <f t="shared" ca="1" si="86"/>
        <v>0</v>
      </c>
      <c r="Z676">
        <f t="shared" ca="1" si="88"/>
        <v>1</v>
      </c>
      <c r="AA676">
        <f t="shared" ca="1" si="89"/>
        <v>0</v>
      </c>
      <c r="AB676" s="24">
        <f t="shared" ca="1" si="90"/>
        <v>1.1406411639350749E-3</v>
      </c>
      <c r="AC676" s="24">
        <f t="shared" ca="1" si="91"/>
        <v>0</v>
      </c>
    </row>
    <row r="677" spans="3:29" x14ac:dyDescent="0.25">
      <c r="C677" s="6">
        <v>670</v>
      </c>
      <c r="D677" s="37">
        <v>42957</v>
      </c>
      <c r="E677" s="39">
        <v>17.646000000000001</v>
      </c>
      <c r="F677" s="39">
        <v>2.5926053955822006</v>
      </c>
      <c r="G677" s="39">
        <v>55.979798925701807</v>
      </c>
      <c r="H677" s="39">
        <v>62.551749226745159</v>
      </c>
      <c r="I677" s="10">
        <v>0</v>
      </c>
      <c r="J677" s="40">
        <v>0</v>
      </c>
      <c r="K677" s="40">
        <v>0</v>
      </c>
      <c r="L677" s="40">
        <v>0</v>
      </c>
      <c r="M677" s="40">
        <v>0</v>
      </c>
      <c r="N677" s="40">
        <v>0</v>
      </c>
      <c r="O677" s="40">
        <v>0</v>
      </c>
      <c r="P677" s="40">
        <v>1</v>
      </c>
      <c r="Q677" s="40">
        <v>0</v>
      </c>
      <c r="R677" s="40">
        <v>0</v>
      </c>
      <c r="S677" s="40">
        <v>0</v>
      </c>
      <c r="T677" s="29">
        <f t="array" aca="1" ref="T677" ca="1">+fair_value_gap(OFFSET(S676,0,0,-1*$I$5,-1*$Z$1),OFFSET(E676,0,0,-1*$I$5,1),F677:S677,0)</f>
        <v>17.737421841113655</v>
      </c>
      <c r="U677" s="9" cm="1">
        <f t="array" aca="1" ref="U677" ca="1">z_score_diff(OFFSET(T677,0,0,$I$5*-1,1),OFFSET(E677,0,0,$I$5*-1,1))</f>
        <v>7.5074036289008994E-3</v>
      </c>
      <c r="V677" s="9">
        <f t="shared" ca="1" si="87"/>
        <v>-6.7864011606913965E-2</v>
      </c>
      <c r="W677" s="17">
        <f t="shared" ca="1" si="84"/>
        <v>-6.4243093119216565E-3</v>
      </c>
      <c r="X677" s="13">
        <f t="shared" ca="1" si="85"/>
        <v>0</v>
      </c>
      <c r="Y677" s="13">
        <f t="shared" ca="1" si="86"/>
        <v>0</v>
      </c>
      <c r="Z677">
        <f t="shared" ca="1" si="88"/>
        <v>1</v>
      </c>
      <c r="AA677">
        <f t="shared" ca="1" si="89"/>
        <v>0</v>
      </c>
      <c r="AB677" s="24">
        <f t="shared" ca="1" si="90"/>
        <v>-6.4243093119216565E-3</v>
      </c>
      <c r="AC677" s="24">
        <f t="shared" ca="1" si="91"/>
        <v>0</v>
      </c>
    </row>
    <row r="678" spans="3:29" x14ac:dyDescent="0.25">
      <c r="C678" s="6">
        <v>671</v>
      </c>
      <c r="D678" s="37">
        <v>42958</v>
      </c>
      <c r="E678" s="39">
        <v>17.734000000000002</v>
      </c>
      <c r="F678" s="39">
        <v>2.5870250114628011</v>
      </c>
      <c r="G678" s="39">
        <v>56.142654071700882</v>
      </c>
      <c r="H678" s="39">
        <v>62.789081999834316</v>
      </c>
      <c r="I678" s="10">
        <v>0</v>
      </c>
      <c r="J678" s="40">
        <v>0</v>
      </c>
      <c r="K678" s="40">
        <v>0</v>
      </c>
      <c r="L678" s="40">
        <v>0</v>
      </c>
      <c r="M678" s="40">
        <v>0</v>
      </c>
      <c r="N678" s="40">
        <v>0</v>
      </c>
      <c r="O678" s="40">
        <v>0</v>
      </c>
      <c r="P678" s="40">
        <v>1</v>
      </c>
      <c r="Q678" s="40">
        <v>0</v>
      </c>
      <c r="R678" s="40">
        <v>0</v>
      </c>
      <c r="S678" s="40">
        <v>0</v>
      </c>
      <c r="T678" s="29">
        <f t="array" aca="1" ref="T678" ca="1">+fair_value_gap(OFFSET(S677,0,0,-1*$I$5,-1*$Z$1),OFFSET(E677,0,0,-1*$I$5,1),F678:S678,0)</f>
        <v>17.758505922600108</v>
      </c>
      <c r="U678" s="9" cm="1">
        <f t="array" aca="1" ref="U678" ca="1">z_score_diff(OFFSET(T678,0,0,$I$5*-1,1),OFFSET(E678,0,0,$I$5*-1,1))</f>
        <v>-0.1063956816712377</v>
      </c>
      <c r="V678" s="9">
        <f t="shared" ca="1" si="87"/>
        <v>-6.6329873149075264E-2</v>
      </c>
      <c r="W678" s="17">
        <f t="shared" ca="1" si="84"/>
        <v>-9.1089933268271556E-2</v>
      </c>
      <c r="X678" s="13">
        <f t="shared" ca="1" si="85"/>
        <v>0</v>
      </c>
      <c r="Y678" s="13">
        <f t="shared" ca="1" si="86"/>
        <v>0</v>
      </c>
      <c r="Z678">
        <f t="shared" ca="1" si="88"/>
        <v>1</v>
      </c>
      <c r="AA678">
        <f t="shared" ca="1" si="89"/>
        <v>0</v>
      </c>
      <c r="AB678" s="24">
        <f t="shared" ca="1" si="90"/>
        <v>-9.1089933268271556E-2</v>
      </c>
      <c r="AC678" s="24">
        <f t="shared" ca="1" si="91"/>
        <v>0</v>
      </c>
    </row>
    <row r="679" spans="3:29" x14ac:dyDescent="0.25">
      <c r="C679" s="6">
        <v>672</v>
      </c>
      <c r="D679" s="37">
        <v>42961</v>
      </c>
      <c r="E679" s="39">
        <v>17.579999999999998</v>
      </c>
      <c r="F679" s="39">
        <v>2.5992314171404507</v>
      </c>
      <c r="G679" s="39">
        <v>55.388589993954447</v>
      </c>
      <c r="H679" s="39">
        <v>62.924431459254585</v>
      </c>
      <c r="I679" s="10">
        <v>0</v>
      </c>
      <c r="J679" s="40">
        <v>0</v>
      </c>
      <c r="K679" s="40">
        <v>0</v>
      </c>
      <c r="L679" s="40">
        <v>0</v>
      </c>
      <c r="M679" s="40">
        <v>0</v>
      </c>
      <c r="N679" s="40">
        <v>0</v>
      </c>
      <c r="O679" s="40">
        <v>0</v>
      </c>
      <c r="P679" s="40">
        <v>1</v>
      </c>
      <c r="Q679" s="40">
        <v>0</v>
      </c>
      <c r="R679" s="40">
        <v>0</v>
      </c>
      <c r="S679" s="40">
        <v>0</v>
      </c>
      <c r="T679" s="29">
        <f t="array" aca="1" ref="T679" ca="1">+fair_value_gap(OFFSET(S678,0,0,-1*$I$5,-1*$Z$1),OFFSET(E678,0,0,-1*$I$5,1),F679:S679,0)</f>
        <v>17.578907961765339</v>
      </c>
      <c r="U679" s="9" cm="1">
        <f t="array" aca="1" ref="U679" ca="1">z_score_diff(OFFSET(T679,0,0,$I$5*-1,1),OFFSET(E679,0,0,$I$5*-1,1))</f>
        <v>-0.14597200844263658</v>
      </c>
      <c r="V679" s="9">
        <f t="shared" ca="1" si="87"/>
        <v>-6.4667609939615359E-2</v>
      </c>
      <c r="W679" s="17">
        <f t="shared" ca="1" si="84"/>
        <v>-8.0763483107331904E-2</v>
      </c>
      <c r="X679" s="13">
        <f t="shared" ca="1" si="85"/>
        <v>0</v>
      </c>
      <c r="Y679" s="13">
        <f t="shared" ca="1" si="86"/>
        <v>0</v>
      </c>
      <c r="Z679">
        <f t="shared" ca="1" si="88"/>
        <v>1</v>
      </c>
      <c r="AA679">
        <f t="shared" ca="1" si="89"/>
        <v>0</v>
      </c>
      <c r="AB679" s="24">
        <f t="shared" ca="1" si="90"/>
        <v>-8.0763483107331904E-2</v>
      </c>
      <c r="AC679" s="24">
        <f t="shared" ca="1" si="91"/>
        <v>0</v>
      </c>
    </row>
    <row r="680" spans="3:29" x14ac:dyDescent="0.25">
      <c r="C680" s="6">
        <v>673</v>
      </c>
      <c r="D680" s="37">
        <v>42962</v>
      </c>
      <c r="E680" s="39">
        <v>17.326000000000001</v>
      </c>
      <c r="F680" s="39">
        <v>2.5982794239875338</v>
      </c>
      <c r="G680" s="39">
        <v>54.589549814858927</v>
      </c>
      <c r="H680" s="39">
        <v>62.811011488389866</v>
      </c>
      <c r="I680" s="10">
        <v>0</v>
      </c>
      <c r="J680" s="40">
        <v>0</v>
      </c>
      <c r="K680" s="40">
        <v>0</v>
      </c>
      <c r="L680" s="40">
        <v>0</v>
      </c>
      <c r="M680" s="40">
        <v>0</v>
      </c>
      <c r="N680" s="40">
        <v>0</v>
      </c>
      <c r="O680" s="40">
        <v>0</v>
      </c>
      <c r="P680" s="40">
        <v>1</v>
      </c>
      <c r="Q680" s="40">
        <v>0</v>
      </c>
      <c r="R680" s="40">
        <v>0</v>
      </c>
      <c r="S680" s="40">
        <v>0</v>
      </c>
      <c r="T680" s="29">
        <f t="array" aca="1" ref="T680" ca="1">+fair_value_gap(OFFSET(S679,0,0,-1*$I$5,-1*$Z$1),OFFSET(E679,0,0,-1*$I$5,1),F680:S680,0)</f>
        <v>17.368585482613362</v>
      </c>
      <c r="U680" s="9" cm="1">
        <f t="array" aca="1" ref="U680" ca="1">z_score_diff(OFFSET(T680,0,0,$I$5*-1,1),OFFSET(E680,0,0,$I$5*-1,1))</f>
        <v>-6.9126108923439955E-2</v>
      </c>
      <c r="V680" s="9">
        <f t="shared" ca="1" si="87"/>
        <v>-5.6067929339151668E-2</v>
      </c>
      <c r="W680" s="17">
        <f t="shared" ca="1" si="84"/>
        <v>-5.8041530074673157E-2</v>
      </c>
      <c r="X680" s="13">
        <f t="shared" ca="1" si="85"/>
        <v>0</v>
      </c>
      <c r="Y680" s="13">
        <f t="shared" ca="1" si="86"/>
        <v>0</v>
      </c>
      <c r="Z680">
        <f t="shared" ca="1" si="88"/>
        <v>1</v>
      </c>
      <c r="AA680">
        <f t="shared" ca="1" si="89"/>
        <v>0</v>
      </c>
      <c r="AB680" s="24">
        <f t="shared" ca="1" si="90"/>
        <v>-5.8041530074673157E-2</v>
      </c>
      <c r="AC680" s="24">
        <f t="shared" ca="1" si="91"/>
        <v>0</v>
      </c>
    </row>
    <row r="681" spans="3:29" x14ac:dyDescent="0.25">
      <c r="C681" s="6">
        <v>674</v>
      </c>
      <c r="D681" s="37">
        <v>42963</v>
      </c>
      <c r="E681" s="39">
        <v>17.536000000000001</v>
      </c>
      <c r="F681" s="39">
        <v>2.576873996624542</v>
      </c>
      <c r="G681" s="39">
        <v>55.11674709484754</v>
      </c>
      <c r="H681" s="39">
        <v>63.804388095336101</v>
      </c>
      <c r="I681" s="10">
        <v>0</v>
      </c>
      <c r="J681" s="40">
        <v>0</v>
      </c>
      <c r="K681" s="40">
        <v>0</v>
      </c>
      <c r="L681" s="40">
        <v>0</v>
      </c>
      <c r="M681" s="40">
        <v>0</v>
      </c>
      <c r="N681" s="40">
        <v>0</v>
      </c>
      <c r="O681" s="40">
        <v>0</v>
      </c>
      <c r="P681" s="40">
        <v>1</v>
      </c>
      <c r="Q681" s="40">
        <v>0</v>
      </c>
      <c r="R681" s="40">
        <v>0</v>
      </c>
      <c r="S681" s="40">
        <v>0</v>
      </c>
      <c r="T681" s="29">
        <f t="array" aca="1" ref="T681" ca="1">+fair_value_gap(OFFSET(S680,0,0,-1*$I$5,-1*$Z$1),OFFSET(E680,0,0,-1*$I$5,1),F681:S681,0)</f>
        <v>17.489470758665647</v>
      </c>
      <c r="U681" s="9" cm="1">
        <f t="array" aca="1" ref="U681" ca="1">z_score_diff(OFFSET(T681,0,0,$I$5*-1,1),OFFSET(E681,0,0,$I$5*-1,1))</f>
        <v>-0.21955616378835274</v>
      </c>
      <c r="V681" s="9">
        <f t="shared" ca="1" si="87"/>
        <v>-5.6378570703648462E-2</v>
      </c>
      <c r="W681" s="17">
        <f t="shared" ca="1" si="84"/>
        <v>-7.3581720979438867E-2</v>
      </c>
      <c r="X681" s="13">
        <f t="shared" ca="1" si="85"/>
        <v>0</v>
      </c>
      <c r="Y681" s="13">
        <f t="shared" ca="1" si="86"/>
        <v>0</v>
      </c>
      <c r="Z681">
        <f t="shared" ca="1" si="88"/>
        <v>1</v>
      </c>
      <c r="AA681">
        <f t="shared" ca="1" si="89"/>
        <v>0</v>
      </c>
      <c r="AB681" s="24">
        <f t="shared" ca="1" si="90"/>
        <v>-7.3581720979438867E-2</v>
      </c>
      <c r="AC681" s="24">
        <f t="shared" ca="1" si="91"/>
        <v>0</v>
      </c>
    </row>
    <row r="682" spans="3:29" x14ac:dyDescent="0.25">
      <c r="C682" s="6">
        <v>675</v>
      </c>
      <c r="D682" s="37">
        <v>42964</v>
      </c>
      <c r="E682" s="39">
        <v>17.516999999999999</v>
      </c>
      <c r="F682" s="39">
        <v>2.592089455611605</v>
      </c>
      <c r="G682" s="39">
        <v>55.340229082304361</v>
      </c>
      <c r="H682" s="39">
        <v>64.533518982611085</v>
      </c>
      <c r="I682" s="10">
        <v>0</v>
      </c>
      <c r="J682" s="40">
        <v>0</v>
      </c>
      <c r="K682" s="40">
        <v>0</v>
      </c>
      <c r="L682" s="40">
        <v>0</v>
      </c>
      <c r="M682" s="40">
        <v>0</v>
      </c>
      <c r="N682" s="40">
        <v>0</v>
      </c>
      <c r="O682" s="40">
        <v>0</v>
      </c>
      <c r="P682" s="40">
        <v>1</v>
      </c>
      <c r="Q682" s="40">
        <v>0</v>
      </c>
      <c r="R682" s="40">
        <v>0</v>
      </c>
      <c r="S682" s="40">
        <v>0</v>
      </c>
      <c r="T682" s="29">
        <f t="array" aca="1" ref="T682" ca="1">+fair_value_gap(OFFSET(S681,0,0,-1*$I$5,-1*$Z$1),OFFSET(E681,0,0,-1*$I$5,1),F682:S682,0)</f>
        <v>17.575094418359807</v>
      </c>
      <c r="U682" s="9" cm="1">
        <f t="array" aca="1" ref="U682" ca="1">z_score_diff(OFFSET(T682,0,0,$I$5*-1,1),OFFSET(E682,0,0,$I$5*-1,1))</f>
        <v>-4.4232599832594088E-2</v>
      </c>
      <c r="V682" s="9">
        <f t="shared" ca="1" si="87"/>
        <v>-5.4259362937713641E-2</v>
      </c>
      <c r="W682" s="17">
        <f t="shared" ca="1" si="84"/>
        <v>-6.8882780417060863E-2</v>
      </c>
      <c r="X682" s="13">
        <f t="shared" ca="1" si="85"/>
        <v>0</v>
      </c>
      <c r="Y682" s="13">
        <f t="shared" ca="1" si="86"/>
        <v>0</v>
      </c>
      <c r="Z682">
        <f t="shared" ca="1" si="88"/>
        <v>1</v>
      </c>
      <c r="AA682">
        <f t="shared" ca="1" si="89"/>
        <v>0</v>
      </c>
      <c r="AB682" s="24">
        <f t="shared" ca="1" si="90"/>
        <v>-6.8882780417060863E-2</v>
      </c>
      <c r="AC682" s="24">
        <f t="shared" ca="1" si="91"/>
        <v>0</v>
      </c>
    </row>
    <row r="683" spans="3:29" x14ac:dyDescent="0.25">
      <c r="C683" s="6">
        <v>676</v>
      </c>
      <c r="D683" s="37">
        <v>42965</v>
      </c>
      <c r="E683" s="39">
        <v>17.327000000000002</v>
      </c>
      <c r="F683" s="39">
        <v>2.5806515403572869</v>
      </c>
      <c r="G683" s="39">
        <v>55.075833355862549</v>
      </c>
      <c r="H683" s="39">
        <v>64.39269408650128</v>
      </c>
      <c r="I683" s="10">
        <v>0</v>
      </c>
      <c r="J683" s="40">
        <v>0</v>
      </c>
      <c r="K683" s="40">
        <v>0</v>
      </c>
      <c r="L683" s="40">
        <v>0</v>
      </c>
      <c r="M683" s="40">
        <v>0</v>
      </c>
      <c r="N683" s="40">
        <v>0</v>
      </c>
      <c r="O683" s="40">
        <v>0</v>
      </c>
      <c r="P683" s="40">
        <v>1</v>
      </c>
      <c r="Q683" s="40">
        <v>0</v>
      </c>
      <c r="R683" s="40">
        <v>0</v>
      </c>
      <c r="S683" s="40">
        <v>0</v>
      </c>
      <c r="T683" s="29">
        <f t="array" aca="1" ref="T683" ca="1">+fair_value_gap(OFFSET(S682,0,0,-1*$I$5,-1*$Z$1),OFFSET(E682,0,0,-1*$I$5,1),F683:S683,0)</f>
        <v>17.469226489054506</v>
      </c>
      <c r="U683" s="9" cm="1">
        <f t="array" aca="1" ref="U683" ca="1">z_score_diff(OFFSET(T683,0,0,$I$5*-1,1),OFFSET(E683,0,0,$I$5*-1,1))</f>
        <v>9.6904516706013633E-2</v>
      </c>
      <c r="V683" s="9">
        <f t="shared" ca="1" si="87"/>
        <v>-4.812295571790437E-2</v>
      </c>
      <c r="W683" s="17">
        <f t="shared" ca="1" si="84"/>
        <v>-6.4603931791451158E-2</v>
      </c>
      <c r="X683" s="13">
        <f t="shared" ca="1" si="85"/>
        <v>0</v>
      </c>
      <c r="Y683" s="13">
        <f t="shared" ca="1" si="86"/>
        <v>0</v>
      </c>
      <c r="Z683">
        <f t="shared" ca="1" si="88"/>
        <v>1</v>
      </c>
      <c r="AA683">
        <f t="shared" ca="1" si="89"/>
        <v>0</v>
      </c>
      <c r="AB683" s="24">
        <f t="shared" ca="1" si="90"/>
        <v>-6.4603931791451158E-2</v>
      </c>
      <c r="AC683" s="24">
        <f t="shared" ca="1" si="91"/>
        <v>0</v>
      </c>
    </row>
    <row r="684" spans="3:29" x14ac:dyDescent="0.25">
      <c r="C684" s="6">
        <v>677</v>
      </c>
      <c r="D684" s="37">
        <v>42968</v>
      </c>
      <c r="E684" s="39">
        <v>17.324999999999999</v>
      </c>
      <c r="F684" s="39">
        <v>2.5848102408032516</v>
      </c>
      <c r="G684" s="39">
        <v>54.848295850607187</v>
      </c>
      <c r="H684" s="39">
        <v>63.861465327366915</v>
      </c>
      <c r="I684" s="10">
        <v>0</v>
      </c>
      <c r="J684" s="40">
        <v>0</v>
      </c>
      <c r="K684" s="40">
        <v>0</v>
      </c>
      <c r="L684" s="40">
        <v>0</v>
      </c>
      <c r="M684" s="40">
        <v>0</v>
      </c>
      <c r="N684" s="40">
        <v>0</v>
      </c>
      <c r="O684" s="40">
        <v>0</v>
      </c>
      <c r="P684" s="40">
        <v>1</v>
      </c>
      <c r="Q684" s="40">
        <v>0</v>
      </c>
      <c r="R684" s="40">
        <v>0</v>
      </c>
      <c r="S684" s="40">
        <v>0</v>
      </c>
      <c r="T684" s="29">
        <f t="array" aca="1" ref="T684" ca="1">+fair_value_gap(OFFSET(S683,0,0,-1*$I$5,-1*$Z$1),OFFSET(E683,0,0,-1*$I$5,1),F684:S684,0)</f>
        <v>17.36755965585473</v>
      </c>
      <c r="U684" s="9" cm="1">
        <f t="array" aca="1" ref="U684" ca="1">z_score_diff(OFFSET(T684,0,0,$I$5*-1,1),OFFSET(E684,0,0,$I$5*-1,1))</f>
        <v>-6.9242292581150222E-2</v>
      </c>
      <c r="V684" s="9">
        <f t="shared" ca="1" si="87"/>
        <v>-3.0161113435504198E-2</v>
      </c>
      <c r="W684" s="17">
        <f t="shared" ca="1" si="84"/>
        <v>-6.3073505331383464E-2</v>
      </c>
      <c r="X684" s="13">
        <f t="shared" ca="1" si="85"/>
        <v>0</v>
      </c>
      <c r="Y684" s="13">
        <f t="shared" ca="1" si="86"/>
        <v>0</v>
      </c>
      <c r="Z684">
        <f t="shared" ca="1" si="88"/>
        <v>1</v>
      </c>
      <c r="AA684">
        <f t="shared" ca="1" si="89"/>
        <v>0</v>
      </c>
      <c r="AB684" s="24">
        <f t="shared" ca="1" si="90"/>
        <v>-6.3073505331383464E-2</v>
      </c>
      <c r="AC684" s="24">
        <f t="shared" ca="1" si="91"/>
        <v>0</v>
      </c>
    </row>
    <row r="685" spans="3:29" x14ac:dyDescent="0.25">
      <c r="C685" s="6">
        <v>678</v>
      </c>
      <c r="D685" s="37">
        <v>42969</v>
      </c>
      <c r="E685" s="39">
        <v>17.321000000000002</v>
      </c>
      <c r="F685" s="39">
        <v>2.5907311957810211</v>
      </c>
      <c r="G685" s="39">
        <v>54.866905730639267</v>
      </c>
      <c r="H685" s="39">
        <v>63.717983463803485</v>
      </c>
      <c r="I685" s="10">
        <v>0</v>
      </c>
      <c r="J685" s="40">
        <v>0</v>
      </c>
      <c r="K685" s="40">
        <v>0</v>
      </c>
      <c r="L685" s="40">
        <v>0</v>
      </c>
      <c r="M685" s="40">
        <v>0</v>
      </c>
      <c r="N685" s="40">
        <v>0</v>
      </c>
      <c r="O685" s="40">
        <v>0</v>
      </c>
      <c r="P685" s="40">
        <v>1</v>
      </c>
      <c r="Q685" s="40">
        <v>0</v>
      </c>
      <c r="R685" s="40">
        <v>0</v>
      </c>
      <c r="S685" s="40">
        <v>0</v>
      </c>
      <c r="T685" s="29">
        <f t="array" aca="1" ref="T685" ca="1">+fair_value_gap(OFFSET(S684,0,0,-1*$I$5,-1*$Z$1),OFFSET(E684,0,0,-1*$I$5,1),F685:S685,0)</f>
        <v>17.358643658780096</v>
      </c>
      <c r="U685" s="9" cm="1">
        <f t="array" aca="1" ref="U685" ca="1">z_score_diff(OFFSET(T685,0,0,$I$5*-1,1),OFFSET(E685,0,0,$I$5*-1,1))</f>
        <v>-7.0531738828978896E-2</v>
      </c>
      <c r="V685" s="9">
        <f t="shared" ca="1" si="87"/>
        <v>-1.9061434564518573E-2</v>
      </c>
      <c r="W685" s="17">
        <f t="shared" ca="1" si="84"/>
        <v>-5.9773416732831222E-2</v>
      </c>
      <c r="X685" s="13">
        <f t="shared" ca="1" si="85"/>
        <v>0</v>
      </c>
      <c r="Y685" s="13">
        <f t="shared" ca="1" si="86"/>
        <v>0</v>
      </c>
      <c r="Z685">
        <f t="shared" ca="1" si="88"/>
        <v>1</v>
      </c>
      <c r="AA685">
        <f t="shared" ca="1" si="89"/>
        <v>0</v>
      </c>
      <c r="AB685" s="24">
        <f t="shared" ca="1" si="90"/>
        <v>-5.9773416732831222E-2</v>
      </c>
      <c r="AC685" s="24">
        <f t="shared" ca="1" si="91"/>
        <v>0</v>
      </c>
    </row>
    <row r="686" spans="3:29" x14ac:dyDescent="0.25">
      <c r="C686" s="6">
        <v>679</v>
      </c>
      <c r="D686" s="37">
        <v>42970</v>
      </c>
      <c r="E686" s="39">
        <v>17.385999999999999</v>
      </c>
      <c r="F686" s="39">
        <v>2.5836590948821723</v>
      </c>
      <c r="G686" s="39">
        <v>55.122588052096035</v>
      </c>
      <c r="H686" s="39">
        <v>63.606600969939116</v>
      </c>
      <c r="I686" s="10">
        <v>0</v>
      </c>
      <c r="J686" s="40">
        <v>0</v>
      </c>
      <c r="K686" s="40">
        <v>0</v>
      </c>
      <c r="L686" s="40">
        <v>0</v>
      </c>
      <c r="M686" s="40">
        <v>0</v>
      </c>
      <c r="N686" s="40">
        <v>0</v>
      </c>
      <c r="O686" s="40">
        <v>0</v>
      </c>
      <c r="P686" s="40">
        <v>1</v>
      </c>
      <c r="Q686" s="40">
        <v>0</v>
      </c>
      <c r="R686" s="40">
        <v>0</v>
      </c>
      <c r="S686" s="40">
        <v>0</v>
      </c>
      <c r="T686" s="29">
        <f t="array" aca="1" ref="T686" ca="1">+fair_value_gap(OFFSET(S685,0,0,-1*$I$5,-1*$Z$1),OFFSET(E685,0,0,-1*$I$5,1),F686:S686,0)</f>
        <v>17.417436124287654</v>
      </c>
      <c r="U686" s="9" cm="1">
        <f t="array" aca="1" ref="U686" ca="1">z_score_diff(OFFSET(T686,0,0,$I$5*-1,1),OFFSET(E686,0,0,$I$5*-1,1))</f>
        <v>-7.9017480505957582E-2</v>
      </c>
      <c r="V686" s="9">
        <f t="shared" ca="1" si="87"/>
        <v>-1.0593873718939396E-2</v>
      </c>
      <c r="W686" s="17">
        <f t="shared" ca="1" si="84"/>
        <v>-5.9909503135556978E-2</v>
      </c>
      <c r="X686" s="13">
        <f t="shared" ca="1" si="85"/>
        <v>0</v>
      </c>
      <c r="Y686" s="13">
        <f t="shared" ca="1" si="86"/>
        <v>0</v>
      </c>
      <c r="Z686">
        <f t="shared" ca="1" si="88"/>
        <v>1</v>
      </c>
      <c r="AA686">
        <f t="shared" ca="1" si="89"/>
        <v>0</v>
      </c>
      <c r="AB686" s="24">
        <f t="shared" ca="1" si="90"/>
        <v>-5.9909503135556978E-2</v>
      </c>
      <c r="AC686" s="24">
        <f t="shared" ca="1" si="91"/>
        <v>0</v>
      </c>
    </row>
    <row r="687" spans="3:29" x14ac:dyDescent="0.25">
      <c r="C687" s="6">
        <v>680</v>
      </c>
      <c r="D687" s="37">
        <v>42971</v>
      </c>
      <c r="E687" s="39">
        <v>17.297000000000001</v>
      </c>
      <c r="F687" s="39">
        <v>2.5846794521267777</v>
      </c>
      <c r="G687" s="39">
        <v>54.983576751884598</v>
      </c>
      <c r="H687" s="39">
        <v>63.919090008916648</v>
      </c>
      <c r="I687" s="10">
        <v>0</v>
      </c>
      <c r="J687" s="40">
        <v>0</v>
      </c>
      <c r="K687" s="40">
        <v>0</v>
      </c>
      <c r="L687" s="40">
        <v>0</v>
      </c>
      <c r="M687" s="40">
        <v>0</v>
      </c>
      <c r="N687" s="40">
        <v>0</v>
      </c>
      <c r="O687" s="40">
        <v>0</v>
      </c>
      <c r="P687" s="40">
        <v>1</v>
      </c>
      <c r="Q687" s="40">
        <v>0</v>
      </c>
      <c r="R687" s="40">
        <v>0</v>
      </c>
      <c r="S687" s="40">
        <v>0</v>
      </c>
      <c r="T687" s="29">
        <f t="array" aca="1" ref="T687" ca="1">+fair_value_gap(OFFSET(S686,0,0,-1*$I$5,-1*$Z$1),OFFSET(E686,0,0,-1*$I$5,1),F687:S687,0)</f>
        <v>17.385631882890902</v>
      </c>
      <c r="U687" s="9" cm="1">
        <f t="array" aca="1" ref="U687" ca="1">z_score_diff(OFFSET(T687,0,0,$I$5*-1,1),OFFSET(E687,0,0,$I$5*-1,1))</f>
        <v>1.7896784956567657E-2</v>
      </c>
      <c r="V687" s="9">
        <f t="shared" ca="1" si="87"/>
        <v>-6.9505063754295958E-3</v>
      </c>
      <c r="W687" s="17">
        <f t="shared" ca="1" si="84"/>
        <v>-5.3190767480814458E-2</v>
      </c>
      <c r="X687" s="13">
        <f t="shared" ca="1" si="85"/>
        <v>0</v>
      </c>
      <c r="Y687" s="13">
        <f t="shared" ca="1" si="86"/>
        <v>0</v>
      </c>
      <c r="Z687">
        <f t="shared" ca="1" si="88"/>
        <v>1</v>
      </c>
      <c r="AA687">
        <f t="shared" ca="1" si="89"/>
        <v>0</v>
      </c>
      <c r="AB687" s="24">
        <f t="shared" ca="1" si="90"/>
        <v>-5.3190767480814458E-2</v>
      </c>
      <c r="AC687" s="24">
        <f t="shared" ca="1" si="91"/>
        <v>0</v>
      </c>
    </row>
    <row r="688" spans="3:29" x14ac:dyDescent="0.25">
      <c r="C688" s="6">
        <v>681</v>
      </c>
      <c r="D688" s="37">
        <v>42972</v>
      </c>
      <c r="E688" s="39">
        <v>17.343</v>
      </c>
      <c r="F688" s="39">
        <v>2.5472542062195251</v>
      </c>
      <c r="G688" s="39">
        <v>54.709487923035297</v>
      </c>
      <c r="H688" s="39">
        <v>63.376659676275274</v>
      </c>
      <c r="I688" s="10">
        <v>0</v>
      </c>
      <c r="J688" s="40">
        <v>0</v>
      </c>
      <c r="K688" s="40">
        <v>0</v>
      </c>
      <c r="L688" s="40">
        <v>0</v>
      </c>
      <c r="M688" s="40">
        <v>0</v>
      </c>
      <c r="N688" s="40">
        <v>0</v>
      </c>
      <c r="O688" s="40">
        <v>0</v>
      </c>
      <c r="P688" s="40">
        <v>1</v>
      </c>
      <c r="Q688" s="40">
        <v>0</v>
      </c>
      <c r="R688" s="40">
        <v>0</v>
      </c>
      <c r="S688" s="40">
        <v>0</v>
      </c>
      <c r="T688" s="29">
        <f t="array" aca="1" ref="T688" ca="1">+fair_value_gap(OFFSET(S687,0,0,-1*$I$5,-1*$Z$1),OFFSET(E687,0,0,-1*$I$5,1),F688:S688,0)</f>
        <v>17.263609576042224</v>
      </c>
      <c r="U688" s="9" cm="1">
        <f t="array" aca="1" ref="U688" ca="1">z_score_diff(OFFSET(T688,0,0,$I$5*-1,1),OFFSET(E688,0,0,$I$5*-1,1))</f>
        <v>-0.26092019370710473</v>
      </c>
      <c r="V688" s="9">
        <f t="shared" ca="1" si="87"/>
        <v>-1.7117148061309866E-2</v>
      </c>
      <c r="W688" s="17">
        <f t="shared" ca="1" si="84"/>
        <v>-4.8133054391166011E-2</v>
      </c>
      <c r="X688" s="13">
        <f t="shared" ca="1" si="85"/>
        <v>0</v>
      </c>
      <c r="Y688" s="13">
        <f t="shared" ca="1" si="86"/>
        <v>0</v>
      </c>
      <c r="Z688">
        <f t="shared" ca="1" si="88"/>
        <v>1</v>
      </c>
      <c r="AA688">
        <f t="shared" ca="1" si="89"/>
        <v>0</v>
      </c>
      <c r="AB688" s="24">
        <f t="shared" ca="1" si="90"/>
        <v>-4.8133054391166011E-2</v>
      </c>
      <c r="AC688" s="24">
        <f t="shared" ca="1" si="91"/>
        <v>0</v>
      </c>
    </row>
    <row r="689" spans="3:29" x14ac:dyDescent="0.25">
      <c r="C689" s="6">
        <v>682</v>
      </c>
      <c r="D689" s="37">
        <v>42975</v>
      </c>
      <c r="E689" s="39">
        <v>17.356000000000002</v>
      </c>
      <c r="F689" s="39">
        <v>2.547848052074225</v>
      </c>
      <c r="G689" s="39">
        <v>54.671501706484641</v>
      </c>
      <c r="H689" s="39">
        <v>63.23067456847695</v>
      </c>
      <c r="I689" s="10">
        <v>0</v>
      </c>
      <c r="J689" s="40">
        <v>0</v>
      </c>
      <c r="K689" s="40">
        <v>0</v>
      </c>
      <c r="L689" s="40">
        <v>0</v>
      </c>
      <c r="M689" s="40">
        <v>0</v>
      </c>
      <c r="N689" s="40">
        <v>0</v>
      </c>
      <c r="O689" s="40">
        <v>0</v>
      </c>
      <c r="P689" s="40">
        <v>1</v>
      </c>
      <c r="Q689" s="40">
        <v>0</v>
      </c>
      <c r="R689" s="40">
        <v>0</v>
      </c>
      <c r="S689" s="40">
        <v>0</v>
      </c>
      <c r="T689" s="29">
        <f t="array" aca="1" ref="T689" ca="1">+fair_value_gap(OFFSET(S688,0,0,-1*$I$5,-1*$Z$1),OFFSET(E688,0,0,-1*$I$5,1),F689:S689,0)</f>
        <v>17.254670511538773</v>
      </c>
      <c r="U689" s="9" cm="1">
        <f t="array" aca="1" ref="U689" ca="1">z_score_diff(OFFSET(T689,0,0,$I$5*-1,1),OFFSET(E689,0,0,$I$5*-1,1))</f>
        <v>-0.29581318911854437</v>
      </c>
      <c r="V689" s="9">
        <f t="shared" ca="1" si="87"/>
        <v>-2.5763791488742142E-2</v>
      </c>
      <c r="W689" s="17">
        <f t="shared" ca="1" si="84"/>
        <v>-4.2609717380392466E-2</v>
      </c>
      <c r="X689" s="13">
        <f t="shared" ca="1" si="85"/>
        <v>0</v>
      </c>
      <c r="Y689" s="13">
        <f t="shared" ca="1" si="86"/>
        <v>0</v>
      </c>
      <c r="Z689">
        <f t="shared" ca="1" si="88"/>
        <v>1</v>
      </c>
      <c r="AA689">
        <f t="shared" ca="1" si="89"/>
        <v>0</v>
      </c>
      <c r="AB689" s="24">
        <f t="shared" ca="1" si="90"/>
        <v>-4.2609717380392466E-2</v>
      </c>
      <c r="AC689" s="24">
        <f t="shared" ca="1" si="91"/>
        <v>0</v>
      </c>
    </row>
    <row r="690" spans="3:29" x14ac:dyDescent="0.25">
      <c r="C690" s="6">
        <v>683</v>
      </c>
      <c r="D690" s="37">
        <v>42976</v>
      </c>
      <c r="E690" s="39">
        <v>17.329999999999998</v>
      </c>
      <c r="F690" s="39">
        <v>2.5539114104390621</v>
      </c>
      <c r="G690" s="39">
        <v>54.909071516185797</v>
      </c>
      <c r="H690" s="39">
        <v>63.544230022017871</v>
      </c>
      <c r="I690" s="10">
        <v>0</v>
      </c>
      <c r="J690" s="40">
        <v>0</v>
      </c>
      <c r="K690" s="40">
        <v>0</v>
      </c>
      <c r="L690" s="40">
        <v>0</v>
      </c>
      <c r="M690" s="40">
        <v>0</v>
      </c>
      <c r="N690" s="40">
        <v>0</v>
      </c>
      <c r="O690" s="40">
        <v>0</v>
      </c>
      <c r="P690" s="40">
        <v>1</v>
      </c>
      <c r="Q690" s="40">
        <v>0</v>
      </c>
      <c r="R690" s="40">
        <v>0</v>
      </c>
      <c r="S690" s="40">
        <v>0</v>
      </c>
      <c r="T690" s="29">
        <f t="array" aca="1" ref="T690" ca="1">+fair_value_gap(OFFSET(S689,0,0,-1*$I$5,-1*$Z$1),OFFSET(E689,0,0,-1*$I$5,1),F690:S690,0)</f>
        <v>17.336748162331784</v>
      </c>
      <c r="U690" s="9" cm="1">
        <f t="array" aca="1" ref="U690" ca="1">z_score_diff(OFFSET(T690,0,0,$I$5*-1,1),OFFSET(E690,0,0,$I$5*-1,1))</f>
        <v>-0.1141419491793515</v>
      </c>
      <c r="V690" s="9">
        <f t="shared" ca="1" si="87"/>
        <v>-2.3958938920093514E-2</v>
      </c>
      <c r="W690" s="17">
        <f t="shared" ca="1" si="84"/>
        <v>-4.4302269470186451E-2</v>
      </c>
      <c r="X690" s="13">
        <f t="shared" ca="1" si="85"/>
        <v>0</v>
      </c>
      <c r="Y690" s="13">
        <f t="shared" ca="1" si="86"/>
        <v>0</v>
      </c>
      <c r="Z690">
        <f t="shared" ca="1" si="88"/>
        <v>1</v>
      </c>
      <c r="AA690">
        <f t="shared" ca="1" si="89"/>
        <v>0</v>
      </c>
      <c r="AB690" s="24">
        <f t="shared" ca="1" si="90"/>
        <v>-4.4302269470186451E-2</v>
      </c>
      <c r="AC690" s="24">
        <f t="shared" ca="1" si="91"/>
        <v>0</v>
      </c>
    </row>
    <row r="691" spans="3:29" x14ac:dyDescent="0.25">
      <c r="C691" s="6">
        <v>684</v>
      </c>
      <c r="D691" s="37">
        <v>42977</v>
      </c>
      <c r="E691" s="39">
        <v>17.312999999999999</v>
      </c>
      <c r="F691" s="39">
        <v>2.5124214868285368</v>
      </c>
      <c r="G691" s="39">
        <v>54.985105069643858</v>
      </c>
      <c r="H691" s="39">
        <v>63.748007874753917</v>
      </c>
      <c r="I691" s="10">
        <v>0</v>
      </c>
      <c r="J691" s="40">
        <v>0</v>
      </c>
      <c r="K691" s="40">
        <v>0</v>
      </c>
      <c r="L691" s="40">
        <v>0</v>
      </c>
      <c r="M691" s="40">
        <v>0</v>
      </c>
      <c r="N691" s="40">
        <v>0</v>
      </c>
      <c r="O691" s="40">
        <v>0</v>
      </c>
      <c r="P691" s="40">
        <v>1</v>
      </c>
      <c r="Q691" s="40">
        <v>0</v>
      </c>
      <c r="R691" s="40">
        <v>0</v>
      </c>
      <c r="S691" s="40">
        <v>0</v>
      </c>
      <c r="T691" s="29">
        <f t="array" aca="1" ref="T691" ca="1">+fair_value_gap(OFFSET(S690,0,0,-1*$I$5,-1*$Z$1),OFFSET(E690,0,0,-1*$I$5,1),F691:S691,0)</f>
        <v>17.329169035432979</v>
      </c>
      <c r="U691" s="9" cm="1">
        <f t="array" aca="1" ref="U691" ca="1">z_score_diff(OFFSET(T691,0,0,$I$5*-1,1),OFFSET(E691,0,0,$I$5*-1,1))</f>
        <v>-9.7615739617622932E-2</v>
      </c>
      <c r="V691" s="9">
        <f t="shared" ca="1" si="87"/>
        <v>-2.6597827540802976E-2</v>
      </c>
      <c r="W691" s="17">
        <f t="shared" ca="1" si="84"/>
        <v>-3.5689728063224457E-2</v>
      </c>
      <c r="X691" s="13">
        <f t="shared" ca="1" si="85"/>
        <v>0</v>
      </c>
      <c r="Y691" s="13">
        <f t="shared" ca="1" si="86"/>
        <v>0</v>
      </c>
      <c r="Z691">
        <f t="shared" ca="1" si="88"/>
        <v>1</v>
      </c>
      <c r="AA691">
        <f t="shared" ca="1" si="89"/>
        <v>0</v>
      </c>
      <c r="AB691" s="24">
        <f t="shared" ca="1" si="90"/>
        <v>-3.5689728063224457E-2</v>
      </c>
      <c r="AC691" s="24">
        <f t="shared" ca="1" si="91"/>
        <v>0</v>
      </c>
    </row>
    <row r="692" spans="3:29" x14ac:dyDescent="0.25">
      <c r="C692" s="6">
        <v>685</v>
      </c>
      <c r="D692" s="37">
        <v>42978</v>
      </c>
      <c r="E692" s="39">
        <v>16.641999999999999</v>
      </c>
      <c r="F692" s="39">
        <v>2.5231177305772414</v>
      </c>
      <c r="G692" s="39">
        <v>51.83451533602954</v>
      </c>
      <c r="H692" s="39">
        <v>62.772825834902996</v>
      </c>
      <c r="I692" s="10">
        <v>0</v>
      </c>
      <c r="J692" s="40">
        <v>0</v>
      </c>
      <c r="K692" s="40">
        <v>0</v>
      </c>
      <c r="L692" s="40">
        <v>0</v>
      </c>
      <c r="M692" s="40">
        <v>0</v>
      </c>
      <c r="N692" s="40">
        <v>0</v>
      </c>
      <c r="O692" s="40">
        <v>0</v>
      </c>
      <c r="P692" s="40">
        <v>1</v>
      </c>
      <c r="Q692" s="40">
        <v>0</v>
      </c>
      <c r="R692" s="40">
        <v>0</v>
      </c>
      <c r="S692" s="40">
        <v>0</v>
      </c>
      <c r="T692" s="29">
        <f t="array" aca="1" ref="T692" ca="1">+fair_value_gap(OFFSET(S691,0,0,-1*$I$5,-1*$Z$1),OFFSET(E691,0,0,-1*$I$5,1),F692:S692,0)</f>
        <v>16.455517106326816</v>
      </c>
      <c r="U692" s="9" cm="1">
        <f t="array" aca="1" ref="U692" ca="1">z_score_diff(OFFSET(T692,0,0,$I$5*-1,1),OFFSET(E692,0,0,$I$5*-1,1))</f>
        <v>-0.42937282636601593</v>
      </c>
      <c r="V692" s="9">
        <f t="shared" ca="1" si="87"/>
        <v>-3.6642752699022736E-2</v>
      </c>
      <c r="W692" s="17">
        <f t="shared" ca="1" si="84"/>
        <v>-8.9935720122230698E-3</v>
      </c>
      <c r="X692" s="13">
        <f t="shared" ca="1" si="85"/>
        <v>0</v>
      </c>
      <c r="Y692" s="13">
        <f t="shared" ca="1" si="86"/>
        <v>0</v>
      </c>
      <c r="Z692">
        <f t="shared" ca="1" si="88"/>
        <v>1</v>
      </c>
      <c r="AA692">
        <f t="shared" ca="1" si="89"/>
        <v>0</v>
      </c>
      <c r="AB692" s="24">
        <f t="shared" ca="1" si="90"/>
        <v>-8.9935720122230698E-3</v>
      </c>
      <c r="AC692" s="24">
        <f t="shared" ca="1" si="91"/>
        <v>0</v>
      </c>
    </row>
    <row r="693" spans="3:29" x14ac:dyDescent="0.25">
      <c r="C693" s="6">
        <v>686</v>
      </c>
      <c r="D693" s="37">
        <v>42979</v>
      </c>
      <c r="E693" s="39">
        <v>16.673999999999999</v>
      </c>
      <c r="F693" s="39">
        <v>2.5430674852641824</v>
      </c>
      <c r="G693" s="39">
        <v>52.174044329604513</v>
      </c>
      <c r="H693" s="39">
        <v>63.41325091789863</v>
      </c>
      <c r="I693" s="10">
        <v>0</v>
      </c>
      <c r="J693" s="40">
        <v>0</v>
      </c>
      <c r="K693" s="40">
        <v>0</v>
      </c>
      <c r="L693" s="40">
        <v>0</v>
      </c>
      <c r="M693" s="40">
        <v>0</v>
      </c>
      <c r="N693" s="40">
        <v>0</v>
      </c>
      <c r="O693" s="40">
        <v>0</v>
      </c>
      <c r="P693" s="40">
        <v>0</v>
      </c>
      <c r="Q693" s="40">
        <v>1</v>
      </c>
      <c r="R693" s="40">
        <v>0</v>
      </c>
      <c r="S693" s="40">
        <v>0</v>
      </c>
      <c r="T693" s="29">
        <f t="array" aca="1" ref="T693" ca="1">+fair_value_gap(OFFSET(S692,0,0,-1*$I$5,-1*$Z$1),OFFSET(E692,0,0,-1*$I$5,1),F693:S693,0)</f>
        <v>16.922995688390184</v>
      </c>
      <c r="U693" s="9" cm="1">
        <f t="array" aca="1" ref="U693" ca="1">z_score_diff(OFFSET(T693,0,0,$I$5*-1,1),OFFSET(E693,0,0,$I$5*-1,1))</f>
        <v>0.30095114469196005</v>
      </c>
      <c r="V693" s="9">
        <f t="shared" ca="1" si="87"/>
        <v>-2.3484685492485002E-2</v>
      </c>
      <c r="W693" s="17">
        <f t="shared" ca="1" si="84"/>
        <v>-1.9072415376387271E-2</v>
      </c>
      <c r="X693" s="13">
        <f t="shared" ca="1" si="85"/>
        <v>0</v>
      </c>
      <c r="Y693" s="13">
        <f t="shared" ca="1" si="86"/>
        <v>0</v>
      </c>
      <c r="Z693">
        <f t="shared" ca="1" si="88"/>
        <v>1</v>
      </c>
      <c r="AA693">
        <f t="shared" ca="1" si="89"/>
        <v>0</v>
      </c>
      <c r="AB693" s="24">
        <f t="shared" ca="1" si="90"/>
        <v>-1.9072415376387271E-2</v>
      </c>
      <c r="AC693" s="24">
        <f t="shared" ca="1" si="91"/>
        <v>0</v>
      </c>
    </row>
    <row r="694" spans="3:29" x14ac:dyDescent="0.25">
      <c r="C694" s="6">
        <v>687</v>
      </c>
      <c r="D694" s="37">
        <v>42982</v>
      </c>
      <c r="E694" s="39">
        <v>16.739999999999998</v>
      </c>
      <c r="F694" s="39">
        <v>2.5355874423239411</v>
      </c>
      <c r="G694" s="39">
        <v>52.354447229572699</v>
      </c>
      <c r="H694" s="39">
        <v>63.511902676462469</v>
      </c>
      <c r="I694" s="10">
        <v>0</v>
      </c>
      <c r="J694" s="40">
        <v>0</v>
      </c>
      <c r="K694" s="40">
        <v>0</v>
      </c>
      <c r="L694" s="40">
        <v>0</v>
      </c>
      <c r="M694" s="40">
        <v>0</v>
      </c>
      <c r="N694" s="40">
        <v>0</v>
      </c>
      <c r="O694" s="40">
        <v>0</v>
      </c>
      <c r="P694" s="40">
        <v>0</v>
      </c>
      <c r="Q694" s="40">
        <v>1</v>
      </c>
      <c r="R694" s="40">
        <v>0</v>
      </c>
      <c r="S694" s="40">
        <v>0</v>
      </c>
      <c r="T694" s="29">
        <f t="array" aca="1" ref="T694" ca="1">+fair_value_gap(OFFSET(S693,0,0,-1*$I$5,-1*$Z$1),OFFSET(E693,0,0,-1*$I$5,1),F694:S694,0)</f>
        <v>16.925079404666359</v>
      </c>
      <c r="U694" s="9" cm="1">
        <f t="array" aca="1" ref="U694" ca="1">z_score_diff(OFFSET(T694,0,0,$I$5*-1,1),OFFSET(E694,0,0,$I$5*-1,1))</f>
        <v>0.19301313356893468</v>
      </c>
      <c r="V694" s="9">
        <f t="shared" ca="1" si="87"/>
        <v>-9.6652802460089095E-3</v>
      </c>
      <c r="W694" s="17">
        <f t="shared" ca="1" si="84"/>
        <v>-2.4307382141651596E-2</v>
      </c>
      <c r="X694" s="13">
        <f t="shared" ca="1" si="85"/>
        <v>0</v>
      </c>
      <c r="Y694" s="13">
        <f t="shared" ca="1" si="86"/>
        <v>0</v>
      </c>
      <c r="Z694">
        <f t="shared" ca="1" si="88"/>
        <v>1</v>
      </c>
      <c r="AA694">
        <f t="shared" ca="1" si="89"/>
        <v>0</v>
      </c>
      <c r="AB694" s="24">
        <f t="shared" ca="1" si="90"/>
        <v>-2.4307382141651596E-2</v>
      </c>
      <c r="AC694" s="24">
        <f t="shared" ca="1" si="91"/>
        <v>0</v>
      </c>
    </row>
    <row r="695" spans="3:29" x14ac:dyDescent="0.25">
      <c r="C695" s="6">
        <v>688</v>
      </c>
      <c r="D695" s="37">
        <v>42983</v>
      </c>
      <c r="E695" s="39">
        <v>17.103000000000002</v>
      </c>
      <c r="F695" s="39">
        <v>2.516777158661081</v>
      </c>
      <c r="G695" s="39">
        <v>53.53321372214176</v>
      </c>
      <c r="H695" s="39">
        <v>64.383617358766841</v>
      </c>
      <c r="I695" s="10">
        <v>0</v>
      </c>
      <c r="J695" s="40">
        <v>0</v>
      </c>
      <c r="K695" s="40">
        <v>0</v>
      </c>
      <c r="L695" s="40">
        <v>0</v>
      </c>
      <c r="M695" s="40">
        <v>0</v>
      </c>
      <c r="N695" s="40">
        <v>0</v>
      </c>
      <c r="O695" s="40">
        <v>0</v>
      </c>
      <c r="P695" s="40">
        <v>0</v>
      </c>
      <c r="Q695" s="40">
        <v>1</v>
      </c>
      <c r="R695" s="40">
        <v>0</v>
      </c>
      <c r="S695" s="40">
        <v>0</v>
      </c>
      <c r="T695" s="29">
        <f t="array" aca="1" ref="T695" ca="1">+fair_value_gap(OFFSET(S694,0,0,-1*$I$5,-1*$Z$1),OFFSET(E694,0,0,-1*$I$5,1),F695:S695,0)</f>
        <v>17.216543224497162</v>
      </c>
      <c r="U695" s="9" cm="1">
        <f t="array" aca="1" ref="U695" ca="1">z_score_diff(OFFSET(T695,0,0,$I$5*-1,1),OFFSET(E695,0,0,$I$5*-1,1))</f>
        <v>6.7330358370525256E-2</v>
      </c>
      <c r="V695" s="9">
        <f t="shared" ca="1" si="87"/>
        <v>-2.6925281837074911E-3</v>
      </c>
      <c r="W695" s="17">
        <f t="shared" ca="1" si="84"/>
        <v>-4.6739995670503506E-2</v>
      </c>
      <c r="X695" s="13">
        <f t="shared" ca="1" si="85"/>
        <v>0</v>
      </c>
      <c r="Y695" s="13">
        <f t="shared" ca="1" si="86"/>
        <v>0</v>
      </c>
      <c r="Z695">
        <f t="shared" ca="1" si="88"/>
        <v>1</v>
      </c>
      <c r="AA695">
        <f t="shared" ca="1" si="89"/>
        <v>0</v>
      </c>
      <c r="AB695" s="24">
        <f t="shared" ca="1" si="90"/>
        <v>-4.6739995670503506E-2</v>
      </c>
      <c r="AC695" s="24">
        <f t="shared" ca="1" si="91"/>
        <v>0</v>
      </c>
    </row>
    <row r="696" spans="3:29" x14ac:dyDescent="0.25">
      <c r="C696" s="6">
        <v>689</v>
      </c>
      <c r="D696" s="37">
        <v>42984</v>
      </c>
      <c r="E696" s="39">
        <v>17.263999999999999</v>
      </c>
      <c r="F696" s="39">
        <v>2.5239527506938026</v>
      </c>
      <c r="G696" s="39">
        <v>53.763382747942259</v>
      </c>
      <c r="H696" s="39">
        <v>63.749322053606356</v>
      </c>
      <c r="I696" s="10">
        <v>0</v>
      </c>
      <c r="J696" s="40">
        <v>0</v>
      </c>
      <c r="K696" s="40">
        <v>0</v>
      </c>
      <c r="L696" s="40">
        <v>0</v>
      </c>
      <c r="M696" s="40">
        <v>0</v>
      </c>
      <c r="N696" s="40">
        <v>0</v>
      </c>
      <c r="O696" s="40">
        <v>0</v>
      </c>
      <c r="P696" s="40">
        <v>0</v>
      </c>
      <c r="Q696" s="40">
        <v>1</v>
      </c>
      <c r="R696" s="40">
        <v>0</v>
      </c>
      <c r="S696" s="40">
        <v>0</v>
      </c>
      <c r="T696" s="29">
        <f t="array" aca="1" ref="T696" ca="1">+fair_value_gap(OFFSET(S695,0,0,-1*$I$5,-1*$Z$1),OFFSET(E695,0,0,-1*$I$5,1),F696:S696,0)</f>
        <v>17.256288949871152</v>
      </c>
      <c r="U696" s="9" cm="1">
        <f t="array" aca="1" ref="U696" ca="1">z_score_diff(OFFSET(T696,0,0,$I$5*-1,1),OFFSET(E696,0,0,$I$5*-1,1))</f>
        <v>-0.13986712035692084</v>
      </c>
      <c r="V696" s="9">
        <f t="shared" ca="1" si="87"/>
        <v>-3.0209460611583567E-4</v>
      </c>
      <c r="W696" s="17">
        <f t="shared" ca="1" si="84"/>
        <v>-4.2902180240122545E-2</v>
      </c>
      <c r="X696" s="13">
        <f t="shared" ca="1" si="85"/>
        <v>0</v>
      </c>
      <c r="Y696" s="13">
        <f t="shared" ca="1" si="86"/>
        <v>0</v>
      </c>
      <c r="Z696">
        <f t="shared" ca="1" si="88"/>
        <v>1</v>
      </c>
      <c r="AA696">
        <f t="shared" ca="1" si="89"/>
        <v>0</v>
      </c>
      <c r="AB696" s="24">
        <f t="shared" ca="1" si="90"/>
        <v>-4.2902180240122545E-2</v>
      </c>
      <c r="AC696" s="24">
        <f t="shared" ca="1" si="91"/>
        <v>0</v>
      </c>
    </row>
    <row r="697" spans="3:29" x14ac:dyDescent="0.25">
      <c r="C697" s="6">
        <v>690</v>
      </c>
      <c r="D697" s="37">
        <v>42985</v>
      </c>
      <c r="E697" s="39">
        <v>17.283999999999999</v>
      </c>
      <c r="F697" s="39">
        <v>2.5132739081530215</v>
      </c>
      <c r="G697" s="39">
        <v>53.715424461608322</v>
      </c>
      <c r="H697" s="39">
        <v>63.335792584350287</v>
      </c>
      <c r="I697" s="10">
        <v>0</v>
      </c>
      <c r="J697" s="40">
        <v>0</v>
      </c>
      <c r="K697" s="40">
        <v>0</v>
      </c>
      <c r="L697" s="40">
        <v>0</v>
      </c>
      <c r="M697" s="40">
        <v>0</v>
      </c>
      <c r="N697" s="40">
        <v>0</v>
      </c>
      <c r="O697" s="40">
        <v>0</v>
      </c>
      <c r="P697" s="40">
        <v>0</v>
      </c>
      <c r="Q697" s="40">
        <v>1</v>
      </c>
      <c r="R697" s="40">
        <v>0</v>
      </c>
      <c r="S697" s="40">
        <v>0</v>
      </c>
      <c r="T697" s="29">
        <f t="array" aca="1" ref="T697" ca="1">+fair_value_gap(OFFSET(S696,0,0,-1*$I$5,-1*$Z$1),OFFSET(E696,0,0,-1*$I$5,1),F697:S697,0)</f>
        <v>17.225825861377377</v>
      </c>
      <c r="U697" s="9" cm="1">
        <f t="array" aca="1" ref="U697" ca="1">z_score_diff(OFFSET(T697,0,0,$I$5*-1,1),OFFSET(E697,0,0,$I$5*-1,1))</f>
        <v>-0.22481373133711613</v>
      </c>
      <c r="V697" s="9">
        <f t="shared" ca="1" si="87"/>
        <v>3.8721420906811443E-3</v>
      </c>
      <c r="W697" s="17">
        <f t="shared" ca="1" si="84"/>
        <v>-4.4180923401627353E-2</v>
      </c>
      <c r="X697" s="13">
        <f t="shared" ca="1" si="85"/>
        <v>0</v>
      </c>
      <c r="Y697" s="13">
        <f t="shared" ca="1" si="86"/>
        <v>0</v>
      </c>
      <c r="Z697">
        <f t="shared" ca="1" si="88"/>
        <v>0</v>
      </c>
      <c r="AA697">
        <f t="shared" ca="1" si="89"/>
        <v>1</v>
      </c>
      <c r="AB697" s="24">
        <f t="shared" ca="1" si="90"/>
        <v>0</v>
      </c>
      <c r="AC697" s="24">
        <f t="shared" ca="1" si="91"/>
        <v>-4.4180923401627353E-2</v>
      </c>
    </row>
    <row r="698" spans="3:29" x14ac:dyDescent="0.25">
      <c r="C698" s="6">
        <v>691</v>
      </c>
      <c r="D698" s="37">
        <v>42986</v>
      </c>
      <c r="E698" s="39">
        <v>17.323</v>
      </c>
      <c r="F698" s="39">
        <v>2.5006265669209737</v>
      </c>
      <c r="G698" s="39">
        <v>54.039068405446791</v>
      </c>
      <c r="H698" s="39">
        <v>64.026677648041044</v>
      </c>
      <c r="I698" s="10">
        <v>0</v>
      </c>
      <c r="J698" s="40">
        <v>0</v>
      </c>
      <c r="K698" s="40">
        <v>0</v>
      </c>
      <c r="L698" s="40">
        <v>0</v>
      </c>
      <c r="M698" s="40">
        <v>0</v>
      </c>
      <c r="N698" s="40">
        <v>0</v>
      </c>
      <c r="O698" s="40">
        <v>0</v>
      </c>
      <c r="P698" s="40">
        <v>0</v>
      </c>
      <c r="Q698" s="40">
        <v>1</v>
      </c>
      <c r="R698" s="40">
        <v>0</v>
      </c>
      <c r="S698" s="40">
        <v>0</v>
      </c>
      <c r="T698" s="29">
        <f t="array" aca="1" ref="T698" ca="1">+fair_value_gap(OFFSET(S697,0,0,-1*$I$5,-1*$Z$1),OFFSET(E697,0,0,-1*$I$5,1),F698:S698,0)</f>
        <v>17.320584096044634</v>
      </c>
      <c r="U698" s="9" cm="1">
        <f t="array" aca="1" ref="U698" ca="1">z_score_diff(OFFSET(T698,0,0,$I$5*-1,1),OFFSET(E698,0,0,$I$5*-1,1))</f>
        <v>-0.12942161846971012</v>
      </c>
      <c r="V698" s="9">
        <f t="shared" ca="1" si="87"/>
        <v>8.5412731694514705E-3</v>
      </c>
      <c r="W698" s="17">
        <f t="shared" ca="1" si="84"/>
        <v>-3.4951136170471311E-2</v>
      </c>
      <c r="X698" s="13">
        <f t="shared" ca="1" si="85"/>
        <v>0</v>
      </c>
      <c r="Y698" s="13">
        <f t="shared" ca="1" si="86"/>
        <v>0</v>
      </c>
      <c r="Z698">
        <f t="shared" ca="1" si="88"/>
        <v>0</v>
      </c>
      <c r="AA698">
        <f t="shared" ca="1" si="89"/>
        <v>1</v>
      </c>
      <c r="AB698" s="24">
        <f t="shared" ca="1" si="90"/>
        <v>0</v>
      </c>
      <c r="AC698" s="24">
        <f t="shared" ca="1" si="91"/>
        <v>-3.4951136170471311E-2</v>
      </c>
    </row>
    <row r="699" spans="3:29" x14ac:dyDescent="0.25">
      <c r="C699" s="6">
        <v>692</v>
      </c>
      <c r="D699" s="37">
        <v>42989</v>
      </c>
      <c r="E699" s="39">
        <v>17.622</v>
      </c>
      <c r="F699" s="39">
        <v>2.5379084877227664</v>
      </c>
      <c r="G699" s="39">
        <v>55.184795165299001</v>
      </c>
      <c r="H699" s="39">
        <v>65.069378958387219</v>
      </c>
      <c r="I699" s="10">
        <v>0</v>
      </c>
      <c r="J699" s="40">
        <v>0</v>
      </c>
      <c r="K699" s="40">
        <v>0</v>
      </c>
      <c r="L699" s="40">
        <v>0</v>
      </c>
      <c r="M699" s="40">
        <v>0</v>
      </c>
      <c r="N699" s="40">
        <v>0</v>
      </c>
      <c r="O699" s="40">
        <v>0</v>
      </c>
      <c r="P699" s="40">
        <v>0</v>
      </c>
      <c r="Q699" s="40">
        <v>1</v>
      </c>
      <c r="R699" s="40">
        <v>0</v>
      </c>
      <c r="S699" s="40">
        <v>0</v>
      </c>
      <c r="T699" s="29">
        <f t="array" aca="1" ref="T699" ca="1">+fair_value_gap(OFFSET(S698,0,0,-1*$I$5,-1*$Z$1),OFFSET(E698,0,0,-1*$I$5,1),F699:S699,0)</f>
        <v>17.684547893309961</v>
      </c>
      <c r="U699" s="9" cm="1">
        <f t="array" aca="1" ref="U699" ca="1">z_score_diff(OFFSET(T699,0,0,$I$5*-1,1),OFFSET(E699,0,0,$I$5*-1,1))</f>
        <v>-2.089174674678862E-2</v>
      </c>
      <c r="V699" s="9">
        <f t="shared" ca="1" si="87"/>
        <v>1.6578713755112374E-2</v>
      </c>
      <c r="W699" s="17">
        <f t="shared" ca="1" si="84"/>
        <v>-5.0451400255264386E-2</v>
      </c>
      <c r="X699" s="13">
        <f t="shared" ca="1" si="85"/>
        <v>0</v>
      </c>
      <c r="Y699" s="13">
        <f t="shared" ca="1" si="86"/>
        <v>0</v>
      </c>
      <c r="Z699">
        <f t="shared" ca="1" si="88"/>
        <v>0</v>
      </c>
      <c r="AA699">
        <f t="shared" ca="1" si="89"/>
        <v>1</v>
      </c>
      <c r="AB699" s="24">
        <f t="shared" ca="1" si="90"/>
        <v>0</v>
      </c>
      <c r="AC699" s="24">
        <f t="shared" ca="1" si="91"/>
        <v>-5.0451400255264386E-2</v>
      </c>
    </row>
    <row r="700" spans="3:29" x14ac:dyDescent="0.25">
      <c r="C700" s="6">
        <v>693</v>
      </c>
      <c r="D700" s="37">
        <v>42990</v>
      </c>
      <c r="E700" s="39">
        <v>17.567</v>
      </c>
      <c r="F700" s="39">
        <v>2.5419198055893073</v>
      </c>
      <c r="G700" s="39">
        <v>55.00379128977162</v>
      </c>
      <c r="H700" s="39">
        <v>64.68205751316323</v>
      </c>
      <c r="I700" s="10">
        <v>0</v>
      </c>
      <c r="J700" s="40">
        <v>0</v>
      </c>
      <c r="K700" s="40">
        <v>0</v>
      </c>
      <c r="L700" s="40">
        <v>0</v>
      </c>
      <c r="M700" s="40">
        <v>0</v>
      </c>
      <c r="N700" s="40">
        <v>0</v>
      </c>
      <c r="O700" s="40">
        <v>0</v>
      </c>
      <c r="P700" s="40">
        <v>0</v>
      </c>
      <c r="Q700" s="40">
        <v>1</v>
      </c>
      <c r="R700" s="40">
        <v>0</v>
      </c>
      <c r="S700" s="40">
        <v>0</v>
      </c>
      <c r="T700" s="29">
        <f t="array" aca="1" ref="T700" ca="1">+fair_value_gap(OFFSET(S699,0,0,-1*$I$5,-1*$Z$1),OFFSET(E699,0,0,-1*$I$5,1),F700:S700,0)</f>
        <v>17.626368765216704</v>
      </c>
      <c r="U700" s="9" cm="1">
        <f t="array" aca="1" ref="U700" ca="1">z_score_diff(OFFSET(T700,0,0,$I$5*-1,1),OFFSET(E700,0,0,$I$5*-1,1))</f>
        <v>-2.552924224455122E-2</v>
      </c>
      <c r="V700" s="9">
        <f t="shared" ca="1" si="87"/>
        <v>1.805942318932667E-2</v>
      </c>
      <c r="W700" s="17">
        <f t="shared" ca="1" si="84"/>
        <v>-5.619784880662989E-2</v>
      </c>
      <c r="X700" s="13">
        <f t="shared" ca="1" si="85"/>
        <v>0</v>
      </c>
      <c r="Y700" s="13">
        <f t="shared" ca="1" si="86"/>
        <v>0</v>
      </c>
      <c r="Z700">
        <f t="shared" ca="1" si="88"/>
        <v>0</v>
      </c>
      <c r="AA700">
        <f t="shared" ca="1" si="89"/>
        <v>1</v>
      </c>
      <c r="AB700" s="24">
        <f t="shared" ca="1" si="90"/>
        <v>0</v>
      </c>
      <c r="AC700" s="24">
        <f t="shared" ca="1" si="91"/>
        <v>-5.619784880662989E-2</v>
      </c>
    </row>
    <row r="701" spans="3:29" x14ac:dyDescent="0.25">
      <c r="C701" s="6">
        <v>694</v>
      </c>
      <c r="D701" s="37">
        <v>42991</v>
      </c>
      <c r="E701" s="39">
        <v>17.600999999999999</v>
      </c>
      <c r="F701" s="39">
        <v>2.5632956285373729</v>
      </c>
      <c r="G701" s="39">
        <v>55.138619058107032</v>
      </c>
      <c r="H701" s="39">
        <v>66.69134300711103</v>
      </c>
      <c r="I701" s="10">
        <v>0</v>
      </c>
      <c r="J701" s="40">
        <v>0</v>
      </c>
      <c r="K701" s="40">
        <v>0</v>
      </c>
      <c r="L701" s="40">
        <v>0</v>
      </c>
      <c r="M701" s="40">
        <v>0</v>
      </c>
      <c r="N701" s="40">
        <v>0</v>
      </c>
      <c r="O701" s="40">
        <v>0</v>
      </c>
      <c r="P701" s="40">
        <v>0</v>
      </c>
      <c r="Q701" s="40">
        <v>1</v>
      </c>
      <c r="R701" s="40">
        <v>0</v>
      </c>
      <c r="S701" s="40">
        <v>0</v>
      </c>
      <c r="T701" s="29">
        <f t="array" aca="1" ref="T701" ca="1">+fair_value_gap(OFFSET(S700,0,0,-1*$I$5,-1*$Z$1),OFFSET(E700,0,0,-1*$I$5,1),F701:S701,0)</f>
        <v>17.722957087777722</v>
      </c>
      <c r="U701" s="9" cm="1">
        <f t="array" aca="1" ref="U701" ca="1">z_score_diff(OFFSET(T701,0,0,$I$5*-1,1),OFFSET(E701,0,0,$I$5*-1,1))</f>
        <v>7.8161887283756837E-2</v>
      </c>
      <c r="V701" s="9">
        <f t="shared" ca="1" si="87"/>
        <v>2.9129242372681909E-2</v>
      </c>
      <c r="W701" s="17">
        <f t="shared" ca="1" si="84"/>
        <v>-5.5185206739219492E-2</v>
      </c>
      <c r="X701" s="13">
        <f t="shared" ca="1" si="85"/>
        <v>0</v>
      </c>
      <c r="Y701" s="13">
        <f t="shared" ca="1" si="86"/>
        <v>0</v>
      </c>
      <c r="Z701">
        <f t="shared" ca="1" si="88"/>
        <v>0</v>
      </c>
      <c r="AA701">
        <f t="shared" ca="1" si="89"/>
        <v>1</v>
      </c>
      <c r="AB701" s="24">
        <f t="shared" ca="1" si="90"/>
        <v>0</v>
      </c>
      <c r="AC701" s="24">
        <f t="shared" ca="1" si="91"/>
        <v>-5.5185206739219492E-2</v>
      </c>
    </row>
    <row r="702" spans="3:29" x14ac:dyDescent="0.25">
      <c r="C702" s="6">
        <v>695</v>
      </c>
      <c r="D702" s="37">
        <v>42992</v>
      </c>
      <c r="E702" s="39">
        <v>17.690000000000001</v>
      </c>
      <c r="F702" s="39">
        <v>2.5591893840792079</v>
      </c>
      <c r="G702" s="39">
        <v>55.563115915812254</v>
      </c>
      <c r="H702" s="39">
        <v>66.947028519352841</v>
      </c>
      <c r="I702" s="10">
        <v>0</v>
      </c>
      <c r="J702" s="40">
        <v>0</v>
      </c>
      <c r="K702" s="40">
        <v>0</v>
      </c>
      <c r="L702" s="40">
        <v>0</v>
      </c>
      <c r="M702" s="40">
        <v>0</v>
      </c>
      <c r="N702" s="40">
        <v>0</v>
      </c>
      <c r="O702" s="40">
        <v>0</v>
      </c>
      <c r="P702" s="40">
        <v>0</v>
      </c>
      <c r="Q702" s="40">
        <v>1</v>
      </c>
      <c r="R702" s="40">
        <v>0</v>
      </c>
      <c r="S702" s="40">
        <v>0</v>
      </c>
      <c r="T702" s="29">
        <f t="array" aca="1" ref="T702" ca="1">+fair_value_gap(OFFSET(S701,0,0,-1*$I$5,-1*$Z$1),OFFSET(E701,0,0,-1*$I$5,1),F702:S702,0)</f>
        <v>17.823240001698807</v>
      </c>
      <c r="U702" s="9" cm="1">
        <f t="array" aca="1" ref="U702" ca="1">z_score_diff(OFFSET(T702,0,0,$I$5*-1,1),OFFSET(E702,0,0,$I$5*-1,1))</f>
        <v>9.4679772502266779E-2</v>
      </c>
      <c r="V702" s="9">
        <f t="shared" ca="1" si="87"/>
        <v>3.7752502932796493E-2</v>
      </c>
      <c r="W702" s="17">
        <f t="shared" ca="1" si="84"/>
        <v>-7.3951442247494351E-2</v>
      </c>
      <c r="X702" s="13">
        <f t="shared" ca="1" si="85"/>
        <v>0</v>
      </c>
      <c r="Y702" s="13">
        <f t="shared" ca="1" si="86"/>
        <v>0</v>
      </c>
      <c r="Z702">
        <f t="shared" ca="1" si="88"/>
        <v>0</v>
      </c>
      <c r="AA702">
        <f t="shared" ca="1" si="89"/>
        <v>1</v>
      </c>
      <c r="AB702" s="24">
        <f t="shared" ca="1" si="90"/>
        <v>0</v>
      </c>
      <c r="AC702" s="24">
        <f t="shared" ca="1" si="91"/>
        <v>-7.3951442247494351E-2</v>
      </c>
    </row>
    <row r="703" spans="3:29" x14ac:dyDescent="0.25">
      <c r="C703" s="6">
        <v>696</v>
      </c>
      <c r="D703" s="37">
        <v>42993</v>
      </c>
      <c r="E703" s="39">
        <v>17.422999999999998</v>
      </c>
      <c r="F703" s="39">
        <v>2.5670682053395022</v>
      </c>
      <c r="G703" s="39">
        <v>54.519278778230799</v>
      </c>
      <c r="H703" s="39">
        <v>65.859696136988177</v>
      </c>
      <c r="I703" s="10">
        <v>0</v>
      </c>
      <c r="J703" s="40">
        <v>0</v>
      </c>
      <c r="K703" s="40">
        <v>0</v>
      </c>
      <c r="L703" s="40">
        <v>0</v>
      </c>
      <c r="M703" s="40">
        <v>0</v>
      </c>
      <c r="N703" s="40">
        <v>0</v>
      </c>
      <c r="O703" s="40">
        <v>0</v>
      </c>
      <c r="P703" s="40">
        <v>0</v>
      </c>
      <c r="Q703" s="40">
        <v>1</v>
      </c>
      <c r="R703" s="40">
        <v>0</v>
      </c>
      <c r="S703" s="40">
        <v>0</v>
      </c>
      <c r="T703" s="29">
        <f t="array" aca="1" ref="T703" ca="1">+fair_value_gap(OFFSET(S702,0,0,-1*$I$5,-1*$Z$1),OFFSET(E702,0,0,-1*$I$5,1),F703:S703,0)</f>
        <v>17.530651220099536</v>
      </c>
      <c r="U703" s="9" cm="1">
        <f t="array" aca="1" ref="U703" ca="1">z_score_diff(OFFSET(T703,0,0,$I$5*-1,1),OFFSET(E703,0,0,$I$5*-1,1))</f>
        <v>5.3636902822882027E-2</v>
      </c>
      <c r="V703" s="9">
        <f t="shared" ca="1" si="87"/>
        <v>4.0314790224711898E-2</v>
      </c>
      <c r="W703" s="17">
        <f t="shared" ca="1" si="84"/>
        <v>-6.6074069765987342E-2</v>
      </c>
      <c r="X703" s="13">
        <f t="shared" ca="1" si="85"/>
        <v>0</v>
      </c>
      <c r="Y703" s="13">
        <f t="shared" ca="1" si="86"/>
        <v>0</v>
      </c>
      <c r="Z703">
        <f t="shared" ca="1" si="88"/>
        <v>0</v>
      </c>
      <c r="AA703">
        <f t="shared" ca="1" si="89"/>
        <v>1</v>
      </c>
      <c r="AB703" s="24">
        <f t="shared" ca="1" si="90"/>
        <v>0</v>
      </c>
      <c r="AC703" s="24">
        <f t="shared" ca="1" si="91"/>
        <v>-6.6074069765987342E-2</v>
      </c>
    </row>
    <row r="704" spans="3:29" x14ac:dyDescent="0.25">
      <c r="C704" s="6">
        <v>697</v>
      </c>
      <c r="D704" s="37">
        <v>42996</v>
      </c>
      <c r="E704" s="39">
        <v>17.344999999999999</v>
      </c>
      <c r="F704" s="39">
        <v>2.5751024289720492</v>
      </c>
      <c r="G704" s="39">
        <v>54.082098580955943</v>
      </c>
      <c r="H704" s="39">
        <v>65.329352279520535</v>
      </c>
      <c r="I704" s="10">
        <v>0</v>
      </c>
      <c r="J704" s="40">
        <v>0</v>
      </c>
      <c r="K704" s="40">
        <v>0</v>
      </c>
      <c r="L704" s="40">
        <v>0</v>
      </c>
      <c r="M704" s="40">
        <v>0</v>
      </c>
      <c r="N704" s="40">
        <v>0</v>
      </c>
      <c r="O704" s="40">
        <v>0</v>
      </c>
      <c r="P704" s="40">
        <v>0</v>
      </c>
      <c r="Q704" s="40">
        <v>1</v>
      </c>
      <c r="R704" s="40">
        <v>0</v>
      </c>
      <c r="S704" s="40">
        <v>0</v>
      </c>
      <c r="T704" s="29">
        <f t="array" aca="1" ref="T704" ca="1">+fair_value_gap(OFFSET(S703,0,0,-1*$I$5,-1*$Z$1),OFFSET(E703,0,0,-1*$I$5,1),F704:S704,0)</f>
        <v>17.415085511619672</v>
      </c>
      <c r="U704" s="9" cm="1">
        <f t="array" aca="1" ref="U704" ca="1">z_score_diff(OFFSET(T704,0,0,$I$5*-1,1),OFFSET(E704,0,0,$I$5*-1,1))</f>
        <v>-8.9132399839627618E-3</v>
      </c>
      <c r="V704" s="9">
        <f t="shared" ca="1" si="87"/>
        <v>3.4944671740617231E-2</v>
      </c>
      <c r="W704" s="17">
        <f t="shared" ca="1" si="84"/>
        <v>-4.167514974410718E-2</v>
      </c>
      <c r="X704" s="13">
        <f t="shared" ca="1" si="85"/>
        <v>0</v>
      </c>
      <c r="Y704" s="13">
        <f t="shared" ca="1" si="86"/>
        <v>0</v>
      </c>
      <c r="Z704">
        <f t="shared" ca="1" si="88"/>
        <v>0</v>
      </c>
      <c r="AA704">
        <f t="shared" ca="1" si="89"/>
        <v>1</v>
      </c>
      <c r="AB704" s="24">
        <f t="shared" ca="1" si="90"/>
        <v>0</v>
      </c>
      <c r="AC704" s="24">
        <f t="shared" ca="1" si="91"/>
        <v>-4.167514974410718E-2</v>
      </c>
    </row>
    <row r="705" spans="3:29" x14ac:dyDescent="0.25">
      <c r="C705" s="6">
        <v>698</v>
      </c>
      <c r="D705" s="37">
        <v>42997</v>
      </c>
      <c r="E705" s="39">
        <v>17.378</v>
      </c>
      <c r="F705" s="39">
        <v>2.5666460312630401</v>
      </c>
      <c r="G705" s="39">
        <v>54.204715023668179</v>
      </c>
      <c r="H705" s="39">
        <v>66.547158892338885</v>
      </c>
      <c r="I705" s="10">
        <v>0</v>
      </c>
      <c r="J705" s="40">
        <v>0</v>
      </c>
      <c r="K705" s="40">
        <v>0</v>
      </c>
      <c r="L705" s="40">
        <v>0</v>
      </c>
      <c r="M705" s="40">
        <v>0</v>
      </c>
      <c r="N705" s="40">
        <v>0</v>
      </c>
      <c r="O705" s="40">
        <v>0</v>
      </c>
      <c r="P705" s="40">
        <v>0</v>
      </c>
      <c r="Q705" s="40">
        <v>1</v>
      </c>
      <c r="R705" s="40">
        <v>0</v>
      </c>
      <c r="S705" s="40">
        <v>0</v>
      </c>
      <c r="T705" s="29">
        <f t="array" aca="1" ref="T705" ca="1">+fair_value_gap(OFFSET(S704,0,0,-1*$I$5,-1*$Z$1),OFFSET(E704,0,0,-1*$I$5,1),F705:S705,0)</f>
        <v>17.458887182432587</v>
      </c>
      <c r="U705" s="9" cm="1">
        <f t="array" aca="1" ref="U705" ca="1">z_score_diff(OFFSET(T705,0,0,$I$5*-1,1),OFFSET(E705,0,0,$I$5*-1,1))</f>
        <v>7.3078780375814834E-3</v>
      </c>
      <c r="V705" s="9">
        <f t="shared" ca="1" si="87"/>
        <v>1.7019058329288607E-2</v>
      </c>
      <c r="W705" s="17">
        <f t="shared" ca="1" si="84"/>
        <v>-3.0557689730990215E-2</v>
      </c>
      <c r="X705" s="13">
        <f t="shared" ca="1" si="85"/>
        <v>0</v>
      </c>
      <c r="Y705" s="13">
        <f t="shared" ca="1" si="86"/>
        <v>0</v>
      </c>
      <c r="Z705">
        <f t="shared" ca="1" si="88"/>
        <v>0</v>
      </c>
      <c r="AA705">
        <f t="shared" ca="1" si="89"/>
        <v>1</v>
      </c>
      <c r="AB705" s="24">
        <f t="shared" ca="1" si="90"/>
        <v>0</v>
      </c>
      <c r="AC705" s="24">
        <f t="shared" ca="1" si="91"/>
        <v>-3.0557689730990215E-2</v>
      </c>
    </row>
    <row r="706" spans="3:29" x14ac:dyDescent="0.25">
      <c r="C706" s="6">
        <v>699</v>
      </c>
      <c r="D706" s="37">
        <v>42998</v>
      </c>
      <c r="E706" s="39">
        <v>17.378</v>
      </c>
      <c r="F706" s="39">
        <v>2.5859620828630785</v>
      </c>
      <c r="G706" s="39">
        <v>54.516933966740538</v>
      </c>
      <c r="H706" s="39">
        <v>67.008803500243701</v>
      </c>
      <c r="I706" s="10">
        <v>0</v>
      </c>
      <c r="J706" s="40">
        <v>0</v>
      </c>
      <c r="K706" s="40">
        <v>0</v>
      </c>
      <c r="L706" s="40">
        <v>0</v>
      </c>
      <c r="M706" s="40">
        <v>0</v>
      </c>
      <c r="N706" s="40">
        <v>0</v>
      </c>
      <c r="O706" s="40">
        <v>0</v>
      </c>
      <c r="P706" s="40">
        <v>0</v>
      </c>
      <c r="Q706" s="40">
        <v>1</v>
      </c>
      <c r="R706" s="40">
        <v>0</v>
      </c>
      <c r="S706" s="40">
        <v>0</v>
      </c>
      <c r="T706" s="29">
        <f t="array" aca="1" ref="T706" ca="1">+fair_value_gap(OFFSET(S705,0,0,-1*$I$5,-1*$Z$1),OFFSET(E705,0,0,-1*$I$5,1),F706:S706,0)</f>
        <v>17.541728173698868</v>
      </c>
      <c r="U706" s="9" cm="1">
        <f t="array" aca="1" ref="U706" ca="1">z_score_diff(OFFSET(T706,0,0,$I$5*-1,1),OFFSET(E706,0,0,$I$5*-1,1))</f>
        <v>0.14843565061840336</v>
      </c>
      <c r="V706" s="9">
        <f t="shared" ca="1" si="87"/>
        <v>6.7116019645605124E-3</v>
      </c>
      <c r="W706" s="17">
        <f t="shared" ca="1" si="84"/>
        <v>-2.6945118806772125E-2</v>
      </c>
      <c r="X706" s="13">
        <f t="shared" ca="1" si="85"/>
        <v>0</v>
      </c>
      <c r="Y706" s="13">
        <f t="shared" ca="1" si="86"/>
        <v>0</v>
      </c>
      <c r="Z706">
        <f t="shared" ca="1" si="88"/>
        <v>0</v>
      </c>
      <c r="AA706">
        <f t="shared" ca="1" si="89"/>
        <v>1</v>
      </c>
      <c r="AB706" s="24">
        <f t="shared" ca="1" si="90"/>
        <v>0</v>
      </c>
      <c r="AC706" s="24">
        <f t="shared" ca="1" si="91"/>
        <v>-2.6945118806772125E-2</v>
      </c>
    </row>
    <row r="707" spans="3:29" x14ac:dyDescent="0.25">
      <c r="C707" s="6">
        <v>700</v>
      </c>
      <c r="D707" s="37">
        <v>42999</v>
      </c>
      <c r="E707" s="39">
        <v>17.289000000000001</v>
      </c>
      <c r="F707" s="39">
        <v>2.5406290001134209</v>
      </c>
      <c r="G707" s="39">
        <v>54.3521414855581</v>
      </c>
      <c r="H707" s="39">
        <v>64.771456810927305</v>
      </c>
      <c r="I707" s="10">
        <v>0</v>
      </c>
      <c r="J707" s="40">
        <v>0</v>
      </c>
      <c r="K707" s="40">
        <v>0</v>
      </c>
      <c r="L707" s="40">
        <v>0</v>
      </c>
      <c r="M707" s="40">
        <v>0</v>
      </c>
      <c r="N707" s="40">
        <v>0</v>
      </c>
      <c r="O707" s="40">
        <v>0</v>
      </c>
      <c r="P707" s="40">
        <v>0</v>
      </c>
      <c r="Q707" s="40">
        <v>1</v>
      </c>
      <c r="R707" s="40">
        <v>0</v>
      </c>
      <c r="S707" s="40">
        <v>0</v>
      </c>
      <c r="T707" s="29">
        <f t="array" aca="1" ref="T707" ca="1">+fair_value_gap(OFFSET(S706,0,0,-1*$I$5,-1*$Z$1),OFFSET(E706,0,0,-1*$I$5,1),F707:S707,0)</f>
        <v>17.361595865546935</v>
      </c>
      <c r="U707" s="9" cm="1">
        <f t="array" aca="1" ref="U707" ca="1">z_score_diff(OFFSET(T707,0,0,$I$5*-1,1),OFFSET(E707,0,0,$I$5*-1,1))</f>
        <v>-2.1270567879009272E-3</v>
      </c>
      <c r="V707" s="9">
        <f t="shared" ca="1" si="87"/>
        <v>-7.8350255462628811E-3</v>
      </c>
      <c r="W707" s="17">
        <f t="shared" ca="1" si="84"/>
        <v>-1.1576963995139593E-2</v>
      </c>
      <c r="X707" s="13">
        <f t="shared" ca="1" si="85"/>
        <v>0</v>
      </c>
      <c r="Y707" s="13">
        <f t="shared" ca="1" si="86"/>
        <v>0</v>
      </c>
      <c r="Z707">
        <f t="shared" ca="1" si="88"/>
        <v>1</v>
      </c>
      <c r="AA707">
        <f t="shared" ca="1" si="89"/>
        <v>0</v>
      </c>
      <c r="AB707" s="24">
        <f t="shared" ca="1" si="90"/>
        <v>-1.1576963995139593E-2</v>
      </c>
      <c r="AC707" s="24">
        <f t="shared" ca="1" si="91"/>
        <v>0</v>
      </c>
    </row>
    <row r="708" spans="3:29" x14ac:dyDescent="0.25">
      <c r="C708" s="6">
        <v>701</v>
      </c>
      <c r="D708" s="37">
        <v>43000</v>
      </c>
      <c r="E708" s="39">
        <v>17.224</v>
      </c>
      <c r="F708" s="39">
        <v>2.5524733507219737</v>
      </c>
      <c r="G708" s="39">
        <v>53.976010661928036</v>
      </c>
      <c r="H708" s="39">
        <v>65.086047881325769</v>
      </c>
      <c r="I708" s="10">
        <v>0</v>
      </c>
      <c r="J708" s="40">
        <v>0</v>
      </c>
      <c r="K708" s="40">
        <v>0</v>
      </c>
      <c r="L708" s="40">
        <v>0</v>
      </c>
      <c r="M708" s="40">
        <v>0</v>
      </c>
      <c r="N708" s="40">
        <v>0</v>
      </c>
      <c r="O708" s="40">
        <v>0</v>
      </c>
      <c r="P708" s="40">
        <v>0</v>
      </c>
      <c r="Q708" s="40">
        <v>1</v>
      </c>
      <c r="R708" s="40">
        <v>0</v>
      </c>
      <c r="S708" s="40">
        <v>0</v>
      </c>
      <c r="T708" s="29">
        <f t="array" aca="1" ref="T708" ca="1">+fair_value_gap(OFFSET(S707,0,0,-1*$I$5,-1*$Z$1),OFFSET(E707,0,0,-1*$I$5,1),F708:S708,0)</f>
        <v>17.278471533886169</v>
      </c>
      <c r="U708" s="9" cm="1">
        <f t="array" aca="1" ref="U708" ca="1">z_score_diff(OFFSET(T708,0,0,$I$5*-1,1),OFFSET(E708,0,0,$I$5*-1,1))</f>
        <v>-3.1410737734021366E-2</v>
      </c>
      <c r="V708" s="9">
        <f t="shared" ca="1" si="87"/>
        <v>-2.3471992693229495E-2</v>
      </c>
      <c r="W708" s="17">
        <f t="shared" ca="1" si="84"/>
        <v>3.361737357145685E-3</v>
      </c>
      <c r="X708" s="13">
        <f t="shared" ca="1" si="85"/>
        <v>0</v>
      </c>
      <c r="Y708" s="13">
        <f t="shared" ca="1" si="86"/>
        <v>0</v>
      </c>
      <c r="Z708">
        <f t="shared" ca="1" si="88"/>
        <v>1</v>
      </c>
      <c r="AA708">
        <f t="shared" ca="1" si="89"/>
        <v>0</v>
      </c>
      <c r="AB708" s="24">
        <f t="shared" ca="1" si="90"/>
        <v>3.361737357145685E-3</v>
      </c>
      <c r="AC708" s="24">
        <f t="shared" ca="1" si="91"/>
        <v>0</v>
      </c>
    </row>
    <row r="709" spans="3:29" x14ac:dyDescent="0.25">
      <c r="C709" s="6">
        <v>702</v>
      </c>
      <c r="D709" s="37">
        <v>43003</v>
      </c>
      <c r="E709" s="39">
        <v>17.565999999999999</v>
      </c>
      <c r="F709" s="39">
        <v>2.5563161596925559</v>
      </c>
      <c r="G709" s="39">
        <v>54.91348862163008</v>
      </c>
      <c r="H709" s="39">
        <v>65.643976807701137</v>
      </c>
      <c r="I709" s="10">
        <v>0</v>
      </c>
      <c r="J709" s="40">
        <v>0</v>
      </c>
      <c r="K709" s="40">
        <v>0</v>
      </c>
      <c r="L709" s="40">
        <v>0</v>
      </c>
      <c r="M709" s="40">
        <v>0</v>
      </c>
      <c r="N709" s="40">
        <v>0</v>
      </c>
      <c r="O709" s="40">
        <v>0</v>
      </c>
      <c r="P709" s="40">
        <v>0</v>
      </c>
      <c r="Q709" s="40">
        <v>1</v>
      </c>
      <c r="R709" s="40">
        <v>0</v>
      </c>
      <c r="S709" s="40">
        <v>0</v>
      </c>
      <c r="T709" s="29">
        <f t="array" aca="1" ref="T709" ca="1">+fair_value_gap(OFFSET(S708,0,0,-1*$I$5,-1*$Z$1),OFFSET(E708,0,0,-1*$I$5,1),F709:S709,0)</f>
        <v>17.533508807387001</v>
      </c>
      <c r="U709" s="9" cm="1">
        <f t="array" aca="1" ref="U709" ca="1">z_score_diff(OFFSET(T709,0,0,$I$5*-1,1),OFFSET(E709,0,0,$I$5*-1,1))</f>
        <v>-0.17722856184038749</v>
      </c>
      <c r="V709" s="9">
        <f t="shared" ca="1" si="87"/>
        <v>-3.4998882790764761E-2</v>
      </c>
      <c r="W709" s="17">
        <f t="shared" ca="1" si="84"/>
        <v>-1.2603283232661622E-2</v>
      </c>
      <c r="X709" s="13">
        <f t="shared" ca="1" si="85"/>
        <v>0</v>
      </c>
      <c r="Y709" s="13">
        <f t="shared" ca="1" si="86"/>
        <v>0</v>
      </c>
      <c r="Z709">
        <f t="shared" ca="1" si="88"/>
        <v>1</v>
      </c>
      <c r="AA709">
        <f t="shared" ca="1" si="89"/>
        <v>0</v>
      </c>
      <c r="AB709" s="24">
        <f t="shared" ca="1" si="90"/>
        <v>-1.2603283232661622E-2</v>
      </c>
      <c r="AC709" s="24">
        <f t="shared" ca="1" si="91"/>
        <v>0</v>
      </c>
    </row>
    <row r="710" spans="3:29" x14ac:dyDescent="0.25">
      <c r="C710" s="6">
        <v>703</v>
      </c>
      <c r="D710" s="37">
        <v>43004</v>
      </c>
      <c r="E710" s="39">
        <v>17.550999999999998</v>
      </c>
      <c r="F710" s="39">
        <v>2.5687691150623206</v>
      </c>
      <c r="G710" s="39">
        <v>54.912681765690174</v>
      </c>
      <c r="H710" s="39">
        <v>63.891160301198852</v>
      </c>
      <c r="I710" s="10">
        <v>0</v>
      </c>
      <c r="J710" s="40">
        <v>0</v>
      </c>
      <c r="K710" s="40">
        <v>0</v>
      </c>
      <c r="L710" s="40">
        <v>0</v>
      </c>
      <c r="M710" s="40">
        <v>0</v>
      </c>
      <c r="N710" s="40">
        <v>0</v>
      </c>
      <c r="O710" s="40">
        <v>0</v>
      </c>
      <c r="P710" s="40">
        <v>0</v>
      </c>
      <c r="Q710" s="40">
        <v>1</v>
      </c>
      <c r="R710" s="40">
        <v>0</v>
      </c>
      <c r="S710" s="40">
        <v>0</v>
      </c>
      <c r="T710" s="29">
        <f t="array" aca="1" ref="T710" ca="1">+fair_value_gap(OFFSET(S709,0,0,-1*$I$5,-1*$Z$1),OFFSET(E709,0,0,-1*$I$5,1),F710:S710,0)</f>
        <v>17.511954265168928</v>
      </c>
      <c r="U710" s="9" cm="1">
        <f t="array" aca="1" ref="U710" ca="1">z_score_diff(OFFSET(T710,0,0,$I$5*-1,1),OFFSET(E710,0,0,$I$5*-1,1))</f>
        <v>-0.18458304906120993</v>
      </c>
      <c r="V710" s="9">
        <f t="shared" ca="1" si="87"/>
        <v>-5.0086790521433978E-2</v>
      </c>
      <c r="W710" s="17">
        <f t="shared" ca="1" si="84"/>
        <v>-3.4371229463741847E-2</v>
      </c>
      <c r="X710" s="13">
        <f t="shared" ca="1" si="85"/>
        <v>0</v>
      </c>
      <c r="Y710" s="13">
        <f t="shared" ca="1" si="86"/>
        <v>0</v>
      </c>
      <c r="Z710">
        <f t="shared" ca="1" si="88"/>
        <v>1</v>
      </c>
      <c r="AA710">
        <f t="shared" ca="1" si="89"/>
        <v>0</v>
      </c>
      <c r="AB710" s="24">
        <f t="shared" ca="1" si="90"/>
        <v>-3.4371229463741847E-2</v>
      </c>
      <c r="AC710" s="24">
        <f t="shared" ca="1" si="91"/>
        <v>0</v>
      </c>
    </row>
    <row r="711" spans="3:29" x14ac:dyDescent="0.25">
      <c r="C711" s="6">
        <v>704</v>
      </c>
      <c r="D711" s="37">
        <v>43005</v>
      </c>
      <c r="E711" s="39">
        <v>17.544</v>
      </c>
      <c r="F711" s="39">
        <v>2.5941020390695471</v>
      </c>
      <c r="G711" s="39">
        <v>55.089471354035318</v>
      </c>
      <c r="H711" s="39">
        <v>63.823798581803104</v>
      </c>
      <c r="I711" s="10">
        <v>0</v>
      </c>
      <c r="J711" s="40">
        <v>0</v>
      </c>
      <c r="K711" s="40">
        <v>0</v>
      </c>
      <c r="L711" s="40">
        <v>0</v>
      </c>
      <c r="M711" s="40">
        <v>0</v>
      </c>
      <c r="N711" s="40">
        <v>0</v>
      </c>
      <c r="O711" s="40">
        <v>0</v>
      </c>
      <c r="P711" s="40">
        <v>0</v>
      </c>
      <c r="Q711" s="40">
        <v>1</v>
      </c>
      <c r="R711" s="40">
        <v>0</v>
      </c>
      <c r="S711" s="40">
        <v>0</v>
      </c>
      <c r="T711" s="29">
        <f t="array" aca="1" ref="T711" ca="1">+fair_value_gap(OFFSET(S710,0,0,-1*$I$5,-1*$Z$1),OFFSET(E710,0,0,-1*$I$5,1),F711:S711,0)</f>
        <v>17.586095749592388</v>
      </c>
      <c r="U711" s="9" cm="1">
        <f t="array" aca="1" ref="U711" ca="1">z_score_diff(OFFSET(T711,0,0,$I$5*-1,1),OFFSET(E711,0,0,$I$5*-1,1))</f>
        <v>-4.8067135985567555E-2</v>
      </c>
      <c r="V711" s="9">
        <f t="shared" ca="1" si="87"/>
        <v>-5.5113307997809453E-2</v>
      </c>
      <c r="W711" s="17">
        <f t="shared" ref="W711:W774" ca="1" si="92">+LN(OFFSET(E711,$W$3,0,1,1)/E711)</f>
        <v>-4.3452179412151827E-2</v>
      </c>
      <c r="X711" s="13">
        <f t="shared" ca="1" si="85"/>
        <v>0</v>
      </c>
      <c r="Y711" s="13">
        <f t="shared" ca="1" si="86"/>
        <v>0</v>
      </c>
      <c r="Z711">
        <f t="shared" ca="1" si="88"/>
        <v>1</v>
      </c>
      <c r="AA711">
        <f t="shared" ca="1" si="89"/>
        <v>0</v>
      </c>
      <c r="AB711" s="24">
        <f t="shared" ca="1" si="90"/>
        <v>-4.3452179412151827E-2</v>
      </c>
      <c r="AC711" s="24">
        <f t="shared" ca="1" si="91"/>
        <v>0</v>
      </c>
    </row>
    <row r="712" spans="3:29" x14ac:dyDescent="0.25">
      <c r="C712" s="6">
        <v>705</v>
      </c>
      <c r="D712" s="37">
        <v>43006</v>
      </c>
      <c r="E712" s="39">
        <v>17.533000000000001</v>
      </c>
      <c r="F712" s="39">
        <v>2.2608918217406568</v>
      </c>
      <c r="G712" s="39">
        <v>55.042826660507203</v>
      </c>
      <c r="H712" s="39">
        <v>62.223746255090283</v>
      </c>
      <c r="I712" s="10">
        <v>0</v>
      </c>
      <c r="J712" s="40">
        <v>0</v>
      </c>
      <c r="K712" s="40">
        <v>0</v>
      </c>
      <c r="L712" s="40">
        <v>0</v>
      </c>
      <c r="M712" s="40">
        <v>0</v>
      </c>
      <c r="N712" s="40">
        <v>0</v>
      </c>
      <c r="O712" s="40">
        <v>0</v>
      </c>
      <c r="P712" s="40">
        <v>0</v>
      </c>
      <c r="Q712" s="40">
        <v>1</v>
      </c>
      <c r="R712" s="40">
        <v>0</v>
      </c>
      <c r="S712" s="40">
        <v>0</v>
      </c>
      <c r="T712" s="29">
        <f t="array" aca="1" ref="T712" ca="1">+fair_value_gap(OFFSET(S711,0,0,-1*$I$5,-1*$Z$1),OFFSET(E711,0,0,-1*$I$5,1),F712:S712,0)</f>
        <v>17.164861232740314</v>
      </c>
      <c r="U712" s="9" cm="1">
        <f t="array" aca="1" ref="U712" ca="1">z_score_diff(OFFSET(T712,0,0,$I$5*-1,1),OFFSET(E712,0,0,$I$5*-1,1))</f>
        <v>-0.73061926790337239</v>
      </c>
      <c r="V712" s="9">
        <f t="shared" ca="1" si="87"/>
        <v>-7.6202641470160121E-2</v>
      </c>
      <c r="W712" s="17">
        <f t="shared" ca="1" si="92"/>
        <v>-3.4584241579007038E-2</v>
      </c>
      <c r="X712" s="13">
        <f t="shared" ca="1" si="85"/>
        <v>0</v>
      </c>
      <c r="Y712" s="13">
        <f t="shared" ca="1" si="86"/>
        <v>0</v>
      </c>
      <c r="Z712">
        <f t="shared" ca="1" si="88"/>
        <v>1</v>
      </c>
      <c r="AA712">
        <f t="shared" ca="1" si="89"/>
        <v>0</v>
      </c>
      <c r="AB712" s="24">
        <f t="shared" ca="1" si="90"/>
        <v>-3.4584241579007038E-2</v>
      </c>
      <c r="AC712" s="24">
        <f t="shared" ca="1" si="91"/>
        <v>0</v>
      </c>
    </row>
    <row r="713" spans="3:29" x14ac:dyDescent="0.25">
      <c r="C713" s="6">
        <v>706</v>
      </c>
      <c r="D713" s="37">
        <v>43007</v>
      </c>
      <c r="E713" s="39">
        <v>16.190000000000001</v>
      </c>
      <c r="F713" s="39">
        <v>2.2489252543339688</v>
      </c>
      <c r="G713" s="39">
        <v>47.773257681190458</v>
      </c>
      <c r="H713" s="39">
        <v>60.765174721359962</v>
      </c>
      <c r="I713" s="10">
        <v>0</v>
      </c>
      <c r="J713" s="40">
        <v>0</v>
      </c>
      <c r="K713" s="40">
        <v>0</v>
      </c>
      <c r="L713" s="40">
        <v>0</v>
      </c>
      <c r="M713" s="40">
        <v>0</v>
      </c>
      <c r="N713" s="40">
        <v>0</v>
      </c>
      <c r="O713" s="40">
        <v>0</v>
      </c>
      <c r="P713" s="40">
        <v>0</v>
      </c>
      <c r="Q713" s="40">
        <v>1</v>
      </c>
      <c r="R713" s="40">
        <v>0</v>
      </c>
      <c r="S713" s="40">
        <v>0</v>
      </c>
      <c r="T713" s="29">
        <f t="array" aca="1" ref="T713" ca="1">+fair_value_gap(OFFSET(S712,0,0,-1*$I$5,-1*$Z$1),OFFSET(E712,0,0,-1*$I$5,1),F713:S713,0)</f>
        <v>15.253958844206064</v>
      </c>
      <c r="U713" s="9" cm="1">
        <f t="array" aca="1" ref="U713" ca="1">z_score_diff(OFFSET(T713,0,0,$I$5*-1,1),OFFSET(E713,0,0,$I$5*-1,1))</f>
        <v>-1.6391446579326678</v>
      </c>
      <c r="V713" s="9">
        <f t="shared" ca="1" si="87"/>
        <v>-0.11999546936334383</v>
      </c>
      <c r="W713" s="17">
        <f t="shared" ca="1" si="92"/>
        <v>3.9481998918256447E-2</v>
      </c>
      <c r="X713" s="13">
        <f t="shared" ref="X713:X776" ca="1" si="93">+X712</f>
        <v>0</v>
      </c>
      <c r="Y713" s="13">
        <f t="shared" ref="Y713:Y776" ca="1" si="94">+Y712</f>
        <v>0</v>
      </c>
      <c r="Z713">
        <f t="shared" ca="1" si="88"/>
        <v>1</v>
      </c>
      <c r="AA713">
        <f t="shared" ca="1" si="89"/>
        <v>0</v>
      </c>
      <c r="AB713" s="24">
        <f t="shared" ca="1" si="90"/>
        <v>3.9481998918256447E-2</v>
      </c>
      <c r="AC713" s="24">
        <f t="shared" ca="1" si="91"/>
        <v>0</v>
      </c>
    </row>
    <row r="714" spans="3:29" x14ac:dyDescent="0.25">
      <c r="C714" s="6">
        <v>707</v>
      </c>
      <c r="D714" s="37">
        <v>43010</v>
      </c>
      <c r="E714" s="39">
        <v>16.216000000000001</v>
      </c>
      <c r="F714" s="39">
        <v>2.263550413419197</v>
      </c>
      <c r="G714" s="39">
        <v>47.893157309659749</v>
      </c>
      <c r="H714" s="39">
        <v>63.219612165183172</v>
      </c>
      <c r="I714" s="10">
        <v>0</v>
      </c>
      <c r="J714" s="40">
        <v>0</v>
      </c>
      <c r="K714" s="40">
        <v>0</v>
      </c>
      <c r="L714" s="40">
        <v>0</v>
      </c>
      <c r="M714" s="40">
        <v>0</v>
      </c>
      <c r="N714" s="40">
        <v>0</v>
      </c>
      <c r="O714" s="40">
        <v>0</v>
      </c>
      <c r="P714" s="40">
        <v>0</v>
      </c>
      <c r="Q714" s="40">
        <v>0</v>
      </c>
      <c r="R714" s="40">
        <v>1</v>
      </c>
      <c r="S714" s="40">
        <v>0</v>
      </c>
      <c r="T714" s="29">
        <f t="array" aca="1" ref="T714" ca="1">+fair_value_gap(OFFSET(S713,0,0,-1*$I$5,-1*$Z$1),OFFSET(E713,0,0,-1*$I$5,1),F714:S714,0)</f>
        <v>15.652521033026936</v>
      </c>
      <c r="U714" s="9" cm="1">
        <f t="array" aca="1" ref="U714" ca="1">z_score_diff(OFFSET(T714,0,0,$I$5*-1,1),OFFSET(E714,0,0,$I$5*-1,1))</f>
        <v>-1.0022132051101389</v>
      </c>
      <c r="V714" s="9">
        <f t="shared" ca="1" si="87"/>
        <v>-0.1444595035538439</v>
      </c>
      <c r="W714" s="17">
        <f t="shared" ca="1" si="92"/>
        <v>4.6449936487474919E-2</v>
      </c>
      <c r="X714" s="13">
        <f t="shared" ca="1" si="93"/>
        <v>0</v>
      </c>
      <c r="Y714" s="13">
        <f t="shared" ca="1" si="94"/>
        <v>0</v>
      </c>
      <c r="Z714">
        <f t="shared" ca="1" si="88"/>
        <v>1</v>
      </c>
      <c r="AA714">
        <f t="shared" ca="1" si="89"/>
        <v>0</v>
      </c>
      <c r="AB714" s="24">
        <f t="shared" ca="1" si="90"/>
        <v>4.6449936487474919E-2</v>
      </c>
      <c r="AC714" s="24">
        <f t="shared" ca="1" si="91"/>
        <v>0</v>
      </c>
    </row>
    <row r="715" spans="3:29" x14ac:dyDescent="0.25">
      <c r="C715" s="6">
        <v>708</v>
      </c>
      <c r="D715" s="37">
        <v>43011</v>
      </c>
      <c r="E715" s="39">
        <v>16.349</v>
      </c>
      <c r="F715" s="39">
        <v>2.2649114906180299</v>
      </c>
      <c r="G715" s="39">
        <v>48.315445088576467</v>
      </c>
      <c r="H715" s="39">
        <v>64.094278278667261</v>
      </c>
      <c r="I715" s="10">
        <v>0</v>
      </c>
      <c r="J715" s="40">
        <v>0</v>
      </c>
      <c r="K715" s="40">
        <v>0</v>
      </c>
      <c r="L715" s="40">
        <v>0</v>
      </c>
      <c r="M715" s="40">
        <v>0</v>
      </c>
      <c r="N715" s="40">
        <v>0</v>
      </c>
      <c r="O715" s="40">
        <v>0</v>
      </c>
      <c r="P715" s="40">
        <v>0</v>
      </c>
      <c r="Q715" s="40">
        <v>0</v>
      </c>
      <c r="R715" s="40">
        <v>1</v>
      </c>
      <c r="S715" s="40">
        <v>0</v>
      </c>
      <c r="T715" s="29">
        <f t="array" aca="1" ref="T715" ca="1">+fair_value_gap(OFFSET(S714,0,0,-1*$I$5,-1*$Z$1),OFFSET(E714,0,0,-1*$I$5,1),F715:S715,0)</f>
        <v>15.864722776923703</v>
      </c>
      <c r="U715" s="9" cm="1">
        <f t="array" aca="1" ref="U715" ca="1">z_score_diff(OFFSET(T715,0,0,$I$5*-1,1),OFFSET(E715,0,0,$I$5*-1,1))</f>
        <v>-0.86272980361054952</v>
      </c>
      <c r="V715" s="9">
        <f t="shared" ref="V715:V778" ca="1" si="95">+IF(ISERROR(AVERAGE(OFFSET(U715,0,0,$V$5*-1,1))),"",AVERAGE(OFFSET(U715,0,0,$V$5*-1,1)))</f>
        <v>-0.16713389483061847</v>
      </c>
      <c r="W715" s="17">
        <f t="shared" ca="1" si="92"/>
        <v>4.6255855613558799E-2</v>
      </c>
      <c r="X715" s="13">
        <f t="shared" ca="1" si="93"/>
        <v>0</v>
      </c>
      <c r="Y715" s="13">
        <f t="shared" ca="1" si="94"/>
        <v>0</v>
      </c>
      <c r="Z715">
        <f t="shared" ref="Z715:Z778" ca="1" si="96">+IF(V715="","",IF(V715&lt;X715,1,0))</f>
        <v>1</v>
      </c>
      <c r="AA715">
        <f t="shared" ref="AA715:AA778" ca="1" si="97">+IF(V715="","",IF(V715&gt;Y715,1,0))</f>
        <v>0</v>
      </c>
      <c r="AB715" s="24">
        <f t="shared" ref="AB715:AB778" ca="1" si="98">+IF(ISERROR(Z715*W715),"",Z715*W715)</f>
        <v>4.6255855613558799E-2</v>
      </c>
      <c r="AC715" s="24">
        <f t="shared" ref="AC715:AC778" ca="1" si="99">+IF(ISERROR(AA715*W715),"",AA715*W715)</f>
        <v>0</v>
      </c>
    </row>
    <row r="716" spans="3:29" x14ac:dyDescent="0.25">
      <c r="C716" s="6">
        <v>709</v>
      </c>
      <c r="D716" s="37">
        <v>43012</v>
      </c>
      <c r="E716" s="39">
        <v>16.292000000000002</v>
      </c>
      <c r="F716" s="39">
        <v>2.263497769788962</v>
      </c>
      <c r="G716" s="39">
        <v>48.118248602089551</v>
      </c>
      <c r="H716" s="39">
        <v>64.107779972236401</v>
      </c>
      <c r="I716" s="10">
        <v>0</v>
      </c>
      <c r="J716" s="40">
        <v>0</v>
      </c>
      <c r="K716" s="40">
        <v>0</v>
      </c>
      <c r="L716" s="40">
        <v>0</v>
      </c>
      <c r="M716" s="40">
        <v>0</v>
      </c>
      <c r="N716" s="40">
        <v>0</v>
      </c>
      <c r="O716" s="40">
        <v>0</v>
      </c>
      <c r="P716" s="40">
        <v>0</v>
      </c>
      <c r="Q716" s="40">
        <v>0</v>
      </c>
      <c r="R716" s="40">
        <v>1</v>
      </c>
      <c r="S716" s="40">
        <v>0</v>
      </c>
      <c r="T716" s="29">
        <f t="array" aca="1" ref="T716" ca="1">+fair_value_gap(OFFSET(S715,0,0,-1*$I$5,-1*$Z$1),OFFSET(E715,0,0,-1*$I$5,1),F716:S716,0)</f>
        <v>15.88198771323925</v>
      </c>
      <c r="U716" s="9" cm="1">
        <f t="array" aca="1" ref="U716" ca="1">z_score_diff(OFFSET(T716,0,0,$I$5*-1,1),OFFSET(E716,0,0,$I$5*-1,1))</f>
        <v>-0.72463429071981433</v>
      </c>
      <c r="V716" s="9">
        <f t="shared" ca="1" si="95"/>
        <v>-0.18156469845723167</v>
      </c>
      <c r="W716" s="17">
        <f t="shared" ca="1" si="92"/>
        <v>4.7526695781088889E-2</v>
      </c>
      <c r="X716" s="13">
        <f t="shared" ca="1" si="93"/>
        <v>0</v>
      </c>
      <c r="Y716" s="13">
        <f t="shared" ca="1" si="94"/>
        <v>0</v>
      </c>
      <c r="Z716">
        <f t="shared" ca="1" si="96"/>
        <v>1</v>
      </c>
      <c r="AA716">
        <f t="shared" ca="1" si="97"/>
        <v>0</v>
      </c>
      <c r="AB716" s="24">
        <f t="shared" ca="1" si="98"/>
        <v>4.7526695781088889E-2</v>
      </c>
      <c r="AC716" s="24">
        <f t="shared" ca="1" si="99"/>
        <v>0</v>
      </c>
    </row>
    <row r="717" spans="3:29" x14ac:dyDescent="0.25">
      <c r="C717" s="6">
        <v>710</v>
      </c>
      <c r="D717" s="37">
        <v>43013</v>
      </c>
      <c r="E717" s="39">
        <v>16.350999999999999</v>
      </c>
      <c r="F717" s="39">
        <v>2.2767459868018074</v>
      </c>
      <c r="G717" s="39">
        <v>48.39886037374982</v>
      </c>
      <c r="H717" s="39">
        <v>64.678407565598832</v>
      </c>
      <c r="I717" s="10">
        <v>0</v>
      </c>
      <c r="J717" s="40">
        <v>0</v>
      </c>
      <c r="K717" s="40">
        <v>0</v>
      </c>
      <c r="L717" s="40">
        <v>0</v>
      </c>
      <c r="M717" s="40">
        <v>0</v>
      </c>
      <c r="N717" s="40">
        <v>0</v>
      </c>
      <c r="O717" s="40">
        <v>0</v>
      </c>
      <c r="P717" s="40">
        <v>0</v>
      </c>
      <c r="Q717" s="40">
        <v>0</v>
      </c>
      <c r="R717" s="40">
        <v>1</v>
      </c>
      <c r="S717" s="40">
        <v>0</v>
      </c>
      <c r="T717" s="29">
        <f t="array" aca="1" ref="T717" ca="1">+fair_value_gap(OFFSET(S716,0,0,-1*$I$5,-1*$Z$1),OFFSET(E716,0,0,-1*$I$5,1),F717:S717,0)</f>
        <v>16.04385032978071</v>
      </c>
      <c r="U717" s="9" cm="1">
        <f t="array" aca="1" ref="U717" ca="1">z_score_diff(OFFSET(T717,0,0,$I$5*-1,1),OFFSET(E717,0,0,$I$5*-1,1))</f>
        <v>-0.55215375818894474</v>
      </c>
      <c r="V717" s="9">
        <f t="shared" ca="1" si="95"/>
        <v>-0.19607673155312741</v>
      </c>
      <c r="W717" s="17">
        <f t="shared" ca="1" si="92"/>
        <v>4.4496965538815214E-2</v>
      </c>
      <c r="X717" s="13">
        <f t="shared" ca="1" si="93"/>
        <v>0</v>
      </c>
      <c r="Y717" s="13">
        <f t="shared" ca="1" si="94"/>
        <v>0</v>
      </c>
      <c r="Z717">
        <f t="shared" ca="1" si="96"/>
        <v>1</v>
      </c>
      <c r="AA717">
        <f t="shared" ca="1" si="97"/>
        <v>0</v>
      </c>
      <c r="AB717" s="24">
        <f t="shared" ca="1" si="98"/>
        <v>4.4496965538815214E-2</v>
      </c>
      <c r="AC717" s="24">
        <f t="shared" ca="1" si="99"/>
        <v>0</v>
      </c>
    </row>
    <row r="718" spans="3:29" x14ac:dyDescent="0.25">
      <c r="C718" s="6">
        <v>711</v>
      </c>
      <c r="D718" s="37">
        <v>43014</v>
      </c>
      <c r="E718" s="39">
        <v>16.242999999999999</v>
      </c>
      <c r="F718" s="39">
        <v>2.2682198839040399</v>
      </c>
      <c r="G718" s="39">
        <v>48.188890812014037</v>
      </c>
      <c r="H718" s="39">
        <v>63.541453900942876</v>
      </c>
      <c r="I718" s="10">
        <v>0</v>
      </c>
      <c r="J718" s="40">
        <v>0</v>
      </c>
      <c r="K718" s="40">
        <v>0</v>
      </c>
      <c r="L718" s="40">
        <v>0</v>
      </c>
      <c r="M718" s="40">
        <v>0</v>
      </c>
      <c r="N718" s="40">
        <v>0</v>
      </c>
      <c r="O718" s="40">
        <v>0</v>
      </c>
      <c r="P718" s="40">
        <v>0</v>
      </c>
      <c r="Q718" s="40">
        <v>0</v>
      </c>
      <c r="R718" s="40">
        <v>1</v>
      </c>
      <c r="S718" s="40">
        <v>0</v>
      </c>
      <c r="T718" s="29">
        <f t="array" aca="1" ref="T718" ca="1">+fair_value_gap(OFFSET(S717,0,0,-1*$I$5,-1*$Z$1),OFFSET(E717,0,0,-1*$I$5,1),F718:S718,0)</f>
        <v>15.991219112839319</v>
      </c>
      <c r="U718" s="9" cm="1">
        <f t="array" aca="1" ref="U718" ca="1">z_score_diff(OFFSET(T718,0,0,$I$5*-1,1),OFFSET(E718,0,0,$I$5*-1,1))</f>
        <v>-0.44855623867581329</v>
      </c>
      <c r="V718" s="9">
        <f t="shared" ca="1" si="95"/>
        <v>-0.21166132456403675</v>
      </c>
      <c r="W718" s="17">
        <f t="shared" ca="1" si="92"/>
        <v>5.3927880288085386E-2</v>
      </c>
      <c r="X718" s="13">
        <f t="shared" ca="1" si="93"/>
        <v>0</v>
      </c>
      <c r="Y718" s="13">
        <f t="shared" ca="1" si="94"/>
        <v>0</v>
      </c>
      <c r="Z718">
        <f t="shared" ca="1" si="96"/>
        <v>1</v>
      </c>
      <c r="AA718">
        <f t="shared" ca="1" si="97"/>
        <v>0</v>
      </c>
      <c r="AB718" s="24">
        <f t="shared" ca="1" si="98"/>
        <v>5.3927880288085386E-2</v>
      </c>
      <c r="AC718" s="24">
        <f t="shared" ca="1" si="99"/>
        <v>0</v>
      </c>
    </row>
    <row r="719" spans="3:29" x14ac:dyDescent="0.25">
      <c r="C719" s="6">
        <v>712</v>
      </c>
      <c r="D719" s="37">
        <v>43017</v>
      </c>
      <c r="E719" s="39">
        <v>16.265999999999998</v>
      </c>
      <c r="F719" s="39">
        <v>2.2776494131432221</v>
      </c>
      <c r="G719" s="39">
        <v>47.976332116406724</v>
      </c>
      <c r="H719" s="39">
        <v>63.688607144973055</v>
      </c>
      <c r="I719" s="10">
        <v>0</v>
      </c>
      <c r="J719" s="40">
        <v>0</v>
      </c>
      <c r="K719" s="40">
        <v>0</v>
      </c>
      <c r="L719" s="40">
        <v>0</v>
      </c>
      <c r="M719" s="40">
        <v>0</v>
      </c>
      <c r="N719" s="40">
        <v>0</v>
      </c>
      <c r="O719" s="40">
        <v>0</v>
      </c>
      <c r="P719" s="40">
        <v>0</v>
      </c>
      <c r="Q719" s="40">
        <v>0</v>
      </c>
      <c r="R719" s="40">
        <v>1</v>
      </c>
      <c r="S719" s="40">
        <v>0</v>
      </c>
      <c r="T719" s="29">
        <f t="array" aca="1" ref="T719" ca="1">+fair_value_gap(OFFSET(S718,0,0,-1*$I$5,-1*$Z$1),OFFSET(E718,0,0,-1*$I$5,1),F719:S719,0)</f>
        <v>15.992378390962834</v>
      </c>
      <c r="U719" s="9" cm="1">
        <f t="array" aca="1" ref="U719" ca="1">z_score_diff(OFFSET(T719,0,0,$I$5*-1,1),OFFSET(E719,0,0,$I$5*-1,1))</f>
        <v>-0.47908958955331515</v>
      </c>
      <c r="V719" s="9">
        <f t="shared" ca="1" si="95"/>
        <v>-0.22337124733467004</v>
      </c>
      <c r="W719" s="17">
        <f t="shared" ca="1" si="92"/>
        <v>4.7073163984942532E-2</v>
      </c>
      <c r="X719" s="13">
        <f t="shared" ca="1" si="93"/>
        <v>0</v>
      </c>
      <c r="Y719" s="13">
        <f t="shared" ca="1" si="94"/>
        <v>0</v>
      </c>
      <c r="Z719">
        <f t="shared" ca="1" si="96"/>
        <v>1</v>
      </c>
      <c r="AA719">
        <f t="shared" ca="1" si="97"/>
        <v>0</v>
      </c>
      <c r="AB719" s="24">
        <f t="shared" ca="1" si="98"/>
        <v>4.7073163984942532E-2</v>
      </c>
      <c r="AC719" s="24">
        <f t="shared" ca="1" si="99"/>
        <v>0</v>
      </c>
    </row>
    <row r="720" spans="3:29" x14ac:dyDescent="0.25">
      <c r="C720" s="6">
        <v>713</v>
      </c>
      <c r="D720" s="37">
        <v>43018</v>
      </c>
      <c r="E720" s="39">
        <v>16.315999999999999</v>
      </c>
      <c r="F720" s="39">
        <v>2.2739863004394953</v>
      </c>
      <c r="G720" s="39">
        <v>47.988800049230555</v>
      </c>
      <c r="H720" s="39">
        <v>63.866365868766685</v>
      </c>
      <c r="I720" s="10">
        <v>0</v>
      </c>
      <c r="J720" s="40">
        <v>0</v>
      </c>
      <c r="K720" s="40">
        <v>0</v>
      </c>
      <c r="L720" s="40">
        <v>0</v>
      </c>
      <c r="M720" s="40">
        <v>0</v>
      </c>
      <c r="N720" s="40">
        <v>0</v>
      </c>
      <c r="O720" s="40">
        <v>0</v>
      </c>
      <c r="P720" s="40">
        <v>0</v>
      </c>
      <c r="Q720" s="40">
        <v>0</v>
      </c>
      <c r="R720" s="40">
        <v>1</v>
      </c>
      <c r="S720" s="40">
        <v>0</v>
      </c>
      <c r="T720" s="29">
        <f t="array" aca="1" ref="T720" ca="1">+fair_value_gap(OFFSET(S719,0,0,-1*$I$5,-1*$Z$1),OFFSET(E719,0,0,-1*$I$5,1),F720:S720,0)</f>
        <v>16.030271480370764</v>
      </c>
      <c r="U720" s="9" cm="1">
        <f t="array" aca="1" ref="U720" ca="1">z_score_diff(OFFSET(T720,0,0,$I$5*-1,1),OFFSET(E720,0,0,$I$5*-1,1))</f>
        <v>-0.49577906795556226</v>
      </c>
      <c r="V720" s="9">
        <f t="shared" ca="1" si="95"/>
        <v>-0.23552117102400097</v>
      </c>
      <c r="W720" s="17">
        <f t="shared" ca="1" si="92"/>
        <v>3.1907655403204199E-2</v>
      </c>
      <c r="X720" s="13">
        <f t="shared" ca="1" si="93"/>
        <v>0</v>
      </c>
      <c r="Y720" s="13">
        <f t="shared" ca="1" si="94"/>
        <v>0</v>
      </c>
      <c r="Z720">
        <f t="shared" ca="1" si="96"/>
        <v>1</v>
      </c>
      <c r="AA720">
        <f t="shared" ca="1" si="97"/>
        <v>0</v>
      </c>
      <c r="AB720" s="24">
        <f t="shared" ca="1" si="98"/>
        <v>3.1907655403204199E-2</v>
      </c>
      <c r="AC720" s="24">
        <f t="shared" ca="1" si="99"/>
        <v>0</v>
      </c>
    </row>
    <row r="721" spans="3:29" x14ac:dyDescent="0.25">
      <c r="C721" s="6">
        <v>714</v>
      </c>
      <c r="D721" s="37">
        <v>43019</v>
      </c>
      <c r="E721" s="39">
        <v>16.375</v>
      </c>
      <c r="F721" s="39">
        <v>2.2524173774204321</v>
      </c>
      <c r="G721" s="39">
        <v>48.308649428656274</v>
      </c>
      <c r="H721" s="39">
        <v>64.028935213470504</v>
      </c>
      <c r="I721" s="10">
        <v>0</v>
      </c>
      <c r="J721" s="40">
        <v>0</v>
      </c>
      <c r="K721" s="40">
        <v>0</v>
      </c>
      <c r="L721" s="40">
        <v>0</v>
      </c>
      <c r="M721" s="40">
        <v>0</v>
      </c>
      <c r="N721" s="40">
        <v>0</v>
      </c>
      <c r="O721" s="40">
        <v>0</v>
      </c>
      <c r="P721" s="40">
        <v>0</v>
      </c>
      <c r="Q721" s="40">
        <v>0</v>
      </c>
      <c r="R721" s="40">
        <v>1</v>
      </c>
      <c r="S721" s="40">
        <v>0</v>
      </c>
      <c r="T721" s="29">
        <f t="array" aca="1" ref="T721" ca="1">+fair_value_gap(OFFSET(S720,0,0,-1*$I$5,-1*$Z$1),OFFSET(E720,0,0,-1*$I$5,1),F721:S721,0)</f>
        <v>16.129544155800325</v>
      </c>
      <c r="U721" s="9" cm="1">
        <f t="array" aca="1" ref="U721" ca="1">z_score_diff(OFFSET(T721,0,0,$I$5*-1,1),OFFSET(E721,0,0,$I$5*-1,1))</f>
        <v>-0.43088816870717728</v>
      </c>
      <c r="V721" s="9">
        <f t="shared" ca="1" si="95"/>
        <v>-0.24557461925832155</v>
      </c>
      <c r="W721" s="17">
        <f t="shared" ca="1" si="92"/>
        <v>3.3980937837493598E-2</v>
      </c>
      <c r="X721" s="13">
        <f t="shared" ca="1" si="93"/>
        <v>0</v>
      </c>
      <c r="Y721" s="13">
        <f t="shared" ca="1" si="94"/>
        <v>0</v>
      </c>
      <c r="Z721">
        <f t="shared" ca="1" si="96"/>
        <v>1</v>
      </c>
      <c r="AA721">
        <f t="shared" ca="1" si="97"/>
        <v>0</v>
      </c>
      <c r="AB721" s="24">
        <f t="shared" ca="1" si="98"/>
        <v>3.3980937837493598E-2</v>
      </c>
      <c r="AC721" s="24">
        <f t="shared" ca="1" si="99"/>
        <v>0</v>
      </c>
    </row>
    <row r="722" spans="3:29" x14ac:dyDescent="0.25">
      <c r="C722" s="6">
        <v>715</v>
      </c>
      <c r="D722" s="37">
        <v>43020</v>
      </c>
      <c r="E722" s="39">
        <v>16.401</v>
      </c>
      <c r="F722" s="39">
        <v>2.2609391719146918</v>
      </c>
      <c r="G722" s="39">
        <v>48.807419521204615</v>
      </c>
      <c r="H722" s="39">
        <v>65.059178122472986</v>
      </c>
      <c r="I722" s="10">
        <v>0</v>
      </c>
      <c r="J722" s="40">
        <v>0</v>
      </c>
      <c r="K722" s="40">
        <v>0</v>
      </c>
      <c r="L722" s="40">
        <v>0</v>
      </c>
      <c r="M722" s="40">
        <v>0</v>
      </c>
      <c r="N722" s="40">
        <v>0</v>
      </c>
      <c r="O722" s="40">
        <v>0</v>
      </c>
      <c r="P722" s="40">
        <v>0</v>
      </c>
      <c r="Q722" s="40">
        <v>0</v>
      </c>
      <c r="R722" s="40">
        <v>1</v>
      </c>
      <c r="S722" s="40">
        <v>0</v>
      </c>
      <c r="T722" s="29">
        <f t="array" aca="1" ref="T722" ca="1">+fair_value_gap(OFFSET(S721,0,0,-1*$I$5,-1*$Z$1),OFFSET(E721,0,0,-1*$I$5,1),F722:S722,0)</f>
        <v>16.332959705843901</v>
      </c>
      <c r="U722" s="9" cm="1">
        <f t="array" aca="1" ref="U722" ca="1">z_score_diff(OFFSET(T722,0,0,$I$5*-1,1),OFFSET(E722,0,0,$I$5*-1,1))</f>
        <v>-0.1470295795287152</v>
      </c>
      <c r="V722" s="9">
        <f t="shared" ca="1" si="95"/>
        <v>-0.25028680110075818</v>
      </c>
      <c r="W722" s="17">
        <f t="shared" ca="1" si="92"/>
        <v>1.8485484694669495E-2</v>
      </c>
      <c r="X722" s="13">
        <f t="shared" ca="1" si="93"/>
        <v>0</v>
      </c>
      <c r="Y722" s="13">
        <f t="shared" ca="1" si="94"/>
        <v>0</v>
      </c>
      <c r="Z722">
        <f t="shared" ca="1" si="96"/>
        <v>1</v>
      </c>
      <c r="AA722">
        <f t="shared" ca="1" si="97"/>
        <v>0</v>
      </c>
      <c r="AB722" s="24">
        <f t="shared" ca="1" si="98"/>
        <v>1.8485484694669495E-2</v>
      </c>
      <c r="AC722" s="24">
        <f t="shared" ca="1" si="99"/>
        <v>0</v>
      </c>
    </row>
    <row r="723" spans="3:29" x14ac:dyDescent="0.25">
      <c r="C723" s="6">
        <v>716</v>
      </c>
      <c r="D723" s="37">
        <v>43021</v>
      </c>
      <c r="E723" s="39">
        <v>16.527999999999999</v>
      </c>
      <c r="F723" s="39">
        <v>2.2728981617394659</v>
      </c>
      <c r="G723" s="39">
        <v>48.910288060388964</v>
      </c>
      <c r="H723" s="39">
        <v>65.751404930578943</v>
      </c>
      <c r="I723" s="10">
        <v>0</v>
      </c>
      <c r="J723" s="40">
        <v>0</v>
      </c>
      <c r="K723" s="40">
        <v>0</v>
      </c>
      <c r="L723" s="40">
        <v>0</v>
      </c>
      <c r="M723" s="40">
        <v>0</v>
      </c>
      <c r="N723" s="40">
        <v>0</v>
      </c>
      <c r="O723" s="40">
        <v>0</v>
      </c>
      <c r="P723" s="40">
        <v>0</v>
      </c>
      <c r="Q723" s="40">
        <v>0</v>
      </c>
      <c r="R723" s="40">
        <v>1</v>
      </c>
      <c r="S723" s="40">
        <v>0</v>
      </c>
      <c r="T723" s="29">
        <f t="array" aca="1" ref="T723" ca="1">+fair_value_gap(OFFSET(S722,0,0,-1*$I$5,-1*$Z$1),OFFSET(E722,0,0,-1*$I$5,1),F723:S723,0)</f>
        <v>16.411568099318309</v>
      </c>
      <c r="U723" s="9" cm="1">
        <f t="array" aca="1" ref="U723" ca="1">z_score_diff(OFFSET(T723,0,0,$I$5*-1,1),OFFSET(E723,0,0,$I$5*-1,1))</f>
        <v>-0.2330879532075873</v>
      </c>
      <c r="V723" s="9">
        <f t="shared" ca="1" si="95"/>
        <v>-0.24949159422934342</v>
      </c>
      <c r="W723" s="17">
        <f t="shared" ca="1" si="92"/>
        <v>1.083173425764624E-2</v>
      </c>
      <c r="X723" s="13">
        <f t="shared" ca="1" si="93"/>
        <v>0</v>
      </c>
      <c r="Y723" s="13">
        <f t="shared" ca="1" si="94"/>
        <v>0</v>
      </c>
      <c r="Z723">
        <f t="shared" ca="1" si="96"/>
        <v>1</v>
      </c>
      <c r="AA723">
        <f t="shared" ca="1" si="97"/>
        <v>0</v>
      </c>
      <c r="AB723" s="24">
        <f t="shared" ca="1" si="98"/>
        <v>1.083173425764624E-2</v>
      </c>
      <c r="AC723" s="24">
        <f t="shared" ca="1" si="99"/>
        <v>0</v>
      </c>
    </row>
    <row r="724" spans="3:29" x14ac:dyDescent="0.25">
      <c r="C724" s="6">
        <v>717</v>
      </c>
      <c r="D724" s="37">
        <v>43024</v>
      </c>
      <c r="E724" s="39">
        <v>16.632000000000001</v>
      </c>
      <c r="F724" s="39">
        <v>2.279413149364605</v>
      </c>
      <c r="G724" s="39">
        <v>49.154589638671816</v>
      </c>
      <c r="H724" s="39">
        <v>66.851323148570415</v>
      </c>
      <c r="I724" s="10">
        <v>0</v>
      </c>
      <c r="J724" s="40">
        <v>0</v>
      </c>
      <c r="K724" s="40">
        <v>0</v>
      </c>
      <c r="L724" s="40">
        <v>0</v>
      </c>
      <c r="M724" s="40">
        <v>0</v>
      </c>
      <c r="N724" s="40">
        <v>0</v>
      </c>
      <c r="O724" s="40">
        <v>0</v>
      </c>
      <c r="P724" s="40">
        <v>0</v>
      </c>
      <c r="Q724" s="40">
        <v>0</v>
      </c>
      <c r="R724" s="40">
        <v>1</v>
      </c>
      <c r="S724" s="40">
        <v>0</v>
      </c>
      <c r="T724" s="29">
        <f t="array" aca="1" ref="T724" ca="1">+fair_value_gap(OFFSET(S723,0,0,-1*$I$5,-1*$Z$1),OFFSET(E723,0,0,-1*$I$5,1),F724:S724,0)</f>
        <v>16.538723180153255</v>
      </c>
      <c r="U724" s="9" cm="1">
        <f t="array" aca="1" ref="U724" ca="1">z_score_diff(OFFSET(T724,0,0,$I$5*-1,1),OFFSET(E724,0,0,$I$5*-1,1))</f>
        <v>-0.20286229006234979</v>
      </c>
      <c r="V724" s="9">
        <f t="shared" ca="1" si="95"/>
        <v>-0.2468358542563093</v>
      </c>
      <c r="W724" s="17">
        <f t="shared" ca="1" si="92"/>
        <v>3.0017432637081632E-3</v>
      </c>
      <c r="X724" s="13">
        <f t="shared" ca="1" si="93"/>
        <v>0</v>
      </c>
      <c r="Y724" s="13">
        <f t="shared" ca="1" si="94"/>
        <v>0</v>
      </c>
      <c r="Z724">
        <f t="shared" ca="1" si="96"/>
        <v>1</v>
      </c>
      <c r="AA724">
        <f t="shared" ca="1" si="97"/>
        <v>0</v>
      </c>
      <c r="AB724" s="24">
        <f t="shared" ca="1" si="98"/>
        <v>3.0017432637081632E-3</v>
      </c>
      <c r="AC724" s="24">
        <f t="shared" ca="1" si="99"/>
        <v>0</v>
      </c>
    </row>
    <row r="725" spans="3:29" x14ac:dyDescent="0.25">
      <c r="C725" s="6">
        <v>718</v>
      </c>
      <c r="D725" s="37">
        <v>43025</v>
      </c>
      <c r="E725" s="39">
        <v>16.579000000000001</v>
      </c>
      <c r="F725" s="39">
        <v>2.2824419339224038</v>
      </c>
      <c r="G725" s="39">
        <v>48.994650921377144</v>
      </c>
      <c r="H725" s="39">
        <v>66.66010321035057</v>
      </c>
      <c r="I725" s="10">
        <v>0</v>
      </c>
      <c r="J725" s="40">
        <v>0</v>
      </c>
      <c r="K725" s="40">
        <v>0</v>
      </c>
      <c r="L725" s="40">
        <v>0</v>
      </c>
      <c r="M725" s="40">
        <v>0</v>
      </c>
      <c r="N725" s="40">
        <v>0</v>
      </c>
      <c r="O725" s="40">
        <v>0</v>
      </c>
      <c r="P725" s="40">
        <v>0</v>
      </c>
      <c r="Q725" s="40">
        <v>0</v>
      </c>
      <c r="R725" s="40">
        <v>1</v>
      </c>
      <c r="S725" s="40">
        <v>0</v>
      </c>
      <c r="T725" s="29">
        <f t="array" aca="1" ref="T725" ca="1">+fair_value_gap(OFFSET(S724,0,0,-1*$I$5,-1*$Z$1),OFFSET(E724,0,0,-1*$I$5,1),F725:S725,0)</f>
        <v>16.522961856077856</v>
      </c>
      <c r="U725" s="9" cm="1">
        <f t="array" aca="1" ref="U725" ca="1">z_score_diff(OFFSET(T725,0,0,$I$5*-1,1),OFFSET(E725,0,0,$I$5*-1,1))</f>
        <v>-0.13866074376449888</v>
      </c>
      <c r="V725" s="9">
        <f t="shared" ca="1" si="95"/>
        <v>-0.24753639124445637</v>
      </c>
      <c r="W725" s="17">
        <f t="shared" ca="1" si="92"/>
        <v>-4.8265460967132536E-4</v>
      </c>
      <c r="X725" s="13">
        <f t="shared" ca="1" si="93"/>
        <v>0</v>
      </c>
      <c r="Y725" s="13">
        <f t="shared" ca="1" si="94"/>
        <v>0</v>
      </c>
      <c r="Z725">
        <f t="shared" ca="1" si="96"/>
        <v>1</v>
      </c>
      <c r="AA725">
        <f t="shared" ca="1" si="97"/>
        <v>0</v>
      </c>
      <c r="AB725" s="24">
        <f t="shared" ca="1" si="98"/>
        <v>-4.8265460967132536E-4</v>
      </c>
      <c r="AC725" s="24">
        <f t="shared" ca="1" si="99"/>
        <v>0</v>
      </c>
    </row>
    <row r="726" spans="3:29" x14ac:dyDescent="0.25">
      <c r="C726" s="6">
        <v>719</v>
      </c>
      <c r="D726" s="37">
        <v>43026</v>
      </c>
      <c r="E726" s="39">
        <v>16.706</v>
      </c>
      <c r="F726" s="39">
        <v>2.2821926737275162</v>
      </c>
      <c r="G726" s="39">
        <v>49.343590398646882</v>
      </c>
      <c r="H726" s="39">
        <v>67.147398365861619</v>
      </c>
      <c r="I726" s="10">
        <v>0</v>
      </c>
      <c r="J726" s="40">
        <v>0</v>
      </c>
      <c r="K726" s="40">
        <v>0</v>
      </c>
      <c r="L726" s="40">
        <v>0</v>
      </c>
      <c r="M726" s="40">
        <v>0</v>
      </c>
      <c r="N726" s="40">
        <v>0</v>
      </c>
      <c r="O726" s="40">
        <v>0</v>
      </c>
      <c r="P726" s="40">
        <v>0</v>
      </c>
      <c r="Q726" s="40">
        <v>0</v>
      </c>
      <c r="R726" s="40">
        <v>1</v>
      </c>
      <c r="S726" s="40">
        <v>0</v>
      </c>
      <c r="T726" s="29">
        <f t="array" aca="1" ref="T726" ca="1">+fair_value_gap(OFFSET(S725,0,0,-1*$I$5,-1*$Z$1),OFFSET(E725,0,0,-1*$I$5,1),F726:S726,0)</f>
        <v>16.645713697854504</v>
      </c>
      <c r="U726" s="9" cm="1">
        <f t="array" aca="1" ref="U726" ca="1">z_score_diff(OFFSET(T726,0,0,$I$5*-1,1),OFFSET(E726,0,0,$I$5*-1,1))</f>
        <v>-0.1550388964163282</v>
      </c>
      <c r="V726" s="9">
        <f t="shared" ca="1" si="95"/>
        <v>-0.24917705286727651</v>
      </c>
      <c r="W726" s="17">
        <f t="shared" ca="1" si="92"/>
        <v>-1.9462687476617186E-2</v>
      </c>
      <c r="X726" s="13">
        <f t="shared" ca="1" si="93"/>
        <v>0</v>
      </c>
      <c r="Y726" s="13">
        <f t="shared" ca="1" si="94"/>
        <v>0</v>
      </c>
      <c r="Z726">
        <f t="shared" ca="1" si="96"/>
        <v>1</v>
      </c>
      <c r="AA726">
        <f t="shared" ca="1" si="97"/>
        <v>0</v>
      </c>
      <c r="AB726" s="24">
        <f t="shared" ca="1" si="98"/>
        <v>-1.9462687476617186E-2</v>
      </c>
      <c r="AC726" s="24">
        <f t="shared" ca="1" si="99"/>
        <v>0</v>
      </c>
    </row>
    <row r="727" spans="3:29" x14ac:dyDescent="0.25">
      <c r="C727" s="6">
        <v>720</v>
      </c>
      <c r="D727" s="37">
        <v>43027</v>
      </c>
      <c r="E727" s="39">
        <v>16.492999999999999</v>
      </c>
      <c r="F727" s="39">
        <v>2.2813111793213281</v>
      </c>
      <c r="G727" s="39">
        <v>48.766315964224198</v>
      </c>
      <c r="H727" s="39">
        <v>65.203606411470616</v>
      </c>
      <c r="I727" s="10">
        <v>0</v>
      </c>
      <c r="J727" s="40">
        <v>0</v>
      </c>
      <c r="K727" s="40">
        <v>0</v>
      </c>
      <c r="L727" s="40">
        <v>0</v>
      </c>
      <c r="M727" s="40">
        <v>0</v>
      </c>
      <c r="N727" s="40">
        <v>0</v>
      </c>
      <c r="O727" s="40">
        <v>0</v>
      </c>
      <c r="P727" s="40">
        <v>0</v>
      </c>
      <c r="Q727" s="40">
        <v>0</v>
      </c>
      <c r="R727" s="40">
        <v>1</v>
      </c>
      <c r="S727" s="40">
        <v>0</v>
      </c>
      <c r="T727" s="29">
        <f t="array" aca="1" ref="T727" ca="1">+fair_value_gap(OFFSET(S726,0,0,-1*$I$5,-1*$Z$1),OFFSET(E726,0,0,-1*$I$5,1),F727:S727,0)</f>
        <v>16.478069134962073</v>
      </c>
      <c r="U727" s="9" cm="1">
        <f t="array" aca="1" ref="U727" ca="1">z_score_diff(OFFSET(T727,0,0,$I$5*-1,1),OFFSET(E727,0,0,$I$5*-1,1))</f>
        <v>-6.8431493810177324E-2</v>
      </c>
      <c r="V727" s="9">
        <f t="shared" ca="1" si="95"/>
        <v>-0.23886444336568111</v>
      </c>
      <c r="W727" s="17">
        <f t="shared" ca="1" si="92"/>
        <v>-7.1192001070266228E-3</v>
      </c>
      <c r="X727" s="13">
        <f t="shared" ca="1" si="93"/>
        <v>0</v>
      </c>
      <c r="Y727" s="13">
        <f t="shared" ca="1" si="94"/>
        <v>0</v>
      </c>
      <c r="Z727">
        <f t="shared" ca="1" si="96"/>
        <v>1</v>
      </c>
      <c r="AA727">
        <f t="shared" ca="1" si="97"/>
        <v>0</v>
      </c>
      <c r="AB727" s="24">
        <f t="shared" ca="1" si="98"/>
        <v>-7.1192001070266228E-3</v>
      </c>
      <c r="AC727" s="24">
        <f t="shared" ca="1" si="99"/>
        <v>0</v>
      </c>
    </row>
    <row r="728" spans="3:29" x14ac:dyDescent="0.25">
      <c r="C728" s="6">
        <v>721</v>
      </c>
      <c r="D728" s="37">
        <v>43028</v>
      </c>
      <c r="E728" s="39">
        <v>16.359000000000002</v>
      </c>
      <c r="F728" s="39">
        <v>2.2937810496630653</v>
      </c>
      <c r="G728" s="39">
        <v>48.556722129673844</v>
      </c>
      <c r="H728" s="39">
        <v>65.214539850141833</v>
      </c>
      <c r="I728" s="10">
        <v>0</v>
      </c>
      <c r="J728" s="40">
        <v>0</v>
      </c>
      <c r="K728" s="40">
        <v>0</v>
      </c>
      <c r="L728" s="40">
        <v>0</v>
      </c>
      <c r="M728" s="40">
        <v>0</v>
      </c>
      <c r="N728" s="40">
        <v>0</v>
      </c>
      <c r="O728" s="40">
        <v>0</v>
      </c>
      <c r="P728" s="40">
        <v>0</v>
      </c>
      <c r="Q728" s="40">
        <v>0</v>
      </c>
      <c r="R728" s="40">
        <v>1</v>
      </c>
      <c r="S728" s="40">
        <v>0</v>
      </c>
      <c r="T728" s="29">
        <f t="array" aca="1" ref="T728" ca="1">+fair_value_gap(OFFSET(S727,0,0,-1*$I$5,-1*$Z$1),OFFSET(E727,0,0,-1*$I$5,1),F728:S728,0)</f>
        <v>16.455164091881095</v>
      </c>
      <c r="U728" s="9" cm="1">
        <f t="array" aca="1" ref="U728" ca="1">z_score_diff(OFFSET(T728,0,0,$I$5*-1,1),OFFSET(E728,0,0,$I$5*-1,1))</f>
        <v>0.12010926263737876</v>
      </c>
      <c r="V728" s="9">
        <f t="shared" ca="1" si="95"/>
        <v>-0.24403135428152631</v>
      </c>
      <c r="W728" s="17">
        <f t="shared" ca="1" si="92"/>
        <v>-2.448131463236824E-3</v>
      </c>
      <c r="X728" s="13">
        <f t="shared" ca="1" si="93"/>
        <v>0</v>
      </c>
      <c r="Y728" s="13">
        <f t="shared" ca="1" si="94"/>
        <v>0</v>
      </c>
      <c r="Z728">
        <f t="shared" ca="1" si="96"/>
        <v>1</v>
      </c>
      <c r="AA728">
        <f t="shared" ca="1" si="97"/>
        <v>0</v>
      </c>
      <c r="AB728" s="24">
        <f t="shared" ca="1" si="98"/>
        <v>-2.448131463236824E-3</v>
      </c>
      <c r="AC728" s="24">
        <f t="shared" ca="1" si="99"/>
        <v>0</v>
      </c>
    </row>
    <row r="729" spans="3:29" x14ac:dyDescent="0.25">
      <c r="C729" s="6">
        <v>722</v>
      </c>
      <c r="D729" s="37">
        <v>43031</v>
      </c>
      <c r="E729" s="39">
        <v>16.338000000000001</v>
      </c>
      <c r="F729" s="39">
        <v>2.2896102156392049</v>
      </c>
      <c r="G729" s="39">
        <v>48.570166721872589</v>
      </c>
      <c r="H729" s="39">
        <v>65.08870390474695</v>
      </c>
      <c r="I729" s="10">
        <v>0</v>
      </c>
      <c r="J729" s="40">
        <v>0</v>
      </c>
      <c r="K729" s="40">
        <v>0</v>
      </c>
      <c r="L729" s="40">
        <v>0</v>
      </c>
      <c r="M729" s="40">
        <v>0</v>
      </c>
      <c r="N729" s="40">
        <v>0</v>
      </c>
      <c r="O729" s="40">
        <v>0</v>
      </c>
      <c r="P729" s="40">
        <v>0</v>
      </c>
      <c r="Q729" s="40">
        <v>0</v>
      </c>
      <c r="R729" s="40">
        <v>1</v>
      </c>
      <c r="S729" s="40">
        <v>0</v>
      </c>
      <c r="T729" s="29">
        <f t="array" aca="1" ref="T729" ca="1">+fair_value_gap(OFFSET(S728,0,0,-1*$I$5,-1*$Z$1),OFFSET(E728,0,0,-1*$I$5,1),F729:S729,0)</f>
        <v>16.44509629014523</v>
      </c>
      <c r="U729" s="9" cm="1">
        <f t="array" aca="1" ref="U729" ca="1">z_score_diff(OFFSET(T729,0,0,$I$5*-1,1),OFFSET(E729,0,0,$I$5*-1,1))</f>
        <v>0.141459325622176</v>
      </c>
      <c r="V729" s="9">
        <f t="shared" ca="1" si="95"/>
        <v>-0.2455043202228622</v>
      </c>
      <c r="W729" s="17">
        <f t="shared" ca="1" si="92"/>
        <v>1.6270392920161459E-2</v>
      </c>
      <c r="X729" s="13">
        <f t="shared" ca="1" si="93"/>
        <v>0</v>
      </c>
      <c r="Y729" s="13">
        <f t="shared" ca="1" si="94"/>
        <v>0</v>
      </c>
      <c r="Z729">
        <f t="shared" ca="1" si="96"/>
        <v>1</v>
      </c>
      <c r="AA729">
        <f t="shared" ca="1" si="97"/>
        <v>0</v>
      </c>
      <c r="AB729" s="24">
        <f t="shared" ca="1" si="98"/>
        <v>1.6270392920161459E-2</v>
      </c>
      <c r="AC729" s="24">
        <f t="shared" ca="1" si="99"/>
        <v>0</v>
      </c>
    </row>
    <row r="730" spans="3:29" x14ac:dyDescent="0.25">
      <c r="C730" s="6">
        <v>723</v>
      </c>
      <c r="D730" s="37">
        <v>43032</v>
      </c>
      <c r="E730" s="39">
        <v>16.321999999999999</v>
      </c>
      <c r="F730" s="39">
        <v>2.2903714916885787</v>
      </c>
      <c r="G730" s="39">
        <v>48.445261684551419</v>
      </c>
      <c r="H730" s="39">
        <v>65.75582669686564</v>
      </c>
      <c r="I730" s="10">
        <v>0</v>
      </c>
      <c r="J730" s="40">
        <v>0</v>
      </c>
      <c r="K730" s="40">
        <v>0</v>
      </c>
      <c r="L730" s="40">
        <v>0</v>
      </c>
      <c r="M730" s="40">
        <v>0</v>
      </c>
      <c r="N730" s="40">
        <v>0</v>
      </c>
      <c r="O730" s="40">
        <v>0</v>
      </c>
      <c r="P730" s="40">
        <v>0</v>
      </c>
      <c r="Q730" s="40">
        <v>0</v>
      </c>
      <c r="R730" s="40">
        <v>1</v>
      </c>
      <c r="S730" s="40">
        <v>0</v>
      </c>
      <c r="T730" s="29">
        <f t="array" aca="1" ref="T730" ca="1">+fair_value_gap(OFFSET(S729,0,0,-1*$I$5,-1*$Z$1),OFFSET(E729,0,0,-1*$I$5,1),F730:S730,0)</f>
        <v>16.42311605086034</v>
      </c>
      <c r="U730" s="9" cm="1">
        <f t="array" aca="1" ref="U730" ca="1">z_score_diff(OFFSET(T730,0,0,$I$5*-1,1),OFFSET(E730,0,0,$I$5*-1,1))</f>
        <v>0.13439802841603266</v>
      </c>
      <c r="V730" s="9">
        <f t="shared" ca="1" si="95"/>
        <v>-0.24358810107870488</v>
      </c>
      <c r="W730" s="17">
        <f t="shared" ca="1" si="92"/>
        <v>2.3433605364955333E-2</v>
      </c>
      <c r="X730" s="13">
        <f t="shared" ca="1" si="93"/>
        <v>0</v>
      </c>
      <c r="Y730" s="13">
        <f t="shared" ca="1" si="94"/>
        <v>0</v>
      </c>
      <c r="Z730">
        <f t="shared" ca="1" si="96"/>
        <v>1</v>
      </c>
      <c r="AA730">
        <f t="shared" ca="1" si="97"/>
        <v>0</v>
      </c>
      <c r="AB730" s="24">
        <f t="shared" ca="1" si="98"/>
        <v>2.3433605364955333E-2</v>
      </c>
      <c r="AC730" s="24">
        <f t="shared" ca="1" si="99"/>
        <v>0</v>
      </c>
    </row>
    <row r="731" spans="3:29" x14ac:dyDescent="0.25">
      <c r="C731" s="6">
        <v>724</v>
      </c>
      <c r="D731" s="37">
        <v>43033</v>
      </c>
      <c r="E731" s="39">
        <v>16.539000000000001</v>
      </c>
      <c r="F731" s="39">
        <v>2.2766771794381309</v>
      </c>
      <c r="G731" s="39">
        <v>48.974665347142</v>
      </c>
      <c r="H731" s="39">
        <v>66.379241282002241</v>
      </c>
      <c r="I731" s="10">
        <v>0</v>
      </c>
      <c r="J731" s="40">
        <v>0</v>
      </c>
      <c r="K731" s="40">
        <v>0</v>
      </c>
      <c r="L731" s="40">
        <v>0</v>
      </c>
      <c r="M731" s="40">
        <v>0</v>
      </c>
      <c r="N731" s="40">
        <v>0</v>
      </c>
      <c r="O731" s="40">
        <v>0</v>
      </c>
      <c r="P731" s="40">
        <v>0</v>
      </c>
      <c r="Q731" s="40">
        <v>0</v>
      </c>
      <c r="R731" s="40">
        <v>1</v>
      </c>
      <c r="S731" s="40">
        <v>0</v>
      </c>
      <c r="T731" s="29">
        <f t="array" aca="1" ref="T731" ca="1">+fair_value_gap(OFFSET(S730,0,0,-1*$I$5,-1*$Z$1),OFFSET(E730,0,0,-1*$I$5,1),F731:S731,0)</f>
        <v>16.550512372614712</v>
      </c>
      <c r="U731" s="9" cm="1">
        <f t="array" aca="1" ref="U731" ca="1">z_score_diff(OFFSET(T731,0,0,$I$5*-1,1),OFFSET(E731,0,0,$I$5*-1,1))</f>
        <v>-2.127115068880514E-2</v>
      </c>
      <c r="V731" s="9">
        <f t="shared" ca="1" si="95"/>
        <v>-0.24019964480247311</v>
      </c>
      <c r="W731" s="17">
        <f t="shared" ca="1" si="92"/>
        <v>-1.198274731314075E-2</v>
      </c>
      <c r="X731" s="13">
        <f t="shared" ca="1" si="93"/>
        <v>0</v>
      </c>
      <c r="Y731" s="13">
        <f t="shared" ca="1" si="94"/>
        <v>0</v>
      </c>
      <c r="Z731">
        <f t="shared" ca="1" si="96"/>
        <v>1</v>
      </c>
      <c r="AA731">
        <f t="shared" ca="1" si="97"/>
        <v>0</v>
      </c>
      <c r="AB731" s="24">
        <f t="shared" ca="1" si="98"/>
        <v>-1.198274731314075E-2</v>
      </c>
      <c r="AC731" s="24">
        <f t="shared" ca="1" si="99"/>
        <v>0</v>
      </c>
    </row>
    <row r="732" spans="3:29" x14ac:dyDescent="0.25">
      <c r="C732" s="6">
        <v>725</v>
      </c>
      <c r="D732" s="37">
        <v>43034</v>
      </c>
      <c r="E732" s="39">
        <v>16.536999999999999</v>
      </c>
      <c r="F732" s="39">
        <v>2.3135325091063259</v>
      </c>
      <c r="G732" s="39">
        <v>49.383483277864769</v>
      </c>
      <c r="H732" s="39">
        <v>67.36072641939856</v>
      </c>
      <c r="I732" s="10">
        <v>0</v>
      </c>
      <c r="J732" s="40">
        <v>0</v>
      </c>
      <c r="K732" s="40">
        <v>0</v>
      </c>
      <c r="L732" s="40">
        <v>0</v>
      </c>
      <c r="M732" s="40">
        <v>0</v>
      </c>
      <c r="N732" s="40">
        <v>0</v>
      </c>
      <c r="O732" s="40">
        <v>0</v>
      </c>
      <c r="P732" s="40">
        <v>0</v>
      </c>
      <c r="Q732" s="40">
        <v>0</v>
      </c>
      <c r="R732" s="40">
        <v>1</v>
      </c>
      <c r="S732" s="40">
        <v>0</v>
      </c>
      <c r="T732" s="29">
        <f t="array" aca="1" ref="T732" ca="1">+fair_value_gap(OFFSET(S731,0,0,-1*$I$5,-1*$Z$1),OFFSET(E731,0,0,-1*$I$5,1),F732:S732,0)</f>
        <v>16.71851135770148</v>
      </c>
      <c r="U732" s="9" cm="1">
        <f t="array" aca="1" ref="U732" ca="1">z_score_diff(OFFSET(T732,0,0,$I$5*-1,1),OFFSET(E732,0,0,$I$5*-1,1))</f>
        <v>0.25478705826435927</v>
      </c>
      <c r="V732" s="9">
        <f t="shared" ca="1" si="95"/>
        <v>-0.22649676509957375</v>
      </c>
      <c r="W732" s="17">
        <f t="shared" ca="1" si="92"/>
        <v>1.0347201743947118E-2</v>
      </c>
      <c r="X732" s="13">
        <f t="shared" ca="1" si="93"/>
        <v>0</v>
      </c>
      <c r="Y732" s="13">
        <f t="shared" ca="1" si="94"/>
        <v>0</v>
      </c>
      <c r="Z732">
        <f t="shared" ca="1" si="96"/>
        <v>1</v>
      </c>
      <c r="AA732">
        <f t="shared" ca="1" si="97"/>
        <v>0</v>
      </c>
      <c r="AB732" s="24">
        <f t="shared" ca="1" si="98"/>
        <v>1.0347201743947118E-2</v>
      </c>
      <c r="AC732" s="24">
        <f t="shared" ca="1" si="99"/>
        <v>0</v>
      </c>
    </row>
    <row r="733" spans="3:29" x14ac:dyDescent="0.25">
      <c r="C733" s="6">
        <v>726</v>
      </c>
      <c r="D733" s="37">
        <v>43035</v>
      </c>
      <c r="E733" s="39">
        <v>16.728000000000002</v>
      </c>
      <c r="F733" s="39">
        <v>2.3181573186231126</v>
      </c>
      <c r="G733" s="39">
        <v>49.701369454996481</v>
      </c>
      <c r="H733" s="39">
        <v>68.746215423107387</v>
      </c>
      <c r="I733" s="10">
        <v>0</v>
      </c>
      <c r="J733" s="40">
        <v>0</v>
      </c>
      <c r="K733" s="40">
        <v>0</v>
      </c>
      <c r="L733" s="40">
        <v>0</v>
      </c>
      <c r="M733" s="40">
        <v>0</v>
      </c>
      <c r="N733" s="40">
        <v>0</v>
      </c>
      <c r="O733" s="40">
        <v>0</v>
      </c>
      <c r="P733" s="40">
        <v>0</v>
      </c>
      <c r="Q733" s="40">
        <v>0</v>
      </c>
      <c r="R733" s="40">
        <v>1</v>
      </c>
      <c r="S733" s="40">
        <v>0</v>
      </c>
      <c r="T733" s="29">
        <f t="array" aca="1" ref="T733" ca="1">+fair_value_gap(OFFSET(S732,0,0,-1*$I$5,-1*$Z$1),OFFSET(E732,0,0,-1*$I$5,1),F733:S733,0)</f>
        <v>16.832690540798307</v>
      </c>
      <c r="U733" s="9" cm="1">
        <f t="array" aca="1" ref="U733" ca="1">z_score_diff(OFFSET(T733,0,0,$I$5*-1,1),OFFSET(E733,0,0,$I$5*-1,1))</f>
        <v>0.11941527826012335</v>
      </c>
      <c r="V733" s="9">
        <f t="shared" ca="1" si="95"/>
        <v>-0.21938713947872138</v>
      </c>
      <c r="W733" s="17">
        <f t="shared" ca="1" si="92"/>
        <v>-9.6108380330493758E-3</v>
      </c>
      <c r="X733" s="13">
        <f t="shared" ca="1" si="93"/>
        <v>0</v>
      </c>
      <c r="Y733" s="13">
        <f t="shared" ca="1" si="94"/>
        <v>0</v>
      </c>
      <c r="Z733">
        <f t="shared" ca="1" si="96"/>
        <v>1</v>
      </c>
      <c r="AA733">
        <f t="shared" ca="1" si="97"/>
        <v>0</v>
      </c>
      <c r="AB733" s="24">
        <f t="shared" ca="1" si="98"/>
        <v>-9.6108380330493758E-3</v>
      </c>
      <c r="AC733" s="24">
        <f t="shared" ca="1" si="99"/>
        <v>0</v>
      </c>
    </row>
    <row r="734" spans="3:29" x14ac:dyDescent="0.25">
      <c r="C734" s="6">
        <v>727</v>
      </c>
      <c r="D734" s="37">
        <v>43038</v>
      </c>
      <c r="E734" s="39">
        <v>16.754999999999999</v>
      </c>
      <c r="F734" s="39">
        <v>2.2820130455217256</v>
      </c>
      <c r="G734" s="39">
        <v>49.763936018751437</v>
      </c>
      <c r="H734" s="39">
        <v>68.551572417234553</v>
      </c>
      <c r="I734" s="10">
        <v>0</v>
      </c>
      <c r="J734" s="40">
        <v>0</v>
      </c>
      <c r="K734" s="40">
        <v>0</v>
      </c>
      <c r="L734" s="40">
        <v>0</v>
      </c>
      <c r="M734" s="40">
        <v>0</v>
      </c>
      <c r="N734" s="40">
        <v>0</v>
      </c>
      <c r="O734" s="40">
        <v>0</v>
      </c>
      <c r="P734" s="40">
        <v>0</v>
      </c>
      <c r="Q734" s="40">
        <v>0</v>
      </c>
      <c r="R734" s="40">
        <v>1</v>
      </c>
      <c r="S734" s="40">
        <v>0</v>
      </c>
      <c r="T734" s="29">
        <f t="array" aca="1" ref="T734" ca="1">+fair_value_gap(OFFSET(S733,0,0,-1*$I$5,-1*$Z$1),OFFSET(E733,0,0,-1*$I$5,1),F734:S734,0)</f>
        <v>16.802127267508364</v>
      </c>
      <c r="U734" s="9" cm="1">
        <f t="array" aca="1" ref="U734" ca="1">z_score_diff(OFFSET(T734,0,0,$I$5*-1,1),OFFSET(E734,0,0,$I$5*-1,1))</f>
        <v>2.4293985938642251E-2</v>
      </c>
      <c r="V734" s="9">
        <f t="shared" ca="1" si="95"/>
        <v>-0.21809611854485195</v>
      </c>
      <c r="W734" s="17">
        <f t="shared" ca="1" si="92"/>
        <v>-1.406442224081951E-2</v>
      </c>
      <c r="X734" s="13">
        <f t="shared" ca="1" si="93"/>
        <v>0</v>
      </c>
      <c r="Y734" s="13">
        <f t="shared" ca="1" si="94"/>
        <v>0</v>
      </c>
      <c r="Z734">
        <f t="shared" ca="1" si="96"/>
        <v>1</v>
      </c>
      <c r="AA734">
        <f t="shared" ca="1" si="97"/>
        <v>0</v>
      </c>
      <c r="AB734" s="24">
        <f t="shared" ca="1" si="98"/>
        <v>-1.406442224081951E-2</v>
      </c>
      <c r="AC734" s="24">
        <f t="shared" ca="1" si="99"/>
        <v>0</v>
      </c>
    </row>
    <row r="735" spans="3:29" x14ac:dyDescent="0.25">
      <c r="C735" s="6">
        <v>728</v>
      </c>
      <c r="D735" s="37">
        <v>43039</v>
      </c>
      <c r="E735" s="39">
        <v>16.606999999999999</v>
      </c>
      <c r="F735" s="39">
        <v>2.2743284349072947</v>
      </c>
      <c r="G735" s="39">
        <v>46.630759487285836</v>
      </c>
      <c r="H735" s="39">
        <v>69.705182717093095</v>
      </c>
      <c r="I735" s="10">
        <v>0</v>
      </c>
      <c r="J735" s="40">
        <v>0</v>
      </c>
      <c r="K735" s="40">
        <v>0</v>
      </c>
      <c r="L735" s="40">
        <v>0</v>
      </c>
      <c r="M735" s="40">
        <v>0</v>
      </c>
      <c r="N735" s="40">
        <v>0</v>
      </c>
      <c r="O735" s="40">
        <v>0</v>
      </c>
      <c r="P735" s="40">
        <v>0</v>
      </c>
      <c r="Q735" s="40">
        <v>0</v>
      </c>
      <c r="R735" s="40">
        <v>1</v>
      </c>
      <c r="S735" s="40">
        <v>0</v>
      </c>
      <c r="T735" s="29">
        <f t="array" aca="1" ref="T735" ca="1">+fair_value_gap(OFFSET(S734,0,0,-1*$I$5,-1*$Z$1),OFFSET(E734,0,0,-1*$I$5,1),F735:S735,0)</f>
        <v>16.045132035508381</v>
      </c>
      <c r="U735" s="9" cm="1">
        <f t="array" aca="1" ref="U735" ca="1">z_score_diff(OFFSET(T735,0,0,$I$5*-1,1),OFFSET(E735,0,0,$I$5*-1,1))</f>
        <v>-0.95799449648747914</v>
      </c>
      <c r="V735" s="9">
        <f t="shared" ca="1" si="95"/>
        <v>-0.24473798295179275</v>
      </c>
      <c r="W735" s="17">
        <f t="shared" ca="1" si="92"/>
        <v>-3.0757193381299344E-3</v>
      </c>
      <c r="X735" s="13">
        <f t="shared" ca="1" si="93"/>
        <v>0</v>
      </c>
      <c r="Y735" s="13">
        <f t="shared" ca="1" si="94"/>
        <v>0</v>
      </c>
      <c r="Z735">
        <f t="shared" ca="1" si="96"/>
        <v>1</v>
      </c>
      <c r="AA735">
        <f t="shared" ca="1" si="97"/>
        <v>0</v>
      </c>
      <c r="AB735" s="24">
        <f t="shared" ca="1" si="98"/>
        <v>-3.0757193381299344E-3</v>
      </c>
      <c r="AC735" s="24">
        <f t="shared" ca="1" si="99"/>
        <v>0</v>
      </c>
    </row>
    <row r="736" spans="3:29" x14ac:dyDescent="0.25">
      <c r="C736" s="6">
        <v>729</v>
      </c>
      <c r="D736" s="37">
        <v>43040</v>
      </c>
      <c r="E736" s="39">
        <v>16.655999999999999</v>
      </c>
      <c r="F736" s="39">
        <v>2.2733875050837891</v>
      </c>
      <c r="G736" s="39">
        <v>46.871170313134783</v>
      </c>
      <c r="H736" s="39">
        <v>70.550543239182943</v>
      </c>
      <c r="I736" s="10">
        <v>0</v>
      </c>
      <c r="J736" s="40">
        <v>0</v>
      </c>
      <c r="K736" s="40">
        <v>0</v>
      </c>
      <c r="L736" s="40">
        <v>0</v>
      </c>
      <c r="M736" s="40">
        <v>0</v>
      </c>
      <c r="N736" s="40">
        <v>0</v>
      </c>
      <c r="O736" s="40">
        <v>0</v>
      </c>
      <c r="P736" s="40">
        <v>0</v>
      </c>
      <c r="Q736" s="40">
        <v>0</v>
      </c>
      <c r="R736" s="40">
        <v>0</v>
      </c>
      <c r="S736" s="40">
        <v>1</v>
      </c>
      <c r="T736" s="29">
        <f t="array" aca="1" ref="T736" ca="1">+fair_value_gap(OFFSET(S735,0,0,-1*$I$5,-1*$Z$1),OFFSET(E735,0,0,-1*$I$5,1),F736:S736,0)</f>
        <v>16.206537642533249</v>
      </c>
      <c r="U736" s="9" cm="1">
        <f t="array" aca="1" ref="U736" ca="1">z_score_diff(OFFSET(T736,0,0,$I$5*-1,1),OFFSET(E736,0,0,$I$5*-1,1))</f>
        <v>-0.77367411804497399</v>
      </c>
      <c r="V736" s="9">
        <f t="shared" ca="1" si="95"/>
        <v>-0.26907615453261358</v>
      </c>
      <c r="W736" s="17">
        <f t="shared" ca="1" si="92"/>
        <v>2.6980859968673415E-3</v>
      </c>
      <c r="X736" s="13">
        <f t="shared" ca="1" si="93"/>
        <v>0</v>
      </c>
      <c r="Y736" s="13">
        <f t="shared" ca="1" si="94"/>
        <v>0</v>
      </c>
      <c r="Z736">
        <f t="shared" ca="1" si="96"/>
        <v>1</v>
      </c>
      <c r="AA736">
        <f t="shared" ca="1" si="97"/>
        <v>0</v>
      </c>
      <c r="AB736" s="24">
        <f t="shared" ca="1" si="98"/>
        <v>2.6980859968673415E-3</v>
      </c>
      <c r="AC736" s="24">
        <f t="shared" ca="1" si="99"/>
        <v>0</v>
      </c>
    </row>
    <row r="737" spans="3:29" x14ac:dyDescent="0.25">
      <c r="C737" s="6">
        <v>730</v>
      </c>
      <c r="D737" s="37">
        <v>43041</v>
      </c>
      <c r="E737" s="39">
        <v>16.428999999999998</v>
      </c>
      <c r="F737" s="39">
        <v>2.270979873192589</v>
      </c>
      <c r="G737" s="39">
        <v>46.193216479361162</v>
      </c>
      <c r="H737" s="39">
        <v>71.09226352304789</v>
      </c>
      <c r="I737" s="10">
        <v>0</v>
      </c>
      <c r="J737" s="40">
        <v>0</v>
      </c>
      <c r="K737" s="40">
        <v>0</v>
      </c>
      <c r="L737" s="40">
        <v>0</v>
      </c>
      <c r="M737" s="40">
        <v>0</v>
      </c>
      <c r="N737" s="40">
        <v>0</v>
      </c>
      <c r="O737" s="40">
        <v>0</v>
      </c>
      <c r="P737" s="40">
        <v>0</v>
      </c>
      <c r="Q737" s="40">
        <v>0</v>
      </c>
      <c r="R737" s="40">
        <v>0</v>
      </c>
      <c r="S737" s="40">
        <v>1</v>
      </c>
      <c r="T737" s="29">
        <f t="array" aca="1" ref="T737" ca="1">+fair_value_gap(OFFSET(S736,0,0,-1*$I$5,-1*$Z$1),OFFSET(E736,0,0,-1*$I$5,1),F737:S737,0)</f>
        <v>16.295421679756185</v>
      </c>
      <c r="U737" s="9" cm="1">
        <f t="array" aca="1" ref="U737" ca="1">z_score_diff(OFFSET(T737,0,0,$I$5*-1,1),OFFSET(E737,0,0,$I$5*-1,1))</f>
        <v>-0.23710772302158112</v>
      </c>
      <c r="V737" s="9">
        <f t="shared" ca="1" si="95"/>
        <v>-0.27855579726186641</v>
      </c>
      <c r="W737" s="17">
        <f t="shared" ca="1" si="92"/>
        <v>1.1979814134042633E-2</v>
      </c>
      <c r="X737" s="13">
        <f t="shared" ca="1" si="93"/>
        <v>0</v>
      </c>
      <c r="Y737" s="13">
        <f t="shared" ca="1" si="94"/>
        <v>0</v>
      </c>
      <c r="Z737">
        <f t="shared" ca="1" si="96"/>
        <v>1</v>
      </c>
      <c r="AA737">
        <f t="shared" ca="1" si="97"/>
        <v>0</v>
      </c>
      <c r="AB737" s="24">
        <f t="shared" ca="1" si="98"/>
        <v>1.1979814134042633E-2</v>
      </c>
      <c r="AC737" s="24">
        <f t="shared" ca="1" si="99"/>
        <v>0</v>
      </c>
    </row>
    <row r="738" spans="3:29" x14ac:dyDescent="0.25">
      <c r="C738" s="6">
        <v>731</v>
      </c>
      <c r="D738" s="37">
        <v>43042</v>
      </c>
      <c r="E738" s="39">
        <v>16.309000000000001</v>
      </c>
      <c r="F738" s="39">
        <v>2.2827575711459445</v>
      </c>
      <c r="G738" s="39">
        <v>45.982864353871015</v>
      </c>
      <c r="H738" s="39">
        <v>69.938037061338392</v>
      </c>
      <c r="I738" s="10">
        <v>0</v>
      </c>
      <c r="J738" s="40">
        <v>0</v>
      </c>
      <c r="K738" s="40">
        <v>0</v>
      </c>
      <c r="L738" s="40">
        <v>0</v>
      </c>
      <c r="M738" s="40">
        <v>0</v>
      </c>
      <c r="N738" s="40">
        <v>0</v>
      </c>
      <c r="O738" s="40">
        <v>0</v>
      </c>
      <c r="P738" s="40">
        <v>0</v>
      </c>
      <c r="Q738" s="40">
        <v>0</v>
      </c>
      <c r="R738" s="40">
        <v>0</v>
      </c>
      <c r="S738" s="40">
        <v>1</v>
      </c>
      <c r="T738" s="29">
        <f t="array" aca="1" ref="T738" ca="1">+fair_value_gap(OFFSET(S737,0,0,-1*$I$5,-1*$Z$1),OFFSET(E737,0,0,-1*$I$5,1),F738:S738,0)</f>
        <v>16.247327410696034</v>
      </c>
      <c r="U738" s="9" cm="1">
        <f t="array" aca="1" ref="U738" ca="1">z_score_diff(OFFSET(T738,0,0,$I$5*-1,1),OFFSET(E738,0,0,$I$5*-1,1))</f>
        <v>-0.10515441752515209</v>
      </c>
      <c r="V738" s="9">
        <f t="shared" ca="1" si="95"/>
        <v>-0.28309269212895316</v>
      </c>
      <c r="W738" s="17">
        <f t="shared" ca="1" si="92"/>
        <v>2.123350825279896E-2</v>
      </c>
      <c r="X738" s="13">
        <f t="shared" ca="1" si="93"/>
        <v>0</v>
      </c>
      <c r="Y738" s="13">
        <f t="shared" ca="1" si="94"/>
        <v>0</v>
      </c>
      <c r="Z738">
        <f t="shared" ca="1" si="96"/>
        <v>1</v>
      </c>
      <c r="AA738">
        <f t="shared" ca="1" si="97"/>
        <v>0</v>
      </c>
      <c r="AB738" s="24">
        <f t="shared" ca="1" si="98"/>
        <v>2.123350825279896E-2</v>
      </c>
      <c r="AC738" s="24">
        <f t="shared" ca="1" si="99"/>
        <v>0</v>
      </c>
    </row>
    <row r="739" spans="3:29" x14ac:dyDescent="0.25">
      <c r="C739" s="6">
        <v>732</v>
      </c>
      <c r="D739" s="37">
        <v>43045</v>
      </c>
      <c r="E739" s="39">
        <v>16.637</v>
      </c>
      <c r="F739" s="39">
        <v>2.2833554356821653</v>
      </c>
      <c r="G739" s="39">
        <v>46.97950654233955</v>
      </c>
      <c r="H739" s="39">
        <v>70.461623342739287</v>
      </c>
      <c r="I739" s="10">
        <v>0</v>
      </c>
      <c r="J739" s="40">
        <v>0</v>
      </c>
      <c r="K739" s="40">
        <v>0</v>
      </c>
      <c r="L739" s="40">
        <v>0</v>
      </c>
      <c r="M739" s="40">
        <v>0</v>
      </c>
      <c r="N739" s="40">
        <v>0</v>
      </c>
      <c r="O739" s="40">
        <v>0</v>
      </c>
      <c r="P739" s="40">
        <v>0</v>
      </c>
      <c r="Q739" s="40">
        <v>0</v>
      </c>
      <c r="R739" s="40">
        <v>0</v>
      </c>
      <c r="S739" s="40">
        <v>1</v>
      </c>
      <c r="T739" s="29">
        <f t="array" aca="1" ref="T739" ca="1">+fair_value_gap(OFFSET(S738,0,0,-1*$I$5,-1*$Z$1),OFFSET(E738,0,0,-1*$I$5,1),F739:S739,0)</f>
        <v>16.538928292531523</v>
      </c>
      <c r="U739" s="9" cm="1">
        <f t="array" aca="1" ref="U739" ca="1">z_score_diff(OFFSET(T739,0,0,$I$5*-1,1),OFFSET(E739,0,0,$I$5*-1,1))</f>
        <v>-0.18668515703387728</v>
      </c>
      <c r="V739" s="9">
        <f t="shared" ca="1" si="95"/>
        <v>-0.28817188975895069</v>
      </c>
      <c r="W739" s="17">
        <f t="shared" ca="1" si="92"/>
        <v>-5.1221902343638742E-3</v>
      </c>
      <c r="X739" s="13">
        <f t="shared" ca="1" si="93"/>
        <v>0</v>
      </c>
      <c r="Y739" s="13">
        <f t="shared" ca="1" si="94"/>
        <v>0</v>
      </c>
      <c r="Z739">
        <f t="shared" ca="1" si="96"/>
        <v>1</v>
      </c>
      <c r="AA739">
        <f t="shared" ca="1" si="97"/>
        <v>0</v>
      </c>
      <c r="AB739" s="24">
        <f t="shared" ca="1" si="98"/>
        <v>-5.1221902343638742E-3</v>
      </c>
      <c r="AC739" s="24">
        <f t="shared" ca="1" si="99"/>
        <v>0</v>
      </c>
    </row>
    <row r="740" spans="3:29" x14ac:dyDescent="0.25">
      <c r="C740" s="6">
        <v>733</v>
      </c>
      <c r="D740" s="37">
        <v>43046</v>
      </c>
      <c r="E740" s="39">
        <v>16.855</v>
      </c>
      <c r="F740" s="39">
        <v>2.2816948306001832</v>
      </c>
      <c r="G740" s="39">
        <v>47.5172117279849</v>
      </c>
      <c r="H740" s="39">
        <v>70.506950803296434</v>
      </c>
      <c r="I740" s="10">
        <v>0</v>
      </c>
      <c r="J740" s="40">
        <v>0</v>
      </c>
      <c r="K740" s="40">
        <v>0</v>
      </c>
      <c r="L740" s="40">
        <v>0</v>
      </c>
      <c r="M740" s="40">
        <v>0</v>
      </c>
      <c r="N740" s="40">
        <v>0</v>
      </c>
      <c r="O740" s="40">
        <v>0</v>
      </c>
      <c r="P740" s="40">
        <v>0</v>
      </c>
      <c r="Q740" s="40">
        <v>0</v>
      </c>
      <c r="R740" s="40">
        <v>0</v>
      </c>
      <c r="S740" s="40">
        <v>1</v>
      </c>
      <c r="T740" s="29">
        <f t="array" aca="1" ref="T740" ca="1">+fair_value_gap(OFFSET(S739,0,0,-1*$I$5,-1*$Z$1),OFFSET(E739,0,0,-1*$I$5,1),F740:S740,0)</f>
        <v>16.692336972980527</v>
      </c>
      <c r="U740" s="9" cm="1">
        <f t="array" aca="1" ref="U740" ca="1">z_score_diff(OFFSET(T740,0,0,$I$5*-1,1),OFFSET(E740,0,0,$I$5*-1,1))</f>
        <v>-0.31084870312057106</v>
      </c>
      <c r="V740" s="9">
        <f t="shared" ca="1" si="95"/>
        <v>-0.29726207779204084</v>
      </c>
      <c r="W740" s="17">
        <f t="shared" ca="1" si="92"/>
        <v>-9.1188759549863298E-3</v>
      </c>
      <c r="X740" s="13">
        <f t="shared" ca="1" si="93"/>
        <v>0</v>
      </c>
      <c r="Y740" s="13">
        <f t="shared" ca="1" si="94"/>
        <v>0</v>
      </c>
      <c r="Z740">
        <f t="shared" ca="1" si="96"/>
        <v>1</v>
      </c>
      <c r="AA740">
        <f t="shared" ca="1" si="97"/>
        <v>0</v>
      </c>
      <c r="AB740" s="24">
        <f t="shared" ca="1" si="98"/>
        <v>-9.1188759549863298E-3</v>
      </c>
      <c r="AC740" s="24">
        <f t="shared" ca="1" si="99"/>
        <v>0</v>
      </c>
    </row>
    <row r="741" spans="3:29" x14ac:dyDescent="0.25">
      <c r="C741" s="6">
        <v>734</v>
      </c>
      <c r="D741" s="37">
        <v>43047</v>
      </c>
      <c r="E741" s="39">
        <v>16.916</v>
      </c>
      <c r="F741" s="39">
        <v>2.280222932955458</v>
      </c>
      <c r="G741" s="39">
        <v>47.776793937964698</v>
      </c>
      <c r="H741" s="39">
        <v>70.227872606888567</v>
      </c>
      <c r="I741" s="10">
        <v>0</v>
      </c>
      <c r="J741" s="40">
        <v>0</v>
      </c>
      <c r="K741" s="40">
        <v>0</v>
      </c>
      <c r="L741" s="40">
        <v>0</v>
      </c>
      <c r="M741" s="40">
        <v>0</v>
      </c>
      <c r="N741" s="40">
        <v>0</v>
      </c>
      <c r="O741" s="40">
        <v>0</v>
      </c>
      <c r="P741" s="40">
        <v>0</v>
      </c>
      <c r="Q741" s="40">
        <v>0</v>
      </c>
      <c r="R741" s="40">
        <v>0</v>
      </c>
      <c r="S741" s="40">
        <v>1</v>
      </c>
      <c r="T741" s="29">
        <f t="array" aca="1" ref="T741" ca="1">+fair_value_gap(OFFSET(S740,0,0,-1*$I$5,-1*$Z$1),OFFSET(E740,0,0,-1*$I$5,1),F741:S741,0)</f>
        <v>16.768229187393025</v>
      </c>
      <c r="U741" s="9" cm="1">
        <f t="array" aca="1" ref="U741" ca="1">z_score_diff(OFFSET(T741,0,0,$I$5*-1,1),OFFSET(E741,0,0,$I$5*-1,1))</f>
        <v>-0.29092856750969587</v>
      </c>
      <c r="V741" s="9">
        <f t="shared" ca="1" si="95"/>
        <v>-0.30981534116712933</v>
      </c>
      <c r="W741" s="17">
        <f t="shared" ca="1" si="92"/>
        <v>-2.7691310863503616E-2</v>
      </c>
      <c r="X741" s="13">
        <f t="shared" ca="1" si="93"/>
        <v>0</v>
      </c>
      <c r="Y741" s="13">
        <f t="shared" ca="1" si="94"/>
        <v>0</v>
      </c>
      <c r="Z741">
        <f t="shared" ca="1" si="96"/>
        <v>1</v>
      </c>
      <c r="AA741">
        <f t="shared" ca="1" si="97"/>
        <v>0</v>
      </c>
      <c r="AB741" s="24">
        <f t="shared" ca="1" si="98"/>
        <v>-2.7691310863503616E-2</v>
      </c>
      <c r="AC741" s="24">
        <f t="shared" ca="1" si="99"/>
        <v>0</v>
      </c>
    </row>
    <row r="742" spans="3:29" x14ac:dyDescent="0.25">
      <c r="C742" s="6">
        <v>735</v>
      </c>
      <c r="D742" s="37">
        <v>43048</v>
      </c>
      <c r="E742" s="39">
        <v>17.09</v>
      </c>
      <c r="F742" s="39">
        <v>2.2721246271130262</v>
      </c>
      <c r="G742" s="39">
        <v>48.326390715650135</v>
      </c>
      <c r="H742" s="39">
        <v>69.564136559496191</v>
      </c>
      <c r="I742" s="10">
        <v>0</v>
      </c>
      <c r="J742" s="40">
        <v>0</v>
      </c>
      <c r="K742" s="40">
        <v>0</v>
      </c>
      <c r="L742" s="40">
        <v>0</v>
      </c>
      <c r="M742" s="40">
        <v>0</v>
      </c>
      <c r="N742" s="40">
        <v>0</v>
      </c>
      <c r="O742" s="40">
        <v>0</v>
      </c>
      <c r="P742" s="40">
        <v>0</v>
      </c>
      <c r="Q742" s="40">
        <v>0</v>
      </c>
      <c r="R742" s="40">
        <v>0</v>
      </c>
      <c r="S742" s="40">
        <v>1</v>
      </c>
      <c r="T742" s="29">
        <f t="array" aca="1" ref="T742" ca="1">+fair_value_gap(OFFSET(S741,0,0,-1*$I$5,-1*$Z$1),OFFSET(E741,0,0,-1*$I$5,1),F742:S742,0)</f>
        <v>16.880468406566429</v>
      </c>
      <c r="U742" s="9" cm="1">
        <f t="array" aca="1" ref="U742" ca="1">z_score_diff(OFFSET(T742,0,0,$I$5*-1,1),OFFSET(E742,0,0,$I$5*-1,1))</f>
        <v>-0.41169385684553589</v>
      </c>
      <c r="V742" s="9">
        <f t="shared" ca="1" si="95"/>
        <v>-0.32151724974020457</v>
      </c>
      <c r="W742" s="17">
        <f t="shared" ca="1" si="92"/>
        <v>-3.7074393219841309E-2</v>
      </c>
      <c r="X742" s="13">
        <f t="shared" ca="1" si="93"/>
        <v>0</v>
      </c>
      <c r="Y742" s="13">
        <f t="shared" ca="1" si="94"/>
        <v>0</v>
      </c>
      <c r="Z742">
        <f t="shared" ca="1" si="96"/>
        <v>1</v>
      </c>
      <c r="AA742">
        <f t="shared" ca="1" si="97"/>
        <v>0</v>
      </c>
      <c r="AB742" s="24">
        <f t="shared" ca="1" si="98"/>
        <v>-3.7074393219841309E-2</v>
      </c>
      <c r="AC742" s="24">
        <f t="shared" ca="1" si="99"/>
        <v>0</v>
      </c>
    </row>
    <row r="743" spans="3:29" x14ac:dyDescent="0.25">
      <c r="C743" s="6">
        <v>736</v>
      </c>
      <c r="D743" s="37">
        <v>43049</v>
      </c>
      <c r="E743" s="39">
        <v>17.282</v>
      </c>
      <c r="F743" s="39">
        <v>2.2685770241033207</v>
      </c>
      <c r="G743" s="39">
        <v>48.665478745813466</v>
      </c>
      <c r="H743" s="39">
        <v>70.670764385573733</v>
      </c>
      <c r="I743" s="10">
        <v>0</v>
      </c>
      <c r="J743" s="40">
        <v>0</v>
      </c>
      <c r="K743" s="40">
        <v>0</v>
      </c>
      <c r="L743" s="40">
        <v>0</v>
      </c>
      <c r="M743" s="40">
        <v>0</v>
      </c>
      <c r="N743" s="40">
        <v>0</v>
      </c>
      <c r="O743" s="40">
        <v>0</v>
      </c>
      <c r="P743" s="40">
        <v>0</v>
      </c>
      <c r="Q743" s="40">
        <v>0</v>
      </c>
      <c r="R743" s="40">
        <v>0</v>
      </c>
      <c r="S743" s="40">
        <v>1</v>
      </c>
      <c r="T743" s="29">
        <f t="array" aca="1" ref="T743" ca="1">+fair_value_gap(OFFSET(S742,0,0,-1*$I$5,-1*$Z$1),OFFSET(E742,0,0,-1*$I$5,1),F743:S743,0)</f>
        <v>17.048509741533227</v>
      </c>
      <c r="U743" s="9" cm="1">
        <f t="array" aca="1" ref="U743" ca="1">z_score_diff(OFFSET(T743,0,0,$I$5*-1,1),OFFSET(E743,0,0,$I$5*-1,1))</f>
        <v>-0.46893609323108298</v>
      </c>
      <c r="V743" s="9">
        <f t="shared" ca="1" si="95"/>
        <v>-0.33401797418297779</v>
      </c>
      <c r="W743" s="17">
        <f t="shared" ca="1" si="92"/>
        <v>-4.3098143141179088E-2</v>
      </c>
      <c r="X743" s="13">
        <f t="shared" ca="1" si="93"/>
        <v>0</v>
      </c>
      <c r="Y743" s="13">
        <f t="shared" ca="1" si="94"/>
        <v>0</v>
      </c>
      <c r="Z743">
        <f t="shared" ca="1" si="96"/>
        <v>1</v>
      </c>
      <c r="AA743">
        <f t="shared" ca="1" si="97"/>
        <v>0</v>
      </c>
      <c r="AB743" s="24">
        <f t="shared" ca="1" si="98"/>
        <v>-4.3098143141179088E-2</v>
      </c>
      <c r="AC743" s="24">
        <f t="shared" ca="1" si="99"/>
        <v>0</v>
      </c>
    </row>
    <row r="744" spans="3:29" x14ac:dyDescent="0.25">
      <c r="C744" s="6">
        <v>737</v>
      </c>
      <c r="D744" s="37">
        <v>43052</v>
      </c>
      <c r="E744" s="39">
        <v>17.346</v>
      </c>
      <c r="F744" s="39">
        <v>2.2697452134568543</v>
      </c>
      <c r="G744" s="39">
        <v>48.784746009927112</v>
      </c>
      <c r="H744" s="39">
        <v>70.645509920116879</v>
      </c>
      <c r="I744" s="10">
        <v>0</v>
      </c>
      <c r="J744" s="40">
        <v>0</v>
      </c>
      <c r="K744" s="40">
        <v>0</v>
      </c>
      <c r="L744" s="40">
        <v>0</v>
      </c>
      <c r="M744" s="40">
        <v>0</v>
      </c>
      <c r="N744" s="40">
        <v>0</v>
      </c>
      <c r="O744" s="40">
        <v>0</v>
      </c>
      <c r="P744" s="40">
        <v>0</v>
      </c>
      <c r="Q744" s="40">
        <v>0</v>
      </c>
      <c r="R744" s="40">
        <v>0</v>
      </c>
      <c r="S744" s="40">
        <v>1</v>
      </c>
      <c r="T744" s="29">
        <f t="array" aca="1" ref="T744" ca="1">+fair_value_gap(OFFSET(S743,0,0,-1*$I$5,-1*$Z$1),OFFSET(E743,0,0,-1*$I$5,1),F744:S744,0)</f>
        <v>17.107663417714747</v>
      </c>
      <c r="U744" s="9" cm="1">
        <f t="array" aca="1" ref="U744" ca="1">z_score_diff(OFFSET(T744,0,0,$I$5*-1,1),OFFSET(E744,0,0,$I$5*-1,1))</f>
        <v>-0.48110110479138107</v>
      </c>
      <c r="V744" s="9">
        <f t="shared" ca="1" si="95"/>
        <v>-0.34270004683872052</v>
      </c>
      <c r="W744" s="17">
        <f t="shared" ca="1" si="92"/>
        <v>-4.6371783305150426E-2</v>
      </c>
      <c r="X744" s="13">
        <f t="shared" ca="1" si="93"/>
        <v>0</v>
      </c>
      <c r="Y744" s="13">
        <f t="shared" ca="1" si="94"/>
        <v>0</v>
      </c>
      <c r="Z744">
        <f t="shared" ca="1" si="96"/>
        <v>1</v>
      </c>
      <c r="AA744">
        <f t="shared" ca="1" si="97"/>
        <v>0</v>
      </c>
      <c r="AB744" s="24">
        <f t="shared" ca="1" si="98"/>
        <v>-4.6371783305150426E-2</v>
      </c>
      <c r="AC744" s="24">
        <f t="shared" ca="1" si="99"/>
        <v>0</v>
      </c>
    </row>
    <row r="745" spans="3:29" x14ac:dyDescent="0.25">
      <c r="C745" s="6">
        <v>738</v>
      </c>
      <c r="D745" s="37">
        <v>43053</v>
      </c>
      <c r="E745" s="39">
        <v>16.957999999999998</v>
      </c>
      <c r="F745" s="39">
        <v>2.2420791318198621</v>
      </c>
      <c r="G745" s="39">
        <v>47.948708380982062</v>
      </c>
      <c r="H745" s="39">
        <v>68.439833454895123</v>
      </c>
      <c r="I745" s="10">
        <v>0</v>
      </c>
      <c r="J745" s="40">
        <v>0</v>
      </c>
      <c r="K745" s="40">
        <v>0</v>
      </c>
      <c r="L745" s="40">
        <v>0</v>
      </c>
      <c r="M745" s="40">
        <v>0</v>
      </c>
      <c r="N745" s="40">
        <v>0</v>
      </c>
      <c r="O745" s="40">
        <v>0</v>
      </c>
      <c r="P745" s="40">
        <v>0</v>
      </c>
      <c r="Q745" s="40">
        <v>0</v>
      </c>
      <c r="R745" s="40">
        <v>0</v>
      </c>
      <c r="S745" s="40">
        <v>1</v>
      </c>
      <c r="T745" s="29">
        <f t="array" aca="1" ref="T745" ca="1">+fair_value_gap(OFFSET(S744,0,0,-1*$I$5,-1*$Z$1),OFFSET(E744,0,0,-1*$I$5,1),F745:S745,0)</f>
        <v>16.792653834136832</v>
      </c>
      <c r="U745" s="9" cm="1">
        <f t="array" aca="1" ref="U745" ca="1">z_score_diff(OFFSET(T745,0,0,$I$5*-1,1),OFFSET(E745,0,0,$I$5*-1,1))</f>
        <v>-0.32689589830606836</v>
      </c>
      <c r="V745" s="9">
        <f t="shared" ca="1" si="95"/>
        <v>-0.3467661282457164</v>
      </c>
      <c r="W745" s="17">
        <f t="shared" ca="1" si="92"/>
        <v>-2.7621771607207187E-2</v>
      </c>
      <c r="X745" s="13">
        <f t="shared" ca="1" si="93"/>
        <v>0</v>
      </c>
      <c r="Y745" s="13">
        <f t="shared" ca="1" si="94"/>
        <v>0</v>
      </c>
      <c r="Z745">
        <f t="shared" ca="1" si="96"/>
        <v>1</v>
      </c>
      <c r="AA745">
        <f t="shared" ca="1" si="97"/>
        <v>0</v>
      </c>
      <c r="AB745" s="24">
        <f t="shared" ca="1" si="98"/>
        <v>-2.7621771607207187E-2</v>
      </c>
      <c r="AC745" s="24">
        <f t="shared" ca="1" si="99"/>
        <v>0</v>
      </c>
    </row>
    <row r="746" spans="3:29" x14ac:dyDescent="0.25">
      <c r="C746" s="6">
        <v>739</v>
      </c>
      <c r="D746" s="37">
        <v>43054</v>
      </c>
      <c r="E746" s="39">
        <v>16.797999999999998</v>
      </c>
      <c r="F746" s="39">
        <v>2.2424110089132157</v>
      </c>
      <c r="G746" s="39">
        <v>47.631648584281564</v>
      </c>
      <c r="H746" s="39">
        <v>68.531744181957507</v>
      </c>
      <c r="I746" s="10">
        <v>0</v>
      </c>
      <c r="J746" s="40">
        <v>0</v>
      </c>
      <c r="K746" s="40">
        <v>0</v>
      </c>
      <c r="L746" s="40">
        <v>0</v>
      </c>
      <c r="M746" s="40">
        <v>0</v>
      </c>
      <c r="N746" s="40">
        <v>0</v>
      </c>
      <c r="O746" s="40">
        <v>0</v>
      </c>
      <c r="P746" s="40">
        <v>0</v>
      </c>
      <c r="Q746" s="40">
        <v>0</v>
      </c>
      <c r="R746" s="40">
        <v>0</v>
      </c>
      <c r="S746" s="40">
        <v>1</v>
      </c>
      <c r="T746" s="29">
        <f t="array" aca="1" ref="T746" ca="1">+fair_value_gap(OFFSET(S745,0,0,-1*$I$5,-1*$Z$1),OFFSET(E745,0,0,-1*$I$5,1),F746:S746,0)</f>
        <v>16.736672534627711</v>
      </c>
      <c r="U746" s="9" cm="1">
        <f t="array" aca="1" ref="U746" ca="1">z_score_diff(OFFSET(T746,0,0,$I$5*-1,1),OFFSET(E746,0,0,$I$5*-1,1))</f>
        <v>-0.13880310828543188</v>
      </c>
      <c r="V746" s="9">
        <f t="shared" ca="1" si="95"/>
        <v>-0.34935858459714103</v>
      </c>
      <c r="W746" s="17">
        <f t="shared" ca="1" si="92"/>
        <v>-1.0592875614462254E-2</v>
      </c>
      <c r="X746" s="13">
        <f t="shared" ca="1" si="93"/>
        <v>0</v>
      </c>
      <c r="Y746" s="13">
        <f t="shared" ca="1" si="94"/>
        <v>0</v>
      </c>
      <c r="Z746">
        <f t="shared" ca="1" si="96"/>
        <v>1</v>
      </c>
      <c r="AA746">
        <f t="shared" ca="1" si="97"/>
        <v>0</v>
      </c>
      <c r="AB746" s="24">
        <f t="shared" ca="1" si="98"/>
        <v>-1.0592875614462254E-2</v>
      </c>
      <c r="AC746" s="24">
        <f t="shared" ca="1" si="99"/>
        <v>0</v>
      </c>
    </row>
    <row r="747" spans="3:29" x14ac:dyDescent="0.25">
      <c r="C747" s="6">
        <v>740</v>
      </c>
      <c r="D747" s="37">
        <v>43055</v>
      </c>
      <c r="E747" s="39">
        <v>16.937000000000001</v>
      </c>
      <c r="F747" s="39">
        <v>2.2603422944439799</v>
      </c>
      <c r="G747" s="39">
        <v>47.934108224025877</v>
      </c>
      <c r="H747" s="39">
        <v>67.482682993544927</v>
      </c>
      <c r="I747" s="10">
        <v>0</v>
      </c>
      <c r="J747" s="40">
        <v>0</v>
      </c>
      <c r="K747" s="40">
        <v>0</v>
      </c>
      <c r="L747" s="40">
        <v>0</v>
      </c>
      <c r="M747" s="40">
        <v>0</v>
      </c>
      <c r="N747" s="40">
        <v>0</v>
      </c>
      <c r="O747" s="40">
        <v>0</v>
      </c>
      <c r="P747" s="40">
        <v>0</v>
      </c>
      <c r="Q747" s="40">
        <v>0</v>
      </c>
      <c r="R747" s="40">
        <v>0</v>
      </c>
      <c r="S747" s="40">
        <v>1</v>
      </c>
      <c r="T747" s="29">
        <f t="array" aca="1" ref="T747" ca="1">+fair_value_gap(OFFSET(S746,0,0,-1*$I$5,-1*$Z$1),OFFSET(E746,0,0,-1*$I$5,1),F747:S747,0)</f>
        <v>16.77284438207526</v>
      </c>
      <c r="U747" s="9" cm="1">
        <f t="array" aca="1" ref="U747" ca="1">z_score_diff(OFFSET(T747,0,0,$I$5*-1,1),OFFSET(E747,0,0,$I$5*-1,1))</f>
        <v>-0.32575366976784897</v>
      </c>
      <c r="V747" s="9">
        <f t="shared" ca="1" si="95"/>
        <v>-0.33779099607898322</v>
      </c>
      <c r="W747" s="17">
        <f t="shared" ca="1" si="92"/>
        <v>-1.1341154126744255E-2</v>
      </c>
      <c r="X747" s="13">
        <f t="shared" ca="1" si="93"/>
        <v>0</v>
      </c>
      <c r="Y747" s="13">
        <f t="shared" ca="1" si="94"/>
        <v>0</v>
      </c>
      <c r="Z747">
        <f t="shared" ca="1" si="96"/>
        <v>1</v>
      </c>
      <c r="AA747">
        <f t="shared" ca="1" si="97"/>
        <v>0</v>
      </c>
      <c r="AB747" s="24">
        <f t="shared" ca="1" si="98"/>
        <v>-1.1341154126744255E-2</v>
      </c>
      <c r="AC747" s="24">
        <f t="shared" ca="1" si="99"/>
        <v>0</v>
      </c>
    </row>
    <row r="748" spans="3:29" x14ac:dyDescent="0.25">
      <c r="C748" s="6">
        <v>741</v>
      </c>
      <c r="D748" s="37">
        <v>43056</v>
      </c>
      <c r="E748" s="39">
        <v>16.841999999999999</v>
      </c>
      <c r="F748" s="39">
        <v>2.2458980486513171</v>
      </c>
      <c r="G748" s="39">
        <v>47.779487422363843</v>
      </c>
      <c r="H748" s="39">
        <v>66.894743552441867</v>
      </c>
      <c r="I748" s="10">
        <v>0</v>
      </c>
      <c r="J748" s="40">
        <v>0</v>
      </c>
      <c r="K748" s="40">
        <v>0</v>
      </c>
      <c r="L748" s="40">
        <v>0</v>
      </c>
      <c r="M748" s="40">
        <v>0</v>
      </c>
      <c r="N748" s="40">
        <v>0</v>
      </c>
      <c r="O748" s="40">
        <v>0</v>
      </c>
      <c r="P748" s="40">
        <v>0</v>
      </c>
      <c r="Q748" s="40">
        <v>0</v>
      </c>
      <c r="R748" s="40">
        <v>0</v>
      </c>
      <c r="S748" s="40">
        <v>1</v>
      </c>
      <c r="T748" s="29">
        <f t="array" aca="1" ref="T748" ca="1">+fair_value_gap(OFFSET(S747,0,0,-1*$I$5,-1*$Z$1),OFFSET(E747,0,0,-1*$I$5,1),F748:S748,0)</f>
        <v>16.714874930179061</v>
      </c>
      <c r="U748" s="9" cm="1">
        <f t="array" aca="1" ref="U748" ca="1">z_score_diff(OFFSET(T748,0,0,$I$5*-1,1),OFFSET(E748,0,0,$I$5*-1,1))</f>
        <v>-0.2576249458431798</v>
      </c>
      <c r="V748" s="9">
        <f t="shared" ca="1" si="95"/>
        <v>-0.2983190043049978</v>
      </c>
      <c r="W748" s="17">
        <f t="shared" ca="1" si="92"/>
        <v>8.9257279441680732E-3</v>
      </c>
      <c r="X748" s="13">
        <f t="shared" ca="1" si="93"/>
        <v>0</v>
      </c>
      <c r="Y748" s="13">
        <f t="shared" ca="1" si="94"/>
        <v>0</v>
      </c>
      <c r="Z748">
        <f t="shared" ca="1" si="96"/>
        <v>1</v>
      </c>
      <c r="AA748">
        <f t="shared" ca="1" si="97"/>
        <v>0</v>
      </c>
      <c r="AB748" s="24">
        <f t="shared" ca="1" si="98"/>
        <v>8.9257279441680732E-3</v>
      </c>
      <c r="AC748" s="24">
        <f t="shared" ca="1" si="99"/>
        <v>0</v>
      </c>
    </row>
    <row r="749" spans="3:29" x14ac:dyDescent="0.25">
      <c r="C749" s="6">
        <v>742</v>
      </c>
      <c r="D749" s="37">
        <v>43059</v>
      </c>
      <c r="E749" s="39">
        <v>16.986999999999998</v>
      </c>
      <c r="F749" s="39">
        <v>2.2558774353128994</v>
      </c>
      <c r="G749" s="39">
        <v>48.06626650234513</v>
      </c>
      <c r="H749" s="39">
        <v>68.530386595144321</v>
      </c>
      <c r="I749" s="10">
        <v>0</v>
      </c>
      <c r="J749" s="40">
        <v>0</v>
      </c>
      <c r="K749" s="40">
        <v>0</v>
      </c>
      <c r="L749" s="40">
        <v>0</v>
      </c>
      <c r="M749" s="40">
        <v>0</v>
      </c>
      <c r="N749" s="40">
        <v>0</v>
      </c>
      <c r="O749" s="40">
        <v>0</v>
      </c>
      <c r="P749" s="40">
        <v>0</v>
      </c>
      <c r="Q749" s="40">
        <v>0</v>
      </c>
      <c r="R749" s="40">
        <v>0</v>
      </c>
      <c r="S749" s="40">
        <v>1</v>
      </c>
      <c r="T749" s="29">
        <f t="array" aca="1" ref="T749" ca="1">+fair_value_gap(OFFSET(S748,0,0,-1*$I$5,-1*$Z$1),OFFSET(E748,0,0,-1*$I$5,1),F749:S749,0)</f>
        <v>16.888326693736254</v>
      </c>
      <c r="U749" s="9" cm="1">
        <f t="array" aca="1" ref="U749" ca="1">z_score_diff(OFFSET(T749,0,0,$I$5*-1,1),OFFSET(E749,0,0,$I$5*-1,1))</f>
        <v>-0.21792757451668365</v>
      </c>
      <c r="V749" s="9">
        <f t="shared" ca="1" si="95"/>
        <v>-0.27591084343089911</v>
      </c>
      <c r="W749" s="17">
        <f t="shared" ca="1" si="92"/>
        <v>-1.7219283070353933E-2</v>
      </c>
      <c r="X749" s="13">
        <f t="shared" ca="1" si="93"/>
        <v>0</v>
      </c>
      <c r="Y749" s="13">
        <f t="shared" ca="1" si="94"/>
        <v>0</v>
      </c>
      <c r="Z749">
        <f t="shared" ca="1" si="96"/>
        <v>1</v>
      </c>
      <c r="AA749">
        <f t="shared" ca="1" si="97"/>
        <v>0</v>
      </c>
      <c r="AB749" s="24">
        <f t="shared" ca="1" si="98"/>
        <v>-1.7219283070353933E-2</v>
      </c>
      <c r="AC749" s="24">
        <f t="shared" ca="1" si="99"/>
        <v>0</v>
      </c>
    </row>
    <row r="750" spans="3:29" x14ac:dyDescent="0.25">
      <c r="C750" s="6">
        <v>743</v>
      </c>
      <c r="D750" s="37">
        <v>43060</v>
      </c>
      <c r="E750" s="39">
        <v>17.123000000000001</v>
      </c>
      <c r="F750" s="39">
        <v>2.2578660212495385</v>
      </c>
      <c r="G750" s="39">
        <v>48.310035190979768</v>
      </c>
      <c r="H750" s="39">
        <v>68.343110308897735</v>
      </c>
      <c r="I750" s="10">
        <v>0</v>
      </c>
      <c r="J750" s="40">
        <v>0</v>
      </c>
      <c r="K750" s="40">
        <v>0</v>
      </c>
      <c r="L750" s="40">
        <v>0</v>
      </c>
      <c r="M750" s="40">
        <v>0</v>
      </c>
      <c r="N750" s="40">
        <v>0</v>
      </c>
      <c r="O750" s="40">
        <v>0</v>
      </c>
      <c r="P750" s="40">
        <v>0</v>
      </c>
      <c r="Q750" s="40">
        <v>0</v>
      </c>
      <c r="R750" s="40">
        <v>0</v>
      </c>
      <c r="S750" s="40">
        <v>1</v>
      </c>
      <c r="T750" s="29">
        <f t="array" aca="1" ref="T750" ca="1">+fair_value_gap(OFFSET(S749,0,0,-1*$I$5,-1*$Z$1),OFFSET(E749,0,0,-1*$I$5,1),F750:S750,0)</f>
        <v>16.978947816232928</v>
      </c>
      <c r="U750" s="9" cm="1">
        <f t="array" aca="1" ref="U750" ca="1">z_score_diff(OFFSET(T750,0,0,$I$5*-1,1),OFFSET(E750,0,0,$I$5*-1,1))</f>
        <v>-0.29739895603904065</v>
      </c>
      <c r="V750" s="9">
        <f t="shared" ca="1" si="95"/>
        <v>-0.25975853350028455</v>
      </c>
      <c r="W750" s="17">
        <f t="shared" ca="1" si="92"/>
        <v>-2.8793458329228423E-2</v>
      </c>
      <c r="X750" s="13">
        <f t="shared" ca="1" si="93"/>
        <v>0</v>
      </c>
      <c r="Y750" s="13">
        <f t="shared" ca="1" si="94"/>
        <v>0</v>
      </c>
      <c r="Z750">
        <f t="shared" ca="1" si="96"/>
        <v>1</v>
      </c>
      <c r="AA750">
        <f t="shared" ca="1" si="97"/>
        <v>0</v>
      </c>
      <c r="AB750" s="24">
        <f t="shared" ca="1" si="98"/>
        <v>-2.8793458329228423E-2</v>
      </c>
      <c r="AC750" s="24">
        <f t="shared" ca="1" si="99"/>
        <v>0</v>
      </c>
    </row>
    <row r="751" spans="3:29" x14ac:dyDescent="0.25">
      <c r="C751" s="6">
        <v>744</v>
      </c>
      <c r="D751" s="37">
        <v>43061</v>
      </c>
      <c r="E751" s="39">
        <v>17.085000000000001</v>
      </c>
      <c r="F751" s="39">
        <v>2.2348146425642845</v>
      </c>
      <c r="G751" s="39">
        <v>47.923676533457972</v>
      </c>
      <c r="H751" s="39">
        <v>66.701751379930727</v>
      </c>
      <c r="I751" s="10">
        <v>0</v>
      </c>
      <c r="J751" s="40">
        <v>0</v>
      </c>
      <c r="K751" s="40">
        <v>0</v>
      </c>
      <c r="L751" s="40">
        <v>0</v>
      </c>
      <c r="M751" s="40">
        <v>0</v>
      </c>
      <c r="N751" s="40">
        <v>0</v>
      </c>
      <c r="O751" s="40">
        <v>0</v>
      </c>
      <c r="P751" s="40">
        <v>0</v>
      </c>
      <c r="Q751" s="40">
        <v>0</v>
      </c>
      <c r="R751" s="40">
        <v>0</v>
      </c>
      <c r="S751" s="40">
        <v>1</v>
      </c>
      <c r="T751" s="29">
        <f t="array" aca="1" ref="T751" ca="1">+fair_value_gap(OFFSET(S750,0,0,-1*$I$5,-1*$Z$1),OFFSET(E750,0,0,-1*$I$5,1),F751:S751,0)</f>
        <v>16.807512395530527</v>
      </c>
      <c r="U751" s="9" cm="1">
        <f t="array" aca="1" ref="U751" ca="1">z_score_diff(OFFSET(T751,0,0,$I$5*-1,1),OFFSET(E751,0,0,$I$5*-1,1))</f>
        <v>-0.51824042642386969</v>
      </c>
      <c r="V751" s="9">
        <f t="shared" ca="1" si="95"/>
        <v>-0.25386156594897175</v>
      </c>
      <c r="W751" s="17">
        <f t="shared" ca="1" si="92"/>
        <v>-3.4961724128715232E-2</v>
      </c>
      <c r="X751" s="13">
        <f t="shared" ca="1" si="93"/>
        <v>0</v>
      </c>
      <c r="Y751" s="13">
        <f t="shared" ca="1" si="94"/>
        <v>0</v>
      </c>
      <c r="Z751">
        <f t="shared" ca="1" si="96"/>
        <v>1</v>
      </c>
      <c r="AA751">
        <f t="shared" ca="1" si="97"/>
        <v>0</v>
      </c>
      <c r="AB751" s="24">
        <f t="shared" ca="1" si="98"/>
        <v>-3.4961724128715232E-2</v>
      </c>
      <c r="AC751" s="24">
        <f t="shared" ca="1" si="99"/>
        <v>0</v>
      </c>
    </row>
    <row r="752" spans="3:29" x14ac:dyDescent="0.25">
      <c r="C752" s="6">
        <v>745</v>
      </c>
      <c r="D752" s="37">
        <v>43062</v>
      </c>
      <c r="E752" s="39">
        <v>17.094999999999999</v>
      </c>
      <c r="F752" s="39">
        <v>2.2272892125690995</v>
      </c>
      <c r="G752" s="39">
        <v>48.02358123437164</v>
      </c>
      <c r="H752" s="39">
        <v>67.534271304806026</v>
      </c>
      <c r="I752" s="10">
        <v>0</v>
      </c>
      <c r="J752" s="40">
        <v>0</v>
      </c>
      <c r="K752" s="40">
        <v>0</v>
      </c>
      <c r="L752" s="40">
        <v>0</v>
      </c>
      <c r="M752" s="40">
        <v>0</v>
      </c>
      <c r="N752" s="40">
        <v>0</v>
      </c>
      <c r="O752" s="40">
        <v>0</v>
      </c>
      <c r="P752" s="40">
        <v>0</v>
      </c>
      <c r="Q752" s="40">
        <v>0</v>
      </c>
      <c r="R752" s="40">
        <v>0</v>
      </c>
      <c r="S752" s="40">
        <v>1</v>
      </c>
      <c r="T752" s="29">
        <f t="array" aca="1" ref="T752" ca="1">+fair_value_gap(OFFSET(S751,0,0,-1*$I$5,-1*$Z$1),OFFSET(E751,0,0,-1*$I$5,1),F752:S752,0)</f>
        <v>16.883923949917836</v>
      </c>
      <c r="U752" s="9" cm="1">
        <f t="array" aca="1" ref="U752" ca="1">z_score_diff(OFFSET(T752,0,0,$I$5*-1,1),OFFSET(E752,0,0,$I$5*-1,1))</f>
        <v>-0.40068227181088045</v>
      </c>
      <c r="V752" s="9">
        <f t="shared" ca="1" si="95"/>
        <v>-0.24953380919531284</v>
      </c>
      <c r="W752" s="17">
        <f t="shared" ca="1" si="92"/>
        <v>-4.5843354971091821E-2</v>
      </c>
      <c r="X752" s="13">
        <f t="shared" ca="1" si="93"/>
        <v>0</v>
      </c>
      <c r="Y752" s="13">
        <f t="shared" ca="1" si="94"/>
        <v>0</v>
      </c>
      <c r="Z752">
        <f t="shared" ca="1" si="96"/>
        <v>1</v>
      </c>
      <c r="AA752">
        <f t="shared" ca="1" si="97"/>
        <v>0</v>
      </c>
      <c r="AB752" s="24">
        <f t="shared" ca="1" si="98"/>
        <v>-4.5843354971091821E-2</v>
      </c>
      <c r="AC752" s="24">
        <f t="shared" ca="1" si="99"/>
        <v>0</v>
      </c>
    </row>
    <row r="753" spans="3:29" x14ac:dyDescent="0.25">
      <c r="C753" s="6">
        <v>746</v>
      </c>
      <c r="D753" s="37">
        <v>43063</v>
      </c>
      <c r="E753" s="39">
        <v>17.143000000000001</v>
      </c>
      <c r="F753" s="39">
        <v>2.1969146272514339</v>
      </c>
      <c r="G753" s="39">
        <v>47.711390559184089</v>
      </c>
      <c r="H753" s="39">
        <v>67.482432759874001</v>
      </c>
      <c r="I753" s="10">
        <v>0</v>
      </c>
      <c r="J753" s="40">
        <v>0</v>
      </c>
      <c r="K753" s="40">
        <v>0</v>
      </c>
      <c r="L753" s="40">
        <v>0</v>
      </c>
      <c r="M753" s="40">
        <v>0</v>
      </c>
      <c r="N753" s="40">
        <v>0</v>
      </c>
      <c r="O753" s="40">
        <v>0</v>
      </c>
      <c r="P753" s="40">
        <v>0</v>
      </c>
      <c r="Q753" s="40">
        <v>0</v>
      </c>
      <c r="R753" s="40">
        <v>0</v>
      </c>
      <c r="S753" s="40">
        <v>1</v>
      </c>
      <c r="T753" s="29">
        <f t="array" aca="1" ref="T753" ca="1">+fair_value_gap(OFFSET(S752,0,0,-1*$I$5,-1*$Z$1),OFFSET(E752,0,0,-1*$I$5,1),F753:S753,0)</f>
        <v>16.794372957002345</v>
      </c>
      <c r="U753" s="9" cm="1">
        <f t="array" aca="1" ref="U753" ca="1">z_score_diff(OFFSET(T753,0,0,$I$5*-1,1),OFFSET(E753,0,0,$I$5*-1,1))</f>
        <v>-0.64397476398366016</v>
      </c>
      <c r="V753" s="9">
        <f t="shared" ca="1" si="95"/>
        <v>-0.25511719563267987</v>
      </c>
      <c r="W753" s="17">
        <f t="shared" ca="1" si="92"/>
        <v>-5.8927119214088143E-2</v>
      </c>
      <c r="X753" s="13">
        <f t="shared" ca="1" si="93"/>
        <v>0</v>
      </c>
      <c r="Y753" s="13">
        <f t="shared" ca="1" si="94"/>
        <v>0</v>
      </c>
      <c r="Z753">
        <f t="shared" ca="1" si="96"/>
        <v>1</v>
      </c>
      <c r="AA753">
        <f t="shared" ca="1" si="97"/>
        <v>0</v>
      </c>
      <c r="AB753" s="24">
        <f t="shared" ca="1" si="98"/>
        <v>-5.8927119214088143E-2</v>
      </c>
      <c r="AC753" s="24">
        <f t="shared" ca="1" si="99"/>
        <v>0</v>
      </c>
    </row>
    <row r="754" spans="3:29" x14ac:dyDescent="0.25">
      <c r="C754" s="6">
        <v>747</v>
      </c>
      <c r="D754" s="37">
        <v>43066</v>
      </c>
      <c r="E754" s="39">
        <v>17.05</v>
      </c>
      <c r="F754" s="39">
        <v>2.2221538371835008</v>
      </c>
      <c r="G754" s="39">
        <v>47.677889804986094</v>
      </c>
      <c r="H754" s="39">
        <v>67.620206051320082</v>
      </c>
      <c r="I754" s="10">
        <v>0</v>
      </c>
      <c r="J754" s="40">
        <v>0</v>
      </c>
      <c r="K754" s="40">
        <v>0</v>
      </c>
      <c r="L754" s="40">
        <v>0</v>
      </c>
      <c r="M754" s="40">
        <v>0</v>
      </c>
      <c r="N754" s="40">
        <v>0</v>
      </c>
      <c r="O754" s="40">
        <v>0</v>
      </c>
      <c r="P754" s="40">
        <v>0</v>
      </c>
      <c r="Q754" s="40">
        <v>0</v>
      </c>
      <c r="R754" s="40">
        <v>0</v>
      </c>
      <c r="S754" s="40">
        <v>1</v>
      </c>
      <c r="T754" s="29">
        <f t="array" aca="1" ref="T754" ca="1">+fair_value_gap(OFFSET(S753,0,0,-1*$I$5,-1*$Z$1),OFFSET(E753,0,0,-1*$I$5,1),F754:S754,0)</f>
        <v>16.831746625621061</v>
      </c>
      <c r="U754" s="9" cm="1">
        <f t="array" aca="1" ref="U754" ca="1">z_score_diff(OFFSET(T754,0,0,$I$5*-1,1),OFFSET(E754,0,0,$I$5*-1,1))</f>
        <v>-0.41045935615431317</v>
      </c>
      <c r="V754" s="9">
        <f t="shared" ca="1" si="95"/>
        <v>-0.25315633182127983</v>
      </c>
      <c r="W754" s="17">
        <f t="shared" ca="1" si="92"/>
        <v>-4.8796029289271181E-2</v>
      </c>
      <c r="X754" s="13">
        <f t="shared" ca="1" si="93"/>
        <v>0</v>
      </c>
      <c r="Y754" s="13">
        <f t="shared" ca="1" si="94"/>
        <v>0</v>
      </c>
      <c r="Z754">
        <f t="shared" ca="1" si="96"/>
        <v>1</v>
      </c>
      <c r="AA754">
        <f t="shared" ca="1" si="97"/>
        <v>0</v>
      </c>
      <c r="AB754" s="24">
        <f t="shared" ca="1" si="98"/>
        <v>-4.8796029289271181E-2</v>
      </c>
      <c r="AC754" s="24">
        <f t="shared" ca="1" si="99"/>
        <v>0</v>
      </c>
    </row>
    <row r="755" spans="3:29" x14ac:dyDescent="0.25">
      <c r="C755" s="6">
        <v>748</v>
      </c>
      <c r="D755" s="37">
        <v>43067</v>
      </c>
      <c r="E755" s="39">
        <v>16.844999999999999</v>
      </c>
      <c r="F755" s="39">
        <v>2.235236700829673</v>
      </c>
      <c r="G755" s="39">
        <v>47.491889940203194</v>
      </c>
      <c r="H755" s="39">
        <v>68.285342443468352</v>
      </c>
      <c r="I755" s="10">
        <v>0</v>
      </c>
      <c r="J755" s="40">
        <v>0</v>
      </c>
      <c r="K755" s="40">
        <v>0</v>
      </c>
      <c r="L755" s="40">
        <v>0</v>
      </c>
      <c r="M755" s="40">
        <v>0</v>
      </c>
      <c r="N755" s="40">
        <v>0</v>
      </c>
      <c r="O755" s="40">
        <v>0</v>
      </c>
      <c r="P755" s="40">
        <v>0</v>
      </c>
      <c r="Q755" s="40">
        <v>0</v>
      </c>
      <c r="R755" s="40">
        <v>0</v>
      </c>
      <c r="S755" s="40">
        <v>1</v>
      </c>
      <c r="T755" s="29">
        <f t="array" aca="1" ref="T755" ca="1">+fair_value_gap(OFFSET(S754,0,0,-1*$I$5,-1*$Z$1),OFFSET(E754,0,0,-1*$I$5,1),F755:S755,0)</f>
        <v>16.829843509285933</v>
      </c>
      <c r="U755" s="9" cm="1">
        <f t="array" aca="1" ref="U755" ca="1">z_score_diff(OFFSET(T755,0,0,$I$5*-1,1),OFFSET(E755,0,0,$I$5*-1,1))</f>
        <v>-3.192510866200185E-2</v>
      </c>
      <c r="V755" s="9">
        <f t="shared" ca="1" si="95"/>
        <v>-0.23990336155574954</v>
      </c>
      <c r="W755" s="17">
        <f t="shared" ca="1" si="92"/>
        <v>-3.5714844527502933E-2</v>
      </c>
      <c r="X755" s="13">
        <f t="shared" ca="1" si="93"/>
        <v>0</v>
      </c>
      <c r="Y755" s="13">
        <f t="shared" ca="1" si="94"/>
        <v>0</v>
      </c>
      <c r="Z755">
        <f t="shared" ca="1" si="96"/>
        <v>1</v>
      </c>
      <c r="AA755">
        <f t="shared" ca="1" si="97"/>
        <v>0</v>
      </c>
      <c r="AB755" s="24">
        <f t="shared" ca="1" si="98"/>
        <v>-3.5714844527502933E-2</v>
      </c>
      <c r="AC755" s="24">
        <f t="shared" ca="1" si="99"/>
        <v>0</v>
      </c>
    </row>
    <row r="756" spans="3:29" x14ac:dyDescent="0.25">
      <c r="C756" s="6">
        <v>749</v>
      </c>
      <c r="D756" s="37">
        <v>43068</v>
      </c>
      <c r="E756" s="39">
        <v>16.940999999999999</v>
      </c>
      <c r="F756" s="39">
        <v>2.246186602520865</v>
      </c>
      <c r="G756" s="39">
        <v>47.222456901726595</v>
      </c>
      <c r="H756" s="39">
        <v>68.222635774828746</v>
      </c>
      <c r="I756" s="10">
        <v>0</v>
      </c>
      <c r="J756" s="40">
        <v>0</v>
      </c>
      <c r="K756" s="40">
        <v>0</v>
      </c>
      <c r="L756" s="40">
        <v>0</v>
      </c>
      <c r="M756" s="40">
        <v>0</v>
      </c>
      <c r="N756" s="40">
        <v>0</v>
      </c>
      <c r="O756" s="40">
        <v>0</v>
      </c>
      <c r="P756" s="40">
        <v>0</v>
      </c>
      <c r="Q756" s="40">
        <v>0</v>
      </c>
      <c r="R756" s="40">
        <v>0</v>
      </c>
      <c r="S756" s="40">
        <v>1</v>
      </c>
      <c r="T756" s="29">
        <f t="array" aca="1" ref="T756" ca="1">+fair_value_gap(OFFSET(S755,0,0,-1*$I$5,-1*$Z$1),OFFSET(E755,0,0,-1*$I$5,1),F756:S756,0)</f>
        <v>16.767024626261854</v>
      </c>
      <c r="U756" s="9" cm="1">
        <f t="array" aca="1" ref="U756" ca="1">z_score_diff(OFFSET(T756,0,0,$I$5*-1,1),OFFSET(E756,0,0,$I$5*-1,1))</f>
        <v>-0.3224242559920254</v>
      </c>
      <c r="V756" s="9">
        <f t="shared" ca="1" si="95"/>
        <v>-0.23680439262103095</v>
      </c>
      <c r="W756" s="17">
        <f t="shared" ca="1" si="92"/>
        <v>-3.6916540214781766E-2</v>
      </c>
      <c r="X756" s="13">
        <f t="shared" ca="1" si="93"/>
        <v>0</v>
      </c>
      <c r="Y756" s="13">
        <f t="shared" ca="1" si="94"/>
        <v>0</v>
      </c>
      <c r="Z756">
        <f t="shared" ca="1" si="96"/>
        <v>1</v>
      </c>
      <c r="AA756">
        <f t="shared" ca="1" si="97"/>
        <v>0</v>
      </c>
      <c r="AB756" s="24">
        <f t="shared" ca="1" si="98"/>
        <v>-3.6916540214781766E-2</v>
      </c>
      <c r="AC756" s="24">
        <f t="shared" ca="1" si="99"/>
        <v>0</v>
      </c>
    </row>
    <row r="757" spans="3:29" x14ac:dyDescent="0.25">
      <c r="C757" s="6">
        <v>750</v>
      </c>
      <c r="D757" s="37">
        <v>43069</v>
      </c>
      <c r="E757" s="39">
        <v>16.707000000000001</v>
      </c>
      <c r="F757" s="39">
        <v>2.219034837148083</v>
      </c>
      <c r="G757" s="39">
        <v>44.962211421763854</v>
      </c>
      <c r="H757" s="39">
        <v>67.428564956723548</v>
      </c>
      <c r="I757" s="10">
        <v>0</v>
      </c>
      <c r="J757" s="40">
        <v>0</v>
      </c>
      <c r="K757" s="40">
        <v>0</v>
      </c>
      <c r="L757" s="40">
        <v>0</v>
      </c>
      <c r="M757" s="40">
        <v>0</v>
      </c>
      <c r="N757" s="40">
        <v>0</v>
      </c>
      <c r="O757" s="40">
        <v>0</v>
      </c>
      <c r="P757" s="40">
        <v>0</v>
      </c>
      <c r="Q757" s="40">
        <v>0</v>
      </c>
      <c r="R757" s="40">
        <v>0</v>
      </c>
      <c r="S757" s="40">
        <v>1</v>
      </c>
      <c r="T757" s="29">
        <f t="array" aca="1" ref="T757" ca="1">+fair_value_gap(OFFSET(S756,0,0,-1*$I$5,-1*$Z$1),OFFSET(E756,0,0,-1*$I$5,1),F757:S757,0)</f>
        <v>16.145544185248788</v>
      </c>
      <c r="U757" s="9" cm="1">
        <f t="array" aca="1" ref="U757" ca="1">z_score_diff(OFFSET(T757,0,0,$I$5*-1,1),OFFSET(E757,0,0,$I$5*-1,1))</f>
        <v>-0.97976606717242132</v>
      </c>
      <c r="V757" s="9">
        <f t="shared" ca="1" si="95"/>
        <v>-0.26059686369656543</v>
      </c>
      <c r="W757" s="17">
        <f t="shared" ca="1" si="92"/>
        <v>-2.6443411118459274E-2</v>
      </c>
      <c r="X757" s="13">
        <f t="shared" ca="1" si="93"/>
        <v>0</v>
      </c>
      <c r="Y757" s="13">
        <f t="shared" ca="1" si="94"/>
        <v>0</v>
      </c>
      <c r="Z757">
        <f t="shared" ca="1" si="96"/>
        <v>1</v>
      </c>
      <c r="AA757">
        <f t="shared" ca="1" si="97"/>
        <v>0</v>
      </c>
      <c r="AB757" s="24">
        <f t="shared" ca="1" si="98"/>
        <v>-2.6443411118459274E-2</v>
      </c>
      <c r="AC757" s="24">
        <f t="shared" ca="1" si="99"/>
        <v>0</v>
      </c>
    </row>
    <row r="758" spans="3:29" x14ac:dyDescent="0.25">
      <c r="C758" s="6">
        <v>751</v>
      </c>
      <c r="D758" s="37">
        <v>43070</v>
      </c>
      <c r="E758" s="39">
        <v>16.707999999999998</v>
      </c>
      <c r="F758" s="39">
        <v>2.2089914945321993</v>
      </c>
      <c r="G758" s="39">
        <v>44.931211606413271</v>
      </c>
      <c r="H758" s="39">
        <v>67.517213446739575</v>
      </c>
      <c r="I758" s="10">
        <v>0</v>
      </c>
      <c r="J758" s="40">
        <v>0</v>
      </c>
      <c r="K758" s="40">
        <v>0</v>
      </c>
      <c r="L758" s="40">
        <v>0</v>
      </c>
      <c r="M758" s="40">
        <v>0</v>
      </c>
      <c r="N758" s="40">
        <v>0</v>
      </c>
      <c r="O758" s="40">
        <v>0</v>
      </c>
      <c r="P758" s="40">
        <v>0</v>
      </c>
      <c r="Q758" s="40">
        <v>0</v>
      </c>
      <c r="R758" s="40">
        <v>0</v>
      </c>
      <c r="S758" s="40">
        <v>0</v>
      </c>
      <c r="T758" s="29">
        <f t="array" aca="1" ref="T758" ca="1">+fair_value_gap(OFFSET(S757,0,0,-1*$I$5,-1*$Z$1),OFFSET(E757,0,0,-1*$I$5,1),F758:S758,0)</f>
        <v>15.701931604023637</v>
      </c>
      <c r="U758" s="9" cm="1">
        <f t="array" aca="1" ref="U758" ca="1">z_score_diff(OFFSET(T758,0,0,$I$5*-1,1),OFFSET(E758,0,0,$I$5*-1,1))</f>
        <v>-1.7458405855596579</v>
      </c>
      <c r="V758" s="9">
        <f t="shared" ca="1" si="95"/>
        <v>-0.30381836747805319</v>
      </c>
      <c r="W758" s="17">
        <f t="shared" ca="1" si="92"/>
        <v>-3.8684586844402076E-2</v>
      </c>
      <c r="X758" s="13">
        <f t="shared" ca="1" si="93"/>
        <v>0</v>
      </c>
      <c r="Y758" s="13">
        <f t="shared" ca="1" si="94"/>
        <v>0</v>
      </c>
      <c r="Z758">
        <f t="shared" ca="1" si="96"/>
        <v>1</v>
      </c>
      <c r="AA758">
        <f t="shared" ca="1" si="97"/>
        <v>0</v>
      </c>
      <c r="AB758" s="24">
        <f t="shared" ca="1" si="98"/>
        <v>-3.8684586844402076E-2</v>
      </c>
      <c r="AC758" s="24">
        <f t="shared" ca="1" si="99"/>
        <v>0</v>
      </c>
    </row>
    <row r="759" spans="3:29" x14ac:dyDescent="0.25">
      <c r="C759" s="6">
        <v>752</v>
      </c>
      <c r="D759" s="37">
        <v>43073</v>
      </c>
      <c r="E759" s="39">
        <v>16.681999999999999</v>
      </c>
      <c r="F759" s="39">
        <v>2.1827769240947239</v>
      </c>
      <c r="G759" s="39">
        <v>44.794507706797965</v>
      </c>
      <c r="H759" s="39">
        <v>68.511109108811723</v>
      </c>
      <c r="I759" s="10">
        <v>0</v>
      </c>
      <c r="J759" s="40">
        <v>0</v>
      </c>
      <c r="K759" s="40">
        <v>0</v>
      </c>
      <c r="L759" s="40">
        <v>0</v>
      </c>
      <c r="M759" s="40">
        <v>0</v>
      </c>
      <c r="N759" s="40">
        <v>0</v>
      </c>
      <c r="O759" s="40">
        <v>0</v>
      </c>
      <c r="P759" s="40">
        <v>0</v>
      </c>
      <c r="Q759" s="40">
        <v>0</v>
      </c>
      <c r="R759" s="40">
        <v>0</v>
      </c>
      <c r="S759" s="40">
        <v>0</v>
      </c>
      <c r="T759" s="29">
        <f t="array" aca="1" ref="T759" ca="1">+fair_value_gap(OFFSET(S758,0,0,-1*$I$5,-1*$Z$1),OFFSET(E758,0,0,-1*$I$5,1),F759:S759,0)</f>
        <v>16.06100421022046</v>
      </c>
      <c r="U759" s="9" cm="1">
        <f t="array" aca="1" ref="U759" ca="1">z_score_diff(OFFSET(T759,0,0,$I$5*-1,1),OFFSET(E759,0,0,$I$5*-1,1))</f>
        <v>-1.0530549830271578</v>
      </c>
      <c r="V759" s="9">
        <f t="shared" ca="1" si="95"/>
        <v>-0.3281095872770477</v>
      </c>
      <c r="W759" s="17">
        <f t="shared" ca="1" si="92"/>
        <v>-4.3618331592498914E-2</v>
      </c>
      <c r="X759" s="13">
        <f t="shared" ca="1" si="93"/>
        <v>0</v>
      </c>
      <c r="Y759" s="13">
        <f t="shared" ca="1" si="94"/>
        <v>0</v>
      </c>
      <c r="Z759">
        <f t="shared" ca="1" si="96"/>
        <v>1</v>
      </c>
      <c r="AA759">
        <f t="shared" ca="1" si="97"/>
        <v>0</v>
      </c>
      <c r="AB759" s="24">
        <f t="shared" ca="1" si="98"/>
        <v>-4.3618331592498914E-2</v>
      </c>
      <c r="AC759" s="24">
        <f t="shared" ca="1" si="99"/>
        <v>0</v>
      </c>
    </row>
    <row r="760" spans="3:29" x14ac:dyDescent="0.25">
      <c r="C760" s="6">
        <v>753</v>
      </c>
      <c r="D760" s="37">
        <v>43074</v>
      </c>
      <c r="E760" s="39">
        <v>16.571000000000002</v>
      </c>
      <c r="F760" s="39">
        <v>2.2068747690148593</v>
      </c>
      <c r="G760" s="39">
        <v>44.578017116170983</v>
      </c>
      <c r="H760" s="39">
        <v>68.216933103447147</v>
      </c>
      <c r="I760" s="10">
        <v>0</v>
      </c>
      <c r="J760" s="40">
        <v>0</v>
      </c>
      <c r="K760" s="40">
        <v>0</v>
      </c>
      <c r="L760" s="40">
        <v>0</v>
      </c>
      <c r="M760" s="40">
        <v>0</v>
      </c>
      <c r="N760" s="40">
        <v>0</v>
      </c>
      <c r="O760" s="40">
        <v>0</v>
      </c>
      <c r="P760" s="40">
        <v>0</v>
      </c>
      <c r="Q760" s="40">
        <v>0</v>
      </c>
      <c r="R760" s="40">
        <v>0</v>
      </c>
      <c r="S760" s="40">
        <v>0</v>
      </c>
      <c r="T760" s="29">
        <f t="array" aca="1" ref="T760" ca="1">+fair_value_gap(OFFSET(S759,0,0,-1*$I$5,-1*$Z$1),OFFSET(E759,0,0,-1*$I$5,1),F760:S760,0)</f>
        <v>16.172053876839051</v>
      </c>
      <c r="U760" s="9" cm="1">
        <f t="array" aca="1" ref="U760" ca="1">z_score_diff(OFFSET(T760,0,0,$I$5*-1,1),OFFSET(E760,0,0,$I$5*-1,1))</f>
        <v>-0.64189029627716221</v>
      </c>
      <c r="V760" s="9">
        <f t="shared" ca="1" si="95"/>
        <v>-0.34248757449169531</v>
      </c>
      <c r="W760" s="17">
        <f t="shared" ca="1" si="92"/>
        <v>-4.9291164671857735E-2</v>
      </c>
      <c r="X760" s="13">
        <f t="shared" ca="1" si="93"/>
        <v>0</v>
      </c>
      <c r="Y760" s="13">
        <f t="shared" ca="1" si="94"/>
        <v>0</v>
      </c>
      <c r="Z760">
        <f t="shared" ca="1" si="96"/>
        <v>1</v>
      </c>
      <c r="AA760">
        <f t="shared" ca="1" si="97"/>
        <v>0</v>
      </c>
      <c r="AB760" s="24">
        <f t="shared" ca="1" si="98"/>
        <v>-4.9291164671857735E-2</v>
      </c>
      <c r="AC760" s="24">
        <f t="shared" ca="1" si="99"/>
        <v>0</v>
      </c>
    </row>
    <row r="761" spans="3:29" x14ac:dyDescent="0.25">
      <c r="C761" s="6">
        <v>754</v>
      </c>
      <c r="D761" s="37">
        <v>43075</v>
      </c>
      <c r="E761" s="39">
        <v>16.384</v>
      </c>
      <c r="F761" s="39">
        <v>2.2093894154908549</v>
      </c>
      <c r="G761" s="39">
        <v>43.548129883830761</v>
      </c>
      <c r="H761" s="39">
        <v>68.492703630154082</v>
      </c>
      <c r="I761" s="10">
        <v>0</v>
      </c>
      <c r="J761" s="40">
        <v>0</v>
      </c>
      <c r="K761" s="40">
        <v>0</v>
      </c>
      <c r="L761" s="40">
        <v>0</v>
      </c>
      <c r="M761" s="40">
        <v>0</v>
      </c>
      <c r="N761" s="40">
        <v>0</v>
      </c>
      <c r="O761" s="40">
        <v>0</v>
      </c>
      <c r="P761" s="40">
        <v>0</v>
      </c>
      <c r="Q761" s="40">
        <v>0</v>
      </c>
      <c r="R761" s="40">
        <v>0</v>
      </c>
      <c r="S761" s="40">
        <v>0</v>
      </c>
      <c r="T761" s="29">
        <f t="array" aca="1" ref="T761" ca="1">+fair_value_gap(OFFSET(S760,0,0,-1*$I$5,-1*$Z$1),OFFSET(E760,0,0,-1*$I$5,1),F761:S761,0)</f>
        <v>16.016828601834632</v>
      </c>
      <c r="U761" s="9" cm="1">
        <f t="array" aca="1" ref="U761" ca="1">z_score_diff(OFFSET(T761,0,0,$I$5*-1,1),OFFSET(E761,0,0,$I$5*-1,1))</f>
        <v>-0.55225855641787125</v>
      </c>
      <c r="V761" s="9">
        <f t="shared" ca="1" si="95"/>
        <v>-0.35383670763459651</v>
      </c>
      <c r="W761" s="17">
        <f t="shared" ca="1" si="92"/>
        <v>-4.5706544508931364E-2</v>
      </c>
      <c r="X761" s="13">
        <f t="shared" ca="1" si="93"/>
        <v>0</v>
      </c>
      <c r="Y761" s="13">
        <f t="shared" ca="1" si="94"/>
        <v>0</v>
      </c>
      <c r="Z761">
        <f t="shared" ca="1" si="96"/>
        <v>1</v>
      </c>
      <c r="AA761">
        <f t="shared" ca="1" si="97"/>
        <v>0</v>
      </c>
      <c r="AB761" s="24">
        <f t="shared" ca="1" si="98"/>
        <v>-4.5706544508931364E-2</v>
      </c>
      <c r="AC761" s="24">
        <f t="shared" ca="1" si="99"/>
        <v>0</v>
      </c>
    </row>
    <row r="762" spans="3:29" x14ac:dyDescent="0.25">
      <c r="C762" s="6">
        <v>755</v>
      </c>
      <c r="D762" s="37">
        <v>43076</v>
      </c>
      <c r="E762" s="39">
        <v>16.376000000000001</v>
      </c>
      <c r="F762" s="39">
        <v>2.1914713265472106</v>
      </c>
      <c r="G762" s="39">
        <v>44.064456920751454</v>
      </c>
      <c r="H762" s="39">
        <v>68.989250265044603</v>
      </c>
      <c r="I762" s="10">
        <v>0</v>
      </c>
      <c r="J762" s="40">
        <v>0</v>
      </c>
      <c r="K762" s="40">
        <v>0</v>
      </c>
      <c r="L762" s="40">
        <v>0</v>
      </c>
      <c r="M762" s="40">
        <v>0</v>
      </c>
      <c r="N762" s="40">
        <v>0</v>
      </c>
      <c r="O762" s="40">
        <v>0</v>
      </c>
      <c r="P762" s="40">
        <v>0</v>
      </c>
      <c r="Q762" s="40">
        <v>0</v>
      </c>
      <c r="R762" s="40">
        <v>0</v>
      </c>
      <c r="S762" s="40">
        <v>0</v>
      </c>
      <c r="T762" s="29">
        <f t="array" aca="1" ref="T762" ca="1">+fair_value_gap(OFFSET(S761,0,0,-1*$I$5,-1*$Z$1),OFFSET(E761,0,0,-1*$I$5,1),F762:S762,0)</f>
        <v>16.2505531923488</v>
      </c>
      <c r="U762" s="9" cm="1">
        <f t="array" aca="1" ref="U762" ca="1">z_score_diff(OFFSET(T762,0,0,$I$5*-1,1),OFFSET(E762,0,0,$I$5*-1,1))</f>
        <v>-0.12753791907430245</v>
      </c>
      <c r="V762" s="9">
        <f t="shared" ca="1" si="95"/>
        <v>-0.35552546264214302</v>
      </c>
      <c r="W762" s="17">
        <f t="shared" ca="1" si="92"/>
        <v>-4.848183359387602E-2</v>
      </c>
      <c r="X762" s="13">
        <f t="shared" ca="1" si="93"/>
        <v>0</v>
      </c>
      <c r="Y762" s="13">
        <f t="shared" ca="1" si="94"/>
        <v>0</v>
      </c>
      <c r="Z762">
        <f t="shared" ca="1" si="96"/>
        <v>1</v>
      </c>
      <c r="AA762">
        <f t="shared" ca="1" si="97"/>
        <v>0</v>
      </c>
      <c r="AB762" s="24">
        <f t="shared" ca="1" si="98"/>
        <v>-4.848183359387602E-2</v>
      </c>
      <c r="AC762" s="24">
        <f t="shared" ca="1" si="99"/>
        <v>0</v>
      </c>
    </row>
    <row r="763" spans="3:29" x14ac:dyDescent="0.25">
      <c r="C763" s="6">
        <v>756</v>
      </c>
      <c r="D763" s="37">
        <v>43077</v>
      </c>
      <c r="E763" s="39">
        <v>16.318999999999999</v>
      </c>
      <c r="F763" s="39">
        <v>2.2038612565445028</v>
      </c>
      <c r="G763" s="39">
        <v>43.478844321582415</v>
      </c>
      <c r="H763" s="39">
        <v>69.28992146596859</v>
      </c>
      <c r="I763" s="10">
        <v>0</v>
      </c>
      <c r="J763" s="40">
        <v>0</v>
      </c>
      <c r="K763" s="40">
        <v>0</v>
      </c>
      <c r="L763" s="40">
        <v>0</v>
      </c>
      <c r="M763" s="40">
        <v>0</v>
      </c>
      <c r="N763" s="40">
        <v>0</v>
      </c>
      <c r="O763" s="40">
        <v>0</v>
      </c>
      <c r="P763" s="40">
        <v>0</v>
      </c>
      <c r="Q763" s="40">
        <v>0</v>
      </c>
      <c r="R763" s="40">
        <v>0</v>
      </c>
      <c r="S763" s="40">
        <v>0</v>
      </c>
      <c r="T763" s="29">
        <f t="array" aca="1" ref="T763" ca="1">+fair_value_gap(OFFSET(S762,0,0,-1*$I$5,-1*$Z$1),OFFSET(E762,0,0,-1*$I$5,1),F763:S763,0)</f>
        <v>16.148639845440282</v>
      </c>
      <c r="U763" s="9" cm="1">
        <f t="array" aca="1" ref="U763" ca="1">z_score_diff(OFFSET(T763,0,0,$I$5*-1,1),OFFSET(E763,0,0,$I$5*-1,1))</f>
        <v>-0.19563384186943744</v>
      </c>
      <c r="V763" s="9">
        <f t="shared" ca="1" si="95"/>
        <v>-0.36454669419948055</v>
      </c>
      <c r="W763" s="17">
        <f t="shared" ca="1" si="92"/>
        <v>-2.9791686762517713E-2</v>
      </c>
      <c r="X763" s="13">
        <f t="shared" ca="1" si="93"/>
        <v>0</v>
      </c>
      <c r="Y763" s="13">
        <f t="shared" ca="1" si="94"/>
        <v>0</v>
      </c>
      <c r="Z763">
        <f t="shared" ca="1" si="96"/>
        <v>1</v>
      </c>
      <c r="AA763">
        <f t="shared" ca="1" si="97"/>
        <v>0</v>
      </c>
      <c r="AB763" s="24">
        <f t="shared" ca="1" si="98"/>
        <v>-2.9791686762517713E-2</v>
      </c>
      <c r="AC763" s="24">
        <f t="shared" ca="1" si="99"/>
        <v>0</v>
      </c>
    </row>
    <row r="764" spans="3:29" x14ac:dyDescent="0.25">
      <c r="C764" s="6">
        <v>757</v>
      </c>
      <c r="D764" s="37">
        <v>43080</v>
      </c>
      <c r="E764" s="39">
        <v>16.606000000000002</v>
      </c>
      <c r="F764" s="39">
        <v>2.2097025733793814</v>
      </c>
      <c r="G764" s="39">
        <v>44.444692102374361</v>
      </c>
      <c r="H764" s="39">
        <v>70.535472595844425</v>
      </c>
      <c r="I764" s="10">
        <v>0</v>
      </c>
      <c r="J764" s="40">
        <v>0</v>
      </c>
      <c r="K764" s="40">
        <v>0</v>
      </c>
      <c r="L764" s="40">
        <v>0</v>
      </c>
      <c r="M764" s="40">
        <v>0</v>
      </c>
      <c r="N764" s="40">
        <v>0</v>
      </c>
      <c r="O764" s="40">
        <v>0</v>
      </c>
      <c r="P764" s="40">
        <v>0</v>
      </c>
      <c r="Q764" s="40">
        <v>0</v>
      </c>
      <c r="R764" s="40">
        <v>0</v>
      </c>
      <c r="S764" s="40">
        <v>0</v>
      </c>
      <c r="T764" s="29">
        <f t="array" aca="1" ref="T764" ca="1">+fair_value_gap(OFFSET(S763,0,0,-1*$I$5,-1*$Z$1),OFFSET(E763,0,0,-1*$I$5,1),F764:S764,0)</f>
        <v>16.513187643068907</v>
      </c>
      <c r="U764" s="9" cm="1">
        <f t="array" aca="1" ref="U764" ca="1">z_score_diff(OFFSET(T764,0,0,$I$5*-1,1),OFFSET(E764,0,0,$I$5*-1,1))</f>
        <v>-0.10437195533525412</v>
      </c>
      <c r="V764" s="9">
        <f t="shared" ca="1" si="95"/>
        <v>-0.37157044508397857</v>
      </c>
      <c r="W764" s="17">
        <f t="shared" ca="1" si="92"/>
        <v>-5.0070641585790408E-2</v>
      </c>
      <c r="X764" s="13">
        <f t="shared" ca="1" si="93"/>
        <v>0</v>
      </c>
      <c r="Y764" s="13">
        <f t="shared" ca="1" si="94"/>
        <v>0</v>
      </c>
      <c r="Z764">
        <f t="shared" ca="1" si="96"/>
        <v>1</v>
      </c>
      <c r="AA764">
        <f t="shared" ca="1" si="97"/>
        <v>0</v>
      </c>
      <c r="AB764" s="24">
        <f t="shared" ca="1" si="98"/>
        <v>-5.0070641585790408E-2</v>
      </c>
      <c r="AC764" s="24">
        <f t="shared" ca="1" si="99"/>
        <v>0</v>
      </c>
    </row>
    <row r="765" spans="3:29" x14ac:dyDescent="0.25">
      <c r="C765" s="6">
        <v>758</v>
      </c>
      <c r="D765" s="37">
        <v>43081</v>
      </c>
      <c r="E765" s="39">
        <v>16.709</v>
      </c>
      <c r="F765" s="39">
        <v>2.185913185913186</v>
      </c>
      <c r="G765" s="39">
        <v>43.87964249849815</v>
      </c>
      <c r="H765" s="39">
        <v>71.007371007371006</v>
      </c>
      <c r="I765" s="10">
        <v>0</v>
      </c>
      <c r="J765" s="40">
        <v>0</v>
      </c>
      <c r="K765" s="40">
        <v>0</v>
      </c>
      <c r="L765" s="40">
        <v>0</v>
      </c>
      <c r="M765" s="40">
        <v>0</v>
      </c>
      <c r="N765" s="40">
        <v>0</v>
      </c>
      <c r="O765" s="40">
        <v>0</v>
      </c>
      <c r="P765" s="40">
        <v>0</v>
      </c>
      <c r="Q765" s="40">
        <v>0</v>
      </c>
      <c r="R765" s="40">
        <v>0</v>
      </c>
      <c r="S765" s="40">
        <v>0</v>
      </c>
      <c r="T765" s="29">
        <f t="array" aca="1" ref="T765" ca="1">+fair_value_gap(OFFSET(S764,0,0,-1*$I$5,-1*$Z$1),OFFSET(E764,0,0,-1*$I$5,1),F765:S765,0)</f>
        <v>16.423139795365216</v>
      </c>
      <c r="U765" s="9" cm="1">
        <f t="array" aca="1" ref="U765" ca="1">z_score_diff(OFFSET(T765,0,0,$I$5*-1,1),OFFSET(E765,0,0,$I$5*-1,1))</f>
        <v>-0.45345036047596965</v>
      </c>
      <c r="V765" s="9">
        <f t="shared" ca="1" si="95"/>
        <v>-0.38836611333803578</v>
      </c>
      <c r="W765" s="17">
        <f t="shared" ca="1" si="92"/>
        <v>-6.6627401111579387E-2</v>
      </c>
      <c r="X765" s="13">
        <f t="shared" ca="1" si="93"/>
        <v>0</v>
      </c>
      <c r="Y765" s="13">
        <f t="shared" ca="1" si="94"/>
        <v>0</v>
      </c>
      <c r="Z765">
        <f t="shared" ca="1" si="96"/>
        <v>1</v>
      </c>
      <c r="AA765">
        <f t="shared" ca="1" si="97"/>
        <v>0</v>
      </c>
      <c r="AB765" s="24">
        <f t="shared" ca="1" si="98"/>
        <v>-6.6627401111579387E-2</v>
      </c>
      <c r="AC765" s="24">
        <f t="shared" ca="1" si="99"/>
        <v>0</v>
      </c>
    </row>
    <row r="766" spans="3:29" x14ac:dyDescent="0.25">
      <c r="C766" s="6">
        <v>759</v>
      </c>
      <c r="D766" s="37">
        <v>43082</v>
      </c>
      <c r="E766" s="39">
        <v>16.341999999999999</v>
      </c>
      <c r="F766" s="39">
        <v>2.1724679154153277</v>
      </c>
      <c r="G766" s="39">
        <v>43.388763994800939</v>
      </c>
      <c r="H766" s="39">
        <v>69.44574403771469</v>
      </c>
      <c r="I766" s="10">
        <v>0</v>
      </c>
      <c r="J766" s="40">
        <v>0</v>
      </c>
      <c r="K766" s="40">
        <v>0</v>
      </c>
      <c r="L766" s="40">
        <v>0</v>
      </c>
      <c r="M766" s="40">
        <v>0</v>
      </c>
      <c r="N766" s="40">
        <v>0</v>
      </c>
      <c r="O766" s="40">
        <v>0</v>
      </c>
      <c r="P766" s="40">
        <v>0</v>
      </c>
      <c r="Q766" s="40">
        <v>0</v>
      </c>
      <c r="R766" s="40">
        <v>0</v>
      </c>
      <c r="S766" s="40">
        <v>0</v>
      </c>
      <c r="T766" s="29">
        <f t="array" aca="1" ref="T766" ca="1">+fair_value_gap(OFFSET(S765,0,0,-1*$I$5,-1*$Z$1),OFFSET(E765,0,0,-1*$I$5,1),F766:S766,0)</f>
        <v>16.216572552321804</v>
      </c>
      <c r="U766" s="9" cm="1">
        <f t="array" aca="1" ref="U766" ca="1">z_score_diff(OFFSET(T766,0,0,$I$5*-1,1),OFFSET(E766,0,0,$I$5*-1,1))</f>
        <v>-0.11788871430480841</v>
      </c>
      <c r="V766" s="9">
        <f t="shared" ca="1" si="95"/>
        <v>-0.3911266151556359</v>
      </c>
      <c r="W766" s="17">
        <f t="shared" ca="1" si="92"/>
        <v>-5.9760657850389934E-2</v>
      </c>
      <c r="X766" s="13">
        <f t="shared" ca="1" si="93"/>
        <v>0</v>
      </c>
      <c r="Y766" s="13">
        <f t="shared" ca="1" si="94"/>
        <v>0</v>
      </c>
      <c r="Z766">
        <f t="shared" ca="1" si="96"/>
        <v>1</v>
      </c>
      <c r="AA766">
        <f t="shared" ca="1" si="97"/>
        <v>0</v>
      </c>
      <c r="AB766" s="24">
        <f t="shared" ca="1" si="98"/>
        <v>-5.9760657850389934E-2</v>
      </c>
      <c r="AC766" s="24">
        <f t="shared" ca="1" si="99"/>
        <v>0</v>
      </c>
    </row>
    <row r="767" spans="3:29" x14ac:dyDescent="0.25">
      <c r="C767" s="6">
        <v>760</v>
      </c>
      <c r="D767" s="37">
        <v>43083</v>
      </c>
      <c r="E767" s="39">
        <v>16.709</v>
      </c>
      <c r="F767" s="39">
        <v>2.1821873449455511</v>
      </c>
      <c r="G767" s="39">
        <v>44.313460605714376</v>
      </c>
      <c r="H767" s="39">
        <v>70.427362703366143</v>
      </c>
      <c r="I767" s="10">
        <v>0</v>
      </c>
      <c r="J767" s="40">
        <v>0</v>
      </c>
      <c r="K767" s="40">
        <v>0</v>
      </c>
      <c r="L767" s="40">
        <v>0</v>
      </c>
      <c r="M767" s="40">
        <v>0</v>
      </c>
      <c r="N767" s="40">
        <v>0</v>
      </c>
      <c r="O767" s="40">
        <v>0</v>
      </c>
      <c r="P767" s="40">
        <v>0</v>
      </c>
      <c r="Q767" s="40">
        <v>0</v>
      </c>
      <c r="R767" s="40">
        <v>0</v>
      </c>
      <c r="S767" s="40">
        <v>0</v>
      </c>
      <c r="T767" s="29">
        <f t="array" aca="1" ref="T767" ca="1">+fair_value_gap(OFFSET(S766,0,0,-1*$I$5,-1*$Z$1),OFFSET(E766,0,0,-1*$I$5,1),F767:S767,0)</f>
        <v>16.538353939602956</v>
      </c>
      <c r="U767" s="9" cm="1">
        <f t="array" aca="1" ref="U767" ca="1">z_score_diff(OFFSET(T767,0,0,$I$5*-1,1),OFFSET(E767,0,0,$I$5*-1,1))</f>
        <v>-0.25364867902826688</v>
      </c>
      <c r="V767" s="9">
        <f t="shared" ca="1" si="95"/>
        <v>-0.4056533505068538</v>
      </c>
      <c r="W767" s="17">
        <f t="shared" ca="1" si="92"/>
        <v>-7.7303430225162659E-2</v>
      </c>
      <c r="X767" s="13">
        <f t="shared" ca="1" si="93"/>
        <v>0</v>
      </c>
      <c r="Y767" s="13">
        <f t="shared" ca="1" si="94"/>
        <v>0</v>
      </c>
      <c r="Z767">
        <f t="shared" ca="1" si="96"/>
        <v>1</v>
      </c>
      <c r="AA767">
        <f t="shared" ca="1" si="97"/>
        <v>0</v>
      </c>
      <c r="AB767" s="24">
        <f t="shared" ca="1" si="98"/>
        <v>-7.7303430225162659E-2</v>
      </c>
      <c r="AC767" s="24">
        <f t="shared" ca="1" si="99"/>
        <v>0</v>
      </c>
    </row>
    <row r="768" spans="3:29" x14ac:dyDescent="0.25">
      <c r="C768" s="6">
        <v>761</v>
      </c>
      <c r="D768" s="37">
        <v>43084</v>
      </c>
      <c r="E768" s="39">
        <v>16.568000000000001</v>
      </c>
      <c r="F768" s="39">
        <v>2.1627146361406377</v>
      </c>
      <c r="G768" s="39">
        <v>43.733744770177665</v>
      </c>
      <c r="H768" s="39">
        <v>71.831561733442342</v>
      </c>
      <c r="I768" s="10">
        <v>0</v>
      </c>
      <c r="J768" s="40">
        <v>0</v>
      </c>
      <c r="K768" s="40">
        <v>0</v>
      </c>
      <c r="L768" s="40">
        <v>0</v>
      </c>
      <c r="M768" s="40">
        <v>0</v>
      </c>
      <c r="N768" s="40">
        <v>0</v>
      </c>
      <c r="O768" s="40">
        <v>0</v>
      </c>
      <c r="P768" s="40">
        <v>0</v>
      </c>
      <c r="Q768" s="40">
        <v>0</v>
      </c>
      <c r="R768" s="40">
        <v>0</v>
      </c>
      <c r="S768" s="40">
        <v>0</v>
      </c>
      <c r="T768" s="29">
        <f t="array" aca="1" ref="T768" ca="1">+fair_value_gap(OFFSET(S767,0,0,-1*$I$5,-1*$Z$1),OFFSET(E767,0,0,-1*$I$5,1),F768:S768,0)</f>
        <v>16.525662588953516</v>
      </c>
      <c r="U768" s="9" cm="1">
        <f t="array" aca="1" ref="U768" ca="1">z_score_diff(OFFSET(T768,0,0,$I$5*-1,1),OFFSET(E768,0,0,$I$5*-1,1))</f>
        <v>-9.6941437943722786E-3</v>
      </c>
      <c r="V768" s="9">
        <f t="shared" ca="1" si="95"/>
        <v>-0.40934219113698211</v>
      </c>
      <c r="W768" s="17">
        <f t="shared" ca="1" si="92"/>
        <v>-6.5472483621525551E-2</v>
      </c>
      <c r="X768" s="13">
        <f t="shared" ca="1" si="93"/>
        <v>0</v>
      </c>
      <c r="Y768" s="13">
        <f t="shared" ca="1" si="94"/>
        <v>0</v>
      </c>
      <c r="Z768">
        <f t="shared" ca="1" si="96"/>
        <v>1</v>
      </c>
      <c r="AA768">
        <f t="shared" ca="1" si="97"/>
        <v>0</v>
      </c>
      <c r="AB768" s="24">
        <f t="shared" ca="1" si="98"/>
        <v>-6.5472483621525551E-2</v>
      </c>
      <c r="AC768" s="24">
        <f t="shared" ca="1" si="99"/>
        <v>0</v>
      </c>
    </row>
    <row r="769" spans="3:29" x14ac:dyDescent="0.25">
      <c r="C769" s="6">
        <v>762</v>
      </c>
      <c r="D769" s="37">
        <v>43087</v>
      </c>
      <c r="E769" s="39">
        <v>16.521000000000001</v>
      </c>
      <c r="F769" s="39">
        <v>2.1870655360433133</v>
      </c>
      <c r="G769" s="39">
        <v>44.070924584537977</v>
      </c>
      <c r="H769" s="39">
        <v>72.616453688336222</v>
      </c>
      <c r="I769" s="10">
        <v>0</v>
      </c>
      <c r="J769" s="40">
        <v>0</v>
      </c>
      <c r="K769" s="40">
        <v>0</v>
      </c>
      <c r="L769" s="40">
        <v>0</v>
      </c>
      <c r="M769" s="40">
        <v>0</v>
      </c>
      <c r="N769" s="40">
        <v>0</v>
      </c>
      <c r="O769" s="40">
        <v>0</v>
      </c>
      <c r="P769" s="40">
        <v>0</v>
      </c>
      <c r="Q769" s="40">
        <v>0</v>
      </c>
      <c r="R769" s="40">
        <v>0</v>
      </c>
      <c r="S769" s="40">
        <v>0</v>
      </c>
      <c r="T769" s="29">
        <f t="array" aca="1" ref="T769" ca="1">+fair_value_gap(OFFSET(S768,0,0,-1*$I$5,-1*$Z$1),OFFSET(E768,0,0,-1*$I$5,1),F769:S769,0)</f>
        <v>16.676063624261214</v>
      </c>
      <c r="U769" s="9" cm="1">
        <f t="array" aca="1" ref="U769" ca="1">z_score_diff(OFFSET(T769,0,0,$I$5*-1,1),OFFSET(E769,0,0,$I$5*-1,1))</f>
        <v>0.33837433687120883</v>
      </c>
      <c r="V769" s="9">
        <f t="shared" ca="1" si="95"/>
        <v>-0.40036846682462318</v>
      </c>
      <c r="W769" s="17">
        <f t="shared" ca="1" si="92"/>
        <v>-6.870756108026442E-2</v>
      </c>
      <c r="X769" s="13">
        <f t="shared" ca="1" si="93"/>
        <v>0</v>
      </c>
      <c r="Y769" s="13">
        <f t="shared" ca="1" si="94"/>
        <v>0</v>
      </c>
      <c r="Z769">
        <f t="shared" ca="1" si="96"/>
        <v>1</v>
      </c>
      <c r="AA769">
        <f t="shared" ca="1" si="97"/>
        <v>0</v>
      </c>
      <c r="AB769" s="24">
        <f t="shared" ca="1" si="98"/>
        <v>-6.870756108026442E-2</v>
      </c>
      <c r="AC769" s="24">
        <f t="shared" ca="1" si="99"/>
        <v>0</v>
      </c>
    </row>
    <row r="770" spans="3:29" x14ac:dyDescent="0.25">
      <c r="C770" s="6">
        <v>763</v>
      </c>
      <c r="D770" s="37">
        <v>43088</v>
      </c>
      <c r="E770" s="39">
        <v>16.556000000000001</v>
      </c>
      <c r="F770" s="39">
        <v>2.168943746320469</v>
      </c>
      <c r="G770" s="39">
        <v>43.896311776083238</v>
      </c>
      <c r="H770" s="39">
        <v>71.702633021376798</v>
      </c>
      <c r="I770" s="10">
        <v>0</v>
      </c>
      <c r="J770" s="40">
        <v>0</v>
      </c>
      <c r="K770" s="40">
        <v>0</v>
      </c>
      <c r="L770" s="40">
        <v>0</v>
      </c>
      <c r="M770" s="40">
        <v>0</v>
      </c>
      <c r="N770" s="40">
        <v>0</v>
      </c>
      <c r="O770" s="40">
        <v>0</v>
      </c>
      <c r="P770" s="40">
        <v>0</v>
      </c>
      <c r="Q770" s="40">
        <v>0</v>
      </c>
      <c r="R770" s="40">
        <v>0</v>
      </c>
      <c r="S770" s="40">
        <v>0</v>
      </c>
      <c r="T770" s="29">
        <f t="array" aca="1" ref="T770" ca="1">+fair_value_gap(OFFSET(S769,0,0,-1*$I$5,-1*$Z$1),OFFSET(E769,0,0,-1*$I$5,1),F770:S770,0)</f>
        <v>16.54375202875293</v>
      </c>
      <c r="U770" s="9" cm="1">
        <f t="array" aca="1" ref="U770" ca="1">z_score_diff(OFFSET(T770,0,0,$I$5*-1,1),OFFSET(E770,0,0,$I$5*-1,1))</f>
        <v>4.2626234655356421E-2</v>
      </c>
      <c r="V770" s="9">
        <f t="shared" ca="1" si="95"/>
        <v>-0.37177930307768497</v>
      </c>
      <c r="W770" s="17">
        <f t="shared" ca="1" si="92"/>
        <v>-7.6349969120514158E-2</v>
      </c>
      <c r="X770" s="13">
        <f t="shared" ca="1" si="93"/>
        <v>0</v>
      </c>
      <c r="Y770" s="13">
        <f t="shared" ca="1" si="94"/>
        <v>0</v>
      </c>
      <c r="Z770">
        <f t="shared" ca="1" si="96"/>
        <v>1</v>
      </c>
      <c r="AA770">
        <f t="shared" ca="1" si="97"/>
        <v>0</v>
      </c>
      <c r="AB770" s="24">
        <f t="shared" ca="1" si="98"/>
        <v>-7.6349969120514158E-2</v>
      </c>
      <c r="AC770" s="24">
        <f t="shared" ca="1" si="99"/>
        <v>0</v>
      </c>
    </row>
    <row r="771" spans="3:29" x14ac:dyDescent="0.25">
      <c r="C771" s="6">
        <v>764</v>
      </c>
      <c r="D771" s="37">
        <v>43089</v>
      </c>
      <c r="E771" s="39">
        <v>16.701000000000001</v>
      </c>
      <c r="F771" s="39">
        <v>2.1413744658716922</v>
      </c>
      <c r="G771" s="39">
        <v>44.260095102688069</v>
      </c>
      <c r="H771" s="39">
        <v>71.176597361645165</v>
      </c>
      <c r="I771" s="10">
        <v>0</v>
      </c>
      <c r="J771" s="40">
        <v>0</v>
      </c>
      <c r="K771" s="40">
        <v>0</v>
      </c>
      <c r="L771" s="40">
        <v>0</v>
      </c>
      <c r="M771" s="40">
        <v>0</v>
      </c>
      <c r="N771" s="40">
        <v>0</v>
      </c>
      <c r="O771" s="40">
        <v>0</v>
      </c>
      <c r="P771" s="40">
        <v>0</v>
      </c>
      <c r="Q771" s="40">
        <v>0</v>
      </c>
      <c r="R771" s="40">
        <v>0</v>
      </c>
      <c r="S771" s="40">
        <v>0</v>
      </c>
      <c r="T771" s="29">
        <f t="array" aca="1" ref="T771" ca="1">+fair_value_gap(OFFSET(S770,0,0,-1*$I$5,-1*$Z$1),OFFSET(E770,0,0,-1*$I$5,1),F771:S771,0)</f>
        <v>16.587914057286447</v>
      </c>
      <c r="U771" s="9" cm="1">
        <f t="array" aca="1" ref="U771" ca="1">z_score_diff(OFFSET(T771,0,0,$I$5*-1,1),OFFSET(E771,0,0,$I$5*-1,1))</f>
        <v>-0.15480982782803138</v>
      </c>
      <c r="V771" s="9">
        <f t="shared" ca="1" si="95"/>
        <v>-0.35409746621434379</v>
      </c>
      <c r="W771" s="17">
        <f t="shared" ca="1" si="92"/>
        <v>-7.9414200357673048E-2</v>
      </c>
      <c r="X771" s="13">
        <f t="shared" ca="1" si="93"/>
        <v>0</v>
      </c>
      <c r="Y771" s="13">
        <f t="shared" ca="1" si="94"/>
        <v>0</v>
      </c>
      <c r="Z771">
        <f t="shared" ca="1" si="96"/>
        <v>1</v>
      </c>
      <c r="AA771">
        <f t="shared" ca="1" si="97"/>
        <v>0</v>
      </c>
      <c r="AB771" s="24">
        <f t="shared" ca="1" si="98"/>
        <v>-7.9414200357673048E-2</v>
      </c>
      <c r="AC771" s="24">
        <f t="shared" ca="1" si="99"/>
        <v>0</v>
      </c>
    </row>
    <row r="772" spans="3:29" x14ac:dyDescent="0.25">
      <c r="C772" s="6">
        <v>765</v>
      </c>
      <c r="D772" s="37">
        <v>43090</v>
      </c>
      <c r="E772" s="39">
        <v>16.626999999999999</v>
      </c>
      <c r="F772" s="39">
        <v>2.1262297072992995</v>
      </c>
      <c r="G772" s="39">
        <v>44.247297168483335</v>
      </c>
      <c r="H772" s="39">
        <v>71.00927087972147</v>
      </c>
      <c r="I772" s="10">
        <v>0</v>
      </c>
      <c r="J772" s="40">
        <v>0</v>
      </c>
      <c r="K772" s="40">
        <v>0</v>
      </c>
      <c r="L772" s="40">
        <v>0</v>
      </c>
      <c r="M772" s="40">
        <v>0</v>
      </c>
      <c r="N772" s="40">
        <v>0</v>
      </c>
      <c r="O772" s="40">
        <v>0</v>
      </c>
      <c r="P772" s="40">
        <v>0</v>
      </c>
      <c r="Q772" s="40">
        <v>0</v>
      </c>
      <c r="R772" s="40">
        <v>0</v>
      </c>
      <c r="S772" s="40">
        <v>0</v>
      </c>
      <c r="T772" s="29">
        <f t="array" aca="1" ref="T772" ca="1">+fair_value_gap(OFFSET(S771,0,0,-1*$I$5,-1*$Z$1),OFFSET(E771,0,0,-1*$I$5,1),F772:S772,0)</f>
        <v>16.573283620018472</v>
      </c>
      <c r="U772" s="9" cm="1">
        <f t="array" aca="1" ref="U772" ca="1">z_score_diff(OFFSET(T772,0,0,$I$5*-1,1),OFFSET(E772,0,0,$I$5*-1,1))</f>
        <v>-3.9648113186369349E-2</v>
      </c>
      <c r="V772" s="9">
        <f t="shared" ca="1" si="95"/>
        <v>-0.34845576307619486</v>
      </c>
      <c r="W772" s="17">
        <f t="shared" ca="1" si="92"/>
        <v>-7.9782121352843488E-2</v>
      </c>
      <c r="X772" s="13">
        <f t="shared" ca="1" si="93"/>
        <v>0</v>
      </c>
      <c r="Y772" s="13">
        <f t="shared" ca="1" si="94"/>
        <v>0</v>
      </c>
      <c r="Z772">
        <f t="shared" ca="1" si="96"/>
        <v>1</v>
      </c>
      <c r="AA772">
        <f t="shared" ca="1" si="97"/>
        <v>0</v>
      </c>
      <c r="AB772" s="24">
        <f t="shared" ca="1" si="98"/>
        <v>-7.9782121352843488E-2</v>
      </c>
      <c r="AC772" s="24">
        <f t="shared" ca="1" si="99"/>
        <v>0</v>
      </c>
    </row>
    <row r="773" spans="3:29" x14ac:dyDescent="0.25">
      <c r="C773" s="6">
        <v>766</v>
      </c>
      <c r="D773" s="37">
        <v>43091</v>
      </c>
      <c r="E773" s="39">
        <v>16.658999999999999</v>
      </c>
      <c r="F773" s="39">
        <v>2.148934446155093</v>
      </c>
      <c r="G773" s="39">
        <v>44.094843758819806</v>
      </c>
      <c r="H773" s="39">
        <v>71.104448586014101</v>
      </c>
      <c r="I773" s="10">
        <v>0</v>
      </c>
      <c r="J773" s="40">
        <v>0</v>
      </c>
      <c r="K773" s="40">
        <v>0</v>
      </c>
      <c r="L773" s="40">
        <v>0</v>
      </c>
      <c r="M773" s="40">
        <v>0</v>
      </c>
      <c r="N773" s="40">
        <v>0</v>
      </c>
      <c r="O773" s="40">
        <v>0</v>
      </c>
      <c r="P773" s="40">
        <v>0</v>
      </c>
      <c r="Q773" s="40">
        <v>0</v>
      </c>
      <c r="R773" s="40">
        <v>0</v>
      </c>
      <c r="S773" s="40">
        <v>0</v>
      </c>
      <c r="T773" s="29">
        <f t="array" aca="1" ref="T773" ca="1">+fair_value_gap(OFFSET(S772,0,0,-1*$I$5,-1*$Z$1),OFFSET(E772,0,0,-1*$I$5,1),F773:S773,0)</f>
        <v>16.561798279560595</v>
      </c>
      <c r="U773" s="9" cm="1">
        <f t="array" aca="1" ref="U773" ca="1">z_score_diff(OFFSET(T773,0,0,$I$5*-1,1),OFFSET(E773,0,0,$I$5*-1,1))</f>
        <v>-0.11944202226415407</v>
      </c>
      <c r="V773" s="9">
        <f t="shared" ca="1" si="95"/>
        <v>-0.3488639803544521</v>
      </c>
      <c r="W773" s="17">
        <f t="shared" ca="1" si="92"/>
        <v>-8.0663185461324255E-2</v>
      </c>
      <c r="X773" s="13">
        <f t="shared" ca="1" si="93"/>
        <v>0</v>
      </c>
      <c r="Y773" s="13">
        <f t="shared" ca="1" si="94"/>
        <v>0</v>
      </c>
      <c r="Z773">
        <f t="shared" ca="1" si="96"/>
        <v>1</v>
      </c>
      <c r="AA773">
        <f t="shared" ca="1" si="97"/>
        <v>0</v>
      </c>
      <c r="AB773" s="24">
        <f t="shared" ca="1" si="98"/>
        <v>-8.0663185461324255E-2</v>
      </c>
      <c r="AC773" s="24">
        <f t="shared" ca="1" si="99"/>
        <v>0</v>
      </c>
    </row>
    <row r="774" spans="3:29" x14ac:dyDescent="0.25">
      <c r="C774" s="6">
        <v>767</v>
      </c>
      <c r="D774" s="37">
        <v>43096</v>
      </c>
      <c r="E774" s="39">
        <v>16.552</v>
      </c>
      <c r="F774" s="39">
        <v>2.1538058388115324</v>
      </c>
      <c r="G774" s="39">
        <v>44.072591193462713</v>
      </c>
      <c r="H774" s="39">
        <v>70.647743154407578</v>
      </c>
      <c r="I774" s="10">
        <v>0</v>
      </c>
      <c r="J774" s="40">
        <v>0</v>
      </c>
      <c r="K774" s="40">
        <v>0</v>
      </c>
      <c r="L774" s="40">
        <v>0</v>
      </c>
      <c r="M774" s="40">
        <v>0</v>
      </c>
      <c r="N774" s="40">
        <v>0</v>
      </c>
      <c r="O774" s="40">
        <v>0</v>
      </c>
      <c r="P774" s="40">
        <v>0</v>
      </c>
      <c r="Q774" s="40">
        <v>0</v>
      </c>
      <c r="R774" s="40">
        <v>0</v>
      </c>
      <c r="S774" s="40">
        <v>0</v>
      </c>
      <c r="T774" s="29">
        <f t="array" aca="1" ref="T774" ca="1">+fair_value_gap(OFFSET(S773,0,0,-1*$I$5,-1*$Z$1),OFFSET(E773,0,0,-1*$I$5,1),F774:S774,0)</f>
        <v>16.544024522804946</v>
      </c>
      <c r="U774" s="9" cm="1">
        <f t="array" aca="1" ref="U774" ca="1">z_score_diff(OFFSET(T774,0,0,$I$5*-1,1),OFFSET(E774,0,0,$I$5*-1,1))</f>
        <v>5.3293652068510111E-2</v>
      </c>
      <c r="V774" s="9">
        <f t="shared" ca="1" si="95"/>
        <v>-0.3420074429515268</v>
      </c>
      <c r="W774" s="17">
        <f t="shared" ca="1" si="92"/>
        <v>-7.7739497752310149E-2</v>
      </c>
      <c r="X774" s="13">
        <f t="shared" ca="1" si="93"/>
        <v>0</v>
      </c>
      <c r="Y774" s="13">
        <f t="shared" ca="1" si="94"/>
        <v>0</v>
      </c>
      <c r="Z774">
        <f t="shared" ca="1" si="96"/>
        <v>1</v>
      </c>
      <c r="AA774">
        <f t="shared" ca="1" si="97"/>
        <v>0</v>
      </c>
      <c r="AB774" s="24">
        <f t="shared" ca="1" si="98"/>
        <v>-7.7739497752310149E-2</v>
      </c>
      <c r="AC774" s="24">
        <f t="shared" ca="1" si="99"/>
        <v>0</v>
      </c>
    </row>
    <row r="775" spans="3:29" x14ac:dyDescent="0.25">
      <c r="C775" s="6">
        <v>768</v>
      </c>
      <c r="D775" s="37">
        <v>43097</v>
      </c>
      <c r="E775" s="39">
        <v>16.702000000000002</v>
      </c>
      <c r="F775" s="39">
        <v>2.1843525904439609</v>
      </c>
      <c r="G775" s="39">
        <v>44.344129056706635</v>
      </c>
      <c r="H775" s="39">
        <v>70.945129320763826</v>
      </c>
      <c r="I775" s="10">
        <v>0</v>
      </c>
      <c r="J775" s="40">
        <v>0</v>
      </c>
      <c r="K775" s="40">
        <v>0</v>
      </c>
      <c r="L775" s="40">
        <v>0</v>
      </c>
      <c r="M775" s="40">
        <v>0</v>
      </c>
      <c r="N775" s="40">
        <v>0</v>
      </c>
      <c r="O775" s="40">
        <v>0</v>
      </c>
      <c r="P775" s="40">
        <v>0</v>
      </c>
      <c r="Q775" s="40">
        <v>0</v>
      </c>
      <c r="R775" s="40">
        <v>0</v>
      </c>
      <c r="S775" s="40">
        <v>0</v>
      </c>
      <c r="T775" s="29">
        <f t="array" aca="1" ref="T775" ca="1">+fair_value_gap(OFFSET(S774,0,0,-1*$I$5,-1*$Z$1),OFFSET(E774,0,0,-1*$I$5,1),F775:S775,0)</f>
        <v>16.652663897415582</v>
      </c>
      <c r="U775" s="9" cm="1">
        <f t="array" aca="1" ref="U775" ca="1">z_score_diff(OFFSET(T775,0,0,$I$5*-1,1),OFFSET(E775,0,0,$I$5*-1,1))</f>
        <v>-4.0169921491433502E-2</v>
      </c>
      <c r="V775" s="9">
        <f t="shared" ca="1" si="95"/>
        <v>-0.33427376347640853</v>
      </c>
      <c r="W775" s="17">
        <f t="shared" ref="W775:W838" ca="1" si="100">+LN(OFFSET(E775,$W$3,0,1,1)/E775)</f>
        <v>-7.7919469387283377E-2</v>
      </c>
      <c r="X775" s="13">
        <f t="shared" ca="1" si="93"/>
        <v>0</v>
      </c>
      <c r="Y775" s="13">
        <f t="shared" ca="1" si="94"/>
        <v>0</v>
      </c>
      <c r="Z775">
        <f t="shared" ca="1" si="96"/>
        <v>1</v>
      </c>
      <c r="AA775">
        <f t="shared" ca="1" si="97"/>
        <v>0</v>
      </c>
      <c r="AB775" s="24">
        <f t="shared" ca="1" si="98"/>
        <v>-7.7919469387283377E-2</v>
      </c>
      <c r="AC775" s="24">
        <f t="shared" ca="1" si="99"/>
        <v>0</v>
      </c>
    </row>
    <row r="776" spans="3:29" x14ac:dyDescent="0.25">
      <c r="C776" s="6">
        <v>769</v>
      </c>
      <c r="D776" s="37">
        <v>43098</v>
      </c>
      <c r="E776" s="39">
        <v>16.454000000000001</v>
      </c>
      <c r="F776" s="39">
        <v>2.1838019976733922</v>
      </c>
      <c r="G776" s="39">
        <v>44.689360788268516</v>
      </c>
      <c r="H776" s="39">
        <v>71.08187251795097</v>
      </c>
      <c r="I776" s="10">
        <v>0</v>
      </c>
      <c r="J776" s="40">
        <v>0</v>
      </c>
      <c r="K776" s="40">
        <v>0</v>
      </c>
      <c r="L776" s="40">
        <v>0</v>
      </c>
      <c r="M776" s="40">
        <v>0</v>
      </c>
      <c r="N776" s="40">
        <v>0</v>
      </c>
      <c r="O776" s="40">
        <v>0</v>
      </c>
      <c r="P776" s="40">
        <v>0</v>
      </c>
      <c r="Q776" s="40">
        <v>0</v>
      </c>
      <c r="R776" s="40">
        <v>0</v>
      </c>
      <c r="S776" s="40">
        <v>0</v>
      </c>
      <c r="T776" s="29">
        <f t="array" aca="1" ref="T776" ca="1">+fair_value_gap(OFFSET(S775,0,0,-1*$I$5,-1*$Z$1),OFFSET(E775,0,0,-1*$I$5,1),F776:S776,0)</f>
        <v>16.75183489223858</v>
      </c>
      <c r="U776" s="9" cm="1">
        <f t="array" aca="1" ref="U776" ca="1">z_score_diff(OFFSET(T776,0,0,$I$5*-1,1),OFFSET(E776,0,0,$I$5*-1,1))</f>
        <v>0.60224468682303944</v>
      </c>
      <c r="V776" s="9">
        <f t="shared" ca="1" si="95"/>
        <v>-0.30875452763833033</v>
      </c>
      <c r="W776" s="17">
        <f t="shared" ca="1" si="100"/>
        <v>-4.2649460491393919E-2</v>
      </c>
      <c r="X776" s="13">
        <f t="shared" ca="1" si="93"/>
        <v>0</v>
      </c>
      <c r="Y776" s="13">
        <f t="shared" ca="1" si="94"/>
        <v>0</v>
      </c>
      <c r="Z776">
        <f t="shared" ca="1" si="96"/>
        <v>1</v>
      </c>
      <c r="AA776">
        <f t="shared" ca="1" si="97"/>
        <v>0</v>
      </c>
      <c r="AB776" s="24">
        <f t="shared" ca="1" si="98"/>
        <v>-4.2649460491393919E-2</v>
      </c>
      <c r="AC776" s="24">
        <f t="shared" ca="1" si="99"/>
        <v>0</v>
      </c>
    </row>
    <row r="777" spans="3:29" x14ac:dyDescent="0.25">
      <c r="C777" s="6">
        <v>770</v>
      </c>
      <c r="D777" s="37">
        <v>43102</v>
      </c>
      <c r="E777" s="39">
        <v>16.468</v>
      </c>
      <c r="F777" s="39">
        <v>2.1697928761526275</v>
      </c>
      <c r="G777" s="39">
        <v>45.110096586850524</v>
      </c>
      <c r="H777" s="39">
        <v>71.422016335292454</v>
      </c>
      <c r="I777" s="10">
        <v>1</v>
      </c>
      <c r="J777" s="40">
        <v>0</v>
      </c>
      <c r="K777" s="40">
        <v>0</v>
      </c>
      <c r="L777" s="40">
        <v>0</v>
      </c>
      <c r="M777" s="40">
        <v>0</v>
      </c>
      <c r="N777" s="40">
        <v>0</v>
      </c>
      <c r="O777" s="40">
        <v>0</v>
      </c>
      <c r="P777" s="40">
        <v>0</v>
      </c>
      <c r="Q777" s="40">
        <v>0</v>
      </c>
      <c r="R777" s="40">
        <v>0</v>
      </c>
      <c r="S777" s="40">
        <v>0</v>
      </c>
      <c r="T777" s="29">
        <f t="array" aca="1" ref="T777" ca="1">+fair_value_gap(OFFSET(S776,0,0,-1*$I$5,-1*$Z$1),OFFSET(E776,0,0,-1*$I$5,1),F777:S777,0)</f>
        <v>15.859473773842343</v>
      </c>
      <c r="U777" s="9" cm="1">
        <f t="array" aca="1" ref="U777" ca="1">z_score_diff(OFFSET(T777,0,0,$I$5*-1,1),OFFSET(E777,0,0,$I$5*-1,1))</f>
        <v>-0.9822955015936482</v>
      </c>
      <c r="V777" s="9">
        <f t="shared" ca="1" si="95"/>
        <v>-0.32505743177399071</v>
      </c>
      <c r="W777" s="17">
        <f t="shared" ca="1" si="100"/>
        <v>-3.5980885696717986E-2</v>
      </c>
      <c r="X777" s="13">
        <f t="shared" ref="X777:X840" ca="1" si="101">+X776</f>
        <v>0</v>
      </c>
      <c r="Y777" s="13">
        <f t="shared" ref="Y777:Y840" ca="1" si="102">+Y776</f>
        <v>0</v>
      </c>
      <c r="Z777">
        <f t="shared" ca="1" si="96"/>
        <v>1</v>
      </c>
      <c r="AA777">
        <f t="shared" ca="1" si="97"/>
        <v>0</v>
      </c>
      <c r="AB777" s="24">
        <f t="shared" ca="1" si="98"/>
        <v>-3.5980885696717986E-2</v>
      </c>
      <c r="AC777" s="24">
        <f t="shared" ca="1" si="99"/>
        <v>0</v>
      </c>
    </row>
    <row r="778" spans="3:29" x14ac:dyDescent="0.25">
      <c r="C778" s="6">
        <v>771</v>
      </c>
      <c r="D778" s="37">
        <v>43103</v>
      </c>
      <c r="E778" s="39">
        <v>16.553000000000001</v>
      </c>
      <c r="F778" s="39">
        <v>2.165443399361739</v>
      </c>
      <c r="G778" s="39">
        <v>45.138408591679436</v>
      </c>
      <c r="H778" s="39">
        <v>71.313881180903422</v>
      </c>
      <c r="I778" s="10">
        <v>1</v>
      </c>
      <c r="J778" s="40">
        <v>0</v>
      </c>
      <c r="K778" s="40">
        <v>0</v>
      </c>
      <c r="L778" s="40">
        <v>0</v>
      </c>
      <c r="M778" s="40">
        <v>0</v>
      </c>
      <c r="N778" s="40">
        <v>0</v>
      </c>
      <c r="O778" s="40">
        <v>0</v>
      </c>
      <c r="P778" s="40">
        <v>0</v>
      </c>
      <c r="Q778" s="40">
        <v>0</v>
      </c>
      <c r="R778" s="40">
        <v>0</v>
      </c>
      <c r="S778" s="40">
        <v>0</v>
      </c>
      <c r="T778" s="29">
        <f t="array" aca="1" ref="T778" ca="1">+fair_value_gap(OFFSET(S777,0,0,-1*$I$5,-1*$Z$1),OFFSET(E777,0,0,-1*$I$5,1),F778:S778,0)</f>
        <v>16.126566469343928</v>
      </c>
      <c r="U778" s="9" cm="1">
        <f t="array" aca="1" ref="U778" ca="1">z_score_diff(OFFSET(T778,0,0,$I$5*-1,1),OFFSET(E778,0,0,$I$5*-1,1))</f>
        <v>-0.67139956058749739</v>
      </c>
      <c r="V778" s="9">
        <f t="shared" ca="1" si="95"/>
        <v>-0.33084210226988825</v>
      </c>
      <c r="W778" s="17">
        <f t="shared" ca="1" si="100"/>
        <v>-4.4092101197745218E-2</v>
      </c>
      <c r="X778" s="13">
        <f t="shared" ca="1" si="101"/>
        <v>0</v>
      </c>
      <c r="Y778" s="13">
        <f t="shared" ca="1" si="102"/>
        <v>0</v>
      </c>
      <c r="Z778">
        <f t="shared" ca="1" si="96"/>
        <v>1</v>
      </c>
      <c r="AA778">
        <f t="shared" ca="1" si="97"/>
        <v>0</v>
      </c>
      <c r="AB778" s="24">
        <f t="shared" ca="1" si="98"/>
        <v>-4.4092101197745218E-2</v>
      </c>
      <c r="AC778" s="24">
        <f t="shared" ca="1" si="99"/>
        <v>0</v>
      </c>
    </row>
    <row r="779" spans="3:29" x14ac:dyDescent="0.25">
      <c r="C779" s="6">
        <v>772</v>
      </c>
      <c r="D779" s="37">
        <v>43104</v>
      </c>
      <c r="E779" s="39">
        <v>16.559999999999999</v>
      </c>
      <c r="F779" s="39">
        <v>2.1380695876329723</v>
      </c>
      <c r="G779" s="39">
        <v>45.246421349157998</v>
      </c>
      <c r="H779" s="39">
        <v>71.13621988659628</v>
      </c>
      <c r="I779" s="10">
        <v>1</v>
      </c>
      <c r="J779" s="40">
        <v>0</v>
      </c>
      <c r="K779" s="40">
        <v>0</v>
      </c>
      <c r="L779" s="40">
        <v>0</v>
      </c>
      <c r="M779" s="40">
        <v>0</v>
      </c>
      <c r="N779" s="40">
        <v>0</v>
      </c>
      <c r="O779" s="40">
        <v>0</v>
      </c>
      <c r="P779" s="40">
        <v>0</v>
      </c>
      <c r="Q779" s="40">
        <v>0</v>
      </c>
      <c r="R779" s="40">
        <v>0</v>
      </c>
      <c r="S779" s="40">
        <v>0</v>
      </c>
      <c r="T779" s="29">
        <f t="array" aca="1" ref="T779" ca="1">+fair_value_gap(OFFSET(S778,0,0,-1*$I$5,-1*$Z$1),OFFSET(E778,0,0,-1*$I$5,1),F779:S779,0)</f>
        <v>16.26615443922109</v>
      </c>
      <c r="U779" s="9" cm="1">
        <f t="array" aca="1" ref="U779" ca="1">z_score_diff(OFFSET(T779,0,0,$I$5*-1,1),OFFSET(E779,0,0,$I$5*-1,1))</f>
        <v>-0.4380004815977574</v>
      </c>
      <c r="V779" s="9">
        <f t="shared" ref="V779:V842" ca="1" si="103">+IF(ISERROR(AVERAGE(OFFSET(U779,0,0,$V$5*-1,1))),"",AVERAGE(OFFSET(U779,0,0,$V$5*-1,1)))</f>
        <v>-0.3296106558929276</v>
      </c>
      <c r="W779" s="17">
        <f t="shared" ca="1" si="100"/>
        <v>-4.7803332407523692E-2</v>
      </c>
      <c r="X779" s="13">
        <f t="shared" ca="1" si="101"/>
        <v>0</v>
      </c>
      <c r="Y779" s="13">
        <f t="shared" ca="1" si="102"/>
        <v>0</v>
      </c>
      <c r="Z779">
        <f t="shared" ref="Z779:Z842" ca="1" si="104">+IF(V779="","",IF(V779&lt;X779,1,0))</f>
        <v>1</v>
      </c>
      <c r="AA779">
        <f t="shared" ref="AA779:AA842" ca="1" si="105">+IF(V779="","",IF(V779&gt;Y779,1,0))</f>
        <v>0</v>
      </c>
      <c r="AB779" s="24">
        <f t="shared" ref="AB779:AB842" ca="1" si="106">+IF(ISERROR(Z779*W779),"",Z779*W779)</f>
        <v>-4.7803332407523692E-2</v>
      </c>
      <c r="AC779" s="24">
        <f t="shared" ref="AC779:AC842" ca="1" si="107">+IF(ISERROR(AA779*W779),"",AA779*W779)</f>
        <v>0</v>
      </c>
    </row>
    <row r="780" spans="3:29" x14ac:dyDescent="0.25">
      <c r="C780" s="6">
        <v>773</v>
      </c>
      <c r="D780" s="37">
        <v>43105</v>
      </c>
      <c r="E780" s="39">
        <v>16.495999999999999</v>
      </c>
      <c r="F780" s="39">
        <v>2.1329197923138223</v>
      </c>
      <c r="G780" s="39">
        <v>45.278831896938335</v>
      </c>
      <c r="H780" s="39">
        <v>72.228601727736901</v>
      </c>
      <c r="I780" s="10">
        <v>1</v>
      </c>
      <c r="J780" s="40">
        <v>0</v>
      </c>
      <c r="K780" s="40">
        <v>0</v>
      </c>
      <c r="L780" s="40">
        <v>0</v>
      </c>
      <c r="M780" s="40">
        <v>0</v>
      </c>
      <c r="N780" s="40">
        <v>0</v>
      </c>
      <c r="O780" s="40">
        <v>0</v>
      </c>
      <c r="P780" s="40">
        <v>0</v>
      </c>
      <c r="Q780" s="40">
        <v>0</v>
      </c>
      <c r="R780" s="40">
        <v>0</v>
      </c>
      <c r="S780" s="40">
        <v>0</v>
      </c>
      <c r="T780" s="29">
        <f t="array" aca="1" ref="T780" ca="1">+fair_value_gap(OFFSET(S779,0,0,-1*$I$5,-1*$Z$1),OFFSET(E779,0,0,-1*$I$5,1),F780:S780,0)</f>
        <v>16.423740957018659</v>
      </c>
      <c r="U780" s="9" cm="1">
        <f t="array" aca="1" ref="U780" ca="1">z_score_diff(OFFSET(T780,0,0,$I$5*-1,1),OFFSET(E780,0,0,$I$5*-1,1))</f>
        <v>-4.0538532275018024E-2</v>
      </c>
      <c r="V780" s="9">
        <f t="shared" ca="1" si="103"/>
        <v>-0.32142901686346897</v>
      </c>
      <c r="W780" s="17">
        <f t="shared" ca="1" si="100"/>
        <v>-4.5833216294695611E-2</v>
      </c>
      <c r="X780" s="13">
        <f t="shared" ca="1" si="101"/>
        <v>0</v>
      </c>
      <c r="Y780" s="13">
        <f t="shared" ca="1" si="102"/>
        <v>0</v>
      </c>
      <c r="Z780">
        <f t="shared" ca="1" si="104"/>
        <v>1</v>
      </c>
      <c r="AA780">
        <f t="shared" ca="1" si="105"/>
        <v>0</v>
      </c>
      <c r="AB780" s="24">
        <f t="shared" ca="1" si="106"/>
        <v>-4.5833216294695611E-2</v>
      </c>
      <c r="AC780" s="24">
        <f t="shared" ca="1" si="107"/>
        <v>0</v>
      </c>
    </row>
    <row r="781" spans="3:29" x14ac:dyDescent="0.25">
      <c r="C781" s="6">
        <v>774</v>
      </c>
      <c r="D781" s="37">
        <v>43108</v>
      </c>
      <c r="E781" s="39">
        <v>16.620999999999999</v>
      </c>
      <c r="F781" s="39">
        <v>2.1588342616481406</v>
      </c>
      <c r="G781" s="39">
        <v>45.508512519852893</v>
      </c>
      <c r="H781" s="39">
        <v>72.818460203023662</v>
      </c>
      <c r="I781" s="10">
        <v>1</v>
      </c>
      <c r="J781" s="40">
        <v>0</v>
      </c>
      <c r="K781" s="40">
        <v>0</v>
      </c>
      <c r="L781" s="40">
        <v>0</v>
      </c>
      <c r="M781" s="40">
        <v>0</v>
      </c>
      <c r="N781" s="40">
        <v>0</v>
      </c>
      <c r="O781" s="40">
        <v>0</v>
      </c>
      <c r="P781" s="40">
        <v>0</v>
      </c>
      <c r="Q781" s="40">
        <v>0</v>
      </c>
      <c r="R781" s="40">
        <v>0</v>
      </c>
      <c r="S781" s="40">
        <v>0</v>
      </c>
      <c r="T781" s="29">
        <f t="array" aca="1" ref="T781" ca="1">+fair_value_gap(OFFSET(S780,0,0,-1*$I$5,-1*$Z$1),OFFSET(E780,0,0,-1*$I$5,1),F781:S781,0)</f>
        <v>16.542108261127957</v>
      </c>
      <c r="U781" s="9" cm="1">
        <f t="array" aca="1" ref="U781" ca="1">z_score_diff(OFFSET(T781,0,0,$I$5*-1,1),OFFSET(E781,0,0,$I$5*-1,1))</f>
        <v>-7.1629227513678506E-2</v>
      </c>
      <c r="V781" s="9">
        <f t="shared" ca="1" si="103"/>
        <v>-0.3195097631271332</v>
      </c>
      <c r="W781" s="17">
        <f t="shared" ca="1" si="100"/>
        <v>-6.39731313945585E-2</v>
      </c>
      <c r="X781" s="13">
        <f t="shared" ca="1" si="101"/>
        <v>0</v>
      </c>
      <c r="Y781" s="13">
        <f t="shared" ca="1" si="102"/>
        <v>0</v>
      </c>
      <c r="Z781">
        <f t="shared" ca="1" si="104"/>
        <v>1</v>
      </c>
      <c r="AA781">
        <f t="shared" ca="1" si="105"/>
        <v>0</v>
      </c>
      <c r="AB781" s="24">
        <f t="shared" ca="1" si="106"/>
        <v>-6.39731313945585E-2</v>
      </c>
      <c r="AC781" s="24">
        <f t="shared" ca="1" si="107"/>
        <v>0</v>
      </c>
    </row>
    <row r="782" spans="3:29" x14ac:dyDescent="0.25">
      <c r="C782" s="6">
        <v>775</v>
      </c>
      <c r="D782" s="37">
        <v>43109</v>
      </c>
      <c r="E782" s="39">
        <v>16.745999999999999</v>
      </c>
      <c r="F782" s="39">
        <v>2.1778178184947854</v>
      </c>
      <c r="G782" s="39">
        <v>45.930939829689009</v>
      </c>
      <c r="H782" s="39">
        <v>72.781785875019821</v>
      </c>
      <c r="I782" s="10">
        <v>1</v>
      </c>
      <c r="J782" s="40">
        <v>0</v>
      </c>
      <c r="K782" s="40">
        <v>0</v>
      </c>
      <c r="L782" s="40">
        <v>0</v>
      </c>
      <c r="M782" s="40">
        <v>0</v>
      </c>
      <c r="N782" s="40">
        <v>0</v>
      </c>
      <c r="O782" s="40">
        <v>0</v>
      </c>
      <c r="P782" s="40">
        <v>0</v>
      </c>
      <c r="Q782" s="40">
        <v>0</v>
      </c>
      <c r="R782" s="40">
        <v>0</v>
      </c>
      <c r="S782" s="40">
        <v>0</v>
      </c>
      <c r="T782" s="29">
        <f t="array" aca="1" ref="T782" ca="1">+fair_value_gap(OFFSET(S781,0,0,-1*$I$5,-1*$Z$1),OFFSET(E781,0,0,-1*$I$5,1),F782:S782,0)</f>
        <v>16.66371212487379</v>
      </c>
      <c r="U782" s="9" cm="1">
        <f t="array" aca="1" ref="U782" ca="1">z_score_diff(OFFSET(T782,0,0,$I$5*-1,1),OFFSET(E782,0,0,$I$5*-1,1))</f>
        <v>-9.68714758795097E-2</v>
      </c>
      <c r="V782" s="9">
        <f t="shared" ca="1" si="103"/>
        <v>-0.31297027187318066</v>
      </c>
      <c r="W782" s="17">
        <f t="shared" ca="1" si="100"/>
        <v>-6.9351230207862241E-2</v>
      </c>
      <c r="X782" s="13">
        <f t="shared" ca="1" si="101"/>
        <v>0</v>
      </c>
      <c r="Y782" s="13">
        <f t="shared" ca="1" si="102"/>
        <v>0</v>
      </c>
      <c r="Z782">
        <f t="shared" ca="1" si="104"/>
        <v>1</v>
      </c>
      <c r="AA782">
        <f t="shared" ca="1" si="105"/>
        <v>0</v>
      </c>
      <c r="AB782" s="24">
        <f t="shared" ca="1" si="106"/>
        <v>-6.9351230207862241E-2</v>
      </c>
      <c r="AC782" s="24">
        <f t="shared" ca="1" si="107"/>
        <v>0</v>
      </c>
    </row>
    <row r="783" spans="3:29" x14ac:dyDescent="0.25">
      <c r="C783" s="6">
        <v>776</v>
      </c>
      <c r="D783" s="37">
        <v>43110</v>
      </c>
      <c r="E783" s="39">
        <v>16.992999999999999</v>
      </c>
      <c r="F783" s="39">
        <v>2.177878574225141</v>
      </c>
      <c r="G783" s="39">
        <v>46.68918611401886</v>
      </c>
      <c r="H783" s="39">
        <v>72.314572813418764</v>
      </c>
      <c r="I783" s="10">
        <v>1</v>
      </c>
      <c r="J783" s="40">
        <v>0</v>
      </c>
      <c r="K783" s="40">
        <v>0</v>
      </c>
      <c r="L783" s="40">
        <v>0</v>
      </c>
      <c r="M783" s="40">
        <v>0</v>
      </c>
      <c r="N783" s="40">
        <v>0</v>
      </c>
      <c r="O783" s="40">
        <v>0</v>
      </c>
      <c r="P783" s="40">
        <v>0</v>
      </c>
      <c r="Q783" s="40">
        <v>0</v>
      </c>
      <c r="R783" s="40">
        <v>0</v>
      </c>
      <c r="S783" s="40">
        <v>0</v>
      </c>
      <c r="T783" s="29">
        <f t="array" aca="1" ref="T783" ca="1">+fair_value_gap(OFFSET(S782,0,0,-1*$I$5,-1*$Z$1),OFFSET(E782,0,0,-1*$I$5,1),F783:S783,0)</f>
        <v>16.846212880288451</v>
      </c>
      <c r="U783" s="9" cm="1">
        <f t="array" aca="1" ref="U783" ca="1">z_score_diff(OFFSET(T783,0,0,$I$5*-1,1),OFFSET(E783,0,0,$I$5*-1,1))</f>
        <v>-0.24877861550331223</v>
      </c>
      <c r="V783" s="9">
        <f t="shared" ca="1" si="103"/>
        <v>-0.31271751957775579</v>
      </c>
      <c r="W783" s="17">
        <f t="shared" ca="1" si="100"/>
        <v>-7.0389378763747679E-2</v>
      </c>
      <c r="X783" s="13">
        <f t="shared" ca="1" si="101"/>
        <v>0</v>
      </c>
      <c r="Y783" s="13">
        <f t="shared" ca="1" si="102"/>
        <v>0</v>
      </c>
      <c r="Z783">
        <f t="shared" ca="1" si="104"/>
        <v>1</v>
      </c>
      <c r="AA783">
        <f t="shared" ca="1" si="105"/>
        <v>0</v>
      </c>
      <c r="AB783" s="24">
        <f t="shared" ca="1" si="106"/>
        <v>-7.0389378763747679E-2</v>
      </c>
      <c r="AC783" s="24">
        <f t="shared" ca="1" si="107"/>
        <v>0</v>
      </c>
    </row>
    <row r="784" spans="3:29" x14ac:dyDescent="0.25">
      <c r="C784" s="6">
        <v>777</v>
      </c>
      <c r="D784" s="37">
        <v>43111</v>
      </c>
      <c r="E784" s="39">
        <v>16.696999999999999</v>
      </c>
      <c r="F784" s="39">
        <v>2.1689669166637371</v>
      </c>
      <c r="G784" s="39">
        <v>46.130376626391481</v>
      </c>
      <c r="H784" s="39">
        <v>70.781019821881074</v>
      </c>
      <c r="I784" s="10">
        <v>1</v>
      </c>
      <c r="J784" s="40">
        <v>0</v>
      </c>
      <c r="K784" s="40">
        <v>0</v>
      </c>
      <c r="L784" s="40">
        <v>0</v>
      </c>
      <c r="M784" s="40">
        <v>0</v>
      </c>
      <c r="N784" s="40">
        <v>0</v>
      </c>
      <c r="O784" s="40">
        <v>0</v>
      </c>
      <c r="P784" s="40">
        <v>0</v>
      </c>
      <c r="Q784" s="40">
        <v>0</v>
      </c>
      <c r="R784" s="40">
        <v>0</v>
      </c>
      <c r="S784" s="40">
        <v>0</v>
      </c>
      <c r="T784" s="29">
        <f t="array" aca="1" ref="T784" ca="1">+fair_value_gap(OFFSET(S783,0,0,-1*$I$5,-1*$Z$1),OFFSET(E783,0,0,-1*$I$5,1),F784:S784,0)</f>
        <v>16.612051513124037</v>
      </c>
      <c r="U784" s="9" cm="1">
        <f t="array" aca="1" ref="U784" ca="1">z_score_diff(OFFSET(T784,0,0,$I$5*-1,1),OFFSET(E784,0,0,$I$5*-1,1))</f>
        <v>-9.358424801545201E-2</v>
      </c>
      <c r="V784" s="9">
        <f t="shared" ca="1" si="103"/>
        <v>-0.30916485310629199</v>
      </c>
      <c r="W784" s="17">
        <f t="shared" ca="1" si="100"/>
        <v>-5.8325207247221587E-2</v>
      </c>
      <c r="X784" s="13">
        <f t="shared" ca="1" si="101"/>
        <v>0</v>
      </c>
      <c r="Y784" s="13">
        <f t="shared" ca="1" si="102"/>
        <v>0</v>
      </c>
      <c r="Z784">
        <f t="shared" ca="1" si="104"/>
        <v>1</v>
      </c>
      <c r="AA784">
        <f t="shared" ca="1" si="105"/>
        <v>0</v>
      </c>
      <c r="AB784" s="24">
        <f t="shared" ca="1" si="106"/>
        <v>-5.8325207247221587E-2</v>
      </c>
      <c r="AC784" s="24">
        <f t="shared" ca="1" si="107"/>
        <v>0</v>
      </c>
    </row>
    <row r="785" spans="3:29" x14ac:dyDescent="0.25">
      <c r="C785" s="6">
        <v>778</v>
      </c>
      <c r="D785" s="37">
        <v>43112</v>
      </c>
      <c r="E785" s="39">
        <v>16.637</v>
      </c>
      <c r="F785" s="39">
        <v>2.1415049692380501</v>
      </c>
      <c r="G785" s="39">
        <v>45.996387184806245</v>
      </c>
      <c r="H785" s="39">
        <v>70.318662249566174</v>
      </c>
      <c r="I785" s="10">
        <v>1</v>
      </c>
      <c r="J785" s="40">
        <v>0</v>
      </c>
      <c r="K785" s="40">
        <v>0</v>
      </c>
      <c r="L785" s="40">
        <v>0</v>
      </c>
      <c r="M785" s="40">
        <v>0</v>
      </c>
      <c r="N785" s="40">
        <v>0</v>
      </c>
      <c r="O785" s="40">
        <v>0</v>
      </c>
      <c r="P785" s="40">
        <v>0</v>
      </c>
      <c r="Q785" s="40">
        <v>0</v>
      </c>
      <c r="R785" s="40">
        <v>0</v>
      </c>
      <c r="S785" s="40">
        <v>0</v>
      </c>
      <c r="T785" s="29">
        <f t="array" aca="1" ref="T785" ca="1">+fair_value_gap(OFFSET(S784,0,0,-1*$I$5,-1*$Z$1),OFFSET(E784,0,0,-1*$I$5,1),F785:S785,0)</f>
        <v>16.551459623215401</v>
      </c>
      <c r="U785" s="9" cm="1">
        <f t="array" aca="1" ref="U785" ca="1">z_score_diff(OFFSET(T785,0,0,$I$5*-1,1),OFFSET(E785,0,0,$I$5*-1,1))</f>
        <v>-8.5005886953797904E-2</v>
      </c>
      <c r="V785" s="9">
        <f t="shared" ca="1" si="103"/>
        <v>-0.3030964797038565</v>
      </c>
      <c r="W785" s="17">
        <f t="shared" ca="1" si="100"/>
        <v>-4.6631649133645682E-2</v>
      </c>
      <c r="X785" s="13">
        <f t="shared" ca="1" si="101"/>
        <v>0</v>
      </c>
      <c r="Y785" s="13">
        <f t="shared" ca="1" si="102"/>
        <v>0</v>
      </c>
      <c r="Z785">
        <f t="shared" ca="1" si="104"/>
        <v>1</v>
      </c>
      <c r="AA785">
        <f t="shared" ca="1" si="105"/>
        <v>0</v>
      </c>
      <c r="AB785" s="24">
        <f t="shared" ca="1" si="106"/>
        <v>-4.6631649133645682E-2</v>
      </c>
      <c r="AC785" s="24">
        <f t="shared" ca="1" si="107"/>
        <v>0</v>
      </c>
    </row>
    <row r="786" spans="3:29" x14ac:dyDescent="0.25">
      <c r="C786" s="6">
        <v>779</v>
      </c>
      <c r="D786" s="37">
        <v>43115</v>
      </c>
      <c r="E786" s="39">
        <v>16.498000000000001</v>
      </c>
      <c r="F786" s="39">
        <v>2.1266063123001655</v>
      </c>
      <c r="G786" s="39">
        <v>45.470366912158759</v>
      </c>
      <c r="H786" s="39">
        <v>70.495236871828695</v>
      </c>
      <c r="I786" s="10">
        <v>1</v>
      </c>
      <c r="J786" s="40">
        <v>0</v>
      </c>
      <c r="K786" s="40">
        <v>0</v>
      </c>
      <c r="L786" s="40">
        <v>0</v>
      </c>
      <c r="M786" s="40">
        <v>0</v>
      </c>
      <c r="N786" s="40">
        <v>0</v>
      </c>
      <c r="O786" s="40">
        <v>0</v>
      </c>
      <c r="P786" s="40">
        <v>0</v>
      </c>
      <c r="Q786" s="40">
        <v>0</v>
      </c>
      <c r="R786" s="40">
        <v>0</v>
      </c>
      <c r="S786" s="40">
        <v>0</v>
      </c>
      <c r="T786" s="29">
        <f t="array" aca="1" ref="T786" ca="1">+fair_value_gap(OFFSET(S785,0,0,-1*$I$5,-1*$Z$1),OFFSET(E785,0,0,-1*$I$5,1),F786:S786,0)</f>
        <v>16.437583218152405</v>
      </c>
      <c r="U786" s="9" cm="1">
        <f t="array" aca="1" ref="U786" ca="1">z_score_diff(OFFSET(T786,0,0,$I$5*-1,1),OFFSET(E786,0,0,$I$5*-1,1))</f>
        <v>-1.8341349865143353E-2</v>
      </c>
      <c r="V786" s="9">
        <f t="shared" ca="1" si="103"/>
        <v>-0.28881364894503564</v>
      </c>
      <c r="W786" s="17">
        <f t="shared" ca="1" si="100"/>
        <v>-3.4219300013311797E-2</v>
      </c>
      <c r="X786" s="13">
        <f t="shared" ca="1" si="101"/>
        <v>0</v>
      </c>
      <c r="Y786" s="13">
        <f t="shared" ca="1" si="102"/>
        <v>0</v>
      </c>
      <c r="Z786">
        <f t="shared" ca="1" si="104"/>
        <v>1</v>
      </c>
      <c r="AA786">
        <f t="shared" ca="1" si="105"/>
        <v>0</v>
      </c>
      <c r="AB786" s="24">
        <f t="shared" ca="1" si="106"/>
        <v>-3.4219300013311797E-2</v>
      </c>
      <c r="AC786" s="24">
        <f t="shared" ca="1" si="107"/>
        <v>0</v>
      </c>
    </row>
    <row r="787" spans="3:29" x14ac:dyDescent="0.25">
      <c r="C787" s="6">
        <v>780</v>
      </c>
      <c r="D787" s="37">
        <v>43116</v>
      </c>
      <c r="E787" s="39">
        <v>16.329000000000001</v>
      </c>
      <c r="F787" s="39">
        <v>2.1233252370132414</v>
      </c>
      <c r="G787" s="39">
        <v>44.866346040122167</v>
      </c>
      <c r="H787" s="39">
        <v>69.928700148867819</v>
      </c>
      <c r="I787" s="10">
        <v>1</v>
      </c>
      <c r="J787" s="40">
        <v>0</v>
      </c>
      <c r="K787" s="40">
        <v>0</v>
      </c>
      <c r="L787" s="40">
        <v>0</v>
      </c>
      <c r="M787" s="40">
        <v>0</v>
      </c>
      <c r="N787" s="40">
        <v>0</v>
      </c>
      <c r="O787" s="40">
        <v>0</v>
      </c>
      <c r="P787" s="40">
        <v>0</v>
      </c>
      <c r="Q787" s="40">
        <v>0</v>
      </c>
      <c r="R787" s="40">
        <v>0</v>
      </c>
      <c r="S787" s="40">
        <v>0</v>
      </c>
      <c r="T787" s="29">
        <f t="array" aca="1" ref="T787" ca="1">+fair_value_gap(OFFSET(S786,0,0,-1*$I$5,-1*$Z$1),OFFSET(E786,0,0,-1*$I$5,1),F787:S787,0)</f>
        <v>16.250892061972593</v>
      </c>
      <c r="U787" s="9" cm="1">
        <f t="array" aca="1" ref="U787" ca="1">z_score_diff(OFFSET(T787,0,0,$I$5*-1,1),OFFSET(E787,0,0,$I$5*-1,1))</f>
        <v>-2.1417328001552383E-2</v>
      </c>
      <c r="V787" s="9">
        <f t="shared" ca="1" si="103"/>
        <v>-0.27797750769334062</v>
      </c>
      <c r="W787" s="17">
        <f t="shared" ca="1" si="100"/>
        <v>-1.7171515189092101E-2</v>
      </c>
      <c r="X787" s="13">
        <f t="shared" ca="1" si="101"/>
        <v>0</v>
      </c>
      <c r="Y787" s="13">
        <f t="shared" ca="1" si="102"/>
        <v>0</v>
      </c>
      <c r="Z787">
        <f t="shared" ca="1" si="104"/>
        <v>1</v>
      </c>
      <c r="AA787">
        <f t="shared" ca="1" si="105"/>
        <v>0</v>
      </c>
      <c r="AB787" s="24">
        <f t="shared" ca="1" si="106"/>
        <v>-1.7171515189092101E-2</v>
      </c>
      <c r="AC787" s="24">
        <f t="shared" ca="1" si="107"/>
        <v>0</v>
      </c>
    </row>
    <row r="788" spans="3:29" x14ac:dyDescent="0.25">
      <c r="C788" s="6">
        <v>781</v>
      </c>
      <c r="D788" s="37">
        <v>43117</v>
      </c>
      <c r="E788" s="39">
        <v>16.161999999999999</v>
      </c>
      <c r="F788" s="39">
        <v>2.1357083353982445</v>
      </c>
      <c r="G788" s="39">
        <v>44.676488287605594</v>
      </c>
      <c r="H788" s="39">
        <v>69.853001909158053</v>
      </c>
      <c r="I788" s="10">
        <v>1</v>
      </c>
      <c r="J788" s="40">
        <v>0</v>
      </c>
      <c r="K788" s="40">
        <v>0</v>
      </c>
      <c r="L788" s="40">
        <v>0</v>
      </c>
      <c r="M788" s="40">
        <v>0</v>
      </c>
      <c r="N788" s="40">
        <v>0</v>
      </c>
      <c r="O788" s="40">
        <v>0</v>
      </c>
      <c r="P788" s="40">
        <v>0</v>
      </c>
      <c r="Q788" s="40">
        <v>0</v>
      </c>
      <c r="R788" s="40">
        <v>0</v>
      </c>
      <c r="S788" s="40">
        <v>0</v>
      </c>
      <c r="T788" s="29">
        <f t="array" aca="1" ref="T788" ca="1">+fair_value_gap(OFFSET(S787,0,0,-1*$I$5,-1*$Z$1),OFFSET(E787,0,0,-1*$I$5,1),F788:S788,0)</f>
        <v>16.208901320390758</v>
      </c>
      <c r="U788" s="9" cm="1">
        <f t="array" aca="1" ref="U788" ca="1">z_score_diff(OFFSET(T788,0,0,$I$5*-1,1),OFFSET(E788,0,0,$I$5*-1,1))</f>
        <v>0.22239795709298793</v>
      </c>
      <c r="V788" s="9">
        <f t="shared" ca="1" si="103"/>
        <v>-0.25322400137686502</v>
      </c>
      <c r="W788" s="17">
        <f t="shared" ca="1" si="100"/>
        <v>-1.1763011003436257E-2</v>
      </c>
      <c r="X788" s="13">
        <f t="shared" ca="1" si="101"/>
        <v>0</v>
      </c>
      <c r="Y788" s="13">
        <f t="shared" ca="1" si="102"/>
        <v>0</v>
      </c>
      <c r="Z788">
        <f t="shared" ca="1" si="104"/>
        <v>1</v>
      </c>
      <c r="AA788">
        <f t="shared" ca="1" si="105"/>
        <v>0</v>
      </c>
      <c r="AB788" s="24">
        <f t="shared" ca="1" si="106"/>
        <v>-1.1763011003436257E-2</v>
      </c>
      <c r="AC788" s="24">
        <f t="shared" ca="1" si="107"/>
        <v>0</v>
      </c>
    </row>
    <row r="789" spans="3:29" x14ac:dyDescent="0.25">
      <c r="C789" s="6">
        <v>782</v>
      </c>
      <c r="D789" s="37">
        <v>43118</v>
      </c>
      <c r="E789" s="39">
        <v>16.238</v>
      </c>
      <c r="F789" s="39">
        <v>2.1299162625186514</v>
      </c>
      <c r="G789" s="39">
        <v>44.60232659298007</v>
      </c>
      <c r="H789" s="39">
        <v>69.898909388733628</v>
      </c>
      <c r="I789" s="10">
        <v>1</v>
      </c>
      <c r="J789" s="40">
        <v>0</v>
      </c>
      <c r="K789" s="40">
        <v>0</v>
      </c>
      <c r="L789" s="40">
        <v>0</v>
      </c>
      <c r="M789" s="40">
        <v>0</v>
      </c>
      <c r="N789" s="40">
        <v>0</v>
      </c>
      <c r="O789" s="40">
        <v>0</v>
      </c>
      <c r="P789" s="40">
        <v>0</v>
      </c>
      <c r="Q789" s="40">
        <v>0</v>
      </c>
      <c r="R789" s="40">
        <v>0</v>
      </c>
      <c r="S789" s="40">
        <v>0</v>
      </c>
      <c r="T789" s="29">
        <f t="array" aca="1" ref="T789" ca="1">+fair_value_gap(OFFSET(S788,0,0,-1*$I$5,-1*$Z$1),OFFSET(E788,0,0,-1*$I$5,1),F789:S789,0)</f>
        <v>16.192277577471884</v>
      </c>
      <c r="U789" s="9" cm="1">
        <f t="array" aca="1" ref="U789" ca="1">z_score_diff(OFFSET(T789,0,0,$I$5*-1,1),OFFSET(E789,0,0,$I$5*-1,1))</f>
        <v>4.754966873484312E-2</v>
      </c>
      <c r="V789" s="9">
        <f t="shared" ca="1" si="103"/>
        <v>-0.24013802923717473</v>
      </c>
      <c r="W789" s="17">
        <f t="shared" ca="1" si="100"/>
        <v>-9.6535403142973923E-3</v>
      </c>
      <c r="X789" s="13">
        <f t="shared" ca="1" si="101"/>
        <v>0</v>
      </c>
      <c r="Y789" s="13">
        <f t="shared" ca="1" si="102"/>
        <v>0</v>
      </c>
      <c r="Z789">
        <f t="shared" ca="1" si="104"/>
        <v>1</v>
      </c>
      <c r="AA789">
        <f t="shared" ca="1" si="105"/>
        <v>0</v>
      </c>
      <c r="AB789" s="24">
        <f t="shared" ca="1" si="106"/>
        <v>-9.6535403142973923E-3</v>
      </c>
      <c r="AC789" s="24">
        <f t="shared" ca="1" si="107"/>
        <v>0</v>
      </c>
    </row>
    <row r="790" spans="3:29" x14ac:dyDescent="0.25">
      <c r="C790" s="6">
        <v>783</v>
      </c>
      <c r="D790" s="37">
        <v>43119</v>
      </c>
      <c r="E790" s="39">
        <v>16.254000000000001</v>
      </c>
      <c r="F790" s="39">
        <v>2.1211407023332551</v>
      </c>
      <c r="G790" s="39">
        <v>44.67396478928984</v>
      </c>
      <c r="H790" s="39">
        <v>70.704690077775169</v>
      </c>
      <c r="I790" s="10">
        <v>1</v>
      </c>
      <c r="J790" s="40">
        <v>0</v>
      </c>
      <c r="K790" s="40">
        <v>0</v>
      </c>
      <c r="L790" s="40">
        <v>0</v>
      </c>
      <c r="M790" s="40">
        <v>0</v>
      </c>
      <c r="N790" s="40">
        <v>0</v>
      </c>
      <c r="O790" s="40">
        <v>0</v>
      </c>
      <c r="P790" s="40">
        <v>0</v>
      </c>
      <c r="Q790" s="40">
        <v>0</v>
      </c>
      <c r="R790" s="40">
        <v>0</v>
      </c>
      <c r="S790" s="40">
        <v>0</v>
      </c>
      <c r="T790" s="29">
        <f t="array" aca="1" ref="T790" ca="1">+fair_value_gap(OFFSET(S789,0,0,-1*$I$5,-1*$Z$1),OFFSET(E789,0,0,-1*$I$5,1),F790:S790,0)</f>
        <v>16.270300195219988</v>
      </c>
      <c r="U790" s="9" cm="1">
        <f t="array" aca="1" ref="U790" ca="1">z_score_diff(OFFSET(T790,0,0,$I$5*-1,1),OFFSET(E790,0,0,$I$5*-1,1))</f>
        <v>0.15116526689772469</v>
      </c>
      <c r="V790" s="9">
        <f t="shared" ca="1" si="103"/>
        <v>-0.23490687564975399</v>
      </c>
      <c r="W790" s="17">
        <f t="shared" ca="1" si="100"/>
        <v>-1.3502837550752522E-2</v>
      </c>
      <c r="X790" s="13">
        <f t="shared" ca="1" si="101"/>
        <v>0</v>
      </c>
      <c r="Y790" s="13">
        <f t="shared" ca="1" si="102"/>
        <v>0</v>
      </c>
      <c r="Z790">
        <f t="shared" ca="1" si="104"/>
        <v>1</v>
      </c>
      <c r="AA790">
        <f t="shared" ca="1" si="105"/>
        <v>0</v>
      </c>
      <c r="AB790" s="24">
        <f t="shared" ca="1" si="106"/>
        <v>-1.3502837550752522E-2</v>
      </c>
      <c r="AC790" s="24">
        <f t="shared" ca="1" si="107"/>
        <v>0</v>
      </c>
    </row>
    <row r="791" spans="3:29" x14ac:dyDescent="0.25">
      <c r="C791" s="6">
        <v>784</v>
      </c>
      <c r="D791" s="37">
        <v>43122</v>
      </c>
      <c r="E791" s="39">
        <v>16.327000000000002</v>
      </c>
      <c r="F791" s="39">
        <v>2.1288506633573832</v>
      </c>
      <c r="G791" s="39">
        <v>45.007848642761822</v>
      </c>
      <c r="H791" s="39">
        <v>69.839455377520622</v>
      </c>
      <c r="I791" s="10">
        <v>1</v>
      </c>
      <c r="J791" s="40">
        <v>0</v>
      </c>
      <c r="K791" s="40">
        <v>0</v>
      </c>
      <c r="L791" s="40">
        <v>0</v>
      </c>
      <c r="M791" s="40">
        <v>0</v>
      </c>
      <c r="N791" s="40">
        <v>0</v>
      </c>
      <c r="O791" s="40">
        <v>0</v>
      </c>
      <c r="P791" s="40">
        <v>0</v>
      </c>
      <c r="Q791" s="40">
        <v>0</v>
      </c>
      <c r="R791" s="40">
        <v>0</v>
      </c>
      <c r="S791" s="40">
        <v>0</v>
      </c>
      <c r="T791" s="29">
        <f t="array" aca="1" ref="T791" ca="1">+fair_value_gap(OFFSET(S790,0,0,-1*$I$5,-1*$Z$1),OFFSET(E790,0,0,-1*$I$5,1),F791:S791,0)</f>
        <v>16.302978777188589</v>
      </c>
      <c r="U791" s="9" cm="1">
        <f t="array" aca="1" ref="U791" ca="1">z_score_diff(OFFSET(T791,0,0,$I$5*-1,1),OFFSET(E791,0,0,$I$5*-1,1))</f>
        <v>6.7382296743793035E-2</v>
      </c>
      <c r="V791" s="9">
        <f t="shared" ca="1" si="103"/>
        <v>-0.22376954557158771</v>
      </c>
      <c r="W791" s="17">
        <f t="shared" ca="1" si="100"/>
        <v>-2.5118378477640962E-2</v>
      </c>
      <c r="X791" s="13">
        <f t="shared" ca="1" si="101"/>
        <v>0</v>
      </c>
      <c r="Y791" s="13">
        <f t="shared" ca="1" si="102"/>
        <v>0</v>
      </c>
      <c r="Z791">
        <f t="shared" ca="1" si="104"/>
        <v>1</v>
      </c>
      <c r="AA791">
        <f t="shared" ca="1" si="105"/>
        <v>0</v>
      </c>
      <c r="AB791" s="24">
        <f t="shared" ca="1" si="106"/>
        <v>-2.5118378477640962E-2</v>
      </c>
      <c r="AC791" s="24">
        <f t="shared" ca="1" si="107"/>
        <v>0</v>
      </c>
    </row>
    <row r="792" spans="3:29" x14ac:dyDescent="0.25">
      <c r="C792" s="6">
        <v>785</v>
      </c>
      <c r="D792" s="37">
        <v>43123</v>
      </c>
      <c r="E792" s="39">
        <v>16.271000000000001</v>
      </c>
      <c r="F792" s="39">
        <v>2.1197821348040899</v>
      </c>
      <c r="G792" s="39">
        <v>44.642008655608088</v>
      </c>
      <c r="H792" s="39">
        <v>70.425174423325572</v>
      </c>
      <c r="I792" s="10">
        <v>1</v>
      </c>
      <c r="J792" s="40">
        <v>0</v>
      </c>
      <c r="K792" s="40">
        <v>0</v>
      </c>
      <c r="L792" s="40">
        <v>0</v>
      </c>
      <c r="M792" s="40">
        <v>0</v>
      </c>
      <c r="N792" s="40">
        <v>0</v>
      </c>
      <c r="O792" s="40">
        <v>0</v>
      </c>
      <c r="P792" s="40">
        <v>0</v>
      </c>
      <c r="Q792" s="40">
        <v>0</v>
      </c>
      <c r="R792" s="40">
        <v>0</v>
      </c>
      <c r="S792" s="40">
        <v>0</v>
      </c>
      <c r="T792" s="29">
        <f t="array" aca="1" ref="T792" ca="1">+fair_value_gap(OFFSET(S791,0,0,-1*$I$5,-1*$Z$1),OFFSET(E791,0,0,-1*$I$5,1),F792:S792,0)</f>
        <v>16.247530028295838</v>
      </c>
      <c r="U792" s="9" cm="1">
        <f t="array" aca="1" ref="U792" ca="1">z_score_diff(OFFSET(T792,0,0,$I$5*-1,1),OFFSET(E792,0,0,$I$5*-1,1))</f>
        <v>7.6720511980037043E-2</v>
      </c>
      <c r="V792" s="9">
        <f t="shared" ca="1" si="103"/>
        <v>-0.19358421473866042</v>
      </c>
      <c r="W792" s="17">
        <f t="shared" ca="1" si="100"/>
        <v>-3.1148166141801232E-2</v>
      </c>
      <c r="X792" s="13">
        <f t="shared" ca="1" si="101"/>
        <v>0</v>
      </c>
      <c r="Y792" s="13">
        <f t="shared" ca="1" si="102"/>
        <v>0</v>
      </c>
      <c r="Z792">
        <f t="shared" ca="1" si="104"/>
        <v>1</v>
      </c>
      <c r="AA792">
        <f t="shared" ca="1" si="105"/>
        <v>0</v>
      </c>
      <c r="AB792" s="24">
        <f t="shared" ca="1" si="106"/>
        <v>-3.1148166141801232E-2</v>
      </c>
      <c r="AC792" s="24">
        <f t="shared" ca="1" si="107"/>
        <v>0</v>
      </c>
    </row>
    <row r="793" spans="3:29" x14ac:dyDescent="0.25">
      <c r="C793" s="6">
        <v>786</v>
      </c>
      <c r="D793" s="37">
        <v>43124</v>
      </c>
      <c r="E793" s="39">
        <v>16.074000000000002</v>
      </c>
      <c r="F793" s="39">
        <v>2.1014129175725818</v>
      </c>
      <c r="G793" s="39">
        <v>43.958739316912471</v>
      </c>
      <c r="H793" s="39">
        <v>69.84062091563996</v>
      </c>
      <c r="I793" s="10">
        <v>1</v>
      </c>
      <c r="J793" s="40">
        <v>0</v>
      </c>
      <c r="K793" s="40">
        <v>0</v>
      </c>
      <c r="L793" s="40">
        <v>0</v>
      </c>
      <c r="M793" s="40">
        <v>0</v>
      </c>
      <c r="N793" s="40">
        <v>0</v>
      </c>
      <c r="O793" s="40">
        <v>0</v>
      </c>
      <c r="P793" s="40">
        <v>0</v>
      </c>
      <c r="Q793" s="40">
        <v>0</v>
      </c>
      <c r="R793" s="40">
        <v>0</v>
      </c>
      <c r="S793" s="40">
        <v>0</v>
      </c>
      <c r="T793" s="29">
        <f t="array" aca="1" ref="T793" ca="1">+fair_value_gap(OFFSET(S792,0,0,-1*$I$5,-1*$Z$1),OFFSET(E792,0,0,-1*$I$5,1),F793:S793,0)</f>
        <v>16.049725678976287</v>
      </c>
      <c r="U793" s="9" cm="1">
        <f t="array" aca="1" ref="U793" ca="1">z_score_diff(OFFSET(T793,0,0,$I$5*-1,1),OFFSET(E793,0,0,$I$5*-1,1))</f>
        <v>0.10513349256028603</v>
      </c>
      <c r="V793" s="9">
        <f t="shared" ca="1" si="103"/>
        <v>-0.14069924107809062</v>
      </c>
      <c r="W793" s="17">
        <f t="shared" ca="1" si="100"/>
        <v>-2.9932145535035416E-2</v>
      </c>
      <c r="X793" s="13">
        <f t="shared" ca="1" si="101"/>
        <v>0</v>
      </c>
      <c r="Y793" s="13">
        <f t="shared" ca="1" si="102"/>
        <v>0</v>
      </c>
      <c r="Z793">
        <f t="shared" ca="1" si="104"/>
        <v>1</v>
      </c>
      <c r="AA793">
        <f t="shared" ca="1" si="105"/>
        <v>0</v>
      </c>
      <c r="AB793" s="24">
        <f t="shared" ca="1" si="106"/>
        <v>-2.9932145535035416E-2</v>
      </c>
      <c r="AC793" s="24">
        <f t="shared" ca="1" si="107"/>
        <v>0</v>
      </c>
    </row>
    <row r="794" spans="3:29" x14ac:dyDescent="0.25">
      <c r="C794" s="6">
        <v>787</v>
      </c>
      <c r="D794" s="37">
        <v>43125</v>
      </c>
      <c r="E794" s="39">
        <v>15.97</v>
      </c>
      <c r="F794" s="39">
        <v>2.0948408454527105</v>
      </c>
      <c r="G794" s="39">
        <v>43.549850465405427</v>
      </c>
      <c r="H794" s="39">
        <v>70.910633269846272</v>
      </c>
      <c r="I794" s="10">
        <v>1</v>
      </c>
      <c r="J794" s="40">
        <v>0</v>
      </c>
      <c r="K794" s="40">
        <v>0</v>
      </c>
      <c r="L794" s="40">
        <v>0</v>
      </c>
      <c r="M794" s="40">
        <v>0</v>
      </c>
      <c r="N794" s="40">
        <v>0</v>
      </c>
      <c r="O794" s="40">
        <v>0</v>
      </c>
      <c r="P794" s="40">
        <v>0</v>
      </c>
      <c r="Q794" s="40">
        <v>0</v>
      </c>
      <c r="R794" s="40">
        <v>0</v>
      </c>
      <c r="S794" s="40">
        <v>0</v>
      </c>
      <c r="T794" s="29">
        <f t="array" aca="1" ref="T794" ca="1">+fair_value_gap(OFFSET(S793,0,0,-1*$I$5,-1*$Z$1),OFFSET(E793,0,0,-1*$I$5,1),F794:S794,0)</f>
        <v>15.995736625029753</v>
      </c>
      <c r="U794" s="9" cm="1">
        <f t="array" aca="1" ref="U794" ca="1">z_score_diff(OFFSET(T794,0,0,$I$5*-1,1),OFFSET(E794,0,0,$I$5*-1,1))</f>
        <v>0.20501372789625338</v>
      </c>
      <c r="V794" s="9">
        <f t="shared" ca="1" si="103"/>
        <v>-0.10475442076599309</v>
      </c>
      <c r="W794" s="17">
        <f t="shared" ca="1" si="100"/>
        <v>-1.6860185324104347E-2</v>
      </c>
      <c r="X794" s="13">
        <f t="shared" ca="1" si="101"/>
        <v>0</v>
      </c>
      <c r="Y794" s="13">
        <f t="shared" ca="1" si="102"/>
        <v>0</v>
      </c>
      <c r="Z794">
        <f t="shared" ca="1" si="104"/>
        <v>1</v>
      </c>
      <c r="AA794">
        <f t="shared" ca="1" si="105"/>
        <v>0</v>
      </c>
      <c r="AB794" s="24">
        <f t="shared" ca="1" si="106"/>
        <v>-1.6860185324104347E-2</v>
      </c>
      <c r="AC794" s="24">
        <f t="shared" ca="1" si="107"/>
        <v>0</v>
      </c>
    </row>
    <row r="795" spans="3:29" x14ac:dyDescent="0.25">
      <c r="C795" s="6">
        <v>788</v>
      </c>
      <c r="D795" s="37">
        <v>43126</v>
      </c>
      <c r="E795" s="39">
        <v>15.773999999999999</v>
      </c>
      <c r="F795" s="39">
        <v>2.0868423085837904</v>
      </c>
      <c r="G795" s="39">
        <v>42.86265281139427</v>
      </c>
      <c r="H795" s="39">
        <v>70.887738545932166</v>
      </c>
      <c r="I795" s="10">
        <v>1</v>
      </c>
      <c r="J795" s="40">
        <v>0</v>
      </c>
      <c r="K795" s="40">
        <v>0</v>
      </c>
      <c r="L795" s="40">
        <v>0</v>
      </c>
      <c r="M795" s="40">
        <v>0</v>
      </c>
      <c r="N795" s="40">
        <v>0</v>
      </c>
      <c r="O795" s="40">
        <v>0</v>
      </c>
      <c r="P795" s="40">
        <v>0</v>
      </c>
      <c r="Q795" s="40">
        <v>0</v>
      </c>
      <c r="R795" s="40">
        <v>0</v>
      </c>
      <c r="S795" s="40">
        <v>0</v>
      </c>
      <c r="T795" s="29">
        <f t="array" aca="1" ref="T795" ca="1">+fair_value_gap(OFFSET(S794,0,0,-1*$I$5,-1*$Z$1),OFFSET(E794,0,0,-1*$I$5,1),F795:S795,0)</f>
        <v>15.809054057165525</v>
      </c>
      <c r="U795" s="9" cm="1">
        <f t="array" aca="1" ref="U795" ca="1">z_score_diff(OFFSET(T795,0,0,$I$5*-1,1),OFFSET(E795,0,0,$I$5*-1,1))</f>
        <v>0.24436449298210317</v>
      </c>
      <c r="V795" s="9">
        <f t="shared" ca="1" si="103"/>
        <v>-7.9432855358585561E-2</v>
      </c>
      <c r="W795" s="17">
        <f t="shared" ca="1" si="100"/>
        <v>3.480685727802186E-3</v>
      </c>
      <c r="X795" s="13">
        <f t="shared" ca="1" si="101"/>
        <v>0</v>
      </c>
      <c r="Y795" s="13">
        <f t="shared" ca="1" si="102"/>
        <v>0</v>
      </c>
      <c r="Z795">
        <f t="shared" ca="1" si="104"/>
        <v>1</v>
      </c>
      <c r="AA795">
        <f t="shared" ca="1" si="105"/>
        <v>0</v>
      </c>
      <c r="AB795" s="24">
        <f t="shared" ca="1" si="106"/>
        <v>3.480685727802186E-3</v>
      </c>
      <c r="AC795" s="24">
        <f t="shared" ca="1" si="107"/>
        <v>0</v>
      </c>
    </row>
    <row r="796" spans="3:29" x14ac:dyDescent="0.25">
      <c r="C796" s="6">
        <v>789</v>
      </c>
      <c r="D796" s="37">
        <v>43129</v>
      </c>
      <c r="E796" s="39">
        <v>15.651999999999999</v>
      </c>
      <c r="F796" s="39">
        <v>2.1026287511222548</v>
      </c>
      <c r="G796" s="39">
        <v>42.221351908942914</v>
      </c>
      <c r="H796" s="39">
        <v>70.165155596078193</v>
      </c>
      <c r="I796" s="10">
        <v>1</v>
      </c>
      <c r="J796" s="40">
        <v>0</v>
      </c>
      <c r="K796" s="40">
        <v>0</v>
      </c>
      <c r="L796" s="40">
        <v>0</v>
      </c>
      <c r="M796" s="40">
        <v>0</v>
      </c>
      <c r="N796" s="40">
        <v>0</v>
      </c>
      <c r="O796" s="40">
        <v>0</v>
      </c>
      <c r="P796" s="40">
        <v>0</v>
      </c>
      <c r="Q796" s="40">
        <v>0</v>
      </c>
      <c r="R796" s="40">
        <v>0</v>
      </c>
      <c r="S796" s="40">
        <v>0</v>
      </c>
      <c r="T796" s="29">
        <f t="array" aca="1" ref="T796" ca="1">+fair_value_gap(OFFSET(S795,0,0,-1*$I$5,-1*$Z$1),OFFSET(E795,0,0,-1*$I$5,1),F796:S796,0)</f>
        <v>15.613520696440091</v>
      </c>
      <c r="U796" s="9" cm="1">
        <f t="array" aca="1" ref="U796" ca="1">z_score_diff(OFFSET(T796,0,0,$I$5*-1,1),OFFSET(E796,0,0,$I$5*-1,1))</f>
        <v>0.13217170811831336</v>
      </c>
      <c r="V796" s="9">
        <f t="shared" ca="1" si="103"/>
        <v>-5.9877704943266011E-2</v>
      </c>
      <c r="W796" s="17">
        <f t="shared" ca="1" si="100"/>
        <v>9.4745248211960363E-3</v>
      </c>
      <c r="X796" s="13">
        <f t="shared" ca="1" si="101"/>
        <v>0</v>
      </c>
      <c r="Y796" s="13">
        <f t="shared" ca="1" si="102"/>
        <v>0</v>
      </c>
      <c r="Z796">
        <f t="shared" ca="1" si="104"/>
        <v>1</v>
      </c>
      <c r="AA796">
        <f t="shared" ca="1" si="105"/>
        <v>0</v>
      </c>
      <c r="AB796" s="24">
        <f t="shared" ca="1" si="106"/>
        <v>9.4745248211960363E-3</v>
      </c>
      <c r="AC796" s="24">
        <f t="shared" ca="1" si="107"/>
        <v>0</v>
      </c>
    </row>
    <row r="797" spans="3:29" x14ac:dyDescent="0.25">
      <c r="C797" s="6">
        <v>790</v>
      </c>
      <c r="D797" s="37">
        <v>43130</v>
      </c>
      <c r="E797" s="39">
        <v>15.601000000000001</v>
      </c>
      <c r="F797" s="39">
        <v>2.103780847779579</v>
      </c>
      <c r="G797" s="39">
        <v>42.097013463207098</v>
      </c>
      <c r="H797" s="39">
        <v>68.668830540800897</v>
      </c>
      <c r="I797" s="10">
        <v>1</v>
      </c>
      <c r="J797" s="40">
        <v>0</v>
      </c>
      <c r="K797" s="40">
        <v>0</v>
      </c>
      <c r="L797" s="40">
        <v>0</v>
      </c>
      <c r="M797" s="40">
        <v>0</v>
      </c>
      <c r="N797" s="40">
        <v>0</v>
      </c>
      <c r="O797" s="40">
        <v>0</v>
      </c>
      <c r="P797" s="40">
        <v>0</v>
      </c>
      <c r="Q797" s="40">
        <v>0</v>
      </c>
      <c r="R797" s="40">
        <v>0</v>
      </c>
      <c r="S797" s="40">
        <v>0</v>
      </c>
      <c r="T797" s="29">
        <f t="array" aca="1" ref="T797" ca="1">+fair_value_gap(OFFSET(S796,0,0,-1*$I$5,-1*$Z$1),OFFSET(E796,0,0,-1*$I$5,1),F797:S797,0)</f>
        <v>15.507979887268457</v>
      </c>
      <c r="U797" s="9" cm="1">
        <f t="array" aca="1" ref="U797" ca="1">z_score_diff(OFFSET(T797,0,0,$I$5*-1,1),OFFSET(E797,0,0,$I$5*-1,1))</f>
        <v>4.5082001497115609E-2</v>
      </c>
      <c r="V797" s="9">
        <f t="shared" ca="1" si="103"/>
        <v>-5.494570721265405E-2</v>
      </c>
      <c r="W797" s="17">
        <f t="shared" ca="1" si="100"/>
        <v>3.1608473112676665E-2</v>
      </c>
      <c r="X797" s="13">
        <f t="shared" ca="1" si="101"/>
        <v>0</v>
      </c>
      <c r="Y797" s="13">
        <f t="shared" ca="1" si="102"/>
        <v>0</v>
      </c>
      <c r="Z797">
        <f t="shared" ca="1" si="104"/>
        <v>1</v>
      </c>
      <c r="AA797">
        <f t="shared" ca="1" si="105"/>
        <v>0</v>
      </c>
      <c r="AB797" s="24">
        <f t="shared" ca="1" si="106"/>
        <v>3.1608473112676665E-2</v>
      </c>
      <c r="AC797" s="24">
        <f t="shared" ca="1" si="107"/>
        <v>0</v>
      </c>
    </row>
    <row r="798" spans="3:29" x14ac:dyDescent="0.25">
      <c r="C798" s="6">
        <v>791</v>
      </c>
      <c r="D798" s="37">
        <v>43131</v>
      </c>
      <c r="E798" s="39">
        <v>15.84</v>
      </c>
      <c r="F798" s="39">
        <v>2.1030672950629685</v>
      </c>
      <c r="G798" s="39">
        <v>43.187531479223438</v>
      </c>
      <c r="H798" s="39">
        <v>67.295062968399904</v>
      </c>
      <c r="I798" s="10">
        <v>1</v>
      </c>
      <c r="J798" s="40">
        <v>0</v>
      </c>
      <c r="K798" s="40">
        <v>0</v>
      </c>
      <c r="L798" s="40">
        <v>0</v>
      </c>
      <c r="M798" s="40">
        <v>0</v>
      </c>
      <c r="N798" s="40">
        <v>0</v>
      </c>
      <c r="O798" s="40">
        <v>0</v>
      </c>
      <c r="P798" s="40">
        <v>0</v>
      </c>
      <c r="Q798" s="40">
        <v>0</v>
      </c>
      <c r="R798" s="40">
        <v>0</v>
      </c>
      <c r="S798" s="40">
        <v>0</v>
      </c>
      <c r="T798" s="29">
        <f t="array" aca="1" ref="T798" ca="1">+fair_value_gap(OFFSET(S797,0,0,-1*$I$5,-1*$Z$1),OFFSET(E797,0,0,-1*$I$5,1),F798:S798,0)</f>
        <v>15.72565203091105</v>
      </c>
      <c r="U798" s="9" cm="1">
        <f t="array" aca="1" ref="U798" ca="1">z_score_diff(OFFSET(T798,0,0,$I$5*-1,1),OFFSET(E798,0,0,$I$5*-1,1))</f>
        <v>-2.2512243122976283E-2</v>
      </c>
      <c r="V798" s="9">
        <f t="shared" ca="1" si="103"/>
        <v>-4.9999375819898023E-2</v>
      </c>
      <c r="W798" s="17">
        <f t="shared" ca="1" si="100"/>
        <v>2.8135803399886448E-2</v>
      </c>
      <c r="X798" s="13">
        <f t="shared" ca="1" si="101"/>
        <v>0</v>
      </c>
      <c r="Y798" s="13">
        <f t="shared" ca="1" si="102"/>
        <v>0</v>
      </c>
      <c r="Z798">
        <f t="shared" ca="1" si="104"/>
        <v>1</v>
      </c>
      <c r="AA798">
        <f t="shared" ca="1" si="105"/>
        <v>0</v>
      </c>
      <c r="AB798" s="24">
        <f t="shared" ca="1" si="106"/>
        <v>2.8135803399886448E-2</v>
      </c>
      <c r="AC798" s="24">
        <f t="shared" ca="1" si="107"/>
        <v>0</v>
      </c>
    </row>
    <row r="799" spans="3:29" x14ac:dyDescent="0.25">
      <c r="C799" s="6">
        <v>792</v>
      </c>
      <c r="D799" s="37">
        <v>43132</v>
      </c>
      <c r="E799" s="39">
        <v>15.795</v>
      </c>
      <c r="F799" s="39">
        <v>2.0906830918207482</v>
      </c>
      <c r="G799" s="39">
        <v>42.845716267388589</v>
      </c>
      <c r="H799" s="39">
        <v>65.846175061192127</v>
      </c>
      <c r="I799" s="10">
        <v>0</v>
      </c>
      <c r="J799" s="40">
        <v>1</v>
      </c>
      <c r="K799" s="40">
        <v>0</v>
      </c>
      <c r="L799" s="40">
        <v>0</v>
      </c>
      <c r="M799" s="40">
        <v>0</v>
      </c>
      <c r="N799" s="40">
        <v>0</v>
      </c>
      <c r="O799" s="40">
        <v>0</v>
      </c>
      <c r="P799" s="40">
        <v>0</v>
      </c>
      <c r="Q799" s="40">
        <v>0</v>
      </c>
      <c r="R799" s="40">
        <v>0</v>
      </c>
      <c r="S799" s="40">
        <v>0</v>
      </c>
      <c r="T799" s="29">
        <f t="array" aca="1" ref="T799" ca="1">+fair_value_gap(OFFSET(S798,0,0,-1*$I$5,-1*$Z$1),OFFSET(E798,0,0,-1*$I$5,1),F799:S799,0)</f>
        <v>14.909812125239627</v>
      </c>
      <c r="U799" s="9" cm="1">
        <f t="array" aca="1" ref="U799" ca="1">z_score_diff(OFFSET(T799,0,0,$I$5*-1,1),OFFSET(E799,0,0,$I$5*-1,1))</f>
        <v>-1.2588032280468693</v>
      </c>
      <c r="V799" s="9">
        <f t="shared" ca="1" si="103"/>
        <v>-8.2983126468801308E-2</v>
      </c>
      <c r="W799" s="17">
        <f t="shared" ca="1" si="100"/>
        <v>2.8584072866990384E-2</v>
      </c>
      <c r="X799" s="13">
        <f t="shared" ca="1" si="101"/>
        <v>0</v>
      </c>
      <c r="Y799" s="13">
        <f t="shared" ca="1" si="102"/>
        <v>0</v>
      </c>
      <c r="Z799">
        <f t="shared" ca="1" si="104"/>
        <v>1</v>
      </c>
      <c r="AA799">
        <f t="shared" ca="1" si="105"/>
        <v>0</v>
      </c>
      <c r="AB799" s="24">
        <f t="shared" ca="1" si="106"/>
        <v>2.8584072866990384E-2</v>
      </c>
      <c r="AC799" s="24">
        <f t="shared" ca="1" si="107"/>
        <v>0</v>
      </c>
    </row>
    <row r="800" spans="3:29" x14ac:dyDescent="0.25">
      <c r="C800" s="6">
        <v>793</v>
      </c>
      <c r="D800" s="37">
        <v>43133</v>
      </c>
      <c r="E800" s="39">
        <v>15.632</v>
      </c>
      <c r="F800" s="39">
        <v>2.1051011771947374</v>
      </c>
      <c r="G800" s="39">
        <v>42.376509336509073</v>
      </c>
      <c r="H800" s="39">
        <v>66.47687927983381</v>
      </c>
      <c r="I800" s="10">
        <v>0</v>
      </c>
      <c r="J800" s="40">
        <v>1</v>
      </c>
      <c r="K800" s="40">
        <v>0</v>
      </c>
      <c r="L800" s="40">
        <v>0</v>
      </c>
      <c r="M800" s="40">
        <v>0</v>
      </c>
      <c r="N800" s="40">
        <v>0</v>
      </c>
      <c r="O800" s="40">
        <v>0</v>
      </c>
      <c r="P800" s="40">
        <v>0</v>
      </c>
      <c r="Q800" s="40">
        <v>0</v>
      </c>
      <c r="R800" s="40">
        <v>0</v>
      </c>
      <c r="S800" s="40">
        <v>0</v>
      </c>
      <c r="T800" s="29">
        <f t="array" aca="1" ref="T800" ca="1">+fair_value_gap(OFFSET(S799,0,0,-1*$I$5,-1*$Z$1),OFFSET(E799,0,0,-1*$I$5,1),F800:S800,0)</f>
        <v>15.133193607718049</v>
      </c>
      <c r="U800" s="9" cm="1">
        <f t="array" aca="1" ref="U800" ca="1">z_score_diff(OFFSET(T800,0,0,$I$5*-1,1),OFFSET(E800,0,0,$I$5*-1,1))</f>
        <v>-0.5742008443425104</v>
      </c>
      <c r="V800" s="9">
        <f t="shared" ca="1" si="103"/>
        <v>-8.643314029355964E-2</v>
      </c>
      <c r="W800" s="17">
        <f t="shared" ca="1" si="100"/>
        <v>3.8772813475319495E-2</v>
      </c>
      <c r="X800" s="13">
        <f t="shared" ca="1" si="101"/>
        <v>0</v>
      </c>
      <c r="Y800" s="13">
        <f t="shared" ca="1" si="102"/>
        <v>0</v>
      </c>
      <c r="Z800">
        <f t="shared" ca="1" si="104"/>
        <v>1</v>
      </c>
      <c r="AA800">
        <f t="shared" ca="1" si="105"/>
        <v>0</v>
      </c>
      <c r="AB800" s="24">
        <f t="shared" ca="1" si="106"/>
        <v>3.8772813475319495E-2</v>
      </c>
      <c r="AC800" s="24">
        <f t="shared" ca="1" si="107"/>
        <v>0</v>
      </c>
    </row>
    <row r="801" spans="3:29" x14ac:dyDescent="0.25">
      <c r="C801" s="6">
        <v>794</v>
      </c>
      <c r="D801" s="37">
        <v>43136</v>
      </c>
      <c r="E801" s="39">
        <v>15.394</v>
      </c>
      <c r="F801" s="39">
        <v>2.1154111302693566</v>
      </c>
      <c r="G801" s="39">
        <v>41.924750334511877</v>
      </c>
      <c r="H801" s="39">
        <v>67.157138408770862</v>
      </c>
      <c r="I801" s="10">
        <v>0</v>
      </c>
      <c r="J801" s="40">
        <v>1</v>
      </c>
      <c r="K801" s="40">
        <v>0</v>
      </c>
      <c r="L801" s="40">
        <v>0</v>
      </c>
      <c r="M801" s="40">
        <v>0</v>
      </c>
      <c r="N801" s="40">
        <v>0</v>
      </c>
      <c r="O801" s="40">
        <v>0</v>
      </c>
      <c r="P801" s="40">
        <v>0</v>
      </c>
      <c r="Q801" s="40">
        <v>0</v>
      </c>
      <c r="R801" s="40">
        <v>0</v>
      </c>
      <c r="S801" s="40">
        <v>0</v>
      </c>
      <c r="T801" s="29">
        <f t="array" aca="1" ref="T801" ca="1">+fair_value_gap(OFFSET(S800,0,0,-1*$I$5,-1*$Z$1),OFFSET(E800,0,0,-1*$I$5,1),F801:S801,0)</f>
        <v>15.195514086208085</v>
      </c>
      <c r="U801" s="9" cm="1">
        <f t="array" aca="1" ref="U801" ca="1">z_score_diff(OFFSET(T801,0,0,$I$5*-1,1),OFFSET(E801,0,0,$I$5*-1,1))</f>
        <v>-4.4773179003742225E-2</v>
      </c>
      <c r="V801" s="9">
        <f t="shared" ca="1" si="103"/>
        <v>-8.4344124999243444E-2</v>
      </c>
      <c r="W801" s="17">
        <f t="shared" ca="1" si="100"/>
        <v>5.2328875955851915E-2</v>
      </c>
      <c r="X801" s="13">
        <f t="shared" ca="1" si="101"/>
        <v>0</v>
      </c>
      <c r="Y801" s="13">
        <f t="shared" ca="1" si="102"/>
        <v>0</v>
      </c>
      <c r="Z801">
        <f t="shared" ca="1" si="104"/>
        <v>1</v>
      </c>
      <c r="AA801">
        <f t="shared" ca="1" si="105"/>
        <v>0</v>
      </c>
      <c r="AB801" s="24">
        <f t="shared" ca="1" si="106"/>
        <v>5.2328875955851915E-2</v>
      </c>
      <c r="AC801" s="24">
        <f t="shared" ca="1" si="107"/>
        <v>0</v>
      </c>
    </row>
    <row r="802" spans="3:29" x14ac:dyDescent="0.25">
      <c r="C802" s="6">
        <v>795</v>
      </c>
      <c r="D802" s="37">
        <v>43137</v>
      </c>
      <c r="E802" s="39">
        <v>15.465999999999999</v>
      </c>
      <c r="F802" s="39">
        <v>2.116086441085085</v>
      </c>
      <c r="G802" s="39">
        <v>42.015923570402109</v>
      </c>
      <c r="H802" s="39">
        <v>65.745124322984068</v>
      </c>
      <c r="I802" s="10">
        <v>0</v>
      </c>
      <c r="J802" s="40">
        <v>1</v>
      </c>
      <c r="K802" s="40">
        <v>0</v>
      </c>
      <c r="L802" s="40">
        <v>0</v>
      </c>
      <c r="M802" s="40">
        <v>0</v>
      </c>
      <c r="N802" s="40">
        <v>0</v>
      </c>
      <c r="O802" s="40">
        <v>0</v>
      </c>
      <c r="P802" s="40">
        <v>0</v>
      </c>
      <c r="Q802" s="40">
        <v>0</v>
      </c>
      <c r="R802" s="40">
        <v>0</v>
      </c>
      <c r="S802" s="40">
        <v>0</v>
      </c>
      <c r="T802" s="29">
        <f t="array" aca="1" ref="T802" ca="1">+fair_value_gap(OFFSET(S801,0,0,-1*$I$5,-1*$Z$1),OFFSET(E801,0,0,-1*$I$5,1),F802:S802,0)</f>
        <v>15.153271510225215</v>
      </c>
      <c r="U802" s="9" cm="1">
        <f t="array" aca="1" ref="U802" ca="1">z_score_diff(OFFSET(T802,0,0,$I$5*-1,1),OFFSET(E802,0,0,$I$5*-1,1))</f>
        <v>-0.23052095615236778</v>
      </c>
      <c r="V802" s="9">
        <f t="shared" ca="1" si="103"/>
        <v>-8.3683332917074901E-2</v>
      </c>
      <c r="W802" s="17">
        <f t="shared" ca="1" si="100"/>
        <v>6.435261222432001E-2</v>
      </c>
      <c r="X802" s="13">
        <f t="shared" ca="1" si="101"/>
        <v>0</v>
      </c>
      <c r="Y802" s="13">
        <f t="shared" ca="1" si="102"/>
        <v>0</v>
      </c>
      <c r="Z802">
        <f t="shared" ca="1" si="104"/>
        <v>1</v>
      </c>
      <c r="AA802">
        <f t="shared" ca="1" si="105"/>
        <v>0</v>
      </c>
      <c r="AB802" s="24">
        <f t="shared" ca="1" si="106"/>
        <v>6.435261222432001E-2</v>
      </c>
      <c r="AC802" s="24">
        <f t="shared" ca="1" si="107"/>
        <v>0</v>
      </c>
    </row>
    <row r="803" spans="3:29" x14ac:dyDescent="0.25">
      <c r="C803" s="6">
        <v>796</v>
      </c>
      <c r="D803" s="37">
        <v>43138</v>
      </c>
      <c r="E803" s="39">
        <v>15.518000000000001</v>
      </c>
      <c r="F803" s="39">
        <v>2.1289150270608235</v>
      </c>
      <c r="G803" s="39">
        <v>42.369068580347374</v>
      </c>
      <c r="H803" s="39">
        <v>66.430902092573419</v>
      </c>
      <c r="I803" s="10">
        <v>0</v>
      </c>
      <c r="J803" s="40">
        <v>1</v>
      </c>
      <c r="K803" s="40">
        <v>0</v>
      </c>
      <c r="L803" s="40">
        <v>0</v>
      </c>
      <c r="M803" s="40">
        <v>0</v>
      </c>
      <c r="N803" s="40">
        <v>0</v>
      </c>
      <c r="O803" s="40">
        <v>0</v>
      </c>
      <c r="P803" s="40">
        <v>0</v>
      </c>
      <c r="Q803" s="40">
        <v>0</v>
      </c>
      <c r="R803" s="40">
        <v>0</v>
      </c>
      <c r="S803" s="40">
        <v>0</v>
      </c>
      <c r="T803" s="29">
        <f t="array" aca="1" ref="T803" ca="1">+fair_value_gap(OFFSET(S802,0,0,-1*$I$5,-1*$Z$1),OFFSET(E802,0,0,-1*$I$5,1),F803:S803,0)</f>
        <v>15.346967878233841</v>
      </c>
      <c r="U803" s="9" cm="1">
        <f t="array" aca="1" ref="U803" ca="1">z_score_diff(OFFSET(T803,0,0,$I$5*-1,1),OFFSET(E803,0,0,$I$5*-1,1))</f>
        <v>-1.3784560094475484E-2</v>
      </c>
      <c r="V803" s="9">
        <f t="shared" ca="1" si="103"/>
        <v>-8.3800201954220707E-2</v>
      </c>
      <c r="W803" s="17">
        <f t="shared" ca="1" si="100"/>
        <v>6.7341812112324817E-2</v>
      </c>
      <c r="X803" s="13">
        <f t="shared" ca="1" si="101"/>
        <v>0</v>
      </c>
      <c r="Y803" s="13">
        <f t="shared" ca="1" si="102"/>
        <v>0</v>
      </c>
      <c r="Z803">
        <f t="shared" ca="1" si="104"/>
        <v>1</v>
      </c>
      <c r="AA803">
        <f t="shared" ca="1" si="105"/>
        <v>0</v>
      </c>
      <c r="AB803" s="24">
        <f t="shared" ca="1" si="106"/>
        <v>6.7341812112324817E-2</v>
      </c>
      <c r="AC803" s="24">
        <f t="shared" ca="1" si="107"/>
        <v>0</v>
      </c>
    </row>
    <row r="804" spans="3:29" x14ac:dyDescent="0.25">
      <c r="C804" s="6">
        <v>797</v>
      </c>
      <c r="D804" s="37">
        <v>43139</v>
      </c>
      <c r="E804" s="39">
        <v>15.423999999999999</v>
      </c>
      <c r="F804" s="39">
        <v>2.1285406853446958</v>
      </c>
      <c r="G804" s="39">
        <v>41.71744424121038</v>
      </c>
      <c r="H804" s="39">
        <v>64.075415629078094</v>
      </c>
      <c r="I804" s="10">
        <v>0</v>
      </c>
      <c r="J804" s="40">
        <v>1</v>
      </c>
      <c r="K804" s="40">
        <v>0</v>
      </c>
      <c r="L804" s="40">
        <v>0</v>
      </c>
      <c r="M804" s="40">
        <v>0</v>
      </c>
      <c r="N804" s="40">
        <v>0</v>
      </c>
      <c r="O804" s="40">
        <v>0</v>
      </c>
      <c r="P804" s="40">
        <v>0</v>
      </c>
      <c r="Q804" s="40">
        <v>0</v>
      </c>
      <c r="R804" s="40">
        <v>0</v>
      </c>
      <c r="S804" s="40">
        <v>0</v>
      </c>
      <c r="T804" s="29">
        <f t="array" aca="1" ref="T804" ca="1">+fair_value_gap(OFFSET(S803,0,0,-1*$I$5,-1*$Z$1),OFFSET(E803,0,0,-1*$I$5,1),F804:S804,0)</f>
        <v>15.007704042080956</v>
      </c>
      <c r="U804" s="9" cm="1">
        <f t="array" aca="1" ref="U804" ca="1">z_score_diff(OFFSET(T804,0,0,$I$5*-1,1),OFFSET(E804,0,0,$I$5*-1,1))</f>
        <v>-0.36777355242229781</v>
      </c>
      <c r="V804" s="9">
        <f t="shared" ca="1" si="103"/>
        <v>-0.10397585593403519</v>
      </c>
      <c r="W804" s="17">
        <f t="shared" ca="1" si="100"/>
        <v>0.10519841745838254</v>
      </c>
      <c r="X804" s="13">
        <f t="shared" ca="1" si="101"/>
        <v>0</v>
      </c>
      <c r="Y804" s="13">
        <f t="shared" ca="1" si="102"/>
        <v>0</v>
      </c>
      <c r="Z804">
        <f t="shared" ca="1" si="104"/>
        <v>1</v>
      </c>
      <c r="AA804">
        <f t="shared" ca="1" si="105"/>
        <v>0</v>
      </c>
      <c r="AB804" s="24">
        <f t="shared" ca="1" si="106"/>
        <v>0.10519841745838254</v>
      </c>
      <c r="AC804" s="24">
        <f t="shared" ca="1" si="107"/>
        <v>0</v>
      </c>
    </row>
    <row r="805" spans="3:29" x14ac:dyDescent="0.25">
      <c r="C805" s="6">
        <v>798</v>
      </c>
      <c r="D805" s="37">
        <v>43140</v>
      </c>
      <c r="E805" s="39">
        <v>15.339</v>
      </c>
      <c r="F805" s="39">
        <v>2.1123302284089229</v>
      </c>
      <c r="G805" s="39">
        <v>41.728346910373801</v>
      </c>
      <c r="H805" s="39">
        <v>63.283753227823858</v>
      </c>
      <c r="I805" s="10">
        <v>0</v>
      </c>
      <c r="J805" s="40">
        <v>1</v>
      </c>
      <c r="K805" s="40">
        <v>0</v>
      </c>
      <c r="L805" s="40">
        <v>0</v>
      </c>
      <c r="M805" s="40">
        <v>0</v>
      </c>
      <c r="N805" s="40">
        <v>0</v>
      </c>
      <c r="O805" s="40">
        <v>0</v>
      </c>
      <c r="P805" s="40">
        <v>0</v>
      </c>
      <c r="Q805" s="40">
        <v>0</v>
      </c>
      <c r="R805" s="40">
        <v>0</v>
      </c>
      <c r="S805" s="40">
        <v>0</v>
      </c>
      <c r="T805" s="29">
        <f t="array" aca="1" ref="T805" ca="1">+fair_value_gap(OFFSET(S804,0,0,-1*$I$5,-1*$Z$1),OFFSET(E804,0,0,-1*$I$5,1),F805:S805,0)</f>
        <v>14.988430363323733</v>
      </c>
      <c r="U805" s="9" cm="1">
        <f t="array" aca="1" ref="U805" ca="1">z_score_diff(OFFSET(T805,0,0,$I$5*-1,1),OFFSET(E805,0,0,$I$5*-1,1))</f>
        <v>-0.24082790437726542</v>
      </c>
      <c r="V805" s="9">
        <f t="shared" ca="1" si="103"/>
        <v>-0.11207454562068153</v>
      </c>
      <c r="W805" s="17">
        <f t="shared" ca="1" si="100"/>
        <v>0.10903067439261821</v>
      </c>
      <c r="X805" s="13">
        <f t="shared" ca="1" si="101"/>
        <v>0</v>
      </c>
      <c r="Y805" s="13">
        <f t="shared" ca="1" si="102"/>
        <v>0</v>
      </c>
      <c r="Z805">
        <f t="shared" ca="1" si="104"/>
        <v>1</v>
      </c>
      <c r="AA805">
        <f t="shared" ca="1" si="105"/>
        <v>0</v>
      </c>
      <c r="AB805" s="24">
        <f t="shared" ca="1" si="106"/>
        <v>0.10903067439261821</v>
      </c>
      <c r="AC805" s="24">
        <f t="shared" ca="1" si="107"/>
        <v>0</v>
      </c>
    </row>
    <row r="806" spans="3:29" x14ac:dyDescent="0.25">
      <c r="C806" s="6">
        <v>799</v>
      </c>
      <c r="D806" s="37">
        <v>43143</v>
      </c>
      <c r="E806" s="39">
        <v>15.426</v>
      </c>
      <c r="F806" s="39">
        <v>2.0938499877657444</v>
      </c>
      <c r="G806" s="39">
        <v>41.572651686087838</v>
      </c>
      <c r="H806" s="39">
        <v>64.405173609541791</v>
      </c>
      <c r="I806" s="10">
        <v>0</v>
      </c>
      <c r="J806" s="40">
        <v>1</v>
      </c>
      <c r="K806" s="40">
        <v>0</v>
      </c>
      <c r="L806" s="40">
        <v>0</v>
      </c>
      <c r="M806" s="40">
        <v>0</v>
      </c>
      <c r="N806" s="40">
        <v>0</v>
      </c>
      <c r="O806" s="40">
        <v>0</v>
      </c>
      <c r="P806" s="40">
        <v>0</v>
      </c>
      <c r="Q806" s="40">
        <v>0</v>
      </c>
      <c r="R806" s="40">
        <v>0</v>
      </c>
      <c r="S806" s="40">
        <v>0</v>
      </c>
      <c r="T806" s="29">
        <f t="array" aca="1" ref="T806" ca="1">+fair_value_gap(OFFSET(S805,0,0,-1*$I$5,-1*$Z$1),OFFSET(E805,0,0,-1*$I$5,1),F806:S806,0)</f>
        <v>15.087599470108207</v>
      </c>
      <c r="U806" s="9" cm="1">
        <f t="array" aca="1" ref="U806" ca="1">z_score_diff(OFFSET(T806,0,0,$I$5*-1,1),OFFSET(E806,0,0,$I$5*-1,1))</f>
        <v>-0.22821016322026599</v>
      </c>
      <c r="V806" s="9">
        <f t="shared" ca="1" si="103"/>
        <v>-0.11417169806045965</v>
      </c>
      <c r="W806" s="17">
        <f t="shared" ca="1" si="100"/>
        <v>9.7688218220147213E-2</v>
      </c>
      <c r="X806" s="13">
        <f t="shared" ca="1" si="101"/>
        <v>0</v>
      </c>
      <c r="Y806" s="13">
        <f t="shared" ca="1" si="102"/>
        <v>0</v>
      </c>
      <c r="Z806">
        <f t="shared" ca="1" si="104"/>
        <v>1</v>
      </c>
      <c r="AA806">
        <f t="shared" ca="1" si="105"/>
        <v>0</v>
      </c>
      <c r="AB806" s="24">
        <f t="shared" ca="1" si="106"/>
        <v>9.7688218220147213E-2</v>
      </c>
      <c r="AC806" s="24">
        <f t="shared" ca="1" si="107"/>
        <v>0</v>
      </c>
    </row>
    <row r="807" spans="3:29" x14ac:dyDescent="0.25">
      <c r="C807" s="6">
        <v>800</v>
      </c>
      <c r="D807" s="37">
        <v>43144</v>
      </c>
      <c r="E807" s="39">
        <v>15.352</v>
      </c>
      <c r="F807" s="39">
        <v>2.0909408070705897</v>
      </c>
      <c r="G807" s="39">
        <v>41.705134441425848</v>
      </c>
      <c r="H807" s="39">
        <v>64.891266426328642</v>
      </c>
      <c r="I807" s="10">
        <v>0</v>
      </c>
      <c r="J807" s="40">
        <v>1</v>
      </c>
      <c r="K807" s="40">
        <v>0</v>
      </c>
      <c r="L807" s="40">
        <v>0</v>
      </c>
      <c r="M807" s="40">
        <v>0</v>
      </c>
      <c r="N807" s="40">
        <v>0</v>
      </c>
      <c r="O807" s="40">
        <v>0</v>
      </c>
      <c r="P807" s="40">
        <v>0</v>
      </c>
      <c r="Q807" s="40">
        <v>0</v>
      </c>
      <c r="R807" s="40">
        <v>0</v>
      </c>
      <c r="S807" s="40">
        <v>0</v>
      </c>
      <c r="T807" s="29">
        <f t="array" aca="1" ref="T807" ca="1">+fair_value_gap(OFFSET(S806,0,0,-1*$I$5,-1*$Z$1),OFFSET(E806,0,0,-1*$I$5,1),F807:S807,0)</f>
        <v>15.203206005356796</v>
      </c>
      <c r="U807" s="9" cm="1">
        <f t="array" aca="1" ref="U807" ca="1">z_score_diff(OFFSET(T807,0,0,$I$5*-1,1),OFFSET(E807,0,0,$I$5*-1,1))</f>
        <v>6.7530051718669881E-2</v>
      </c>
      <c r="V807" s="9">
        <f t="shared" ca="1" si="103"/>
        <v>-0.11110946477745853</v>
      </c>
      <c r="W807" s="17">
        <f t="shared" ca="1" si="100"/>
        <v>0.10249685702655588</v>
      </c>
      <c r="X807" s="13">
        <f t="shared" ca="1" si="101"/>
        <v>0</v>
      </c>
      <c r="Y807" s="13">
        <f t="shared" ca="1" si="102"/>
        <v>0</v>
      </c>
      <c r="Z807">
        <f t="shared" ca="1" si="104"/>
        <v>1</v>
      </c>
      <c r="AA807">
        <f t="shared" ca="1" si="105"/>
        <v>0</v>
      </c>
      <c r="AB807" s="24">
        <f t="shared" ca="1" si="106"/>
        <v>0.10249685702655588</v>
      </c>
      <c r="AC807" s="24">
        <f t="shared" ca="1" si="107"/>
        <v>0</v>
      </c>
    </row>
    <row r="808" spans="3:29" x14ac:dyDescent="0.25">
      <c r="C808" s="6">
        <v>801</v>
      </c>
      <c r="D808" s="37">
        <v>43145</v>
      </c>
      <c r="E808" s="39">
        <v>15.368</v>
      </c>
      <c r="F808" s="39">
        <v>2.0706160755102587</v>
      </c>
      <c r="G808" s="39">
        <v>41.607163533907134</v>
      </c>
      <c r="H808" s="39">
        <v>65.191752878310012</v>
      </c>
      <c r="I808" s="10">
        <v>0</v>
      </c>
      <c r="J808" s="40">
        <v>1</v>
      </c>
      <c r="K808" s="40">
        <v>0</v>
      </c>
      <c r="L808" s="40">
        <v>0</v>
      </c>
      <c r="M808" s="40">
        <v>0</v>
      </c>
      <c r="N808" s="40">
        <v>0</v>
      </c>
      <c r="O808" s="40">
        <v>0</v>
      </c>
      <c r="P808" s="40">
        <v>0</v>
      </c>
      <c r="Q808" s="40">
        <v>0</v>
      </c>
      <c r="R808" s="40">
        <v>0</v>
      </c>
      <c r="S808" s="40">
        <v>0</v>
      </c>
      <c r="T808" s="29">
        <f t="array" aca="1" ref="T808" ca="1">+fair_value_gap(OFFSET(S807,0,0,-1*$I$5,-1*$Z$1),OFFSET(E807,0,0,-1*$I$5,1),F808:S808,0)</f>
        <v>15.233744214931386</v>
      </c>
      <c r="U808" s="9" cm="1">
        <f t="array" aca="1" ref="U808" ca="1">z_score_diff(OFFSET(T808,0,0,$I$5*-1,1),OFFSET(E808,0,0,$I$5*-1,1))</f>
        <v>8.3694436607835598E-2</v>
      </c>
      <c r="V808" s="9">
        <f t="shared" ca="1" si="103"/>
        <v>-0.10530556595254456</v>
      </c>
      <c r="W808" s="17">
        <f t="shared" ca="1" si="100"/>
        <v>0.10098474038933651</v>
      </c>
      <c r="X808" s="13">
        <f t="shared" ca="1" si="101"/>
        <v>0</v>
      </c>
      <c r="Y808" s="13">
        <f t="shared" ca="1" si="102"/>
        <v>0</v>
      </c>
      <c r="Z808">
        <f t="shared" ca="1" si="104"/>
        <v>1</v>
      </c>
      <c r="AA808">
        <f t="shared" ca="1" si="105"/>
        <v>0</v>
      </c>
      <c r="AB808" s="24">
        <f t="shared" ca="1" si="106"/>
        <v>0.10098474038933651</v>
      </c>
      <c r="AC808" s="24">
        <f t="shared" ca="1" si="107"/>
        <v>0</v>
      </c>
    </row>
    <row r="809" spans="3:29" x14ac:dyDescent="0.25">
      <c r="C809" s="6">
        <v>802</v>
      </c>
      <c r="D809" s="37">
        <v>43146</v>
      </c>
      <c r="E809" s="39">
        <v>15.314</v>
      </c>
      <c r="F809" s="39">
        <v>2.0489543900915139</v>
      </c>
      <c r="G809" s="39">
        <v>41.753953470375926</v>
      </c>
      <c r="H809" s="39">
        <v>64.546657356021896</v>
      </c>
      <c r="I809" s="10">
        <v>0</v>
      </c>
      <c r="J809" s="40">
        <v>1</v>
      </c>
      <c r="K809" s="40">
        <v>0</v>
      </c>
      <c r="L809" s="40">
        <v>0</v>
      </c>
      <c r="M809" s="40">
        <v>0</v>
      </c>
      <c r="N809" s="40">
        <v>0</v>
      </c>
      <c r="O809" s="40">
        <v>0</v>
      </c>
      <c r="P809" s="40">
        <v>0</v>
      </c>
      <c r="Q809" s="40">
        <v>0</v>
      </c>
      <c r="R809" s="40">
        <v>0</v>
      </c>
      <c r="S809" s="40">
        <v>0</v>
      </c>
      <c r="T809" s="29">
        <f t="array" aca="1" ref="T809" ca="1">+fair_value_gap(OFFSET(S808,0,0,-1*$I$5,-1*$Z$1),OFFSET(E808,0,0,-1*$I$5,1),F809:S809,0)</f>
        <v>15.246451764673644</v>
      </c>
      <c r="U809" s="9" cm="1">
        <f t="array" aca="1" ref="U809" ca="1">z_score_diff(OFFSET(T809,0,0,$I$5*-1,1),OFFSET(E809,0,0,$I$5*-1,1))</f>
        <v>0.18474812688863729</v>
      </c>
      <c r="V809" s="9">
        <f t="shared" ca="1" si="103"/>
        <v>-0.10154972381482662</v>
      </c>
      <c r="W809" s="17">
        <f t="shared" ca="1" si="100"/>
        <v>0.11346393987729807</v>
      </c>
      <c r="X809" s="13">
        <f t="shared" ca="1" si="101"/>
        <v>0</v>
      </c>
      <c r="Y809" s="13">
        <f t="shared" ca="1" si="102"/>
        <v>0</v>
      </c>
      <c r="Z809">
        <f t="shared" ca="1" si="104"/>
        <v>1</v>
      </c>
      <c r="AA809">
        <f t="shared" ca="1" si="105"/>
        <v>0</v>
      </c>
      <c r="AB809" s="24">
        <f t="shared" ca="1" si="106"/>
        <v>0.11346393987729807</v>
      </c>
      <c r="AC809" s="24">
        <f t="shared" ca="1" si="107"/>
        <v>0</v>
      </c>
    </row>
    <row r="810" spans="3:29" x14ac:dyDescent="0.25">
      <c r="C810" s="6">
        <v>803</v>
      </c>
      <c r="D810" s="37">
        <v>43147</v>
      </c>
      <c r="E810" s="39">
        <v>15.45</v>
      </c>
      <c r="F810" s="39">
        <v>2.0688468397419228</v>
      </c>
      <c r="G810" s="39">
        <v>42.186703318628219</v>
      </c>
      <c r="H810" s="39">
        <v>66.016354770578701</v>
      </c>
      <c r="I810" s="10">
        <v>0</v>
      </c>
      <c r="J810" s="40">
        <v>1</v>
      </c>
      <c r="K810" s="40">
        <v>0</v>
      </c>
      <c r="L810" s="40">
        <v>0</v>
      </c>
      <c r="M810" s="40">
        <v>0</v>
      </c>
      <c r="N810" s="40">
        <v>0</v>
      </c>
      <c r="O810" s="40">
        <v>0</v>
      </c>
      <c r="P810" s="40">
        <v>0</v>
      </c>
      <c r="Q810" s="40">
        <v>0</v>
      </c>
      <c r="R810" s="40">
        <v>0</v>
      </c>
      <c r="S810" s="40">
        <v>0</v>
      </c>
      <c r="T810" s="29">
        <f t="array" aca="1" ref="T810" ca="1">+fair_value_gap(OFFSET(S809,0,0,-1*$I$5,-1*$Z$1),OFFSET(E809,0,0,-1*$I$5,1),F810:S810,0)</f>
        <v>15.487852737419043</v>
      </c>
      <c r="U810" s="9" cm="1">
        <f t="array" aca="1" ref="U810" ca="1">z_score_diff(OFFSET(T810,0,0,$I$5*-1,1),OFFSET(E810,0,0,$I$5*-1,1))</f>
        <v>0.30910608065876488</v>
      </c>
      <c r="V810" s="9">
        <f t="shared" ca="1" si="103"/>
        <v>-9.157040946767811E-2</v>
      </c>
      <c r="W810" s="17">
        <f t="shared" ca="1" si="100"/>
        <v>0.10869475671830758</v>
      </c>
      <c r="X810" s="13">
        <f t="shared" ca="1" si="101"/>
        <v>0</v>
      </c>
      <c r="Y810" s="13">
        <f t="shared" ca="1" si="102"/>
        <v>0</v>
      </c>
      <c r="Z810">
        <f t="shared" ca="1" si="104"/>
        <v>1</v>
      </c>
      <c r="AA810">
        <f t="shared" ca="1" si="105"/>
        <v>0</v>
      </c>
      <c r="AB810" s="24">
        <f t="shared" ca="1" si="106"/>
        <v>0.10869475671830758</v>
      </c>
      <c r="AC810" s="24">
        <f t="shared" ca="1" si="107"/>
        <v>0</v>
      </c>
    </row>
    <row r="811" spans="3:29" x14ac:dyDescent="0.25">
      <c r="C811" s="6">
        <v>804</v>
      </c>
      <c r="D811" s="37">
        <v>43150</v>
      </c>
      <c r="E811" s="39">
        <v>15.766999999999999</v>
      </c>
      <c r="F811" s="39">
        <v>2.0680696525241866</v>
      </c>
      <c r="G811" s="39">
        <v>43.019820992388794</v>
      </c>
      <c r="H811" s="39">
        <v>67.572883834807428</v>
      </c>
      <c r="I811" s="10">
        <v>0</v>
      </c>
      <c r="J811" s="40">
        <v>1</v>
      </c>
      <c r="K811" s="40">
        <v>0</v>
      </c>
      <c r="L811" s="40">
        <v>0</v>
      </c>
      <c r="M811" s="40">
        <v>0</v>
      </c>
      <c r="N811" s="40">
        <v>0</v>
      </c>
      <c r="O811" s="40">
        <v>0</v>
      </c>
      <c r="P811" s="40">
        <v>0</v>
      </c>
      <c r="Q811" s="40">
        <v>0</v>
      </c>
      <c r="R811" s="40">
        <v>0</v>
      </c>
      <c r="S811" s="40">
        <v>0</v>
      </c>
      <c r="T811" s="29">
        <f t="array" aca="1" ref="T811" ca="1">+fair_value_gap(OFFSET(S810,0,0,-1*$I$5,-1*$Z$1),OFFSET(E810,0,0,-1*$I$5,1),F811:S811,0)</f>
        <v>15.823096997547598</v>
      </c>
      <c r="U811" s="9" cm="1">
        <f t="array" aca="1" ref="U811" ca="1">z_score_diff(OFFSET(T811,0,0,$I$5*-1,1),OFFSET(E811,0,0,$I$5*-1,1))</f>
        <v>0.28201528116489172</v>
      </c>
      <c r="V811" s="9">
        <f t="shared" ca="1" si="103"/>
        <v>-0.10071982105791091</v>
      </c>
      <c r="W811" s="17">
        <f t="shared" ca="1" si="100"/>
        <v>0.10673586169170299</v>
      </c>
      <c r="X811" s="13">
        <f t="shared" ca="1" si="101"/>
        <v>0</v>
      </c>
      <c r="Y811" s="13">
        <f t="shared" ca="1" si="102"/>
        <v>0</v>
      </c>
      <c r="Z811">
        <f t="shared" ca="1" si="104"/>
        <v>1</v>
      </c>
      <c r="AA811">
        <f t="shared" ca="1" si="105"/>
        <v>0</v>
      </c>
      <c r="AB811" s="24">
        <f t="shared" ca="1" si="106"/>
        <v>0.10673586169170299</v>
      </c>
      <c r="AC811" s="24">
        <f t="shared" ca="1" si="107"/>
        <v>0</v>
      </c>
    </row>
    <row r="812" spans="3:29" x14ac:dyDescent="0.25">
      <c r="C812" s="6">
        <v>805</v>
      </c>
      <c r="D812" s="37">
        <v>43151</v>
      </c>
      <c r="E812" s="39">
        <v>15.885999999999999</v>
      </c>
      <c r="F812" s="39">
        <v>2.0833107111333802</v>
      </c>
      <c r="G812" s="39">
        <v>43.282294395204147</v>
      </c>
      <c r="H812" s="39">
        <v>68.099285345313021</v>
      </c>
      <c r="I812" s="10">
        <v>0</v>
      </c>
      <c r="J812" s="40">
        <v>1</v>
      </c>
      <c r="K812" s="40">
        <v>0</v>
      </c>
      <c r="L812" s="40">
        <v>0</v>
      </c>
      <c r="M812" s="40">
        <v>0</v>
      </c>
      <c r="N812" s="40">
        <v>0</v>
      </c>
      <c r="O812" s="40">
        <v>0</v>
      </c>
      <c r="P812" s="40">
        <v>0</v>
      </c>
      <c r="Q812" s="40">
        <v>0</v>
      </c>
      <c r="R812" s="40">
        <v>0</v>
      </c>
      <c r="S812" s="40">
        <v>0</v>
      </c>
      <c r="T812" s="29">
        <f t="array" aca="1" ref="T812" ca="1">+fair_value_gap(OFFSET(S811,0,0,-1*$I$5,-1*$Z$1),OFFSET(E811,0,0,-1*$I$5,1),F812:S812,0)</f>
        <v>15.926449632211462</v>
      </c>
      <c r="U812" s="9" cm="1">
        <f t="array" aca="1" ref="U812" ca="1">z_score_diff(OFFSET(T812,0,0,$I$5*-1,1),OFFSET(E812,0,0,$I$5*-1,1))</f>
        <v>0.23753108215130903</v>
      </c>
      <c r="V812" s="9">
        <f t="shared" ca="1" si="103"/>
        <v>-6.5867632950912108E-2</v>
      </c>
      <c r="W812" s="17">
        <f t="shared" ca="1" si="100"/>
        <v>9.6419746786722965E-2</v>
      </c>
      <c r="X812" s="13">
        <f t="shared" ca="1" si="101"/>
        <v>0</v>
      </c>
      <c r="Y812" s="13">
        <f t="shared" ca="1" si="102"/>
        <v>0</v>
      </c>
      <c r="Z812">
        <f t="shared" ca="1" si="104"/>
        <v>1</v>
      </c>
      <c r="AA812">
        <f t="shared" ca="1" si="105"/>
        <v>0</v>
      </c>
      <c r="AB812" s="24">
        <f t="shared" ca="1" si="106"/>
        <v>9.6419746786722965E-2</v>
      </c>
      <c r="AC812" s="24">
        <f t="shared" ca="1" si="107"/>
        <v>0</v>
      </c>
    </row>
    <row r="813" spans="3:29" x14ac:dyDescent="0.25">
      <c r="C813" s="6">
        <v>806</v>
      </c>
      <c r="D813" s="37">
        <v>43152</v>
      </c>
      <c r="E813" s="39">
        <v>15.839</v>
      </c>
      <c r="F813" s="39">
        <v>2.1004087197701455</v>
      </c>
      <c r="G813" s="39">
        <v>43.229026091805032</v>
      </c>
      <c r="H813" s="39">
        <v>67.276892858143427</v>
      </c>
      <c r="I813" s="10">
        <v>0</v>
      </c>
      <c r="J813" s="40">
        <v>1</v>
      </c>
      <c r="K813" s="40">
        <v>0</v>
      </c>
      <c r="L813" s="40">
        <v>0</v>
      </c>
      <c r="M813" s="40">
        <v>0</v>
      </c>
      <c r="N813" s="40">
        <v>0</v>
      </c>
      <c r="O813" s="40">
        <v>0</v>
      </c>
      <c r="P813" s="40">
        <v>0</v>
      </c>
      <c r="Q813" s="40">
        <v>0</v>
      </c>
      <c r="R813" s="40">
        <v>0</v>
      </c>
      <c r="S813" s="40">
        <v>0</v>
      </c>
      <c r="T813" s="29">
        <f t="array" aca="1" ref="T813" ca="1">+fair_value_gap(OFFSET(S812,0,0,-1*$I$5,-1*$Z$1),OFFSET(E812,0,0,-1*$I$5,1),F813:S813,0)</f>
        <v>15.875330067382286</v>
      </c>
      <c r="U813" s="9" cm="1">
        <f t="array" aca="1" ref="U813" ca="1">z_score_diff(OFFSET(T813,0,0,$I$5*-1,1),OFFSET(E813,0,0,$I$5*-1,1))</f>
        <v>0.23728345224328651</v>
      </c>
      <c r="V813" s="9">
        <f t="shared" ca="1" si="103"/>
        <v>-3.9905261155746857E-2</v>
      </c>
      <c r="W813" s="17">
        <f t="shared" ca="1" si="100"/>
        <v>0.10689983159718547</v>
      </c>
      <c r="X813" s="13">
        <f t="shared" ca="1" si="101"/>
        <v>0</v>
      </c>
      <c r="Y813" s="13">
        <f t="shared" ca="1" si="102"/>
        <v>0</v>
      </c>
      <c r="Z813">
        <f t="shared" ca="1" si="104"/>
        <v>1</v>
      </c>
      <c r="AA813">
        <f t="shared" ca="1" si="105"/>
        <v>0</v>
      </c>
      <c r="AB813" s="24">
        <f t="shared" ca="1" si="106"/>
        <v>0.10689983159718547</v>
      </c>
      <c r="AC813" s="24">
        <f t="shared" ca="1" si="107"/>
        <v>0</v>
      </c>
    </row>
    <row r="814" spans="3:29" x14ac:dyDescent="0.25">
      <c r="C814" s="6">
        <v>807</v>
      </c>
      <c r="D814" s="37">
        <v>43153</v>
      </c>
      <c r="E814" s="39">
        <v>15.787000000000001</v>
      </c>
      <c r="F814" s="39">
        <v>2.0980356239152775</v>
      </c>
      <c r="G814" s="39">
        <v>43.167320262888872</v>
      </c>
      <c r="H814" s="39">
        <v>68.032860686708872</v>
      </c>
      <c r="I814" s="10">
        <v>0</v>
      </c>
      <c r="J814" s="40">
        <v>1</v>
      </c>
      <c r="K814" s="40">
        <v>0</v>
      </c>
      <c r="L814" s="40">
        <v>0</v>
      </c>
      <c r="M814" s="40">
        <v>0</v>
      </c>
      <c r="N814" s="40">
        <v>0</v>
      </c>
      <c r="O814" s="40">
        <v>0</v>
      </c>
      <c r="P814" s="40">
        <v>0</v>
      </c>
      <c r="Q814" s="40">
        <v>0</v>
      </c>
      <c r="R814" s="40">
        <v>0</v>
      </c>
      <c r="S814" s="40">
        <v>0</v>
      </c>
      <c r="T814" s="29">
        <f t="array" aca="1" ref="T814" ca="1">+fair_value_gap(OFFSET(S813,0,0,-1*$I$5,-1*$Z$1),OFFSET(E813,0,0,-1*$I$5,1),F814:S814,0)</f>
        <v>15.893123016637741</v>
      </c>
      <c r="U814" s="9" cm="1">
        <f t="array" aca="1" ref="U814" ca="1">z_score_diff(OFFSET(T814,0,0,$I$5*-1,1),OFFSET(E814,0,0,$I$5*-1,1))</f>
        <v>0.34412572491040749</v>
      </c>
      <c r="V814" s="9">
        <f t="shared" ca="1" si="103"/>
        <v>-1.7558798112656433E-2</v>
      </c>
      <c r="W814" s="17">
        <f t="shared" ca="1" si="100"/>
        <v>0.108996136057426</v>
      </c>
      <c r="X814" s="13">
        <f t="shared" ca="1" si="101"/>
        <v>0</v>
      </c>
      <c r="Y814" s="13">
        <f t="shared" ca="1" si="102"/>
        <v>0</v>
      </c>
      <c r="Z814">
        <f t="shared" ca="1" si="104"/>
        <v>1</v>
      </c>
      <c r="AA814">
        <f t="shared" ca="1" si="105"/>
        <v>0</v>
      </c>
      <c r="AB814" s="24">
        <f t="shared" ca="1" si="106"/>
        <v>0.108996136057426</v>
      </c>
      <c r="AC814" s="24">
        <f t="shared" ca="1" si="107"/>
        <v>0</v>
      </c>
    </row>
    <row r="815" spans="3:29" x14ac:dyDescent="0.25">
      <c r="C815" s="6">
        <v>808</v>
      </c>
      <c r="D815" s="37">
        <v>43154</v>
      </c>
      <c r="E815" s="39">
        <v>15.757</v>
      </c>
      <c r="F815" s="39">
        <v>2.1030330531105355</v>
      </c>
      <c r="G815" s="39">
        <v>43.199502854909142</v>
      </c>
      <c r="H815" s="39">
        <v>68.025569519563589</v>
      </c>
      <c r="I815" s="10">
        <v>0</v>
      </c>
      <c r="J815" s="40">
        <v>1</v>
      </c>
      <c r="K815" s="40">
        <v>0</v>
      </c>
      <c r="L815" s="40">
        <v>0</v>
      </c>
      <c r="M815" s="40">
        <v>0</v>
      </c>
      <c r="N815" s="40">
        <v>0</v>
      </c>
      <c r="O815" s="40">
        <v>0</v>
      </c>
      <c r="P815" s="40">
        <v>0</v>
      </c>
      <c r="Q815" s="40">
        <v>0</v>
      </c>
      <c r="R815" s="40">
        <v>0</v>
      </c>
      <c r="S815" s="40">
        <v>0</v>
      </c>
      <c r="T815" s="29">
        <f t="array" aca="1" ref="T815" ca="1">+fair_value_gap(OFFSET(S814,0,0,-1*$I$5,-1*$Z$1),OFFSET(E814,0,0,-1*$I$5,1),F815:S815,0)</f>
        <v>15.897399255075015</v>
      </c>
      <c r="U815" s="9" cm="1">
        <f t="array" aca="1" ref="U815" ca="1">z_score_diff(OFFSET(T815,0,0,$I$5*-1,1),OFFSET(E815,0,0,$I$5*-1,1))</f>
        <v>0.39429129256178119</v>
      </c>
      <c r="V815" s="9">
        <f t="shared" ca="1" si="103"/>
        <v>-5.1350888316050152E-3</v>
      </c>
      <c r="W815" s="17">
        <f t="shared" ca="1" si="100"/>
        <v>0.10159637982488541</v>
      </c>
      <c r="X815" s="13">
        <f t="shared" ca="1" si="101"/>
        <v>0</v>
      </c>
      <c r="Y815" s="13">
        <f t="shared" ca="1" si="102"/>
        <v>0</v>
      </c>
      <c r="Z815">
        <f t="shared" ca="1" si="104"/>
        <v>1</v>
      </c>
      <c r="AA815">
        <f t="shared" ca="1" si="105"/>
        <v>0</v>
      </c>
      <c r="AB815" s="24">
        <f t="shared" ca="1" si="106"/>
        <v>0.10159637982488541</v>
      </c>
      <c r="AC815" s="24">
        <f t="shared" ca="1" si="107"/>
        <v>0</v>
      </c>
    </row>
    <row r="816" spans="3:29" x14ac:dyDescent="0.25">
      <c r="C816" s="6">
        <v>809</v>
      </c>
      <c r="D816" s="37">
        <v>43157</v>
      </c>
      <c r="E816" s="39">
        <v>15.590999999999999</v>
      </c>
      <c r="F816" s="39">
        <v>2.1057439194799565</v>
      </c>
      <c r="G816" s="39">
        <v>42.67254599522601</v>
      </c>
      <c r="H816" s="39">
        <v>65.712259530802029</v>
      </c>
      <c r="I816" s="10">
        <v>0</v>
      </c>
      <c r="J816" s="40">
        <v>1</v>
      </c>
      <c r="K816" s="40">
        <v>0</v>
      </c>
      <c r="L816" s="40">
        <v>0</v>
      </c>
      <c r="M816" s="40">
        <v>0</v>
      </c>
      <c r="N816" s="40">
        <v>0</v>
      </c>
      <c r="O816" s="40">
        <v>0</v>
      </c>
      <c r="P816" s="40">
        <v>0</v>
      </c>
      <c r="Q816" s="40">
        <v>0</v>
      </c>
      <c r="R816" s="40">
        <v>0</v>
      </c>
      <c r="S816" s="40">
        <v>0</v>
      </c>
      <c r="T816" s="29">
        <f t="array" aca="1" ref="T816" ca="1">+fair_value_gap(OFFSET(S815,0,0,-1*$I$5,-1*$Z$1),OFFSET(E815,0,0,-1*$I$5,1),F816:S816,0)</f>
        <v>15.637071646358786</v>
      </c>
      <c r="U816" s="9" cm="1">
        <f t="array" aca="1" ref="U816" ca="1">z_score_diff(OFFSET(T816,0,0,$I$5*-1,1),OFFSET(E816,0,0,$I$5*-1,1))</f>
        <v>0.27827111178622554</v>
      </c>
      <c r="V816" s="9">
        <f t="shared" ca="1" si="103"/>
        <v>4.8620637198208087E-3</v>
      </c>
      <c r="W816" s="17">
        <f t="shared" ca="1" si="100"/>
        <v>0.1197267123792371</v>
      </c>
      <c r="X816" s="13">
        <f t="shared" ca="1" si="101"/>
        <v>0</v>
      </c>
      <c r="Y816" s="13">
        <f t="shared" ca="1" si="102"/>
        <v>0</v>
      </c>
      <c r="Z816">
        <f t="shared" ca="1" si="104"/>
        <v>0</v>
      </c>
      <c r="AA816">
        <f t="shared" ca="1" si="105"/>
        <v>1</v>
      </c>
      <c r="AB816" s="24">
        <f t="shared" ca="1" si="106"/>
        <v>0</v>
      </c>
      <c r="AC816" s="24">
        <f t="shared" ca="1" si="107"/>
        <v>0.1197267123792371</v>
      </c>
    </row>
    <row r="817" spans="3:29" x14ac:dyDescent="0.25">
      <c r="C817" s="6">
        <v>810</v>
      </c>
      <c r="D817" s="37">
        <v>43158</v>
      </c>
      <c r="E817" s="39">
        <v>15.624000000000001</v>
      </c>
      <c r="F817" s="39">
        <v>2.1095628304252263</v>
      </c>
      <c r="G817" s="39">
        <v>42.716087906209601</v>
      </c>
      <c r="H817" s="39">
        <v>65.967803959944106</v>
      </c>
      <c r="I817" s="10">
        <v>0</v>
      </c>
      <c r="J817" s="40">
        <v>1</v>
      </c>
      <c r="K817" s="40">
        <v>0</v>
      </c>
      <c r="L817" s="40">
        <v>0</v>
      </c>
      <c r="M817" s="40">
        <v>0</v>
      </c>
      <c r="N817" s="40">
        <v>0</v>
      </c>
      <c r="O817" s="40">
        <v>0</v>
      </c>
      <c r="P817" s="40">
        <v>0</v>
      </c>
      <c r="Q817" s="40">
        <v>0</v>
      </c>
      <c r="R817" s="40">
        <v>0</v>
      </c>
      <c r="S817" s="40">
        <v>0</v>
      </c>
      <c r="T817" s="29">
        <f t="array" aca="1" ref="T817" ca="1">+fair_value_gap(OFFSET(S816,0,0,-1*$I$5,-1*$Z$1),OFFSET(E816,0,0,-1*$I$5,1),F817:S817,0)</f>
        <v>15.661458711542801</v>
      </c>
      <c r="U817" s="9" cm="1">
        <f t="array" aca="1" ref="U817" ca="1">z_score_diff(OFFSET(T817,0,0,$I$5*-1,1),OFFSET(E817,0,0,$I$5*-1,1))</f>
        <v>0.25798535242810705</v>
      </c>
      <c r="V817" s="9">
        <f t="shared" ca="1" si="103"/>
        <v>1.5000830242895573E-2</v>
      </c>
      <c r="W817" s="17">
        <f t="shared" ca="1" si="100"/>
        <v>0.12667550738343744</v>
      </c>
      <c r="X817" s="13">
        <f t="shared" ca="1" si="101"/>
        <v>0</v>
      </c>
      <c r="Y817" s="13">
        <f t="shared" ca="1" si="102"/>
        <v>0</v>
      </c>
      <c r="Z817">
        <f t="shared" ca="1" si="104"/>
        <v>0</v>
      </c>
      <c r="AA817">
        <f t="shared" ca="1" si="105"/>
        <v>1</v>
      </c>
      <c r="AB817" s="24">
        <f t="shared" ca="1" si="106"/>
        <v>0</v>
      </c>
      <c r="AC817" s="24">
        <f t="shared" ca="1" si="107"/>
        <v>0.12667550738343744</v>
      </c>
    </row>
    <row r="818" spans="3:29" x14ac:dyDescent="0.25">
      <c r="C818" s="6">
        <v>811</v>
      </c>
      <c r="D818" s="37">
        <v>43159</v>
      </c>
      <c r="E818" s="39">
        <v>15.837999999999999</v>
      </c>
      <c r="F818" s="39">
        <v>2.0942482212992801</v>
      </c>
      <c r="G818" s="39">
        <v>44.277936690182756</v>
      </c>
      <c r="H818" s="39">
        <v>66.165081290207326</v>
      </c>
      <c r="I818" s="10">
        <v>0</v>
      </c>
      <c r="J818" s="40">
        <v>1</v>
      </c>
      <c r="K818" s="40">
        <v>0</v>
      </c>
      <c r="L818" s="40">
        <v>0</v>
      </c>
      <c r="M818" s="40">
        <v>0</v>
      </c>
      <c r="N818" s="40">
        <v>0</v>
      </c>
      <c r="O818" s="40">
        <v>0</v>
      </c>
      <c r="P818" s="40">
        <v>0</v>
      </c>
      <c r="Q818" s="40">
        <v>0</v>
      </c>
      <c r="R818" s="40">
        <v>0</v>
      </c>
      <c r="S818" s="40">
        <v>0</v>
      </c>
      <c r="T818" s="29">
        <f t="array" aca="1" ref="T818" ca="1">+fair_value_gap(OFFSET(S817,0,0,-1*$I$5,-1*$Z$1),OFFSET(E817,0,0,-1*$I$5,1),F818:S818,0)</f>
        <v>16.063074049744433</v>
      </c>
      <c r="U818" s="9" cm="1">
        <f t="array" aca="1" ref="U818" ca="1">z_score_diff(OFFSET(T818,0,0,$I$5*-1,1),OFFSET(E818,0,0,$I$5*-1,1))</f>
        <v>0.49383731624962091</v>
      </c>
      <c r="V818" s="9">
        <f t="shared" ca="1" si="103"/>
        <v>3.6218428292979367E-2</v>
      </c>
      <c r="W818" s="17">
        <f t="shared" ca="1" si="100"/>
        <v>0.11830204618150399</v>
      </c>
      <c r="X818" s="13">
        <f t="shared" ca="1" si="101"/>
        <v>0</v>
      </c>
      <c r="Y818" s="13">
        <f t="shared" ca="1" si="102"/>
        <v>0</v>
      </c>
      <c r="Z818">
        <f t="shared" ca="1" si="104"/>
        <v>0</v>
      </c>
      <c r="AA818">
        <f t="shared" ca="1" si="105"/>
        <v>1</v>
      </c>
      <c r="AB818" s="24">
        <f t="shared" ca="1" si="106"/>
        <v>0</v>
      </c>
      <c r="AC818" s="24">
        <f t="shared" ca="1" si="107"/>
        <v>0.11830204618150399</v>
      </c>
    </row>
    <row r="819" spans="3:29" x14ac:dyDescent="0.25">
      <c r="C819" s="6">
        <v>812</v>
      </c>
      <c r="D819" s="37">
        <v>43160</v>
      </c>
      <c r="E819" s="39">
        <v>15.750999999999999</v>
      </c>
      <c r="F819" s="39">
        <v>2.0954138832481566</v>
      </c>
      <c r="G819" s="39">
        <v>43.941956969921229</v>
      </c>
      <c r="H819" s="39">
        <v>65.530441620567828</v>
      </c>
      <c r="I819" s="10">
        <v>0</v>
      </c>
      <c r="J819" s="40">
        <v>0</v>
      </c>
      <c r="K819" s="40">
        <v>1</v>
      </c>
      <c r="L819" s="40">
        <v>0</v>
      </c>
      <c r="M819" s="40">
        <v>0</v>
      </c>
      <c r="N819" s="40">
        <v>0</v>
      </c>
      <c r="O819" s="40">
        <v>0</v>
      </c>
      <c r="P819" s="40">
        <v>0</v>
      </c>
      <c r="Q819" s="40">
        <v>0</v>
      </c>
      <c r="R819" s="40">
        <v>0</v>
      </c>
      <c r="S819" s="40">
        <v>0</v>
      </c>
      <c r="T819" s="29">
        <f t="array" aca="1" ref="T819" ca="1">+fair_value_gap(OFFSET(S818,0,0,-1*$I$5,-1*$Z$1),OFFSET(E818,0,0,-1*$I$5,1),F819:S819,0)</f>
        <v>15.138338253970717</v>
      </c>
      <c r="U819" s="9" cm="1">
        <f t="array" aca="1" ref="U819" ca="1">z_score_diff(OFFSET(T819,0,0,$I$5*-1,1),OFFSET(E819,0,0,$I$5*-1,1))</f>
        <v>-0.67015664604806657</v>
      </c>
      <c r="V819" s="9">
        <f t="shared" ca="1" si="103"/>
        <v>1.9744931206333239E-2</v>
      </c>
      <c r="W819" s="17">
        <f t="shared" ca="1" si="100"/>
        <v>0.1260515806314319</v>
      </c>
      <c r="X819" s="13">
        <f t="shared" ca="1" si="101"/>
        <v>0</v>
      </c>
      <c r="Y819" s="13">
        <f t="shared" ca="1" si="102"/>
        <v>0</v>
      </c>
      <c r="Z819">
        <f t="shared" ca="1" si="104"/>
        <v>0</v>
      </c>
      <c r="AA819">
        <f t="shared" ca="1" si="105"/>
        <v>1</v>
      </c>
      <c r="AB819" s="24">
        <f t="shared" ca="1" si="106"/>
        <v>0</v>
      </c>
      <c r="AC819" s="24">
        <f t="shared" ca="1" si="107"/>
        <v>0.1260515806314319</v>
      </c>
    </row>
    <row r="820" spans="3:29" x14ac:dyDescent="0.25">
      <c r="C820" s="6">
        <v>813</v>
      </c>
      <c r="D820" s="37">
        <v>43161</v>
      </c>
      <c r="E820" s="39">
        <v>15.879</v>
      </c>
      <c r="F820" s="39">
        <v>2.0781199336615095</v>
      </c>
      <c r="G820" s="39">
        <v>44.58708411438424</v>
      </c>
      <c r="H820" s="39">
        <v>65.004274147381295</v>
      </c>
      <c r="I820" s="10">
        <v>0</v>
      </c>
      <c r="J820" s="40">
        <v>0</v>
      </c>
      <c r="K820" s="40">
        <v>1</v>
      </c>
      <c r="L820" s="40">
        <v>0</v>
      </c>
      <c r="M820" s="40">
        <v>0</v>
      </c>
      <c r="N820" s="40">
        <v>0</v>
      </c>
      <c r="O820" s="40">
        <v>0</v>
      </c>
      <c r="P820" s="40">
        <v>0</v>
      </c>
      <c r="Q820" s="40">
        <v>0</v>
      </c>
      <c r="R820" s="40">
        <v>0</v>
      </c>
      <c r="S820" s="40">
        <v>0</v>
      </c>
      <c r="T820" s="29">
        <f t="array" aca="1" ref="T820" ca="1">+fair_value_gap(OFFSET(S819,0,0,-1*$I$5,-1*$Z$1),OFFSET(E819,0,0,-1*$I$5,1),F820:S820,0)</f>
        <v>15.547423481380116</v>
      </c>
      <c r="U820" s="9" cm="1">
        <f t="array" aca="1" ref="U820" ca="1">z_score_diff(OFFSET(T820,0,0,$I$5*-1,1),OFFSET(E820,0,0,$I$5*-1,1))</f>
        <v>-0.2827262443017029</v>
      </c>
      <c r="V820" s="9">
        <f t="shared" ca="1" si="103"/>
        <v>1.4095778139250248E-2</v>
      </c>
      <c r="W820" s="17">
        <f t="shared" ca="1" si="100"/>
        <v>0.11436950087876541</v>
      </c>
      <c r="X820" s="13">
        <f t="shared" ca="1" si="101"/>
        <v>0</v>
      </c>
      <c r="Y820" s="13">
        <f t="shared" ca="1" si="102"/>
        <v>0</v>
      </c>
      <c r="Z820">
        <f t="shared" ca="1" si="104"/>
        <v>0</v>
      </c>
      <c r="AA820">
        <f t="shared" ca="1" si="105"/>
        <v>1</v>
      </c>
      <c r="AB820" s="24">
        <f t="shared" ca="1" si="106"/>
        <v>0</v>
      </c>
      <c r="AC820" s="24">
        <f t="shared" ca="1" si="107"/>
        <v>0.11436950087876541</v>
      </c>
    </row>
    <row r="821" spans="3:29" x14ac:dyDescent="0.25">
      <c r="C821" s="6">
        <v>814</v>
      </c>
      <c r="D821" s="37">
        <v>43164</v>
      </c>
      <c r="E821" s="39">
        <v>15.943</v>
      </c>
      <c r="F821" s="39">
        <v>2.0799078421750736</v>
      </c>
      <c r="G821" s="39">
        <v>44.63200324756405</v>
      </c>
      <c r="H821" s="39">
        <v>65.738421549178625</v>
      </c>
      <c r="I821" s="10">
        <v>0</v>
      </c>
      <c r="J821" s="40">
        <v>0</v>
      </c>
      <c r="K821" s="40">
        <v>1</v>
      </c>
      <c r="L821" s="40">
        <v>0</v>
      </c>
      <c r="M821" s="40">
        <v>0</v>
      </c>
      <c r="N821" s="40">
        <v>0</v>
      </c>
      <c r="O821" s="40">
        <v>0</v>
      </c>
      <c r="P821" s="40">
        <v>0</v>
      </c>
      <c r="Q821" s="40">
        <v>0</v>
      </c>
      <c r="R821" s="40">
        <v>0</v>
      </c>
      <c r="S821" s="40">
        <v>0</v>
      </c>
      <c r="T821" s="29">
        <f t="array" aca="1" ref="T821" ca="1">+fair_value_gap(OFFSET(S820,0,0,-1*$I$5,-1*$Z$1),OFFSET(E820,0,0,-1*$I$5,1),F821:S821,0)</f>
        <v>15.713785108465109</v>
      </c>
      <c r="U821" s="9" cm="1">
        <f t="array" aca="1" ref="U821" ca="1">z_score_diff(OFFSET(T821,0,0,$I$5*-1,1),OFFSET(E821,0,0,$I$5*-1,1))</f>
        <v>-0.14021495465305578</v>
      </c>
      <c r="V821" s="9">
        <f t="shared" ca="1" si="103"/>
        <v>1.0613675145309883E-2</v>
      </c>
      <c r="W821" s="17">
        <f t="shared" ca="1" si="100"/>
        <v>0.11236721034390229</v>
      </c>
      <c r="X821" s="13">
        <f t="shared" ca="1" si="101"/>
        <v>0</v>
      </c>
      <c r="Y821" s="13">
        <f t="shared" ca="1" si="102"/>
        <v>0</v>
      </c>
      <c r="Z821">
        <f t="shared" ca="1" si="104"/>
        <v>0</v>
      </c>
      <c r="AA821">
        <f t="shared" ca="1" si="105"/>
        <v>1</v>
      </c>
      <c r="AB821" s="24">
        <f t="shared" ca="1" si="106"/>
        <v>0</v>
      </c>
      <c r="AC821" s="24">
        <f t="shared" ca="1" si="107"/>
        <v>0.11236721034390229</v>
      </c>
    </row>
    <row r="822" spans="3:29" x14ac:dyDescent="0.25">
      <c r="C822" s="6">
        <v>815</v>
      </c>
      <c r="D822" s="37">
        <v>43165</v>
      </c>
      <c r="E822" s="39">
        <v>16.050999999999998</v>
      </c>
      <c r="F822" s="39">
        <v>2.0781146099085306</v>
      </c>
      <c r="G822" s="39">
        <v>44.940738993796927</v>
      </c>
      <c r="H822" s="39">
        <v>65.109634607812694</v>
      </c>
      <c r="I822" s="10">
        <v>0</v>
      </c>
      <c r="J822" s="40">
        <v>0</v>
      </c>
      <c r="K822" s="40">
        <v>1</v>
      </c>
      <c r="L822" s="40">
        <v>0</v>
      </c>
      <c r="M822" s="40">
        <v>0</v>
      </c>
      <c r="N822" s="40">
        <v>0</v>
      </c>
      <c r="O822" s="40">
        <v>0</v>
      </c>
      <c r="P822" s="40">
        <v>0</v>
      </c>
      <c r="Q822" s="40">
        <v>0</v>
      </c>
      <c r="R822" s="40">
        <v>0</v>
      </c>
      <c r="S822" s="40">
        <v>0</v>
      </c>
      <c r="T822" s="29">
        <f t="array" aca="1" ref="T822" ca="1">+fair_value_gap(OFFSET(S821,0,0,-1*$I$5,-1*$Z$1),OFFSET(E821,0,0,-1*$I$5,1),F822:S822,0)</f>
        <v>15.815010468966744</v>
      </c>
      <c r="U822" s="9" cm="1">
        <f t="array" aca="1" ref="U822" ca="1">z_score_diff(OFFSET(T822,0,0,$I$5*-1,1),OFFSET(E822,0,0,$I$5*-1,1))</f>
        <v>-0.15903899510098074</v>
      </c>
      <c r="V822" s="9">
        <f t="shared" ca="1" si="103"/>
        <v>6.6816275138976509E-3</v>
      </c>
      <c r="W822" s="17">
        <f t="shared" ca="1" si="100"/>
        <v>0.12565044115166898</v>
      </c>
      <c r="X822" s="13">
        <f t="shared" ca="1" si="101"/>
        <v>0</v>
      </c>
      <c r="Y822" s="13">
        <f t="shared" ca="1" si="102"/>
        <v>0</v>
      </c>
      <c r="Z822">
        <f t="shared" ca="1" si="104"/>
        <v>0</v>
      </c>
      <c r="AA822">
        <f t="shared" ca="1" si="105"/>
        <v>1</v>
      </c>
      <c r="AB822" s="24">
        <f t="shared" ca="1" si="106"/>
        <v>0</v>
      </c>
      <c r="AC822" s="24">
        <f t="shared" ca="1" si="107"/>
        <v>0.12565044115166898</v>
      </c>
    </row>
    <row r="823" spans="3:29" x14ac:dyDescent="0.25">
      <c r="C823" s="6">
        <v>816</v>
      </c>
      <c r="D823" s="37">
        <v>43166</v>
      </c>
      <c r="E823" s="39">
        <v>15.973000000000001</v>
      </c>
      <c r="F823" s="39">
        <v>2.0841853769672101</v>
      </c>
      <c r="G823" s="39">
        <v>45.006732901886195</v>
      </c>
      <c r="H823" s="39">
        <v>64.350956483965405</v>
      </c>
      <c r="I823" s="10">
        <v>0</v>
      </c>
      <c r="J823" s="40">
        <v>0</v>
      </c>
      <c r="K823" s="40">
        <v>1</v>
      </c>
      <c r="L823" s="40">
        <v>0</v>
      </c>
      <c r="M823" s="40">
        <v>0</v>
      </c>
      <c r="N823" s="40">
        <v>0</v>
      </c>
      <c r="O823" s="40">
        <v>0</v>
      </c>
      <c r="P823" s="40">
        <v>0</v>
      </c>
      <c r="Q823" s="40">
        <v>0</v>
      </c>
      <c r="R823" s="40">
        <v>0</v>
      </c>
      <c r="S823" s="40">
        <v>0</v>
      </c>
      <c r="T823" s="29">
        <f t="array" aca="1" ref="T823" ca="1">+fair_value_gap(OFFSET(S822,0,0,-1*$I$5,-1*$Z$1),OFFSET(E822,0,0,-1*$I$5,1),F823:S823,0)</f>
        <v>15.832500089306459</v>
      </c>
      <c r="U823" s="9" cm="1">
        <f t="array" aca="1" ref="U823" ca="1">z_score_diff(OFFSET(T823,0,0,$I$5*-1,1),OFFSET(E823,0,0,$I$5*-1,1))</f>
        <v>-8.7033494620731844E-3</v>
      </c>
      <c r="V823" s="9">
        <f t="shared" ca="1" si="103"/>
        <v>7.8733040895904793E-5</v>
      </c>
      <c r="W823" s="17">
        <f t="shared" ca="1" si="100"/>
        <v>0.13791200471546969</v>
      </c>
      <c r="X823" s="13">
        <f t="shared" ca="1" si="101"/>
        <v>0</v>
      </c>
      <c r="Y823" s="13">
        <f t="shared" ca="1" si="102"/>
        <v>0</v>
      </c>
      <c r="Z823">
        <f t="shared" ca="1" si="104"/>
        <v>0</v>
      </c>
      <c r="AA823">
        <f t="shared" ca="1" si="105"/>
        <v>1</v>
      </c>
      <c r="AB823" s="24">
        <f t="shared" ca="1" si="106"/>
        <v>0</v>
      </c>
      <c r="AC823" s="24">
        <f t="shared" ca="1" si="107"/>
        <v>0.13791200471546969</v>
      </c>
    </row>
    <row r="824" spans="3:29" x14ac:dyDescent="0.25">
      <c r="C824" s="6">
        <v>817</v>
      </c>
      <c r="D824" s="37">
        <v>43167</v>
      </c>
      <c r="E824" s="39">
        <v>16.082000000000001</v>
      </c>
      <c r="F824" s="39">
        <v>2.1002710553143844</v>
      </c>
      <c r="G824" s="39">
        <v>45.522669519713844</v>
      </c>
      <c r="H824" s="39">
        <v>63.629283912389575</v>
      </c>
      <c r="I824" s="10">
        <v>0</v>
      </c>
      <c r="J824" s="40">
        <v>0</v>
      </c>
      <c r="K824" s="40">
        <v>1</v>
      </c>
      <c r="L824" s="40">
        <v>0</v>
      </c>
      <c r="M824" s="40">
        <v>0</v>
      </c>
      <c r="N824" s="40">
        <v>0</v>
      </c>
      <c r="O824" s="40">
        <v>0</v>
      </c>
      <c r="P824" s="40">
        <v>0</v>
      </c>
      <c r="Q824" s="40">
        <v>0</v>
      </c>
      <c r="R824" s="40">
        <v>0</v>
      </c>
      <c r="S824" s="40">
        <v>0</v>
      </c>
      <c r="T824" s="29">
        <f t="array" aca="1" ref="T824" ca="1">+fair_value_gap(OFFSET(S823,0,0,-1*$I$5,-1*$Z$1),OFFSET(E823,0,0,-1*$I$5,1),F824:S824,0)</f>
        <v>15.944270249674481</v>
      </c>
      <c r="U824" s="9" cm="1">
        <f t="array" aca="1" ref="U824" ca="1">z_score_diff(OFFSET(T824,0,0,$I$5*-1,1),OFFSET(E824,0,0,$I$5*-1,1))</f>
        <v>-2.1448679917679181E-2</v>
      </c>
      <c r="V824" s="9">
        <f t="shared" ca="1" si="103"/>
        <v>-1.8926483491761609E-3</v>
      </c>
      <c r="W824" s="17">
        <f t="shared" ca="1" si="100"/>
        <v>0.1729819708743095</v>
      </c>
      <c r="X824" s="13">
        <f t="shared" ca="1" si="101"/>
        <v>0</v>
      </c>
      <c r="Y824" s="13">
        <f t="shared" ca="1" si="102"/>
        <v>0</v>
      </c>
      <c r="Z824">
        <f t="shared" ca="1" si="104"/>
        <v>1</v>
      </c>
      <c r="AA824">
        <f t="shared" ca="1" si="105"/>
        <v>0</v>
      </c>
      <c r="AB824" s="24">
        <f t="shared" ca="1" si="106"/>
        <v>0.1729819708743095</v>
      </c>
      <c r="AC824" s="24">
        <f t="shared" ca="1" si="107"/>
        <v>0</v>
      </c>
    </row>
    <row r="825" spans="3:29" x14ac:dyDescent="0.25">
      <c r="C825" s="6">
        <v>818</v>
      </c>
      <c r="D825" s="37">
        <v>43168</v>
      </c>
      <c r="E825" s="39">
        <v>16.036000000000001</v>
      </c>
      <c r="F825" s="39">
        <v>2.0966852330901831</v>
      </c>
      <c r="G825" s="39">
        <v>45.360101638389672</v>
      </c>
      <c r="H825" s="39">
        <v>63.778383711264922</v>
      </c>
      <c r="I825" s="10">
        <v>0</v>
      </c>
      <c r="J825" s="40">
        <v>0</v>
      </c>
      <c r="K825" s="40">
        <v>1</v>
      </c>
      <c r="L825" s="40">
        <v>0</v>
      </c>
      <c r="M825" s="40">
        <v>0</v>
      </c>
      <c r="N825" s="40">
        <v>0</v>
      </c>
      <c r="O825" s="40">
        <v>0</v>
      </c>
      <c r="P825" s="40">
        <v>0</v>
      </c>
      <c r="Q825" s="40">
        <v>0</v>
      </c>
      <c r="R825" s="40">
        <v>0</v>
      </c>
      <c r="S825" s="40">
        <v>0</v>
      </c>
      <c r="T825" s="29">
        <f t="array" aca="1" ref="T825" ca="1">+fair_value_gap(OFFSET(S824,0,0,-1*$I$5,-1*$Z$1),OFFSET(E824,0,0,-1*$I$5,1),F825:S825,0)</f>
        <v>15.927386253868033</v>
      </c>
      <c r="U825" s="9" cm="1">
        <f t="array" aca="1" ref="U825" ca="1">z_score_diff(OFFSET(T825,0,0,$I$5*-1,1),OFFSET(E825,0,0,$I$5*-1,1))</f>
        <v>3.0281405879444057E-2</v>
      </c>
      <c r="V825" s="9">
        <f t="shared" ca="1" si="103"/>
        <v>-5.3464729496984741E-3</v>
      </c>
      <c r="W825" s="17">
        <f t="shared" ca="1" si="100"/>
        <v>0.1635317613841597</v>
      </c>
      <c r="X825" s="13">
        <f t="shared" ca="1" si="101"/>
        <v>0</v>
      </c>
      <c r="Y825" s="13">
        <f t="shared" ca="1" si="102"/>
        <v>0</v>
      </c>
      <c r="Z825">
        <f t="shared" ca="1" si="104"/>
        <v>1</v>
      </c>
      <c r="AA825">
        <f t="shared" ca="1" si="105"/>
        <v>0</v>
      </c>
      <c r="AB825" s="24">
        <f t="shared" ca="1" si="106"/>
        <v>0.1635317613841597</v>
      </c>
      <c r="AC825" s="24">
        <f t="shared" ca="1" si="107"/>
        <v>0</v>
      </c>
    </row>
    <row r="826" spans="3:29" x14ac:dyDescent="0.25">
      <c r="C826" s="6">
        <v>819</v>
      </c>
      <c r="D826" s="37">
        <v>43171</v>
      </c>
      <c r="E826" s="39">
        <v>15.922000000000001</v>
      </c>
      <c r="F826" s="39">
        <v>2.1018844962212526</v>
      </c>
      <c r="G826" s="39">
        <v>44.969499572165944</v>
      </c>
      <c r="H826" s="39">
        <v>62.359777595072529</v>
      </c>
      <c r="I826" s="10">
        <v>0</v>
      </c>
      <c r="J826" s="40">
        <v>0</v>
      </c>
      <c r="K826" s="40">
        <v>1</v>
      </c>
      <c r="L826" s="40">
        <v>0</v>
      </c>
      <c r="M826" s="40">
        <v>0</v>
      </c>
      <c r="N826" s="40">
        <v>0</v>
      </c>
      <c r="O826" s="40">
        <v>0</v>
      </c>
      <c r="P826" s="40">
        <v>0</v>
      </c>
      <c r="Q826" s="40">
        <v>0</v>
      </c>
      <c r="R826" s="40">
        <v>0</v>
      </c>
      <c r="S826" s="40">
        <v>0</v>
      </c>
      <c r="T826" s="29">
        <f t="array" aca="1" ref="T826" ca="1">+fair_value_gap(OFFSET(S825,0,0,-1*$I$5,-1*$Z$1),OFFSET(E825,0,0,-1*$I$5,1),F826:S826,0)</f>
        <v>15.73658102369761</v>
      </c>
      <c r="U826" s="9" cm="1">
        <f t="array" aca="1" ref="U826" ca="1">z_score_diff(OFFSET(T826,0,0,$I$5*-1,1),OFFSET(E826,0,0,$I$5*-1,1))</f>
        <v>-5.5487695717049812E-2</v>
      </c>
      <c r="V826" s="9">
        <f t="shared" ca="1" si="103"/>
        <v>-8.8570441628654066E-3</v>
      </c>
      <c r="W826" s="17">
        <f t="shared" ca="1" si="100"/>
        <v>0.15819796328892374</v>
      </c>
      <c r="X826" s="13">
        <f t="shared" ca="1" si="101"/>
        <v>0</v>
      </c>
      <c r="Y826" s="13">
        <f t="shared" ca="1" si="102"/>
        <v>0</v>
      </c>
      <c r="Z826">
        <f t="shared" ca="1" si="104"/>
        <v>1</v>
      </c>
      <c r="AA826">
        <f t="shared" ca="1" si="105"/>
        <v>0</v>
      </c>
      <c r="AB826" s="24">
        <f t="shared" ca="1" si="106"/>
        <v>0.15819796328892374</v>
      </c>
      <c r="AC826" s="24">
        <f t="shared" ca="1" si="107"/>
        <v>0</v>
      </c>
    </row>
    <row r="827" spans="3:29" x14ac:dyDescent="0.25">
      <c r="C827" s="6">
        <v>820</v>
      </c>
      <c r="D827" s="37">
        <v>43172</v>
      </c>
      <c r="E827" s="39">
        <v>15.772</v>
      </c>
      <c r="F827" s="39">
        <v>2.0944886502920874</v>
      </c>
      <c r="G827" s="39">
        <v>44.599170751426449</v>
      </c>
      <c r="H827" s="39">
        <v>62.595685831327749</v>
      </c>
      <c r="I827" s="10">
        <v>0</v>
      </c>
      <c r="J827" s="40">
        <v>0</v>
      </c>
      <c r="K827" s="40">
        <v>1</v>
      </c>
      <c r="L827" s="40">
        <v>0</v>
      </c>
      <c r="M827" s="40">
        <v>0</v>
      </c>
      <c r="N827" s="40">
        <v>0</v>
      </c>
      <c r="O827" s="40">
        <v>0</v>
      </c>
      <c r="P827" s="40">
        <v>0</v>
      </c>
      <c r="Q827" s="40">
        <v>0</v>
      </c>
      <c r="R827" s="40">
        <v>0</v>
      </c>
      <c r="S827" s="40">
        <v>0</v>
      </c>
      <c r="T827" s="29">
        <f t="array" aca="1" ref="T827" ca="1">+fair_value_gap(OFFSET(S826,0,0,-1*$I$5,-1*$Z$1),OFFSET(E826,0,0,-1*$I$5,1),F827:S827,0)</f>
        <v>15.669759386359864</v>
      </c>
      <c r="U827" s="9" cm="1">
        <f t="array" aca="1" ref="U827" ca="1">z_score_diff(OFFSET(T827,0,0,$I$5*-1,1),OFFSET(E827,0,0,$I$5*-1,1))</f>
        <v>9.3572684936466866E-2</v>
      </c>
      <c r="V827" s="9">
        <f t="shared" ca="1" si="103"/>
        <v>-8.3755535069674081E-3</v>
      </c>
      <c r="W827" s="17">
        <f t="shared" ca="1" si="100"/>
        <v>0.17167671650131652</v>
      </c>
      <c r="X827" s="13">
        <f t="shared" ca="1" si="101"/>
        <v>0</v>
      </c>
      <c r="Y827" s="13">
        <f t="shared" ca="1" si="102"/>
        <v>0</v>
      </c>
      <c r="Z827">
        <f t="shared" ca="1" si="104"/>
        <v>1</v>
      </c>
      <c r="AA827">
        <f t="shared" ca="1" si="105"/>
        <v>0</v>
      </c>
      <c r="AB827" s="24">
        <f t="shared" ca="1" si="106"/>
        <v>0.17167671650131652</v>
      </c>
      <c r="AC827" s="24">
        <f t="shared" ca="1" si="107"/>
        <v>0</v>
      </c>
    </row>
    <row r="828" spans="3:29" x14ac:dyDescent="0.25">
      <c r="C828" s="6">
        <v>821</v>
      </c>
      <c r="D828" s="37">
        <v>43173</v>
      </c>
      <c r="E828" s="39">
        <v>15.6</v>
      </c>
      <c r="F828" s="39">
        <v>2.102817095084105</v>
      </c>
      <c r="G828" s="39">
        <v>44.05525161390252</v>
      </c>
      <c r="H828" s="39">
        <v>62.188382128681283</v>
      </c>
      <c r="I828" s="10">
        <v>0</v>
      </c>
      <c r="J828" s="40">
        <v>0</v>
      </c>
      <c r="K828" s="40">
        <v>1</v>
      </c>
      <c r="L828" s="40">
        <v>0</v>
      </c>
      <c r="M828" s="40">
        <v>0</v>
      </c>
      <c r="N828" s="40">
        <v>0</v>
      </c>
      <c r="O828" s="40">
        <v>0</v>
      </c>
      <c r="P828" s="40">
        <v>0</v>
      </c>
      <c r="Q828" s="40">
        <v>0</v>
      </c>
      <c r="R828" s="40">
        <v>0</v>
      </c>
      <c r="S828" s="40">
        <v>0</v>
      </c>
      <c r="T828" s="29">
        <f t="array" aca="1" ref="T828" ca="1">+fair_value_gap(OFFSET(S827,0,0,-1*$I$5,-1*$Z$1),OFFSET(E827,0,0,-1*$I$5,1),F828:S828,0)</f>
        <v>15.498998628835889</v>
      </c>
      <c r="U828" s="9" cm="1">
        <f t="array" aca="1" ref="U828" ca="1">z_score_diff(OFFSET(T828,0,0,$I$5*-1,1),OFFSET(E828,0,0,$I$5*-1,1))</f>
        <v>0.13198635344116205</v>
      </c>
      <c r="V828" s="9">
        <f t="shared" ca="1" si="103"/>
        <v>-7.6083289103709567E-3</v>
      </c>
      <c r="W828" s="17">
        <f t="shared" ca="1" si="100"/>
        <v>0.201369751764649</v>
      </c>
      <c r="X828" s="13">
        <f t="shared" ca="1" si="101"/>
        <v>0</v>
      </c>
      <c r="Y828" s="13">
        <f t="shared" ca="1" si="102"/>
        <v>0</v>
      </c>
      <c r="Z828">
        <f t="shared" ca="1" si="104"/>
        <v>1</v>
      </c>
      <c r="AA828">
        <f t="shared" ca="1" si="105"/>
        <v>0</v>
      </c>
      <c r="AB828" s="24">
        <f t="shared" ca="1" si="106"/>
        <v>0.201369751764649</v>
      </c>
      <c r="AC828" s="24">
        <f t="shared" ca="1" si="107"/>
        <v>0</v>
      </c>
    </row>
    <row r="829" spans="3:29" x14ac:dyDescent="0.25">
      <c r="C829" s="6">
        <v>822</v>
      </c>
      <c r="D829" s="37">
        <v>43174</v>
      </c>
      <c r="E829" s="39">
        <v>15.702999999999999</v>
      </c>
      <c r="F829" s="39">
        <v>2.1016849180047967</v>
      </c>
      <c r="G829" s="39">
        <v>44.509513589654006</v>
      </c>
      <c r="H829" s="39">
        <v>62.282206303502555</v>
      </c>
      <c r="I829" s="10">
        <v>0</v>
      </c>
      <c r="J829" s="40">
        <v>0</v>
      </c>
      <c r="K829" s="40">
        <v>1</v>
      </c>
      <c r="L829" s="40">
        <v>0</v>
      </c>
      <c r="M829" s="40">
        <v>0</v>
      </c>
      <c r="N829" s="40">
        <v>0</v>
      </c>
      <c r="O829" s="40">
        <v>0</v>
      </c>
      <c r="P829" s="40">
        <v>0</v>
      </c>
      <c r="Q829" s="40">
        <v>0</v>
      </c>
      <c r="R829" s="40">
        <v>0</v>
      </c>
      <c r="S829" s="40">
        <v>0</v>
      </c>
      <c r="T829" s="29">
        <f t="array" aca="1" ref="T829" ca="1">+fair_value_gap(OFFSET(S828,0,0,-1*$I$5,-1*$Z$1),OFFSET(E828,0,0,-1*$I$5,1),F829:S829,0)</f>
        <v>15.63851817206818</v>
      </c>
      <c r="U829" s="9" cm="1">
        <f t="array" aca="1" ref="U829" ca="1">z_score_diff(OFFSET(T829,0,0,$I$5*-1,1),OFFSET(E829,0,0,$I$5*-1,1))</f>
        <v>0.17009451419568311</v>
      </c>
      <c r="V829" s="9">
        <f t="shared" ca="1" si="103"/>
        <v>-8.6060207303872444E-3</v>
      </c>
      <c r="W829" s="17">
        <f t="shared" ca="1" si="100"/>
        <v>0.20997694763816591</v>
      </c>
      <c r="X829" s="13">
        <f t="shared" ca="1" si="101"/>
        <v>0</v>
      </c>
      <c r="Y829" s="13">
        <f t="shared" ca="1" si="102"/>
        <v>0</v>
      </c>
      <c r="Z829">
        <f t="shared" ca="1" si="104"/>
        <v>1</v>
      </c>
      <c r="AA829">
        <f t="shared" ca="1" si="105"/>
        <v>0</v>
      </c>
      <c r="AB829" s="24">
        <f t="shared" ca="1" si="106"/>
        <v>0.20997694763816591</v>
      </c>
      <c r="AC829" s="24">
        <f t="shared" ca="1" si="107"/>
        <v>0</v>
      </c>
    </row>
    <row r="830" spans="3:29" x14ac:dyDescent="0.25">
      <c r="C830" s="6">
        <v>823</v>
      </c>
      <c r="D830" s="37">
        <v>43175</v>
      </c>
      <c r="E830" s="39">
        <v>15.829000000000001</v>
      </c>
      <c r="F830" s="39">
        <v>2.1027127792252598</v>
      </c>
      <c r="G830" s="39">
        <v>44.409787481727335</v>
      </c>
      <c r="H830" s="39">
        <v>61.659371408545582</v>
      </c>
      <c r="I830" s="10">
        <v>0</v>
      </c>
      <c r="J830" s="40">
        <v>0</v>
      </c>
      <c r="K830" s="40">
        <v>1</v>
      </c>
      <c r="L830" s="40">
        <v>0</v>
      </c>
      <c r="M830" s="40">
        <v>0</v>
      </c>
      <c r="N830" s="40">
        <v>0</v>
      </c>
      <c r="O830" s="40">
        <v>0</v>
      </c>
      <c r="P830" s="40">
        <v>0</v>
      </c>
      <c r="Q830" s="40">
        <v>0</v>
      </c>
      <c r="R830" s="40">
        <v>0</v>
      </c>
      <c r="S830" s="40">
        <v>0</v>
      </c>
      <c r="T830" s="29">
        <f t="array" aca="1" ref="T830" ca="1">+fair_value_gap(OFFSET(S829,0,0,-1*$I$5,-1*$Z$1),OFFSET(E829,0,0,-1*$I$5,1),F830:S830,0)</f>
        <v>15.574353387782544</v>
      </c>
      <c r="U830" s="9" cm="1">
        <f t="array" aca="1" ref="U830" ca="1">z_score_diff(OFFSET(T830,0,0,$I$5*-1,1),OFFSET(E830,0,0,$I$5*-1,1))</f>
        <v>-0.11622735961576613</v>
      </c>
      <c r="V830" s="9">
        <f t="shared" ca="1" si="103"/>
        <v>-1.8908645090326366E-2</v>
      </c>
      <c r="W830" s="17">
        <f t="shared" ca="1" si="100"/>
        <v>0.19530365753482046</v>
      </c>
      <c r="X830" s="13">
        <f t="shared" ca="1" si="101"/>
        <v>0</v>
      </c>
      <c r="Y830" s="13">
        <f t="shared" ca="1" si="102"/>
        <v>0</v>
      </c>
      <c r="Z830">
        <f t="shared" ca="1" si="104"/>
        <v>1</v>
      </c>
      <c r="AA830">
        <f t="shared" ca="1" si="105"/>
        <v>0</v>
      </c>
      <c r="AB830" s="24">
        <f t="shared" ca="1" si="106"/>
        <v>0.19530365753482046</v>
      </c>
      <c r="AC830" s="24">
        <f t="shared" ca="1" si="107"/>
        <v>0</v>
      </c>
    </row>
    <row r="831" spans="3:29" x14ac:dyDescent="0.25">
      <c r="C831" s="6">
        <v>824</v>
      </c>
      <c r="D831" s="37">
        <v>43178</v>
      </c>
      <c r="E831" s="39">
        <v>15.801</v>
      </c>
      <c r="F831" s="39">
        <v>2.0894685828773505</v>
      </c>
      <c r="G831" s="39">
        <v>44.329931329230149</v>
      </c>
      <c r="H831" s="39">
        <v>60.462206862808841</v>
      </c>
      <c r="I831" s="10">
        <v>0</v>
      </c>
      <c r="J831" s="40">
        <v>0</v>
      </c>
      <c r="K831" s="40">
        <v>1</v>
      </c>
      <c r="L831" s="40">
        <v>0</v>
      </c>
      <c r="M831" s="40">
        <v>0</v>
      </c>
      <c r="N831" s="40">
        <v>0</v>
      </c>
      <c r="O831" s="40">
        <v>0</v>
      </c>
      <c r="P831" s="40">
        <v>0</v>
      </c>
      <c r="Q831" s="40">
        <v>0</v>
      </c>
      <c r="R831" s="40">
        <v>0</v>
      </c>
      <c r="S831" s="40">
        <v>0</v>
      </c>
      <c r="T831" s="29">
        <f t="array" aca="1" ref="T831" ca="1">+fair_value_gap(OFFSET(S830,0,0,-1*$I$5,-1*$Z$1),OFFSET(E830,0,0,-1*$I$5,1),F831:S831,0)</f>
        <v>15.491816237681721</v>
      </c>
      <c r="U831" s="9" cm="1">
        <f t="array" aca="1" ref="U831" ca="1">z_score_diff(OFFSET(T831,0,0,$I$5*-1,1),OFFSET(E831,0,0,$I$5*-1,1))</f>
        <v>-0.1801628465871401</v>
      </c>
      <c r="V831" s="9">
        <f t="shared" ca="1" si="103"/>
        <v>-2.7832489510482176E-2</v>
      </c>
      <c r="W831" s="17">
        <f t="shared" ca="1" si="100"/>
        <v>0.21515016775308854</v>
      </c>
      <c r="X831" s="13">
        <f t="shared" ca="1" si="101"/>
        <v>0</v>
      </c>
      <c r="Y831" s="13">
        <f t="shared" ca="1" si="102"/>
        <v>0</v>
      </c>
      <c r="Z831">
        <f t="shared" ca="1" si="104"/>
        <v>1</v>
      </c>
      <c r="AA831">
        <f t="shared" ca="1" si="105"/>
        <v>0</v>
      </c>
      <c r="AB831" s="24">
        <f t="shared" ca="1" si="106"/>
        <v>0.21515016775308854</v>
      </c>
      <c r="AC831" s="24">
        <f t="shared" ca="1" si="107"/>
        <v>0</v>
      </c>
    </row>
    <row r="832" spans="3:29" x14ac:dyDescent="0.25">
      <c r="C832" s="6">
        <v>825</v>
      </c>
      <c r="D832" s="37">
        <v>43179</v>
      </c>
      <c r="E832" s="39">
        <v>16.102</v>
      </c>
      <c r="F832" s="39">
        <v>2.1100978240103556</v>
      </c>
      <c r="G832" s="39">
        <v>44.951037275678438</v>
      </c>
      <c r="H832" s="39">
        <v>62.265820860024711</v>
      </c>
      <c r="I832" s="10">
        <v>0</v>
      </c>
      <c r="J832" s="40">
        <v>0</v>
      </c>
      <c r="K832" s="40">
        <v>1</v>
      </c>
      <c r="L832" s="40">
        <v>0</v>
      </c>
      <c r="M832" s="40">
        <v>0</v>
      </c>
      <c r="N832" s="40">
        <v>0</v>
      </c>
      <c r="O832" s="40">
        <v>0</v>
      </c>
      <c r="P832" s="40">
        <v>0</v>
      </c>
      <c r="Q832" s="40">
        <v>0</v>
      </c>
      <c r="R832" s="40">
        <v>0</v>
      </c>
      <c r="S832" s="40">
        <v>0</v>
      </c>
      <c r="T832" s="29">
        <f t="array" aca="1" ref="T832" ca="1">+fair_value_gap(OFFSET(S831,0,0,-1*$I$5,-1*$Z$1),OFFSET(E831,0,0,-1*$I$5,1),F832:S832,0)</f>
        <v>15.802150779711518</v>
      </c>
      <c r="U832" s="9" cm="1">
        <f t="array" aca="1" ref="U832" ca="1">z_score_diff(OFFSET(T832,0,0,$I$5*-1,1),OFFSET(E832,0,0,$I$5*-1,1))</f>
        <v>-0.22178294672842136</v>
      </c>
      <c r="V832" s="9">
        <f t="shared" ca="1" si="103"/>
        <v>-3.545720231692609E-2</v>
      </c>
      <c r="W832" s="17">
        <f t="shared" ca="1" si="100"/>
        <v>0.20648589268030496</v>
      </c>
      <c r="X832" s="13">
        <f t="shared" ca="1" si="101"/>
        <v>0</v>
      </c>
      <c r="Y832" s="13">
        <f t="shared" ca="1" si="102"/>
        <v>0</v>
      </c>
      <c r="Z832">
        <f t="shared" ca="1" si="104"/>
        <v>1</v>
      </c>
      <c r="AA832">
        <f t="shared" ca="1" si="105"/>
        <v>0</v>
      </c>
      <c r="AB832" s="24">
        <f t="shared" ca="1" si="106"/>
        <v>0.20648589268030496</v>
      </c>
      <c r="AC832" s="24">
        <f t="shared" ca="1" si="107"/>
        <v>0</v>
      </c>
    </row>
    <row r="833" spans="3:29" x14ac:dyDescent="0.25">
      <c r="C833" s="6">
        <v>826</v>
      </c>
      <c r="D833" s="37">
        <v>43180</v>
      </c>
      <c r="E833" s="39">
        <v>16.292000000000002</v>
      </c>
      <c r="F833" s="39">
        <v>2.0807343513211927</v>
      </c>
      <c r="G833" s="39">
        <v>45.211990762538953</v>
      </c>
      <c r="H833" s="39">
        <v>61.523760406575647</v>
      </c>
      <c r="I833" s="10">
        <v>0</v>
      </c>
      <c r="J833" s="40">
        <v>0</v>
      </c>
      <c r="K833" s="40">
        <v>1</v>
      </c>
      <c r="L833" s="40">
        <v>0</v>
      </c>
      <c r="M833" s="40">
        <v>0</v>
      </c>
      <c r="N833" s="40">
        <v>0</v>
      </c>
      <c r="O833" s="40">
        <v>0</v>
      </c>
      <c r="P833" s="40">
        <v>0</v>
      </c>
      <c r="Q833" s="40">
        <v>0</v>
      </c>
      <c r="R833" s="40">
        <v>0</v>
      </c>
      <c r="S833" s="40">
        <v>0</v>
      </c>
      <c r="T833" s="29">
        <f t="array" aca="1" ref="T833" ca="1">+fair_value_gap(OFFSET(S832,0,0,-1*$I$5,-1*$Z$1),OFFSET(E832,0,0,-1*$I$5,1),F833:S833,0)</f>
        <v>15.852616229872403</v>
      </c>
      <c r="U833" s="9" cm="1">
        <f t="array" aca="1" ref="U833" ca="1">z_score_diff(OFFSET(T833,0,0,$I$5*-1,1),OFFSET(E833,0,0,$I$5*-1,1))</f>
        <v>-0.45611929459033995</v>
      </c>
      <c r="V833" s="9">
        <f t="shared" ca="1" si="103"/>
        <v>-4.7845975215993618E-2</v>
      </c>
      <c r="W833" s="17">
        <f t="shared" ca="1" si="100"/>
        <v>0.21297664901212021</v>
      </c>
      <c r="X833" s="13">
        <f t="shared" ca="1" si="101"/>
        <v>0</v>
      </c>
      <c r="Y833" s="13">
        <f t="shared" ca="1" si="102"/>
        <v>0</v>
      </c>
      <c r="Z833">
        <f t="shared" ca="1" si="104"/>
        <v>1</v>
      </c>
      <c r="AA833">
        <f t="shared" ca="1" si="105"/>
        <v>0</v>
      </c>
      <c r="AB833" s="24">
        <f t="shared" ca="1" si="106"/>
        <v>0.21297664901212021</v>
      </c>
      <c r="AC833" s="24">
        <f t="shared" ca="1" si="107"/>
        <v>0</v>
      </c>
    </row>
    <row r="834" spans="3:29" x14ac:dyDescent="0.25">
      <c r="C834" s="6">
        <v>827</v>
      </c>
      <c r="D834" s="37">
        <v>43181</v>
      </c>
      <c r="E834" s="39">
        <v>16.253</v>
      </c>
      <c r="F834" s="39">
        <v>2.0813852706266833</v>
      </c>
      <c r="G834" s="39">
        <v>45.236535596992155</v>
      </c>
      <c r="H834" s="39">
        <v>60.266976492772621</v>
      </c>
      <c r="I834" s="10">
        <v>0</v>
      </c>
      <c r="J834" s="40">
        <v>0</v>
      </c>
      <c r="K834" s="40">
        <v>1</v>
      </c>
      <c r="L834" s="40">
        <v>0</v>
      </c>
      <c r="M834" s="40">
        <v>0</v>
      </c>
      <c r="N834" s="40">
        <v>0</v>
      </c>
      <c r="O834" s="40">
        <v>0</v>
      </c>
      <c r="P834" s="40">
        <v>0</v>
      </c>
      <c r="Q834" s="40">
        <v>0</v>
      </c>
      <c r="R834" s="40">
        <v>0</v>
      </c>
      <c r="S834" s="40">
        <v>0</v>
      </c>
      <c r="T834" s="29">
        <f t="array" aca="1" ref="T834" ca="1">+fair_value_gap(OFFSET(S833,0,0,-1*$I$5,-1*$Z$1),OFFSET(E833,0,0,-1*$I$5,1),F834:S834,0)</f>
        <v>15.80725742094552</v>
      </c>
      <c r="U834" s="9" cm="1">
        <f t="array" aca="1" ref="U834" ca="1">z_score_diff(OFFSET(T834,0,0,$I$5*-1,1),OFFSET(E834,0,0,$I$5*-1,1))</f>
        <v>-0.45142118540723508</v>
      </c>
      <c r="V834" s="9">
        <f t="shared" ca="1" si="103"/>
        <v>-2.4777916854861224E-2</v>
      </c>
      <c r="W834" s="17">
        <f t="shared" ca="1" si="100"/>
        <v>0.2290694764053601</v>
      </c>
      <c r="X834" s="13">
        <f t="shared" ca="1" si="101"/>
        <v>0</v>
      </c>
      <c r="Y834" s="13">
        <f t="shared" ca="1" si="102"/>
        <v>0</v>
      </c>
      <c r="Z834">
        <f t="shared" ca="1" si="104"/>
        <v>1</v>
      </c>
      <c r="AA834">
        <f t="shared" ca="1" si="105"/>
        <v>0</v>
      </c>
      <c r="AB834" s="24">
        <f t="shared" ca="1" si="106"/>
        <v>0.2290694764053601</v>
      </c>
      <c r="AC834" s="24">
        <f t="shared" ca="1" si="107"/>
        <v>0</v>
      </c>
    </row>
    <row r="835" spans="3:29" x14ac:dyDescent="0.25">
      <c r="C835" s="6">
        <v>828</v>
      </c>
      <c r="D835" s="37">
        <v>43182</v>
      </c>
      <c r="E835" s="39">
        <v>16.25</v>
      </c>
      <c r="F835" s="39">
        <v>2.0571755598263004</v>
      </c>
      <c r="G835" s="39">
        <v>44.882851281064028</v>
      </c>
      <c r="H835" s="39">
        <v>59.936505972382811</v>
      </c>
      <c r="I835" s="10">
        <v>0</v>
      </c>
      <c r="J835" s="40">
        <v>0</v>
      </c>
      <c r="K835" s="40">
        <v>1</v>
      </c>
      <c r="L835" s="40">
        <v>0</v>
      </c>
      <c r="M835" s="40">
        <v>0</v>
      </c>
      <c r="N835" s="40">
        <v>0</v>
      </c>
      <c r="O835" s="40">
        <v>0</v>
      </c>
      <c r="P835" s="40">
        <v>0</v>
      </c>
      <c r="Q835" s="40">
        <v>0</v>
      </c>
      <c r="R835" s="40">
        <v>0</v>
      </c>
      <c r="S835" s="40">
        <v>0</v>
      </c>
      <c r="T835" s="29">
        <f t="array" aca="1" ref="T835" ca="1">+fair_value_gap(OFFSET(S834,0,0,-1*$I$5,-1*$Z$1),OFFSET(E834,0,0,-1*$I$5,1),F835:S835,0)</f>
        <v>15.727061038597203</v>
      </c>
      <c r="U835" s="9" cm="1">
        <f t="array" aca="1" ref="U835" ca="1">z_score_diff(OFFSET(T835,0,0,$I$5*-1,1),OFFSET(E835,0,0,$I$5*-1,1))</f>
        <v>-0.55168231164622017</v>
      </c>
      <c r="V835" s="9">
        <f t="shared" ca="1" si="103"/>
        <v>-2.4134530206395791E-2</v>
      </c>
      <c r="W835" s="17">
        <f t="shared" ca="1" si="100"/>
        <v>0.23971925824165624</v>
      </c>
      <c r="X835" s="13">
        <f t="shared" ca="1" si="101"/>
        <v>0</v>
      </c>
      <c r="Y835" s="13">
        <f t="shared" ca="1" si="102"/>
        <v>0</v>
      </c>
      <c r="Z835">
        <f t="shared" ca="1" si="104"/>
        <v>1</v>
      </c>
      <c r="AA835">
        <f t="shared" ca="1" si="105"/>
        <v>0</v>
      </c>
      <c r="AB835" s="24">
        <f t="shared" ca="1" si="106"/>
        <v>0.23971925824165624</v>
      </c>
      <c r="AC835" s="24">
        <f t="shared" ca="1" si="107"/>
        <v>0</v>
      </c>
    </row>
    <row r="836" spans="3:29" x14ac:dyDescent="0.25">
      <c r="C836" s="6">
        <v>829</v>
      </c>
      <c r="D836" s="37">
        <v>43185</v>
      </c>
      <c r="E836" s="39">
        <v>16.221</v>
      </c>
      <c r="F836" s="39">
        <v>2.0461013898901861</v>
      </c>
      <c r="G836" s="39">
        <v>45.10123466725684</v>
      </c>
      <c r="H836" s="39">
        <v>58.926184493085096</v>
      </c>
      <c r="I836" s="10">
        <v>0</v>
      </c>
      <c r="J836" s="40">
        <v>0</v>
      </c>
      <c r="K836" s="40">
        <v>1</v>
      </c>
      <c r="L836" s="40">
        <v>0</v>
      </c>
      <c r="M836" s="40">
        <v>0</v>
      </c>
      <c r="N836" s="40">
        <v>0</v>
      </c>
      <c r="O836" s="40">
        <v>0</v>
      </c>
      <c r="P836" s="40">
        <v>0</v>
      </c>
      <c r="Q836" s="40">
        <v>0</v>
      </c>
      <c r="R836" s="40">
        <v>0</v>
      </c>
      <c r="S836" s="40">
        <v>0</v>
      </c>
      <c r="T836" s="29">
        <f t="array" aca="1" ref="T836" ca="1">+fair_value_gap(OFFSET(S835,0,0,-1*$I$5,-1*$Z$1),OFFSET(E835,0,0,-1*$I$5,1),F836:S836,0)</f>
        <v>15.864725072508858</v>
      </c>
      <c r="U836" s="9" cm="1">
        <f t="array" aca="1" ref="U836" ca="1">z_score_diff(OFFSET(T836,0,0,$I$5*-1,1),OFFSET(E836,0,0,$I$5*-1,1))</f>
        <v>-0.30250011599564208</v>
      </c>
      <c r="V836" s="9">
        <f t="shared" ca="1" si="103"/>
        <v>-3.149815697759293E-2</v>
      </c>
      <c r="W836" s="17">
        <f t="shared" ca="1" si="100"/>
        <v>0.24527522737971083</v>
      </c>
      <c r="X836" s="13">
        <f t="shared" ca="1" si="101"/>
        <v>0</v>
      </c>
      <c r="Y836" s="13">
        <f t="shared" ca="1" si="102"/>
        <v>0</v>
      </c>
      <c r="Z836">
        <f t="shared" ca="1" si="104"/>
        <v>1</v>
      </c>
      <c r="AA836">
        <f t="shared" ca="1" si="105"/>
        <v>0</v>
      </c>
      <c r="AB836" s="24">
        <f t="shared" ca="1" si="106"/>
        <v>0.24527522737971083</v>
      </c>
      <c r="AC836" s="24">
        <f t="shared" ca="1" si="107"/>
        <v>0</v>
      </c>
    </row>
    <row r="837" spans="3:29" x14ac:dyDescent="0.25">
      <c r="C837" s="6">
        <v>830</v>
      </c>
      <c r="D837" s="37">
        <v>43186</v>
      </c>
      <c r="E837" s="39">
        <v>16.494</v>
      </c>
      <c r="F837" s="39">
        <v>2.0667618779108374</v>
      </c>
      <c r="G837" s="39">
        <v>45.838477974979739</v>
      </c>
      <c r="H837" s="39">
        <v>59.853670485900885</v>
      </c>
      <c r="I837" s="10">
        <v>0</v>
      </c>
      <c r="J837" s="40">
        <v>0</v>
      </c>
      <c r="K837" s="40">
        <v>1</v>
      </c>
      <c r="L837" s="40">
        <v>0</v>
      </c>
      <c r="M837" s="40">
        <v>0</v>
      </c>
      <c r="N837" s="40">
        <v>0</v>
      </c>
      <c r="O837" s="40">
        <v>0</v>
      </c>
      <c r="P837" s="40">
        <v>0</v>
      </c>
      <c r="Q837" s="40">
        <v>0</v>
      </c>
      <c r="R837" s="40">
        <v>0</v>
      </c>
      <c r="S837" s="40">
        <v>0</v>
      </c>
      <c r="T837" s="29">
        <f t="array" aca="1" ref="T837" ca="1">+fair_value_gap(OFFSET(S836,0,0,-1*$I$5,-1*$Z$1),OFFSET(E836,0,0,-1*$I$5,1),F837:S837,0)</f>
        <v>16.152554388377968</v>
      </c>
      <c r="U837" s="9" cm="1">
        <f t="array" aca="1" ref="U837" ca="1">z_score_diff(OFFSET(T837,0,0,$I$5*-1,1),OFFSET(E837,0,0,$I$5*-1,1))</f>
        <v>-0.33440013885543041</v>
      </c>
      <c r="V837" s="9">
        <f t="shared" ca="1" si="103"/>
        <v>-3.4466133626251859E-2</v>
      </c>
      <c r="W837" s="17">
        <f t="shared" ca="1" si="100"/>
        <v>0.25632053676793798</v>
      </c>
      <c r="X837" s="13">
        <f t="shared" ca="1" si="101"/>
        <v>0</v>
      </c>
      <c r="Y837" s="13">
        <f t="shared" ca="1" si="102"/>
        <v>0</v>
      </c>
      <c r="Z837">
        <f t="shared" ca="1" si="104"/>
        <v>1</v>
      </c>
      <c r="AA837">
        <f t="shared" ca="1" si="105"/>
        <v>0</v>
      </c>
      <c r="AB837" s="24">
        <f t="shared" ca="1" si="106"/>
        <v>0.25632053676793798</v>
      </c>
      <c r="AC837" s="24">
        <f t="shared" ca="1" si="107"/>
        <v>0</v>
      </c>
    </row>
    <row r="838" spans="3:29" x14ac:dyDescent="0.25">
      <c r="C838" s="6">
        <v>831</v>
      </c>
      <c r="D838" s="37">
        <v>43187</v>
      </c>
      <c r="E838" s="39">
        <v>16.599</v>
      </c>
      <c r="F838" s="39">
        <v>2.1002531173812442</v>
      </c>
      <c r="G838" s="39">
        <v>46.083052348200944</v>
      </c>
      <c r="H838" s="39">
        <v>61.415904467599411</v>
      </c>
      <c r="I838" s="10">
        <v>0</v>
      </c>
      <c r="J838" s="40">
        <v>0</v>
      </c>
      <c r="K838" s="40">
        <v>1</v>
      </c>
      <c r="L838" s="40">
        <v>0</v>
      </c>
      <c r="M838" s="40">
        <v>0</v>
      </c>
      <c r="N838" s="40">
        <v>0</v>
      </c>
      <c r="O838" s="40">
        <v>0</v>
      </c>
      <c r="P838" s="40">
        <v>0</v>
      </c>
      <c r="Q838" s="40">
        <v>0</v>
      </c>
      <c r="R838" s="40">
        <v>0</v>
      </c>
      <c r="S838" s="40">
        <v>0</v>
      </c>
      <c r="T838" s="29">
        <f t="array" aca="1" ref="T838" ca="1">+fair_value_gap(OFFSET(S837,0,0,-1*$I$5,-1*$Z$1),OFFSET(E837,0,0,-1*$I$5,1),F838:S838,0)</f>
        <v>16.325797425237436</v>
      </c>
      <c r="U838" s="9" cm="1">
        <f t="array" aca="1" ref="U838" ca="1">z_score_diff(OFFSET(T838,0,0,$I$5*-1,1),OFFSET(E838,0,0,$I$5*-1,1))</f>
        <v>-0.2541255554328844</v>
      </c>
      <c r="V838" s="9">
        <f t="shared" ca="1" si="103"/>
        <v>-4.1333019207349254E-2</v>
      </c>
      <c r="W838" s="17">
        <f t="shared" ca="1" si="100"/>
        <v>0.24191913076238894</v>
      </c>
      <c r="X838" s="13">
        <f t="shared" ca="1" si="101"/>
        <v>0</v>
      </c>
      <c r="Y838" s="13">
        <f t="shared" ca="1" si="102"/>
        <v>0</v>
      </c>
      <c r="Z838">
        <f t="shared" ca="1" si="104"/>
        <v>1</v>
      </c>
      <c r="AA838">
        <f t="shared" ca="1" si="105"/>
        <v>0</v>
      </c>
      <c r="AB838" s="24">
        <f t="shared" ca="1" si="106"/>
        <v>0.24191913076238894</v>
      </c>
      <c r="AC838" s="24">
        <f t="shared" ca="1" si="107"/>
        <v>0</v>
      </c>
    </row>
    <row r="839" spans="3:29" x14ac:dyDescent="0.25">
      <c r="C839" s="6">
        <v>832</v>
      </c>
      <c r="D839" s="37">
        <v>43188</v>
      </c>
      <c r="E839" s="39">
        <v>17.135000000000002</v>
      </c>
      <c r="F839" s="39">
        <v>2.1032944363668</v>
      </c>
      <c r="G839" s="39">
        <v>48.988523199214043</v>
      </c>
      <c r="H839" s="39">
        <v>62.601747256707547</v>
      </c>
      <c r="I839" s="10">
        <v>0</v>
      </c>
      <c r="J839" s="40">
        <v>0</v>
      </c>
      <c r="K839" s="40">
        <v>1</v>
      </c>
      <c r="L839" s="40">
        <v>0</v>
      </c>
      <c r="M839" s="40">
        <v>0</v>
      </c>
      <c r="N839" s="40">
        <v>0</v>
      </c>
      <c r="O839" s="40">
        <v>0</v>
      </c>
      <c r="P839" s="40">
        <v>0</v>
      </c>
      <c r="Q839" s="40">
        <v>0</v>
      </c>
      <c r="R839" s="40">
        <v>0</v>
      </c>
      <c r="S839" s="40">
        <v>0</v>
      </c>
      <c r="T839" s="29">
        <f t="array" aca="1" ref="T839" ca="1">+fair_value_gap(OFFSET(S838,0,0,-1*$I$5,-1*$Z$1),OFFSET(E838,0,0,-1*$I$5,1),F839:S839,0)</f>
        <v>17.229497180383074</v>
      </c>
      <c r="U839" s="9" cm="1">
        <f t="array" aca="1" ref="U839" ca="1">z_score_diff(OFFSET(T839,0,0,$I$5*-1,1),OFFSET(E839,0,0,$I$5*-1,1))</f>
        <v>0.16316385632431207</v>
      </c>
      <c r="V839" s="9">
        <f t="shared" ca="1" si="103"/>
        <v>-2.6163378957446116E-2</v>
      </c>
      <c r="W839" s="17">
        <f t="shared" ref="W839:W902" ca="1" si="108">+LN(OFFSET(E839,$W$3,0,1,1)/E839)</f>
        <v>0.22081811833775414</v>
      </c>
      <c r="X839" s="13">
        <f t="shared" ca="1" si="101"/>
        <v>0</v>
      </c>
      <c r="Y839" s="13">
        <f t="shared" ca="1" si="102"/>
        <v>0</v>
      </c>
      <c r="Z839">
        <f t="shared" ca="1" si="104"/>
        <v>1</v>
      </c>
      <c r="AA839">
        <f t="shared" ca="1" si="105"/>
        <v>0</v>
      </c>
      <c r="AB839" s="24">
        <f t="shared" ca="1" si="106"/>
        <v>0.22081811833775414</v>
      </c>
      <c r="AC839" s="24">
        <f t="shared" ca="1" si="107"/>
        <v>0</v>
      </c>
    </row>
    <row r="840" spans="3:29" x14ac:dyDescent="0.25">
      <c r="C840" s="6">
        <v>833</v>
      </c>
      <c r="D840" s="37">
        <v>43193</v>
      </c>
      <c r="E840" s="39">
        <v>17.106000000000002</v>
      </c>
      <c r="F840" s="39">
        <v>2.1247225364624658</v>
      </c>
      <c r="G840" s="39">
        <v>49.014054808256347</v>
      </c>
      <c r="H840" s="39">
        <v>62.94753282264211</v>
      </c>
      <c r="I840" s="10">
        <v>0</v>
      </c>
      <c r="J840" s="40">
        <v>0</v>
      </c>
      <c r="K840" s="40">
        <v>0</v>
      </c>
      <c r="L840" s="40">
        <v>1</v>
      </c>
      <c r="M840" s="40">
        <v>0</v>
      </c>
      <c r="N840" s="40">
        <v>0</v>
      </c>
      <c r="O840" s="40">
        <v>0</v>
      </c>
      <c r="P840" s="40">
        <v>0</v>
      </c>
      <c r="Q840" s="40">
        <v>0</v>
      </c>
      <c r="R840" s="40">
        <v>0</v>
      </c>
      <c r="S840" s="40">
        <v>0</v>
      </c>
      <c r="T840" s="29">
        <f t="array" aca="1" ref="T840" ca="1">+fair_value_gap(OFFSET(S839,0,0,-1*$I$5,-1*$Z$1),OFFSET(E839,0,0,-1*$I$5,1),F840:S840,0)</f>
        <v>15.831444299943337</v>
      </c>
      <c r="U840" s="9" cm="1">
        <f t="array" aca="1" ref="U840" ca="1">z_score_diff(OFFSET(T840,0,0,$I$5*-1,1),OFFSET(E840,0,0,$I$5*-1,1))</f>
        <v>-1.7792007453162229</v>
      </c>
      <c r="V840" s="9">
        <f t="shared" ca="1" si="103"/>
        <v>-7.0116888698559185E-2</v>
      </c>
      <c r="W840" s="17">
        <f t="shared" ca="1" si="108"/>
        <v>0.23668410634221335</v>
      </c>
      <c r="X840" s="13">
        <f t="shared" ca="1" si="101"/>
        <v>0</v>
      </c>
      <c r="Y840" s="13">
        <f t="shared" ca="1" si="102"/>
        <v>0</v>
      </c>
      <c r="Z840">
        <f t="shared" ca="1" si="104"/>
        <v>1</v>
      </c>
      <c r="AA840">
        <f t="shared" ca="1" si="105"/>
        <v>0</v>
      </c>
      <c r="AB840" s="24">
        <f t="shared" ca="1" si="106"/>
        <v>0.23668410634221335</v>
      </c>
      <c r="AC840" s="24">
        <f t="shared" ca="1" si="107"/>
        <v>0</v>
      </c>
    </row>
    <row r="841" spans="3:29" x14ac:dyDescent="0.25">
      <c r="C841" s="6">
        <v>834</v>
      </c>
      <c r="D841" s="37">
        <v>43194</v>
      </c>
      <c r="E841" s="39">
        <v>17.009</v>
      </c>
      <c r="F841" s="39">
        <v>2.1166714932070336</v>
      </c>
      <c r="G841" s="39">
        <v>48.959059052657913</v>
      </c>
      <c r="H841" s="39">
        <v>62.861795908962108</v>
      </c>
      <c r="I841" s="10">
        <v>0</v>
      </c>
      <c r="J841" s="40">
        <v>0</v>
      </c>
      <c r="K841" s="40">
        <v>0</v>
      </c>
      <c r="L841" s="40">
        <v>1</v>
      </c>
      <c r="M841" s="40">
        <v>0</v>
      </c>
      <c r="N841" s="40">
        <v>0</v>
      </c>
      <c r="O841" s="40">
        <v>0</v>
      </c>
      <c r="P841" s="40">
        <v>0</v>
      </c>
      <c r="Q841" s="40">
        <v>0</v>
      </c>
      <c r="R841" s="40">
        <v>0</v>
      </c>
      <c r="S841" s="40">
        <v>0</v>
      </c>
      <c r="T841" s="29">
        <f t="array" aca="1" ref="T841" ca="1">+fair_value_gap(OFFSET(S840,0,0,-1*$I$5,-1*$Z$1),OFFSET(E840,0,0,-1*$I$5,1),F841:S841,0)</f>
        <v>16.398808900176046</v>
      </c>
      <c r="U841" s="9" cm="1">
        <f t="array" aca="1" ref="U841" ca="1">z_score_diff(OFFSET(T841,0,0,$I$5*-1,1),OFFSET(E841,0,0,$I$5*-1,1))</f>
        <v>-0.80216970401267096</v>
      </c>
      <c r="V841" s="9">
        <f t="shared" ca="1" si="103"/>
        <v>-8.651573272119932E-2</v>
      </c>
      <c r="W841" s="17">
        <f t="shared" ca="1" si="108"/>
        <v>0.23463584780689023</v>
      </c>
      <c r="X841" s="13">
        <f t="shared" ref="X841:X904" ca="1" si="109">+X840</f>
        <v>0</v>
      </c>
      <c r="Y841" s="13">
        <f t="shared" ref="Y841:Y904" ca="1" si="110">+Y840</f>
        <v>0</v>
      </c>
      <c r="Z841">
        <f t="shared" ca="1" si="104"/>
        <v>1</v>
      </c>
      <c r="AA841">
        <f t="shared" ca="1" si="105"/>
        <v>0</v>
      </c>
      <c r="AB841" s="24">
        <f t="shared" ca="1" si="106"/>
        <v>0.23463584780689023</v>
      </c>
      <c r="AC841" s="24">
        <f t="shared" ca="1" si="107"/>
        <v>0</v>
      </c>
    </row>
    <row r="842" spans="3:29" x14ac:dyDescent="0.25">
      <c r="C842" s="6">
        <v>835</v>
      </c>
      <c r="D842" s="37">
        <v>43195</v>
      </c>
      <c r="E842" s="39">
        <v>17.009</v>
      </c>
      <c r="F842" s="39">
        <v>2.1195567348212894</v>
      </c>
      <c r="G842" s="39">
        <v>48.794469810801068</v>
      </c>
      <c r="H842" s="39">
        <v>63.602309973466518</v>
      </c>
      <c r="I842" s="10">
        <v>0</v>
      </c>
      <c r="J842" s="40">
        <v>0</v>
      </c>
      <c r="K842" s="40">
        <v>0</v>
      </c>
      <c r="L842" s="40">
        <v>1</v>
      </c>
      <c r="M842" s="40">
        <v>0</v>
      </c>
      <c r="N842" s="40">
        <v>0</v>
      </c>
      <c r="O842" s="40">
        <v>0</v>
      </c>
      <c r="P842" s="40">
        <v>0</v>
      </c>
      <c r="Q842" s="40">
        <v>0</v>
      </c>
      <c r="R842" s="40">
        <v>0</v>
      </c>
      <c r="S842" s="40">
        <v>0</v>
      </c>
      <c r="T842" s="29">
        <f t="array" aca="1" ref="T842" ca="1">+fair_value_gap(OFFSET(S841,0,0,-1*$I$5,-1*$Z$1),OFFSET(E841,0,0,-1*$I$5,1),F842:S842,0)</f>
        <v>16.584225766173475</v>
      </c>
      <c r="U842" s="9" cm="1">
        <f t="array" aca="1" ref="U842" ca="1">z_score_diff(OFFSET(T842,0,0,$I$5*-1,1),OFFSET(E842,0,0,$I$5*-1,1))</f>
        <v>-0.53211745460818616</v>
      </c>
      <c r="V842" s="9">
        <f t="shared" ca="1" si="103"/>
        <v>-0.10364851861625235</v>
      </c>
      <c r="W842" s="17">
        <f t="shared" ca="1" si="108"/>
        <v>0.22242602662586697</v>
      </c>
      <c r="X842" s="13">
        <f t="shared" ca="1" si="109"/>
        <v>0</v>
      </c>
      <c r="Y842" s="13">
        <f t="shared" ca="1" si="110"/>
        <v>0</v>
      </c>
      <c r="Z842">
        <f t="shared" ca="1" si="104"/>
        <v>1</v>
      </c>
      <c r="AA842">
        <f t="shared" ca="1" si="105"/>
        <v>0</v>
      </c>
      <c r="AB842" s="24">
        <f t="shared" ca="1" si="106"/>
        <v>0.22242602662586697</v>
      </c>
      <c r="AC842" s="24">
        <f t="shared" ca="1" si="107"/>
        <v>0</v>
      </c>
    </row>
    <row r="843" spans="3:29" x14ac:dyDescent="0.25">
      <c r="C843" s="6">
        <v>836</v>
      </c>
      <c r="D843" s="37">
        <v>43196</v>
      </c>
      <c r="E843" s="39">
        <v>17.001000000000001</v>
      </c>
      <c r="F843" s="39">
        <v>2.1076873402604073</v>
      </c>
      <c r="G843" s="39">
        <v>48.999949449845815</v>
      </c>
      <c r="H843" s="39">
        <v>63.642976904134841</v>
      </c>
      <c r="I843" s="10">
        <v>0</v>
      </c>
      <c r="J843" s="40">
        <v>0</v>
      </c>
      <c r="K843" s="40">
        <v>0</v>
      </c>
      <c r="L843" s="40">
        <v>1</v>
      </c>
      <c r="M843" s="40">
        <v>0</v>
      </c>
      <c r="N843" s="40">
        <v>0</v>
      </c>
      <c r="O843" s="40">
        <v>0</v>
      </c>
      <c r="P843" s="40">
        <v>0</v>
      </c>
      <c r="Q843" s="40">
        <v>0</v>
      </c>
      <c r="R843" s="40">
        <v>0</v>
      </c>
      <c r="S843" s="40">
        <v>0</v>
      </c>
      <c r="T843" s="29">
        <f t="array" aca="1" ref="T843" ca="1">+fair_value_gap(OFFSET(S842,0,0,-1*$I$5,-1*$Z$1),OFFSET(E842,0,0,-1*$I$5,1),F843:S843,0)</f>
        <v>16.770675315271617</v>
      </c>
      <c r="U843" s="9" cm="1">
        <f t="array" aca="1" ref="U843" ca="1">z_score_diff(OFFSET(T843,0,0,$I$5*-1,1),OFFSET(E843,0,0,$I$5*-1,1))</f>
        <v>-0.24941171934246953</v>
      </c>
      <c r="V843" s="9">
        <f t="shared" ref="V843:V906" ca="1" si="111">+IF(ISERROR(AVERAGE(OFFSET(U843,0,0,$V$5*-1,1))),"",AVERAGE(OFFSET(U843,0,0,$V$5*-1,1)))</f>
        <v>-0.11316583735768965</v>
      </c>
      <c r="W843" s="17">
        <f t="shared" ca="1" si="108"/>
        <v>0.18231175340100009</v>
      </c>
      <c r="X843" s="13">
        <f t="shared" ca="1" si="109"/>
        <v>0</v>
      </c>
      <c r="Y843" s="13">
        <f t="shared" ca="1" si="110"/>
        <v>0</v>
      </c>
      <c r="Z843">
        <f t="shared" ref="Z843:Z906" ca="1" si="112">+IF(V843="","",IF(V843&lt;X843,1,0))</f>
        <v>1</v>
      </c>
      <c r="AA843">
        <f t="shared" ref="AA843:AA906" ca="1" si="113">+IF(V843="","",IF(V843&gt;Y843,1,0))</f>
        <v>0</v>
      </c>
      <c r="AB843" s="24">
        <f t="shared" ref="AB843:AB906" ca="1" si="114">+IF(ISERROR(Z843*W843),"",Z843*W843)</f>
        <v>0.18231175340100009</v>
      </c>
      <c r="AC843" s="24">
        <f t="shared" ref="AC843:AC906" ca="1" si="115">+IF(ISERROR(AA843*W843),"",AA843*W843)</f>
        <v>0</v>
      </c>
    </row>
    <row r="844" spans="3:29" x14ac:dyDescent="0.25">
      <c r="C844" s="6">
        <v>837</v>
      </c>
      <c r="D844" s="37">
        <v>43199</v>
      </c>
      <c r="E844" s="39">
        <v>17.154</v>
      </c>
      <c r="F844" s="39">
        <v>2.1037335260527974</v>
      </c>
      <c r="G844" s="39">
        <v>49.222652522871414</v>
      </c>
      <c r="H844" s="39">
        <v>64.825699512721656</v>
      </c>
      <c r="I844" s="10">
        <v>0</v>
      </c>
      <c r="J844" s="40">
        <v>0</v>
      </c>
      <c r="K844" s="40">
        <v>0</v>
      </c>
      <c r="L844" s="40">
        <v>1</v>
      </c>
      <c r="M844" s="40">
        <v>0</v>
      </c>
      <c r="N844" s="40">
        <v>0</v>
      </c>
      <c r="O844" s="40">
        <v>0</v>
      </c>
      <c r="P844" s="40">
        <v>0</v>
      </c>
      <c r="Q844" s="40">
        <v>0</v>
      </c>
      <c r="R844" s="40">
        <v>0</v>
      </c>
      <c r="S844" s="40">
        <v>0</v>
      </c>
      <c r="T844" s="29">
        <f t="array" aca="1" ref="T844" ca="1">+fair_value_gap(OFFSET(S843,0,0,-1*$I$5,-1*$Z$1),OFFSET(E843,0,0,-1*$I$5,1),F844:S844,0)</f>
        <v>16.97177151393365</v>
      </c>
      <c r="U844" s="9" cm="1">
        <f t="array" aca="1" ref="U844" ca="1">z_score_diff(OFFSET(T844,0,0,$I$5*-1,1),OFFSET(E844,0,0,$I$5*-1,1))</f>
        <v>-0.21106199294601585</v>
      </c>
      <c r="V844" s="9">
        <f t="shared" ca="1" si="111"/>
        <v>-0.12447469792439406</v>
      </c>
      <c r="W844" s="17">
        <f t="shared" ca="1" si="108"/>
        <v>0.16966947214734507</v>
      </c>
      <c r="X844" s="13">
        <f t="shared" ca="1" si="109"/>
        <v>0</v>
      </c>
      <c r="Y844" s="13">
        <f t="shared" ca="1" si="110"/>
        <v>0</v>
      </c>
      <c r="Z844">
        <f t="shared" ca="1" si="112"/>
        <v>1</v>
      </c>
      <c r="AA844">
        <f t="shared" ca="1" si="113"/>
        <v>0</v>
      </c>
      <c r="AB844" s="24">
        <f t="shared" ca="1" si="114"/>
        <v>0.16966947214734507</v>
      </c>
      <c r="AC844" s="24">
        <f t="shared" ca="1" si="115"/>
        <v>0</v>
      </c>
    </row>
    <row r="845" spans="3:29" x14ac:dyDescent="0.25">
      <c r="C845" s="6">
        <v>838</v>
      </c>
      <c r="D845" s="37">
        <v>43200</v>
      </c>
      <c r="E845" s="39">
        <v>17.224</v>
      </c>
      <c r="F845" s="39">
        <v>2.0934540135873516</v>
      </c>
      <c r="G845" s="39">
        <v>49.511789938817891</v>
      </c>
      <c r="H845" s="39">
        <v>65.478417633252832</v>
      </c>
      <c r="I845" s="10">
        <v>0</v>
      </c>
      <c r="J845" s="40">
        <v>0</v>
      </c>
      <c r="K845" s="40">
        <v>0</v>
      </c>
      <c r="L845" s="40">
        <v>1</v>
      </c>
      <c r="M845" s="40">
        <v>0</v>
      </c>
      <c r="N845" s="40">
        <v>0</v>
      </c>
      <c r="O845" s="40">
        <v>0</v>
      </c>
      <c r="P845" s="40">
        <v>0</v>
      </c>
      <c r="Q845" s="40">
        <v>0</v>
      </c>
      <c r="R845" s="40">
        <v>0</v>
      </c>
      <c r="S845" s="40">
        <v>0</v>
      </c>
      <c r="T845" s="29">
        <f t="array" aca="1" ref="T845" ca="1">+fair_value_gap(OFFSET(S844,0,0,-1*$I$5,-1*$Z$1),OFFSET(E844,0,0,-1*$I$5,1),F845:S845,0)</f>
        <v>17.153089800844871</v>
      </c>
      <c r="U845" s="9" cm="1">
        <f t="array" aca="1" ref="U845" ca="1">z_score_diff(OFFSET(T845,0,0,$I$5*-1,1),OFFSET(E845,0,0,$I$5*-1,1))</f>
        <v>-6.627804180573349E-2</v>
      </c>
      <c r="V845" s="9">
        <f t="shared" ca="1" si="111"/>
        <v>-0.13519995856623684</v>
      </c>
      <c r="W845" s="17">
        <f t="shared" ca="1" si="108"/>
        <v>0.16977021114984372</v>
      </c>
      <c r="X845" s="13">
        <f t="shared" ca="1" si="109"/>
        <v>0</v>
      </c>
      <c r="Y845" s="13">
        <f t="shared" ca="1" si="110"/>
        <v>0</v>
      </c>
      <c r="Z845">
        <f t="shared" ca="1" si="112"/>
        <v>1</v>
      </c>
      <c r="AA845">
        <f t="shared" ca="1" si="113"/>
        <v>0</v>
      </c>
      <c r="AB845" s="24">
        <f t="shared" ca="1" si="114"/>
        <v>0.16977021114984372</v>
      </c>
      <c r="AC845" s="24">
        <f t="shared" ca="1" si="115"/>
        <v>0</v>
      </c>
    </row>
    <row r="846" spans="3:29" x14ac:dyDescent="0.25">
      <c r="C846" s="6">
        <v>839</v>
      </c>
      <c r="D846" s="37">
        <v>43201</v>
      </c>
      <c r="E846" s="39">
        <v>17.542999999999999</v>
      </c>
      <c r="F846" s="39">
        <v>2.0966870028573634</v>
      </c>
      <c r="G846" s="39">
        <v>50.642598808052995</v>
      </c>
      <c r="H846" s="39">
        <v>66.491620974592635</v>
      </c>
      <c r="I846" s="10">
        <v>0</v>
      </c>
      <c r="J846" s="40">
        <v>0</v>
      </c>
      <c r="K846" s="40">
        <v>0</v>
      </c>
      <c r="L846" s="40">
        <v>1</v>
      </c>
      <c r="M846" s="40">
        <v>0</v>
      </c>
      <c r="N846" s="40">
        <v>0</v>
      </c>
      <c r="O846" s="40">
        <v>0</v>
      </c>
      <c r="P846" s="40">
        <v>0</v>
      </c>
      <c r="Q846" s="40">
        <v>0</v>
      </c>
      <c r="R846" s="40">
        <v>0</v>
      </c>
      <c r="S846" s="40">
        <v>0</v>
      </c>
      <c r="T846" s="29">
        <f t="array" aca="1" ref="T846" ca="1">+fair_value_gap(OFFSET(S845,0,0,-1*$I$5,-1*$Z$1),OFFSET(E845,0,0,-1*$I$5,1),F846:S846,0)</f>
        <v>17.591636357406223</v>
      </c>
      <c r="U846" s="9" cm="1">
        <f t="array" aca="1" ref="U846" ca="1">z_score_diff(OFFSET(T846,0,0,$I$5*-1,1),OFFSET(E846,0,0,$I$5*-1,1))</f>
        <v>3.431326431187065E-2</v>
      </c>
      <c r="V846" s="9">
        <f t="shared" ca="1" si="111"/>
        <v>-0.14227715904775171</v>
      </c>
      <c r="W846" s="17">
        <f t="shared" ca="1" si="108"/>
        <v>0.15107595011363245</v>
      </c>
      <c r="X846" s="13">
        <f t="shared" ca="1" si="109"/>
        <v>0</v>
      </c>
      <c r="Y846" s="13">
        <f t="shared" ca="1" si="110"/>
        <v>0</v>
      </c>
      <c r="Z846">
        <f t="shared" ca="1" si="112"/>
        <v>1</v>
      </c>
      <c r="AA846">
        <f t="shared" ca="1" si="113"/>
        <v>0</v>
      </c>
      <c r="AB846" s="24">
        <f t="shared" ca="1" si="114"/>
        <v>0.15107595011363245</v>
      </c>
      <c r="AC846" s="24">
        <f t="shared" ca="1" si="115"/>
        <v>0</v>
      </c>
    </row>
    <row r="847" spans="3:29" x14ac:dyDescent="0.25">
      <c r="C847" s="6">
        <v>840</v>
      </c>
      <c r="D847" s="37">
        <v>43202</v>
      </c>
      <c r="E847" s="39">
        <v>17.494</v>
      </c>
      <c r="F847" s="39">
        <v>2.1121631463947557</v>
      </c>
      <c r="G847" s="39">
        <v>50.666687754251313</v>
      </c>
      <c r="H847" s="39">
        <v>66.595899645131794</v>
      </c>
      <c r="I847" s="10">
        <v>0</v>
      </c>
      <c r="J847" s="40">
        <v>0</v>
      </c>
      <c r="K847" s="40">
        <v>0</v>
      </c>
      <c r="L847" s="40">
        <v>1</v>
      </c>
      <c r="M847" s="40">
        <v>0</v>
      </c>
      <c r="N847" s="40">
        <v>0</v>
      </c>
      <c r="O847" s="40">
        <v>0</v>
      </c>
      <c r="P847" s="40">
        <v>0</v>
      </c>
      <c r="Q847" s="40">
        <v>0</v>
      </c>
      <c r="R847" s="40">
        <v>0</v>
      </c>
      <c r="S847" s="40">
        <v>0</v>
      </c>
      <c r="T847" s="29">
        <f t="array" aca="1" ref="T847" ca="1">+fair_value_gap(OFFSET(S846,0,0,-1*$I$5,-1*$Z$1),OFFSET(E846,0,0,-1*$I$5,1),F847:S847,0)</f>
        <v>17.585953165500189</v>
      </c>
      <c r="U847" s="9" cm="1">
        <f t="array" aca="1" ref="U847" ca="1">z_score_diff(OFFSET(T847,0,0,$I$5*-1,1),OFFSET(E847,0,0,$I$5*-1,1))</f>
        <v>0.10586735821105897</v>
      </c>
      <c r="V847" s="9">
        <f t="shared" ca="1" si="111"/>
        <v>-0.14603897973175889</v>
      </c>
      <c r="W847" s="17">
        <f t="shared" ca="1" si="108"/>
        <v>0.14930464621168554</v>
      </c>
      <c r="X847" s="13">
        <f t="shared" ca="1" si="109"/>
        <v>0</v>
      </c>
      <c r="Y847" s="13">
        <f t="shared" ca="1" si="110"/>
        <v>0</v>
      </c>
      <c r="Z847">
        <f t="shared" ca="1" si="112"/>
        <v>1</v>
      </c>
      <c r="AA847">
        <f t="shared" ca="1" si="113"/>
        <v>0</v>
      </c>
      <c r="AB847" s="24">
        <f t="shared" ca="1" si="114"/>
        <v>0.14930464621168554</v>
      </c>
      <c r="AC847" s="24">
        <f t="shared" ca="1" si="115"/>
        <v>0</v>
      </c>
    </row>
    <row r="848" spans="3:29" x14ac:dyDescent="0.25">
      <c r="C848" s="6">
        <v>841</v>
      </c>
      <c r="D848" s="37">
        <v>43203</v>
      </c>
      <c r="E848" s="39">
        <v>17.626000000000001</v>
      </c>
      <c r="F848" s="39">
        <v>2.1027042510858038</v>
      </c>
      <c r="G848" s="39">
        <v>51.357797936866433</v>
      </c>
      <c r="H848" s="39">
        <v>67.08369784852168</v>
      </c>
      <c r="I848" s="10">
        <v>0</v>
      </c>
      <c r="J848" s="40">
        <v>0</v>
      </c>
      <c r="K848" s="40">
        <v>0</v>
      </c>
      <c r="L848" s="40">
        <v>1</v>
      </c>
      <c r="M848" s="40">
        <v>0</v>
      </c>
      <c r="N848" s="40">
        <v>0</v>
      </c>
      <c r="O848" s="40">
        <v>0</v>
      </c>
      <c r="P848" s="40">
        <v>0</v>
      </c>
      <c r="Q848" s="40">
        <v>0</v>
      </c>
      <c r="R848" s="40">
        <v>0</v>
      </c>
      <c r="S848" s="40">
        <v>0</v>
      </c>
      <c r="T848" s="29">
        <f t="array" aca="1" ref="T848" ca="1">+fair_value_gap(OFFSET(S847,0,0,-1*$I$5,-1*$Z$1),OFFSET(E847,0,0,-1*$I$5,1),F848:S848,0)</f>
        <v>17.833494914715192</v>
      </c>
      <c r="U848" s="9" cm="1">
        <f t="array" aca="1" ref="U848" ca="1">z_score_diff(OFFSET(T848,0,0,$I$5*-1,1),OFFSET(E848,0,0,$I$5*-1,1))</f>
        <v>0.23692629109424868</v>
      </c>
      <c r="V848" s="9">
        <f t="shared" ca="1" si="111"/>
        <v>-0.1460491843360171</v>
      </c>
      <c r="W848" s="17">
        <f t="shared" ca="1" si="108"/>
        <v>0.13927341414306868</v>
      </c>
      <c r="X848" s="13">
        <f t="shared" ca="1" si="109"/>
        <v>0</v>
      </c>
      <c r="Y848" s="13">
        <f t="shared" ca="1" si="110"/>
        <v>0</v>
      </c>
      <c r="Z848">
        <f t="shared" ca="1" si="112"/>
        <v>1</v>
      </c>
      <c r="AA848">
        <f t="shared" ca="1" si="113"/>
        <v>0</v>
      </c>
      <c r="AB848" s="24">
        <f t="shared" ca="1" si="114"/>
        <v>0.13927341414306868</v>
      </c>
      <c r="AC848" s="24">
        <f t="shared" ca="1" si="115"/>
        <v>0</v>
      </c>
    </row>
    <row r="849" spans="3:29" x14ac:dyDescent="0.25">
      <c r="C849" s="6">
        <v>842</v>
      </c>
      <c r="D849" s="37">
        <v>43206</v>
      </c>
      <c r="E849" s="39">
        <v>17.605</v>
      </c>
      <c r="F849" s="39">
        <v>2.0985760213404059</v>
      </c>
      <c r="G849" s="39">
        <v>51.299368701605843</v>
      </c>
      <c r="H849" s="39">
        <v>67.305542491924101</v>
      </c>
      <c r="I849" s="10">
        <v>0</v>
      </c>
      <c r="J849" s="40">
        <v>0</v>
      </c>
      <c r="K849" s="40">
        <v>0</v>
      </c>
      <c r="L849" s="40">
        <v>1</v>
      </c>
      <c r="M849" s="40">
        <v>0</v>
      </c>
      <c r="N849" s="40">
        <v>0</v>
      </c>
      <c r="O849" s="40">
        <v>0</v>
      </c>
      <c r="P849" s="40">
        <v>0</v>
      </c>
      <c r="Q849" s="40">
        <v>0</v>
      </c>
      <c r="R849" s="40">
        <v>0</v>
      </c>
      <c r="S849" s="40">
        <v>0</v>
      </c>
      <c r="T849" s="29">
        <f t="array" aca="1" ref="T849" ca="1">+fair_value_gap(OFFSET(S848,0,0,-1*$I$5,-1*$Z$1),OFFSET(E848,0,0,-1*$I$5,1),F849:S849,0)</f>
        <v>17.805667858235651</v>
      </c>
      <c r="U849" s="9" cm="1">
        <f t="array" aca="1" ref="U849" ca="1">z_score_diff(OFFSET(T849,0,0,$I$5*-1,1),OFFSET(E849,0,0,$I$5*-1,1))</f>
        <v>0.22806272896236446</v>
      </c>
      <c r="V849" s="9">
        <f t="shared" ca="1" si="111"/>
        <v>-0.14936526993453261</v>
      </c>
      <c r="W849" s="17">
        <f t="shared" ca="1" si="108"/>
        <v>0.1495064882990173</v>
      </c>
      <c r="X849" s="13">
        <f t="shared" ca="1" si="109"/>
        <v>0</v>
      </c>
      <c r="Y849" s="13">
        <f t="shared" ca="1" si="110"/>
        <v>0</v>
      </c>
      <c r="Z849">
        <f t="shared" ca="1" si="112"/>
        <v>1</v>
      </c>
      <c r="AA849">
        <f t="shared" ca="1" si="113"/>
        <v>0</v>
      </c>
      <c r="AB849" s="24">
        <f t="shared" ca="1" si="114"/>
        <v>0.1495064882990173</v>
      </c>
      <c r="AC849" s="24">
        <f t="shared" ca="1" si="115"/>
        <v>0</v>
      </c>
    </row>
    <row r="850" spans="3:29" x14ac:dyDescent="0.25">
      <c r="C850" s="6">
        <v>843</v>
      </c>
      <c r="D850" s="37">
        <v>43207</v>
      </c>
      <c r="E850" s="39">
        <v>17.442</v>
      </c>
      <c r="F850" s="39">
        <v>2.0963454765000211</v>
      </c>
      <c r="G850" s="39">
        <v>50.639951078190116</v>
      </c>
      <c r="H850" s="39">
        <v>65.544552163664633</v>
      </c>
      <c r="I850" s="10">
        <v>0</v>
      </c>
      <c r="J850" s="40">
        <v>0</v>
      </c>
      <c r="K850" s="40">
        <v>0</v>
      </c>
      <c r="L850" s="40">
        <v>1</v>
      </c>
      <c r="M850" s="40">
        <v>0</v>
      </c>
      <c r="N850" s="40">
        <v>0</v>
      </c>
      <c r="O850" s="40">
        <v>0</v>
      </c>
      <c r="P850" s="40">
        <v>0</v>
      </c>
      <c r="Q850" s="40">
        <v>0</v>
      </c>
      <c r="R850" s="40">
        <v>0</v>
      </c>
      <c r="S850" s="40">
        <v>0</v>
      </c>
      <c r="T850" s="29">
        <f t="array" aca="1" ref="T850" ca="1">+fair_value_gap(OFFSET(S849,0,0,-1*$I$5,-1*$Z$1),OFFSET(E849,0,0,-1*$I$5,1),F850:S850,0)</f>
        <v>17.473121273876259</v>
      </c>
      <c r="U850" s="9" cm="1">
        <f t="array" aca="1" ref="U850" ca="1">z_score_diff(OFFSET(T850,0,0,$I$5*-1,1),OFFSET(E850,0,0,$I$5*-1,1))</f>
        <v>2.5864187440830078E-2</v>
      </c>
      <c r="V850" s="9">
        <f t="shared" ca="1" si="111"/>
        <v>-0.15989175865227409</v>
      </c>
      <c r="W850" s="17">
        <f t="shared" ca="1" si="108"/>
        <v>0.14798892715965303</v>
      </c>
      <c r="X850" s="13">
        <f t="shared" ca="1" si="109"/>
        <v>0</v>
      </c>
      <c r="Y850" s="13">
        <f t="shared" ca="1" si="110"/>
        <v>0</v>
      </c>
      <c r="Z850">
        <f t="shared" ca="1" si="112"/>
        <v>1</v>
      </c>
      <c r="AA850">
        <f t="shared" ca="1" si="113"/>
        <v>0</v>
      </c>
      <c r="AB850" s="24">
        <f t="shared" ca="1" si="114"/>
        <v>0.14798892715965303</v>
      </c>
      <c r="AC850" s="24">
        <f t="shared" ca="1" si="115"/>
        <v>0</v>
      </c>
    </row>
    <row r="851" spans="3:29" x14ac:dyDescent="0.25">
      <c r="C851" s="6">
        <v>844</v>
      </c>
      <c r="D851" s="37">
        <v>43208</v>
      </c>
      <c r="E851" s="39">
        <v>17.574000000000002</v>
      </c>
      <c r="F851" s="39">
        <v>2.0828676045480825</v>
      </c>
      <c r="G851" s="39">
        <v>50.997541109746933</v>
      </c>
      <c r="H851" s="39">
        <v>66.486798997880129</v>
      </c>
      <c r="I851" s="10">
        <v>0</v>
      </c>
      <c r="J851" s="40">
        <v>0</v>
      </c>
      <c r="K851" s="40">
        <v>0</v>
      </c>
      <c r="L851" s="40">
        <v>1</v>
      </c>
      <c r="M851" s="40">
        <v>0</v>
      </c>
      <c r="N851" s="40">
        <v>0</v>
      </c>
      <c r="O851" s="40">
        <v>0</v>
      </c>
      <c r="P851" s="40">
        <v>0</v>
      </c>
      <c r="Q851" s="40">
        <v>0</v>
      </c>
      <c r="R851" s="40">
        <v>0</v>
      </c>
      <c r="S851" s="40">
        <v>0</v>
      </c>
      <c r="T851" s="29">
        <f t="array" aca="1" ref="T851" ca="1">+fair_value_gap(OFFSET(S850,0,0,-1*$I$5,-1*$Z$1),OFFSET(E850,0,0,-1*$I$5,1),F851:S851,0)</f>
        <v>17.644933087306207</v>
      </c>
      <c r="U851" s="9" cm="1">
        <f t="array" aca="1" ref="U851" ca="1">z_score_diff(OFFSET(T851,0,0,$I$5*-1,1),OFFSET(E851,0,0,$I$5*-1,1))</f>
        <v>5.1656656648448207E-2</v>
      </c>
      <c r="V851" s="9">
        <f t="shared" ca="1" si="111"/>
        <v>-0.1663664573704963</v>
      </c>
      <c r="W851" s="17">
        <f t="shared" ca="1" si="108"/>
        <v>0.13653558156965911</v>
      </c>
      <c r="X851" s="13">
        <f t="shared" ca="1" si="109"/>
        <v>0</v>
      </c>
      <c r="Y851" s="13">
        <f t="shared" ca="1" si="110"/>
        <v>0</v>
      </c>
      <c r="Z851">
        <f t="shared" ca="1" si="112"/>
        <v>1</v>
      </c>
      <c r="AA851">
        <f t="shared" ca="1" si="113"/>
        <v>0</v>
      </c>
      <c r="AB851" s="24">
        <f t="shared" ca="1" si="114"/>
        <v>0.13653558156965911</v>
      </c>
      <c r="AC851" s="24">
        <f t="shared" ca="1" si="115"/>
        <v>0</v>
      </c>
    </row>
    <row r="852" spans="3:29" x14ac:dyDescent="0.25">
      <c r="C852" s="6">
        <v>845</v>
      </c>
      <c r="D852" s="37">
        <v>43209</v>
      </c>
      <c r="E852" s="39">
        <v>17.734000000000002</v>
      </c>
      <c r="F852" s="39">
        <v>2.0372863593012633</v>
      </c>
      <c r="G852" s="39">
        <v>51.234899613783149</v>
      </c>
      <c r="H852" s="39">
        <v>67.896664136804233</v>
      </c>
      <c r="I852" s="10">
        <v>0</v>
      </c>
      <c r="J852" s="40">
        <v>0</v>
      </c>
      <c r="K852" s="40">
        <v>0</v>
      </c>
      <c r="L852" s="40">
        <v>1</v>
      </c>
      <c r="M852" s="40">
        <v>0</v>
      </c>
      <c r="N852" s="40">
        <v>0</v>
      </c>
      <c r="O852" s="40">
        <v>0</v>
      </c>
      <c r="P852" s="40">
        <v>0</v>
      </c>
      <c r="Q852" s="40">
        <v>0</v>
      </c>
      <c r="R852" s="40">
        <v>0</v>
      </c>
      <c r="S852" s="40">
        <v>0</v>
      </c>
      <c r="T852" s="29">
        <f t="array" aca="1" ref="T852" ca="1">+fair_value_gap(OFFSET(S851,0,0,-1*$I$5,-1*$Z$1),OFFSET(E851,0,0,-1*$I$5,1),F852:S852,0)</f>
        <v>17.810464632149035</v>
      </c>
      <c r="U852" s="9" cm="1">
        <f t="array" aca="1" ref="U852" ca="1">z_score_diff(OFFSET(T852,0,0,$I$5*-1,1),OFFSET(E852,0,0,$I$5*-1,1))</f>
        <v>2.342759837497721E-2</v>
      </c>
      <c r="V852" s="9">
        <f t="shared" ca="1" si="111"/>
        <v>-0.17306810748630003</v>
      </c>
      <c r="W852" s="17">
        <f t="shared" ca="1" si="108"/>
        <v>0.1420589868600248</v>
      </c>
      <c r="X852" s="13">
        <f t="shared" ca="1" si="109"/>
        <v>0</v>
      </c>
      <c r="Y852" s="13">
        <f t="shared" ca="1" si="110"/>
        <v>0</v>
      </c>
      <c r="Z852">
        <f t="shared" ca="1" si="112"/>
        <v>1</v>
      </c>
      <c r="AA852">
        <f t="shared" ca="1" si="113"/>
        <v>0</v>
      </c>
      <c r="AB852" s="24">
        <f t="shared" ca="1" si="114"/>
        <v>0.1420589868600248</v>
      </c>
      <c r="AC852" s="24">
        <f t="shared" ca="1" si="115"/>
        <v>0</v>
      </c>
    </row>
    <row r="853" spans="3:29" x14ac:dyDescent="0.25">
      <c r="C853" s="6">
        <v>846</v>
      </c>
      <c r="D853" s="37">
        <v>43210</v>
      </c>
      <c r="E853" s="39">
        <v>17.827000000000002</v>
      </c>
      <c r="F853" s="39">
        <v>2.0523452878757875</v>
      </c>
      <c r="G853" s="39">
        <v>51.568615186661191</v>
      </c>
      <c r="H853" s="39">
        <v>68.527987762027337</v>
      </c>
      <c r="I853" s="10">
        <v>0</v>
      </c>
      <c r="J853" s="40">
        <v>0</v>
      </c>
      <c r="K853" s="40">
        <v>0</v>
      </c>
      <c r="L853" s="40">
        <v>1</v>
      </c>
      <c r="M853" s="40">
        <v>0</v>
      </c>
      <c r="N853" s="40">
        <v>0</v>
      </c>
      <c r="O853" s="40">
        <v>0</v>
      </c>
      <c r="P853" s="40">
        <v>0</v>
      </c>
      <c r="Q853" s="40">
        <v>0</v>
      </c>
      <c r="R853" s="40">
        <v>0</v>
      </c>
      <c r="S853" s="40">
        <v>0</v>
      </c>
      <c r="T853" s="29">
        <f t="array" aca="1" ref="T853" ca="1">+fair_value_gap(OFFSET(S852,0,0,-1*$I$5,-1*$Z$1),OFFSET(E852,0,0,-1*$I$5,1),F853:S853,0)</f>
        <v>17.90797583189908</v>
      </c>
      <c r="U853" s="9" cm="1">
        <f t="array" aca="1" ref="U853" ca="1">z_score_diff(OFFSET(T853,0,0,$I$5*-1,1),OFFSET(E853,0,0,$I$5*-1,1))</f>
        <v>9.0324758761031188E-3</v>
      </c>
      <c r="V853" s="9">
        <f t="shared" ca="1" si="111"/>
        <v>-0.18691967435411483</v>
      </c>
      <c r="W853" s="17">
        <f t="shared" ca="1" si="108"/>
        <v>0.13741540902630459</v>
      </c>
      <c r="X853" s="13">
        <f t="shared" ca="1" si="109"/>
        <v>0</v>
      </c>
      <c r="Y853" s="13">
        <f t="shared" ca="1" si="110"/>
        <v>0</v>
      </c>
      <c r="Z853">
        <f t="shared" ca="1" si="112"/>
        <v>1</v>
      </c>
      <c r="AA853">
        <f t="shared" ca="1" si="113"/>
        <v>0</v>
      </c>
      <c r="AB853" s="24">
        <f t="shared" ca="1" si="114"/>
        <v>0.13741540902630459</v>
      </c>
      <c r="AC853" s="24">
        <f t="shared" ca="1" si="115"/>
        <v>0</v>
      </c>
    </row>
    <row r="854" spans="3:29" x14ac:dyDescent="0.25">
      <c r="C854" s="6">
        <v>847</v>
      </c>
      <c r="D854" s="37">
        <v>43213</v>
      </c>
      <c r="E854" s="39">
        <v>17.867000000000001</v>
      </c>
      <c r="F854" s="39">
        <v>2.0640092872605629</v>
      </c>
      <c r="G854" s="39">
        <v>51.962783683797795</v>
      </c>
      <c r="H854" s="39">
        <v>69.295088485999969</v>
      </c>
      <c r="I854" s="10">
        <v>0</v>
      </c>
      <c r="J854" s="40">
        <v>0</v>
      </c>
      <c r="K854" s="40">
        <v>0</v>
      </c>
      <c r="L854" s="40">
        <v>1</v>
      </c>
      <c r="M854" s="40">
        <v>0</v>
      </c>
      <c r="N854" s="40">
        <v>0</v>
      </c>
      <c r="O854" s="40">
        <v>0</v>
      </c>
      <c r="P854" s="40">
        <v>0</v>
      </c>
      <c r="Q854" s="40">
        <v>0</v>
      </c>
      <c r="R854" s="40">
        <v>0</v>
      </c>
      <c r="S854" s="40">
        <v>0</v>
      </c>
      <c r="T854" s="29">
        <f t="array" aca="1" ref="T854" ca="1">+fair_value_gap(OFFSET(S853,0,0,-1*$I$5,-1*$Z$1),OFFSET(E853,0,0,-1*$I$5,1),F854:S854,0)</f>
        <v>17.982125863542418</v>
      </c>
      <c r="U854" s="9" cm="1">
        <f t="array" aca="1" ref="U854" ca="1">z_score_diff(OFFSET(T854,0,0,$I$5*-1,1),OFFSET(E854,0,0,$I$5*-1,1))</f>
        <v>4.8438407392411786E-2</v>
      </c>
      <c r="V854" s="9">
        <f t="shared" ca="1" si="111"/>
        <v>-0.16638838711295825</v>
      </c>
      <c r="W854" s="17">
        <f t="shared" ca="1" si="108"/>
        <v>0.13355937678548943</v>
      </c>
      <c r="X854" s="13">
        <f t="shared" ca="1" si="109"/>
        <v>0</v>
      </c>
      <c r="Y854" s="13">
        <f t="shared" ca="1" si="110"/>
        <v>0</v>
      </c>
      <c r="Z854">
        <f t="shared" ca="1" si="112"/>
        <v>1</v>
      </c>
      <c r="AA854">
        <f t="shared" ca="1" si="113"/>
        <v>0</v>
      </c>
      <c r="AB854" s="24">
        <f t="shared" ca="1" si="114"/>
        <v>0.13355937678548943</v>
      </c>
      <c r="AC854" s="24">
        <f t="shared" ca="1" si="115"/>
        <v>0</v>
      </c>
    </row>
    <row r="855" spans="3:29" x14ac:dyDescent="0.25">
      <c r="C855" s="6">
        <v>848</v>
      </c>
      <c r="D855" s="37">
        <v>43214</v>
      </c>
      <c r="E855" s="39">
        <v>17.803000000000001</v>
      </c>
      <c r="F855" s="39">
        <v>2.0708905765122334</v>
      </c>
      <c r="G855" s="39">
        <v>51.327231531152329</v>
      </c>
      <c r="H855" s="39">
        <v>68.769784957974025</v>
      </c>
      <c r="I855" s="10">
        <v>0</v>
      </c>
      <c r="J855" s="40">
        <v>0</v>
      </c>
      <c r="K855" s="40">
        <v>0</v>
      </c>
      <c r="L855" s="40">
        <v>1</v>
      </c>
      <c r="M855" s="40">
        <v>0</v>
      </c>
      <c r="N855" s="40">
        <v>0</v>
      </c>
      <c r="O855" s="40">
        <v>0</v>
      </c>
      <c r="P855" s="40">
        <v>0</v>
      </c>
      <c r="Q855" s="40">
        <v>0</v>
      </c>
      <c r="R855" s="40">
        <v>0</v>
      </c>
      <c r="S855" s="40">
        <v>0</v>
      </c>
      <c r="T855" s="29">
        <f t="array" aca="1" ref="T855" ca="1">+fair_value_gap(OFFSET(S854,0,0,-1*$I$5,-1*$Z$1),OFFSET(E854,0,0,-1*$I$5,1),F855:S855,0)</f>
        <v>17.77911335705808</v>
      </c>
      <c r="U855" s="9" cm="1">
        <f t="array" aca="1" ref="U855" ca="1">z_score_diff(OFFSET(T855,0,0,$I$5*-1,1),OFFSET(E855,0,0,$I$5*-1,1))</f>
        <v>-0.12418914760226474</v>
      </c>
      <c r="V855" s="9">
        <f t="shared" ca="1" si="111"/>
        <v>-0.16185875577868861</v>
      </c>
      <c r="W855" s="17">
        <f t="shared" ca="1" si="108"/>
        <v>0.14921962800221247</v>
      </c>
      <c r="X855" s="13">
        <f t="shared" ca="1" si="109"/>
        <v>0</v>
      </c>
      <c r="Y855" s="13">
        <f t="shared" ca="1" si="110"/>
        <v>0</v>
      </c>
      <c r="Z855">
        <f t="shared" ca="1" si="112"/>
        <v>1</v>
      </c>
      <c r="AA855">
        <f t="shared" ca="1" si="113"/>
        <v>0</v>
      </c>
      <c r="AB855" s="24">
        <f t="shared" ca="1" si="114"/>
        <v>0.14921962800221247</v>
      </c>
      <c r="AC855" s="24">
        <f t="shared" ca="1" si="115"/>
        <v>0</v>
      </c>
    </row>
    <row r="856" spans="3:29" x14ac:dyDescent="0.25">
      <c r="C856" s="6">
        <v>849</v>
      </c>
      <c r="D856" s="37">
        <v>43215</v>
      </c>
      <c r="E856" s="39">
        <v>17.838999999999999</v>
      </c>
      <c r="F856" s="39">
        <v>2.0885275292711483</v>
      </c>
      <c r="G856" s="39">
        <v>51.716301072372517</v>
      </c>
      <c r="H856" s="39">
        <v>70.035864950774908</v>
      </c>
      <c r="I856" s="10">
        <v>0</v>
      </c>
      <c r="J856" s="40">
        <v>0</v>
      </c>
      <c r="K856" s="40">
        <v>0</v>
      </c>
      <c r="L856" s="40">
        <v>1</v>
      </c>
      <c r="M856" s="40">
        <v>0</v>
      </c>
      <c r="N856" s="40">
        <v>0</v>
      </c>
      <c r="O856" s="40">
        <v>0</v>
      </c>
      <c r="P856" s="40">
        <v>0</v>
      </c>
      <c r="Q856" s="40">
        <v>0</v>
      </c>
      <c r="R856" s="40">
        <v>0</v>
      </c>
      <c r="S856" s="40">
        <v>0</v>
      </c>
      <c r="T856" s="29">
        <f t="array" aca="1" ref="T856" ca="1">+fair_value_gap(OFFSET(S855,0,0,-1*$I$5,-1*$Z$1),OFFSET(E855,0,0,-1*$I$5,1),F856:S856,0)</f>
        <v>17.953817921378764</v>
      </c>
      <c r="U856" s="9" cm="1">
        <f t="array" aca="1" ref="U856" ca="1">z_score_diff(OFFSET(T856,0,0,$I$5*-1,1),OFFSET(E856,0,0,$I$5*-1,1))</f>
        <v>5.837347834455886E-2</v>
      </c>
      <c r="V856" s="9">
        <f t="shared" ca="1" si="111"/>
        <v>-0.15618480055018535</v>
      </c>
      <c r="W856" s="17">
        <f t="shared" ca="1" si="108"/>
        <v>0.1553431808189327</v>
      </c>
      <c r="X856" s="13">
        <f t="shared" ca="1" si="109"/>
        <v>0</v>
      </c>
      <c r="Y856" s="13">
        <f t="shared" ca="1" si="110"/>
        <v>0</v>
      </c>
      <c r="Z856">
        <f t="shared" ca="1" si="112"/>
        <v>1</v>
      </c>
      <c r="AA856">
        <f t="shared" ca="1" si="113"/>
        <v>0</v>
      </c>
      <c r="AB856" s="24">
        <f t="shared" ca="1" si="114"/>
        <v>0.1553431808189327</v>
      </c>
      <c r="AC856" s="24">
        <f t="shared" ca="1" si="115"/>
        <v>0</v>
      </c>
    </row>
    <row r="857" spans="3:29" x14ac:dyDescent="0.25">
      <c r="C857" s="6">
        <v>850</v>
      </c>
      <c r="D857" s="37">
        <v>43216</v>
      </c>
      <c r="E857" s="39">
        <v>18.2</v>
      </c>
      <c r="F857" s="39">
        <v>2.0965582880234601</v>
      </c>
      <c r="G857" s="39">
        <v>52.57383091661184</v>
      </c>
      <c r="H857" s="39">
        <v>70.318612253323494</v>
      </c>
      <c r="I857" s="10">
        <v>0</v>
      </c>
      <c r="J857" s="40">
        <v>0</v>
      </c>
      <c r="K857" s="40">
        <v>0</v>
      </c>
      <c r="L857" s="40">
        <v>1</v>
      </c>
      <c r="M857" s="40">
        <v>0</v>
      </c>
      <c r="N857" s="40">
        <v>0</v>
      </c>
      <c r="O857" s="40">
        <v>0</v>
      </c>
      <c r="P857" s="40">
        <v>0</v>
      </c>
      <c r="Q857" s="40">
        <v>0</v>
      </c>
      <c r="R857" s="40">
        <v>0</v>
      </c>
      <c r="S857" s="40">
        <v>0</v>
      </c>
      <c r="T857" s="29">
        <f t="array" aca="1" ref="T857" ca="1">+fair_value_gap(OFFSET(S856,0,0,-1*$I$5,-1*$Z$1),OFFSET(E856,0,0,-1*$I$5,1),F857:S857,0)</f>
        <v>18.204855453585129</v>
      </c>
      <c r="U857" s="9" cm="1">
        <f t="array" aca="1" ref="U857" ca="1">z_score_diff(OFFSET(T857,0,0,$I$5*-1,1),OFFSET(E857,0,0,$I$5*-1,1))</f>
        <v>-0.16400370555349753</v>
      </c>
      <c r="V857" s="9">
        <f t="shared" ca="1" si="111"/>
        <v>-0.15632664942025723</v>
      </c>
      <c r="W857" s="17">
        <f t="shared" ca="1" si="108"/>
        <v>0.1369869537516776</v>
      </c>
      <c r="X857" s="13">
        <f t="shared" ca="1" si="109"/>
        <v>0</v>
      </c>
      <c r="Y857" s="13">
        <f t="shared" ca="1" si="110"/>
        <v>0</v>
      </c>
      <c r="Z857">
        <f t="shared" ca="1" si="112"/>
        <v>1</v>
      </c>
      <c r="AA857">
        <f t="shared" ca="1" si="113"/>
        <v>0</v>
      </c>
      <c r="AB857" s="24">
        <f t="shared" ca="1" si="114"/>
        <v>0.1369869537516776</v>
      </c>
      <c r="AC857" s="24">
        <f t="shared" ca="1" si="115"/>
        <v>0</v>
      </c>
    </row>
    <row r="858" spans="3:29" x14ac:dyDescent="0.25">
      <c r="C858" s="6">
        <v>851</v>
      </c>
      <c r="D858" s="37">
        <v>43217</v>
      </c>
      <c r="E858" s="39">
        <v>18.335000000000001</v>
      </c>
      <c r="F858" s="39">
        <v>2.1189772298402314</v>
      </c>
      <c r="G858" s="39">
        <v>53.032710566957149</v>
      </c>
      <c r="H858" s="39">
        <v>70.724304944018115</v>
      </c>
      <c r="I858" s="10">
        <v>0</v>
      </c>
      <c r="J858" s="40">
        <v>0</v>
      </c>
      <c r="K858" s="40">
        <v>0</v>
      </c>
      <c r="L858" s="40">
        <v>1</v>
      </c>
      <c r="M858" s="40">
        <v>0</v>
      </c>
      <c r="N858" s="40">
        <v>0</v>
      </c>
      <c r="O858" s="40">
        <v>0</v>
      </c>
      <c r="P858" s="40">
        <v>0</v>
      </c>
      <c r="Q858" s="40">
        <v>0</v>
      </c>
      <c r="R858" s="40">
        <v>0</v>
      </c>
      <c r="S858" s="40">
        <v>0</v>
      </c>
      <c r="T858" s="29">
        <f t="array" aca="1" ref="T858" ca="1">+fair_value_gap(OFFSET(S857,0,0,-1*$I$5,-1*$Z$1),OFFSET(E857,0,0,-1*$I$5,1),F858:S858,0)</f>
        <v>18.365479827290631</v>
      </c>
      <c r="U858" s="9" cm="1">
        <f t="array" aca="1" ref="U858" ca="1">z_score_diff(OFFSET(T858,0,0,$I$5*-1,1),OFFSET(E858,0,0,$I$5*-1,1))</f>
        <v>-0.15109780473884005</v>
      </c>
      <c r="V858" s="9">
        <f t="shared" ca="1" si="111"/>
        <v>-0.16039506242816487</v>
      </c>
      <c r="W858" s="17">
        <f t="shared" ca="1" si="108"/>
        <v>0.10382675209706078</v>
      </c>
      <c r="X858" s="13">
        <f t="shared" ca="1" si="109"/>
        <v>0</v>
      </c>
      <c r="Y858" s="13">
        <f t="shared" ca="1" si="110"/>
        <v>0</v>
      </c>
      <c r="Z858">
        <f t="shared" ca="1" si="112"/>
        <v>1</v>
      </c>
      <c r="AA858">
        <f t="shared" ca="1" si="113"/>
        <v>0</v>
      </c>
      <c r="AB858" s="24">
        <f t="shared" ca="1" si="114"/>
        <v>0.10382675209706078</v>
      </c>
      <c r="AC858" s="24">
        <f t="shared" ca="1" si="115"/>
        <v>0</v>
      </c>
    </row>
    <row r="859" spans="3:29" x14ac:dyDescent="0.25">
      <c r="C859" s="6">
        <v>852</v>
      </c>
      <c r="D859" s="37">
        <v>43220</v>
      </c>
      <c r="E859" s="39">
        <v>19.119</v>
      </c>
      <c r="F859" s="39">
        <v>2.1283232840146731</v>
      </c>
      <c r="G859" s="39">
        <v>57.265048982128562</v>
      </c>
      <c r="H859" s="39">
        <v>71.589055916857205</v>
      </c>
      <c r="I859" s="10">
        <v>0</v>
      </c>
      <c r="J859" s="40">
        <v>0</v>
      </c>
      <c r="K859" s="40">
        <v>0</v>
      </c>
      <c r="L859" s="40">
        <v>1</v>
      </c>
      <c r="M859" s="40">
        <v>0</v>
      </c>
      <c r="N859" s="40">
        <v>0</v>
      </c>
      <c r="O859" s="40">
        <v>0</v>
      </c>
      <c r="P859" s="40">
        <v>0</v>
      </c>
      <c r="Q859" s="40">
        <v>0</v>
      </c>
      <c r="R859" s="40">
        <v>0</v>
      </c>
      <c r="S859" s="40">
        <v>0</v>
      </c>
      <c r="T859" s="29">
        <f t="array" aca="1" ref="T859" ca="1">+fair_value_gap(OFFSET(S858,0,0,-1*$I$5,-1*$Z$1),OFFSET(E858,0,0,-1*$I$5,1),F859:S859,0)</f>
        <v>19.601069157032356</v>
      </c>
      <c r="U859" s="9" cm="1">
        <f t="array" aca="1" ref="U859" ca="1">z_score_diff(OFFSET(T859,0,0,$I$5*-1,1),OFFSET(E859,0,0,$I$5*-1,1))</f>
        <v>0.27071608439768635</v>
      </c>
      <c r="V859" s="9">
        <f t="shared" ca="1" si="111"/>
        <v>-0.15204749773344015</v>
      </c>
      <c r="W859" s="17">
        <f t="shared" ca="1" si="108"/>
        <v>8.1719052910735626E-2</v>
      </c>
      <c r="X859" s="13">
        <f t="shared" ca="1" si="109"/>
        <v>0</v>
      </c>
      <c r="Y859" s="13">
        <f t="shared" ca="1" si="110"/>
        <v>0</v>
      </c>
      <c r="Z859">
        <f t="shared" ca="1" si="112"/>
        <v>1</v>
      </c>
      <c r="AA859">
        <f t="shared" ca="1" si="113"/>
        <v>0</v>
      </c>
      <c r="AB859" s="24">
        <f t="shared" ca="1" si="114"/>
        <v>8.1719052910735626E-2</v>
      </c>
      <c r="AC859" s="24">
        <f t="shared" ca="1" si="115"/>
        <v>0</v>
      </c>
    </row>
    <row r="860" spans="3:29" x14ac:dyDescent="0.25">
      <c r="C860" s="6">
        <v>853</v>
      </c>
      <c r="D860" s="37">
        <v>43221</v>
      </c>
      <c r="E860" s="39">
        <v>18.885000000000002</v>
      </c>
      <c r="F860" s="39">
        <v>2.1514558104810724</v>
      </c>
      <c r="G860" s="39">
        <v>56.47267607580671</v>
      </c>
      <c r="H860" s="39">
        <v>71.476673082870818</v>
      </c>
      <c r="I860" s="10">
        <v>0</v>
      </c>
      <c r="J860" s="40">
        <v>0</v>
      </c>
      <c r="K860" s="40">
        <v>0</v>
      </c>
      <c r="L860" s="40">
        <v>0</v>
      </c>
      <c r="M860" s="40">
        <v>1</v>
      </c>
      <c r="N860" s="40">
        <v>0</v>
      </c>
      <c r="O860" s="40">
        <v>0</v>
      </c>
      <c r="P860" s="40">
        <v>0</v>
      </c>
      <c r="Q860" s="40">
        <v>0</v>
      </c>
      <c r="R860" s="40">
        <v>0</v>
      </c>
      <c r="S860" s="40">
        <v>0</v>
      </c>
      <c r="T860" s="29">
        <f t="array" aca="1" ref="T860" ca="1">+fair_value_gap(OFFSET(S859,0,0,-1*$I$5,-1*$Z$1),OFFSET(E859,0,0,-1*$I$5,1),F860:S860,0)</f>
        <v>18.442790471517704</v>
      </c>
      <c r="U860" s="9" cm="1">
        <f t="array" aca="1" ref="U860" ca="1">z_score_diff(OFFSET(T860,0,0,$I$5*-1,1),OFFSET(E860,0,0,$I$5*-1,1))</f>
        <v>-0.84597688427014806</v>
      </c>
      <c r="V860" s="9">
        <f t="shared" ca="1" si="111"/>
        <v>-0.17708344888057131</v>
      </c>
      <c r="W860" s="17">
        <f t="shared" ca="1" si="108"/>
        <v>8.127613743588373E-2</v>
      </c>
      <c r="X860" s="13">
        <f t="shared" ca="1" si="109"/>
        <v>0</v>
      </c>
      <c r="Y860" s="13">
        <f t="shared" ca="1" si="110"/>
        <v>0</v>
      </c>
      <c r="Z860">
        <f t="shared" ca="1" si="112"/>
        <v>1</v>
      </c>
      <c r="AA860">
        <f t="shared" ca="1" si="113"/>
        <v>0</v>
      </c>
      <c r="AB860" s="24">
        <f t="shared" ca="1" si="114"/>
        <v>8.127613743588373E-2</v>
      </c>
      <c r="AC860" s="24">
        <f t="shared" ca="1" si="115"/>
        <v>0</v>
      </c>
    </row>
    <row r="861" spans="3:29" x14ac:dyDescent="0.25">
      <c r="C861" s="6">
        <v>854</v>
      </c>
      <c r="D861" s="37">
        <v>43222</v>
      </c>
      <c r="E861" s="39">
        <v>18.651</v>
      </c>
      <c r="F861" s="39">
        <v>2.1595359152529792</v>
      </c>
      <c r="G861" s="39">
        <v>55.439692771238612</v>
      </c>
      <c r="H861" s="39">
        <v>70.74754578240082</v>
      </c>
      <c r="I861" s="10">
        <v>0</v>
      </c>
      <c r="J861" s="40">
        <v>0</v>
      </c>
      <c r="K861" s="40">
        <v>0</v>
      </c>
      <c r="L861" s="40">
        <v>0</v>
      </c>
      <c r="M861" s="40">
        <v>1</v>
      </c>
      <c r="N861" s="40">
        <v>0</v>
      </c>
      <c r="O861" s="40">
        <v>0</v>
      </c>
      <c r="P861" s="40">
        <v>0</v>
      </c>
      <c r="Q861" s="40">
        <v>0</v>
      </c>
      <c r="R861" s="40">
        <v>0</v>
      </c>
      <c r="S861" s="40">
        <v>0</v>
      </c>
      <c r="T861" s="29">
        <f t="array" aca="1" ref="T861" ca="1">+fair_value_gap(OFFSET(S860,0,0,-1*$I$5,-1*$Z$1),OFFSET(E860,0,0,-1*$I$5,1),F861:S861,0)</f>
        <v>18.389514813698213</v>
      </c>
      <c r="U861" s="9" cm="1">
        <f t="array" aca="1" ref="U861" ca="1">z_score_diff(OFFSET(T861,0,0,$I$5*-1,1),OFFSET(E861,0,0,$I$5*-1,1))</f>
        <v>-0.54554130506472465</v>
      </c>
      <c r="V861" s="9">
        <f t="shared" ca="1" si="111"/>
        <v>-0.19108498057621917</v>
      </c>
      <c r="W861" s="17">
        <f t="shared" ca="1" si="108"/>
        <v>9.0027216884200081E-2</v>
      </c>
      <c r="X861" s="13">
        <f t="shared" ca="1" si="109"/>
        <v>0</v>
      </c>
      <c r="Y861" s="13">
        <f t="shared" ca="1" si="110"/>
        <v>0</v>
      </c>
      <c r="Z861">
        <f t="shared" ca="1" si="112"/>
        <v>1</v>
      </c>
      <c r="AA861">
        <f t="shared" ca="1" si="113"/>
        <v>0</v>
      </c>
      <c r="AB861" s="24">
        <f t="shared" ca="1" si="114"/>
        <v>9.0027216884200081E-2</v>
      </c>
      <c r="AC861" s="24">
        <f t="shared" ca="1" si="115"/>
        <v>0</v>
      </c>
    </row>
    <row r="862" spans="3:29" x14ac:dyDescent="0.25">
      <c r="C862" s="6">
        <v>855</v>
      </c>
      <c r="D862" s="37">
        <v>43223</v>
      </c>
      <c r="E862" s="39">
        <v>18.725999999999999</v>
      </c>
      <c r="F862" s="39">
        <v>2.1387395917458019</v>
      </c>
      <c r="G862" s="39">
        <v>55.641246755094059</v>
      </c>
      <c r="H862" s="39">
        <v>70.615006981934499</v>
      </c>
      <c r="I862" s="10">
        <v>0</v>
      </c>
      <c r="J862" s="40">
        <v>0</v>
      </c>
      <c r="K862" s="40">
        <v>0</v>
      </c>
      <c r="L862" s="40">
        <v>0</v>
      </c>
      <c r="M862" s="40">
        <v>1</v>
      </c>
      <c r="N862" s="40">
        <v>0</v>
      </c>
      <c r="O862" s="40">
        <v>0</v>
      </c>
      <c r="P862" s="40">
        <v>0</v>
      </c>
      <c r="Q862" s="40">
        <v>0</v>
      </c>
      <c r="R862" s="40">
        <v>0</v>
      </c>
      <c r="S862" s="40">
        <v>0</v>
      </c>
      <c r="T862" s="29">
        <f t="array" aca="1" ref="T862" ca="1">+fair_value_gap(OFFSET(S861,0,0,-1*$I$5,-1*$Z$1),OFFSET(E861,0,0,-1*$I$5,1),F862:S862,0)</f>
        <v>18.520251754926484</v>
      </c>
      <c r="U862" s="9" cm="1">
        <f t="array" aca="1" ref="U862" ca="1">z_score_diff(OFFSET(T862,0,0,$I$5*-1,1),OFFSET(E862,0,0,$I$5*-1,1))</f>
        <v>-0.4673730651066732</v>
      </c>
      <c r="V862" s="9">
        <f t="shared" ca="1" si="111"/>
        <v>-0.20711200200602317</v>
      </c>
      <c r="W862" s="17">
        <f t="shared" ca="1" si="108"/>
        <v>9.4212415538511618E-2</v>
      </c>
      <c r="X862" s="13">
        <f t="shared" ca="1" si="109"/>
        <v>0</v>
      </c>
      <c r="Y862" s="13">
        <f t="shared" ca="1" si="110"/>
        <v>0</v>
      </c>
      <c r="Z862">
        <f t="shared" ca="1" si="112"/>
        <v>1</v>
      </c>
      <c r="AA862">
        <f t="shared" ca="1" si="113"/>
        <v>0</v>
      </c>
      <c r="AB862" s="24">
        <f t="shared" ca="1" si="114"/>
        <v>9.4212415538511618E-2</v>
      </c>
      <c r="AC862" s="24">
        <f t="shared" ca="1" si="115"/>
        <v>0</v>
      </c>
    </row>
    <row r="863" spans="3:29" x14ac:dyDescent="0.25">
      <c r="C863" s="6">
        <v>856</v>
      </c>
      <c r="D863" s="37">
        <v>43224</v>
      </c>
      <c r="E863" s="39">
        <v>19.079999999999998</v>
      </c>
      <c r="F863" s="39">
        <v>2.1336894002298799</v>
      </c>
      <c r="G863" s="39">
        <v>56.919044399519073</v>
      </c>
      <c r="H863" s="39">
        <v>71.109685992707966</v>
      </c>
      <c r="I863" s="10">
        <v>0</v>
      </c>
      <c r="J863" s="40">
        <v>0</v>
      </c>
      <c r="K863" s="40">
        <v>0</v>
      </c>
      <c r="L863" s="40">
        <v>0</v>
      </c>
      <c r="M863" s="40">
        <v>1</v>
      </c>
      <c r="N863" s="40">
        <v>0</v>
      </c>
      <c r="O863" s="40">
        <v>0</v>
      </c>
      <c r="P863" s="40">
        <v>0</v>
      </c>
      <c r="Q863" s="40">
        <v>0</v>
      </c>
      <c r="R863" s="40">
        <v>0</v>
      </c>
      <c r="S863" s="40">
        <v>0</v>
      </c>
      <c r="T863" s="29">
        <f t="array" aca="1" ref="T863" ca="1">+fair_value_gap(OFFSET(S862,0,0,-1*$I$5,-1*$Z$1),OFFSET(E862,0,0,-1*$I$5,1),F863:S863,0)</f>
        <v>18.94966752003387</v>
      </c>
      <c r="U863" s="9" cm="1">
        <f t="array" aca="1" ref="U863" ca="1">z_score_diff(OFFSET(T863,0,0,$I$5*-1,1),OFFSET(E863,0,0,$I$5*-1,1))</f>
        <v>-0.40863747777743731</v>
      </c>
      <c r="V863" s="9">
        <f t="shared" ca="1" si="111"/>
        <v>-0.22255839718369741</v>
      </c>
      <c r="W863" s="17">
        <f t="shared" ca="1" si="108"/>
        <v>7.9655598407113268E-2</v>
      </c>
      <c r="X863" s="13">
        <f t="shared" ca="1" si="109"/>
        <v>0</v>
      </c>
      <c r="Y863" s="13">
        <f t="shared" ca="1" si="110"/>
        <v>0</v>
      </c>
      <c r="Z863">
        <f t="shared" ca="1" si="112"/>
        <v>1</v>
      </c>
      <c r="AA863">
        <f t="shared" ca="1" si="113"/>
        <v>0</v>
      </c>
      <c r="AB863" s="24">
        <f t="shared" ca="1" si="114"/>
        <v>7.9655598407113268E-2</v>
      </c>
      <c r="AC863" s="24">
        <f t="shared" ca="1" si="115"/>
        <v>0</v>
      </c>
    </row>
    <row r="864" spans="3:29" x14ac:dyDescent="0.25">
      <c r="C864" s="6">
        <v>857</v>
      </c>
      <c r="D864" s="37">
        <v>43227</v>
      </c>
      <c r="E864" s="39">
        <v>19.372</v>
      </c>
      <c r="F864" s="39">
        <v>2.1371229941477066</v>
      </c>
      <c r="G864" s="39">
        <v>57.201702104870904</v>
      </c>
      <c r="H864" s="39">
        <v>71.304084928244023</v>
      </c>
      <c r="I864" s="10">
        <v>0</v>
      </c>
      <c r="J864" s="40">
        <v>0</v>
      </c>
      <c r="K864" s="40">
        <v>0</v>
      </c>
      <c r="L864" s="40">
        <v>0</v>
      </c>
      <c r="M864" s="40">
        <v>1</v>
      </c>
      <c r="N864" s="40">
        <v>0</v>
      </c>
      <c r="O864" s="40">
        <v>0</v>
      </c>
      <c r="P864" s="40">
        <v>0</v>
      </c>
      <c r="Q864" s="40">
        <v>0</v>
      </c>
      <c r="R864" s="40">
        <v>0</v>
      </c>
      <c r="S864" s="40">
        <v>0</v>
      </c>
      <c r="T864" s="29">
        <f t="array" aca="1" ref="T864" ca="1">+fair_value_gap(OFFSET(S863,0,0,-1*$I$5,-1*$Z$1),OFFSET(E863,0,0,-1*$I$5,1),F864:S864,0)</f>
        <v>19.067289966677304</v>
      </c>
      <c r="U864" s="9" cm="1">
        <f t="array" aca="1" ref="U864" ca="1">z_score_diff(OFFSET(T864,0,0,$I$5*-1,1),OFFSET(E864,0,0,$I$5*-1,1))</f>
        <v>-0.63131245694450389</v>
      </c>
      <c r="V864" s="9">
        <f t="shared" ca="1" si="111"/>
        <v>-0.24545573921627417</v>
      </c>
      <c r="W864" s="17">
        <f t="shared" ca="1" si="108"/>
        <v>6.6739663848465428E-2</v>
      </c>
      <c r="X864" s="13">
        <f t="shared" ca="1" si="109"/>
        <v>0</v>
      </c>
      <c r="Y864" s="13">
        <f t="shared" ca="1" si="110"/>
        <v>0</v>
      </c>
      <c r="Z864">
        <f t="shared" ca="1" si="112"/>
        <v>1</v>
      </c>
      <c r="AA864">
        <f t="shared" ca="1" si="113"/>
        <v>0</v>
      </c>
      <c r="AB864" s="24">
        <f t="shared" ca="1" si="114"/>
        <v>6.6739663848465428E-2</v>
      </c>
      <c r="AC864" s="24">
        <f t="shared" ca="1" si="115"/>
        <v>0</v>
      </c>
    </row>
    <row r="865" spans="3:29" x14ac:dyDescent="0.25">
      <c r="C865" s="6">
        <v>858</v>
      </c>
      <c r="D865" s="37">
        <v>43228</v>
      </c>
      <c r="E865" s="39">
        <v>19.242999999999999</v>
      </c>
      <c r="F865" s="39">
        <v>2.1275346890269544</v>
      </c>
      <c r="G865" s="39">
        <v>57.419054926713976</v>
      </c>
      <c r="H865" s="39">
        <v>71.842488459772625</v>
      </c>
      <c r="I865" s="10">
        <v>0</v>
      </c>
      <c r="J865" s="40">
        <v>0</v>
      </c>
      <c r="K865" s="40">
        <v>0</v>
      </c>
      <c r="L865" s="40">
        <v>0</v>
      </c>
      <c r="M865" s="40">
        <v>1</v>
      </c>
      <c r="N865" s="40">
        <v>0</v>
      </c>
      <c r="O865" s="40">
        <v>0</v>
      </c>
      <c r="P865" s="40">
        <v>0</v>
      </c>
      <c r="Q865" s="40">
        <v>0</v>
      </c>
      <c r="R865" s="40">
        <v>0</v>
      </c>
      <c r="S865" s="40">
        <v>0</v>
      </c>
      <c r="T865" s="29">
        <f t="array" aca="1" ref="T865" ca="1">+fair_value_gap(OFFSET(S864,0,0,-1*$I$5,-1*$Z$1),OFFSET(E864,0,0,-1*$I$5,1),F865:S865,0)</f>
        <v>19.207112389906804</v>
      </c>
      <c r="U865" s="9" cm="1">
        <f t="array" aca="1" ref="U865" ca="1">z_score_diff(OFFSET(T865,0,0,$I$5*-1,1),OFFSET(E865,0,0,$I$5*-1,1))</f>
        <v>-0.26508724497284231</v>
      </c>
      <c r="V865" s="9">
        <f t="shared" ca="1" si="111"/>
        <v>-0.24970887879790493</v>
      </c>
      <c r="W865" s="17">
        <f t="shared" ca="1" si="108"/>
        <v>6.8968619950009288E-2</v>
      </c>
      <c r="X865" s="13">
        <f t="shared" ca="1" si="109"/>
        <v>0</v>
      </c>
      <c r="Y865" s="13">
        <f t="shared" ca="1" si="110"/>
        <v>0</v>
      </c>
      <c r="Z865">
        <f t="shared" ca="1" si="112"/>
        <v>1</v>
      </c>
      <c r="AA865">
        <f t="shared" ca="1" si="113"/>
        <v>0</v>
      </c>
      <c r="AB865" s="24">
        <f t="shared" ca="1" si="114"/>
        <v>6.8968619950009288E-2</v>
      </c>
      <c r="AC865" s="24">
        <f t="shared" ca="1" si="115"/>
        <v>0</v>
      </c>
    </row>
    <row r="866" spans="3:29" x14ac:dyDescent="0.25">
      <c r="C866" s="6">
        <v>859</v>
      </c>
      <c r="D866" s="37">
        <v>43229</v>
      </c>
      <c r="E866" s="39">
        <v>19.594000000000001</v>
      </c>
      <c r="F866" s="39">
        <v>2.1285845395849101</v>
      </c>
      <c r="G866" s="39">
        <v>58.21268769694862</v>
      </c>
      <c r="H866" s="39">
        <v>72.697119487336366</v>
      </c>
      <c r="I866" s="10">
        <v>0</v>
      </c>
      <c r="J866" s="40">
        <v>0</v>
      </c>
      <c r="K866" s="40">
        <v>0</v>
      </c>
      <c r="L866" s="40">
        <v>0</v>
      </c>
      <c r="M866" s="40">
        <v>1</v>
      </c>
      <c r="N866" s="40">
        <v>0</v>
      </c>
      <c r="O866" s="40">
        <v>0</v>
      </c>
      <c r="P866" s="40">
        <v>0</v>
      </c>
      <c r="Q866" s="40">
        <v>0</v>
      </c>
      <c r="R866" s="40">
        <v>0</v>
      </c>
      <c r="S866" s="40">
        <v>0</v>
      </c>
      <c r="T866" s="29">
        <f t="array" aca="1" ref="T866" ca="1">+fair_value_gap(OFFSET(S865,0,0,-1*$I$5,-1*$Z$1),OFFSET(E865,0,0,-1*$I$5,1),F866:S866,0)</f>
        <v>19.476396011270378</v>
      </c>
      <c r="U866" s="9" cm="1">
        <f t="array" aca="1" ref="U866" ca="1">z_score_diff(OFFSET(T866,0,0,$I$5*-1,1),OFFSET(E866,0,0,$I$5*-1,1))</f>
        <v>-0.38429902135039073</v>
      </c>
      <c r="V866" s="9">
        <f t="shared" ca="1" si="111"/>
        <v>-0.25554134093399788</v>
      </c>
      <c r="W866" s="17">
        <f t="shared" ca="1" si="108"/>
        <v>7.542310750893251E-2</v>
      </c>
      <c r="X866" s="13">
        <f t="shared" ca="1" si="109"/>
        <v>0</v>
      </c>
      <c r="Y866" s="13">
        <f t="shared" ca="1" si="110"/>
        <v>0</v>
      </c>
      <c r="Z866">
        <f t="shared" ca="1" si="112"/>
        <v>1</v>
      </c>
      <c r="AA866">
        <f t="shared" ca="1" si="113"/>
        <v>0</v>
      </c>
      <c r="AB866" s="24">
        <f t="shared" ca="1" si="114"/>
        <v>7.542310750893251E-2</v>
      </c>
      <c r="AC866" s="24">
        <f t="shared" ca="1" si="115"/>
        <v>0</v>
      </c>
    </row>
    <row r="867" spans="3:29" x14ac:dyDescent="0.25">
      <c r="C867" s="6">
        <v>860</v>
      </c>
      <c r="D867" s="37">
        <v>43230</v>
      </c>
      <c r="E867" s="39">
        <v>19.795000000000002</v>
      </c>
      <c r="F867" s="39">
        <v>2.1389423646724559</v>
      </c>
      <c r="G867" s="39">
        <v>58.816196048050301</v>
      </c>
      <c r="H867" s="39">
        <v>73.313430732221391</v>
      </c>
      <c r="I867" s="10">
        <v>0</v>
      </c>
      <c r="J867" s="40">
        <v>0</v>
      </c>
      <c r="K867" s="40">
        <v>0</v>
      </c>
      <c r="L867" s="40">
        <v>0</v>
      </c>
      <c r="M867" s="40">
        <v>1</v>
      </c>
      <c r="N867" s="40">
        <v>0</v>
      </c>
      <c r="O867" s="40">
        <v>0</v>
      </c>
      <c r="P867" s="40">
        <v>0</v>
      </c>
      <c r="Q867" s="40">
        <v>0</v>
      </c>
      <c r="R867" s="40">
        <v>0</v>
      </c>
      <c r="S867" s="40">
        <v>0</v>
      </c>
      <c r="T867" s="29">
        <f t="array" aca="1" ref="T867" ca="1">+fair_value_gap(OFFSET(S866,0,0,-1*$I$5,-1*$Z$1),OFFSET(E866,0,0,-1*$I$5,1),F867:S867,0)</f>
        <v>19.697162559414259</v>
      </c>
      <c r="U867" s="9" cm="1">
        <f t="array" aca="1" ref="U867" ca="1">z_score_diff(OFFSET(T867,0,0,$I$5*-1,1),OFFSET(E867,0,0,$I$5*-1,1))</f>
        <v>-0.35834121589658308</v>
      </c>
      <c r="V867" s="9">
        <f t="shared" ca="1" si="111"/>
        <v>-0.25944300576737384</v>
      </c>
      <c r="W867" s="17">
        <f t="shared" ca="1" si="108"/>
        <v>6.8524630196021452E-2</v>
      </c>
      <c r="X867" s="13">
        <f t="shared" ca="1" si="109"/>
        <v>0</v>
      </c>
      <c r="Y867" s="13">
        <f t="shared" ca="1" si="110"/>
        <v>0</v>
      </c>
      <c r="Z867">
        <f t="shared" ca="1" si="112"/>
        <v>1</v>
      </c>
      <c r="AA867">
        <f t="shared" ca="1" si="113"/>
        <v>0</v>
      </c>
      <c r="AB867" s="24">
        <f t="shared" ca="1" si="114"/>
        <v>6.8524630196021452E-2</v>
      </c>
      <c r="AC867" s="24">
        <f t="shared" ca="1" si="115"/>
        <v>0</v>
      </c>
    </row>
    <row r="868" spans="3:29" x14ac:dyDescent="0.25">
      <c r="C868" s="6">
        <v>861</v>
      </c>
      <c r="D868" s="37">
        <v>43231</v>
      </c>
      <c r="E868" s="39">
        <v>20.158999999999999</v>
      </c>
      <c r="F868" s="39">
        <v>2.1367572610177294</v>
      </c>
      <c r="G868" s="39">
        <v>60.127202437155937</v>
      </c>
      <c r="H868" s="39">
        <v>74.222937405722476</v>
      </c>
      <c r="I868" s="10">
        <v>0</v>
      </c>
      <c r="J868" s="40">
        <v>0</v>
      </c>
      <c r="K868" s="40">
        <v>0</v>
      </c>
      <c r="L868" s="40">
        <v>0</v>
      </c>
      <c r="M868" s="40">
        <v>1</v>
      </c>
      <c r="N868" s="40">
        <v>0</v>
      </c>
      <c r="O868" s="40">
        <v>0</v>
      </c>
      <c r="P868" s="40">
        <v>0</v>
      </c>
      <c r="Q868" s="40">
        <v>0</v>
      </c>
      <c r="R868" s="40">
        <v>0</v>
      </c>
      <c r="S868" s="40">
        <v>0</v>
      </c>
      <c r="T868" s="29">
        <f t="array" aca="1" ref="T868" ca="1">+fair_value_gap(OFFSET(S867,0,0,-1*$I$5,-1*$Z$1),OFFSET(E867,0,0,-1*$I$5,1),F868:S868,0)</f>
        <v>20.12181573904374</v>
      </c>
      <c r="U868" s="9" cm="1">
        <f t="array" aca="1" ref="U868" ca="1">z_score_diff(OFFSET(T868,0,0,$I$5*-1,1),OFFSET(E868,0,0,$I$5*-1,1))</f>
        <v>-0.30225002090010644</v>
      </c>
      <c r="V868" s="9">
        <f t="shared" ca="1" si="111"/>
        <v>-0.25504674080479572</v>
      </c>
      <c r="W868" s="17">
        <f t="shared" ca="1" si="108"/>
        <v>8.3520495072485976E-2</v>
      </c>
      <c r="X868" s="13">
        <f t="shared" ca="1" si="109"/>
        <v>0</v>
      </c>
      <c r="Y868" s="13">
        <f t="shared" ca="1" si="110"/>
        <v>0</v>
      </c>
      <c r="Z868">
        <f t="shared" ca="1" si="112"/>
        <v>1</v>
      </c>
      <c r="AA868">
        <f t="shared" ca="1" si="113"/>
        <v>0</v>
      </c>
      <c r="AB868" s="24">
        <f t="shared" ca="1" si="114"/>
        <v>8.3520495072485976E-2</v>
      </c>
      <c r="AC868" s="24">
        <f t="shared" ca="1" si="115"/>
        <v>0</v>
      </c>
    </row>
    <row r="869" spans="3:29" x14ac:dyDescent="0.25">
      <c r="C869" s="6">
        <v>862</v>
      </c>
      <c r="D869" s="37">
        <v>43234</v>
      </c>
      <c r="E869" s="39">
        <v>20.437000000000001</v>
      </c>
      <c r="F869" s="39">
        <v>2.1471081287496334</v>
      </c>
      <c r="G869" s="39">
        <v>61.176586143352559</v>
      </c>
      <c r="H869" s="39">
        <v>75.973363690656313</v>
      </c>
      <c r="I869" s="10">
        <v>0</v>
      </c>
      <c r="J869" s="40">
        <v>0</v>
      </c>
      <c r="K869" s="40">
        <v>0</v>
      </c>
      <c r="L869" s="40">
        <v>0</v>
      </c>
      <c r="M869" s="40">
        <v>1</v>
      </c>
      <c r="N869" s="40">
        <v>0</v>
      </c>
      <c r="O869" s="40">
        <v>0</v>
      </c>
      <c r="P869" s="40">
        <v>0</v>
      </c>
      <c r="Q869" s="40">
        <v>0</v>
      </c>
      <c r="R869" s="40">
        <v>0</v>
      </c>
      <c r="S869" s="40">
        <v>0</v>
      </c>
      <c r="T869" s="29">
        <f t="array" aca="1" ref="T869" ca="1">+fair_value_gap(OFFSET(S868,0,0,-1*$I$5,-1*$Z$1),OFFSET(E868,0,0,-1*$I$5,1),F869:S869,0)</f>
        <v>20.508781669843849</v>
      </c>
      <c r="U869" s="9" cm="1">
        <f t="array" aca="1" ref="U869" ca="1">z_score_diff(OFFSET(T869,0,0,$I$5*-1,1),OFFSET(E869,0,0,$I$5*-1,1))</f>
        <v>-0.18961877542812466</v>
      </c>
      <c r="V869" s="9">
        <f t="shared" ca="1" si="111"/>
        <v>-0.24756667194824974</v>
      </c>
      <c r="W869" s="17">
        <f t="shared" ca="1" si="108"/>
        <v>7.8818687348862326E-2</v>
      </c>
      <c r="X869" s="13">
        <f t="shared" ca="1" si="109"/>
        <v>0</v>
      </c>
      <c r="Y869" s="13">
        <f t="shared" ca="1" si="110"/>
        <v>0</v>
      </c>
      <c r="Z869">
        <f t="shared" ca="1" si="112"/>
        <v>1</v>
      </c>
      <c r="AA869">
        <f t="shared" ca="1" si="113"/>
        <v>0</v>
      </c>
      <c r="AB869" s="24">
        <f t="shared" ca="1" si="114"/>
        <v>7.8818687348862326E-2</v>
      </c>
      <c r="AC869" s="24">
        <f t="shared" ca="1" si="115"/>
        <v>0</v>
      </c>
    </row>
    <row r="870" spans="3:29" x14ac:dyDescent="0.25">
      <c r="C870" s="6">
        <v>863</v>
      </c>
      <c r="D870" s="37">
        <v>43235</v>
      </c>
      <c r="E870" s="39">
        <v>20.652000000000001</v>
      </c>
      <c r="F870" s="39">
        <v>2.1566100056392492</v>
      </c>
      <c r="G870" s="39">
        <v>61.588377810718463</v>
      </c>
      <c r="H870" s="39">
        <v>74.961733666317571</v>
      </c>
      <c r="I870" s="10">
        <v>0</v>
      </c>
      <c r="J870" s="40">
        <v>0</v>
      </c>
      <c r="K870" s="40">
        <v>0</v>
      </c>
      <c r="L870" s="40">
        <v>0</v>
      </c>
      <c r="M870" s="40">
        <v>1</v>
      </c>
      <c r="N870" s="40">
        <v>0</v>
      </c>
      <c r="O870" s="40">
        <v>0</v>
      </c>
      <c r="P870" s="40">
        <v>0</v>
      </c>
      <c r="Q870" s="40">
        <v>0</v>
      </c>
      <c r="R870" s="40">
        <v>0</v>
      </c>
      <c r="S870" s="40">
        <v>0</v>
      </c>
      <c r="T870" s="29">
        <f t="array" aca="1" ref="T870" ca="1">+fair_value_gap(OFFSET(S869,0,0,-1*$I$5,-1*$Z$1),OFFSET(E869,0,0,-1*$I$5,1),F870:S870,0)</f>
        <v>20.569912733162624</v>
      </c>
      <c r="U870" s="9" cm="1">
        <f t="array" aca="1" ref="U870" ca="1">z_score_diff(OFFSET(T870,0,0,$I$5*-1,1),OFFSET(E870,0,0,$I$5*-1,1))</f>
        <v>-0.34089750785907302</v>
      </c>
      <c r="V870" s="9">
        <f t="shared" ca="1" si="111"/>
        <v>-0.24154424898290269</v>
      </c>
      <c r="W870" s="17">
        <f t="shared" ca="1" si="108"/>
        <v>6.6135154033543281E-2</v>
      </c>
      <c r="X870" s="13">
        <f t="shared" ca="1" si="109"/>
        <v>0</v>
      </c>
      <c r="Y870" s="13">
        <f t="shared" ca="1" si="110"/>
        <v>0</v>
      </c>
      <c r="Z870">
        <f t="shared" ca="1" si="112"/>
        <v>1</v>
      </c>
      <c r="AA870">
        <f t="shared" ca="1" si="113"/>
        <v>0</v>
      </c>
      <c r="AB870" s="24">
        <f t="shared" ca="1" si="114"/>
        <v>6.6135154033543281E-2</v>
      </c>
      <c r="AC870" s="24">
        <f t="shared" ca="1" si="115"/>
        <v>0</v>
      </c>
    </row>
    <row r="871" spans="3:29" x14ac:dyDescent="0.25">
      <c r="C871" s="6">
        <v>864</v>
      </c>
      <c r="D871" s="37">
        <v>43236</v>
      </c>
      <c r="E871" s="39">
        <v>20.73</v>
      </c>
      <c r="F871" s="39">
        <v>2.163674983376545</v>
      </c>
      <c r="G871" s="39">
        <v>61.94533271054901</v>
      </c>
      <c r="H871" s="39">
        <v>75.663988869758569</v>
      </c>
      <c r="I871" s="10">
        <v>0</v>
      </c>
      <c r="J871" s="40">
        <v>0</v>
      </c>
      <c r="K871" s="40">
        <v>0</v>
      </c>
      <c r="L871" s="40">
        <v>0</v>
      </c>
      <c r="M871" s="40">
        <v>1</v>
      </c>
      <c r="N871" s="40">
        <v>0</v>
      </c>
      <c r="O871" s="40">
        <v>0</v>
      </c>
      <c r="P871" s="40">
        <v>0</v>
      </c>
      <c r="Q871" s="40">
        <v>0</v>
      </c>
      <c r="R871" s="40">
        <v>0</v>
      </c>
      <c r="S871" s="40">
        <v>0</v>
      </c>
      <c r="T871" s="29">
        <f t="array" aca="1" ref="T871" ca="1">+fair_value_gap(OFFSET(S870,0,0,-1*$I$5,-1*$Z$1),OFFSET(E870,0,0,-1*$I$5,1),F871:S871,0)</f>
        <v>20.715518782757353</v>
      </c>
      <c r="U871" s="9" cm="1">
        <f t="array" aca="1" ref="U871" ca="1">z_score_diff(OFFSET(T871,0,0,$I$5*-1,1),OFFSET(E871,0,0,$I$5*-1,1))</f>
        <v>-0.25035040381497753</v>
      </c>
      <c r="V871" s="9">
        <f t="shared" ca="1" si="111"/>
        <v>-0.24005425720631227</v>
      </c>
      <c r="W871" s="17">
        <f t="shared" ca="1" si="108"/>
        <v>6.0096688153511636E-2</v>
      </c>
      <c r="X871" s="13">
        <f t="shared" ca="1" si="109"/>
        <v>0</v>
      </c>
      <c r="Y871" s="13">
        <f t="shared" ca="1" si="110"/>
        <v>0</v>
      </c>
      <c r="Z871">
        <f t="shared" ca="1" si="112"/>
        <v>1</v>
      </c>
      <c r="AA871">
        <f t="shared" ca="1" si="113"/>
        <v>0</v>
      </c>
      <c r="AB871" s="24">
        <f t="shared" ca="1" si="114"/>
        <v>6.0096688153511636E-2</v>
      </c>
      <c r="AC871" s="24">
        <f t="shared" ca="1" si="115"/>
        <v>0</v>
      </c>
    </row>
    <row r="872" spans="3:29" x14ac:dyDescent="0.25">
      <c r="C872" s="6">
        <v>865</v>
      </c>
      <c r="D872" s="37">
        <v>43237</v>
      </c>
      <c r="E872" s="39">
        <v>21.312999999999999</v>
      </c>
      <c r="F872" s="39">
        <v>2.1812482207096457</v>
      </c>
      <c r="G872" s="39">
        <v>63.760234529709237</v>
      </c>
      <c r="H872" s="39">
        <v>76.509485235125126</v>
      </c>
      <c r="I872" s="10">
        <v>0</v>
      </c>
      <c r="J872" s="40">
        <v>0</v>
      </c>
      <c r="K872" s="40">
        <v>0</v>
      </c>
      <c r="L872" s="40">
        <v>0</v>
      </c>
      <c r="M872" s="40">
        <v>1</v>
      </c>
      <c r="N872" s="40">
        <v>0</v>
      </c>
      <c r="O872" s="40">
        <v>0</v>
      </c>
      <c r="P872" s="40">
        <v>0</v>
      </c>
      <c r="Q872" s="40">
        <v>0</v>
      </c>
      <c r="R872" s="40">
        <v>0</v>
      </c>
      <c r="S872" s="40">
        <v>0</v>
      </c>
      <c r="T872" s="29">
        <f t="array" aca="1" ref="T872" ca="1">+fair_value_gap(OFFSET(S871,0,0,-1*$I$5,-1*$Z$1),OFFSET(E871,0,0,-1*$I$5,1),F872:S872,0)</f>
        <v>21.273396588767476</v>
      </c>
      <c r="U872" s="9" cm="1">
        <f t="array" aca="1" ref="U872" ca="1">z_score_diff(OFFSET(T872,0,0,$I$5*-1,1),OFFSET(E872,0,0,$I$5*-1,1))</f>
        <v>-0.28750709743987635</v>
      </c>
      <c r="V872" s="9">
        <f t="shared" ca="1" si="111"/>
        <v>-0.23871445602301072</v>
      </c>
      <c r="W872" s="17">
        <f t="shared" ca="1" si="108"/>
        <v>4.2440353018193419E-2</v>
      </c>
      <c r="X872" s="13">
        <f t="shared" ca="1" si="109"/>
        <v>0</v>
      </c>
      <c r="Y872" s="13">
        <f t="shared" ca="1" si="110"/>
        <v>0</v>
      </c>
      <c r="Z872">
        <f t="shared" ca="1" si="112"/>
        <v>1</v>
      </c>
      <c r="AA872">
        <f t="shared" ca="1" si="113"/>
        <v>0</v>
      </c>
      <c r="AB872" s="24">
        <f t="shared" ca="1" si="114"/>
        <v>4.2440353018193419E-2</v>
      </c>
      <c r="AC872" s="24">
        <f t="shared" ca="1" si="115"/>
        <v>0</v>
      </c>
    </row>
    <row r="873" spans="3:29" x14ac:dyDescent="0.25">
      <c r="C873" s="6">
        <v>866</v>
      </c>
      <c r="D873" s="37">
        <v>43238</v>
      </c>
      <c r="E873" s="39">
        <v>21.141999999999999</v>
      </c>
      <c r="F873" s="39">
        <v>2.1935226661307783</v>
      </c>
      <c r="G873" s="39">
        <v>63.207558832818037</v>
      </c>
      <c r="H873" s="39">
        <v>75.035167670376822</v>
      </c>
      <c r="I873" s="10">
        <v>0</v>
      </c>
      <c r="J873" s="40">
        <v>0</v>
      </c>
      <c r="K873" s="40">
        <v>0</v>
      </c>
      <c r="L873" s="40">
        <v>0</v>
      </c>
      <c r="M873" s="40">
        <v>1</v>
      </c>
      <c r="N873" s="40">
        <v>0</v>
      </c>
      <c r="O873" s="40">
        <v>0</v>
      </c>
      <c r="P873" s="40">
        <v>0</v>
      </c>
      <c r="Q873" s="40">
        <v>0</v>
      </c>
      <c r="R873" s="40">
        <v>0</v>
      </c>
      <c r="S873" s="40">
        <v>0</v>
      </c>
      <c r="T873" s="29">
        <f t="array" aca="1" ref="T873" ca="1">+fair_value_gap(OFFSET(S872,0,0,-1*$I$5,-1*$Z$1),OFFSET(E872,0,0,-1*$I$5,1),F873:S873,0)</f>
        <v>21.058831440057212</v>
      </c>
      <c r="U873" s="9" cm="1">
        <f t="array" aca="1" ref="U873" ca="1">z_score_diff(OFFSET(T873,0,0,$I$5*-1,1),OFFSET(E873,0,0,$I$5*-1,1))</f>
        <v>-0.28441422225348578</v>
      </c>
      <c r="V873" s="9">
        <f t="shared" ca="1" si="111"/>
        <v>-0.23957984650359937</v>
      </c>
      <c r="W873" s="17">
        <f t="shared" ca="1" si="108"/>
        <v>4.5988833397867968E-2</v>
      </c>
      <c r="X873" s="13">
        <f t="shared" ca="1" si="109"/>
        <v>0</v>
      </c>
      <c r="Y873" s="13">
        <f t="shared" ca="1" si="110"/>
        <v>0</v>
      </c>
      <c r="Z873">
        <f t="shared" ca="1" si="112"/>
        <v>1</v>
      </c>
      <c r="AA873">
        <f t="shared" ca="1" si="113"/>
        <v>0</v>
      </c>
      <c r="AB873" s="24">
        <f t="shared" ca="1" si="114"/>
        <v>4.5988833397867968E-2</v>
      </c>
      <c r="AC873" s="24">
        <f t="shared" ca="1" si="115"/>
        <v>0</v>
      </c>
    </row>
    <row r="874" spans="3:29" x14ac:dyDescent="0.25">
      <c r="C874" s="6">
        <v>867</v>
      </c>
      <c r="D874" s="37">
        <v>43241</v>
      </c>
      <c r="E874" s="39">
        <v>21.369</v>
      </c>
      <c r="F874" s="39">
        <v>2.1912245863649051</v>
      </c>
      <c r="G874" s="39">
        <v>63.527218926976666</v>
      </c>
      <c r="H874" s="39">
        <v>75.629198532712664</v>
      </c>
      <c r="I874" s="10">
        <v>0</v>
      </c>
      <c r="J874" s="40">
        <v>0</v>
      </c>
      <c r="K874" s="40">
        <v>0</v>
      </c>
      <c r="L874" s="40">
        <v>0</v>
      </c>
      <c r="M874" s="40">
        <v>1</v>
      </c>
      <c r="N874" s="40">
        <v>0</v>
      </c>
      <c r="O874" s="40">
        <v>0</v>
      </c>
      <c r="P874" s="40">
        <v>0</v>
      </c>
      <c r="Q874" s="40">
        <v>0</v>
      </c>
      <c r="R874" s="40">
        <v>0</v>
      </c>
      <c r="S874" s="40">
        <v>0</v>
      </c>
      <c r="T874" s="29">
        <f t="array" aca="1" ref="T874" ca="1">+fair_value_gap(OFFSET(S873,0,0,-1*$I$5,-1*$Z$1),OFFSET(E873,0,0,-1*$I$5,1),F874:S874,0)</f>
        <v>21.184490897042181</v>
      </c>
      <c r="U874" s="9" cm="1">
        <f t="array" aca="1" ref="U874" ca="1">z_score_diff(OFFSET(T874,0,0,$I$5*-1,1),OFFSET(E874,0,0,$I$5*-1,1))</f>
        <v>-0.35555572103032551</v>
      </c>
      <c r="V874" s="9">
        <f t="shared" ca="1" si="111"/>
        <v>-0.25440040585658896</v>
      </c>
      <c r="W874" s="17">
        <f t="shared" ca="1" si="108"/>
        <v>5.0640266385956818E-2</v>
      </c>
      <c r="X874" s="13">
        <f t="shared" ca="1" si="109"/>
        <v>0</v>
      </c>
      <c r="Y874" s="13">
        <f t="shared" ca="1" si="110"/>
        <v>0</v>
      </c>
      <c r="Z874">
        <f t="shared" ca="1" si="112"/>
        <v>1</v>
      </c>
      <c r="AA874">
        <f t="shared" ca="1" si="113"/>
        <v>0</v>
      </c>
      <c r="AB874" s="24">
        <f t="shared" ca="1" si="114"/>
        <v>5.0640266385956818E-2</v>
      </c>
      <c r="AC874" s="24">
        <f t="shared" ca="1" si="115"/>
        <v>0</v>
      </c>
    </row>
    <row r="875" spans="3:29" x14ac:dyDescent="0.25">
      <c r="C875" s="6">
        <v>868</v>
      </c>
      <c r="D875" s="37">
        <v>43242</v>
      </c>
      <c r="E875" s="39">
        <v>21.673999999999999</v>
      </c>
      <c r="F875" s="39">
        <v>2.2188744372874525</v>
      </c>
      <c r="G875" s="39">
        <v>64.751782967417142</v>
      </c>
      <c r="H875" s="39">
        <v>76.013246866578541</v>
      </c>
      <c r="I875" s="10">
        <v>0</v>
      </c>
      <c r="J875" s="40">
        <v>0</v>
      </c>
      <c r="K875" s="40">
        <v>0</v>
      </c>
      <c r="L875" s="40">
        <v>0</v>
      </c>
      <c r="M875" s="40">
        <v>1</v>
      </c>
      <c r="N875" s="40">
        <v>0</v>
      </c>
      <c r="O875" s="40">
        <v>0</v>
      </c>
      <c r="P875" s="40">
        <v>0</v>
      </c>
      <c r="Q875" s="40">
        <v>0</v>
      </c>
      <c r="R875" s="40">
        <v>0</v>
      </c>
      <c r="S875" s="40">
        <v>0</v>
      </c>
      <c r="T875" s="29">
        <f t="array" aca="1" ref="T875" ca="1">+fair_value_gap(OFFSET(S874,0,0,-1*$I$5,-1*$Z$1),OFFSET(E874,0,0,-1*$I$5,1),F875:S875,0)</f>
        <v>21.578505467429142</v>
      </c>
      <c r="U875" s="9" cm="1">
        <f t="array" aca="1" ref="U875" ca="1">z_score_diff(OFFSET(T875,0,0,$I$5*-1,1),OFFSET(E875,0,0,$I$5*-1,1))</f>
        <v>-0.25986928650192187</v>
      </c>
      <c r="V875" s="9">
        <f t="shared" ca="1" si="111"/>
        <v>-0.21099093560475182</v>
      </c>
      <c r="W875" s="17">
        <f t="shared" ca="1" si="108"/>
        <v>4.0552510948816178E-2</v>
      </c>
      <c r="X875" s="13">
        <f t="shared" ca="1" si="109"/>
        <v>0</v>
      </c>
      <c r="Y875" s="13">
        <f t="shared" ca="1" si="110"/>
        <v>0</v>
      </c>
      <c r="Z875">
        <f t="shared" ca="1" si="112"/>
        <v>1</v>
      </c>
      <c r="AA875">
        <f t="shared" ca="1" si="113"/>
        <v>0</v>
      </c>
      <c r="AB875" s="24">
        <f t="shared" ca="1" si="114"/>
        <v>4.0552510948816178E-2</v>
      </c>
      <c r="AC875" s="24">
        <f t="shared" ca="1" si="115"/>
        <v>0</v>
      </c>
    </row>
    <row r="876" spans="3:29" x14ac:dyDescent="0.25">
      <c r="C876" s="6">
        <v>869</v>
      </c>
      <c r="D876" s="37">
        <v>43243</v>
      </c>
      <c r="E876" s="39">
        <v>21.507000000000001</v>
      </c>
      <c r="F876" s="39">
        <v>2.2408099871440967</v>
      </c>
      <c r="G876" s="39">
        <v>64.31944915762017</v>
      </c>
      <c r="H876" s="39">
        <v>75.78130608142942</v>
      </c>
      <c r="I876" s="10">
        <v>0</v>
      </c>
      <c r="J876" s="40">
        <v>0</v>
      </c>
      <c r="K876" s="40">
        <v>0</v>
      </c>
      <c r="L876" s="40">
        <v>0</v>
      </c>
      <c r="M876" s="40">
        <v>1</v>
      </c>
      <c r="N876" s="40">
        <v>0</v>
      </c>
      <c r="O876" s="40">
        <v>0</v>
      </c>
      <c r="P876" s="40">
        <v>0</v>
      </c>
      <c r="Q876" s="40">
        <v>0</v>
      </c>
      <c r="R876" s="40">
        <v>0</v>
      </c>
      <c r="S876" s="40">
        <v>0</v>
      </c>
      <c r="T876" s="29">
        <f t="array" aca="1" ref="T876" ca="1">+fair_value_gap(OFFSET(S875,0,0,-1*$I$5,-1*$Z$1),OFFSET(E875,0,0,-1*$I$5,1),F876:S876,0)</f>
        <v>21.462162054625043</v>
      </c>
      <c r="U876" s="9" cm="1">
        <f t="array" aca="1" ref="U876" ca="1">z_score_diff(OFFSET(T876,0,0,$I$5*-1,1),OFFSET(E876,0,0,$I$5*-1,1))</f>
        <v>-0.18526721907906607</v>
      </c>
      <c r="V876" s="9">
        <f t="shared" ca="1" si="111"/>
        <v>-0.19336515032093451</v>
      </c>
      <c r="W876" s="17">
        <f t="shared" ca="1" si="108"/>
        <v>4.2243775889101755E-2</v>
      </c>
      <c r="X876" s="13">
        <f t="shared" ca="1" si="109"/>
        <v>0</v>
      </c>
      <c r="Y876" s="13">
        <f t="shared" ca="1" si="110"/>
        <v>0</v>
      </c>
      <c r="Z876">
        <f t="shared" ca="1" si="112"/>
        <v>1</v>
      </c>
      <c r="AA876">
        <f t="shared" ca="1" si="113"/>
        <v>0</v>
      </c>
      <c r="AB876" s="24">
        <f t="shared" ca="1" si="114"/>
        <v>4.2243775889101755E-2</v>
      </c>
      <c r="AC876" s="24">
        <f t="shared" ca="1" si="115"/>
        <v>0</v>
      </c>
    </row>
    <row r="877" spans="3:29" x14ac:dyDescent="0.25">
      <c r="C877" s="6">
        <v>870</v>
      </c>
      <c r="D877" s="37">
        <v>43244</v>
      </c>
      <c r="E877" s="39">
        <v>21.245999999999999</v>
      </c>
      <c r="F877" s="39">
        <v>2.2371182596538288</v>
      </c>
      <c r="G877" s="39">
        <v>63.583614189916958</v>
      </c>
      <c r="H877" s="39">
        <v>75.886241437875412</v>
      </c>
      <c r="I877" s="10">
        <v>0</v>
      </c>
      <c r="J877" s="40">
        <v>0</v>
      </c>
      <c r="K877" s="40">
        <v>0</v>
      </c>
      <c r="L877" s="40">
        <v>0</v>
      </c>
      <c r="M877" s="40">
        <v>1</v>
      </c>
      <c r="N877" s="40">
        <v>0</v>
      </c>
      <c r="O877" s="40">
        <v>0</v>
      </c>
      <c r="P877" s="40">
        <v>0</v>
      </c>
      <c r="Q877" s="40">
        <v>0</v>
      </c>
      <c r="R877" s="40">
        <v>0</v>
      </c>
      <c r="S877" s="40">
        <v>0</v>
      </c>
      <c r="T877" s="29">
        <f t="array" aca="1" ref="T877" ca="1">+fair_value_gap(OFFSET(S876,0,0,-1*$I$5,-1*$Z$1),OFFSET(E876,0,0,-1*$I$5,1),F877:S877,0)</f>
        <v>21.265950410379268</v>
      </c>
      <c r="U877" s="9" cm="1">
        <f t="array" aca="1" ref="U877" ca="1">z_score_diff(OFFSET(T877,0,0,$I$5*-1,1),OFFSET(E877,0,0,$I$5*-1,1))</f>
        <v>-0.10698585272051364</v>
      </c>
      <c r="V877" s="9">
        <f t="shared" ca="1" si="111"/>
        <v>-0.1812185331241439</v>
      </c>
      <c r="W877" s="17">
        <f t="shared" ca="1" si="108"/>
        <v>3.0363655522608144E-2</v>
      </c>
      <c r="X877" s="13">
        <f t="shared" ca="1" si="109"/>
        <v>0</v>
      </c>
      <c r="Y877" s="13">
        <f t="shared" ca="1" si="110"/>
        <v>0</v>
      </c>
      <c r="Z877">
        <f t="shared" ca="1" si="112"/>
        <v>1</v>
      </c>
      <c r="AA877">
        <f t="shared" ca="1" si="113"/>
        <v>0</v>
      </c>
      <c r="AB877" s="24">
        <f t="shared" ca="1" si="114"/>
        <v>3.0363655522608144E-2</v>
      </c>
      <c r="AC877" s="24">
        <f t="shared" ca="1" si="115"/>
        <v>0</v>
      </c>
    </row>
    <row r="878" spans="3:29" x14ac:dyDescent="0.25">
      <c r="C878" s="6">
        <v>871</v>
      </c>
      <c r="D878" s="37">
        <v>43245</v>
      </c>
      <c r="E878" s="39">
        <v>20.401</v>
      </c>
      <c r="F878" s="39">
        <v>2.2519053953982162</v>
      </c>
      <c r="G878" s="39">
        <v>60.865207501140731</v>
      </c>
      <c r="H878" s="39">
        <v>74.380869371465266</v>
      </c>
      <c r="I878" s="10">
        <v>0</v>
      </c>
      <c r="J878" s="40">
        <v>0</v>
      </c>
      <c r="K878" s="40">
        <v>0</v>
      </c>
      <c r="L878" s="40">
        <v>0</v>
      </c>
      <c r="M878" s="40">
        <v>1</v>
      </c>
      <c r="N878" s="40">
        <v>0</v>
      </c>
      <c r="O878" s="40">
        <v>0</v>
      </c>
      <c r="P878" s="40">
        <v>0</v>
      </c>
      <c r="Q878" s="40">
        <v>0</v>
      </c>
      <c r="R878" s="40">
        <v>0</v>
      </c>
      <c r="S878" s="40">
        <v>0</v>
      </c>
      <c r="T878" s="29">
        <f t="array" aca="1" ref="T878" ca="1">+fair_value_gap(OFFSET(S877,0,0,-1*$I$5,-1*$Z$1),OFFSET(E877,0,0,-1*$I$5,1),F878:S878,0)</f>
        <v>20.468679871085826</v>
      </c>
      <c r="U878" s="9" cm="1">
        <f t="array" aca="1" ref="U878" ca="1">z_score_diff(OFFSET(T878,0,0,$I$5*-1,1),OFFSET(E878,0,0,$I$5*-1,1))</f>
        <v>-2.566637749266043E-2</v>
      </c>
      <c r="V878" s="9">
        <f t="shared" ca="1" si="111"/>
        <v>-0.17482580907129225</v>
      </c>
      <c r="W878" s="17">
        <f t="shared" ca="1" si="108"/>
        <v>8.2072974019324341E-2</v>
      </c>
      <c r="X878" s="13">
        <f t="shared" ca="1" si="109"/>
        <v>0</v>
      </c>
      <c r="Y878" s="13">
        <f t="shared" ca="1" si="110"/>
        <v>0</v>
      </c>
      <c r="Z878">
        <f t="shared" ca="1" si="112"/>
        <v>1</v>
      </c>
      <c r="AA878">
        <f t="shared" ca="1" si="113"/>
        <v>0</v>
      </c>
      <c r="AB878" s="24">
        <f t="shared" ca="1" si="114"/>
        <v>8.2072974019324341E-2</v>
      </c>
      <c r="AC878" s="24">
        <f t="shared" ca="1" si="115"/>
        <v>0</v>
      </c>
    </row>
    <row r="879" spans="3:29" x14ac:dyDescent="0.25">
      <c r="C879" s="6">
        <v>872</v>
      </c>
      <c r="D879" s="37">
        <v>43248</v>
      </c>
      <c r="E879" s="39">
        <v>20.326000000000001</v>
      </c>
      <c r="F879" s="39">
        <v>2.257901835068854</v>
      </c>
      <c r="G879" s="39">
        <v>61.012956684059873</v>
      </c>
      <c r="H879" s="39">
        <v>75.153880650709397</v>
      </c>
      <c r="I879" s="10">
        <v>0</v>
      </c>
      <c r="J879" s="40">
        <v>0</v>
      </c>
      <c r="K879" s="40">
        <v>0</v>
      </c>
      <c r="L879" s="40">
        <v>0</v>
      </c>
      <c r="M879" s="40">
        <v>1</v>
      </c>
      <c r="N879" s="40">
        <v>0</v>
      </c>
      <c r="O879" s="40">
        <v>0</v>
      </c>
      <c r="P879" s="40">
        <v>0</v>
      </c>
      <c r="Q879" s="40">
        <v>0</v>
      </c>
      <c r="R879" s="40">
        <v>0</v>
      </c>
      <c r="S879" s="40">
        <v>0</v>
      </c>
      <c r="T879" s="29">
        <f t="array" aca="1" ref="T879" ca="1">+fair_value_gap(OFFSET(S878,0,0,-1*$I$5,-1*$Z$1),OFFSET(E878,0,0,-1*$I$5,1),F879:S879,0)</f>
        <v>20.537170980757509</v>
      </c>
      <c r="U879" s="9" cm="1">
        <f t="array" aca="1" ref="U879" ca="1">z_score_diff(OFFSET(T879,0,0,$I$5*-1,1),OFFSET(E879,0,0,$I$5*-1,1))</f>
        <v>9.1241376060524182E-2</v>
      </c>
      <c r="V879" s="9">
        <f t="shared" ca="1" si="111"/>
        <v>-0.16618856995681963</v>
      </c>
      <c r="W879" s="17">
        <f t="shared" ca="1" si="108"/>
        <v>6.6332640350159941E-2</v>
      </c>
      <c r="X879" s="13">
        <f t="shared" ca="1" si="109"/>
        <v>0</v>
      </c>
      <c r="Y879" s="13">
        <f t="shared" ca="1" si="110"/>
        <v>0</v>
      </c>
      <c r="Z879">
        <f t="shared" ca="1" si="112"/>
        <v>1</v>
      </c>
      <c r="AA879">
        <f t="shared" ca="1" si="113"/>
        <v>0</v>
      </c>
      <c r="AB879" s="24">
        <f t="shared" ca="1" si="114"/>
        <v>6.6332640350159941E-2</v>
      </c>
      <c r="AC879" s="24">
        <f t="shared" ca="1" si="115"/>
        <v>0</v>
      </c>
    </row>
    <row r="880" spans="3:29" x14ac:dyDescent="0.25">
      <c r="C880" s="6">
        <v>873</v>
      </c>
      <c r="D880" s="37">
        <v>43249</v>
      </c>
      <c r="E880" s="39">
        <v>20.411000000000001</v>
      </c>
      <c r="F880" s="39">
        <v>2.2580080953403305</v>
      </c>
      <c r="G880" s="39">
        <v>61.243569651011022</v>
      </c>
      <c r="H880" s="39">
        <v>76.344546835845961</v>
      </c>
      <c r="I880" s="10">
        <v>0</v>
      </c>
      <c r="J880" s="40">
        <v>0</v>
      </c>
      <c r="K880" s="40">
        <v>0</v>
      </c>
      <c r="L880" s="40">
        <v>0</v>
      </c>
      <c r="M880" s="40">
        <v>1</v>
      </c>
      <c r="N880" s="40">
        <v>0</v>
      </c>
      <c r="O880" s="40">
        <v>0</v>
      </c>
      <c r="P880" s="40">
        <v>0</v>
      </c>
      <c r="Q880" s="40">
        <v>0</v>
      </c>
      <c r="R880" s="40">
        <v>0</v>
      </c>
      <c r="S880" s="40">
        <v>0</v>
      </c>
      <c r="T880" s="29">
        <f t="array" aca="1" ref="T880" ca="1">+fair_value_gap(OFFSET(S879,0,0,-1*$I$5,-1*$Z$1),OFFSET(E879,0,0,-1*$I$5,1),F880:S880,0)</f>
        <v>20.631873236144404</v>
      </c>
      <c r="U880" s="9" cm="1">
        <f t="array" aca="1" ref="U880" ca="1">z_score_diff(OFFSET(T880,0,0,$I$5*-1,1),OFFSET(E880,0,0,$I$5*-1,1))</f>
        <v>9.0665174878716392E-2</v>
      </c>
      <c r="V880" s="9">
        <f t="shared" ca="1" si="111"/>
        <v>-0.16170447805154964</v>
      </c>
      <c r="W880" s="17">
        <f t="shared" ca="1" si="108"/>
        <v>5.6109954502416383E-2</v>
      </c>
      <c r="X880" s="13">
        <f t="shared" ca="1" si="109"/>
        <v>0</v>
      </c>
      <c r="Y880" s="13">
        <f t="shared" ca="1" si="110"/>
        <v>0</v>
      </c>
      <c r="Z880">
        <f t="shared" ca="1" si="112"/>
        <v>1</v>
      </c>
      <c r="AA880">
        <f t="shared" ca="1" si="113"/>
        <v>0</v>
      </c>
      <c r="AB880" s="24">
        <f t="shared" ca="1" si="114"/>
        <v>5.6109954502416383E-2</v>
      </c>
      <c r="AC880" s="24">
        <f t="shared" ca="1" si="115"/>
        <v>0</v>
      </c>
    </row>
    <row r="881" spans="3:29" x14ac:dyDescent="0.25">
      <c r="C881" s="6">
        <v>874</v>
      </c>
      <c r="D881" s="37">
        <v>43250</v>
      </c>
      <c r="E881" s="39">
        <v>20.404</v>
      </c>
      <c r="F881" s="39">
        <v>2.339332651301008</v>
      </c>
      <c r="G881" s="39">
        <v>60.59724862990717</v>
      </c>
      <c r="H881" s="39">
        <v>75.643336956459407</v>
      </c>
      <c r="I881" s="10">
        <v>0</v>
      </c>
      <c r="J881" s="40">
        <v>0</v>
      </c>
      <c r="K881" s="40">
        <v>0</v>
      </c>
      <c r="L881" s="40">
        <v>0</v>
      </c>
      <c r="M881" s="40">
        <v>1</v>
      </c>
      <c r="N881" s="40">
        <v>0</v>
      </c>
      <c r="O881" s="40">
        <v>0</v>
      </c>
      <c r="P881" s="40">
        <v>0</v>
      </c>
      <c r="Q881" s="40">
        <v>0</v>
      </c>
      <c r="R881" s="40">
        <v>0</v>
      </c>
      <c r="S881" s="40">
        <v>0</v>
      </c>
      <c r="T881" s="29">
        <f t="array" aca="1" ref="T881" ca="1">+fair_value_gap(OFFSET(S880,0,0,-1*$I$5,-1*$Z$1),OFFSET(E880,0,0,-1*$I$5,1),F881:S881,0)</f>
        <v>20.482855944937302</v>
      </c>
      <c r="U881" s="9" cm="1">
        <f t="array" aca="1" ref="U881" ca="1">z_score_diff(OFFSET(T881,0,0,$I$5*-1,1),OFFSET(E881,0,0,$I$5*-1,1))</f>
        <v>-2.0195987561268058E-2</v>
      </c>
      <c r="V881" s="9">
        <f t="shared" ca="1" si="111"/>
        <v>-0.16326188524792506</v>
      </c>
      <c r="W881" s="17">
        <f t="shared" ca="1" si="108"/>
        <v>6.5169325863188993E-2</v>
      </c>
      <c r="X881" s="13">
        <f t="shared" ca="1" si="109"/>
        <v>0</v>
      </c>
      <c r="Y881" s="13">
        <f t="shared" ca="1" si="110"/>
        <v>0</v>
      </c>
      <c r="Z881">
        <f t="shared" ca="1" si="112"/>
        <v>1</v>
      </c>
      <c r="AA881">
        <f t="shared" ca="1" si="113"/>
        <v>0</v>
      </c>
      <c r="AB881" s="24">
        <f t="shared" ca="1" si="114"/>
        <v>6.5169325863188993E-2</v>
      </c>
      <c r="AC881" s="24">
        <f t="shared" ca="1" si="115"/>
        <v>0</v>
      </c>
    </row>
    <row r="882" spans="3:29" x14ac:dyDescent="0.25">
      <c r="C882" s="6">
        <v>875</v>
      </c>
      <c r="D882" s="37">
        <v>43251</v>
      </c>
      <c r="E882" s="39">
        <v>20.311</v>
      </c>
      <c r="F882" s="39">
        <v>2.3487459068387935</v>
      </c>
      <c r="G882" s="39">
        <v>62.937164401159407</v>
      </c>
      <c r="H882" s="39">
        <v>74.740246010111761</v>
      </c>
      <c r="I882" s="10">
        <v>0</v>
      </c>
      <c r="J882" s="40">
        <v>0</v>
      </c>
      <c r="K882" s="40">
        <v>0</v>
      </c>
      <c r="L882" s="40">
        <v>0</v>
      </c>
      <c r="M882" s="40">
        <v>1</v>
      </c>
      <c r="N882" s="40">
        <v>0</v>
      </c>
      <c r="O882" s="40">
        <v>0</v>
      </c>
      <c r="P882" s="40">
        <v>0</v>
      </c>
      <c r="Q882" s="40">
        <v>0</v>
      </c>
      <c r="R882" s="40">
        <v>0</v>
      </c>
      <c r="S882" s="40">
        <v>0</v>
      </c>
      <c r="T882" s="29">
        <f t="array" aca="1" ref="T882" ca="1">+fair_value_gap(OFFSET(S881,0,0,-1*$I$5,-1*$Z$1),OFFSET(E881,0,0,-1*$I$5,1),F882:S882,0)</f>
        <v>21.106895248132766</v>
      </c>
      <c r="U882" s="9" cm="1">
        <f t="array" aca="1" ref="U882" ca="1">z_score_diff(OFFSET(T882,0,0,$I$5*-1,1),OFFSET(E882,0,0,$I$5*-1,1))</f>
        <v>0.51697445713643297</v>
      </c>
      <c r="V882" s="9">
        <f t="shared" ca="1" si="111"/>
        <v>-0.15151596813577153</v>
      </c>
      <c r="W882" s="17">
        <f t="shared" ca="1" si="108"/>
        <v>7.0288537747179761E-2</v>
      </c>
      <c r="X882" s="13">
        <f t="shared" ca="1" si="109"/>
        <v>0</v>
      </c>
      <c r="Y882" s="13">
        <f t="shared" ca="1" si="110"/>
        <v>0</v>
      </c>
      <c r="Z882">
        <f t="shared" ca="1" si="112"/>
        <v>1</v>
      </c>
      <c r="AA882">
        <f t="shared" ca="1" si="113"/>
        <v>0</v>
      </c>
      <c r="AB882" s="24">
        <f t="shared" ca="1" si="114"/>
        <v>7.0288537747179761E-2</v>
      </c>
      <c r="AC882" s="24">
        <f t="shared" ca="1" si="115"/>
        <v>0</v>
      </c>
    </row>
    <row r="883" spans="3:29" x14ac:dyDescent="0.25">
      <c r="C883" s="6">
        <v>876</v>
      </c>
      <c r="D883" s="37">
        <v>43252</v>
      </c>
      <c r="E883" s="39">
        <v>20.260000000000002</v>
      </c>
      <c r="F883" s="39">
        <v>2.3630819365329687</v>
      </c>
      <c r="G883" s="39">
        <v>62.75542119017431</v>
      </c>
      <c r="H883" s="39">
        <v>75.170380743295198</v>
      </c>
      <c r="I883" s="10">
        <v>0</v>
      </c>
      <c r="J883" s="40">
        <v>0</v>
      </c>
      <c r="K883" s="40">
        <v>0</v>
      </c>
      <c r="L883" s="40">
        <v>0</v>
      </c>
      <c r="M883" s="40">
        <v>0</v>
      </c>
      <c r="N883" s="40">
        <v>1</v>
      </c>
      <c r="O883" s="40">
        <v>0</v>
      </c>
      <c r="P883" s="40">
        <v>0</v>
      </c>
      <c r="Q883" s="40">
        <v>0</v>
      </c>
      <c r="R883" s="40">
        <v>0</v>
      </c>
      <c r="S883" s="40">
        <v>0</v>
      </c>
      <c r="T883" s="29">
        <f t="array" aca="1" ref="T883" ca="1">+fair_value_gap(OFFSET(S882,0,0,-1*$I$5,-1*$Z$1),OFFSET(E882,0,0,-1*$I$5,1),F883:S883,0)</f>
        <v>20.347097067487223</v>
      </c>
      <c r="U883" s="9" cm="1">
        <f t="array" aca="1" ref="U883" ca="1">z_score_diff(OFFSET(T883,0,0,$I$5*-1,1),OFFSET(E883,0,0,$I$5*-1,1))</f>
        <v>-2.3128194339620212E-2</v>
      </c>
      <c r="V883" s="9">
        <f t="shared" ca="1" si="111"/>
        <v>-0.15894609629102488</v>
      </c>
      <c r="W883" s="17">
        <f t="shared" ca="1" si="108"/>
        <v>6.3952218990030507E-2</v>
      </c>
      <c r="X883" s="13">
        <f t="shared" ca="1" si="109"/>
        <v>0</v>
      </c>
      <c r="Y883" s="13">
        <f t="shared" ca="1" si="110"/>
        <v>0</v>
      </c>
      <c r="Z883">
        <f t="shared" ca="1" si="112"/>
        <v>1</v>
      </c>
      <c r="AA883">
        <f t="shared" ca="1" si="113"/>
        <v>0</v>
      </c>
      <c r="AB883" s="24">
        <f t="shared" ca="1" si="114"/>
        <v>6.3952218990030507E-2</v>
      </c>
      <c r="AC883" s="24">
        <f t="shared" ca="1" si="115"/>
        <v>0</v>
      </c>
    </row>
    <row r="884" spans="3:29" x14ac:dyDescent="0.25">
      <c r="C884" s="6">
        <v>877</v>
      </c>
      <c r="D884" s="37">
        <v>43255</v>
      </c>
      <c r="E884" s="39">
        <v>20.443999999999999</v>
      </c>
      <c r="F884" s="39">
        <v>2.342355710317535</v>
      </c>
      <c r="G884" s="39">
        <v>62.908525913490728</v>
      </c>
      <c r="H884" s="39">
        <v>76.312041241114258</v>
      </c>
      <c r="I884" s="10">
        <v>0</v>
      </c>
      <c r="J884" s="40">
        <v>0</v>
      </c>
      <c r="K884" s="40">
        <v>0</v>
      </c>
      <c r="L884" s="40">
        <v>0</v>
      </c>
      <c r="M884" s="40">
        <v>0</v>
      </c>
      <c r="N884" s="40">
        <v>1</v>
      </c>
      <c r="O884" s="40">
        <v>0</v>
      </c>
      <c r="P884" s="40">
        <v>0</v>
      </c>
      <c r="Q884" s="40">
        <v>0</v>
      </c>
      <c r="R884" s="40">
        <v>0</v>
      </c>
      <c r="S884" s="40">
        <v>0</v>
      </c>
      <c r="T884" s="29">
        <f t="array" aca="1" ref="T884" ca="1">+fair_value_gap(OFFSET(S883,0,0,-1*$I$5,-1*$Z$1),OFFSET(E883,0,0,-1*$I$5,1),F884:S884,0)</f>
        <v>20.376209482812612</v>
      </c>
      <c r="U884" s="9" cm="1">
        <f t="array" aca="1" ref="U884" ca="1">z_score_diff(OFFSET(T884,0,0,$I$5*-1,1),OFFSET(E884,0,0,$I$5*-1,1))</f>
        <v>-0.142721625315958</v>
      </c>
      <c r="V884" s="9">
        <f t="shared" ca="1" si="111"/>
        <v>-0.16953993498469128</v>
      </c>
      <c r="W884" s="17">
        <f t="shared" ca="1" si="108"/>
        <v>6.3761708050495344E-2</v>
      </c>
      <c r="X884" s="13">
        <f t="shared" ca="1" si="109"/>
        <v>0</v>
      </c>
      <c r="Y884" s="13">
        <f t="shared" ca="1" si="110"/>
        <v>0</v>
      </c>
      <c r="Z884">
        <f t="shared" ca="1" si="112"/>
        <v>1</v>
      </c>
      <c r="AA884">
        <f t="shared" ca="1" si="113"/>
        <v>0</v>
      </c>
      <c r="AB884" s="24">
        <f t="shared" ca="1" si="114"/>
        <v>6.3761708050495344E-2</v>
      </c>
      <c r="AC884" s="24">
        <f t="shared" ca="1" si="115"/>
        <v>0</v>
      </c>
    </row>
    <row r="885" spans="3:29" x14ac:dyDescent="0.25">
      <c r="C885" s="6">
        <v>878</v>
      </c>
      <c r="D885" s="37">
        <v>43256</v>
      </c>
      <c r="E885" s="39">
        <v>20.224</v>
      </c>
      <c r="F885" s="39">
        <v>2.3263959597605179</v>
      </c>
      <c r="G885" s="39">
        <v>62.30225403741278</v>
      </c>
      <c r="H885" s="39">
        <v>74.980654095222576</v>
      </c>
      <c r="I885" s="10">
        <v>0</v>
      </c>
      <c r="J885" s="40">
        <v>0</v>
      </c>
      <c r="K885" s="40">
        <v>0</v>
      </c>
      <c r="L885" s="40">
        <v>0</v>
      </c>
      <c r="M885" s="40">
        <v>0</v>
      </c>
      <c r="N885" s="40">
        <v>1</v>
      </c>
      <c r="O885" s="40">
        <v>0</v>
      </c>
      <c r="P885" s="40">
        <v>0</v>
      </c>
      <c r="Q885" s="40">
        <v>0</v>
      </c>
      <c r="R885" s="40">
        <v>0</v>
      </c>
      <c r="S885" s="40">
        <v>0</v>
      </c>
      <c r="T885" s="29">
        <f t="array" aca="1" ref="T885" ca="1">+fair_value_gap(OFFSET(S884,0,0,-1*$I$5,-1*$Z$1),OFFSET(E884,0,0,-1*$I$5,1),F885:S885,0)</f>
        <v>20.169029036116669</v>
      </c>
      <c r="U885" s="9" cm="1">
        <f t="array" aca="1" ref="U885" ca="1">z_score_diff(OFFSET(T885,0,0,$I$5*-1,1),OFFSET(E885,0,0,$I$5*-1,1))</f>
        <v>-0.1177375862934813</v>
      </c>
      <c r="V885" s="9">
        <f t="shared" ca="1" si="111"/>
        <v>-0.17364284280567158</v>
      </c>
      <c r="W885" s="17">
        <f t="shared" ca="1" si="108"/>
        <v>7.7742718083418524E-2</v>
      </c>
      <c r="X885" s="13">
        <f t="shared" ca="1" si="109"/>
        <v>0</v>
      </c>
      <c r="Y885" s="13">
        <f t="shared" ca="1" si="110"/>
        <v>0</v>
      </c>
      <c r="Z885">
        <f t="shared" ca="1" si="112"/>
        <v>1</v>
      </c>
      <c r="AA885">
        <f t="shared" ca="1" si="113"/>
        <v>0</v>
      </c>
      <c r="AB885" s="24">
        <f t="shared" ca="1" si="114"/>
        <v>7.7742718083418524E-2</v>
      </c>
      <c r="AC885" s="24">
        <f t="shared" ca="1" si="115"/>
        <v>0</v>
      </c>
    </row>
    <row r="886" spans="3:29" x14ac:dyDescent="0.25">
      <c r="C886" s="6">
        <v>879</v>
      </c>
      <c r="D886" s="37">
        <v>43257</v>
      </c>
      <c r="E886" s="39">
        <v>20.145</v>
      </c>
      <c r="F886" s="39">
        <v>2.3142483473706217</v>
      </c>
      <c r="G886" s="39">
        <v>62.349224936561342</v>
      </c>
      <c r="H886" s="39">
        <v>73.697789633528728</v>
      </c>
      <c r="I886" s="10">
        <v>0</v>
      </c>
      <c r="J886" s="40">
        <v>0</v>
      </c>
      <c r="K886" s="40">
        <v>0</v>
      </c>
      <c r="L886" s="40">
        <v>0</v>
      </c>
      <c r="M886" s="40">
        <v>0</v>
      </c>
      <c r="N886" s="40">
        <v>1</v>
      </c>
      <c r="O886" s="40">
        <v>0</v>
      </c>
      <c r="P886" s="40">
        <v>0</v>
      </c>
      <c r="Q886" s="40">
        <v>0</v>
      </c>
      <c r="R886" s="40">
        <v>0</v>
      </c>
      <c r="S886" s="40">
        <v>0</v>
      </c>
      <c r="T886" s="29">
        <f t="array" aca="1" ref="T886" ca="1">+fair_value_gap(OFFSET(S885,0,0,-1*$I$5,-1*$Z$1),OFFSET(E885,0,0,-1*$I$5,1),F886:S886,0)</f>
        <v>20.136474914393819</v>
      </c>
      <c r="U886" s="9" cm="1">
        <f t="array" aca="1" ref="U886" ca="1">z_score_diff(OFFSET(T886,0,0,$I$5*-1,1),OFFSET(E886,0,0,$I$5*-1,1))</f>
        <v>-7.6662043946305491E-2</v>
      </c>
      <c r="V886" s="9">
        <f t="shared" ca="1" si="111"/>
        <v>-0.17730909139409315</v>
      </c>
      <c r="W886" s="17">
        <f t="shared" ca="1" si="108"/>
        <v>8.3850101810051828E-2</v>
      </c>
      <c r="X886" s="13">
        <f t="shared" ca="1" si="109"/>
        <v>0</v>
      </c>
      <c r="Y886" s="13">
        <f t="shared" ca="1" si="110"/>
        <v>0</v>
      </c>
      <c r="Z886">
        <f t="shared" ca="1" si="112"/>
        <v>1</v>
      </c>
      <c r="AA886">
        <f t="shared" ca="1" si="113"/>
        <v>0</v>
      </c>
      <c r="AB886" s="24">
        <f t="shared" ca="1" si="114"/>
        <v>8.3850101810051828E-2</v>
      </c>
      <c r="AC886" s="24">
        <f t="shared" ca="1" si="115"/>
        <v>0</v>
      </c>
    </row>
    <row r="887" spans="3:29" x14ac:dyDescent="0.25">
      <c r="C887" s="6">
        <v>880</v>
      </c>
      <c r="D887" s="37">
        <v>43258</v>
      </c>
      <c r="E887" s="39">
        <v>20.440999999999999</v>
      </c>
      <c r="F887" s="39">
        <v>2.3156857366866275</v>
      </c>
      <c r="G887" s="39">
        <v>63.239359748917636</v>
      </c>
      <c r="H887" s="39">
        <v>74.924003919350696</v>
      </c>
      <c r="I887" s="10">
        <v>0</v>
      </c>
      <c r="J887" s="40">
        <v>0</v>
      </c>
      <c r="K887" s="40">
        <v>0</v>
      </c>
      <c r="L887" s="40">
        <v>0</v>
      </c>
      <c r="M887" s="40">
        <v>0</v>
      </c>
      <c r="N887" s="40">
        <v>1</v>
      </c>
      <c r="O887" s="40">
        <v>0</v>
      </c>
      <c r="P887" s="40">
        <v>0</v>
      </c>
      <c r="Q887" s="40">
        <v>0</v>
      </c>
      <c r="R887" s="40">
        <v>0</v>
      </c>
      <c r="S887" s="40">
        <v>0</v>
      </c>
      <c r="T887" s="29">
        <f t="array" aca="1" ref="T887" ca="1">+fair_value_gap(OFFSET(S886,0,0,-1*$I$5,-1*$Z$1),OFFSET(E886,0,0,-1*$I$5,1),F887:S887,0)</f>
        <v>20.4351081314033</v>
      </c>
      <c r="U887" s="9" cm="1">
        <f t="array" aca="1" ref="U887" ca="1">z_score_diff(OFFSET(T887,0,0,$I$5*-1,1),OFFSET(E887,0,0,$I$5*-1,1))</f>
        <v>-8.4122350058043249E-2</v>
      </c>
      <c r="V887" s="9">
        <f t="shared" ca="1" si="111"/>
        <v>-0.18038194706360799</v>
      </c>
      <c r="W887" s="17">
        <f t="shared" ca="1" si="108"/>
        <v>7.1406667447284661E-2</v>
      </c>
      <c r="X887" s="13">
        <f t="shared" ca="1" si="109"/>
        <v>0</v>
      </c>
      <c r="Y887" s="13">
        <f t="shared" ca="1" si="110"/>
        <v>0</v>
      </c>
      <c r="Z887">
        <f t="shared" ca="1" si="112"/>
        <v>1</v>
      </c>
      <c r="AA887">
        <f t="shared" ca="1" si="113"/>
        <v>0</v>
      </c>
      <c r="AB887" s="24">
        <f t="shared" ca="1" si="114"/>
        <v>7.1406667447284661E-2</v>
      </c>
      <c r="AC887" s="24">
        <f t="shared" ca="1" si="115"/>
        <v>0</v>
      </c>
    </row>
    <row r="888" spans="3:29" x14ac:dyDescent="0.25">
      <c r="C888" s="6">
        <v>881</v>
      </c>
      <c r="D888" s="37">
        <v>43259</v>
      </c>
      <c r="E888" s="39">
        <v>20.452999999999999</v>
      </c>
      <c r="F888" s="39">
        <v>2.3102850648582134</v>
      </c>
      <c r="G888" s="39">
        <v>63.283636835348481</v>
      </c>
      <c r="H888" s="39">
        <v>74.861342364791582</v>
      </c>
      <c r="I888" s="10">
        <v>0</v>
      </c>
      <c r="J888" s="40">
        <v>0</v>
      </c>
      <c r="K888" s="40">
        <v>0</v>
      </c>
      <c r="L888" s="40">
        <v>0</v>
      </c>
      <c r="M888" s="40">
        <v>0</v>
      </c>
      <c r="N888" s="40">
        <v>1</v>
      </c>
      <c r="O888" s="40">
        <v>0</v>
      </c>
      <c r="P888" s="40">
        <v>0</v>
      </c>
      <c r="Q888" s="40">
        <v>0</v>
      </c>
      <c r="R888" s="40">
        <v>0</v>
      </c>
      <c r="S888" s="40">
        <v>0</v>
      </c>
      <c r="T888" s="29">
        <f t="array" aca="1" ref="T888" ca="1">+fair_value_gap(OFFSET(S887,0,0,-1*$I$5,-1*$Z$1),OFFSET(E887,0,0,-1*$I$5,1),F888:S888,0)</f>
        <v>20.442272631654347</v>
      </c>
      <c r="U888" s="9" cm="1">
        <f t="array" aca="1" ref="U888" ca="1">z_score_diff(OFFSET(T888,0,0,$I$5*-1,1),OFFSET(E888,0,0,$I$5*-1,1))</f>
        <v>-8.4545070591055094E-2</v>
      </c>
      <c r="V888" s="9">
        <f t="shared" ca="1" si="111"/>
        <v>-0.18305559124838397</v>
      </c>
      <c r="W888" s="17">
        <f t="shared" ca="1" si="108"/>
        <v>6.9953963622148105E-2</v>
      </c>
      <c r="X888" s="13">
        <f t="shared" ca="1" si="109"/>
        <v>0</v>
      </c>
      <c r="Y888" s="13">
        <f t="shared" ca="1" si="110"/>
        <v>0</v>
      </c>
      <c r="Z888">
        <f t="shared" ca="1" si="112"/>
        <v>1</v>
      </c>
      <c r="AA888">
        <f t="shared" ca="1" si="113"/>
        <v>0</v>
      </c>
      <c r="AB888" s="24">
        <f t="shared" ca="1" si="114"/>
        <v>6.9953963622148105E-2</v>
      </c>
      <c r="AC888" s="24">
        <f t="shared" ca="1" si="115"/>
        <v>0</v>
      </c>
    </row>
    <row r="889" spans="3:29" x14ac:dyDescent="0.25">
      <c r="C889" s="6">
        <v>882</v>
      </c>
      <c r="D889" s="37">
        <v>43262</v>
      </c>
      <c r="E889" s="39">
        <v>20.420000000000002</v>
      </c>
      <c r="F889" s="39">
        <v>2.3164785640746715</v>
      </c>
      <c r="G889" s="39">
        <v>63.096894505423506</v>
      </c>
      <c r="H889" s="39">
        <v>75.030594999902874</v>
      </c>
      <c r="I889" s="10">
        <v>0</v>
      </c>
      <c r="J889" s="40">
        <v>0</v>
      </c>
      <c r="K889" s="40">
        <v>0</v>
      </c>
      <c r="L889" s="40">
        <v>0</v>
      </c>
      <c r="M889" s="40">
        <v>0</v>
      </c>
      <c r="N889" s="40">
        <v>1</v>
      </c>
      <c r="O889" s="40">
        <v>0</v>
      </c>
      <c r="P889" s="40">
        <v>0</v>
      </c>
      <c r="Q889" s="40">
        <v>0</v>
      </c>
      <c r="R889" s="40">
        <v>0</v>
      </c>
      <c r="S889" s="40">
        <v>0</v>
      </c>
      <c r="T889" s="29">
        <f t="array" aca="1" ref="T889" ca="1">+fair_value_gap(OFFSET(S888,0,0,-1*$I$5,-1*$Z$1),OFFSET(E888,0,0,-1*$I$5,1),F889:S889,0)</f>
        <v>20.403627918307027</v>
      </c>
      <c r="U889" s="9" cm="1">
        <f t="array" aca="1" ref="U889" ca="1">z_score_diff(OFFSET(T889,0,0,$I$5*-1,1),OFFSET(E889,0,0,$I$5*-1,1))</f>
        <v>-8.372045147919227E-2</v>
      </c>
      <c r="V889" s="9">
        <f t="shared" ca="1" si="111"/>
        <v>-0.18683155864471548</v>
      </c>
      <c r="W889" s="17">
        <f t="shared" ca="1" si="108"/>
        <v>7.6933834323540701E-2</v>
      </c>
      <c r="X889" s="13">
        <f t="shared" ca="1" si="109"/>
        <v>0</v>
      </c>
      <c r="Y889" s="13">
        <f t="shared" ca="1" si="110"/>
        <v>0</v>
      </c>
      <c r="Z889">
        <f t="shared" ca="1" si="112"/>
        <v>1</v>
      </c>
      <c r="AA889">
        <f t="shared" ca="1" si="113"/>
        <v>0</v>
      </c>
      <c r="AB889" s="24">
        <f t="shared" ca="1" si="114"/>
        <v>7.6933834323540701E-2</v>
      </c>
      <c r="AC889" s="24">
        <f t="shared" ca="1" si="115"/>
        <v>0</v>
      </c>
    </row>
    <row r="890" spans="3:29" x14ac:dyDescent="0.25">
      <c r="C890" s="6">
        <v>883</v>
      </c>
      <c r="D890" s="37">
        <v>43263</v>
      </c>
      <c r="E890" s="39">
        <v>20.667999999999999</v>
      </c>
      <c r="F890" s="39">
        <v>2.3321198725866217</v>
      </c>
      <c r="G890" s="39">
        <v>63.889947080489712</v>
      </c>
      <c r="H890" s="39">
        <v>76.545537281414553</v>
      </c>
      <c r="I890" s="10">
        <v>0</v>
      </c>
      <c r="J890" s="40">
        <v>0</v>
      </c>
      <c r="K890" s="40">
        <v>0</v>
      </c>
      <c r="L890" s="40">
        <v>0</v>
      </c>
      <c r="M890" s="40">
        <v>0</v>
      </c>
      <c r="N890" s="40">
        <v>1</v>
      </c>
      <c r="O890" s="40">
        <v>0</v>
      </c>
      <c r="P890" s="40">
        <v>0</v>
      </c>
      <c r="Q890" s="40">
        <v>0</v>
      </c>
      <c r="R890" s="40">
        <v>0</v>
      </c>
      <c r="S890" s="40">
        <v>0</v>
      </c>
      <c r="T890" s="29">
        <f t="array" aca="1" ref="T890" ca="1">+fair_value_gap(OFFSET(S889,0,0,-1*$I$5,-1*$Z$1),OFFSET(E889,0,0,-1*$I$5,1),F890:S890,0)</f>
        <v>20.69767592838156</v>
      </c>
      <c r="U890" s="9" cm="1">
        <f t="array" aca="1" ref="U890" ca="1">z_score_diff(OFFSET(T890,0,0,$I$5*-1,1),OFFSET(E890,0,0,$I$5*-1,1))</f>
        <v>-5.8700741378164167E-2</v>
      </c>
      <c r="V890" s="9">
        <f t="shared" ca="1" si="111"/>
        <v>-0.18496046132402691</v>
      </c>
      <c r="W890" s="17">
        <f t="shared" ca="1" si="108"/>
        <v>4.2021197774159809E-2</v>
      </c>
      <c r="X890" s="13">
        <f t="shared" ca="1" si="109"/>
        <v>0</v>
      </c>
      <c r="Y890" s="13">
        <f t="shared" ca="1" si="110"/>
        <v>0</v>
      </c>
      <c r="Z890">
        <f t="shared" ca="1" si="112"/>
        <v>1</v>
      </c>
      <c r="AA890">
        <f t="shared" ca="1" si="113"/>
        <v>0</v>
      </c>
      <c r="AB890" s="24">
        <f t="shared" ca="1" si="114"/>
        <v>4.2021197774159809E-2</v>
      </c>
      <c r="AC890" s="24">
        <f t="shared" ca="1" si="115"/>
        <v>0</v>
      </c>
    </row>
    <row r="891" spans="3:29" x14ac:dyDescent="0.25">
      <c r="C891" s="6">
        <v>884</v>
      </c>
      <c r="D891" s="37">
        <v>43264</v>
      </c>
      <c r="E891" s="39">
        <v>20.837</v>
      </c>
      <c r="F891" s="39">
        <v>2.3230728925774873</v>
      </c>
      <c r="G891" s="39">
        <v>63.895914867762606</v>
      </c>
      <c r="H891" s="39">
        <v>75.562534567130584</v>
      </c>
      <c r="I891" s="10">
        <v>0</v>
      </c>
      <c r="J891" s="40">
        <v>0</v>
      </c>
      <c r="K891" s="40">
        <v>0</v>
      </c>
      <c r="L891" s="40">
        <v>0</v>
      </c>
      <c r="M891" s="40">
        <v>0</v>
      </c>
      <c r="N891" s="40">
        <v>1</v>
      </c>
      <c r="O891" s="40">
        <v>0</v>
      </c>
      <c r="P891" s="40">
        <v>0</v>
      </c>
      <c r="Q891" s="40">
        <v>0</v>
      </c>
      <c r="R891" s="40">
        <v>0</v>
      </c>
      <c r="S891" s="40">
        <v>0</v>
      </c>
      <c r="T891" s="29">
        <f t="array" aca="1" ref="T891" ca="1">+fair_value_gap(OFFSET(S890,0,0,-1*$I$5,-1*$Z$1),OFFSET(E890,0,0,-1*$I$5,1),F891:S891,0)</f>
        <v>20.649745831860486</v>
      </c>
      <c r="U891" s="9" cm="1">
        <f t="array" aca="1" ref="U891" ca="1">z_score_diff(OFFSET(T891,0,0,$I$5*-1,1),OFFSET(E891,0,0,$I$5*-1,1))</f>
        <v>-0.20811981516386391</v>
      </c>
      <c r="V891" s="9">
        <f t="shared" ca="1" si="111"/>
        <v>-0.1925745554242676</v>
      </c>
      <c r="W891" s="17">
        <f t="shared" ca="1" si="108"/>
        <v>2.8574724317888267E-2</v>
      </c>
      <c r="X891" s="13">
        <f t="shared" ca="1" si="109"/>
        <v>0</v>
      </c>
      <c r="Y891" s="13">
        <f t="shared" ca="1" si="110"/>
        <v>0</v>
      </c>
      <c r="Z891">
        <f t="shared" ca="1" si="112"/>
        <v>1</v>
      </c>
      <c r="AA891">
        <f t="shared" ca="1" si="113"/>
        <v>0</v>
      </c>
      <c r="AB891" s="24">
        <f t="shared" ca="1" si="114"/>
        <v>2.8574724317888267E-2</v>
      </c>
      <c r="AC891" s="24">
        <f t="shared" ca="1" si="115"/>
        <v>0</v>
      </c>
    </row>
    <row r="892" spans="3:29" x14ac:dyDescent="0.25">
      <c r="C892" s="6">
        <v>885</v>
      </c>
      <c r="D892" s="37">
        <v>43265</v>
      </c>
      <c r="E892" s="39">
        <v>20.872</v>
      </c>
      <c r="F892" s="39">
        <v>2.3687916031899174</v>
      </c>
      <c r="G892" s="39">
        <v>64.506190885253858</v>
      </c>
      <c r="H892" s="39">
        <v>76.625258816230385</v>
      </c>
      <c r="I892" s="10">
        <v>0</v>
      </c>
      <c r="J892" s="40">
        <v>0</v>
      </c>
      <c r="K892" s="40">
        <v>0</v>
      </c>
      <c r="L892" s="40">
        <v>0</v>
      </c>
      <c r="M892" s="40">
        <v>0</v>
      </c>
      <c r="N892" s="40">
        <v>1</v>
      </c>
      <c r="O892" s="40">
        <v>0</v>
      </c>
      <c r="P892" s="40">
        <v>0</v>
      </c>
      <c r="Q892" s="40">
        <v>0</v>
      </c>
      <c r="R892" s="40">
        <v>0</v>
      </c>
      <c r="S892" s="40">
        <v>0</v>
      </c>
      <c r="T892" s="29">
        <f t="array" aca="1" ref="T892" ca="1">+fair_value_gap(OFFSET(S891,0,0,-1*$I$5,-1*$Z$1),OFFSET(E891,0,0,-1*$I$5,1),F892:S892,0)</f>
        <v>20.913409033468934</v>
      </c>
      <c r="U892" s="9" cm="1">
        <f t="array" aca="1" ref="U892" ca="1">z_score_diff(OFFSET(T892,0,0,$I$5*-1,1),OFFSET(E892,0,0,$I$5*-1,1))</f>
        <v>-4.9068080799196334E-2</v>
      </c>
      <c r="V892" s="9">
        <f t="shared" ca="1" si="111"/>
        <v>-0.18929068043128758</v>
      </c>
      <c r="W892" s="17">
        <f t="shared" ca="1" si="108"/>
        <v>2.7688988380127025E-2</v>
      </c>
      <c r="X892" s="13">
        <f t="shared" ca="1" si="109"/>
        <v>0</v>
      </c>
      <c r="Y892" s="13">
        <f t="shared" ca="1" si="110"/>
        <v>0</v>
      </c>
      <c r="Z892">
        <f t="shared" ca="1" si="112"/>
        <v>1</v>
      </c>
      <c r="AA892">
        <f t="shared" ca="1" si="113"/>
        <v>0</v>
      </c>
      <c r="AB892" s="24">
        <f t="shared" ca="1" si="114"/>
        <v>2.7688988380127025E-2</v>
      </c>
      <c r="AC892" s="24">
        <f t="shared" ca="1" si="115"/>
        <v>0</v>
      </c>
    </row>
    <row r="893" spans="3:29" x14ac:dyDescent="0.25">
      <c r="C893" s="6">
        <v>886</v>
      </c>
      <c r="D893" s="37">
        <v>43266</v>
      </c>
      <c r="E893" s="39">
        <v>20.341000000000001</v>
      </c>
      <c r="F893" s="39">
        <v>2.3694152431011823</v>
      </c>
      <c r="G893" s="39">
        <v>62.826119672863918</v>
      </c>
      <c r="H893" s="39">
        <v>75.845926412614972</v>
      </c>
      <c r="I893" s="10">
        <v>0</v>
      </c>
      <c r="J893" s="40">
        <v>0</v>
      </c>
      <c r="K893" s="40">
        <v>0</v>
      </c>
      <c r="L893" s="40">
        <v>0</v>
      </c>
      <c r="M893" s="40">
        <v>0</v>
      </c>
      <c r="N893" s="40">
        <v>1</v>
      </c>
      <c r="O893" s="40">
        <v>0</v>
      </c>
      <c r="P893" s="40">
        <v>0</v>
      </c>
      <c r="Q893" s="40">
        <v>0</v>
      </c>
      <c r="R893" s="40">
        <v>0</v>
      </c>
      <c r="S893" s="40">
        <v>0</v>
      </c>
      <c r="T893" s="29">
        <f t="array" aca="1" ref="T893" ca="1">+fair_value_gap(OFFSET(S892,0,0,-1*$I$5,-1*$Z$1),OFFSET(E892,0,0,-1*$I$5,1),F893:S893,0)</f>
        <v>20.415251478715419</v>
      </c>
      <c r="U893" s="9" cm="1">
        <f t="array" aca="1" ref="U893" ca="1">z_score_diff(OFFSET(T893,0,0,$I$5*-1,1),OFFSET(E893,0,0,$I$5*-1,1))</f>
        <v>-6.2824518096715742E-3</v>
      </c>
      <c r="V893" s="9">
        <f t="shared" ca="1" si="111"/>
        <v>-0.18515309891902559</v>
      </c>
      <c r="W893" s="17">
        <f t="shared" ca="1" si="108"/>
        <v>6.1442686344617171E-2</v>
      </c>
      <c r="X893" s="13">
        <f t="shared" ca="1" si="109"/>
        <v>0</v>
      </c>
      <c r="Y893" s="13">
        <f t="shared" ca="1" si="110"/>
        <v>0</v>
      </c>
      <c r="Z893">
        <f t="shared" ca="1" si="112"/>
        <v>1</v>
      </c>
      <c r="AA893">
        <f t="shared" ca="1" si="113"/>
        <v>0</v>
      </c>
      <c r="AB893" s="24">
        <f t="shared" ca="1" si="114"/>
        <v>6.1442686344617171E-2</v>
      </c>
      <c r="AC893" s="24">
        <f t="shared" ca="1" si="115"/>
        <v>0</v>
      </c>
    </row>
    <row r="894" spans="3:29" x14ac:dyDescent="0.25">
      <c r="C894" s="6">
        <v>887</v>
      </c>
      <c r="D894" s="37">
        <v>43269</v>
      </c>
      <c r="E894" s="39">
        <v>20.747</v>
      </c>
      <c r="F894" s="39">
        <v>2.3631738737999508</v>
      </c>
      <c r="G894" s="39">
        <v>63.566757950036326</v>
      </c>
      <c r="H894" s="39">
        <v>75.695413145154674</v>
      </c>
      <c r="I894" s="10">
        <v>0</v>
      </c>
      <c r="J894" s="40">
        <v>0</v>
      </c>
      <c r="K894" s="40">
        <v>0</v>
      </c>
      <c r="L894" s="40">
        <v>0</v>
      </c>
      <c r="M894" s="40">
        <v>0</v>
      </c>
      <c r="N894" s="40">
        <v>1</v>
      </c>
      <c r="O894" s="40">
        <v>0</v>
      </c>
      <c r="P894" s="40">
        <v>0</v>
      </c>
      <c r="Q894" s="40">
        <v>0</v>
      </c>
      <c r="R894" s="40">
        <v>0</v>
      </c>
      <c r="S894" s="40">
        <v>0</v>
      </c>
      <c r="T894" s="29">
        <f t="array" aca="1" ref="T894" ca="1">+fair_value_gap(OFFSET(S893,0,0,-1*$I$5,-1*$Z$1),OFFSET(E893,0,0,-1*$I$5,1),F894:S894,0)</f>
        <v>20.603202515514671</v>
      </c>
      <c r="U894" s="9" cm="1">
        <f t="array" aca="1" ref="U894" ca="1">z_score_diff(OFFSET(T894,0,0,$I$5*-1,1),OFFSET(E894,0,0,$I$5*-1,1))</f>
        <v>-0.16253093505400429</v>
      </c>
      <c r="V894" s="9">
        <f t="shared" ca="1" si="111"/>
        <v>-0.1975315851890739</v>
      </c>
      <c r="W894" s="17">
        <f t="shared" ca="1" si="108"/>
        <v>5.4450209010472476E-2</v>
      </c>
      <c r="X894" s="13">
        <f t="shared" ca="1" si="109"/>
        <v>0</v>
      </c>
      <c r="Y894" s="13">
        <f t="shared" ca="1" si="110"/>
        <v>0</v>
      </c>
      <c r="Z894">
        <f t="shared" ca="1" si="112"/>
        <v>1</v>
      </c>
      <c r="AA894">
        <f t="shared" ca="1" si="113"/>
        <v>0</v>
      </c>
      <c r="AB894" s="24">
        <f t="shared" ca="1" si="114"/>
        <v>5.4450209010472476E-2</v>
      </c>
      <c r="AC894" s="24">
        <f t="shared" ca="1" si="115"/>
        <v>0</v>
      </c>
    </row>
    <row r="895" spans="3:29" x14ac:dyDescent="0.25">
      <c r="C895" s="6">
        <v>888</v>
      </c>
      <c r="D895" s="37">
        <v>43270</v>
      </c>
      <c r="E895" s="39">
        <v>20.484000000000002</v>
      </c>
      <c r="F895" s="39">
        <v>2.3440244653954032</v>
      </c>
      <c r="G895" s="39">
        <v>62.603167521748837</v>
      </c>
      <c r="H895" s="39">
        <v>75.240799354303135</v>
      </c>
      <c r="I895" s="10">
        <v>0</v>
      </c>
      <c r="J895" s="40">
        <v>0</v>
      </c>
      <c r="K895" s="40">
        <v>0</v>
      </c>
      <c r="L895" s="40">
        <v>0</v>
      </c>
      <c r="M895" s="40">
        <v>0</v>
      </c>
      <c r="N895" s="40">
        <v>1</v>
      </c>
      <c r="O895" s="40">
        <v>0</v>
      </c>
      <c r="P895" s="40">
        <v>0</v>
      </c>
      <c r="Q895" s="40">
        <v>0</v>
      </c>
      <c r="R895" s="40">
        <v>0</v>
      </c>
      <c r="S895" s="40">
        <v>0</v>
      </c>
      <c r="T895" s="29">
        <f t="array" aca="1" ref="T895" ca="1">+fair_value_gap(OFFSET(S894,0,0,-1*$I$5,-1*$Z$1),OFFSET(E894,0,0,-1*$I$5,1),F895:S895,0)</f>
        <v>20.316070500742374</v>
      </c>
      <c r="U895" s="9" cm="1">
        <f t="array" aca="1" ref="U895" ca="1">z_score_diff(OFFSET(T895,0,0,$I$5*-1,1),OFFSET(E895,0,0,$I$5*-1,1))</f>
        <v>-0.16394523522865923</v>
      </c>
      <c r="V895" s="9">
        <f t="shared" ca="1" si="111"/>
        <v>-0.17804496664503136</v>
      </c>
      <c r="W895" s="17">
        <f t="shared" ca="1" si="108"/>
        <v>7.1034657262640605E-2</v>
      </c>
      <c r="X895" s="13">
        <f t="shared" ca="1" si="109"/>
        <v>0</v>
      </c>
      <c r="Y895" s="13">
        <f t="shared" ca="1" si="110"/>
        <v>0</v>
      </c>
      <c r="Z895">
        <f t="shared" ca="1" si="112"/>
        <v>1</v>
      </c>
      <c r="AA895">
        <f t="shared" ca="1" si="113"/>
        <v>0</v>
      </c>
      <c r="AB895" s="24">
        <f t="shared" ca="1" si="114"/>
        <v>7.1034657262640605E-2</v>
      </c>
      <c r="AC895" s="24">
        <f t="shared" ca="1" si="115"/>
        <v>0</v>
      </c>
    </row>
    <row r="896" spans="3:29" x14ac:dyDescent="0.25">
      <c r="C896" s="6">
        <v>889</v>
      </c>
      <c r="D896" s="37">
        <v>43271</v>
      </c>
      <c r="E896" s="39">
        <v>20.408000000000001</v>
      </c>
      <c r="F896" s="39">
        <v>2.3764352646166027</v>
      </c>
      <c r="G896" s="39">
        <v>62.524995475679262</v>
      </c>
      <c r="H896" s="39">
        <v>74.155338524481991</v>
      </c>
      <c r="I896" s="10">
        <v>0</v>
      </c>
      <c r="J896" s="40">
        <v>0</v>
      </c>
      <c r="K896" s="40">
        <v>0</v>
      </c>
      <c r="L896" s="40">
        <v>0</v>
      </c>
      <c r="M896" s="40">
        <v>0</v>
      </c>
      <c r="N896" s="40">
        <v>1</v>
      </c>
      <c r="O896" s="40">
        <v>0</v>
      </c>
      <c r="P896" s="40">
        <v>0</v>
      </c>
      <c r="Q896" s="40">
        <v>0</v>
      </c>
      <c r="R896" s="40">
        <v>0</v>
      </c>
      <c r="S896" s="40">
        <v>0</v>
      </c>
      <c r="T896" s="29">
        <f t="array" aca="1" ref="T896" ca="1">+fair_value_gap(OFFSET(S895,0,0,-1*$I$5,-1*$Z$1),OFFSET(E895,0,0,-1*$I$5,1),F896:S896,0)</f>
        <v>20.279681537695097</v>
      </c>
      <c r="U896" s="9" cm="1">
        <f t="array" aca="1" ref="U896" ca="1">z_score_diff(OFFSET(T896,0,0,$I$5*-1,1),OFFSET(E896,0,0,$I$5*-1,1))</f>
        <v>-0.13093284048571885</v>
      </c>
      <c r="V896" s="9">
        <f t="shared" ca="1" si="111"/>
        <v>-0.16619901051420266</v>
      </c>
      <c r="W896" s="17">
        <f t="shared" ca="1" si="108"/>
        <v>6.8319706245219339E-2</v>
      </c>
      <c r="X896" s="13">
        <f t="shared" ca="1" si="109"/>
        <v>0</v>
      </c>
      <c r="Y896" s="13">
        <f t="shared" ca="1" si="110"/>
        <v>0</v>
      </c>
      <c r="Z896">
        <f t="shared" ca="1" si="112"/>
        <v>1</v>
      </c>
      <c r="AA896">
        <f t="shared" ca="1" si="113"/>
        <v>0</v>
      </c>
      <c r="AB896" s="24">
        <f t="shared" ca="1" si="114"/>
        <v>6.8319706245219339E-2</v>
      </c>
      <c r="AC896" s="24">
        <f t="shared" ca="1" si="115"/>
        <v>0</v>
      </c>
    </row>
    <row r="897" spans="3:29" x14ac:dyDescent="0.25">
      <c r="C897" s="6">
        <v>890</v>
      </c>
      <c r="D897" s="37">
        <v>43272</v>
      </c>
      <c r="E897" s="39">
        <v>20.576000000000001</v>
      </c>
      <c r="F897" s="39">
        <v>2.371260064905433</v>
      </c>
      <c r="G897" s="39">
        <v>63.150494311305849</v>
      </c>
      <c r="H897" s="39">
        <v>71.573574427884168</v>
      </c>
      <c r="I897" s="10">
        <v>0</v>
      </c>
      <c r="J897" s="40">
        <v>0</v>
      </c>
      <c r="K897" s="40">
        <v>0</v>
      </c>
      <c r="L897" s="40">
        <v>0</v>
      </c>
      <c r="M897" s="40">
        <v>0</v>
      </c>
      <c r="N897" s="40">
        <v>1</v>
      </c>
      <c r="O897" s="40">
        <v>0</v>
      </c>
      <c r="P897" s="40">
        <v>0</v>
      </c>
      <c r="Q897" s="40">
        <v>0</v>
      </c>
      <c r="R897" s="40">
        <v>0</v>
      </c>
      <c r="S897" s="40">
        <v>0</v>
      </c>
      <c r="T897" s="29">
        <f t="array" aca="1" ref="T897" ca="1">+fair_value_gap(OFFSET(S896,0,0,-1*$I$5,-1*$Z$1),OFFSET(E896,0,0,-1*$I$5,1),F897:S897,0)</f>
        <v>20.350010671007585</v>
      </c>
      <c r="U897" s="9" cm="1">
        <f t="array" aca="1" ref="U897" ca="1">z_score_diff(OFFSET(T897,0,0,$I$5*-1,1),OFFSET(E897,0,0,$I$5*-1,1))</f>
        <v>-0.19447015423774072</v>
      </c>
      <c r="V897" s="9">
        <f t="shared" ca="1" si="111"/>
        <v>-0.158401784489376</v>
      </c>
      <c r="W897" s="17">
        <f t="shared" ca="1" si="108"/>
        <v>6.5461500970406414E-2</v>
      </c>
      <c r="X897" s="13">
        <f t="shared" ca="1" si="109"/>
        <v>0</v>
      </c>
      <c r="Y897" s="13">
        <f t="shared" ca="1" si="110"/>
        <v>0</v>
      </c>
      <c r="Z897">
        <f t="shared" ca="1" si="112"/>
        <v>1</v>
      </c>
      <c r="AA897">
        <f t="shared" ca="1" si="113"/>
        <v>0</v>
      </c>
      <c r="AB897" s="24">
        <f t="shared" ca="1" si="114"/>
        <v>6.5461500970406414E-2</v>
      </c>
      <c r="AC897" s="24">
        <f t="shared" ca="1" si="115"/>
        <v>0</v>
      </c>
    </row>
    <row r="898" spans="3:29" x14ac:dyDescent="0.25">
      <c r="C898" s="6">
        <v>891</v>
      </c>
      <c r="D898" s="37">
        <v>43273</v>
      </c>
      <c r="E898" s="39">
        <v>20.661999999999999</v>
      </c>
      <c r="F898" s="39">
        <v>2.3564951716395806</v>
      </c>
      <c r="G898" s="39">
        <v>63.261117293120634</v>
      </c>
      <c r="H898" s="39">
        <v>71.553994013847685</v>
      </c>
      <c r="I898" s="10">
        <v>0</v>
      </c>
      <c r="J898" s="40">
        <v>0</v>
      </c>
      <c r="K898" s="40">
        <v>0</v>
      </c>
      <c r="L898" s="40">
        <v>0</v>
      </c>
      <c r="M898" s="40">
        <v>0</v>
      </c>
      <c r="N898" s="40">
        <v>1</v>
      </c>
      <c r="O898" s="40">
        <v>0</v>
      </c>
      <c r="P898" s="40">
        <v>0</v>
      </c>
      <c r="Q898" s="40">
        <v>0</v>
      </c>
      <c r="R898" s="40">
        <v>0</v>
      </c>
      <c r="S898" s="40">
        <v>0</v>
      </c>
      <c r="T898" s="29">
        <f t="array" aca="1" ref="T898" ca="1">+fair_value_gap(OFFSET(S897,0,0,-1*$I$5,-1*$Z$1),OFFSET(E897,0,0,-1*$I$5,1),F898:S898,0)</f>
        <v>20.387993482466236</v>
      </c>
      <c r="U898" s="9" cm="1">
        <f t="array" aca="1" ref="U898" ca="1">z_score_diff(OFFSET(T898,0,0,$I$5*-1,1),OFFSET(E898,0,0,$I$5*-1,1))</f>
        <v>-0.22100815196240697</v>
      </c>
      <c r="V898" s="9">
        <f t="shared" ca="1" si="111"/>
        <v>-0.15304094660894652</v>
      </c>
      <c r="W898" s="17">
        <f t="shared" ca="1" si="108"/>
        <v>6.7055074155449673E-2</v>
      </c>
      <c r="X898" s="13">
        <f t="shared" ca="1" si="109"/>
        <v>0</v>
      </c>
      <c r="Y898" s="13">
        <f t="shared" ca="1" si="110"/>
        <v>0</v>
      </c>
      <c r="Z898">
        <f t="shared" ca="1" si="112"/>
        <v>1</v>
      </c>
      <c r="AA898">
        <f t="shared" ca="1" si="113"/>
        <v>0</v>
      </c>
      <c r="AB898" s="24">
        <f t="shared" ca="1" si="114"/>
        <v>6.7055074155449673E-2</v>
      </c>
      <c r="AC898" s="24">
        <f t="shared" ca="1" si="115"/>
        <v>0</v>
      </c>
    </row>
    <row r="899" spans="3:29" x14ac:dyDescent="0.25">
      <c r="C899" s="6">
        <v>892</v>
      </c>
      <c r="D899" s="37">
        <v>43276</v>
      </c>
      <c r="E899" s="39">
        <v>20.709</v>
      </c>
      <c r="F899" s="39">
        <v>2.3472628176122168</v>
      </c>
      <c r="G899" s="39">
        <v>63.329912598939089</v>
      </c>
      <c r="H899" s="39">
        <v>72.480605934604398</v>
      </c>
      <c r="I899" s="10">
        <v>0</v>
      </c>
      <c r="J899" s="40">
        <v>0</v>
      </c>
      <c r="K899" s="40">
        <v>0</v>
      </c>
      <c r="L899" s="40">
        <v>0</v>
      </c>
      <c r="M899" s="40">
        <v>0</v>
      </c>
      <c r="N899" s="40">
        <v>1</v>
      </c>
      <c r="O899" s="40">
        <v>0</v>
      </c>
      <c r="P899" s="40">
        <v>0</v>
      </c>
      <c r="Q899" s="40">
        <v>0</v>
      </c>
      <c r="R899" s="40">
        <v>0</v>
      </c>
      <c r="S899" s="40">
        <v>0</v>
      </c>
      <c r="T899" s="29">
        <f t="array" aca="1" ref="T899" ca="1">+fair_value_gap(OFFSET(S898,0,0,-1*$I$5,-1*$Z$1),OFFSET(E898,0,0,-1*$I$5,1),F899:S899,0)</f>
        <v>20.468525708878868</v>
      </c>
      <c r="U899" s="9" cm="1">
        <f t="array" aca="1" ref="U899" ca="1">z_score_diff(OFFSET(T899,0,0,$I$5*-1,1),OFFSET(E899,0,0,$I$5*-1,1))</f>
        <v>-0.19547057237969812</v>
      </c>
      <c r="V899" s="9">
        <f t="shared" ca="1" si="111"/>
        <v>-0.14058832133566632</v>
      </c>
      <c r="W899" s="17">
        <f t="shared" ca="1" si="108"/>
        <v>8.605320243999609E-2</v>
      </c>
      <c r="X899" s="13">
        <f t="shared" ca="1" si="109"/>
        <v>0</v>
      </c>
      <c r="Y899" s="13">
        <f t="shared" ca="1" si="110"/>
        <v>0</v>
      </c>
      <c r="Z899">
        <f t="shared" ca="1" si="112"/>
        <v>1</v>
      </c>
      <c r="AA899">
        <f t="shared" ca="1" si="113"/>
        <v>0</v>
      </c>
      <c r="AB899" s="24">
        <f t="shared" ca="1" si="114"/>
        <v>8.605320243999609E-2</v>
      </c>
      <c r="AC899" s="24">
        <f t="shared" ca="1" si="115"/>
        <v>0</v>
      </c>
    </row>
    <row r="900" spans="3:29" x14ac:dyDescent="0.25">
      <c r="C900" s="6">
        <v>893</v>
      </c>
      <c r="D900" s="37">
        <v>43277</v>
      </c>
      <c r="E900" s="39">
        <v>20.617000000000001</v>
      </c>
      <c r="F900" s="39">
        <v>2.3601328424650241</v>
      </c>
      <c r="G900" s="39">
        <v>63.430995692970825</v>
      </c>
      <c r="H900" s="39">
        <v>72.745503787189918</v>
      </c>
      <c r="I900" s="10">
        <v>0</v>
      </c>
      <c r="J900" s="40">
        <v>0</v>
      </c>
      <c r="K900" s="40">
        <v>0</v>
      </c>
      <c r="L900" s="40">
        <v>0</v>
      </c>
      <c r="M900" s="40">
        <v>0</v>
      </c>
      <c r="N900" s="40">
        <v>1</v>
      </c>
      <c r="O900" s="40">
        <v>0</v>
      </c>
      <c r="P900" s="40">
        <v>0</v>
      </c>
      <c r="Q900" s="40">
        <v>0</v>
      </c>
      <c r="R900" s="40">
        <v>0</v>
      </c>
      <c r="S900" s="40">
        <v>0</v>
      </c>
      <c r="T900" s="29">
        <f t="array" aca="1" ref="T900" ca="1">+fair_value_gap(OFFSET(S899,0,0,-1*$I$5,-1*$Z$1),OFFSET(E899,0,0,-1*$I$5,1),F900:S900,0)</f>
        <v>20.531578531640996</v>
      </c>
      <c r="U900" s="9" cm="1">
        <f t="array" aca="1" ref="U900" ca="1">z_score_diff(OFFSET(T900,0,0,$I$5*-1,1),OFFSET(E900,0,0,$I$5*-1,1))</f>
        <v>-9.0852485203456013E-2</v>
      </c>
      <c r="V900" s="9">
        <f t="shared" ca="1" si="111"/>
        <v>-0.1356101853422553</v>
      </c>
      <c r="W900" s="17">
        <f t="shared" ca="1" si="108"/>
        <v>9.5499767055811355E-2</v>
      </c>
      <c r="X900" s="13">
        <f t="shared" ca="1" si="109"/>
        <v>0</v>
      </c>
      <c r="Y900" s="13">
        <f t="shared" ca="1" si="110"/>
        <v>0</v>
      </c>
      <c r="Z900">
        <f t="shared" ca="1" si="112"/>
        <v>1</v>
      </c>
      <c r="AA900">
        <f t="shared" ca="1" si="113"/>
        <v>0</v>
      </c>
      <c r="AB900" s="24">
        <f t="shared" ca="1" si="114"/>
        <v>9.5499767055811355E-2</v>
      </c>
      <c r="AC900" s="24">
        <f t="shared" ca="1" si="115"/>
        <v>0</v>
      </c>
    </row>
    <row r="901" spans="3:29" x14ac:dyDescent="0.25">
      <c r="C901" s="6">
        <v>894</v>
      </c>
      <c r="D901" s="37">
        <v>43278</v>
      </c>
      <c r="E901" s="39">
        <v>21.129000000000001</v>
      </c>
      <c r="F901" s="39">
        <v>2.3949031970554739</v>
      </c>
      <c r="G901" s="39">
        <v>65.016493564057626</v>
      </c>
      <c r="H901" s="39">
        <v>75.428722333173781</v>
      </c>
      <c r="I901" s="10">
        <v>0</v>
      </c>
      <c r="J901" s="40">
        <v>0</v>
      </c>
      <c r="K901" s="40">
        <v>0</v>
      </c>
      <c r="L901" s="40">
        <v>0</v>
      </c>
      <c r="M901" s="40">
        <v>0</v>
      </c>
      <c r="N901" s="40">
        <v>1</v>
      </c>
      <c r="O901" s="40">
        <v>0</v>
      </c>
      <c r="P901" s="40">
        <v>0</v>
      </c>
      <c r="Q901" s="40">
        <v>0</v>
      </c>
      <c r="R901" s="40">
        <v>0</v>
      </c>
      <c r="S901" s="40">
        <v>0</v>
      </c>
      <c r="T901" s="29">
        <f t="array" aca="1" ref="T901" ca="1">+fair_value_gap(OFFSET(S900,0,0,-1*$I$5,-1*$Z$1),OFFSET(E900,0,0,-1*$I$5,1),F901:S901,0)</f>
        <v>21.103561363697978</v>
      </c>
      <c r="U901" s="9" cm="1">
        <f t="array" aca="1" ref="U901" ca="1">z_score_diff(OFFSET(T901,0,0,$I$5*-1,1),OFFSET(E901,0,0,$I$5*-1,1))</f>
        <v>-6.4996247928110762E-2</v>
      </c>
      <c r="V901" s="9">
        <f t="shared" ca="1" si="111"/>
        <v>-0.12648724895876157</v>
      </c>
      <c r="W901" s="17">
        <f t="shared" ca="1" si="108"/>
        <v>6.2424261539841153E-2</v>
      </c>
      <c r="X901" s="13">
        <f t="shared" ca="1" si="109"/>
        <v>0</v>
      </c>
      <c r="Y901" s="13">
        <f t="shared" ca="1" si="110"/>
        <v>0</v>
      </c>
      <c r="Z901">
        <f t="shared" ca="1" si="112"/>
        <v>1</v>
      </c>
      <c r="AA901">
        <f t="shared" ca="1" si="113"/>
        <v>0</v>
      </c>
      <c r="AB901" s="24">
        <f t="shared" ca="1" si="114"/>
        <v>6.2424261539841153E-2</v>
      </c>
      <c r="AC901" s="24">
        <f t="shared" ca="1" si="115"/>
        <v>0</v>
      </c>
    </row>
    <row r="902" spans="3:29" x14ac:dyDescent="0.25">
      <c r="C902" s="6">
        <v>895</v>
      </c>
      <c r="D902" s="37">
        <v>43279</v>
      </c>
      <c r="E902" s="39">
        <v>21.199000000000002</v>
      </c>
      <c r="F902" s="39">
        <v>2.4646911755974958</v>
      </c>
      <c r="G902" s="39">
        <v>64.864912829454525</v>
      </c>
      <c r="H902" s="39">
        <v>74.83128945649807</v>
      </c>
      <c r="I902" s="10">
        <v>0</v>
      </c>
      <c r="J902" s="40">
        <v>0</v>
      </c>
      <c r="K902" s="40">
        <v>0</v>
      </c>
      <c r="L902" s="40">
        <v>0</v>
      </c>
      <c r="M902" s="40">
        <v>0</v>
      </c>
      <c r="N902" s="40">
        <v>1</v>
      </c>
      <c r="O902" s="40">
        <v>0</v>
      </c>
      <c r="P902" s="40">
        <v>0</v>
      </c>
      <c r="Q902" s="40">
        <v>0</v>
      </c>
      <c r="R902" s="40">
        <v>0</v>
      </c>
      <c r="S902" s="40">
        <v>0</v>
      </c>
      <c r="T902" s="29">
        <f t="array" aca="1" ref="T902" ca="1">+fair_value_gap(OFFSET(S901,0,0,-1*$I$5,-1*$Z$1),OFFSET(E901,0,0,-1*$I$5,1),F902:S902,0)</f>
        <v>21.094969215313036</v>
      </c>
      <c r="U902" s="9" cm="1">
        <f t="array" aca="1" ref="U902" ca="1">z_score_diff(OFFSET(T902,0,0,$I$5*-1,1),OFFSET(E902,0,0,$I$5*-1,1))</f>
        <v>-0.11154542886396879</v>
      </c>
      <c r="V902" s="9">
        <f t="shared" ca="1" si="111"/>
        <v>-0.11943594075782976</v>
      </c>
      <c r="W902" s="17">
        <f t="shared" ca="1" si="108"/>
        <v>5.8805457324749871E-2</v>
      </c>
      <c r="X902" s="13">
        <f t="shared" ca="1" si="109"/>
        <v>0</v>
      </c>
      <c r="Y902" s="13">
        <f t="shared" ca="1" si="110"/>
        <v>0</v>
      </c>
      <c r="Z902">
        <f t="shared" ca="1" si="112"/>
        <v>1</v>
      </c>
      <c r="AA902">
        <f t="shared" ca="1" si="113"/>
        <v>0</v>
      </c>
      <c r="AB902" s="24">
        <f t="shared" ca="1" si="114"/>
        <v>5.8805457324749871E-2</v>
      </c>
      <c r="AC902" s="24">
        <f t="shared" ca="1" si="115"/>
        <v>0</v>
      </c>
    </row>
    <row r="903" spans="3:29" x14ac:dyDescent="0.25">
      <c r="C903" s="6">
        <v>896</v>
      </c>
      <c r="D903" s="37">
        <v>43280</v>
      </c>
      <c r="E903" s="39">
        <v>21.914999999999999</v>
      </c>
      <c r="F903" s="39">
        <v>2.4432920971631349</v>
      </c>
      <c r="G903" s="39">
        <v>68.676869284322891</v>
      </c>
      <c r="H903" s="39">
        <v>75.847432705314958</v>
      </c>
      <c r="I903" s="10">
        <v>0</v>
      </c>
      <c r="J903" s="40">
        <v>0</v>
      </c>
      <c r="K903" s="40">
        <v>0</v>
      </c>
      <c r="L903" s="40">
        <v>0</v>
      </c>
      <c r="M903" s="40">
        <v>0</v>
      </c>
      <c r="N903" s="40">
        <v>1</v>
      </c>
      <c r="O903" s="40">
        <v>0</v>
      </c>
      <c r="P903" s="40">
        <v>0</v>
      </c>
      <c r="Q903" s="40">
        <v>0</v>
      </c>
      <c r="R903" s="40">
        <v>0</v>
      </c>
      <c r="S903" s="40">
        <v>0</v>
      </c>
      <c r="T903" s="29">
        <f t="array" aca="1" ref="T903" ca="1">+fair_value_gap(OFFSET(S902,0,0,-1*$I$5,-1*$Z$1),OFFSET(E902,0,0,-1*$I$5,1),F903:S903,0)</f>
        <v>22.187403582600933</v>
      </c>
      <c r="U903" s="9" cm="1">
        <f t="array" aca="1" ref="U903" ca="1">z_score_diff(OFFSET(T903,0,0,$I$5*-1,1),OFFSET(E903,0,0,$I$5*-1,1))</f>
        <v>9.8260958502520257E-2</v>
      </c>
      <c r="V903" s="9">
        <f t="shared" ca="1" si="111"/>
        <v>-0.10799276991775469</v>
      </c>
      <c r="W903" s="17">
        <f t="shared" ref="W903:W966" ca="1" si="116">+LN(OFFSET(E903,$W$3,0,1,1)/E903)</f>
        <v>2.8918436346952549E-2</v>
      </c>
      <c r="X903" s="13">
        <f t="shared" ca="1" si="109"/>
        <v>0</v>
      </c>
      <c r="Y903" s="13">
        <f t="shared" ca="1" si="110"/>
        <v>0</v>
      </c>
      <c r="Z903">
        <f t="shared" ca="1" si="112"/>
        <v>1</v>
      </c>
      <c r="AA903">
        <f t="shared" ca="1" si="113"/>
        <v>0</v>
      </c>
      <c r="AB903" s="24">
        <f t="shared" ca="1" si="114"/>
        <v>2.8918436346952549E-2</v>
      </c>
      <c r="AC903" s="24">
        <f t="shared" ca="1" si="115"/>
        <v>0</v>
      </c>
    </row>
    <row r="904" spans="3:29" x14ac:dyDescent="0.25">
      <c r="C904" s="6">
        <v>897</v>
      </c>
      <c r="D904" s="37">
        <v>43283</v>
      </c>
      <c r="E904" s="39">
        <v>22.113</v>
      </c>
      <c r="F904" s="39">
        <v>2.4416108890760673</v>
      </c>
      <c r="G904" s="39">
        <v>69.081302783505052</v>
      </c>
      <c r="H904" s="39">
        <v>75.823623343998136</v>
      </c>
      <c r="I904" s="10">
        <v>0</v>
      </c>
      <c r="J904" s="40">
        <v>0</v>
      </c>
      <c r="K904" s="40">
        <v>0</v>
      </c>
      <c r="L904" s="40">
        <v>0</v>
      </c>
      <c r="M904" s="40">
        <v>0</v>
      </c>
      <c r="N904" s="40">
        <v>0</v>
      </c>
      <c r="O904" s="40">
        <v>1</v>
      </c>
      <c r="P904" s="40">
        <v>0</v>
      </c>
      <c r="Q904" s="40">
        <v>0</v>
      </c>
      <c r="R904" s="40">
        <v>0</v>
      </c>
      <c r="S904" s="40">
        <v>0</v>
      </c>
      <c r="T904" s="29">
        <f t="array" aca="1" ref="T904" ca="1">+fair_value_gap(OFFSET(S903,0,0,-1*$I$5,-1*$Z$1),OFFSET(E903,0,0,-1*$I$5,1),F904:S904,0)</f>
        <v>21.911636891347278</v>
      </c>
      <c r="U904" s="9" cm="1">
        <f t="array" aca="1" ref="U904" ca="1">z_score_diff(OFFSET(T904,0,0,$I$5*-1,1),OFFSET(E904,0,0,$I$5*-1,1))</f>
        <v>-0.18569590209930631</v>
      </c>
      <c r="V904" s="9">
        <f t="shared" ca="1" si="111"/>
        <v>-0.10788068782264561</v>
      </c>
      <c r="W904" s="17">
        <f t="shared" ca="1" si="116"/>
        <v>2.7519966989190382E-2</v>
      </c>
      <c r="X904" s="13">
        <f t="shared" ca="1" si="109"/>
        <v>0</v>
      </c>
      <c r="Y904" s="13">
        <f t="shared" ca="1" si="110"/>
        <v>0</v>
      </c>
      <c r="Z904">
        <f t="shared" ca="1" si="112"/>
        <v>1</v>
      </c>
      <c r="AA904">
        <f t="shared" ca="1" si="113"/>
        <v>0</v>
      </c>
      <c r="AB904" s="24">
        <f t="shared" ca="1" si="114"/>
        <v>2.7519966989190382E-2</v>
      </c>
      <c r="AC904" s="24">
        <f t="shared" ca="1" si="115"/>
        <v>0</v>
      </c>
    </row>
    <row r="905" spans="3:29" x14ac:dyDescent="0.25">
      <c r="C905" s="6">
        <v>898</v>
      </c>
      <c r="D905" s="37">
        <v>43284</v>
      </c>
      <c r="E905" s="39">
        <v>22.064</v>
      </c>
      <c r="F905" s="39">
        <v>2.4420014417720686</v>
      </c>
      <c r="G905" s="39">
        <v>69.351252773550627</v>
      </c>
      <c r="H905" s="39">
        <v>76.921816632806866</v>
      </c>
      <c r="I905" s="10">
        <v>0</v>
      </c>
      <c r="J905" s="40">
        <v>0</v>
      </c>
      <c r="K905" s="40">
        <v>0</v>
      </c>
      <c r="L905" s="40">
        <v>0</v>
      </c>
      <c r="M905" s="40">
        <v>0</v>
      </c>
      <c r="N905" s="40">
        <v>0</v>
      </c>
      <c r="O905" s="40">
        <v>1</v>
      </c>
      <c r="P905" s="40">
        <v>0</v>
      </c>
      <c r="Q905" s="40">
        <v>0</v>
      </c>
      <c r="R905" s="40">
        <v>0</v>
      </c>
      <c r="S905" s="40">
        <v>0</v>
      </c>
      <c r="T905" s="29">
        <f t="array" aca="1" ref="T905" ca="1">+fair_value_gap(OFFSET(S904,0,0,-1*$I$5,-1*$Z$1),OFFSET(E904,0,0,-1*$I$5,1),F905:S905,0)</f>
        <v>22.132091608637339</v>
      </c>
      <c r="U905" s="9" cm="1">
        <f t="array" aca="1" ref="U905" ca="1">z_score_diff(OFFSET(T905,0,0,$I$5*-1,1),OFFSET(E905,0,0,$I$5*-1,1))</f>
        <v>-2.1128174423145296E-2</v>
      </c>
      <c r="V905" s="9">
        <f t="shared" ca="1" si="111"/>
        <v>-9.8744421153047671E-2</v>
      </c>
      <c r="W905" s="17">
        <f t="shared" ca="1" si="116"/>
        <v>2.8769964257533639E-2</v>
      </c>
      <c r="X905" s="13">
        <f t="shared" ref="X905:X968" ca="1" si="117">+X904</f>
        <v>0</v>
      </c>
      <c r="Y905" s="13">
        <f t="shared" ref="Y905:Y968" ca="1" si="118">+Y904</f>
        <v>0</v>
      </c>
      <c r="Z905">
        <f t="shared" ca="1" si="112"/>
        <v>1</v>
      </c>
      <c r="AA905">
        <f t="shared" ca="1" si="113"/>
        <v>0</v>
      </c>
      <c r="AB905" s="24">
        <f t="shared" ca="1" si="114"/>
        <v>2.8769964257533639E-2</v>
      </c>
      <c r="AC905" s="24">
        <f t="shared" ca="1" si="115"/>
        <v>0</v>
      </c>
    </row>
    <row r="906" spans="3:29" x14ac:dyDescent="0.25">
      <c r="C906" s="6">
        <v>899</v>
      </c>
      <c r="D906" s="37">
        <v>43285</v>
      </c>
      <c r="E906" s="39">
        <v>22.013999999999999</v>
      </c>
      <c r="F906" s="39">
        <v>2.4405000200577827</v>
      </c>
      <c r="G906" s="39">
        <v>69.257312593936476</v>
      </c>
      <c r="H906" s="39">
        <v>77.283865110182731</v>
      </c>
      <c r="I906" s="10">
        <v>0</v>
      </c>
      <c r="J906" s="40">
        <v>0</v>
      </c>
      <c r="K906" s="40">
        <v>0</v>
      </c>
      <c r="L906" s="40">
        <v>0</v>
      </c>
      <c r="M906" s="40">
        <v>0</v>
      </c>
      <c r="N906" s="40">
        <v>0</v>
      </c>
      <c r="O906" s="40">
        <v>1</v>
      </c>
      <c r="P906" s="40">
        <v>0</v>
      </c>
      <c r="Q906" s="40">
        <v>0</v>
      </c>
      <c r="R906" s="40">
        <v>0</v>
      </c>
      <c r="S906" s="40">
        <v>0</v>
      </c>
      <c r="T906" s="29">
        <f t="array" aca="1" ref="T906" ca="1">+fair_value_gap(OFFSET(S905,0,0,-1*$I$5,-1*$Z$1),OFFSET(E905,0,0,-1*$I$5,1),F906:S906,0)</f>
        <v>22.095100236175767</v>
      </c>
      <c r="U906" s="9" cm="1">
        <f t="array" aca="1" ref="U906" ca="1">z_score_diff(OFFSET(T906,0,0,$I$5*-1,1),OFFSET(E906,0,0,$I$5*-1,1))</f>
        <v>-1.1220875313841194E-2</v>
      </c>
      <c r="V906" s="9">
        <f t="shared" ca="1" si="111"/>
        <v>-9.1912148910158059E-2</v>
      </c>
      <c r="W906" s="17">
        <f t="shared" ca="1" si="116"/>
        <v>3.3062339516324799E-2</v>
      </c>
      <c r="X906" s="13">
        <f t="shared" ca="1" si="117"/>
        <v>0</v>
      </c>
      <c r="Y906" s="13">
        <f t="shared" ca="1" si="118"/>
        <v>0</v>
      </c>
      <c r="Z906">
        <f t="shared" ca="1" si="112"/>
        <v>1</v>
      </c>
      <c r="AA906">
        <f t="shared" ca="1" si="113"/>
        <v>0</v>
      </c>
      <c r="AB906" s="24">
        <f t="shared" ca="1" si="114"/>
        <v>3.3062339516324799E-2</v>
      </c>
      <c r="AC906" s="24">
        <f t="shared" ca="1" si="115"/>
        <v>0</v>
      </c>
    </row>
    <row r="907" spans="3:29" x14ac:dyDescent="0.25">
      <c r="C907" s="6">
        <v>900</v>
      </c>
      <c r="D907" s="37">
        <v>43286</v>
      </c>
      <c r="E907" s="39">
        <v>22.236999999999998</v>
      </c>
      <c r="F907" s="39">
        <v>2.4281277453192818</v>
      </c>
      <c r="G907" s="39">
        <v>69.78104259523451</v>
      </c>
      <c r="H907" s="39">
        <v>76.542359153894637</v>
      </c>
      <c r="I907" s="10">
        <v>0</v>
      </c>
      <c r="J907" s="40">
        <v>0</v>
      </c>
      <c r="K907" s="40">
        <v>0</v>
      </c>
      <c r="L907" s="40">
        <v>0</v>
      </c>
      <c r="M907" s="40">
        <v>0</v>
      </c>
      <c r="N907" s="40">
        <v>0</v>
      </c>
      <c r="O907" s="40">
        <v>1</v>
      </c>
      <c r="P907" s="40">
        <v>0</v>
      </c>
      <c r="Q907" s="40">
        <v>0</v>
      </c>
      <c r="R907" s="40">
        <v>0</v>
      </c>
      <c r="S907" s="40">
        <v>0</v>
      </c>
      <c r="T907" s="29">
        <f t="array" aca="1" ref="T907" ca="1">+fair_value_gap(OFFSET(S906,0,0,-1*$I$5,-1*$Z$1),OFFSET(E906,0,0,-1*$I$5,1),F907:S907,0)</f>
        <v>22.182429543875003</v>
      </c>
      <c r="U907" s="9" cm="1">
        <f t="array" aca="1" ref="U907" ca="1">z_score_diff(OFFSET(T907,0,0,$I$5*-1,1),OFFSET(E907,0,0,$I$5*-1,1))</f>
        <v>-9.0500301413837914E-2</v>
      </c>
      <c r="V907" s="9">
        <f t="shared" ref="V907:V970" ca="1" si="119">+IF(ISERROR(AVERAGE(OFFSET(U907,0,0,$V$5*-1,1))),"",AVERAGE(OFFSET(U907,0,0,$V$5*-1,1)))</f>
        <v>-8.6283383309414097E-2</v>
      </c>
      <c r="W907" s="17">
        <f t="shared" ca="1" si="116"/>
        <v>3.1778209503890396E-2</v>
      </c>
      <c r="X907" s="13">
        <f t="shared" ca="1" si="117"/>
        <v>0</v>
      </c>
      <c r="Y907" s="13">
        <f t="shared" ca="1" si="118"/>
        <v>0</v>
      </c>
      <c r="Z907">
        <f t="shared" ref="Z907:Z970" ca="1" si="120">+IF(V907="","",IF(V907&lt;X907,1,0))</f>
        <v>1</v>
      </c>
      <c r="AA907">
        <f t="shared" ref="AA907:AA970" ca="1" si="121">+IF(V907="","",IF(V907&gt;Y907,1,0))</f>
        <v>0</v>
      </c>
      <c r="AB907" s="24">
        <f t="shared" ref="AB907:AB970" ca="1" si="122">+IF(ISERROR(Z907*W907),"",Z907*W907)</f>
        <v>3.1778209503890396E-2</v>
      </c>
      <c r="AC907" s="24">
        <f t="shared" ref="AC907:AC970" ca="1" si="123">+IF(ISERROR(AA907*W907),"",AA907*W907)</f>
        <v>0</v>
      </c>
    </row>
    <row r="908" spans="3:29" x14ac:dyDescent="0.25">
      <c r="C908" s="6">
        <v>901</v>
      </c>
      <c r="D908" s="37">
        <v>43287</v>
      </c>
      <c r="E908" s="39">
        <v>22.137</v>
      </c>
      <c r="F908" s="39">
        <v>2.4176751148497262</v>
      </c>
      <c r="G908" s="39">
        <v>69.539841827904411</v>
      </c>
      <c r="H908" s="39">
        <v>75.943441842926703</v>
      </c>
      <c r="I908" s="10">
        <v>0</v>
      </c>
      <c r="J908" s="40">
        <v>0</v>
      </c>
      <c r="K908" s="40">
        <v>0</v>
      </c>
      <c r="L908" s="40">
        <v>0</v>
      </c>
      <c r="M908" s="40">
        <v>0</v>
      </c>
      <c r="N908" s="40">
        <v>0</v>
      </c>
      <c r="O908" s="40">
        <v>1</v>
      </c>
      <c r="P908" s="40">
        <v>0</v>
      </c>
      <c r="Q908" s="40">
        <v>0</v>
      </c>
      <c r="R908" s="40">
        <v>0</v>
      </c>
      <c r="S908" s="40">
        <v>0</v>
      </c>
      <c r="T908" s="29">
        <f t="array" aca="1" ref="T908" ca="1">+fair_value_gap(OFFSET(S907,0,0,-1*$I$5,-1*$Z$1),OFFSET(E907,0,0,-1*$I$5,1),F908:S908,0)</f>
        <v>22.096248895343621</v>
      </c>
      <c r="U908" s="9" cm="1">
        <f t="array" aca="1" ref="U908" ca="1">z_score_diff(OFFSET(T908,0,0,$I$5*-1,1),OFFSET(E908,0,0,$I$5*-1,1))</f>
        <v>-7.6226208634098125E-2</v>
      </c>
      <c r="V908" s="9">
        <f t="shared" ca="1" si="119"/>
        <v>-8.0335154348860169E-2</v>
      </c>
      <c r="W908" s="17">
        <f t="shared" ca="1" si="116"/>
        <v>4.4571562681546828E-2</v>
      </c>
      <c r="X908" s="13">
        <f t="shared" ca="1" si="117"/>
        <v>0</v>
      </c>
      <c r="Y908" s="13">
        <f t="shared" ca="1" si="118"/>
        <v>0</v>
      </c>
      <c r="Z908">
        <f t="shared" ca="1" si="120"/>
        <v>1</v>
      </c>
      <c r="AA908">
        <f t="shared" ca="1" si="121"/>
        <v>0</v>
      </c>
      <c r="AB908" s="24">
        <f t="shared" ca="1" si="122"/>
        <v>4.4571562681546828E-2</v>
      </c>
      <c r="AC908" s="24">
        <f t="shared" ca="1" si="123"/>
        <v>0</v>
      </c>
    </row>
    <row r="909" spans="3:29" x14ac:dyDescent="0.25">
      <c r="C909" s="6">
        <v>902</v>
      </c>
      <c r="D909" s="37">
        <v>43290</v>
      </c>
      <c r="E909" s="39">
        <v>22.478999999999999</v>
      </c>
      <c r="F909" s="39">
        <v>2.4095642163476918</v>
      </c>
      <c r="G909" s="39">
        <v>70.357437454526959</v>
      </c>
      <c r="H909" s="39">
        <v>77.247316437157309</v>
      </c>
      <c r="I909" s="10">
        <v>0</v>
      </c>
      <c r="J909" s="40">
        <v>0</v>
      </c>
      <c r="K909" s="40">
        <v>0</v>
      </c>
      <c r="L909" s="40">
        <v>0</v>
      </c>
      <c r="M909" s="40">
        <v>0</v>
      </c>
      <c r="N909" s="40">
        <v>0</v>
      </c>
      <c r="O909" s="40">
        <v>1</v>
      </c>
      <c r="P909" s="40">
        <v>0</v>
      </c>
      <c r="Q909" s="40">
        <v>0</v>
      </c>
      <c r="R909" s="40">
        <v>0</v>
      </c>
      <c r="S909" s="40">
        <v>0</v>
      </c>
      <c r="T909" s="29">
        <f t="array" aca="1" ref="T909" ca="1">+fair_value_gap(OFFSET(S908,0,0,-1*$I$5,-1*$Z$1),OFFSET(E908,0,0,-1*$I$5,1),F909:S909,0)</f>
        <v>22.37363918753633</v>
      </c>
      <c r="U909" s="9" cm="1">
        <f t="array" aca="1" ref="U909" ca="1">z_score_diff(OFFSET(T909,0,0,$I$5*-1,1),OFFSET(E909,0,0,$I$5*-1,1))</f>
        <v>-0.11427360814703702</v>
      </c>
      <c r="V909" s="9">
        <f t="shared" ca="1" si="119"/>
        <v>-7.3441379695051934E-2</v>
      </c>
      <c r="W909" s="17">
        <f t="shared" ca="1" si="116"/>
        <v>4.730831966999121E-2</v>
      </c>
      <c r="X909" s="13">
        <f t="shared" ca="1" si="117"/>
        <v>0</v>
      </c>
      <c r="Y909" s="13">
        <f t="shared" ca="1" si="118"/>
        <v>0</v>
      </c>
      <c r="Z909">
        <f t="shared" ca="1" si="120"/>
        <v>1</v>
      </c>
      <c r="AA909">
        <f t="shared" ca="1" si="121"/>
        <v>0</v>
      </c>
      <c r="AB909" s="24">
        <f t="shared" ca="1" si="122"/>
        <v>4.730831966999121E-2</v>
      </c>
      <c r="AC909" s="24">
        <f t="shared" ca="1" si="123"/>
        <v>0</v>
      </c>
    </row>
    <row r="910" spans="3:29" x14ac:dyDescent="0.25">
      <c r="C910" s="6">
        <v>903</v>
      </c>
      <c r="D910" s="37">
        <v>43291</v>
      </c>
      <c r="E910" s="39">
        <v>22.571000000000002</v>
      </c>
      <c r="F910" s="39">
        <v>2.400175444296436</v>
      </c>
      <c r="G910" s="39">
        <v>70.72751626101379</v>
      </c>
      <c r="H910" s="39">
        <v>77.325449169888557</v>
      </c>
      <c r="I910" s="10">
        <v>0</v>
      </c>
      <c r="J910" s="40">
        <v>0</v>
      </c>
      <c r="K910" s="40">
        <v>0</v>
      </c>
      <c r="L910" s="40">
        <v>0</v>
      </c>
      <c r="M910" s="40">
        <v>0</v>
      </c>
      <c r="N910" s="40">
        <v>0</v>
      </c>
      <c r="O910" s="40">
        <v>1</v>
      </c>
      <c r="P910" s="40">
        <v>0</v>
      </c>
      <c r="Q910" s="40">
        <v>0</v>
      </c>
      <c r="R910" s="40">
        <v>0</v>
      </c>
      <c r="S910" s="40">
        <v>0</v>
      </c>
      <c r="T910" s="29">
        <f t="array" aca="1" ref="T910" ca="1">+fair_value_gap(OFFSET(S909,0,0,-1*$I$5,-1*$Z$1),OFFSET(E909,0,0,-1*$I$5,1),F910:S910,0)</f>
        <v>22.49014938171014</v>
      </c>
      <c r="U910" s="9" cm="1">
        <f t="array" aca="1" ref="U910" ca="1">z_score_diff(OFFSET(T910,0,0,$I$5*-1,1),OFFSET(E910,0,0,$I$5*-1,1))</f>
        <v>-9.7143541145926715E-2</v>
      </c>
      <c r="V910" s="9">
        <f t="shared" ca="1" si="119"/>
        <v>-6.8792072684880634E-2</v>
      </c>
      <c r="W910" s="17">
        <f t="shared" ca="1" si="116"/>
        <v>4.6062767795580106E-2</v>
      </c>
      <c r="X910" s="13">
        <f t="shared" ca="1" si="117"/>
        <v>0</v>
      </c>
      <c r="Y910" s="13">
        <f t="shared" ca="1" si="118"/>
        <v>0</v>
      </c>
      <c r="Z910">
        <f t="shared" ca="1" si="120"/>
        <v>1</v>
      </c>
      <c r="AA910">
        <f t="shared" ca="1" si="121"/>
        <v>0</v>
      </c>
      <c r="AB910" s="24">
        <f t="shared" ca="1" si="122"/>
        <v>4.6062767795580106E-2</v>
      </c>
      <c r="AC910" s="24">
        <f t="shared" ca="1" si="123"/>
        <v>0</v>
      </c>
    </row>
    <row r="911" spans="3:29" x14ac:dyDescent="0.25">
      <c r="C911" s="6">
        <v>904</v>
      </c>
      <c r="D911" s="37">
        <v>43292</v>
      </c>
      <c r="E911" s="39">
        <v>22.434999999999999</v>
      </c>
      <c r="F911" s="39">
        <v>2.4358454403328254</v>
      </c>
      <c r="G911" s="39">
        <v>70.517106968873335</v>
      </c>
      <c r="H911" s="39">
        <v>77.883275660188517</v>
      </c>
      <c r="I911" s="10">
        <v>0</v>
      </c>
      <c r="J911" s="40">
        <v>0</v>
      </c>
      <c r="K911" s="40">
        <v>0</v>
      </c>
      <c r="L911" s="40">
        <v>0</v>
      </c>
      <c r="M911" s="40">
        <v>0</v>
      </c>
      <c r="N911" s="40">
        <v>0</v>
      </c>
      <c r="O911" s="40">
        <v>1</v>
      </c>
      <c r="P911" s="40">
        <v>0</v>
      </c>
      <c r="Q911" s="40">
        <v>0</v>
      </c>
      <c r="R911" s="40">
        <v>0</v>
      </c>
      <c r="S911" s="40">
        <v>0</v>
      </c>
      <c r="T911" s="29">
        <f t="array" aca="1" ref="T911" ca="1">+fair_value_gap(OFFSET(S910,0,0,-1*$I$5,-1*$Z$1),OFFSET(E910,0,0,-1*$I$5,1),F911:S911,0)</f>
        <v>22.489819279931599</v>
      </c>
      <c r="U911" s="9" cm="1">
        <f t="array" aca="1" ref="U911" ca="1">z_score_diff(OFFSET(T911,0,0,$I$5*-1,1),OFFSET(E911,0,0,$I$5*-1,1))</f>
        <v>-1.8887076476244768E-2</v>
      </c>
      <c r="V911" s="9">
        <f t="shared" ca="1" si="119"/>
        <v>-6.4038354324800026E-2</v>
      </c>
      <c r="W911" s="17">
        <f t="shared" ca="1" si="116"/>
        <v>6.6431090586415525E-2</v>
      </c>
      <c r="X911" s="13">
        <f t="shared" ca="1" si="117"/>
        <v>0</v>
      </c>
      <c r="Y911" s="13">
        <f t="shared" ca="1" si="118"/>
        <v>0</v>
      </c>
      <c r="Z911">
        <f t="shared" ca="1" si="120"/>
        <v>1</v>
      </c>
      <c r="AA911">
        <f t="shared" ca="1" si="121"/>
        <v>0</v>
      </c>
      <c r="AB911" s="24">
        <f t="shared" ca="1" si="122"/>
        <v>6.6431090586415525E-2</v>
      </c>
      <c r="AC911" s="24">
        <f t="shared" ca="1" si="123"/>
        <v>0</v>
      </c>
    </row>
    <row r="912" spans="3:29" x14ac:dyDescent="0.25">
      <c r="C912" s="6">
        <v>905</v>
      </c>
      <c r="D912" s="37">
        <v>43293</v>
      </c>
      <c r="E912" s="39">
        <v>21.901</v>
      </c>
      <c r="F912" s="39">
        <v>2.4182728492424492</v>
      </c>
      <c r="G912" s="39">
        <v>69.030380465644527</v>
      </c>
      <c r="H912" s="39">
        <v>75.550574298897217</v>
      </c>
      <c r="I912" s="10">
        <v>0</v>
      </c>
      <c r="J912" s="40">
        <v>0</v>
      </c>
      <c r="K912" s="40">
        <v>0</v>
      </c>
      <c r="L912" s="40">
        <v>0</v>
      </c>
      <c r="M912" s="40">
        <v>0</v>
      </c>
      <c r="N912" s="40">
        <v>0</v>
      </c>
      <c r="O912" s="40">
        <v>1</v>
      </c>
      <c r="P912" s="40">
        <v>0</v>
      </c>
      <c r="Q912" s="40">
        <v>0</v>
      </c>
      <c r="R912" s="40">
        <v>0</v>
      </c>
      <c r="S912" s="40">
        <v>0</v>
      </c>
      <c r="T912" s="29">
        <f t="array" aca="1" ref="T912" ca="1">+fair_value_gap(OFFSET(S911,0,0,-1*$I$5,-1*$Z$1),OFFSET(E911,0,0,-1*$I$5,1),F912:S912,0)</f>
        <v>21.968339048301523</v>
      </c>
      <c r="U912" s="9" cm="1">
        <f t="array" aca="1" ref="U912" ca="1">z_score_diff(OFFSET(T912,0,0,$I$5*-1,1),OFFSET(E912,0,0,$I$5*-1,1))</f>
        <v>-1.5435069009961389E-3</v>
      </c>
      <c r="V912" s="9">
        <f t="shared" ca="1" si="119"/>
        <v>-6.1025715872813815E-2</v>
      </c>
      <c r="W912" s="17">
        <f t="shared" ca="1" si="116"/>
        <v>8.7597175575359315E-2</v>
      </c>
      <c r="X912" s="13">
        <f t="shared" ca="1" si="117"/>
        <v>0</v>
      </c>
      <c r="Y912" s="13">
        <f t="shared" ca="1" si="118"/>
        <v>0</v>
      </c>
      <c r="Z912">
        <f t="shared" ca="1" si="120"/>
        <v>1</v>
      </c>
      <c r="AA912">
        <f t="shared" ca="1" si="121"/>
        <v>0</v>
      </c>
      <c r="AB912" s="24">
        <f t="shared" ca="1" si="122"/>
        <v>8.7597175575359315E-2</v>
      </c>
      <c r="AC912" s="24">
        <f t="shared" ca="1" si="123"/>
        <v>0</v>
      </c>
    </row>
    <row r="913" spans="3:29" x14ac:dyDescent="0.25">
      <c r="C913" s="6">
        <v>906</v>
      </c>
      <c r="D913" s="37">
        <v>43294</v>
      </c>
      <c r="E913" s="39">
        <v>22.146000000000001</v>
      </c>
      <c r="F913" s="39">
        <v>2.3975604516072639</v>
      </c>
      <c r="G913" s="39">
        <v>69.507836983633069</v>
      </c>
      <c r="H913" s="39">
        <v>74.336627290037825</v>
      </c>
      <c r="I913" s="10">
        <v>0</v>
      </c>
      <c r="J913" s="40">
        <v>0</v>
      </c>
      <c r="K913" s="40">
        <v>0</v>
      </c>
      <c r="L913" s="40">
        <v>0</v>
      </c>
      <c r="M913" s="40">
        <v>0</v>
      </c>
      <c r="N913" s="40">
        <v>0</v>
      </c>
      <c r="O913" s="40">
        <v>1</v>
      </c>
      <c r="P913" s="40">
        <v>0</v>
      </c>
      <c r="Q913" s="40">
        <v>0</v>
      </c>
      <c r="R913" s="40">
        <v>0</v>
      </c>
      <c r="S913" s="40">
        <v>0</v>
      </c>
      <c r="T913" s="29">
        <f t="array" aca="1" ref="T913" ca="1">+fair_value_gap(OFFSET(S912,0,0,-1*$I$5,-1*$Z$1),OFFSET(E912,0,0,-1*$I$5,1),F913:S913,0)</f>
        <v>22.033815495242841</v>
      </c>
      <c r="U913" s="9" cm="1">
        <f t="array" aca="1" ref="U913" ca="1">z_score_diff(OFFSET(T913,0,0,$I$5*-1,1),OFFSET(E913,0,0,$I$5*-1,1))</f>
        <v>-9.8172495465703058E-2</v>
      </c>
      <c r="V913" s="9">
        <f t="shared" ca="1" si="119"/>
        <v>-6.3097319243472172E-2</v>
      </c>
      <c r="W913" s="17">
        <f t="shared" ca="1" si="116"/>
        <v>1.6524860477618357E-2</v>
      </c>
      <c r="X913" s="13">
        <f t="shared" ca="1" si="117"/>
        <v>0</v>
      </c>
      <c r="Y913" s="13">
        <f t="shared" ca="1" si="118"/>
        <v>0</v>
      </c>
      <c r="Z913">
        <f t="shared" ca="1" si="120"/>
        <v>1</v>
      </c>
      <c r="AA913">
        <f t="shared" ca="1" si="121"/>
        <v>0</v>
      </c>
      <c r="AB913" s="24">
        <f t="shared" ca="1" si="122"/>
        <v>1.6524860477618357E-2</v>
      </c>
      <c r="AC913" s="24">
        <f t="shared" ca="1" si="123"/>
        <v>0</v>
      </c>
    </row>
    <row r="914" spans="3:29" x14ac:dyDescent="0.25">
      <c r="C914" s="6">
        <v>907</v>
      </c>
      <c r="D914" s="37">
        <v>43297</v>
      </c>
      <c r="E914" s="39">
        <v>21.72</v>
      </c>
      <c r="F914" s="39">
        <v>2.3808922603488987</v>
      </c>
      <c r="G914" s="39">
        <v>68.523908523908517</v>
      </c>
      <c r="H914" s="39">
        <v>73.6341636454124</v>
      </c>
      <c r="I914" s="10">
        <v>0</v>
      </c>
      <c r="J914" s="40">
        <v>0</v>
      </c>
      <c r="K914" s="40">
        <v>0</v>
      </c>
      <c r="L914" s="40">
        <v>0</v>
      </c>
      <c r="M914" s="40">
        <v>0</v>
      </c>
      <c r="N914" s="40">
        <v>0</v>
      </c>
      <c r="O914" s="40">
        <v>1</v>
      </c>
      <c r="P914" s="40">
        <v>0</v>
      </c>
      <c r="Q914" s="40">
        <v>0</v>
      </c>
      <c r="R914" s="40">
        <v>0</v>
      </c>
      <c r="S914" s="40">
        <v>0</v>
      </c>
      <c r="T914" s="29">
        <f t="array" aca="1" ref="T914" ca="1">+fair_value_gap(OFFSET(S913,0,0,-1*$I$5,-1*$Z$1),OFFSET(E913,0,0,-1*$I$5,1),F914:S914,0)</f>
        <v>21.730395489750695</v>
      </c>
      <c r="U914" s="9" cm="1">
        <f t="array" aca="1" ref="U914" ca="1">z_score_diff(OFFSET(T914,0,0,$I$5*-1,1),OFFSET(E914,0,0,$I$5*-1,1))</f>
        <v>-2.4591869402903033E-2</v>
      </c>
      <c r="V914" s="9">
        <f t="shared" ca="1" si="119"/>
        <v>-6.6406840542427237E-2</v>
      </c>
      <c r="W914" s="17">
        <f t="shared" ca="1" si="116"/>
        <v>4.7956702844233992E-2</v>
      </c>
      <c r="X914" s="13">
        <f t="shared" ca="1" si="117"/>
        <v>0</v>
      </c>
      <c r="Y914" s="13">
        <f t="shared" ca="1" si="118"/>
        <v>0</v>
      </c>
      <c r="Z914">
        <f t="shared" ca="1" si="120"/>
        <v>1</v>
      </c>
      <c r="AA914">
        <f t="shared" ca="1" si="121"/>
        <v>0</v>
      </c>
      <c r="AB914" s="24">
        <f t="shared" ca="1" si="122"/>
        <v>4.7956702844233992E-2</v>
      </c>
      <c r="AC914" s="24">
        <f t="shared" ca="1" si="123"/>
        <v>0</v>
      </c>
    </row>
    <row r="915" spans="3:29" x14ac:dyDescent="0.25">
      <c r="C915" s="6">
        <v>908</v>
      </c>
      <c r="D915" s="37">
        <v>43298</v>
      </c>
      <c r="E915" s="39">
        <v>21.588999999999999</v>
      </c>
      <c r="F915" s="39">
        <v>2.3851033353795787</v>
      </c>
      <c r="G915" s="39">
        <v>68.064933991125329</v>
      </c>
      <c r="H915" s="39">
        <v>73.173726212400254</v>
      </c>
      <c r="I915" s="10">
        <v>0</v>
      </c>
      <c r="J915" s="40">
        <v>0</v>
      </c>
      <c r="K915" s="40">
        <v>0</v>
      </c>
      <c r="L915" s="40">
        <v>0</v>
      </c>
      <c r="M915" s="40">
        <v>0</v>
      </c>
      <c r="N915" s="40">
        <v>0</v>
      </c>
      <c r="O915" s="40">
        <v>1</v>
      </c>
      <c r="P915" s="40">
        <v>0</v>
      </c>
      <c r="Q915" s="40">
        <v>0</v>
      </c>
      <c r="R915" s="40">
        <v>0</v>
      </c>
      <c r="S915" s="40">
        <v>0</v>
      </c>
      <c r="T915" s="29">
        <f t="array" aca="1" ref="T915" ca="1">+fair_value_gap(OFFSET(S914,0,0,-1*$I$5,-1*$Z$1),OFFSET(E914,0,0,-1*$I$5,1),F915:S915,0)</f>
        <v>21.585082567158029</v>
      </c>
      <c r="U915" s="9" cm="1">
        <f t="array" aca="1" ref="U915" ca="1">z_score_diff(OFFSET(T915,0,0,$I$5*-1,1),OFFSET(E915,0,0,$I$5*-1,1))</f>
        <v>-2.8509067221484496E-2</v>
      </c>
      <c r="V915" s="9">
        <f t="shared" ca="1" si="119"/>
        <v>-6.9811818888147262E-2</v>
      </c>
      <c r="W915" s="17">
        <f t="shared" ca="1" si="116"/>
        <v>7.1019627197877327E-2</v>
      </c>
      <c r="X915" s="13">
        <f t="shared" ca="1" si="117"/>
        <v>0</v>
      </c>
      <c r="Y915" s="13">
        <f t="shared" ca="1" si="118"/>
        <v>0</v>
      </c>
      <c r="Z915">
        <f t="shared" ca="1" si="120"/>
        <v>1</v>
      </c>
      <c r="AA915">
        <f t="shared" ca="1" si="121"/>
        <v>0</v>
      </c>
      <c r="AB915" s="24">
        <f t="shared" ca="1" si="122"/>
        <v>7.1019627197877327E-2</v>
      </c>
      <c r="AC915" s="24">
        <f t="shared" ca="1" si="123"/>
        <v>0</v>
      </c>
    </row>
    <row r="916" spans="3:29" x14ac:dyDescent="0.25">
      <c r="C916" s="6">
        <v>909</v>
      </c>
      <c r="D916" s="37">
        <v>43299</v>
      </c>
      <c r="E916" s="39">
        <v>21.777999999999999</v>
      </c>
      <c r="F916" s="39">
        <v>2.3778240246290436</v>
      </c>
      <c r="G916" s="39">
        <v>68.559620793007383</v>
      </c>
      <c r="H916" s="39">
        <v>74.95760325829923</v>
      </c>
      <c r="I916" s="10">
        <v>0</v>
      </c>
      <c r="J916" s="40">
        <v>0</v>
      </c>
      <c r="K916" s="40">
        <v>0</v>
      </c>
      <c r="L916" s="40">
        <v>0</v>
      </c>
      <c r="M916" s="40">
        <v>0</v>
      </c>
      <c r="N916" s="40">
        <v>0</v>
      </c>
      <c r="O916" s="40">
        <v>1</v>
      </c>
      <c r="P916" s="40">
        <v>0</v>
      </c>
      <c r="Q916" s="40">
        <v>0</v>
      </c>
      <c r="R916" s="40">
        <v>0</v>
      </c>
      <c r="S916" s="40">
        <v>0</v>
      </c>
      <c r="T916" s="29">
        <f t="array" aca="1" ref="T916" ca="1">+fair_value_gap(OFFSET(S915,0,0,-1*$I$5,-1*$Z$1),OFFSET(E915,0,0,-1*$I$5,1),F916:S916,0)</f>
        <v>21.786571802384401</v>
      </c>
      <c r="U916" s="9" cm="1">
        <f t="array" aca="1" ref="U916" ca="1">z_score_diff(OFFSET(T916,0,0,$I$5*-1,1),OFFSET(E916,0,0,$I$5*-1,1))</f>
        <v>-2.4726078780258565E-2</v>
      </c>
      <c r="V916" s="9">
        <f t="shared" ca="1" si="119"/>
        <v>-6.9941250065832711E-2</v>
      </c>
      <c r="W916" s="17">
        <f t="shared" ca="1" si="116"/>
        <v>6.561987675219115E-2</v>
      </c>
      <c r="X916" s="13">
        <f t="shared" ca="1" si="117"/>
        <v>0</v>
      </c>
      <c r="Y916" s="13">
        <f t="shared" ca="1" si="118"/>
        <v>0</v>
      </c>
      <c r="Z916">
        <f t="shared" ca="1" si="120"/>
        <v>1</v>
      </c>
      <c r="AA916">
        <f t="shared" ca="1" si="121"/>
        <v>0</v>
      </c>
      <c r="AB916" s="24">
        <f t="shared" ca="1" si="122"/>
        <v>6.561987675219115E-2</v>
      </c>
      <c r="AC916" s="24">
        <f t="shared" ca="1" si="123"/>
        <v>0</v>
      </c>
    </row>
    <row r="917" spans="3:29" x14ac:dyDescent="0.25">
      <c r="C917" s="6">
        <v>910</v>
      </c>
      <c r="D917" s="37">
        <v>43300</v>
      </c>
      <c r="E917" s="39">
        <v>21.79</v>
      </c>
      <c r="F917" s="39">
        <v>2.3887830486577237</v>
      </c>
      <c r="G917" s="39">
        <v>68.5141843116008</v>
      </c>
      <c r="H917" s="39">
        <v>74.475271094905352</v>
      </c>
      <c r="I917" s="10">
        <v>0</v>
      </c>
      <c r="J917" s="40">
        <v>0</v>
      </c>
      <c r="K917" s="40">
        <v>0</v>
      </c>
      <c r="L917" s="40">
        <v>0</v>
      </c>
      <c r="M917" s="40">
        <v>0</v>
      </c>
      <c r="N917" s="40">
        <v>0</v>
      </c>
      <c r="O917" s="40">
        <v>1</v>
      </c>
      <c r="P917" s="40">
        <v>0</v>
      </c>
      <c r="Q917" s="40">
        <v>0</v>
      </c>
      <c r="R917" s="40">
        <v>0</v>
      </c>
      <c r="S917" s="40">
        <v>0</v>
      </c>
      <c r="T917" s="29">
        <f t="array" aca="1" ref="T917" ca="1">+fair_value_gap(OFFSET(S916,0,0,-1*$I$5,-1*$Z$1),OFFSET(E916,0,0,-1*$I$5,1),F917:S917,0)</f>
        <v>21.760269842631196</v>
      </c>
      <c r="U917" s="9" cm="1">
        <f t="array" aca="1" ref="U917" ca="1">z_score_diff(OFFSET(T917,0,0,$I$5*-1,1),OFFSET(E917,0,0,$I$5*-1,1))</f>
        <v>-4.3113550204370021E-2</v>
      </c>
      <c r="V917" s="9">
        <f t="shared" ca="1" si="119"/>
        <v>-8.5943764561284219E-2</v>
      </c>
      <c r="W917" s="17">
        <f t="shared" ca="1" si="116"/>
        <v>7.8481140277722294E-2</v>
      </c>
      <c r="X917" s="13">
        <f t="shared" ca="1" si="117"/>
        <v>0</v>
      </c>
      <c r="Y917" s="13">
        <f t="shared" ca="1" si="118"/>
        <v>0</v>
      </c>
      <c r="Z917">
        <f t="shared" ca="1" si="120"/>
        <v>1</v>
      </c>
      <c r="AA917">
        <f t="shared" ca="1" si="121"/>
        <v>0</v>
      </c>
      <c r="AB917" s="24">
        <f t="shared" ca="1" si="122"/>
        <v>7.8481140277722294E-2</v>
      </c>
      <c r="AC917" s="24">
        <f t="shared" ca="1" si="123"/>
        <v>0</v>
      </c>
    </row>
    <row r="918" spans="3:29" x14ac:dyDescent="0.25">
      <c r="C918" s="6">
        <v>911</v>
      </c>
      <c r="D918" s="37">
        <v>43301</v>
      </c>
      <c r="E918" s="39">
        <v>21.597999999999999</v>
      </c>
      <c r="F918" s="39">
        <v>2.3629031535512373</v>
      </c>
      <c r="G918" s="39">
        <v>67.800926993244062</v>
      </c>
      <c r="H918" s="39">
        <v>71.717898197237659</v>
      </c>
      <c r="I918" s="10">
        <v>0</v>
      </c>
      <c r="J918" s="40">
        <v>0</v>
      </c>
      <c r="K918" s="40">
        <v>0</v>
      </c>
      <c r="L918" s="40">
        <v>0</v>
      </c>
      <c r="M918" s="40">
        <v>0</v>
      </c>
      <c r="N918" s="40">
        <v>0</v>
      </c>
      <c r="O918" s="40">
        <v>1</v>
      </c>
      <c r="P918" s="40">
        <v>0</v>
      </c>
      <c r="Q918" s="40">
        <v>0</v>
      </c>
      <c r="R918" s="40">
        <v>0</v>
      </c>
      <c r="S918" s="40">
        <v>0</v>
      </c>
      <c r="T918" s="29">
        <f t="array" aca="1" ref="T918" ca="1">+fair_value_gap(OFFSET(S917,0,0,-1*$I$5,-1*$Z$1),OFFSET(E917,0,0,-1*$I$5,1),F918:S918,0)</f>
        <v>21.43565923835882</v>
      </c>
      <c r="U918" s="9" cm="1">
        <f t="array" aca="1" ref="U918" ca="1">z_score_diff(OFFSET(T918,0,0,$I$5*-1,1),OFFSET(E918,0,0,$I$5*-1,1))</f>
        <v>-0.10388882200756822</v>
      </c>
      <c r="V918" s="9">
        <f t="shared" ca="1" si="119"/>
        <v>-8.8251211066082733E-2</v>
      </c>
      <c r="W918" s="17">
        <f t="shared" ca="1" si="116"/>
        <v>9.9309277776888305E-2</v>
      </c>
      <c r="X918" s="13">
        <f t="shared" ca="1" si="117"/>
        <v>0</v>
      </c>
      <c r="Y918" s="13">
        <f t="shared" ca="1" si="118"/>
        <v>0</v>
      </c>
      <c r="Z918">
        <f t="shared" ca="1" si="120"/>
        <v>1</v>
      </c>
      <c r="AA918">
        <f t="shared" ca="1" si="121"/>
        <v>0</v>
      </c>
      <c r="AB918" s="24">
        <f t="shared" ca="1" si="122"/>
        <v>9.9309277776888305E-2</v>
      </c>
      <c r="AC918" s="24">
        <f t="shared" ca="1" si="123"/>
        <v>0</v>
      </c>
    </row>
    <row r="919" spans="3:29" x14ac:dyDescent="0.25">
      <c r="C919" s="6">
        <v>912</v>
      </c>
      <c r="D919" s="37">
        <v>43304</v>
      </c>
      <c r="E919" s="39">
        <v>21.79</v>
      </c>
      <c r="F919" s="39">
        <v>2.3695677007686404</v>
      </c>
      <c r="G919" s="39">
        <v>68.315163550016152</v>
      </c>
      <c r="H919" s="39">
        <v>72.661847022537003</v>
      </c>
      <c r="I919" s="10">
        <v>0</v>
      </c>
      <c r="J919" s="40">
        <v>0</v>
      </c>
      <c r="K919" s="40">
        <v>0</v>
      </c>
      <c r="L919" s="40">
        <v>0</v>
      </c>
      <c r="M919" s="40">
        <v>0</v>
      </c>
      <c r="N919" s="40">
        <v>0</v>
      </c>
      <c r="O919" s="40">
        <v>1</v>
      </c>
      <c r="P919" s="40">
        <v>0</v>
      </c>
      <c r="Q919" s="40">
        <v>0</v>
      </c>
      <c r="R919" s="40">
        <v>0</v>
      </c>
      <c r="S919" s="40">
        <v>0</v>
      </c>
      <c r="T919" s="29">
        <f t="array" aca="1" ref="T919" ca="1">+fair_value_gap(OFFSET(S918,0,0,-1*$I$5,-1*$Z$1),OFFSET(E918,0,0,-1*$I$5,1),F919:S919,0)</f>
        <v>21.632660890958682</v>
      </c>
      <c r="U919" s="9" cm="1">
        <f t="array" aca="1" ref="U919" ca="1">z_score_diff(OFFSET(T919,0,0,$I$5*-1,1),OFFSET(E919,0,0,$I$5*-1,1))</f>
        <v>-0.10114661297367844</v>
      </c>
      <c r="V919" s="9">
        <f t="shared" ca="1" si="119"/>
        <v>-8.706335357058903E-2</v>
      </c>
      <c r="W919" s="17">
        <f t="shared" ca="1" si="116"/>
        <v>0.12951346464033631</v>
      </c>
      <c r="X919" s="13">
        <f t="shared" ca="1" si="117"/>
        <v>0</v>
      </c>
      <c r="Y919" s="13">
        <f t="shared" ca="1" si="118"/>
        <v>0</v>
      </c>
      <c r="Z919">
        <f t="shared" ca="1" si="120"/>
        <v>1</v>
      </c>
      <c r="AA919">
        <f t="shared" ca="1" si="121"/>
        <v>0</v>
      </c>
      <c r="AB919" s="24">
        <f t="shared" ca="1" si="122"/>
        <v>0.12951346464033631</v>
      </c>
      <c r="AC919" s="24">
        <f t="shared" ca="1" si="123"/>
        <v>0</v>
      </c>
    </row>
    <row r="920" spans="3:29" x14ac:dyDescent="0.25">
      <c r="C920" s="6">
        <v>913</v>
      </c>
      <c r="D920" s="37">
        <v>43305</v>
      </c>
      <c r="E920" s="39">
        <v>21.859000000000002</v>
      </c>
      <c r="F920" s="39">
        <v>2.37400545662052</v>
      </c>
      <c r="G920" s="39">
        <v>68.992906549582443</v>
      </c>
      <c r="H920" s="39">
        <v>73.759075999196682</v>
      </c>
      <c r="I920" s="10">
        <v>0</v>
      </c>
      <c r="J920" s="40">
        <v>0</v>
      </c>
      <c r="K920" s="40">
        <v>0</v>
      </c>
      <c r="L920" s="40">
        <v>0</v>
      </c>
      <c r="M920" s="40">
        <v>0</v>
      </c>
      <c r="N920" s="40">
        <v>0</v>
      </c>
      <c r="O920" s="40">
        <v>1</v>
      </c>
      <c r="P920" s="40">
        <v>0</v>
      </c>
      <c r="Q920" s="40">
        <v>0</v>
      </c>
      <c r="R920" s="40">
        <v>0</v>
      </c>
      <c r="S920" s="40">
        <v>0</v>
      </c>
      <c r="T920" s="29">
        <f t="array" aca="1" ref="T920" ca="1">+fair_value_gap(OFFSET(S919,0,0,-1*$I$5,-1*$Z$1),OFFSET(E919,0,0,-1*$I$5,1),F920:S920,0)</f>
        <v>21.886642648501343</v>
      </c>
      <c r="U920" s="9" cm="1">
        <f t="array" aca="1" ref="U920" ca="1">z_score_diff(OFFSET(T920,0,0,$I$5*-1,1),OFFSET(E920,0,0,$I$5*-1,1))</f>
        <v>-8.6657879265010784E-3</v>
      </c>
      <c r="V920" s="9">
        <f t="shared" ca="1" si="119"/>
        <v>-8.3947016474389596E-2</v>
      </c>
      <c r="W920" s="17">
        <f t="shared" ca="1" si="116"/>
        <v>0.11573245220090064</v>
      </c>
      <c r="X920" s="13">
        <f t="shared" ca="1" si="117"/>
        <v>0</v>
      </c>
      <c r="Y920" s="13">
        <f t="shared" ca="1" si="118"/>
        <v>0</v>
      </c>
      <c r="Z920">
        <f t="shared" ca="1" si="120"/>
        <v>1</v>
      </c>
      <c r="AA920">
        <f t="shared" ca="1" si="121"/>
        <v>0</v>
      </c>
      <c r="AB920" s="24">
        <f t="shared" ca="1" si="122"/>
        <v>0.11573245220090064</v>
      </c>
      <c r="AC920" s="24">
        <f t="shared" ca="1" si="123"/>
        <v>0</v>
      </c>
    </row>
    <row r="921" spans="3:29" x14ac:dyDescent="0.25">
      <c r="C921" s="6">
        <v>914</v>
      </c>
      <c r="D921" s="37">
        <v>43306</v>
      </c>
      <c r="E921" s="39">
        <v>21.907</v>
      </c>
      <c r="F921" s="39">
        <v>2.3763384699992351</v>
      </c>
      <c r="G921" s="39">
        <v>68.981783034162461</v>
      </c>
      <c r="H921" s="39">
        <v>74.031770205385286</v>
      </c>
      <c r="I921" s="10">
        <v>0</v>
      </c>
      <c r="J921" s="40">
        <v>0</v>
      </c>
      <c r="K921" s="40">
        <v>0</v>
      </c>
      <c r="L921" s="40">
        <v>0</v>
      </c>
      <c r="M921" s="40">
        <v>0</v>
      </c>
      <c r="N921" s="40">
        <v>0</v>
      </c>
      <c r="O921" s="40">
        <v>1</v>
      </c>
      <c r="P921" s="40">
        <v>0</v>
      </c>
      <c r="Q921" s="40">
        <v>0</v>
      </c>
      <c r="R921" s="40">
        <v>0</v>
      </c>
      <c r="S921" s="40">
        <v>0</v>
      </c>
      <c r="T921" s="29">
        <f t="array" aca="1" ref="T921" ca="1">+fair_value_gap(OFFSET(S920,0,0,-1*$I$5,-1*$Z$1),OFFSET(E920,0,0,-1*$I$5,1),F921:S921,0)</f>
        <v>21.893586322042701</v>
      </c>
      <c r="U921" s="9" cm="1">
        <f t="array" aca="1" ref="U921" ca="1">z_score_diff(OFFSET(T921,0,0,$I$5*-1,1),OFFSET(E921,0,0,$I$5*-1,1))</f>
        <v>-2.8254751363084196E-2</v>
      </c>
      <c r="V921" s="9">
        <f t="shared" ca="1" si="119"/>
        <v>-8.2563950972011843E-2</v>
      </c>
      <c r="W921" s="17">
        <f t="shared" ca="1" si="116"/>
        <v>8.9913386881446469E-2</v>
      </c>
      <c r="X921" s="13">
        <f t="shared" ca="1" si="117"/>
        <v>0</v>
      </c>
      <c r="Y921" s="13">
        <f t="shared" ca="1" si="118"/>
        <v>0</v>
      </c>
      <c r="Z921">
        <f t="shared" ca="1" si="120"/>
        <v>1</v>
      </c>
      <c r="AA921">
        <f t="shared" ca="1" si="121"/>
        <v>0</v>
      </c>
      <c r="AB921" s="24">
        <f t="shared" ca="1" si="122"/>
        <v>8.9913386881446469E-2</v>
      </c>
      <c r="AC921" s="24">
        <f t="shared" ca="1" si="123"/>
        <v>0</v>
      </c>
    </row>
    <row r="922" spans="3:29" x14ac:dyDescent="0.25">
      <c r="C922" s="6">
        <v>915</v>
      </c>
      <c r="D922" s="37">
        <v>43307</v>
      </c>
      <c r="E922" s="39">
        <v>21.954000000000001</v>
      </c>
      <c r="F922" s="39">
        <v>2.3792182170774447</v>
      </c>
      <c r="G922" s="39">
        <v>69.131412550638103</v>
      </c>
      <c r="H922" s="39">
        <v>73.613208265980859</v>
      </c>
      <c r="I922" s="10">
        <v>0</v>
      </c>
      <c r="J922" s="40">
        <v>0</v>
      </c>
      <c r="K922" s="40">
        <v>0</v>
      </c>
      <c r="L922" s="40">
        <v>0</v>
      </c>
      <c r="M922" s="40">
        <v>0</v>
      </c>
      <c r="N922" s="40">
        <v>0</v>
      </c>
      <c r="O922" s="40">
        <v>1</v>
      </c>
      <c r="P922" s="40">
        <v>0</v>
      </c>
      <c r="Q922" s="40">
        <v>0</v>
      </c>
      <c r="R922" s="40">
        <v>0</v>
      </c>
      <c r="S922" s="40">
        <v>0</v>
      </c>
      <c r="T922" s="29">
        <f t="array" aca="1" ref="T922" ca="1">+fair_value_gap(OFFSET(S921,0,0,-1*$I$5,-1*$Z$1),OFFSET(E921,0,0,-1*$I$5,1),F922:S922,0)</f>
        <v>21.922704234367977</v>
      </c>
      <c r="U922" s="9" cm="1">
        <f t="array" aca="1" ref="U922" ca="1">z_score_diff(OFFSET(T922,0,0,$I$5*-1,1),OFFSET(E922,0,0,$I$5*-1,1))</f>
        <v>-3.6005828303539822E-2</v>
      </c>
      <c r="V922" s="9">
        <f t="shared" ca="1" si="119"/>
        <v>-8.118919320759746E-2</v>
      </c>
      <c r="W922" s="17">
        <f t="shared" ca="1" si="116"/>
        <v>6.3401977730447673E-2</v>
      </c>
      <c r="X922" s="13">
        <f t="shared" ca="1" si="117"/>
        <v>0</v>
      </c>
      <c r="Y922" s="13">
        <f t="shared" ca="1" si="118"/>
        <v>0</v>
      </c>
      <c r="Z922">
        <f t="shared" ca="1" si="120"/>
        <v>1</v>
      </c>
      <c r="AA922">
        <f t="shared" ca="1" si="121"/>
        <v>0</v>
      </c>
      <c r="AB922" s="24">
        <f t="shared" ca="1" si="122"/>
        <v>6.3401977730447673E-2</v>
      </c>
      <c r="AC922" s="24">
        <f t="shared" ca="1" si="123"/>
        <v>0</v>
      </c>
    </row>
    <row r="923" spans="3:29" x14ac:dyDescent="0.25">
      <c r="C923" s="6">
        <v>916</v>
      </c>
      <c r="D923" s="37">
        <v>43308</v>
      </c>
      <c r="E923" s="39">
        <v>21.934999999999999</v>
      </c>
      <c r="F923" s="39">
        <v>2.3921409497879469</v>
      </c>
      <c r="G923" s="39">
        <v>69.018802167776741</v>
      </c>
      <c r="H923" s="39">
        <v>73.588604115398709</v>
      </c>
      <c r="I923" s="10">
        <v>0</v>
      </c>
      <c r="J923" s="40">
        <v>0</v>
      </c>
      <c r="K923" s="40">
        <v>0</v>
      </c>
      <c r="L923" s="40">
        <v>0</v>
      </c>
      <c r="M923" s="40">
        <v>0</v>
      </c>
      <c r="N923" s="40">
        <v>0</v>
      </c>
      <c r="O923" s="40">
        <v>1</v>
      </c>
      <c r="P923" s="40">
        <v>0</v>
      </c>
      <c r="Q923" s="40">
        <v>0</v>
      </c>
      <c r="R923" s="40">
        <v>0</v>
      </c>
      <c r="S923" s="40">
        <v>0</v>
      </c>
      <c r="T923" s="29">
        <f t="array" aca="1" ref="T923" ca="1">+fair_value_gap(OFFSET(S922,0,0,-1*$I$5,-1*$Z$1),OFFSET(E922,0,0,-1*$I$5,1),F923:S923,0)</f>
        <v>21.902810350139234</v>
      </c>
      <c r="U923" s="9" cm="1">
        <f t="array" aca="1" ref="U923" ca="1">z_score_diff(OFFSET(T923,0,0,$I$5*-1,1),OFFSET(E923,0,0,$I$5*-1,1))</f>
        <v>-3.4379132442158511E-2</v>
      </c>
      <c r="V923" s="9">
        <f t="shared" ca="1" si="119"/>
        <v>-7.9755880689057562E-2</v>
      </c>
      <c r="W923" s="17">
        <f t="shared" ca="1" si="116"/>
        <v>6.1313586479963746E-2</v>
      </c>
      <c r="X923" s="13">
        <f t="shared" ca="1" si="117"/>
        <v>0</v>
      </c>
      <c r="Y923" s="13">
        <f t="shared" ca="1" si="118"/>
        <v>0</v>
      </c>
      <c r="Z923">
        <f t="shared" ca="1" si="120"/>
        <v>1</v>
      </c>
      <c r="AA923">
        <f t="shared" ca="1" si="121"/>
        <v>0</v>
      </c>
      <c r="AB923" s="24">
        <f t="shared" ca="1" si="122"/>
        <v>6.1313586479963746E-2</v>
      </c>
      <c r="AC923" s="24">
        <f t="shared" ca="1" si="123"/>
        <v>0</v>
      </c>
    </row>
    <row r="924" spans="3:29" x14ac:dyDescent="0.25">
      <c r="C924" s="6">
        <v>917</v>
      </c>
      <c r="D924" s="37">
        <v>43311</v>
      </c>
      <c r="E924" s="39">
        <v>22.053000000000001</v>
      </c>
      <c r="F924" s="39">
        <v>2.3687050725965748</v>
      </c>
      <c r="G924" s="39">
        <v>69.445513081213221</v>
      </c>
      <c r="H924" s="39">
        <v>72.331846783554269</v>
      </c>
      <c r="I924" s="10">
        <v>0</v>
      </c>
      <c r="J924" s="40">
        <v>0</v>
      </c>
      <c r="K924" s="40">
        <v>0</v>
      </c>
      <c r="L924" s="40">
        <v>0</v>
      </c>
      <c r="M924" s="40">
        <v>0</v>
      </c>
      <c r="N924" s="40">
        <v>0</v>
      </c>
      <c r="O924" s="40">
        <v>1</v>
      </c>
      <c r="P924" s="40">
        <v>0</v>
      </c>
      <c r="Q924" s="40">
        <v>0</v>
      </c>
      <c r="R924" s="40">
        <v>0</v>
      </c>
      <c r="S924" s="40">
        <v>0</v>
      </c>
      <c r="T924" s="29">
        <f t="array" aca="1" ref="T924" ca="1">+fair_value_gap(OFFSET(S923,0,0,-1*$I$5,-1*$Z$1),OFFSET(E923,0,0,-1*$I$5,1),F924:S924,0)</f>
        <v>21.958800181552128</v>
      </c>
      <c r="U924" s="9" cm="1">
        <f t="array" aca="1" ref="U924" ca="1">z_score_diff(OFFSET(T924,0,0,$I$5*-1,1),OFFSET(E924,0,0,$I$5*-1,1))</f>
        <v>-6.3710768600360623E-2</v>
      </c>
      <c r="V924" s="9">
        <f t="shared" ca="1" si="119"/>
        <v>-7.9184175463948084E-2</v>
      </c>
      <c r="W924" s="17">
        <f t="shared" ca="1" si="116"/>
        <v>8.5105058329536479E-2</v>
      </c>
      <c r="X924" s="13">
        <f t="shared" ca="1" si="117"/>
        <v>0</v>
      </c>
      <c r="Y924" s="13">
        <f t="shared" ca="1" si="118"/>
        <v>0</v>
      </c>
      <c r="Z924">
        <f t="shared" ca="1" si="120"/>
        <v>1</v>
      </c>
      <c r="AA924">
        <f t="shared" ca="1" si="121"/>
        <v>0</v>
      </c>
      <c r="AB924" s="24">
        <f t="shared" ca="1" si="122"/>
        <v>8.5105058329536479E-2</v>
      </c>
      <c r="AC924" s="24">
        <f t="shared" ca="1" si="123"/>
        <v>0</v>
      </c>
    </row>
    <row r="925" spans="3:29" x14ac:dyDescent="0.25">
      <c r="C925" s="6">
        <v>918</v>
      </c>
      <c r="D925" s="37">
        <v>43312</v>
      </c>
      <c r="E925" s="39">
        <v>21.555</v>
      </c>
      <c r="F925" s="39">
        <v>2.3597020937259976</v>
      </c>
      <c r="G925" s="39">
        <v>68.375542222446967</v>
      </c>
      <c r="H925" s="39">
        <v>72.609354335279903</v>
      </c>
      <c r="I925" s="10">
        <v>0</v>
      </c>
      <c r="J925" s="40">
        <v>0</v>
      </c>
      <c r="K925" s="40">
        <v>0</v>
      </c>
      <c r="L925" s="40">
        <v>0</v>
      </c>
      <c r="M925" s="40">
        <v>0</v>
      </c>
      <c r="N925" s="40">
        <v>0</v>
      </c>
      <c r="O925" s="40">
        <v>1</v>
      </c>
      <c r="P925" s="40">
        <v>0</v>
      </c>
      <c r="Q925" s="40">
        <v>0</v>
      </c>
      <c r="R925" s="40">
        <v>0</v>
      </c>
      <c r="S925" s="40">
        <v>0</v>
      </c>
      <c r="T925" s="29">
        <f t="array" aca="1" ref="T925" ca="1">+fair_value_gap(OFFSET(S924,0,0,-1*$I$5,-1*$Z$1),OFFSET(E924,0,0,-1*$I$5,1),F925:S925,0)</f>
        <v>21.669579181651191</v>
      </c>
      <c r="U925" s="9" cm="1">
        <f t="array" aca="1" ref="U925" ca="1">z_score_diff(OFFSET(T925,0,0,$I$5*-1,1),OFFSET(E925,0,0,$I$5*-1,1))</f>
        <v>4.3431962869949547E-2</v>
      </c>
      <c r="V925" s="9">
        <f t="shared" ca="1" si="119"/>
        <v>-7.6266098199716262E-2</v>
      </c>
      <c r="W925" s="17">
        <f t="shared" ca="1" si="116"/>
        <v>0.10146986712046342</v>
      </c>
      <c r="X925" s="13">
        <f t="shared" ca="1" si="117"/>
        <v>0</v>
      </c>
      <c r="Y925" s="13">
        <f t="shared" ca="1" si="118"/>
        <v>0</v>
      </c>
      <c r="Z925">
        <f t="shared" ca="1" si="120"/>
        <v>1</v>
      </c>
      <c r="AA925">
        <f t="shared" ca="1" si="121"/>
        <v>0</v>
      </c>
      <c r="AB925" s="24">
        <f t="shared" ca="1" si="122"/>
        <v>0.10146986712046342</v>
      </c>
      <c r="AC925" s="24">
        <f t="shared" ca="1" si="123"/>
        <v>0</v>
      </c>
    </row>
    <row r="926" spans="3:29" x14ac:dyDescent="0.25">
      <c r="C926" s="6">
        <v>919</v>
      </c>
      <c r="D926" s="37">
        <v>43313</v>
      </c>
      <c r="E926" s="39">
        <v>21.440999999999999</v>
      </c>
      <c r="F926" s="39">
        <v>2.3417000922611844</v>
      </c>
      <c r="G926" s="39">
        <v>68.250501841925313</v>
      </c>
      <c r="H926" s="39">
        <v>72.058602210342414</v>
      </c>
      <c r="I926" s="10">
        <v>0</v>
      </c>
      <c r="J926" s="40">
        <v>0</v>
      </c>
      <c r="K926" s="40">
        <v>0</v>
      </c>
      <c r="L926" s="40">
        <v>0</v>
      </c>
      <c r="M926" s="40">
        <v>0</v>
      </c>
      <c r="N926" s="40">
        <v>0</v>
      </c>
      <c r="O926" s="40">
        <v>0</v>
      </c>
      <c r="P926" s="40">
        <v>1</v>
      </c>
      <c r="Q926" s="40">
        <v>0</v>
      </c>
      <c r="R926" s="40">
        <v>0</v>
      </c>
      <c r="S926" s="40">
        <v>0</v>
      </c>
      <c r="T926" s="29">
        <f t="array" aca="1" ref="T926" ca="1">+fair_value_gap(OFFSET(S925,0,0,-1*$I$5,-1*$Z$1),OFFSET(E925,0,0,-1*$I$5,1),F926:S926,0)</f>
        <v>21.199152269031575</v>
      </c>
      <c r="U926" s="9" cm="1">
        <f t="array" aca="1" ref="U926" ca="1">z_score_diff(OFFSET(T926,0,0,$I$5*-1,1),OFFSET(E926,0,0,$I$5*-1,1))</f>
        <v>-0.121192232439012</v>
      </c>
      <c r="V926" s="9">
        <f t="shared" ca="1" si="119"/>
        <v>-7.3782452979006208E-2</v>
      </c>
      <c r="W926" s="17">
        <f t="shared" ca="1" si="116"/>
        <v>0.12976983777629711</v>
      </c>
      <c r="X926" s="13">
        <f t="shared" ca="1" si="117"/>
        <v>0</v>
      </c>
      <c r="Y926" s="13">
        <f t="shared" ca="1" si="118"/>
        <v>0</v>
      </c>
      <c r="Z926">
        <f t="shared" ca="1" si="120"/>
        <v>1</v>
      </c>
      <c r="AA926">
        <f t="shared" ca="1" si="121"/>
        <v>0</v>
      </c>
      <c r="AB926" s="24">
        <f t="shared" ca="1" si="122"/>
        <v>0.12976983777629711</v>
      </c>
      <c r="AC926" s="24">
        <f t="shared" ca="1" si="123"/>
        <v>0</v>
      </c>
    </row>
    <row r="927" spans="3:29" x14ac:dyDescent="0.25">
      <c r="C927" s="6">
        <v>920</v>
      </c>
      <c r="D927" s="37">
        <v>43314</v>
      </c>
      <c r="E927" s="39">
        <v>21.457999999999998</v>
      </c>
      <c r="F927" s="39">
        <v>2.3715779430903607</v>
      </c>
      <c r="G927" s="39">
        <v>68.238418295558887</v>
      </c>
      <c r="H927" s="39">
        <v>72.02813954196688</v>
      </c>
      <c r="I927" s="10">
        <v>0</v>
      </c>
      <c r="J927" s="40">
        <v>0</v>
      </c>
      <c r="K927" s="40">
        <v>0</v>
      </c>
      <c r="L927" s="40">
        <v>0</v>
      </c>
      <c r="M927" s="40">
        <v>0</v>
      </c>
      <c r="N927" s="40">
        <v>0</v>
      </c>
      <c r="O927" s="40">
        <v>0</v>
      </c>
      <c r="P927" s="40">
        <v>1</v>
      </c>
      <c r="Q927" s="40">
        <v>0</v>
      </c>
      <c r="R927" s="40">
        <v>0</v>
      </c>
      <c r="S927" s="40">
        <v>0</v>
      </c>
      <c r="T927" s="29">
        <f t="array" aca="1" ref="T927" ca="1">+fair_value_gap(OFFSET(S926,0,0,-1*$I$5,-1*$Z$1),OFFSET(E926,0,0,-1*$I$5,1),F927:S927,0)</f>
        <v>21.332644265164166</v>
      </c>
      <c r="U927" s="9" cm="1">
        <f t="array" aca="1" ref="U927" ca="1">z_score_diff(OFFSET(T927,0,0,$I$5*-1,1),OFFSET(E927,0,0,$I$5*-1,1))</f>
        <v>-6.4566694212340181E-2</v>
      </c>
      <c r="V927" s="9">
        <f t="shared" ca="1" si="119"/>
        <v>-7.4225270505096044E-2</v>
      </c>
      <c r="W927" s="17">
        <f t="shared" ca="1" si="116"/>
        <v>0.13563212981867581</v>
      </c>
      <c r="X927" s="13">
        <f t="shared" ca="1" si="117"/>
        <v>0</v>
      </c>
      <c r="Y927" s="13">
        <f t="shared" ca="1" si="118"/>
        <v>0</v>
      </c>
      <c r="Z927">
        <f t="shared" ca="1" si="120"/>
        <v>1</v>
      </c>
      <c r="AA927">
        <f t="shared" ca="1" si="121"/>
        <v>0</v>
      </c>
      <c r="AB927" s="24">
        <f t="shared" ca="1" si="122"/>
        <v>0.13563212981867581</v>
      </c>
      <c r="AC927" s="24">
        <f t="shared" ca="1" si="123"/>
        <v>0</v>
      </c>
    </row>
    <row r="928" spans="3:29" x14ac:dyDescent="0.25">
      <c r="C928" s="6">
        <v>921</v>
      </c>
      <c r="D928" s="37">
        <v>43315</v>
      </c>
      <c r="E928" s="39">
        <v>21.63</v>
      </c>
      <c r="F928" s="39">
        <v>2.3843621460248676</v>
      </c>
      <c r="G928" s="39">
        <v>68.738516041190223</v>
      </c>
      <c r="H928" s="39">
        <v>72.264641113098079</v>
      </c>
      <c r="I928" s="10">
        <v>0</v>
      </c>
      <c r="J928" s="40">
        <v>0</v>
      </c>
      <c r="K928" s="40">
        <v>0</v>
      </c>
      <c r="L928" s="40">
        <v>0</v>
      </c>
      <c r="M928" s="40">
        <v>0</v>
      </c>
      <c r="N928" s="40">
        <v>0</v>
      </c>
      <c r="O928" s="40">
        <v>0</v>
      </c>
      <c r="P928" s="40">
        <v>1</v>
      </c>
      <c r="Q928" s="40">
        <v>0</v>
      </c>
      <c r="R928" s="40">
        <v>0</v>
      </c>
      <c r="S928" s="40">
        <v>0</v>
      </c>
      <c r="T928" s="29">
        <f t="array" aca="1" ref="T928" ca="1">+fair_value_gap(OFFSET(S927,0,0,-1*$I$5,-1*$Z$1),OFFSET(E927,0,0,-1*$I$5,1),F928:S928,0)</f>
        <v>21.53155846848318</v>
      </c>
      <c r="U928" s="9" cm="1">
        <f t="array" aca="1" ref="U928" ca="1">z_score_diff(OFFSET(T928,0,0,$I$5*-1,1),OFFSET(E928,0,0,$I$5*-1,1))</f>
        <v>-5.2941128011319005E-2</v>
      </c>
      <c r="V928" s="9">
        <f t="shared" ca="1" si="119"/>
        <v>-7.5558375539428818E-2</v>
      </c>
      <c r="W928" s="17">
        <f t="shared" ca="1" si="116"/>
        <v>0.13454220843888198</v>
      </c>
      <c r="X928" s="13">
        <f t="shared" ca="1" si="117"/>
        <v>0</v>
      </c>
      <c r="Y928" s="13">
        <f t="shared" ca="1" si="118"/>
        <v>0</v>
      </c>
      <c r="Z928">
        <f t="shared" ca="1" si="120"/>
        <v>1</v>
      </c>
      <c r="AA928">
        <f t="shared" ca="1" si="121"/>
        <v>0</v>
      </c>
      <c r="AB928" s="24">
        <f t="shared" ca="1" si="122"/>
        <v>0.13454220843888198</v>
      </c>
      <c r="AC928" s="24">
        <f t="shared" ca="1" si="123"/>
        <v>0</v>
      </c>
    </row>
    <row r="929" spans="3:29" x14ac:dyDescent="0.25">
      <c r="C929" s="6">
        <v>922</v>
      </c>
      <c r="D929" s="37">
        <v>43318</v>
      </c>
      <c r="E929" s="39">
        <v>21.908000000000001</v>
      </c>
      <c r="F929" s="39">
        <v>2.392145047525104</v>
      </c>
      <c r="G929" s="39">
        <v>69.142364523904959</v>
      </c>
      <c r="H929" s="39">
        <v>73.42349964712146</v>
      </c>
      <c r="I929" s="10">
        <v>0</v>
      </c>
      <c r="J929" s="40">
        <v>0</v>
      </c>
      <c r="K929" s="40">
        <v>0</v>
      </c>
      <c r="L929" s="40">
        <v>0</v>
      </c>
      <c r="M929" s="40">
        <v>0</v>
      </c>
      <c r="N929" s="40">
        <v>0</v>
      </c>
      <c r="O929" s="40">
        <v>0</v>
      </c>
      <c r="P929" s="40">
        <v>1</v>
      </c>
      <c r="Q929" s="40">
        <v>0</v>
      </c>
      <c r="R929" s="40">
        <v>0</v>
      </c>
      <c r="S929" s="40">
        <v>0</v>
      </c>
      <c r="T929" s="29">
        <f t="array" aca="1" ref="T929" ca="1">+fair_value_gap(OFFSET(S928,0,0,-1*$I$5,-1*$Z$1),OFFSET(E928,0,0,-1*$I$5,1),F929:S929,0)</f>
        <v>21.717742860652308</v>
      </c>
      <c r="U929" s="9" cm="1">
        <f t="array" aca="1" ref="U929" ca="1">z_score_diff(OFFSET(T929,0,0,$I$5*-1,1),OFFSET(E929,0,0,$I$5*-1,1))</f>
        <v>-9.7169761229240814E-2</v>
      </c>
      <c r="V929" s="9">
        <f t="shared" ca="1" si="119"/>
        <v>-7.3690913430149857E-2</v>
      </c>
      <c r="W929" s="17">
        <f t="shared" ca="1" si="116"/>
        <v>0.13820481702180692</v>
      </c>
      <c r="X929" s="13">
        <f t="shared" ca="1" si="117"/>
        <v>0</v>
      </c>
      <c r="Y929" s="13">
        <f t="shared" ca="1" si="118"/>
        <v>0</v>
      </c>
      <c r="Z929">
        <f t="shared" ca="1" si="120"/>
        <v>1</v>
      </c>
      <c r="AA929">
        <f t="shared" ca="1" si="121"/>
        <v>0</v>
      </c>
      <c r="AB929" s="24">
        <f t="shared" ca="1" si="122"/>
        <v>0.13820481702180692</v>
      </c>
      <c r="AC929" s="24">
        <f t="shared" ca="1" si="123"/>
        <v>0</v>
      </c>
    </row>
    <row r="930" spans="3:29" x14ac:dyDescent="0.25">
      <c r="C930" s="6">
        <v>923</v>
      </c>
      <c r="D930" s="37">
        <v>43319</v>
      </c>
      <c r="E930" s="39">
        <v>21.992000000000001</v>
      </c>
      <c r="F930" s="39">
        <v>2.393612867641921</v>
      </c>
      <c r="G930" s="39">
        <v>69.561394683545402</v>
      </c>
      <c r="H930" s="39">
        <v>73.526329330552841</v>
      </c>
      <c r="I930" s="10">
        <v>0</v>
      </c>
      <c r="J930" s="40">
        <v>0</v>
      </c>
      <c r="K930" s="40">
        <v>0</v>
      </c>
      <c r="L930" s="40">
        <v>0</v>
      </c>
      <c r="M930" s="40">
        <v>0</v>
      </c>
      <c r="N930" s="40">
        <v>0</v>
      </c>
      <c r="O930" s="40">
        <v>0</v>
      </c>
      <c r="P930" s="40">
        <v>1</v>
      </c>
      <c r="Q930" s="40">
        <v>0</v>
      </c>
      <c r="R930" s="40">
        <v>0</v>
      </c>
      <c r="S930" s="40">
        <v>0</v>
      </c>
      <c r="T930" s="29">
        <f t="array" aca="1" ref="T930" ca="1">+fair_value_gap(OFFSET(S929,0,0,-1*$I$5,-1*$Z$1),OFFSET(E929,0,0,-1*$I$5,1),F930:S930,0)</f>
        <v>21.880353631376391</v>
      </c>
      <c r="U930" s="9" cm="1">
        <f t="array" aca="1" ref="U930" ca="1">z_score_diff(OFFSET(T930,0,0,$I$5*-1,1),OFFSET(E930,0,0,$I$5*-1,1))</f>
        <v>-6.0092210287949088E-2</v>
      </c>
      <c r="V930" s="9">
        <f t="shared" ca="1" si="119"/>
        <v>-7.0723684146129576E-2</v>
      </c>
      <c r="W930" s="17">
        <f t="shared" ca="1" si="116"/>
        <v>0.13668098365356635</v>
      </c>
      <c r="X930" s="13">
        <f t="shared" ca="1" si="117"/>
        <v>0</v>
      </c>
      <c r="Y930" s="13">
        <f t="shared" ca="1" si="118"/>
        <v>0</v>
      </c>
      <c r="Z930">
        <f t="shared" ca="1" si="120"/>
        <v>1</v>
      </c>
      <c r="AA930">
        <f t="shared" ca="1" si="121"/>
        <v>0</v>
      </c>
      <c r="AB930" s="24">
        <f t="shared" ca="1" si="122"/>
        <v>0.13668098365356635</v>
      </c>
      <c r="AC930" s="24">
        <f t="shared" ca="1" si="123"/>
        <v>0</v>
      </c>
    </row>
    <row r="931" spans="3:29" x14ac:dyDescent="0.25">
      <c r="C931" s="6">
        <v>924</v>
      </c>
      <c r="D931" s="37">
        <v>43320</v>
      </c>
      <c r="E931" s="39">
        <v>21.850999999999999</v>
      </c>
      <c r="F931" s="39">
        <v>2.4111524010922452</v>
      </c>
      <c r="G931" s="39">
        <v>69.223949920322838</v>
      </c>
      <c r="H931" s="39">
        <v>72.104625618494254</v>
      </c>
      <c r="I931" s="10">
        <v>0</v>
      </c>
      <c r="J931" s="40">
        <v>0</v>
      </c>
      <c r="K931" s="40">
        <v>0</v>
      </c>
      <c r="L931" s="40">
        <v>0</v>
      </c>
      <c r="M931" s="40">
        <v>0</v>
      </c>
      <c r="N931" s="40">
        <v>0</v>
      </c>
      <c r="O931" s="40">
        <v>0</v>
      </c>
      <c r="P931" s="40">
        <v>1</v>
      </c>
      <c r="Q931" s="40">
        <v>0</v>
      </c>
      <c r="R931" s="40">
        <v>0</v>
      </c>
      <c r="S931" s="40">
        <v>0</v>
      </c>
      <c r="T931" s="29">
        <f t="array" aca="1" ref="T931" ca="1">+fair_value_gap(OFFSET(S930,0,0,-1*$I$5,-1*$Z$1),OFFSET(E930,0,0,-1*$I$5,1),F931:S931,0)</f>
        <v>21.758082603364972</v>
      </c>
      <c r="U931" s="9" cm="1">
        <f t="array" aca="1" ref="U931" ca="1">z_score_diff(OFFSET(T931,0,0,$I$5*-1,1),OFFSET(E931,0,0,$I$5*-1,1))</f>
        <v>-4.8253192262312172E-2</v>
      </c>
      <c r="V931" s="9">
        <f t="shared" ca="1" si="119"/>
        <v>-6.8361408482603678E-2</v>
      </c>
      <c r="W931" s="17">
        <f t="shared" ca="1" si="116"/>
        <v>0.12263752493109298</v>
      </c>
      <c r="X931" s="13">
        <f t="shared" ca="1" si="117"/>
        <v>0</v>
      </c>
      <c r="Y931" s="13">
        <f t="shared" ca="1" si="118"/>
        <v>0</v>
      </c>
      <c r="Z931">
        <f t="shared" ca="1" si="120"/>
        <v>1</v>
      </c>
      <c r="AA931">
        <f t="shared" ca="1" si="121"/>
        <v>0</v>
      </c>
      <c r="AB931" s="24">
        <f t="shared" ca="1" si="122"/>
        <v>0.12263752493109298</v>
      </c>
      <c r="AC931" s="24">
        <f t="shared" ca="1" si="123"/>
        <v>0</v>
      </c>
    </row>
    <row r="932" spans="3:29" x14ac:dyDescent="0.25">
      <c r="C932" s="6">
        <v>925</v>
      </c>
      <c r="D932" s="37">
        <v>43321</v>
      </c>
      <c r="E932" s="39">
        <v>21.968</v>
      </c>
      <c r="F932" s="39">
        <v>2.4380800471235289</v>
      </c>
      <c r="G932" s="39">
        <v>69.675161917310376</v>
      </c>
      <c r="H932" s="39">
        <v>73.299590151050097</v>
      </c>
      <c r="I932" s="10">
        <v>0</v>
      </c>
      <c r="J932" s="40">
        <v>0</v>
      </c>
      <c r="K932" s="40">
        <v>0</v>
      </c>
      <c r="L932" s="40">
        <v>0</v>
      </c>
      <c r="M932" s="40">
        <v>0</v>
      </c>
      <c r="N932" s="40">
        <v>0</v>
      </c>
      <c r="O932" s="40">
        <v>0</v>
      </c>
      <c r="P932" s="40">
        <v>1</v>
      </c>
      <c r="Q932" s="40">
        <v>0</v>
      </c>
      <c r="R932" s="40">
        <v>0</v>
      </c>
      <c r="S932" s="40">
        <v>0</v>
      </c>
      <c r="T932" s="29">
        <f t="array" aca="1" ref="T932" ca="1">+fair_value_gap(OFFSET(S931,0,0,-1*$I$5,-1*$Z$1),OFFSET(E931,0,0,-1*$I$5,1),F932:S932,0)</f>
        <v>21.9589457973353</v>
      </c>
      <c r="U932" s="9" cm="1">
        <f t="array" aca="1" ref="U932" ca="1">z_score_diff(OFFSET(T932,0,0,$I$5*-1,1),OFFSET(E932,0,0,$I$5*-1,1))</f>
        <v>-1.0922144199871475E-2</v>
      </c>
      <c r="V932" s="9">
        <f t="shared" ca="1" si="119"/>
        <v>-6.3117179624378836E-2</v>
      </c>
      <c r="W932" s="17">
        <f t="shared" ca="1" si="116"/>
        <v>9.8376057199111119E-2</v>
      </c>
      <c r="X932" s="13">
        <f t="shared" ca="1" si="117"/>
        <v>0</v>
      </c>
      <c r="Y932" s="13">
        <f t="shared" ca="1" si="118"/>
        <v>0</v>
      </c>
      <c r="Z932">
        <f t="shared" ca="1" si="120"/>
        <v>1</v>
      </c>
      <c r="AA932">
        <f t="shared" ca="1" si="121"/>
        <v>0</v>
      </c>
      <c r="AB932" s="24">
        <f t="shared" ca="1" si="122"/>
        <v>9.8376057199111119E-2</v>
      </c>
      <c r="AC932" s="24">
        <f t="shared" ca="1" si="123"/>
        <v>0</v>
      </c>
    </row>
    <row r="933" spans="3:29" x14ac:dyDescent="0.25">
      <c r="C933" s="6">
        <v>926</v>
      </c>
      <c r="D933" s="37">
        <v>43322</v>
      </c>
      <c r="E933" s="39">
        <v>22.094999999999999</v>
      </c>
      <c r="F933" s="39">
        <v>2.4579946275260283</v>
      </c>
      <c r="G933" s="39">
        <v>70.214837425814508</v>
      </c>
      <c r="H933" s="39">
        <v>74.241470382418811</v>
      </c>
      <c r="I933" s="10">
        <v>0</v>
      </c>
      <c r="J933" s="40">
        <v>0</v>
      </c>
      <c r="K933" s="40">
        <v>0</v>
      </c>
      <c r="L933" s="40">
        <v>0</v>
      </c>
      <c r="M933" s="40">
        <v>0</v>
      </c>
      <c r="N933" s="40">
        <v>0</v>
      </c>
      <c r="O933" s="40">
        <v>0</v>
      </c>
      <c r="P933" s="40">
        <v>1</v>
      </c>
      <c r="Q933" s="40">
        <v>0</v>
      </c>
      <c r="R933" s="40">
        <v>0</v>
      </c>
      <c r="S933" s="40">
        <v>0</v>
      </c>
      <c r="T933" s="29">
        <f t="array" aca="1" ref="T933" ca="1">+fair_value_gap(OFFSET(S932,0,0,-1*$I$5,-1*$Z$1),OFFSET(E932,0,0,-1*$I$5,1),F933:S933,0)</f>
        <v>22.162489807159044</v>
      </c>
      <c r="U933" s="9" cm="1">
        <f t="array" aca="1" ref="U933" ca="1">z_score_diff(OFFSET(T933,0,0,$I$5*-1,1),OFFSET(E933,0,0,$I$5*-1,1))</f>
        <v>2.1857059690776115E-2</v>
      </c>
      <c r="V933" s="9">
        <f t="shared" ca="1" si="119"/>
        <v>-5.6178173577145031E-2</v>
      </c>
      <c r="W933" s="17">
        <f t="shared" ca="1" si="116"/>
        <v>1.0176600794172116E-2</v>
      </c>
      <c r="X933" s="13">
        <f t="shared" ca="1" si="117"/>
        <v>0</v>
      </c>
      <c r="Y933" s="13">
        <f t="shared" ca="1" si="118"/>
        <v>0</v>
      </c>
      <c r="Z933">
        <f t="shared" ca="1" si="120"/>
        <v>1</v>
      </c>
      <c r="AA933">
        <f t="shared" ca="1" si="121"/>
        <v>0</v>
      </c>
      <c r="AB933" s="24">
        <f t="shared" ca="1" si="122"/>
        <v>1.0176600794172116E-2</v>
      </c>
      <c r="AC933" s="24">
        <f t="shared" ca="1" si="123"/>
        <v>0</v>
      </c>
    </row>
    <row r="934" spans="3:29" x14ac:dyDescent="0.25">
      <c r="C934" s="6">
        <v>927</v>
      </c>
      <c r="D934" s="37">
        <v>43325</v>
      </c>
      <c r="E934" s="39">
        <v>22.57</v>
      </c>
      <c r="F934" s="39">
        <v>2.4659088725089182</v>
      </c>
      <c r="G934" s="39">
        <v>71.068161375951561</v>
      </c>
      <c r="H934" s="39">
        <v>74.620692075583321</v>
      </c>
      <c r="I934" s="10">
        <v>0</v>
      </c>
      <c r="J934" s="40">
        <v>0</v>
      </c>
      <c r="K934" s="40">
        <v>0</v>
      </c>
      <c r="L934" s="40">
        <v>0</v>
      </c>
      <c r="M934" s="40">
        <v>0</v>
      </c>
      <c r="N934" s="40">
        <v>0</v>
      </c>
      <c r="O934" s="40">
        <v>0</v>
      </c>
      <c r="P934" s="40">
        <v>1</v>
      </c>
      <c r="Q934" s="40">
        <v>0</v>
      </c>
      <c r="R934" s="40">
        <v>0</v>
      </c>
      <c r="S934" s="40">
        <v>0</v>
      </c>
      <c r="T934" s="29">
        <f t="array" aca="1" ref="T934" ca="1">+fair_value_gap(OFFSET(S933,0,0,-1*$I$5,-1*$Z$1),OFFSET(E933,0,0,-1*$I$5,1),F934:S934,0)</f>
        <v>22.422141831724321</v>
      </c>
      <c r="U934" s="9" cm="1">
        <f t="array" aca="1" ref="U934" ca="1">z_score_diff(OFFSET(T934,0,0,$I$5*-1,1),OFFSET(E934,0,0,$I$5*-1,1))</f>
        <v>-7.903110107785194E-2</v>
      </c>
      <c r="V934" s="9">
        <f t="shared" ca="1" si="119"/>
        <v>-5.2851331539949427E-2</v>
      </c>
      <c r="W934" s="17">
        <f t="shared" ca="1" si="116"/>
        <v>1.9654927716854946E-2</v>
      </c>
      <c r="X934" s="13">
        <f t="shared" ca="1" si="117"/>
        <v>0</v>
      </c>
      <c r="Y934" s="13">
        <f t="shared" ca="1" si="118"/>
        <v>0</v>
      </c>
      <c r="Z934">
        <f t="shared" ca="1" si="120"/>
        <v>1</v>
      </c>
      <c r="AA934">
        <f t="shared" ca="1" si="121"/>
        <v>0</v>
      </c>
      <c r="AB934" s="24">
        <f t="shared" ca="1" si="122"/>
        <v>1.9654927716854946E-2</v>
      </c>
      <c r="AC934" s="24">
        <f t="shared" ca="1" si="123"/>
        <v>0</v>
      </c>
    </row>
    <row r="935" spans="3:29" x14ac:dyDescent="0.25">
      <c r="C935" s="6">
        <v>928</v>
      </c>
      <c r="D935" s="37">
        <v>43326</v>
      </c>
      <c r="E935" s="39">
        <v>22.683</v>
      </c>
      <c r="F935" s="39">
        <v>2.4861346948960721</v>
      </c>
      <c r="G935" s="39">
        <v>71.191856504291962</v>
      </c>
      <c r="H935" s="39">
        <v>75.239392337932827</v>
      </c>
      <c r="I935" s="10">
        <v>0</v>
      </c>
      <c r="J935" s="40">
        <v>0</v>
      </c>
      <c r="K935" s="40">
        <v>0</v>
      </c>
      <c r="L935" s="40">
        <v>0</v>
      </c>
      <c r="M935" s="40">
        <v>0</v>
      </c>
      <c r="N935" s="40">
        <v>0</v>
      </c>
      <c r="O935" s="40">
        <v>0</v>
      </c>
      <c r="P935" s="40">
        <v>1</v>
      </c>
      <c r="Q935" s="40">
        <v>0</v>
      </c>
      <c r="R935" s="40">
        <v>0</v>
      </c>
      <c r="S935" s="40">
        <v>0</v>
      </c>
      <c r="T935" s="29">
        <f t="array" aca="1" ref="T935" ca="1">+fair_value_gap(OFFSET(S934,0,0,-1*$I$5,-1*$Z$1),OFFSET(E934,0,0,-1*$I$5,1),F935:S935,0)</f>
        <v>22.507912382735825</v>
      </c>
      <c r="U935" s="9" cm="1">
        <f t="array" aca="1" ref="U935" ca="1">z_score_diff(OFFSET(T935,0,0,$I$5*-1,1),OFFSET(E935,0,0,$I$5*-1,1))</f>
        <v>-8.9748331649704749E-2</v>
      </c>
      <c r="V935" s="9">
        <f t="shared" ca="1" si="119"/>
        <v>-5.2819784295556532E-2</v>
      </c>
      <c r="W935" s="17">
        <f t="shared" ca="1" si="116"/>
        <v>5.4956063661284454E-3</v>
      </c>
      <c r="X935" s="13">
        <f t="shared" ca="1" si="117"/>
        <v>0</v>
      </c>
      <c r="Y935" s="13">
        <f t="shared" ca="1" si="118"/>
        <v>0</v>
      </c>
      <c r="Z935">
        <f t="shared" ca="1" si="120"/>
        <v>1</v>
      </c>
      <c r="AA935">
        <f t="shared" ca="1" si="121"/>
        <v>0</v>
      </c>
      <c r="AB935" s="24">
        <f t="shared" ca="1" si="122"/>
        <v>5.4956063661284454E-3</v>
      </c>
      <c r="AC935" s="24">
        <f t="shared" ca="1" si="123"/>
        <v>0</v>
      </c>
    </row>
    <row r="936" spans="3:29" x14ac:dyDescent="0.25">
      <c r="C936" s="6">
        <v>929</v>
      </c>
      <c r="D936" s="37">
        <v>43327</v>
      </c>
      <c r="E936" s="39">
        <v>22.49</v>
      </c>
      <c r="F936" s="39">
        <v>2.485015089993527</v>
      </c>
      <c r="G936" s="39">
        <v>70.246146889083533</v>
      </c>
      <c r="H936" s="39">
        <v>74.525232654914134</v>
      </c>
      <c r="I936" s="10">
        <v>0</v>
      </c>
      <c r="J936" s="40">
        <v>0</v>
      </c>
      <c r="K936" s="40">
        <v>0</v>
      </c>
      <c r="L936" s="40">
        <v>0</v>
      </c>
      <c r="M936" s="40">
        <v>0</v>
      </c>
      <c r="N936" s="40">
        <v>0</v>
      </c>
      <c r="O936" s="40">
        <v>0</v>
      </c>
      <c r="P936" s="40">
        <v>1</v>
      </c>
      <c r="Q936" s="40">
        <v>0</v>
      </c>
      <c r="R936" s="40">
        <v>0</v>
      </c>
      <c r="S936" s="40">
        <v>0</v>
      </c>
      <c r="T936" s="29">
        <f t="array" aca="1" ref="T936" ca="1">+fair_value_gap(OFFSET(S935,0,0,-1*$I$5,-1*$Z$1),OFFSET(E935,0,0,-1*$I$5,1),F936:S936,0)</f>
        <v>22.224124436100077</v>
      </c>
      <c r="U936" s="9" cm="1">
        <f t="array" aca="1" ref="U936" ca="1">z_score_diff(OFFSET(T936,0,0,$I$5*-1,1),OFFSET(E936,0,0,$I$5*-1,1))</f>
        <v>-0.12400473467374318</v>
      </c>
      <c r="V936" s="9">
        <f t="shared" ca="1" si="119"/>
        <v>-5.4505741059717457E-2</v>
      </c>
      <c r="W936" s="17">
        <f t="shared" ca="1" si="116"/>
        <v>2.4378060201247512E-2</v>
      </c>
      <c r="X936" s="13">
        <f t="shared" ca="1" si="117"/>
        <v>0</v>
      </c>
      <c r="Y936" s="13">
        <f t="shared" ca="1" si="118"/>
        <v>0</v>
      </c>
      <c r="Z936">
        <f t="shared" ca="1" si="120"/>
        <v>1</v>
      </c>
      <c r="AA936">
        <f t="shared" ca="1" si="121"/>
        <v>0</v>
      </c>
      <c r="AB936" s="24">
        <f t="shared" ca="1" si="122"/>
        <v>2.4378060201247512E-2</v>
      </c>
      <c r="AC936" s="24">
        <f t="shared" ca="1" si="123"/>
        <v>0</v>
      </c>
    </row>
    <row r="937" spans="3:29" x14ac:dyDescent="0.25">
      <c r="C937" s="6">
        <v>930</v>
      </c>
      <c r="D937" s="37">
        <v>43328</v>
      </c>
      <c r="E937" s="39">
        <v>22.483000000000001</v>
      </c>
      <c r="F937" s="39">
        <v>2.4678421888687243</v>
      </c>
      <c r="G937" s="39">
        <v>70.626443497199418</v>
      </c>
      <c r="H937" s="39">
        <v>73.976587353147053</v>
      </c>
      <c r="I937" s="10">
        <v>0</v>
      </c>
      <c r="J937" s="40">
        <v>0</v>
      </c>
      <c r="K937" s="40">
        <v>0</v>
      </c>
      <c r="L937" s="40">
        <v>0</v>
      </c>
      <c r="M937" s="40">
        <v>0</v>
      </c>
      <c r="N937" s="40">
        <v>0</v>
      </c>
      <c r="O937" s="40">
        <v>0</v>
      </c>
      <c r="P937" s="40">
        <v>1</v>
      </c>
      <c r="Q937" s="40">
        <v>0</v>
      </c>
      <c r="R937" s="40">
        <v>0</v>
      </c>
      <c r="S937" s="40">
        <v>0</v>
      </c>
      <c r="T937" s="29">
        <f t="array" aca="1" ref="T937" ca="1">+fair_value_gap(OFFSET(S936,0,0,-1*$I$5,-1*$Z$1),OFFSET(E936,0,0,-1*$I$5,1),F937:S937,0)</f>
        <v>22.328288374069704</v>
      </c>
      <c r="U937" s="9" cm="1">
        <f t="array" aca="1" ref="U937" ca="1">z_score_diff(OFFSET(T937,0,0,$I$5*-1,1),OFFSET(E937,0,0,$I$5*-1,1))</f>
        <v>-7.2788701244870468E-2</v>
      </c>
      <c r="V937" s="9">
        <f t="shared" ca="1" si="119"/>
        <v>-5.3398405984886078E-2</v>
      </c>
      <c r="W937" s="17">
        <f t="shared" ca="1" si="116"/>
        <v>3.9420844351067387E-2</v>
      </c>
      <c r="X937" s="13">
        <f t="shared" ca="1" si="117"/>
        <v>0</v>
      </c>
      <c r="Y937" s="13">
        <f t="shared" ca="1" si="118"/>
        <v>0</v>
      </c>
      <c r="Z937">
        <f t="shared" ca="1" si="120"/>
        <v>1</v>
      </c>
      <c r="AA937">
        <f t="shared" ca="1" si="121"/>
        <v>0</v>
      </c>
      <c r="AB937" s="24">
        <f t="shared" ca="1" si="122"/>
        <v>3.9420844351067387E-2</v>
      </c>
      <c r="AC937" s="24">
        <f t="shared" ca="1" si="123"/>
        <v>0</v>
      </c>
    </row>
    <row r="938" spans="3:29" x14ac:dyDescent="0.25">
      <c r="C938" s="6">
        <v>931</v>
      </c>
      <c r="D938" s="37">
        <v>43329</v>
      </c>
      <c r="E938" s="39">
        <v>22.558</v>
      </c>
      <c r="F938" s="39">
        <v>2.461098629090503</v>
      </c>
      <c r="G938" s="39">
        <v>70.821405939295929</v>
      </c>
      <c r="H938" s="39">
        <v>74.558528444829193</v>
      </c>
      <c r="I938" s="10">
        <v>0</v>
      </c>
      <c r="J938" s="40">
        <v>0</v>
      </c>
      <c r="K938" s="40">
        <v>0</v>
      </c>
      <c r="L938" s="40">
        <v>0</v>
      </c>
      <c r="M938" s="40">
        <v>0</v>
      </c>
      <c r="N938" s="40">
        <v>0</v>
      </c>
      <c r="O938" s="40">
        <v>0</v>
      </c>
      <c r="P938" s="40">
        <v>1</v>
      </c>
      <c r="Q938" s="40">
        <v>0</v>
      </c>
      <c r="R938" s="40">
        <v>0</v>
      </c>
      <c r="S938" s="40">
        <v>0</v>
      </c>
      <c r="T938" s="29">
        <f t="array" aca="1" ref="T938" ca="1">+fair_value_gap(OFFSET(S937,0,0,-1*$I$5,-1*$Z$1),OFFSET(E937,0,0,-1*$I$5,1),F938:S938,0)</f>
        <v>22.416778624128188</v>
      </c>
      <c r="U938" s="9" cm="1">
        <f t="array" aca="1" ref="U938" ca="1">z_score_diff(OFFSET(T938,0,0,$I$5*-1,1),OFFSET(E938,0,0,$I$5*-1,1))</f>
        <v>-6.5896245359414296E-2</v>
      </c>
      <c r="V938" s="9">
        <f t="shared" ca="1" si="119"/>
        <v>-5.8088611809512782E-2</v>
      </c>
      <c r="W938" s="17">
        <f t="shared" ca="1" si="116"/>
        <v>4.1123394258368799E-2</v>
      </c>
      <c r="X938" s="13">
        <f t="shared" ca="1" si="117"/>
        <v>0</v>
      </c>
      <c r="Y938" s="13">
        <f t="shared" ca="1" si="118"/>
        <v>0</v>
      </c>
      <c r="Z938">
        <f t="shared" ca="1" si="120"/>
        <v>1</v>
      </c>
      <c r="AA938">
        <f t="shared" ca="1" si="121"/>
        <v>0</v>
      </c>
      <c r="AB938" s="24">
        <f t="shared" ca="1" si="122"/>
        <v>4.1123394258368799E-2</v>
      </c>
      <c r="AC938" s="24">
        <f t="shared" ca="1" si="123"/>
        <v>0</v>
      </c>
    </row>
    <row r="939" spans="3:29" x14ac:dyDescent="0.25">
      <c r="C939" s="6">
        <v>932</v>
      </c>
      <c r="D939" s="37">
        <v>43332</v>
      </c>
      <c r="E939" s="39">
        <v>22.73</v>
      </c>
      <c r="F939" s="39">
        <v>2.4455989184556768</v>
      </c>
      <c r="G939" s="39">
        <v>72.980738766101098</v>
      </c>
      <c r="H939" s="39">
        <v>73.74165839010665</v>
      </c>
      <c r="I939" s="10">
        <v>0</v>
      </c>
      <c r="J939" s="40">
        <v>0</v>
      </c>
      <c r="K939" s="40">
        <v>0</v>
      </c>
      <c r="L939" s="40">
        <v>0</v>
      </c>
      <c r="M939" s="40">
        <v>0</v>
      </c>
      <c r="N939" s="40">
        <v>0</v>
      </c>
      <c r="O939" s="40">
        <v>0</v>
      </c>
      <c r="P939" s="40">
        <v>1</v>
      </c>
      <c r="Q939" s="40">
        <v>0</v>
      </c>
      <c r="R939" s="40">
        <v>0</v>
      </c>
      <c r="S939" s="40">
        <v>0</v>
      </c>
      <c r="T939" s="29">
        <f t="array" aca="1" ref="T939" ca="1">+fair_value_gap(OFFSET(S938,0,0,-1*$I$5,-1*$Z$1),OFFSET(E938,0,0,-1*$I$5,1),F939:S939,0)</f>
        <v>23.015934260922876</v>
      </c>
      <c r="U939" s="9" cm="1">
        <f t="array" aca="1" ref="U939" ca="1">z_score_diff(OFFSET(T939,0,0,$I$5*-1,1),OFFSET(E939,0,0,$I$5*-1,1))</f>
        <v>0.11385285198719552</v>
      </c>
      <c r="V939" s="9">
        <f t="shared" ca="1" si="119"/>
        <v>-4.9530075978469867E-2</v>
      </c>
      <c r="W939" s="17">
        <f t="shared" ca="1" si="116"/>
        <v>1.59305060181167E-2</v>
      </c>
      <c r="X939" s="13">
        <f t="shared" ca="1" si="117"/>
        <v>0</v>
      </c>
      <c r="Y939" s="13">
        <f t="shared" ca="1" si="118"/>
        <v>0</v>
      </c>
      <c r="Z939">
        <f t="shared" ca="1" si="120"/>
        <v>1</v>
      </c>
      <c r="AA939">
        <f t="shared" ca="1" si="121"/>
        <v>0</v>
      </c>
      <c r="AB939" s="24">
        <f t="shared" ca="1" si="122"/>
        <v>1.59305060181167E-2</v>
      </c>
      <c r="AC939" s="24">
        <f t="shared" ca="1" si="123"/>
        <v>0</v>
      </c>
    </row>
    <row r="940" spans="3:29" x14ac:dyDescent="0.25">
      <c r="C940" s="6">
        <v>933</v>
      </c>
      <c r="D940" s="37">
        <v>43333</v>
      </c>
      <c r="E940" s="39">
        <v>22.707999999999998</v>
      </c>
      <c r="F940" s="39">
        <v>2.4334111474977109</v>
      </c>
      <c r="G940" s="39">
        <v>71.157142607265925</v>
      </c>
      <c r="H940" s="39">
        <v>72.631136114296083</v>
      </c>
      <c r="I940" s="10">
        <v>0</v>
      </c>
      <c r="J940" s="40">
        <v>0</v>
      </c>
      <c r="K940" s="40">
        <v>0</v>
      </c>
      <c r="L940" s="40">
        <v>0</v>
      </c>
      <c r="M940" s="40">
        <v>0</v>
      </c>
      <c r="N940" s="40">
        <v>0</v>
      </c>
      <c r="O940" s="40">
        <v>0</v>
      </c>
      <c r="P940" s="40">
        <v>1</v>
      </c>
      <c r="Q940" s="40">
        <v>0</v>
      </c>
      <c r="R940" s="40">
        <v>0</v>
      </c>
      <c r="S940" s="40">
        <v>0</v>
      </c>
      <c r="T940" s="29">
        <f t="array" aca="1" ref="T940" ca="1">+fair_value_gap(OFFSET(S939,0,0,-1*$I$5,-1*$Z$1),OFFSET(E939,0,0,-1*$I$5,1),F940:S940,0)</f>
        <v>22.416745799483657</v>
      </c>
      <c r="U940" s="9" cm="1">
        <f t="array" aca="1" ref="U940" ca="1">z_score_diff(OFFSET(T940,0,0,$I$5*-1,1),OFFSET(E940,0,0,$I$5*-1,1))</f>
        <v>-0.13023418302538592</v>
      </c>
      <c r="V940" s="9">
        <f t="shared" ca="1" si="119"/>
        <v>-5.2647390509962456E-2</v>
      </c>
      <c r="W940" s="17">
        <f t="shared" ca="1" si="116"/>
        <v>2.9461578375423098E-3</v>
      </c>
      <c r="X940" s="13">
        <f t="shared" ca="1" si="117"/>
        <v>0</v>
      </c>
      <c r="Y940" s="13">
        <f t="shared" ca="1" si="118"/>
        <v>0</v>
      </c>
      <c r="Z940">
        <f t="shared" ca="1" si="120"/>
        <v>1</v>
      </c>
      <c r="AA940">
        <f t="shared" ca="1" si="121"/>
        <v>0</v>
      </c>
      <c r="AB940" s="24">
        <f t="shared" ca="1" si="122"/>
        <v>2.9461578375423098E-3</v>
      </c>
      <c r="AC940" s="24">
        <f t="shared" ca="1" si="123"/>
        <v>0</v>
      </c>
    </row>
    <row r="941" spans="3:29" x14ac:dyDescent="0.25">
      <c r="C941" s="6">
        <v>934</v>
      </c>
      <c r="D941" s="37">
        <v>43334</v>
      </c>
      <c r="E941" s="39">
        <v>22.754000000000001</v>
      </c>
      <c r="F941" s="39">
        <v>2.4223474719216687</v>
      </c>
      <c r="G941" s="39">
        <v>71.452351454752844</v>
      </c>
      <c r="H941" s="39">
        <v>72.900810466120873</v>
      </c>
      <c r="I941" s="10">
        <v>0</v>
      </c>
      <c r="J941" s="40">
        <v>0</v>
      </c>
      <c r="K941" s="40">
        <v>0</v>
      </c>
      <c r="L941" s="40">
        <v>0</v>
      </c>
      <c r="M941" s="40">
        <v>0</v>
      </c>
      <c r="N941" s="40">
        <v>0</v>
      </c>
      <c r="O941" s="40">
        <v>0</v>
      </c>
      <c r="P941" s="40">
        <v>1</v>
      </c>
      <c r="Q941" s="40">
        <v>0</v>
      </c>
      <c r="R941" s="40">
        <v>0</v>
      </c>
      <c r="S941" s="40">
        <v>0</v>
      </c>
      <c r="T941" s="29">
        <f t="array" aca="1" ref="T941" ca="1">+fair_value_gap(OFFSET(S940,0,0,-1*$I$5,-1*$Z$1),OFFSET(E940,0,0,-1*$I$5,1),F941:S941,0)</f>
        <v>22.527441340458786</v>
      </c>
      <c r="U941" s="9" cm="1">
        <f t="array" aca="1" ref="U941" ca="1">z_score_diff(OFFSET(T941,0,0,$I$5*-1,1),OFFSET(E941,0,0,$I$5*-1,1))</f>
        <v>-0.10027308834590554</v>
      </c>
      <c r="V941" s="9">
        <f t="shared" ca="1" si="119"/>
        <v>-5.5191739453735726E-2</v>
      </c>
      <c r="W941" s="17">
        <f t="shared" ca="1" si="116"/>
        <v>-1.9213014740649525E-2</v>
      </c>
      <c r="X941" s="13">
        <f t="shared" ca="1" si="117"/>
        <v>0</v>
      </c>
      <c r="Y941" s="13">
        <f t="shared" ca="1" si="118"/>
        <v>0</v>
      </c>
      <c r="Z941">
        <f t="shared" ca="1" si="120"/>
        <v>1</v>
      </c>
      <c r="AA941">
        <f t="shared" ca="1" si="121"/>
        <v>0</v>
      </c>
      <c r="AB941" s="24">
        <f t="shared" ca="1" si="122"/>
        <v>-1.9213014740649525E-2</v>
      </c>
      <c r="AC941" s="24">
        <f t="shared" ca="1" si="123"/>
        <v>0</v>
      </c>
    </row>
    <row r="942" spans="3:29" x14ac:dyDescent="0.25">
      <c r="C942" s="6">
        <v>935</v>
      </c>
      <c r="D942" s="37">
        <v>43335</v>
      </c>
      <c r="E942" s="39">
        <v>22.954999999999998</v>
      </c>
      <c r="F942" s="39">
        <v>2.4396049030108293</v>
      </c>
      <c r="G942" s="39">
        <v>71.97384431533969</v>
      </c>
      <c r="H942" s="39">
        <v>73.262525288587412</v>
      </c>
      <c r="I942" s="10">
        <v>0</v>
      </c>
      <c r="J942" s="40">
        <v>0</v>
      </c>
      <c r="K942" s="40">
        <v>0</v>
      </c>
      <c r="L942" s="40">
        <v>0</v>
      </c>
      <c r="M942" s="40">
        <v>0</v>
      </c>
      <c r="N942" s="40">
        <v>0</v>
      </c>
      <c r="O942" s="40">
        <v>0</v>
      </c>
      <c r="P942" s="40">
        <v>1</v>
      </c>
      <c r="Q942" s="40">
        <v>0</v>
      </c>
      <c r="R942" s="40">
        <v>0</v>
      </c>
      <c r="S942" s="40">
        <v>0</v>
      </c>
      <c r="T942" s="29">
        <f t="array" aca="1" ref="T942" ca="1">+fair_value_gap(OFFSET(S941,0,0,-1*$I$5,-1*$Z$1),OFFSET(E941,0,0,-1*$I$5,1),F942:S942,0)</f>
        <v>22.718594538956197</v>
      </c>
      <c r="U942" s="9" cm="1">
        <f t="array" aca="1" ref="U942" ca="1">z_score_diff(OFFSET(T942,0,0,$I$5*-1,1),OFFSET(E942,0,0,$I$5*-1,1))</f>
        <v>-0.10364117092371194</v>
      </c>
      <c r="V942" s="9">
        <f t="shared" ca="1" si="119"/>
        <v>-5.5567192868303555E-2</v>
      </c>
      <c r="W942" s="17">
        <f t="shared" ca="1" si="116"/>
        <v>-5.4427895226143289E-2</v>
      </c>
      <c r="X942" s="13">
        <f t="shared" ca="1" si="117"/>
        <v>0</v>
      </c>
      <c r="Y942" s="13">
        <f t="shared" ca="1" si="118"/>
        <v>0</v>
      </c>
      <c r="Z942">
        <f t="shared" ca="1" si="120"/>
        <v>1</v>
      </c>
      <c r="AA942">
        <f t="shared" ca="1" si="121"/>
        <v>0</v>
      </c>
      <c r="AB942" s="24">
        <f t="shared" ca="1" si="122"/>
        <v>-5.4427895226143289E-2</v>
      </c>
      <c r="AC942" s="24">
        <f t="shared" ca="1" si="123"/>
        <v>0</v>
      </c>
    </row>
    <row r="943" spans="3:29" x14ac:dyDescent="0.25">
      <c r="C943" s="6">
        <v>936</v>
      </c>
      <c r="D943" s="37">
        <v>43336</v>
      </c>
      <c r="E943" s="39">
        <v>23.146000000000001</v>
      </c>
      <c r="F943" s="39">
        <v>2.4087941092468146</v>
      </c>
      <c r="G943" s="39">
        <v>72.357802835819285</v>
      </c>
      <c r="H943" s="39">
        <v>73.494893520631095</v>
      </c>
      <c r="I943" s="10">
        <v>0</v>
      </c>
      <c r="J943" s="40">
        <v>0</v>
      </c>
      <c r="K943" s="40">
        <v>0</v>
      </c>
      <c r="L943" s="40">
        <v>0</v>
      </c>
      <c r="M943" s="40">
        <v>0</v>
      </c>
      <c r="N943" s="40">
        <v>0</v>
      </c>
      <c r="O943" s="40">
        <v>0</v>
      </c>
      <c r="P943" s="40">
        <v>1</v>
      </c>
      <c r="Q943" s="40">
        <v>0</v>
      </c>
      <c r="R943" s="40">
        <v>0</v>
      </c>
      <c r="S943" s="40">
        <v>0</v>
      </c>
      <c r="T943" s="29">
        <f t="array" aca="1" ref="T943" ca="1">+fair_value_gap(OFFSET(S942,0,0,-1*$I$5,-1*$Z$1),OFFSET(E942,0,0,-1*$I$5,1),F943:S943,0)</f>
        <v>22.824177107752554</v>
      </c>
      <c r="U943" s="9" cm="1">
        <f t="array" aca="1" ref="U943" ca="1">z_score_diff(OFFSET(T943,0,0,$I$5*-1,1),OFFSET(E943,0,0,$I$5*-1,1))</f>
        <v>-0.1375569401005694</v>
      </c>
      <c r="V943" s="9">
        <f t="shared" ca="1" si="119"/>
        <v>-5.73194994816313E-2</v>
      </c>
      <c r="W943" s="17">
        <f t="shared" ca="1" si="116"/>
        <v>-3.45930548582195E-2</v>
      </c>
      <c r="X943" s="13">
        <f t="shared" ca="1" si="117"/>
        <v>0</v>
      </c>
      <c r="Y943" s="13">
        <f t="shared" ca="1" si="118"/>
        <v>0</v>
      </c>
      <c r="Z943">
        <f t="shared" ca="1" si="120"/>
        <v>1</v>
      </c>
      <c r="AA943">
        <f t="shared" ca="1" si="121"/>
        <v>0</v>
      </c>
      <c r="AB943" s="24">
        <f t="shared" ca="1" si="122"/>
        <v>-3.45930548582195E-2</v>
      </c>
      <c r="AC943" s="24">
        <f t="shared" ca="1" si="123"/>
        <v>0</v>
      </c>
    </row>
    <row r="944" spans="3:29" x14ac:dyDescent="0.25">
      <c r="C944" s="6">
        <v>937</v>
      </c>
      <c r="D944" s="37">
        <v>43339</v>
      </c>
      <c r="E944" s="39">
        <v>23.568000000000001</v>
      </c>
      <c r="F944" s="39">
        <v>2.3724898975215032</v>
      </c>
      <c r="G944" s="39">
        <v>72.282012383163917</v>
      </c>
      <c r="H944" s="39">
        <v>73.298095801223724</v>
      </c>
      <c r="I944" s="10">
        <v>0</v>
      </c>
      <c r="J944" s="40">
        <v>0</v>
      </c>
      <c r="K944" s="40">
        <v>0</v>
      </c>
      <c r="L944" s="40">
        <v>0</v>
      </c>
      <c r="M944" s="40">
        <v>0</v>
      </c>
      <c r="N944" s="40">
        <v>0</v>
      </c>
      <c r="O944" s="40">
        <v>0</v>
      </c>
      <c r="P944" s="40">
        <v>1</v>
      </c>
      <c r="Q944" s="40">
        <v>0</v>
      </c>
      <c r="R944" s="40">
        <v>0</v>
      </c>
      <c r="S944" s="40">
        <v>0</v>
      </c>
      <c r="T944" s="29">
        <f t="array" aca="1" ref="T944" ca="1">+fair_value_gap(OFFSET(S943,0,0,-1*$I$5,-1*$Z$1),OFFSET(E943,0,0,-1*$I$5,1),F944:S944,0)</f>
        <v>22.788787403170424</v>
      </c>
      <c r="U944" s="9" cm="1">
        <f t="array" aca="1" ref="U944" ca="1">z_score_diff(OFFSET(T944,0,0,$I$5*-1,1),OFFSET(E944,0,0,$I$5*-1,1))</f>
        <v>-0.32269571210867953</v>
      </c>
      <c r="V944" s="9">
        <f t="shared" ca="1" si="119"/>
        <v>-6.3274416737678224E-2</v>
      </c>
      <c r="W944" s="17">
        <f t="shared" ca="1" si="116"/>
        <v>-5.4182732957711775E-2</v>
      </c>
      <c r="X944" s="13">
        <f t="shared" ca="1" si="117"/>
        <v>0</v>
      </c>
      <c r="Y944" s="13">
        <f t="shared" ca="1" si="118"/>
        <v>0</v>
      </c>
      <c r="Z944">
        <f t="shared" ca="1" si="120"/>
        <v>1</v>
      </c>
      <c r="AA944">
        <f t="shared" ca="1" si="121"/>
        <v>0</v>
      </c>
      <c r="AB944" s="24">
        <f t="shared" ca="1" si="122"/>
        <v>-5.4182732957711775E-2</v>
      </c>
      <c r="AC944" s="24">
        <f t="shared" ca="1" si="123"/>
        <v>0</v>
      </c>
    </row>
    <row r="945" spans="3:29" x14ac:dyDescent="0.25">
      <c r="C945" s="6">
        <v>938</v>
      </c>
      <c r="D945" s="37">
        <v>43340</v>
      </c>
      <c r="E945" s="39">
        <v>23.635000000000002</v>
      </c>
      <c r="F945" s="39">
        <v>2.360808138468125</v>
      </c>
      <c r="G945" s="39">
        <v>73.519657907650171</v>
      </c>
      <c r="H945" s="39">
        <v>74.412346333408081</v>
      </c>
      <c r="I945" s="10">
        <v>0</v>
      </c>
      <c r="J945" s="40">
        <v>0</v>
      </c>
      <c r="K945" s="40">
        <v>0</v>
      </c>
      <c r="L945" s="40">
        <v>0</v>
      </c>
      <c r="M945" s="40">
        <v>0</v>
      </c>
      <c r="N945" s="40">
        <v>0</v>
      </c>
      <c r="O945" s="40">
        <v>0</v>
      </c>
      <c r="P945" s="40">
        <v>1</v>
      </c>
      <c r="Q945" s="40">
        <v>0</v>
      </c>
      <c r="R945" s="40">
        <v>0</v>
      </c>
      <c r="S945" s="40">
        <v>0</v>
      </c>
      <c r="T945" s="29">
        <f t="array" aca="1" ref="T945" ca="1">+fair_value_gap(OFFSET(S944,0,0,-1*$I$5,-1*$Z$1),OFFSET(E944,0,0,-1*$I$5,1),F945:S945,0)</f>
        <v>23.229586269076577</v>
      </c>
      <c r="U945" s="9" cm="1">
        <f t="array" aca="1" ref="U945" ca="1">z_score_diff(OFFSET(T945,0,0,$I$5*-1,1),OFFSET(E945,0,0,$I$5*-1,1))</f>
        <v>-0.16290840639099979</v>
      </c>
      <c r="V945" s="9">
        <f t="shared" ca="1" si="119"/>
        <v>-6.5153412887537468E-2</v>
      </c>
      <c r="W945" s="17">
        <f t="shared" ca="1" si="116"/>
        <v>-6.2681421426569461E-2</v>
      </c>
      <c r="X945" s="13">
        <f t="shared" ca="1" si="117"/>
        <v>0</v>
      </c>
      <c r="Y945" s="13">
        <f t="shared" ca="1" si="118"/>
        <v>0</v>
      </c>
      <c r="Z945">
        <f t="shared" ca="1" si="120"/>
        <v>1</v>
      </c>
      <c r="AA945">
        <f t="shared" ca="1" si="121"/>
        <v>0</v>
      </c>
      <c r="AB945" s="24">
        <f t="shared" ca="1" si="122"/>
        <v>-6.2681421426569461E-2</v>
      </c>
      <c r="AC945" s="24">
        <f t="shared" ca="1" si="123"/>
        <v>0</v>
      </c>
    </row>
    <row r="946" spans="3:29" x14ac:dyDescent="0.25">
      <c r="C946" s="6">
        <v>939</v>
      </c>
      <c r="D946" s="37">
        <v>43341</v>
      </c>
      <c r="E946" s="39">
        <v>23.975999999999999</v>
      </c>
      <c r="F946" s="39">
        <v>2.3591918464505</v>
      </c>
      <c r="G946" s="39">
        <v>75.005204909946883</v>
      </c>
      <c r="H946" s="39">
        <v>74.94670230436671</v>
      </c>
      <c r="I946" s="10">
        <v>0</v>
      </c>
      <c r="J946" s="40">
        <v>0</v>
      </c>
      <c r="K946" s="40">
        <v>0</v>
      </c>
      <c r="L946" s="40">
        <v>0</v>
      </c>
      <c r="M946" s="40">
        <v>0</v>
      </c>
      <c r="N946" s="40">
        <v>0</v>
      </c>
      <c r="O946" s="40">
        <v>0</v>
      </c>
      <c r="P946" s="40">
        <v>1</v>
      </c>
      <c r="Q946" s="40">
        <v>0</v>
      </c>
      <c r="R946" s="40">
        <v>0</v>
      </c>
      <c r="S946" s="40">
        <v>0</v>
      </c>
      <c r="T946" s="29">
        <f t="array" aca="1" ref="T946" ca="1">+fair_value_gap(OFFSET(S945,0,0,-1*$I$5,-1*$Z$1),OFFSET(E945,0,0,-1*$I$5,1),F946:S946,0)</f>
        <v>23.716377283894452</v>
      </c>
      <c r="U946" s="9" cm="1">
        <f t="array" aca="1" ref="U946" ca="1">z_score_diff(OFFSET(T946,0,0,$I$5*-1,1),OFFSET(E946,0,0,$I$5*-1,1))</f>
        <v>-0.10197877153636936</v>
      </c>
      <c r="V946" s="9">
        <f t="shared" ca="1" si="119"/>
        <v>-6.7527461317826734E-2</v>
      </c>
      <c r="W946" s="17">
        <f t="shared" ca="1" si="116"/>
        <v>-8.8696297354549286E-2</v>
      </c>
      <c r="X946" s="13">
        <f t="shared" ca="1" si="117"/>
        <v>0</v>
      </c>
      <c r="Y946" s="13">
        <f t="shared" ca="1" si="118"/>
        <v>0</v>
      </c>
      <c r="Z946">
        <f t="shared" ca="1" si="120"/>
        <v>1</v>
      </c>
      <c r="AA946">
        <f t="shared" ca="1" si="121"/>
        <v>0</v>
      </c>
      <c r="AB946" s="24">
        <f t="shared" ca="1" si="122"/>
        <v>-8.8696297354549286E-2</v>
      </c>
      <c r="AC946" s="24">
        <f t="shared" ca="1" si="123"/>
        <v>0</v>
      </c>
    </row>
    <row r="947" spans="3:29" x14ac:dyDescent="0.25">
      <c r="C947" s="6">
        <v>940</v>
      </c>
      <c r="D947" s="37">
        <v>43342</v>
      </c>
      <c r="E947" s="39">
        <v>23.905999999999999</v>
      </c>
      <c r="F947" s="39">
        <v>2.2756029857480553</v>
      </c>
      <c r="G947" s="39">
        <v>75.034441770192274</v>
      </c>
      <c r="H947" s="39">
        <v>73.769098226926005</v>
      </c>
      <c r="I947" s="10">
        <v>0</v>
      </c>
      <c r="J947" s="40">
        <v>0</v>
      </c>
      <c r="K947" s="40">
        <v>0</v>
      </c>
      <c r="L947" s="40">
        <v>0</v>
      </c>
      <c r="M947" s="40">
        <v>0</v>
      </c>
      <c r="N947" s="40">
        <v>0</v>
      </c>
      <c r="O947" s="40">
        <v>0</v>
      </c>
      <c r="P947" s="40">
        <v>1</v>
      </c>
      <c r="Q947" s="40">
        <v>0</v>
      </c>
      <c r="R947" s="40">
        <v>0</v>
      </c>
      <c r="S947" s="40">
        <v>0</v>
      </c>
      <c r="T947" s="29">
        <f t="array" aca="1" ref="T947" ca="1">+fair_value_gap(OFFSET(S946,0,0,-1*$I$5,-1*$Z$1),OFFSET(E946,0,0,-1*$I$5,1),F947:S947,0)</f>
        <v>23.669377736000765</v>
      </c>
      <c r="U947" s="9" cm="1">
        <f t="array" aca="1" ref="U947" ca="1">z_score_diff(OFFSET(T947,0,0,$I$5*-1,1),OFFSET(E947,0,0,$I$5*-1,1))</f>
        <v>-8.8901500353666396E-2</v>
      </c>
      <c r="V947" s="9">
        <f t="shared" ca="1" si="119"/>
        <v>-7.0023403987903035E-2</v>
      </c>
      <c r="W947" s="17">
        <f t="shared" ca="1" si="116"/>
        <v>-8.7368901554234352E-2</v>
      </c>
      <c r="X947" s="13">
        <f t="shared" ca="1" si="117"/>
        <v>0</v>
      </c>
      <c r="Y947" s="13">
        <f t="shared" ca="1" si="118"/>
        <v>0</v>
      </c>
      <c r="Z947">
        <f t="shared" ca="1" si="120"/>
        <v>1</v>
      </c>
      <c r="AA947">
        <f t="shared" ca="1" si="121"/>
        <v>0</v>
      </c>
      <c r="AB947" s="24">
        <f t="shared" ca="1" si="122"/>
        <v>-8.7368901554234352E-2</v>
      </c>
      <c r="AC947" s="24">
        <f t="shared" ca="1" si="123"/>
        <v>0</v>
      </c>
    </row>
    <row r="948" spans="3:29" x14ac:dyDescent="0.25">
      <c r="C948" s="6">
        <v>941</v>
      </c>
      <c r="D948" s="37">
        <v>43343</v>
      </c>
      <c r="E948" s="39">
        <v>22.515000000000001</v>
      </c>
      <c r="F948" s="39">
        <v>2.3054148472333789</v>
      </c>
      <c r="G948" s="39">
        <v>71.29568833442768</v>
      </c>
      <c r="H948" s="39">
        <v>74.572441741821493</v>
      </c>
      <c r="I948" s="10">
        <v>0</v>
      </c>
      <c r="J948" s="40">
        <v>0</v>
      </c>
      <c r="K948" s="40">
        <v>0</v>
      </c>
      <c r="L948" s="40">
        <v>0</v>
      </c>
      <c r="M948" s="40">
        <v>0</v>
      </c>
      <c r="N948" s="40">
        <v>0</v>
      </c>
      <c r="O948" s="40">
        <v>0</v>
      </c>
      <c r="P948" s="40">
        <v>1</v>
      </c>
      <c r="Q948" s="40">
        <v>0</v>
      </c>
      <c r="R948" s="40">
        <v>0</v>
      </c>
      <c r="S948" s="40">
        <v>0</v>
      </c>
      <c r="T948" s="29">
        <f t="array" aca="1" ref="T948" ca="1">+fair_value_gap(OFFSET(S947,0,0,-1*$I$5,-1*$Z$1),OFFSET(E947,0,0,-1*$I$5,1),F948:S948,0)</f>
        <v>22.62844527256172</v>
      </c>
      <c r="U948" s="9" cm="1">
        <f t="array" aca="1" ref="U948" ca="1">z_score_diff(OFFSET(T948,0,0,$I$5*-1,1),OFFSET(E948,0,0,$I$5*-1,1))</f>
        <v>6.094923632487248E-2</v>
      </c>
      <c r="V948" s="9">
        <f t="shared" ca="1" si="119"/>
        <v>-6.5477068793886595E-2</v>
      </c>
      <c r="W948" s="17">
        <f t="shared" ca="1" si="116"/>
        <v>-1.3333335308643275E-3</v>
      </c>
      <c r="X948" s="13">
        <f t="shared" ca="1" si="117"/>
        <v>0</v>
      </c>
      <c r="Y948" s="13">
        <f t="shared" ca="1" si="118"/>
        <v>0</v>
      </c>
      <c r="Z948">
        <f t="shared" ca="1" si="120"/>
        <v>1</v>
      </c>
      <c r="AA948">
        <f t="shared" ca="1" si="121"/>
        <v>0</v>
      </c>
      <c r="AB948" s="24">
        <f t="shared" ca="1" si="122"/>
        <v>-1.3333335308643275E-3</v>
      </c>
      <c r="AC948" s="24">
        <f t="shared" ca="1" si="123"/>
        <v>0</v>
      </c>
    </row>
    <row r="949" spans="3:29" x14ac:dyDescent="0.25">
      <c r="C949" s="6">
        <v>942</v>
      </c>
      <c r="D949" s="37">
        <v>43346</v>
      </c>
      <c r="E949" s="39">
        <v>22.786999999999999</v>
      </c>
      <c r="F949" s="39">
        <v>2.3011333327862262</v>
      </c>
      <c r="G949" s="39">
        <v>71.992505484652199</v>
      </c>
      <c r="H949" s="39">
        <v>74.433949102607244</v>
      </c>
      <c r="I949" s="10">
        <v>0</v>
      </c>
      <c r="J949" s="40">
        <v>0</v>
      </c>
      <c r="K949" s="40">
        <v>0</v>
      </c>
      <c r="L949" s="40">
        <v>0</v>
      </c>
      <c r="M949" s="40">
        <v>0</v>
      </c>
      <c r="N949" s="40">
        <v>0</v>
      </c>
      <c r="O949" s="40">
        <v>0</v>
      </c>
      <c r="P949" s="40">
        <v>0</v>
      </c>
      <c r="Q949" s="40">
        <v>1</v>
      </c>
      <c r="R949" s="40">
        <v>0</v>
      </c>
      <c r="S949" s="40">
        <v>0</v>
      </c>
      <c r="T949" s="29">
        <f t="array" aca="1" ref="T949" ca="1">+fair_value_gap(OFFSET(S948,0,0,-1*$I$5,-1*$Z$1),OFFSET(E948,0,0,-1*$I$5,1),F949:S949,0)</f>
        <v>22.871065828697898</v>
      </c>
      <c r="U949" s="9" cm="1">
        <f t="array" aca="1" ref="U949" ca="1">z_score_diff(OFFSET(T949,0,0,$I$5*-1,1),OFFSET(E949,0,0,$I$5*-1,1))</f>
        <v>4.6190171426524707E-2</v>
      </c>
      <c r="V949" s="9">
        <f t="shared" ca="1" si="119"/>
        <v>-6.3454724770188653E-2</v>
      </c>
      <c r="W949" s="17">
        <f t="shared" ca="1" si="116"/>
        <v>-2.7495281298152634E-2</v>
      </c>
      <c r="X949" s="13">
        <f t="shared" ca="1" si="117"/>
        <v>0</v>
      </c>
      <c r="Y949" s="13">
        <f t="shared" ca="1" si="118"/>
        <v>0</v>
      </c>
      <c r="Z949">
        <f t="shared" ca="1" si="120"/>
        <v>1</v>
      </c>
      <c r="AA949">
        <f t="shared" ca="1" si="121"/>
        <v>0</v>
      </c>
      <c r="AB949" s="24">
        <f t="shared" ca="1" si="122"/>
        <v>-2.7495281298152634E-2</v>
      </c>
      <c r="AC949" s="24">
        <f t="shared" ca="1" si="123"/>
        <v>0</v>
      </c>
    </row>
    <row r="950" spans="3:29" x14ac:dyDescent="0.25">
      <c r="C950" s="6">
        <v>943</v>
      </c>
      <c r="D950" s="37">
        <v>43347</v>
      </c>
      <c r="E950" s="39">
        <v>23.178000000000001</v>
      </c>
      <c r="F950" s="39">
        <v>2.2814264225570584</v>
      </c>
      <c r="G950" s="39">
        <v>73.218355170482042</v>
      </c>
      <c r="H950" s="39">
        <v>75.622164168843668</v>
      </c>
      <c r="I950" s="10">
        <v>0</v>
      </c>
      <c r="J950" s="40">
        <v>0</v>
      </c>
      <c r="K950" s="40">
        <v>0</v>
      </c>
      <c r="L950" s="40">
        <v>0</v>
      </c>
      <c r="M950" s="40">
        <v>0</v>
      </c>
      <c r="N950" s="40">
        <v>0</v>
      </c>
      <c r="O950" s="40">
        <v>0</v>
      </c>
      <c r="P950" s="40">
        <v>0</v>
      </c>
      <c r="Q950" s="40">
        <v>1</v>
      </c>
      <c r="R950" s="40">
        <v>0</v>
      </c>
      <c r="S950" s="40">
        <v>0</v>
      </c>
      <c r="T950" s="29">
        <f t="array" aca="1" ref="T950" ca="1">+fair_value_gap(OFFSET(S949,0,0,-1*$I$5,-1*$Z$1),OFFSET(E949,0,0,-1*$I$5,1),F950:S950,0)</f>
        <v>23.221344479182861</v>
      </c>
      <c r="U950" s="9" cm="1">
        <f t="array" aca="1" ref="U950" ca="1">z_score_diff(OFFSET(T950,0,0,$I$5*-1,1),OFFSET(E950,0,0,$I$5*-1,1))</f>
        <v>2.6446377544653066E-2</v>
      </c>
      <c r="V950" s="9">
        <f t="shared" ca="1" si="119"/>
        <v>-6.1884569205441865E-2</v>
      </c>
      <c r="W950" s="17">
        <f t="shared" ca="1" si="116"/>
        <v>-4.2480832167271082E-2</v>
      </c>
      <c r="X950" s="13">
        <f t="shared" ca="1" si="117"/>
        <v>0</v>
      </c>
      <c r="Y950" s="13">
        <f t="shared" ca="1" si="118"/>
        <v>0</v>
      </c>
      <c r="Z950">
        <f t="shared" ca="1" si="120"/>
        <v>1</v>
      </c>
      <c r="AA950">
        <f t="shared" ca="1" si="121"/>
        <v>0</v>
      </c>
      <c r="AB950" s="24">
        <f t="shared" ca="1" si="122"/>
        <v>-4.2480832167271082E-2</v>
      </c>
      <c r="AC950" s="24">
        <f t="shared" ca="1" si="123"/>
        <v>0</v>
      </c>
    </row>
    <row r="951" spans="3:29" x14ac:dyDescent="0.25">
      <c r="C951" s="6">
        <v>944</v>
      </c>
      <c r="D951" s="37">
        <v>43348</v>
      </c>
      <c r="E951" s="39">
        <v>23.254999999999999</v>
      </c>
      <c r="F951" s="39">
        <v>2.2641936176454682</v>
      </c>
      <c r="G951" s="39">
        <v>73.344211220892504</v>
      </c>
      <c r="H951" s="39">
        <v>76.538430650773336</v>
      </c>
      <c r="I951" s="10">
        <v>0</v>
      </c>
      <c r="J951" s="40">
        <v>0</v>
      </c>
      <c r="K951" s="40">
        <v>0</v>
      </c>
      <c r="L951" s="40">
        <v>0</v>
      </c>
      <c r="M951" s="40">
        <v>0</v>
      </c>
      <c r="N951" s="40">
        <v>0</v>
      </c>
      <c r="O951" s="40">
        <v>0</v>
      </c>
      <c r="P951" s="40">
        <v>0</v>
      </c>
      <c r="Q951" s="40">
        <v>1</v>
      </c>
      <c r="R951" s="40">
        <v>0</v>
      </c>
      <c r="S951" s="40">
        <v>0</v>
      </c>
      <c r="T951" s="29">
        <f t="array" aca="1" ref="T951" ca="1">+fair_value_gap(OFFSET(S950,0,0,-1*$I$5,-1*$Z$1),OFFSET(E950,0,0,-1*$I$5,1),F951:S951,0)</f>
        <v>23.263374535122679</v>
      </c>
      <c r="U951" s="9" cm="1">
        <f t="array" aca="1" ref="U951" ca="1">z_score_diff(OFFSET(T951,0,0,$I$5*-1,1),OFFSET(E951,0,0,$I$5*-1,1))</f>
        <v>1.1945605376552981E-2</v>
      </c>
      <c r="V951" s="9">
        <f t="shared" ca="1" si="119"/>
        <v>-6.083680680096152E-2</v>
      </c>
      <c r="W951" s="17">
        <f t="shared" ca="1" si="116"/>
        <v>-5.1666798254262153E-2</v>
      </c>
      <c r="X951" s="13">
        <f t="shared" ca="1" si="117"/>
        <v>0</v>
      </c>
      <c r="Y951" s="13">
        <f t="shared" ca="1" si="118"/>
        <v>0</v>
      </c>
      <c r="Z951">
        <f t="shared" ca="1" si="120"/>
        <v>1</v>
      </c>
      <c r="AA951">
        <f t="shared" ca="1" si="121"/>
        <v>0</v>
      </c>
      <c r="AB951" s="24">
        <f t="shared" ca="1" si="122"/>
        <v>-5.1666798254262153E-2</v>
      </c>
      <c r="AC951" s="24">
        <f t="shared" ca="1" si="123"/>
        <v>0</v>
      </c>
    </row>
    <row r="952" spans="3:29" x14ac:dyDescent="0.25">
      <c r="C952" s="6">
        <v>945</v>
      </c>
      <c r="D952" s="37">
        <v>43349</v>
      </c>
      <c r="E952" s="39">
        <v>23.568999999999999</v>
      </c>
      <c r="F952" s="39">
        <v>2.2518605536377598</v>
      </c>
      <c r="G952" s="39">
        <v>74.361672690986182</v>
      </c>
      <c r="H952" s="39">
        <v>76.825770800792782</v>
      </c>
      <c r="I952" s="10">
        <v>0</v>
      </c>
      <c r="J952" s="40">
        <v>0</v>
      </c>
      <c r="K952" s="40">
        <v>0</v>
      </c>
      <c r="L952" s="40">
        <v>0</v>
      </c>
      <c r="M952" s="40">
        <v>0</v>
      </c>
      <c r="N952" s="40">
        <v>0</v>
      </c>
      <c r="O952" s="40">
        <v>0</v>
      </c>
      <c r="P952" s="40">
        <v>0</v>
      </c>
      <c r="Q952" s="40">
        <v>1</v>
      </c>
      <c r="R952" s="40">
        <v>0</v>
      </c>
      <c r="S952" s="40">
        <v>0</v>
      </c>
      <c r="T952" s="29">
        <f t="array" aca="1" ref="T952" ca="1">+fair_value_gap(OFFSET(S951,0,0,-1*$I$5,-1*$Z$1),OFFSET(E951,0,0,-1*$I$5,1),F952:S952,0)</f>
        <v>23.56601290711021</v>
      </c>
      <c r="U952" s="9" cm="1">
        <f t="array" aca="1" ref="U952" ca="1">z_score_diff(OFFSET(T952,0,0,$I$5*-1,1),OFFSET(E952,0,0,$I$5*-1,1))</f>
        <v>5.1611169737570961E-3</v>
      </c>
      <c r="V952" s="9">
        <f t="shared" ca="1" si="119"/>
        <v>-5.9457530595872173E-2</v>
      </c>
      <c r="W952" s="17">
        <f t="shared" ca="1" si="116"/>
        <v>-6.2998135171292463E-2</v>
      </c>
      <c r="X952" s="13">
        <f t="shared" ca="1" si="117"/>
        <v>0</v>
      </c>
      <c r="Y952" s="13">
        <f t="shared" ca="1" si="118"/>
        <v>0</v>
      </c>
      <c r="Z952">
        <f t="shared" ca="1" si="120"/>
        <v>1</v>
      </c>
      <c r="AA952">
        <f t="shared" ca="1" si="121"/>
        <v>0</v>
      </c>
      <c r="AB952" s="24">
        <f t="shared" ca="1" si="122"/>
        <v>-6.2998135171292463E-2</v>
      </c>
      <c r="AC952" s="24">
        <f t="shared" ca="1" si="123"/>
        <v>0</v>
      </c>
    </row>
    <row r="953" spans="3:29" x14ac:dyDescent="0.25">
      <c r="C953" s="6">
        <v>946</v>
      </c>
      <c r="D953" s="37">
        <v>43350</v>
      </c>
      <c r="E953" s="39">
        <v>23.853000000000002</v>
      </c>
      <c r="F953" s="39">
        <v>2.2616372868270762</v>
      </c>
      <c r="G953" s="39">
        <v>75.441141664986532</v>
      </c>
      <c r="H953" s="39">
        <v>76.955054289192631</v>
      </c>
      <c r="I953" s="10">
        <v>0</v>
      </c>
      <c r="J953" s="40">
        <v>0</v>
      </c>
      <c r="K953" s="40">
        <v>0</v>
      </c>
      <c r="L953" s="40">
        <v>0</v>
      </c>
      <c r="M953" s="40">
        <v>0</v>
      </c>
      <c r="N953" s="40">
        <v>0</v>
      </c>
      <c r="O953" s="40">
        <v>0</v>
      </c>
      <c r="P953" s="40">
        <v>0</v>
      </c>
      <c r="Q953" s="40">
        <v>1</v>
      </c>
      <c r="R953" s="40">
        <v>0</v>
      </c>
      <c r="S953" s="40">
        <v>0</v>
      </c>
      <c r="T953" s="29">
        <f t="array" aca="1" ref="T953" ca="1">+fair_value_gap(OFFSET(S952,0,0,-1*$I$5,-1*$Z$1),OFFSET(E952,0,0,-1*$I$5,1),F953:S953,0)</f>
        <v>23.897855169098911</v>
      </c>
      <c r="U953" s="9" cm="1">
        <f t="array" aca="1" ref="U953" ca="1">z_score_diff(OFFSET(T953,0,0,$I$5*-1,1),OFFSET(E953,0,0,$I$5*-1,1))</f>
        <v>2.0968212786808937E-2</v>
      </c>
      <c r="V953" s="9">
        <f t="shared" ca="1" si="119"/>
        <v>-5.5890186744604275E-2</v>
      </c>
      <c r="W953" s="17">
        <f t="shared" ca="1" si="116"/>
        <v>-9.192848958856531E-2</v>
      </c>
      <c r="X953" s="13">
        <f t="shared" ca="1" si="117"/>
        <v>0</v>
      </c>
      <c r="Y953" s="13">
        <f t="shared" ca="1" si="118"/>
        <v>0</v>
      </c>
      <c r="Z953">
        <f t="shared" ca="1" si="120"/>
        <v>1</v>
      </c>
      <c r="AA953">
        <f t="shared" ca="1" si="121"/>
        <v>0</v>
      </c>
      <c r="AB953" s="24">
        <f t="shared" ca="1" si="122"/>
        <v>-9.192848958856531E-2</v>
      </c>
      <c r="AC953" s="24">
        <f t="shared" ca="1" si="123"/>
        <v>0</v>
      </c>
    </row>
    <row r="954" spans="3:29" x14ac:dyDescent="0.25">
      <c r="C954" s="6">
        <v>947</v>
      </c>
      <c r="D954" s="37">
        <v>43353</v>
      </c>
      <c r="E954" s="39">
        <v>24.803000000000001</v>
      </c>
      <c r="F954" s="39">
        <v>2.2593021631791257</v>
      </c>
      <c r="G954" s="39">
        <v>78.294211907235564</v>
      </c>
      <c r="H954" s="39">
        <v>77.391368644172232</v>
      </c>
      <c r="I954" s="10">
        <v>0</v>
      </c>
      <c r="J954" s="40">
        <v>0</v>
      </c>
      <c r="K954" s="40">
        <v>0</v>
      </c>
      <c r="L954" s="40">
        <v>0</v>
      </c>
      <c r="M954" s="40">
        <v>0</v>
      </c>
      <c r="N954" s="40">
        <v>0</v>
      </c>
      <c r="O954" s="40">
        <v>0</v>
      </c>
      <c r="P954" s="40">
        <v>0</v>
      </c>
      <c r="Q954" s="40">
        <v>1</v>
      </c>
      <c r="R954" s="40">
        <v>0</v>
      </c>
      <c r="S954" s="40">
        <v>0</v>
      </c>
      <c r="T954" s="29">
        <f t="array" aca="1" ref="T954" ca="1">+fair_value_gap(OFFSET(S953,0,0,-1*$I$5,-1*$Z$1),OFFSET(E953,0,0,-1*$I$5,1),F954:S954,0)</f>
        <v>24.741358800040544</v>
      </c>
      <c r="U954" s="9" cm="1">
        <f t="array" aca="1" ref="U954" ca="1">z_score_diff(OFFSET(T954,0,0,$I$5*-1,1),OFFSET(E954,0,0,$I$5*-1,1))</f>
        <v>-2.620280482863846E-2</v>
      </c>
      <c r="V954" s="9">
        <f t="shared" ca="1" si="119"/>
        <v>-5.374893508331742E-2</v>
      </c>
      <c r="W954" s="17">
        <f t="shared" ca="1" si="116"/>
        <v>-0.1225164315431321</v>
      </c>
      <c r="X954" s="13">
        <f t="shared" ca="1" si="117"/>
        <v>0</v>
      </c>
      <c r="Y954" s="13">
        <f t="shared" ca="1" si="118"/>
        <v>0</v>
      </c>
      <c r="Z954">
        <f t="shared" ca="1" si="120"/>
        <v>1</v>
      </c>
      <c r="AA954">
        <f t="shared" ca="1" si="121"/>
        <v>0</v>
      </c>
      <c r="AB954" s="24">
        <f t="shared" ca="1" si="122"/>
        <v>-0.1225164315431321</v>
      </c>
      <c r="AC954" s="24">
        <f t="shared" ca="1" si="123"/>
        <v>0</v>
      </c>
    </row>
    <row r="955" spans="3:29" x14ac:dyDescent="0.25">
      <c r="C955" s="6">
        <v>948</v>
      </c>
      <c r="D955" s="37">
        <v>43354</v>
      </c>
      <c r="E955" s="39">
        <v>24.541</v>
      </c>
      <c r="F955" s="39">
        <v>2.2635552831741297</v>
      </c>
      <c r="G955" s="39">
        <v>77.968296116862319</v>
      </c>
      <c r="H955" s="39">
        <v>78.022510848082533</v>
      </c>
      <c r="I955" s="10">
        <v>0</v>
      </c>
      <c r="J955" s="40">
        <v>0</v>
      </c>
      <c r="K955" s="40">
        <v>0</v>
      </c>
      <c r="L955" s="40">
        <v>0</v>
      </c>
      <c r="M955" s="40">
        <v>0</v>
      </c>
      <c r="N955" s="40">
        <v>0</v>
      </c>
      <c r="O955" s="40">
        <v>0</v>
      </c>
      <c r="P955" s="40">
        <v>0</v>
      </c>
      <c r="Q955" s="40">
        <v>1</v>
      </c>
      <c r="R955" s="40">
        <v>0</v>
      </c>
      <c r="S955" s="40">
        <v>0</v>
      </c>
      <c r="T955" s="29">
        <f t="array" aca="1" ref="T955" ca="1">+fair_value_gap(OFFSET(S954,0,0,-1*$I$5,-1*$Z$1),OFFSET(E954,0,0,-1*$I$5,1),F955:S955,0)</f>
        <v>24.679708299815964</v>
      </c>
      <c r="U955" s="9" cm="1">
        <f t="array" aca="1" ref="U955" ca="1">z_score_diff(OFFSET(T955,0,0,$I$5*-1,1),OFFSET(E955,0,0,$I$5*-1,1))</f>
        <v>5.000347390755655E-2</v>
      </c>
      <c r="V955" s="9">
        <f t="shared" ca="1" si="119"/>
        <v>-5.2072670459487193E-2</v>
      </c>
      <c r="W955" s="17">
        <f t="shared" ca="1" si="116"/>
        <v>-0.1340146658492383</v>
      </c>
      <c r="X955" s="13">
        <f t="shared" ca="1" si="117"/>
        <v>0</v>
      </c>
      <c r="Y955" s="13">
        <f t="shared" ca="1" si="118"/>
        <v>0</v>
      </c>
      <c r="Z955">
        <f t="shared" ca="1" si="120"/>
        <v>1</v>
      </c>
      <c r="AA955">
        <f t="shared" ca="1" si="121"/>
        <v>0</v>
      </c>
      <c r="AB955" s="24">
        <f t="shared" ca="1" si="122"/>
        <v>-0.1340146658492383</v>
      </c>
      <c r="AC955" s="24">
        <f t="shared" ca="1" si="123"/>
        <v>0</v>
      </c>
    </row>
    <row r="956" spans="3:29" x14ac:dyDescent="0.25">
      <c r="C956" s="6">
        <v>949</v>
      </c>
      <c r="D956" s="37">
        <v>43355</v>
      </c>
      <c r="E956" s="39">
        <v>23.968</v>
      </c>
      <c r="F956" s="39">
        <v>2.2688032185881326</v>
      </c>
      <c r="G956" s="39">
        <v>76.31590806917346</v>
      </c>
      <c r="H956" s="39">
        <v>77.524268822876081</v>
      </c>
      <c r="I956" s="10">
        <v>0</v>
      </c>
      <c r="J956" s="40">
        <v>0</v>
      </c>
      <c r="K956" s="40">
        <v>0</v>
      </c>
      <c r="L956" s="40">
        <v>0</v>
      </c>
      <c r="M956" s="40">
        <v>0</v>
      </c>
      <c r="N956" s="40">
        <v>0</v>
      </c>
      <c r="O956" s="40">
        <v>0</v>
      </c>
      <c r="P956" s="40">
        <v>0</v>
      </c>
      <c r="Q956" s="40">
        <v>1</v>
      </c>
      <c r="R956" s="40">
        <v>0</v>
      </c>
      <c r="S956" s="40">
        <v>0</v>
      </c>
      <c r="T956" s="29">
        <f t="array" aca="1" ref="T956" ca="1">+fair_value_gap(OFFSET(S955,0,0,-1*$I$5,-1*$Z$1),OFFSET(E955,0,0,-1*$I$5,1),F956:S956,0)</f>
        <v>24.15935764418861</v>
      </c>
      <c r="U956" s="9" cm="1">
        <f t="array" aca="1" ref="U956" ca="1">z_score_diff(OFFSET(T956,0,0,$I$5*-1,1),OFFSET(E956,0,0,$I$5*-1,1))</f>
        <v>7.2040726254908094E-2</v>
      </c>
      <c r="V956" s="9">
        <f t="shared" ca="1" si="119"/>
        <v>-4.9207085384687418E-2</v>
      </c>
      <c r="W956" s="17">
        <f t="shared" ca="1" si="116"/>
        <v>-0.16486795190093465</v>
      </c>
      <c r="X956" s="13">
        <f t="shared" ca="1" si="117"/>
        <v>0</v>
      </c>
      <c r="Y956" s="13">
        <f t="shared" ca="1" si="118"/>
        <v>0</v>
      </c>
      <c r="Z956">
        <f t="shared" ca="1" si="120"/>
        <v>1</v>
      </c>
      <c r="AA956">
        <f t="shared" ca="1" si="121"/>
        <v>0</v>
      </c>
      <c r="AB956" s="24">
        <f t="shared" ca="1" si="122"/>
        <v>-0.16486795190093465</v>
      </c>
      <c r="AC956" s="24">
        <f t="shared" ca="1" si="123"/>
        <v>0</v>
      </c>
    </row>
    <row r="957" spans="3:29" x14ac:dyDescent="0.25">
      <c r="C957" s="6">
        <v>950</v>
      </c>
      <c r="D957" s="37">
        <v>43356</v>
      </c>
      <c r="E957" s="39">
        <v>23.390999999999998</v>
      </c>
      <c r="F957" s="39">
        <v>2.2511974757918893</v>
      </c>
      <c r="G957" s="39">
        <v>74.601701384503016</v>
      </c>
      <c r="H957" s="39">
        <v>76.886049824440803</v>
      </c>
      <c r="I957" s="10">
        <v>0</v>
      </c>
      <c r="J957" s="40">
        <v>0</v>
      </c>
      <c r="K957" s="40">
        <v>0</v>
      </c>
      <c r="L957" s="40">
        <v>0</v>
      </c>
      <c r="M957" s="40">
        <v>0</v>
      </c>
      <c r="N957" s="40">
        <v>0</v>
      </c>
      <c r="O957" s="40">
        <v>0</v>
      </c>
      <c r="P957" s="40">
        <v>0</v>
      </c>
      <c r="Q957" s="40">
        <v>1</v>
      </c>
      <c r="R957" s="40">
        <v>0</v>
      </c>
      <c r="S957" s="40">
        <v>0</v>
      </c>
      <c r="T957" s="29">
        <f t="array" aca="1" ref="T957" ca="1">+fair_value_gap(OFFSET(S956,0,0,-1*$I$5,-1*$Z$1),OFFSET(E956,0,0,-1*$I$5,1),F957:S957,0)</f>
        <v>23.604689752714386</v>
      </c>
      <c r="U957" s="9" cm="1">
        <f t="array" aca="1" ref="U957" ca="1">z_score_diff(OFFSET(T957,0,0,$I$5*-1,1),OFFSET(E957,0,0,$I$5*-1,1))</f>
        <v>8.2896415563670001E-2</v>
      </c>
      <c r="V957" s="9">
        <f t="shared" ca="1" si="119"/>
        <v>-4.5809878417052849E-2</v>
      </c>
      <c r="W957" s="17">
        <f t="shared" ca="1" si="116"/>
        <v>-0.17152967217733572</v>
      </c>
      <c r="X957" s="13">
        <f t="shared" ca="1" si="117"/>
        <v>0</v>
      </c>
      <c r="Y957" s="13">
        <f t="shared" ca="1" si="118"/>
        <v>0</v>
      </c>
      <c r="Z957">
        <f t="shared" ca="1" si="120"/>
        <v>1</v>
      </c>
      <c r="AA957">
        <f t="shared" ca="1" si="121"/>
        <v>0</v>
      </c>
      <c r="AB957" s="24">
        <f t="shared" ca="1" si="122"/>
        <v>-0.17152967217733572</v>
      </c>
      <c r="AC957" s="24">
        <f t="shared" ca="1" si="123"/>
        <v>0</v>
      </c>
    </row>
    <row r="958" spans="3:29" x14ac:dyDescent="0.25">
      <c r="C958" s="6">
        <v>951</v>
      </c>
      <c r="D958" s="37">
        <v>43357</v>
      </c>
      <c r="E958" s="39">
        <v>23.321999999999999</v>
      </c>
      <c r="F958" s="39">
        <v>2.2508936047610901</v>
      </c>
      <c r="G958" s="39">
        <v>74.798334047113912</v>
      </c>
      <c r="H958" s="39">
        <v>77.676292033391803</v>
      </c>
      <c r="I958" s="10">
        <v>0</v>
      </c>
      <c r="J958" s="40">
        <v>0</v>
      </c>
      <c r="K958" s="40">
        <v>0</v>
      </c>
      <c r="L958" s="40">
        <v>0</v>
      </c>
      <c r="M958" s="40">
        <v>0</v>
      </c>
      <c r="N958" s="40">
        <v>0</v>
      </c>
      <c r="O958" s="40">
        <v>0</v>
      </c>
      <c r="P958" s="40">
        <v>0</v>
      </c>
      <c r="Q958" s="40">
        <v>1</v>
      </c>
      <c r="R958" s="40">
        <v>0</v>
      </c>
      <c r="S958" s="40">
        <v>0</v>
      </c>
      <c r="T958" s="29">
        <f t="array" aca="1" ref="T958" ca="1">+fair_value_gap(OFFSET(S957,0,0,-1*$I$5,-1*$Z$1),OFFSET(E957,0,0,-1*$I$5,1),F958:S958,0)</f>
        <v>23.666050707691831</v>
      </c>
      <c r="U958" s="9" cm="1">
        <f t="array" aca="1" ref="U958" ca="1">z_score_diff(OFFSET(T958,0,0,$I$5*-1,1),OFFSET(E958,0,0,$I$5*-1,1))</f>
        <v>0.12846175730635867</v>
      </c>
      <c r="V958" s="9">
        <f t="shared" ca="1" si="119"/>
        <v>-4.1157281567095215E-2</v>
      </c>
      <c r="W958" s="17">
        <f t="shared" ca="1" si="116"/>
        <v>-0.1546152990801454</v>
      </c>
      <c r="X958" s="13">
        <f t="shared" ca="1" si="117"/>
        <v>0</v>
      </c>
      <c r="Y958" s="13">
        <f t="shared" ca="1" si="118"/>
        <v>0</v>
      </c>
      <c r="Z958">
        <f t="shared" ca="1" si="120"/>
        <v>1</v>
      </c>
      <c r="AA958">
        <f t="shared" ca="1" si="121"/>
        <v>0</v>
      </c>
      <c r="AB958" s="24">
        <f t="shared" ca="1" si="122"/>
        <v>-0.1546152990801454</v>
      </c>
      <c r="AC958" s="24">
        <f t="shared" ca="1" si="123"/>
        <v>0</v>
      </c>
    </row>
    <row r="959" spans="3:29" x14ac:dyDescent="0.25">
      <c r="C959" s="6">
        <v>952</v>
      </c>
      <c r="D959" s="37">
        <v>43360</v>
      </c>
      <c r="E959" s="39">
        <v>24.012</v>
      </c>
      <c r="F959" s="39">
        <v>2.2472862266939795</v>
      </c>
      <c r="G959" s="39">
        <v>76.526419704064011</v>
      </c>
      <c r="H959" s="39">
        <v>77.245371388901106</v>
      </c>
      <c r="I959" s="10">
        <v>0</v>
      </c>
      <c r="J959" s="40">
        <v>0</v>
      </c>
      <c r="K959" s="40">
        <v>0</v>
      </c>
      <c r="L959" s="40">
        <v>0</v>
      </c>
      <c r="M959" s="40">
        <v>0</v>
      </c>
      <c r="N959" s="40">
        <v>0</v>
      </c>
      <c r="O959" s="40">
        <v>0</v>
      </c>
      <c r="P959" s="40">
        <v>0</v>
      </c>
      <c r="Q959" s="40">
        <v>1</v>
      </c>
      <c r="R959" s="40">
        <v>0</v>
      </c>
      <c r="S959" s="40">
        <v>0</v>
      </c>
      <c r="T959" s="29">
        <f t="array" aca="1" ref="T959" ca="1">+fair_value_gap(OFFSET(S958,0,0,-1*$I$5,-1*$Z$1),OFFSET(E958,0,0,-1*$I$5,1),F959:S959,0)</f>
        <v>24.114991562974549</v>
      </c>
      <c r="U959" s="9" cm="1">
        <f t="array" aca="1" ref="U959" ca="1">z_score_diff(OFFSET(T959,0,0,$I$5*-1,1),OFFSET(E959,0,0,$I$5*-1,1))</f>
        <v>3.3212249652561088E-2</v>
      </c>
      <c r="V959" s="9">
        <f t="shared" ca="1" si="119"/>
        <v>-3.8388052474154596E-2</v>
      </c>
      <c r="W959" s="17">
        <f t="shared" ca="1" si="116"/>
        <v>-0.18828633726667304</v>
      </c>
      <c r="X959" s="13">
        <f t="shared" ca="1" si="117"/>
        <v>0</v>
      </c>
      <c r="Y959" s="13">
        <f t="shared" ca="1" si="118"/>
        <v>0</v>
      </c>
      <c r="Z959">
        <f t="shared" ca="1" si="120"/>
        <v>1</v>
      </c>
      <c r="AA959">
        <f t="shared" ca="1" si="121"/>
        <v>0</v>
      </c>
      <c r="AB959" s="24">
        <f t="shared" ca="1" si="122"/>
        <v>-0.18828633726667304</v>
      </c>
      <c r="AC959" s="24">
        <f t="shared" ca="1" si="123"/>
        <v>0</v>
      </c>
    </row>
    <row r="960" spans="3:29" x14ac:dyDescent="0.25">
      <c r="C960" s="6">
        <v>953</v>
      </c>
      <c r="D960" s="37">
        <v>43361</v>
      </c>
      <c r="E960" s="39">
        <v>23.856999999999999</v>
      </c>
      <c r="F960" s="39">
        <v>2.2679660204990175</v>
      </c>
      <c r="G960" s="39">
        <v>75.944533229734148</v>
      </c>
      <c r="H960" s="39">
        <v>76.428577840853919</v>
      </c>
      <c r="I960" s="10">
        <v>0</v>
      </c>
      <c r="J960" s="40">
        <v>0</v>
      </c>
      <c r="K960" s="40">
        <v>0</v>
      </c>
      <c r="L960" s="40">
        <v>0</v>
      </c>
      <c r="M960" s="40">
        <v>0</v>
      </c>
      <c r="N960" s="40">
        <v>0</v>
      </c>
      <c r="O960" s="40">
        <v>0</v>
      </c>
      <c r="P960" s="40">
        <v>0</v>
      </c>
      <c r="Q960" s="40">
        <v>1</v>
      </c>
      <c r="R960" s="40">
        <v>0</v>
      </c>
      <c r="S960" s="40">
        <v>0</v>
      </c>
      <c r="T960" s="29">
        <f t="array" aca="1" ref="T960" ca="1">+fair_value_gap(OFFSET(S959,0,0,-1*$I$5,-1*$Z$1),OFFSET(E959,0,0,-1*$I$5,1),F960:S960,0)</f>
        <v>23.931497841485616</v>
      </c>
      <c r="U960" s="9" cm="1">
        <f t="array" aca="1" ref="U960" ca="1">z_score_diff(OFFSET(T960,0,0,$I$5*-1,1),OFFSET(E960,0,0,$I$5*-1,1))</f>
        <v>2.3579820183607492E-2</v>
      </c>
      <c r="V960" s="9">
        <f t="shared" ca="1" si="119"/>
        <v>-3.8955256550907223E-2</v>
      </c>
      <c r="W960" s="17">
        <f t="shared" ca="1" si="116"/>
        <v>-0.17985154109485804</v>
      </c>
      <c r="X960" s="13">
        <f t="shared" ca="1" si="117"/>
        <v>0</v>
      </c>
      <c r="Y960" s="13">
        <f t="shared" ca="1" si="118"/>
        <v>0</v>
      </c>
      <c r="Z960">
        <f t="shared" ca="1" si="120"/>
        <v>1</v>
      </c>
      <c r="AA960">
        <f t="shared" ca="1" si="121"/>
        <v>0</v>
      </c>
      <c r="AB960" s="24">
        <f t="shared" ca="1" si="122"/>
        <v>-0.17985154109485804</v>
      </c>
      <c r="AC960" s="24">
        <f t="shared" ca="1" si="123"/>
        <v>0</v>
      </c>
    </row>
    <row r="961" spans="3:29" x14ac:dyDescent="0.25">
      <c r="C961" s="6">
        <v>954</v>
      </c>
      <c r="D961" s="37">
        <v>43362</v>
      </c>
      <c r="E961" s="39">
        <v>24.411999999999999</v>
      </c>
      <c r="F961" s="39">
        <v>2.2535482177815958</v>
      </c>
      <c r="G961" s="39">
        <v>77.412555341929334</v>
      </c>
      <c r="H961" s="39">
        <v>77.794277536077146</v>
      </c>
      <c r="I961" s="10">
        <v>0</v>
      </c>
      <c r="J961" s="40">
        <v>0</v>
      </c>
      <c r="K961" s="40">
        <v>0</v>
      </c>
      <c r="L961" s="40">
        <v>0</v>
      </c>
      <c r="M961" s="40">
        <v>0</v>
      </c>
      <c r="N961" s="40">
        <v>0</v>
      </c>
      <c r="O961" s="40">
        <v>0</v>
      </c>
      <c r="P961" s="40">
        <v>0</v>
      </c>
      <c r="Q961" s="40">
        <v>1</v>
      </c>
      <c r="R961" s="40">
        <v>0</v>
      </c>
      <c r="S961" s="40">
        <v>0</v>
      </c>
      <c r="T961" s="29">
        <f t="array" aca="1" ref="T961" ca="1">+fair_value_gap(OFFSET(S960,0,0,-1*$I$5,-1*$Z$1),OFFSET(E960,0,0,-1*$I$5,1),F961:S961,0)</f>
        <v>24.370456837892249</v>
      </c>
      <c r="U961" s="9" cm="1">
        <f t="array" aca="1" ref="U961" ca="1">z_score_diff(OFFSET(T961,0,0,$I$5*-1,1),OFFSET(E961,0,0,$I$5*-1,1))</f>
        <v>-2.2324841679709717E-2</v>
      </c>
      <c r="V961" s="9">
        <f t="shared" ca="1" si="119"/>
        <v>-3.6130473957784306E-2</v>
      </c>
      <c r="W961" s="17">
        <f t="shared" ca="1" si="116"/>
        <v>-0.19013506037734437</v>
      </c>
      <c r="X961" s="13">
        <f t="shared" ca="1" si="117"/>
        <v>0</v>
      </c>
      <c r="Y961" s="13">
        <f t="shared" ca="1" si="118"/>
        <v>0</v>
      </c>
      <c r="Z961">
        <f t="shared" ca="1" si="120"/>
        <v>1</v>
      </c>
      <c r="AA961">
        <f t="shared" ca="1" si="121"/>
        <v>0</v>
      </c>
      <c r="AB961" s="24">
        <f t="shared" ca="1" si="122"/>
        <v>-0.19013506037734437</v>
      </c>
      <c r="AC961" s="24">
        <f t="shared" ca="1" si="123"/>
        <v>0</v>
      </c>
    </row>
    <row r="962" spans="3:29" x14ac:dyDescent="0.25">
      <c r="C962" s="6">
        <v>955</v>
      </c>
      <c r="D962" s="37">
        <v>43363</v>
      </c>
      <c r="E962" s="39">
        <v>24.574999999999999</v>
      </c>
      <c r="F962" s="39">
        <v>2.2521084213172653</v>
      </c>
      <c r="G962" s="39">
        <v>77.674936842918129</v>
      </c>
      <c r="H962" s="39">
        <v>76.916050354751533</v>
      </c>
      <c r="I962" s="10">
        <v>0</v>
      </c>
      <c r="J962" s="40">
        <v>0</v>
      </c>
      <c r="K962" s="40">
        <v>0</v>
      </c>
      <c r="L962" s="40">
        <v>0</v>
      </c>
      <c r="M962" s="40">
        <v>0</v>
      </c>
      <c r="N962" s="40">
        <v>0</v>
      </c>
      <c r="O962" s="40">
        <v>0</v>
      </c>
      <c r="P962" s="40">
        <v>0</v>
      </c>
      <c r="Q962" s="40">
        <v>1</v>
      </c>
      <c r="R962" s="40">
        <v>0</v>
      </c>
      <c r="S962" s="40">
        <v>0</v>
      </c>
      <c r="T962" s="29">
        <f t="array" aca="1" ref="T962" ca="1">+fair_value_gap(OFFSET(S961,0,0,-1*$I$5,-1*$Z$1),OFFSET(E961,0,0,-1*$I$5,1),F962:S962,0)</f>
        <v>24.419266349576819</v>
      </c>
      <c r="U962" s="9" cm="1">
        <f t="array" aca="1" ref="U962" ca="1">z_score_diff(OFFSET(T962,0,0,$I$5*-1,1),OFFSET(E962,0,0,$I$5*-1,1))</f>
        <v>-6.2616342593418306E-2</v>
      </c>
      <c r="V962" s="9">
        <f t="shared" ca="1" si="119"/>
        <v>-3.6074749625815104E-2</v>
      </c>
      <c r="W962" s="17">
        <f t="shared" ca="1" si="116"/>
        <v>-0.19654223370848403</v>
      </c>
      <c r="X962" s="13">
        <f t="shared" ca="1" si="117"/>
        <v>0</v>
      </c>
      <c r="Y962" s="13">
        <f t="shared" ca="1" si="118"/>
        <v>0</v>
      </c>
      <c r="Z962">
        <f t="shared" ca="1" si="120"/>
        <v>1</v>
      </c>
      <c r="AA962">
        <f t="shared" ca="1" si="121"/>
        <v>0</v>
      </c>
      <c r="AB962" s="24">
        <f t="shared" ca="1" si="122"/>
        <v>-0.19654223370848403</v>
      </c>
      <c r="AC962" s="24">
        <f t="shared" ca="1" si="123"/>
        <v>0</v>
      </c>
    </row>
    <row r="963" spans="3:29" x14ac:dyDescent="0.25">
      <c r="C963" s="6">
        <v>956</v>
      </c>
      <c r="D963" s="37">
        <v>43364</v>
      </c>
      <c r="E963" s="39">
        <v>24.745000000000001</v>
      </c>
      <c r="F963" s="39">
        <v>2.2550536132311607</v>
      </c>
      <c r="G963" s="39">
        <v>78.11001029111651</v>
      </c>
      <c r="H963" s="39">
        <v>77.261718297373747</v>
      </c>
      <c r="I963" s="10">
        <v>0</v>
      </c>
      <c r="J963" s="40">
        <v>0</v>
      </c>
      <c r="K963" s="40">
        <v>0</v>
      </c>
      <c r="L963" s="40">
        <v>0</v>
      </c>
      <c r="M963" s="40">
        <v>0</v>
      </c>
      <c r="N963" s="40">
        <v>0</v>
      </c>
      <c r="O963" s="40">
        <v>0</v>
      </c>
      <c r="P963" s="40">
        <v>0</v>
      </c>
      <c r="Q963" s="40">
        <v>1</v>
      </c>
      <c r="R963" s="40">
        <v>0</v>
      </c>
      <c r="S963" s="40">
        <v>0</v>
      </c>
      <c r="T963" s="29">
        <f t="array" aca="1" ref="T963" ca="1">+fair_value_gap(OFFSET(S962,0,0,-1*$I$5,-1*$Z$1),OFFSET(E962,0,0,-1*$I$5,1),F963:S963,0)</f>
        <v>24.566467768753789</v>
      </c>
      <c r="U963" s="9" cm="1">
        <f t="array" aca="1" ref="U963" ca="1">z_score_diff(OFFSET(T963,0,0,$I$5*-1,1),OFFSET(E963,0,0,$I$5*-1,1))</f>
        <v>-6.8660384574104949E-2</v>
      </c>
      <c r="V963" s="9">
        <f t="shared" ca="1" si="119"/>
        <v>-3.6523871241894705E-2</v>
      </c>
      <c r="W963" s="17">
        <f t="shared" ca="1" si="116"/>
        <v>-0.20601487091042622</v>
      </c>
      <c r="X963" s="13">
        <f t="shared" ca="1" si="117"/>
        <v>0</v>
      </c>
      <c r="Y963" s="13">
        <f t="shared" ca="1" si="118"/>
        <v>0</v>
      </c>
      <c r="Z963">
        <f t="shared" ca="1" si="120"/>
        <v>1</v>
      </c>
      <c r="AA963">
        <f t="shared" ca="1" si="121"/>
        <v>0</v>
      </c>
      <c r="AB963" s="24">
        <f t="shared" ca="1" si="122"/>
        <v>-0.20601487091042622</v>
      </c>
      <c r="AC963" s="24">
        <f t="shared" ca="1" si="123"/>
        <v>0</v>
      </c>
    </row>
    <row r="964" spans="3:29" x14ac:dyDescent="0.25">
      <c r="C964" s="6">
        <v>957</v>
      </c>
      <c r="D964" s="37">
        <v>43367</v>
      </c>
      <c r="E964" s="39">
        <v>25.155000000000001</v>
      </c>
      <c r="F964" s="39">
        <v>2.2579233910169161</v>
      </c>
      <c r="G964" s="39">
        <v>79.877810783832459</v>
      </c>
      <c r="H964" s="39">
        <v>77.775617343962665</v>
      </c>
      <c r="I964" s="10">
        <v>0</v>
      </c>
      <c r="J964" s="40">
        <v>0</v>
      </c>
      <c r="K964" s="40">
        <v>0</v>
      </c>
      <c r="L964" s="40">
        <v>0</v>
      </c>
      <c r="M964" s="40">
        <v>0</v>
      </c>
      <c r="N964" s="40">
        <v>0</v>
      </c>
      <c r="O964" s="40">
        <v>0</v>
      </c>
      <c r="P964" s="40">
        <v>0</v>
      </c>
      <c r="Q964" s="40">
        <v>1</v>
      </c>
      <c r="R964" s="40">
        <v>0</v>
      </c>
      <c r="S964" s="40">
        <v>0</v>
      </c>
      <c r="T964" s="29">
        <f t="array" aca="1" ref="T964" ca="1">+fair_value_gap(OFFSET(S963,0,0,-1*$I$5,-1*$Z$1),OFFSET(E963,0,0,-1*$I$5,1),F964:S964,0)</f>
        <v>25.165265822076517</v>
      </c>
      <c r="U964" s="9" cm="1">
        <f t="array" aca="1" ref="U964" ca="1">z_score_diff(OFFSET(T964,0,0,$I$5*-1,1),OFFSET(E964,0,0,$I$5*-1,1))</f>
        <v>-4.3420041442456814E-3</v>
      </c>
      <c r="V964" s="9">
        <f t="shared" ca="1" si="119"/>
        <v>-3.3871649610894845E-2</v>
      </c>
      <c r="W964" s="17">
        <f t="shared" ca="1" si="116"/>
        <v>-0.19111382262553891</v>
      </c>
      <c r="X964" s="13">
        <f t="shared" ca="1" si="117"/>
        <v>0</v>
      </c>
      <c r="Y964" s="13">
        <f t="shared" ca="1" si="118"/>
        <v>0</v>
      </c>
      <c r="Z964">
        <f t="shared" ca="1" si="120"/>
        <v>1</v>
      </c>
      <c r="AA964">
        <f t="shared" ca="1" si="121"/>
        <v>0</v>
      </c>
      <c r="AB964" s="24">
        <f t="shared" ca="1" si="122"/>
        <v>-0.19111382262553891</v>
      </c>
      <c r="AC964" s="24">
        <f t="shared" ca="1" si="123"/>
        <v>0</v>
      </c>
    </row>
    <row r="965" spans="3:29" x14ac:dyDescent="0.25">
      <c r="C965" s="6">
        <v>958</v>
      </c>
      <c r="D965" s="37">
        <v>43368</v>
      </c>
      <c r="E965" s="39">
        <v>25.213000000000001</v>
      </c>
      <c r="F965" s="39">
        <v>2.2479399276679422</v>
      </c>
      <c r="G965" s="39">
        <v>80.11051542409966</v>
      </c>
      <c r="H965" s="39">
        <v>76.926623649234003</v>
      </c>
      <c r="I965" s="10">
        <v>0</v>
      </c>
      <c r="J965" s="40">
        <v>0</v>
      </c>
      <c r="K965" s="40">
        <v>0</v>
      </c>
      <c r="L965" s="40">
        <v>0</v>
      </c>
      <c r="M965" s="40">
        <v>0</v>
      </c>
      <c r="N965" s="40">
        <v>0</v>
      </c>
      <c r="O965" s="40">
        <v>0</v>
      </c>
      <c r="P965" s="40">
        <v>0</v>
      </c>
      <c r="Q965" s="40">
        <v>1</v>
      </c>
      <c r="R965" s="40">
        <v>0</v>
      </c>
      <c r="S965" s="40">
        <v>0</v>
      </c>
      <c r="T965" s="29">
        <f t="array" aca="1" ref="T965" ca="1">+fair_value_gap(OFFSET(S964,0,0,-1*$I$5,-1*$Z$1),OFFSET(E964,0,0,-1*$I$5,1),F965:S965,0)</f>
        <v>25.210464139552428</v>
      </c>
      <c r="U965" s="9" cm="1">
        <f t="array" aca="1" ref="U965" ca="1">z_score_diff(OFFSET(T965,0,0,$I$5*-1,1),OFFSET(E965,0,0,$I$5*-1,1))</f>
        <v>-8.4499630637830947E-3</v>
      </c>
      <c r="V965" s="9">
        <f t="shared" ca="1" si="119"/>
        <v>-3.2396156833061532E-2</v>
      </c>
      <c r="W965" s="17">
        <f t="shared" ca="1" si="116"/>
        <v>-0.20202011620986199</v>
      </c>
      <c r="X965" s="13">
        <f t="shared" ca="1" si="117"/>
        <v>0</v>
      </c>
      <c r="Y965" s="13">
        <f t="shared" ca="1" si="118"/>
        <v>0</v>
      </c>
      <c r="Z965">
        <f t="shared" ca="1" si="120"/>
        <v>1</v>
      </c>
      <c r="AA965">
        <f t="shared" ca="1" si="121"/>
        <v>0</v>
      </c>
      <c r="AB965" s="24">
        <f t="shared" ca="1" si="122"/>
        <v>-0.20202011620986199</v>
      </c>
      <c r="AC965" s="24">
        <f t="shared" ca="1" si="123"/>
        <v>0</v>
      </c>
    </row>
    <row r="966" spans="3:29" x14ac:dyDescent="0.25">
      <c r="C966" s="6">
        <v>959</v>
      </c>
      <c r="D966" s="37">
        <v>43369</v>
      </c>
      <c r="E966" s="39">
        <v>24.702000000000002</v>
      </c>
      <c r="F966" s="39">
        <v>2.2409122383611457</v>
      </c>
      <c r="G966" s="39">
        <v>78.250147947347216</v>
      </c>
      <c r="H966" s="39">
        <v>76.897223358290859</v>
      </c>
      <c r="I966" s="10">
        <v>0</v>
      </c>
      <c r="J966" s="40">
        <v>0</v>
      </c>
      <c r="K966" s="40">
        <v>0</v>
      </c>
      <c r="L966" s="40">
        <v>0</v>
      </c>
      <c r="M966" s="40">
        <v>0</v>
      </c>
      <c r="N966" s="40">
        <v>0</v>
      </c>
      <c r="O966" s="40">
        <v>0</v>
      </c>
      <c r="P966" s="40">
        <v>0</v>
      </c>
      <c r="Q966" s="40">
        <v>1</v>
      </c>
      <c r="R966" s="40">
        <v>0</v>
      </c>
      <c r="S966" s="40">
        <v>0</v>
      </c>
      <c r="T966" s="29">
        <f t="array" aca="1" ref="T966" ca="1">+fair_value_gap(OFFSET(S965,0,0,-1*$I$5,-1*$Z$1),OFFSET(E965,0,0,-1*$I$5,1),F966:S966,0)</f>
        <v>24.63659395824909</v>
      </c>
      <c r="U966" s="9" cm="1">
        <f t="array" aca="1" ref="U966" ca="1">z_score_diff(OFFSET(T966,0,0,$I$5*-1,1),OFFSET(E966,0,0,$I$5*-1,1))</f>
        <v>-2.5597967059308946E-2</v>
      </c>
      <c r="V966" s="9">
        <f t="shared" ca="1" si="119"/>
        <v>-3.1748864684404299E-2</v>
      </c>
      <c r="W966" s="17">
        <f t="shared" ca="1" si="116"/>
        <v>-0.20720971922920778</v>
      </c>
      <c r="X966" s="13">
        <f t="shared" ca="1" si="117"/>
        <v>0</v>
      </c>
      <c r="Y966" s="13">
        <f t="shared" ca="1" si="118"/>
        <v>0</v>
      </c>
      <c r="Z966">
        <f t="shared" ca="1" si="120"/>
        <v>1</v>
      </c>
      <c r="AA966">
        <f t="shared" ca="1" si="121"/>
        <v>0</v>
      </c>
      <c r="AB966" s="24">
        <f t="shared" ca="1" si="122"/>
        <v>-0.20720971922920778</v>
      </c>
      <c r="AC966" s="24">
        <f t="shared" ca="1" si="123"/>
        <v>0</v>
      </c>
    </row>
    <row r="967" spans="3:29" x14ac:dyDescent="0.25">
      <c r="C967" s="6">
        <v>960</v>
      </c>
      <c r="D967" s="37">
        <v>43370</v>
      </c>
      <c r="E967" s="39">
        <v>24.239000000000001</v>
      </c>
      <c r="F967" s="39">
        <v>2.0519969992301945</v>
      </c>
      <c r="G967" s="39">
        <v>77.255399136402076</v>
      </c>
      <c r="H967" s="39">
        <v>77.429994295922313</v>
      </c>
      <c r="I967" s="10">
        <v>0</v>
      </c>
      <c r="J967" s="40">
        <v>0</v>
      </c>
      <c r="K967" s="40">
        <v>0</v>
      </c>
      <c r="L967" s="40">
        <v>0</v>
      </c>
      <c r="M967" s="40">
        <v>0</v>
      </c>
      <c r="N967" s="40">
        <v>0</v>
      </c>
      <c r="O967" s="40">
        <v>0</v>
      </c>
      <c r="P967" s="40">
        <v>0</v>
      </c>
      <c r="Q967" s="40">
        <v>1</v>
      </c>
      <c r="R967" s="40">
        <v>0</v>
      </c>
      <c r="S967" s="40">
        <v>0</v>
      </c>
      <c r="T967" s="29">
        <f t="array" aca="1" ref="T967" ca="1">+fair_value_gap(OFFSET(S966,0,0,-1*$I$5,-1*$Z$1),OFFSET(E966,0,0,-1*$I$5,1),F967:S967,0)</f>
        <v>24.206673743925254</v>
      </c>
      <c r="U967" s="9" cm="1">
        <f t="array" aca="1" ref="U967" ca="1">z_score_diff(OFFSET(T967,0,0,$I$5*-1,1),OFFSET(E967,0,0,$I$5*-1,1))</f>
        <v>-1.0669328345883411E-2</v>
      </c>
      <c r="V967" s="9">
        <f t="shared" ca="1" si="119"/>
        <v>-3.174164137429035E-2</v>
      </c>
      <c r="W967" s="17">
        <f t="shared" ref="W967:W1030" ca="1" si="124">+LN(OFFSET(E967,$W$3,0,1,1)/E967)</f>
        <v>-0.18213179799332094</v>
      </c>
      <c r="X967" s="13">
        <f t="shared" ca="1" si="117"/>
        <v>0</v>
      </c>
      <c r="Y967" s="13">
        <f t="shared" ca="1" si="118"/>
        <v>0</v>
      </c>
      <c r="Z967">
        <f t="shared" ca="1" si="120"/>
        <v>1</v>
      </c>
      <c r="AA967">
        <f t="shared" ca="1" si="121"/>
        <v>0</v>
      </c>
      <c r="AB967" s="24">
        <f t="shared" ca="1" si="122"/>
        <v>-0.18213179799332094</v>
      </c>
      <c r="AC967" s="24">
        <f t="shared" ca="1" si="123"/>
        <v>0</v>
      </c>
    </row>
    <row r="968" spans="3:29" x14ac:dyDescent="0.25">
      <c r="C968" s="6">
        <v>961</v>
      </c>
      <c r="D968" s="37">
        <v>43371</v>
      </c>
      <c r="E968" s="39">
        <v>22.321000000000002</v>
      </c>
      <c r="F968" s="39">
        <v>2.0659683950269248</v>
      </c>
      <c r="G968" s="39">
        <v>66.854969886138832</v>
      </c>
      <c r="H968" s="39">
        <v>78.180636606730914</v>
      </c>
      <c r="I968" s="10">
        <v>0</v>
      </c>
      <c r="J968" s="40">
        <v>0</v>
      </c>
      <c r="K968" s="40">
        <v>0</v>
      </c>
      <c r="L968" s="40">
        <v>0</v>
      </c>
      <c r="M968" s="40">
        <v>0</v>
      </c>
      <c r="N968" s="40">
        <v>0</v>
      </c>
      <c r="O968" s="40">
        <v>0</v>
      </c>
      <c r="P968" s="40">
        <v>0</v>
      </c>
      <c r="Q968" s="40">
        <v>1</v>
      </c>
      <c r="R968" s="40">
        <v>0</v>
      </c>
      <c r="S968" s="40">
        <v>0</v>
      </c>
      <c r="T968" s="29">
        <f t="array" aca="1" ref="T968" ca="1">+fair_value_gap(OFFSET(S967,0,0,-1*$I$5,-1*$Z$1),OFFSET(E967,0,0,-1*$I$5,1),F968:S968,0)</f>
        <v>21.055791198729654</v>
      </c>
      <c r="U968" s="9" cm="1">
        <f t="array" aca="1" ref="U968" ca="1">z_score_diff(OFFSET(T968,0,0,$I$5*-1,1),OFFSET(E968,0,0,$I$5*-1,1))</f>
        <v>-0.41637315881323222</v>
      </c>
      <c r="V968" s="9">
        <f t="shared" ca="1" si="119"/>
        <v>-4.4262504760119163E-2</v>
      </c>
      <c r="W968" s="17">
        <f t="shared" ca="1" si="124"/>
        <v>-0.10954569706767703</v>
      </c>
      <c r="X968" s="13">
        <f t="shared" ca="1" si="117"/>
        <v>0</v>
      </c>
      <c r="Y968" s="13">
        <f t="shared" ca="1" si="118"/>
        <v>0</v>
      </c>
      <c r="Z968">
        <f t="shared" ca="1" si="120"/>
        <v>1</v>
      </c>
      <c r="AA968">
        <f t="shared" ca="1" si="121"/>
        <v>0</v>
      </c>
      <c r="AB968" s="24">
        <f t="shared" ca="1" si="122"/>
        <v>-0.10954569706767703</v>
      </c>
      <c r="AC968" s="24">
        <f t="shared" ca="1" si="123"/>
        <v>0</v>
      </c>
    </row>
    <row r="969" spans="3:29" x14ac:dyDescent="0.25">
      <c r="C969" s="6">
        <v>962</v>
      </c>
      <c r="D969" s="37">
        <v>43374</v>
      </c>
      <c r="E969" s="39">
        <v>23.018000000000001</v>
      </c>
      <c r="F969" s="39">
        <v>2.0649052386802027</v>
      </c>
      <c r="G969" s="39">
        <v>68.910406551558808</v>
      </c>
      <c r="H969" s="39">
        <v>79.334102982321355</v>
      </c>
      <c r="I969" s="10">
        <v>0</v>
      </c>
      <c r="J969" s="40">
        <v>0</v>
      </c>
      <c r="K969" s="40">
        <v>0</v>
      </c>
      <c r="L969" s="40">
        <v>0</v>
      </c>
      <c r="M969" s="40">
        <v>0</v>
      </c>
      <c r="N969" s="40">
        <v>0</v>
      </c>
      <c r="O969" s="40">
        <v>0</v>
      </c>
      <c r="P969" s="40">
        <v>0</v>
      </c>
      <c r="Q969" s="40">
        <v>0</v>
      </c>
      <c r="R969" s="40">
        <v>1</v>
      </c>
      <c r="S969" s="40">
        <v>0</v>
      </c>
      <c r="T969" s="29">
        <f t="array" aca="1" ref="T969" ca="1">+fair_value_gap(OFFSET(S968,0,0,-1*$I$5,-1*$Z$1),OFFSET(E968,0,0,-1*$I$5,1),F969:S969,0)</f>
        <v>22.643978448054476</v>
      </c>
      <c r="U969" s="9" cm="1">
        <f t="array" aca="1" ref="U969" ca="1">z_score_diff(OFFSET(T969,0,0,$I$5*-1,1),OFFSET(E969,0,0,$I$5*-1,1))</f>
        <v>-0.11373304940581108</v>
      </c>
      <c r="V969" s="9">
        <f t="shared" ca="1" si="119"/>
        <v>-4.5253988998060851E-2</v>
      </c>
      <c r="W969" s="17">
        <f t="shared" ca="1" si="124"/>
        <v>-0.15702938125217089</v>
      </c>
      <c r="X969" s="13">
        <f t="shared" ref="X969:X1032" ca="1" si="125">+X968</f>
        <v>0</v>
      </c>
      <c r="Y969" s="13">
        <f t="shared" ref="Y969:Y1032" ca="1" si="126">+Y968</f>
        <v>0</v>
      </c>
      <c r="Z969">
        <f t="shared" ca="1" si="120"/>
        <v>1</v>
      </c>
      <c r="AA969">
        <f t="shared" ca="1" si="121"/>
        <v>0</v>
      </c>
      <c r="AB969" s="24">
        <f t="shared" ca="1" si="122"/>
        <v>-0.15702938125217089</v>
      </c>
      <c r="AC969" s="24">
        <f t="shared" ca="1" si="123"/>
        <v>0</v>
      </c>
    </row>
    <row r="970" spans="3:29" x14ac:dyDescent="0.25">
      <c r="C970" s="6">
        <v>963</v>
      </c>
      <c r="D970" s="37">
        <v>43375</v>
      </c>
      <c r="E970" s="39">
        <v>22.808</v>
      </c>
      <c r="F970" s="39">
        <v>2.0742205197907655</v>
      </c>
      <c r="G970" s="39">
        <v>68.546430579409872</v>
      </c>
      <c r="H970" s="39">
        <v>79.410189876024546</v>
      </c>
      <c r="I970" s="10">
        <v>0</v>
      </c>
      <c r="J970" s="40">
        <v>0</v>
      </c>
      <c r="K970" s="40">
        <v>0</v>
      </c>
      <c r="L970" s="40">
        <v>0</v>
      </c>
      <c r="M970" s="40">
        <v>0</v>
      </c>
      <c r="N970" s="40">
        <v>0</v>
      </c>
      <c r="O970" s="40">
        <v>0</v>
      </c>
      <c r="P970" s="40">
        <v>0</v>
      </c>
      <c r="Q970" s="40">
        <v>0</v>
      </c>
      <c r="R970" s="40">
        <v>1</v>
      </c>
      <c r="S970" s="40">
        <v>0</v>
      </c>
      <c r="T970" s="29">
        <f t="array" aca="1" ref="T970" ca="1">+fair_value_gap(OFFSET(S969,0,0,-1*$I$5,-1*$Z$1),OFFSET(E969,0,0,-1*$I$5,1),F970:S970,0)</f>
        <v>22.741666613377504</v>
      </c>
      <c r="U970" s="9" cm="1">
        <f t="array" aca="1" ref="U970" ca="1">z_score_diff(OFFSET(T970,0,0,$I$5*-1,1),OFFSET(E970,0,0,$I$5*-1,1))</f>
        <v>-7.2058740518656794E-3</v>
      </c>
      <c r="V970" s="9">
        <f t="shared" ca="1" si="119"/>
        <v>-4.2895633066694021E-2</v>
      </c>
      <c r="W970" s="17">
        <f t="shared" ca="1" si="124"/>
        <v>-0.154136065178996</v>
      </c>
      <c r="X970" s="13">
        <f t="shared" ca="1" si="125"/>
        <v>0</v>
      </c>
      <c r="Y970" s="13">
        <f t="shared" ca="1" si="126"/>
        <v>0</v>
      </c>
      <c r="Z970">
        <f t="shared" ca="1" si="120"/>
        <v>1</v>
      </c>
      <c r="AA970">
        <f t="shared" ca="1" si="121"/>
        <v>0</v>
      </c>
      <c r="AB970" s="24">
        <f t="shared" ca="1" si="122"/>
        <v>-0.154136065178996</v>
      </c>
      <c r="AC970" s="24">
        <f t="shared" ca="1" si="123"/>
        <v>0</v>
      </c>
    </row>
    <row r="971" spans="3:29" x14ac:dyDescent="0.25">
      <c r="C971" s="6">
        <v>964</v>
      </c>
      <c r="D971" s="37">
        <v>43376</v>
      </c>
      <c r="E971" s="39">
        <v>23.045000000000002</v>
      </c>
      <c r="F971" s="39">
        <v>2.0870908705108482</v>
      </c>
      <c r="G971" s="39">
        <v>69.211182442355295</v>
      </c>
      <c r="H971" s="39">
        <v>81.146225664420996</v>
      </c>
      <c r="I971" s="10">
        <v>0</v>
      </c>
      <c r="J971" s="40">
        <v>0</v>
      </c>
      <c r="K971" s="40">
        <v>0</v>
      </c>
      <c r="L971" s="40">
        <v>0</v>
      </c>
      <c r="M971" s="40">
        <v>0</v>
      </c>
      <c r="N971" s="40">
        <v>0</v>
      </c>
      <c r="O971" s="40">
        <v>0</v>
      </c>
      <c r="P971" s="40">
        <v>0</v>
      </c>
      <c r="Q971" s="40">
        <v>0</v>
      </c>
      <c r="R971" s="40">
        <v>1</v>
      </c>
      <c r="S971" s="40">
        <v>0</v>
      </c>
      <c r="T971" s="29">
        <f t="array" aca="1" ref="T971" ca="1">+fair_value_gap(OFFSET(S970,0,0,-1*$I$5,-1*$Z$1),OFFSET(E970,0,0,-1*$I$5,1),F971:S971,0)</f>
        <v>23.034562500354667</v>
      </c>
      <c r="U971" s="9" cm="1">
        <f t="array" aca="1" ref="U971" ca="1">z_score_diff(OFFSET(T971,0,0,$I$5*-1,1),OFFSET(E971,0,0,$I$5*-1,1))</f>
        <v>1.0405016866168015E-2</v>
      </c>
      <c r="V971" s="9">
        <f t="shared" ref="V971:V1034" ca="1" si="127">+IF(ISERROR(AVERAGE(OFFSET(U971,0,0,$V$5*-1,1))),"",AVERAGE(OFFSET(U971,0,0,$V$5*-1,1)))</f>
        <v>-3.9055354451267989E-2</v>
      </c>
      <c r="W971" s="17">
        <f t="shared" ca="1" si="124"/>
        <v>-0.16518990880412268</v>
      </c>
      <c r="X971" s="13">
        <f t="shared" ca="1" si="125"/>
        <v>0</v>
      </c>
      <c r="Y971" s="13">
        <f t="shared" ca="1" si="126"/>
        <v>0</v>
      </c>
      <c r="Z971">
        <f t="shared" ref="Z971:Z1034" ca="1" si="128">+IF(V971="","",IF(V971&lt;X971,1,0))</f>
        <v>1</v>
      </c>
      <c r="AA971">
        <f t="shared" ref="AA971:AA1034" ca="1" si="129">+IF(V971="","",IF(V971&gt;Y971,1,0))</f>
        <v>0</v>
      </c>
      <c r="AB971" s="24">
        <f t="shared" ref="AB971:AB1034" ca="1" si="130">+IF(ISERROR(Z971*W971),"",Z971*W971)</f>
        <v>-0.16518990880412268</v>
      </c>
      <c r="AC971" s="24">
        <f t="shared" ref="AC971:AC1034" ca="1" si="131">+IF(ISERROR(AA971*W971),"",AA971*W971)</f>
        <v>0</v>
      </c>
    </row>
    <row r="972" spans="3:29" x14ac:dyDescent="0.25">
      <c r="C972" s="6">
        <v>965</v>
      </c>
      <c r="D972" s="37">
        <v>43377</v>
      </c>
      <c r="E972" s="39">
        <v>23.387</v>
      </c>
      <c r="F972" s="39">
        <v>2.0835742010075151</v>
      </c>
      <c r="G972" s="39">
        <v>70.040098786414205</v>
      </c>
      <c r="H972" s="39">
        <v>81.881245354694855</v>
      </c>
      <c r="I972" s="10">
        <v>0</v>
      </c>
      <c r="J972" s="40">
        <v>0</v>
      </c>
      <c r="K972" s="40">
        <v>0</v>
      </c>
      <c r="L972" s="40">
        <v>0</v>
      </c>
      <c r="M972" s="40">
        <v>0</v>
      </c>
      <c r="N972" s="40">
        <v>0</v>
      </c>
      <c r="O972" s="40">
        <v>0</v>
      </c>
      <c r="P972" s="40">
        <v>0</v>
      </c>
      <c r="Q972" s="40">
        <v>0</v>
      </c>
      <c r="R972" s="40">
        <v>1</v>
      </c>
      <c r="S972" s="40">
        <v>0</v>
      </c>
      <c r="T972" s="29">
        <f t="array" aca="1" ref="T972" ca="1">+fair_value_gap(OFFSET(S971,0,0,-1*$I$5,-1*$Z$1),OFFSET(E971,0,0,-1*$I$5,1),F972:S972,0)</f>
        <v>23.307986422779067</v>
      </c>
      <c r="U972" s="9" cm="1">
        <f t="array" aca="1" ref="U972" ca="1">z_score_diff(OFFSET(T972,0,0,$I$5*-1,1),OFFSET(E972,0,0,$I$5*-1,1))</f>
        <v>-1.4646838183768995E-2</v>
      </c>
      <c r="V972" s="9">
        <f t="shared" ca="1" si="127"/>
        <v>-3.7394158363807946E-2</v>
      </c>
      <c r="W972" s="17">
        <f t="shared" ca="1" si="124"/>
        <v>-0.1718662916043226</v>
      </c>
      <c r="X972" s="13">
        <f t="shared" ca="1" si="125"/>
        <v>0</v>
      </c>
      <c r="Y972" s="13">
        <f t="shared" ca="1" si="126"/>
        <v>0</v>
      </c>
      <c r="Z972">
        <f t="shared" ca="1" si="128"/>
        <v>1</v>
      </c>
      <c r="AA972">
        <f t="shared" ca="1" si="129"/>
        <v>0</v>
      </c>
      <c r="AB972" s="24">
        <f t="shared" ca="1" si="130"/>
        <v>-0.1718662916043226</v>
      </c>
      <c r="AC972" s="24">
        <f t="shared" ca="1" si="131"/>
        <v>0</v>
      </c>
    </row>
    <row r="973" spans="3:29" x14ac:dyDescent="0.25">
      <c r="C973" s="6">
        <v>966</v>
      </c>
      <c r="D973" s="37">
        <v>43378</v>
      </c>
      <c r="E973" s="39">
        <v>23.504999999999999</v>
      </c>
      <c r="F973" s="39">
        <v>2.0914340307255177</v>
      </c>
      <c r="G973" s="39">
        <v>70.32579158296538</v>
      </c>
      <c r="H973" s="39">
        <v>81.677305341943281</v>
      </c>
      <c r="I973" s="10">
        <v>0</v>
      </c>
      <c r="J973" s="40">
        <v>0</v>
      </c>
      <c r="K973" s="40">
        <v>0</v>
      </c>
      <c r="L973" s="40">
        <v>0</v>
      </c>
      <c r="M973" s="40">
        <v>0</v>
      </c>
      <c r="N973" s="40">
        <v>0</v>
      </c>
      <c r="O973" s="40">
        <v>0</v>
      </c>
      <c r="P973" s="40">
        <v>0</v>
      </c>
      <c r="Q973" s="40">
        <v>0</v>
      </c>
      <c r="R973" s="40">
        <v>1</v>
      </c>
      <c r="S973" s="40">
        <v>0</v>
      </c>
      <c r="T973" s="29">
        <f t="array" aca="1" ref="T973" ca="1">+fair_value_gap(OFFSET(S972,0,0,-1*$I$5,-1*$Z$1),OFFSET(E972,0,0,-1*$I$5,1),F973:S973,0)</f>
        <v>23.403128779304893</v>
      </c>
      <c r="U973" s="9" cm="1">
        <f t="array" aca="1" ref="U973" ca="1">z_score_diff(OFFSET(T973,0,0,$I$5*-1,1),OFFSET(E973,0,0,$I$5*-1,1))</f>
        <v>-2.2684316074119693E-2</v>
      </c>
      <c r="V973" s="9">
        <f t="shared" ca="1" si="127"/>
        <v>-3.6159531812799524E-2</v>
      </c>
      <c r="W973" s="17">
        <f t="shared" ca="1" si="124"/>
        <v>-0.19405573685428137</v>
      </c>
      <c r="X973" s="13">
        <f t="shared" ca="1" si="125"/>
        <v>0</v>
      </c>
      <c r="Y973" s="13">
        <f t="shared" ca="1" si="126"/>
        <v>0</v>
      </c>
      <c r="Z973">
        <f t="shared" ca="1" si="128"/>
        <v>1</v>
      </c>
      <c r="AA973">
        <f t="shared" ca="1" si="129"/>
        <v>0</v>
      </c>
      <c r="AB973" s="24">
        <f t="shared" ca="1" si="130"/>
        <v>-0.19405573685428137</v>
      </c>
      <c r="AC973" s="24">
        <f t="shared" ca="1" si="131"/>
        <v>0</v>
      </c>
    </row>
    <row r="974" spans="3:29" x14ac:dyDescent="0.25">
      <c r="C974" s="6">
        <v>967</v>
      </c>
      <c r="D974" s="37">
        <v>43381</v>
      </c>
      <c r="E974" s="39">
        <v>23.094999999999999</v>
      </c>
      <c r="F974" s="39">
        <v>2.1099595053261999</v>
      </c>
      <c r="G974" s="39">
        <v>68.430875779106827</v>
      </c>
      <c r="H974" s="39">
        <v>81.336870342574684</v>
      </c>
      <c r="I974" s="10">
        <v>0</v>
      </c>
      <c r="J974" s="40">
        <v>0</v>
      </c>
      <c r="K974" s="40">
        <v>0</v>
      </c>
      <c r="L974" s="40">
        <v>0</v>
      </c>
      <c r="M974" s="40">
        <v>0</v>
      </c>
      <c r="N974" s="40">
        <v>0</v>
      </c>
      <c r="O974" s="40">
        <v>0</v>
      </c>
      <c r="P974" s="40">
        <v>0</v>
      </c>
      <c r="Q974" s="40">
        <v>0</v>
      </c>
      <c r="R974" s="40">
        <v>1</v>
      </c>
      <c r="S974" s="40">
        <v>0</v>
      </c>
      <c r="T974" s="29">
        <f t="array" aca="1" ref="T974" ca="1">+fair_value_gap(OFFSET(S973,0,0,-1*$I$5,-1*$Z$1),OFFSET(E973,0,0,-1*$I$5,1),F974:S974,0)</f>
        <v>22.858337884772517</v>
      </c>
      <c r="U974" s="9" cm="1">
        <f t="array" aca="1" ref="U974" ca="1">z_score_diff(OFFSET(T974,0,0,$I$5*-1,1),OFFSET(E974,0,0,$I$5*-1,1))</f>
        <v>-6.5060055591069199E-2</v>
      </c>
      <c r="V974" s="9">
        <f t="shared" ca="1" si="127"/>
        <v>-4.1271329172178517E-2</v>
      </c>
      <c r="W974" s="17">
        <f t="shared" ca="1" si="124"/>
        <v>-0.17259203446532137</v>
      </c>
      <c r="X974" s="13">
        <f t="shared" ca="1" si="125"/>
        <v>0</v>
      </c>
      <c r="Y974" s="13">
        <f t="shared" ca="1" si="126"/>
        <v>0</v>
      </c>
      <c r="Z974">
        <f t="shared" ca="1" si="128"/>
        <v>1</v>
      </c>
      <c r="AA974">
        <f t="shared" ca="1" si="129"/>
        <v>0</v>
      </c>
      <c r="AB974" s="24">
        <f t="shared" ca="1" si="130"/>
        <v>-0.17259203446532137</v>
      </c>
      <c r="AC974" s="24">
        <f t="shared" ca="1" si="131"/>
        <v>0</v>
      </c>
    </row>
    <row r="975" spans="3:29" x14ac:dyDescent="0.25">
      <c r="C975" s="6">
        <v>968</v>
      </c>
      <c r="D975" s="37">
        <v>43382</v>
      </c>
      <c r="E975" s="39">
        <v>22.774999999999999</v>
      </c>
      <c r="F975" s="39">
        <v>2.1177278045835868</v>
      </c>
      <c r="G975" s="39">
        <v>67.590197741093931</v>
      </c>
      <c r="H975" s="39">
        <v>80.169352071213879</v>
      </c>
      <c r="I975" s="10">
        <v>0</v>
      </c>
      <c r="J975" s="40">
        <v>0</v>
      </c>
      <c r="K975" s="40">
        <v>0</v>
      </c>
      <c r="L975" s="40">
        <v>0</v>
      </c>
      <c r="M975" s="40">
        <v>0</v>
      </c>
      <c r="N975" s="40">
        <v>0</v>
      </c>
      <c r="O975" s="40">
        <v>0</v>
      </c>
      <c r="P975" s="40">
        <v>0</v>
      </c>
      <c r="Q975" s="40">
        <v>0</v>
      </c>
      <c r="R975" s="40">
        <v>1</v>
      </c>
      <c r="S975" s="40">
        <v>0</v>
      </c>
      <c r="T975" s="29">
        <f t="array" aca="1" ref="T975" ca="1">+fair_value_gap(OFFSET(S974,0,0,-1*$I$5,-1*$Z$1),OFFSET(E974,0,0,-1*$I$5,1),F975:S975,0)</f>
        <v>22.595572621599565</v>
      </c>
      <c r="U975" s="9" cm="1">
        <f t="array" aca="1" ref="U975" ca="1">z_score_diff(OFFSET(T975,0,0,$I$5*-1,1),OFFSET(E975,0,0,$I$5*-1,1))</f>
        <v>-4.348314030269429E-2</v>
      </c>
      <c r="V975" s="9">
        <f t="shared" ca="1" si="127"/>
        <v>-3.8792727951530187E-2</v>
      </c>
      <c r="W975" s="17">
        <f t="shared" ca="1" si="124"/>
        <v>-0.14413151899317234</v>
      </c>
      <c r="X975" s="13">
        <f t="shared" ca="1" si="125"/>
        <v>0</v>
      </c>
      <c r="Y975" s="13">
        <f t="shared" ca="1" si="126"/>
        <v>0</v>
      </c>
      <c r="Z975">
        <f t="shared" ca="1" si="128"/>
        <v>1</v>
      </c>
      <c r="AA975">
        <f t="shared" ca="1" si="129"/>
        <v>0</v>
      </c>
      <c r="AB975" s="24">
        <f t="shared" ca="1" si="130"/>
        <v>-0.14413151899317234</v>
      </c>
      <c r="AC975" s="24">
        <f t="shared" ca="1" si="131"/>
        <v>0</v>
      </c>
    </row>
    <row r="976" spans="3:29" x14ac:dyDescent="0.25">
      <c r="C976" s="6">
        <v>969</v>
      </c>
      <c r="D976" s="37">
        <v>43383</v>
      </c>
      <c r="E976" s="39">
        <v>22.321000000000002</v>
      </c>
      <c r="F976" s="39">
        <v>2.1077457181261186</v>
      </c>
      <c r="G976" s="39">
        <v>66.067439920342309</v>
      </c>
      <c r="H976" s="39">
        <v>78.380763109502169</v>
      </c>
      <c r="I976" s="10">
        <v>0</v>
      </c>
      <c r="J976" s="40">
        <v>0</v>
      </c>
      <c r="K976" s="40">
        <v>0</v>
      </c>
      <c r="L976" s="40">
        <v>0</v>
      </c>
      <c r="M976" s="40">
        <v>0</v>
      </c>
      <c r="N976" s="40">
        <v>0</v>
      </c>
      <c r="O976" s="40">
        <v>0</v>
      </c>
      <c r="P976" s="40">
        <v>0</v>
      </c>
      <c r="Q976" s="40">
        <v>0</v>
      </c>
      <c r="R976" s="40">
        <v>1</v>
      </c>
      <c r="S976" s="40">
        <v>0</v>
      </c>
      <c r="T976" s="29">
        <f t="array" aca="1" ref="T976" ca="1">+fair_value_gap(OFFSET(S975,0,0,-1*$I$5,-1*$Z$1),OFFSET(E975,0,0,-1*$I$5,1),F976:S976,0)</f>
        <v>22.088229620626905</v>
      </c>
      <c r="U976" s="9" cm="1">
        <f t="array" aca="1" ref="U976" ca="1">z_score_diff(OFFSET(T976,0,0,$I$5*-1,1),OFFSET(E976,0,0,$I$5*-1,1))</f>
        <v>-5.8394985568104296E-2</v>
      </c>
      <c r="V976" s="9">
        <f t="shared" ca="1" si="127"/>
        <v>-3.7596210729307293E-2</v>
      </c>
      <c r="W976" s="17">
        <f t="shared" ca="1" si="124"/>
        <v>-0.13670448238010194</v>
      </c>
      <c r="X976" s="13">
        <f t="shared" ca="1" si="125"/>
        <v>0</v>
      </c>
      <c r="Y976" s="13">
        <f t="shared" ca="1" si="126"/>
        <v>0</v>
      </c>
      <c r="Z976">
        <f t="shared" ca="1" si="128"/>
        <v>1</v>
      </c>
      <c r="AA976">
        <f t="shared" ca="1" si="129"/>
        <v>0</v>
      </c>
      <c r="AB976" s="24">
        <f t="shared" ca="1" si="130"/>
        <v>-0.13670448238010194</v>
      </c>
      <c r="AC976" s="24">
        <f t="shared" ca="1" si="131"/>
        <v>0</v>
      </c>
    </row>
    <row r="977" spans="3:29" x14ac:dyDescent="0.25">
      <c r="C977" s="6">
        <v>970</v>
      </c>
      <c r="D977" s="37">
        <v>43384</v>
      </c>
      <c r="E977" s="39">
        <v>21.739000000000001</v>
      </c>
      <c r="F977" s="39">
        <v>2.1019537832706794</v>
      </c>
      <c r="G977" s="39">
        <v>64.422068527549882</v>
      </c>
      <c r="H977" s="39">
        <v>77.243930013635634</v>
      </c>
      <c r="I977" s="10">
        <v>0</v>
      </c>
      <c r="J977" s="40">
        <v>0</v>
      </c>
      <c r="K977" s="40">
        <v>0</v>
      </c>
      <c r="L977" s="40">
        <v>0</v>
      </c>
      <c r="M977" s="40">
        <v>0</v>
      </c>
      <c r="N977" s="40">
        <v>0</v>
      </c>
      <c r="O977" s="40">
        <v>0</v>
      </c>
      <c r="P977" s="40">
        <v>0</v>
      </c>
      <c r="Q977" s="40">
        <v>0</v>
      </c>
      <c r="R977" s="40">
        <v>1</v>
      </c>
      <c r="S977" s="40">
        <v>0</v>
      </c>
      <c r="T977" s="29">
        <f t="array" aca="1" ref="T977" ca="1">+fair_value_gap(OFFSET(S976,0,0,-1*$I$5,-1*$Z$1),OFFSET(E976,0,0,-1*$I$5,1),F977:S977,0)</f>
        <v>21.575006090706317</v>
      </c>
      <c r="U977" s="9" cm="1">
        <f t="array" aca="1" ref="U977" ca="1">z_score_diff(OFFSET(T977,0,0,$I$5*-1,1),OFFSET(E977,0,0,$I$5*-1,1))</f>
        <v>-3.1887517862952186E-2</v>
      </c>
      <c r="V977" s="9">
        <f t="shared" ca="1" si="127"/>
        <v>-3.5546106356142727E-2</v>
      </c>
      <c r="W977" s="17">
        <f t="shared" ca="1" si="124"/>
        <v>-0.10495681695465518</v>
      </c>
      <c r="X977" s="13">
        <f t="shared" ca="1" si="125"/>
        <v>0</v>
      </c>
      <c r="Y977" s="13">
        <f t="shared" ca="1" si="126"/>
        <v>0</v>
      </c>
      <c r="Z977">
        <f t="shared" ca="1" si="128"/>
        <v>1</v>
      </c>
      <c r="AA977">
        <f t="shared" ca="1" si="129"/>
        <v>0</v>
      </c>
      <c r="AB977" s="24">
        <f t="shared" ca="1" si="130"/>
        <v>-0.10495681695465518</v>
      </c>
      <c r="AC977" s="24">
        <f t="shared" ca="1" si="131"/>
        <v>0</v>
      </c>
    </row>
    <row r="978" spans="3:29" x14ac:dyDescent="0.25">
      <c r="C978" s="6">
        <v>971</v>
      </c>
      <c r="D978" s="37">
        <v>43385</v>
      </c>
      <c r="E978" s="39">
        <v>22.359000000000002</v>
      </c>
      <c r="F978" s="39">
        <v>2.1079822975527183</v>
      </c>
      <c r="G978" s="39">
        <v>66.163917349080606</v>
      </c>
      <c r="H978" s="39">
        <v>77.692795288116955</v>
      </c>
      <c r="I978" s="10">
        <v>0</v>
      </c>
      <c r="J978" s="40">
        <v>0</v>
      </c>
      <c r="K978" s="40">
        <v>0</v>
      </c>
      <c r="L978" s="40">
        <v>0</v>
      </c>
      <c r="M978" s="40">
        <v>0</v>
      </c>
      <c r="N978" s="40">
        <v>0</v>
      </c>
      <c r="O978" s="40">
        <v>0</v>
      </c>
      <c r="P978" s="40">
        <v>0</v>
      </c>
      <c r="Q978" s="40">
        <v>0</v>
      </c>
      <c r="R978" s="40">
        <v>1</v>
      </c>
      <c r="S978" s="40">
        <v>0</v>
      </c>
      <c r="T978" s="29">
        <f t="array" aca="1" ref="T978" ca="1">+fair_value_gap(OFFSET(S977,0,0,-1*$I$5,-1*$Z$1),OFFSET(E977,0,0,-1*$I$5,1),F978:S978,0)</f>
        <v>22.120900833745164</v>
      </c>
      <c r="U978" s="9" cm="1">
        <f t="array" aca="1" ref="U978" ca="1">z_score_diff(OFFSET(T978,0,0,$I$5*-1,1),OFFSET(E978,0,0,$I$5*-1,1))</f>
        <v>-5.9529620630464741E-2</v>
      </c>
      <c r="V978" s="9">
        <f t="shared" ca="1" si="127"/>
        <v>-3.3316754371282592E-2</v>
      </c>
      <c r="W978" s="17">
        <f t="shared" ca="1" si="124"/>
        <v>-0.15429977333898504</v>
      </c>
      <c r="X978" s="13">
        <f t="shared" ca="1" si="125"/>
        <v>0</v>
      </c>
      <c r="Y978" s="13">
        <f t="shared" ca="1" si="126"/>
        <v>0</v>
      </c>
      <c r="Z978">
        <f t="shared" ca="1" si="128"/>
        <v>1</v>
      </c>
      <c r="AA978">
        <f t="shared" ca="1" si="129"/>
        <v>0</v>
      </c>
      <c r="AB978" s="24">
        <f t="shared" ca="1" si="130"/>
        <v>-0.15429977333898504</v>
      </c>
      <c r="AC978" s="24">
        <f t="shared" ca="1" si="131"/>
        <v>0</v>
      </c>
    </row>
    <row r="979" spans="3:29" x14ac:dyDescent="0.25">
      <c r="C979" s="6">
        <v>972</v>
      </c>
      <c r="D979" s="37">
        <v>43388</v>
      </c>
      <c r="E979" s="39">
        <v>22.324999999999999</v>
      </c>
      <c r="F979" s="39">
        <v>2.1028388324237719</v>
      </c>
      <c r="G979" s="39">
        <v>66.298994111082806</v>
      </c>
      <c r="H979" s="39">
        <v>77.686844453126483</v>
      </c>
      <c r="I979" s="10">
        <v>0</v>
      </c>
      <c r="J979" s="40">
        <v>0</v>
      </c>
      <c r="K979" s="40">
        <v>0</v>
      </c>
      <c r="L979" s="40">
        <v>0</v>
      </c>
      <c r="M979" s="40">
        <v>0</v>
      </c>
      <c r="N979" s="40">
        <v>0</v>
      </c>
      <c r="O979" s="40">
        <v>0</v>
      </c>
      <c r="P979" s="40">
        <v>0</v>
      </c>
      <c r="Q979" s="40">
        <v>0</v>
      </c>
      <c r="R979" s="40">
        <v>1</v>
      </c>
      <c r="S979" s="40">
        <v>0</v>
      </c>
      <c r="T979" s="29">
        <f t="array" aca="1" ref="T979" ca="1">+fair_value_gap(OFFSET(S978,0,0,-1*$I$5,-1*$Z$1),OFFSET(E978,0,0,-1*$I$5,1),F979:S979,0)</f>
        <v>22.179775349286938</v>
      </c>
      <c r="U979" s="9" cm="1">
        <f t="array" aca="1" ref="U979" ca="1">z_score_diff(OFFSET(T979,0,0,$I$5*-1,1),OFFSET(E979,0,0,$I$5*-1,1))</f>
        <v>-2.7872763595918837E-2</v>
      </c>
      <c r="V979" s="9">
        <f t="shared" ca="1" si="127"/>
        <v>-2.4893241556632289E-2</v>
      </c>
      <c r="W979" s="17">
        <f t="shared" ca="1" si="124"/>
        <v>-0.15225624546517788</v>
      </c>
      <c r="X979" s="13">
        <f t="shared" ca="1" si="125"/>
        <v>0</v>
      </c>
      <c r="Y979" s="13">
        <f t="shared" ca="1" si="126"/>
        <v>0</v>
      </c>
      <c r="Z979">
        <f t="shared" ca="1" si="128"/>
        <v>1</v>
      </c>
      <c r="AA979">
        <f t="shared" ca="1" si="129"/>
        <v>0</v>
      </c>
      <c r="AB979" s="24">
        <f t="shared" ca="1" si="130"/>
        <v>-0.15225624546517788</v>
      </c>
      <c r="AC979" s="24">
        <f t="shared" ca="1" si="131"/>
        <v>0</v>
      </c>
    </row>
    <row r="980" spans="3:29" x14ac:dyDescent="0.25">
      <c r="C980" s="6">
        <v>973</v>
      </c>
      <c r="D980" s="37">
        <v>43389</v>
      </c>
      <c r="E980" s="39">
        <v>22.199000000000002</v>
      </c>
      <c r="F980" s="39">
        <v>2.0994224740835858</v>
      </c>
      <c r="G980" s="39">
        <v>65.55621852816364</v>
      </c>
      <c r="H980" s="39">
        <v>78.533343623815028</v>
      </c>
      <c r="I980" s="10">
        <v>0</v>
      </c>
      <c r="J980" s="40">
        <v>0</v>
      </c>
      <c r="K980" s="40">
        <v>0</v>
      </c>
      <c r="L980" s="40">
        <v>0</v>
      </c>
      <c r="M980" s="40">
        <v>0</v>
      </c>
      <c r="N980" s="40">
        <v>0</v>
      </c>
      <c r="O980" s="40">
        <v>0</v>
      </c>
      <c r="P980" s="40">
        <v>0</v>
      </c>
      <c r="Q980" s="40">
        <v>0</v>
      </c>
      <c r="R980" s="40">
        <v>1</v>
      </c>
      <c r="S980" s="40">
        <v>0</v>
      </c>
      <c r="T980" s="29">
        <f t="array" aca="1" ref="T980" ca="1">+fair_value_gap(OFFSET(S979,0,0,-1*$I$5,-1*$Z$1),OFFSET(E979,0,0,-1*$I$5,1),F980:S980,0)</f>
        <v>22.009673545815403</v>
      </c>
      <c r="U980" s="9" cm="1">
        <f t="array" aca="1" ref="U980" ca="1">z_score_diff(OFFSET(T980,0,0,$I$5*-1,1),OFFSET(E980,0,0,$I$5*-1,1))</f>
        <v>-4.161123454160176E-2</v>
      </c>
      <c r="V980" s="9">
        <f t="shared" ca="1" si="127"/>
        <v>-2.1427608075220917E-2</v>
      </c>
      <c r="W980" s="17">
        <f t="shared" ca="1" si="124"/>
        <v>-0.14279595608292078</v>
      </c>
      <c r="X980" s="13">
        <f t="shared" ca="1" si="125"/>
        <v>0</v>
      </c>
      <c r="Y980" s="13">
        <f t="shared" ca="1" si="126"/>
        <v>0</v>
      </c>
      <c r="Z980">
        <f t="shared" ca="1" si="128"/>
        <v>1</v>
      </c>
      <c r="AA980">
        <f t="shared" ca="1" si="129"/>
        <v>0</v>
      </c>
      <c r="AB980" s="24">
        <f t="shared" ca="1" si="130"/>
        <v>-0.14279595608292078</v>
      </c>
      <c r="AC980" s="24">
        <f t="shared" ca="1" si="131"/>
        <v>0</v>
      </c>
    </row>
    <row r="981" spans="3:29" x14ac:dyDescent="0.25">
      <c r="C981" s="6">
        <v>974</v>
      </c>
      <c r="D981" s="37">
        <v>43390</v>
      </c>
      <c r="E981" s="39">
        <v>21.940999999999999</v>
      </c>
      <c r="F981" s="39">
        <v>2.1158399661597795</v>
      </c>
      <c r="G981" s="39">
        <v>64.459868065511685</v>
      </c>
      <c r="H981" s="39">
        <v>79.31301708369341</v>
      </c>
      <c r="I981" s="10">
        <v>0</v>
      </c>
      <c r="J981" s="40">
        <v>0</v>
      </c>
      <c r="K981" s="40">
        <v>0</v>
      </c>
      <c r="L981" s="40">
        <v>0</v>
      </c>
      <c r="M981" s="40">
        <v>0</v>
      </c>
      <c r="N981" s="40">
        <v>0</v>
      </c>
      <c r="O981" s="40">
        <v>0</v>
      </c>
      <c r="P981" s="40">
        <v>0</v>
      </c>
      <c r="Q981" s="40">
        <v>0</v>
      </c>
      <c r="R981" s="40">
        <v>1</v>
      </c>
      <c r="S981" s="40">
        <v>0</v>
      </c>
      <c r="T981" s="29">
        <f t="array" aca="1" ref="T981" ca="1">+fair_value_gap(OFFSET(S980,0,0,-1*$I$5,-1*$Z$1),OFFSET(E980,0,0,-1*$I$5,1),F981:S981,0)</f>
        <v>21.739965539491578</v>
      </c>
      <c r="U981" s="9" cm="1">
        <f t="array" aca="1" ref="U981" ca="1">z_score_diff(OFFSET(T981,0,0,$I$5*-1,1),OFFSET(E981,0,0,$I$5*-1,1))</f>
        <v>-4.374788488931991E-2</v>
      </c>
      <c r="V981" s="9">
        <f t="shared" ca="1" si="127"/>
        <v>-1.976386845673379E-2</v>
      </c>
      <c r="W981" s="17">
        <f t="shared" ca="1" si="124"/>
        <v>-0.13966395711160817</v>
      </c>
      <c r="X981" s="13">
        <f t="shared" ca="1" si="125"/>
        <v>0</v>
      </c>
      <c r="Y981" s="13">
        <f t="shared" ca="1" si="126"/>
        <v>0</v>
      </c>
      <c r="Z981">
        <f t="shared" ca="1" si="128"/>
        <v>1</v>
      </c>
      <c r="AA981">
        <f t="shared" ca="1" si="129"/>
        <v>0</v>
      </c>
      <c r="AB981" s="24">
        <f t="shared" ca="1" si="130"/>
        <v>-0.13966395711160817</v>
      </c>
      <c r="AC981" s="24">
        <f t="shared" ca="1" si="131"/>
        <v>0</v>
      </c>
    </row>
    <row r="982" spans="3:29" x14ac:dyDescent="0.25">
      <c r="C982" s="6">
        <v>975</v>
      </c>
      <c r="D982" s="37">
        <v>43391</v>
      </c>
      <c r="E982" s="39">
        <v>21.905999999999999</v>
      </c>
      <c r="F982" s="39">
        <v>2.126286843061123</v>
      </c>
      <c r="G982" s="39">
        <v>64.243334016338679</v>
      </c>
      <c r="H982" s="39">
        <v>80.067470630870289</v>
      </c>
      <c r="I982" s="10">
        <v>0</v>
      </c>
      <c r="J982" s="40">
        <v>0</v>
      </c>
      <c r="K982" s="40">
        <v>0</v>
      </c>
      <c r="L982" s="40">
        <v>0</v>
      </c>
      <c r="M982" s="40">
        <v>0</v>
      </c>
      <c r="N982" s="40">
        <v>0</v>
      </c>
      <c r="O982" s="40">
        <v>0</v>
      </c>
      <c r="P982" s="40">
        <v>0</v>
      </c>
      <c r="Q982" s="40">
        <v>0</v>
      </c>
      <c r="R982" s="40">
        <v>1</v>
      </c>
      <c r="S982" s="40">
        <v>0</v>
      </c>
      <c r="T982" s="29">
        <f t="array" aca="1" ref="T982" ca="1">+fair_value_gap(OFFSET(S981,0,0,-1*$I$5,-1*$Z$1),OFFSET(E981,0,0,-1*$I$5,1),F982:S982,0)</f>
        <v>21.728763393262913</v>
      </c>
      <c r="U982" s="9" cm="1">
        <f t="array" aca="1" ref="U982" ca="1">z_score_diff(OFFSET(T982,0,0,$I$5*-1,1),OFFSET(E982,0,0,$I$5*-1,1))</f>
        <v>-3.5199513910201929E-2</v>
      </c>
      <c r="V982" s="9">
        <f t="shared" ca="1" si="127"/>
        <v>-1.8229525986920521E-2</v>
      </c>
      <c r="W982" s="17">
        <f t="shared" ca="1" si="124"/>
        <v>-0.14137467278430224</v>
      </c>
      <c r="X982" s="13">
        <f t="shared" ca="1" si="125"/>
        <v>0</v>
      </c>
      <c r="Y982" s="13">
        <f t="shared" ca="1" si="126"/>
        <v>0</v>
      </c>
      <c r="Z982">
        <f t="shared" ca="1" si="128"/>
        <v>1</v>
      </c>
      <c r="AA982">
        <f t="shared" ca="1" si="129"/>
        <v>0</v>
      </c>
      <c r="AB982" s="24">
        <f t="shared" ca="1" si="130"/>
        <v>-0.14137467278430224</v>
      </c>
      <c r="AC982" s="24">
        <f t="shared" ca="1" si="131"/>
        <v>0</v>
      </c>
    </row>
    <row r="983" spans="3:29" x14ac:dyDescent="0.25">
      <c r="C983" s="6">
        <v>976</v>
      </c>
      <c r="D983" s="37">
        <v>43392</v>
      </c>
      <c r="E983" s="39">
        <v>22.484999999999999</v>
      </c>
      <c r="F983" s="39">
        <v>2.1184553095023611</v>
      </c>
      <c r="G983" s="39">
        <v>65.993473978684321</v>
      </c>
      <c r="H983" s="39">
        <v>80.555748042408709</v>
      </c>
      <c r="I983" s="10">
        <v>0</v>
      </c>
      <c r="J983" s="40">
        <v>0</v>
      </c>
      <c r="K983" s="40">
        <v>0</v>
      </c>
      <c r="L983" s="40">
        <v>0</v>
      </c>
      <c r="M983" s="40">
        <v>0</v>
      </c>
      <c r="N983" s="40">
        <v>0</v>
      </c>
      <c r="O983" s="40">
        <v>0</v>
      </c>
      <c r="P983" s="40">
        <v>0</v>
      </c>
      <c r="Q983" s="40">
        <v>0</v>
      </c>
      <c r="R983" s="40">
        <v>1</v>
      </c>
      <c r="S983" s="40">
        <v>0</v>
      </c>
      <c r="T983" s="29">
        <f t="array" aca="1" ref="T983" ca="1">+fair_value_gap(OFFSET(S982,0,0,-1*$I$5,-1*$Z$1),OFFSET(E982,0,0,-1*$I$5,1),F983:S983,0)</f>
        <v>22.282256364534067</v>
      </c>
      <c r="U983" s="9" cm="1">
        <f t="array" aca="1" ref="U983" ca="1">z_score_diff(OFFSET(T983,0,0,$I$5*-1,1),OFFSET(E983,0,0,$I$5*-1,1))</f>
        <v>-4.6455359303956056E-2</v>
      </c>
      <c r="V983" s="9">
        <f t="shared" ca="1" si="127"/>
        <v>-2.1298228719172765E-2</v>
      </c>
      <c r="W983" s="17">
        <f t="shared" ca="1" si="124"/>
        <v>-0.15575303028359774</v>
      </c>
      <c r="X983" s="13">
        <f t="shared" ca="1" si="125"/>
        <v>0</v>
      </c>
      <c r="Y983" s="13">
        <f t="shared" ca="1" si="126"/>
        <v>0</v>
      </c>
      <c r="Z983">
        <f t="shared" ca="1" si="128"/>
        <v>1</v>
      </c>
      <c r="AA983">
        <f t="shared" ca="1" si="129"/>
        <v>0</v>
      </c>
      <c r="AB983" s="24">
        <f t="shared" ca="1" si="130"/>
        <v>-0.15575303028359774</v>
      </c>
      <c r="AC983" s="24">
        <f t="shared" ca="1" si="131"/>
        <v>0</v>
      </c>
    </row>
    <row r="984" spans="3:29" x14ac:dyDescent="0.25">
      <c r="C984" s="6">
        <v>977</v>
      </c>
      <c r="D984" s="37">
        <v>43395</v>
      </c>
      <c r="E984" s="39">
        <v>22.169</v>
      </c>
      <c r="F984" s="39">
        <v>2.12275699900822</v>
      </c>
      <c r="G984" s="39">
        <v>65.409384950078518</v>
      </c>
      <c r="H984" s="39">
        <v>80.328372776677185</v>
      </c>
      <c r="I984" s="10">
        <v>0</v>
      </c>
      <c r="J984" s="40">
        <v>0</v>
      </c>
      <c r="K984" s="40">
        <v>0</v>
      </c>
      <c r="L984" s="40">
        <v>0</v>
      </c>
      <c r="M984" s="40">
        <v>0</v>
      </c>
      <c r="N984" s="40">
        <v>0</v>
      </c>
      <c r="O984" s="40">
        <v>0</v>
      </c>
      <c r="P984" s="40">
        <v>0</v>
      </c>
      <c r="Q984" s="40">
        <v>0</v>
      </c>
      <c r="R984" s="40">
        <v>1</v>
      </c>
      <c r="S984" s="40">
        <v>0</v>
      </c>
      <c r="T984" s="29">
        <f t="array" aca="1" ref="T984" ca="1">+fair_value_gap(OFFSET(S983,0,0,-1*$I$5,-1*$Z$1),OFFSET(E983,0,0,-1*$I$5,1),F984:S984,0)</f>
        <v>22.133069012048537</v>
      </c>
      <c r="U984" s="9" cm="1">
        <f t="array" aca="1" ref="U984" ca="1">z_score_diff(OFFSET(T984,0,0,$I$5*-1,1),OFFSET(E984,0,0,$I$5*-1,1))</f>
        <v>1.112267990750726E-2</v>
      </c>
      <c r="V984" s="9">
        <f t="shared" ca="1" si="127"/>
        <v>-2.2300157048287549E-2</v>
      </c>
      <c r="W984" s="17">
        <f t="shared" ca="1" si="124"/>
        <v>-0.14362839978384004</v>
      </c>
      <c r="X984" s="13">
        <f t="shared" ca="1" si="125"/>
        <v>0</v>
      </c>
      <c r="Y984" s="13">
        <f t="shared" ca="1" si="126"/>
        <v>0</v>
      </c>
      <c r="Z984">
        <f t="shared" ca="1" si="128"/>
        <v>1</v>
      </c>
      <c r="AA984">
        <f t="shared" ca="1" si="129"/>
        <v>0</v>
      </c>
      <c r="AB984" s="24">
        <f t="shared" ca="1" si="130"/>
        <v>-0.14362839978384004</v>
      </c>
      <c r="AC984" s="24">
        <f t="shared" ca="1" si="131"/>
        <v>0</v>
      </c>
    </row>
    <row r="985" spans="3:29" x14ac:dyDescent="0.25">
      <c r="C985" s="6">
        <v>978</v>
      </c>
      <c r="D985" s="37">
        <v>43396</v>
      </c>
      <c r="E985" s="39">
        <v>22.213999999999999</v>
      </c>
      <c r="F985" s="39">
        <v>2.1281372213602348</v>
      </c>
      <c r="G985" s="39">
        <v>65.323807083456742</v>
      </c>
      <c r="H985" s="39">
        <v>80.105437643259918</v>
      </c>
      <c r="I985" s="10">
        <v>0</v>
      </c>
      <c r="J985" s="40">
        <v>0</v>
      </c>
      <c r="K985" s="40">
        <v>0</v>
      </c>
      <c r="L985" s="40">
        <v>0</v>
      </c>
      <c r="M985" s="40">
        <v>0</v>
      </c>
      <c r="N985" s="40">
        <v>0</v>
      </c>
      <c r="O985" s="40">
        <v>0</v>
      </c>
      <c r="P985" s="40">
        <v>0</v>
      </c>
      <c r="Q985" s="40">
        <v>0</v>
      </c>
      <c r="R985" s="40">
        <v>1</v>
      </c>
      <c r="S985" s="40">
        <v>0</v>
      </c>
      <c r="T985" s="29">
        <f t="array" aca="1" ref="T985" ca="1">+fair_value_gap(OFFSET(S984,0,0,-1*$I$5,-1*$Z$1),OFFSET(E984,0,0,-1*$I$5,1),F985:S985,0)</f>
        <v>22.134661423763394</v>
      </c>
      <c r="U985" s="9" cm="1">
        <f t="array" aca="1" ref="U985" ca="1">z_score_diff(OFFSET(T985,0,0,$I$5*-1,1),OFFSET(E985,0,0,$I$5*-1,1))</f>
        <v>-3.6405886084160954E-3</v>
      </c>
      <c r="V985" s="9">
        <f t="shared" ca="1" si="127"/>
        <v>-2.3159784652660952E-2</v>
      </c>
      <c r="W985" s="17">
        <f t="shared" ca="1" si="124"/>
        <v>-0.14321166001113492</v>
      </c>
      <c r="X985" s="13">
        <f t="shared" ca="1" si="125"/>
        <v>0</v>
      </c>
      <c r="Y985" s="13">
        <f t="shared" ca="1" si="126"/>
        <v>0</v>
      </c>
      <c r="Z985">
        <f t="shared" ca="1" si="128"/>
        <v>1</v>
      </c>
      <c r="AA985">
        <f t="shared" ca="1" si="129"/>
        <v>0</v>
      </c>
      <c r="AB985" s="24">
        <f t="shared" ca="1" si="130"/>
        <v>-0.14321166001113492</v>
      </c>
      <c r="AC985" s="24">
        <f t="shared" ca="1" si="131"/>
        <v>0</v>
      </c>
    </row>
    <row r="986" spans="3:29" x14ac:dyDescent="0.25">
      <c r="C986" s="6">
        <v>979</v>
      </c>
      <c r="D986" s="37">
        <v>43397</v>
      </c>
      <c r="E986" s="39">
        <v>22.084</v>
      </c>
      <c r="F986" s="39">
        <v>2.1309957713704262</v>
      </c>
      <c r="G986" s="39">
        <v>64.997989924148712</v>
      </c>
      <c r="H986" s="39">
        <v>80.777667497935724</v>
      </c>
      <c r="I986" s="10">
        <v>0</v>
      </c>
      <c r="J986" s="40">
        <v>0</v>
      </c>
      <c r="K986" s="40">
        <v>0</v>
      </c>
      <c r="L986" s="40">
        <v>0</v>
      </c>
      <c r="M986" s="40">
        <v>0</v>
      </c>
      <c r="N986" s="40">
        <v>0</v>
      </c>
      <c r="O986" s="40">
        <v>0</v>
      </c>
      <c r="P986" s="40">
        <v>0</v>
      </c>
      <c r="Q986" s="40">
        <v>0</v>
      </c>
      <c r="R986" s="40">
        <v>1</v>
      </c>
      <c r="S986" s="40">
        <v>0</v>
      </c>
      <c r="T986" s="29">
        <f t="array" aca="1" ref="T986" ca="1">+fair_value_gap(OFFSET(S985,0,0,-1*$I$5,-1*$Z$1),OFFSET(E985,0,0,-1*$I$5,1),F986:S986,0)</f>
        <v>22.06894272532567</v>
      </c>
      <c r="U986" s="9" cm="1">
        <f t="array" aca="1" ref="U986" ca="1">z_score_diff(OFFSET(T986,0,0,$I$5*-1,1),OFFSET(E986,0,0,$I$5*-1,1))</f>
        <v>1.8398562494735593E-2</v>
      </c>
      <c r="V986" s="9">
        <f t="shared" ca="1" si="127"/>
        <v>-2.2975414449284307E-2</v>
      </c>
      <c r="W986" s="17">
        <f t="shared" ca="1" si="124"/>
        <v>-0.12520842563112569</v>
      </c>
      <c r="X986" s="13">
        <f t="shared" ca="1" si="125"/>
        <v>0</v>
      </c>
      <c r="Y986" s="13">
        <f t="shared" ca="1" si="126"/>
        <v>0</v>
      </c>
      <c r="Z986">
        <f t="shared" ca="1" si="128"/>
        <v>1</v>
      </c>
      <c r="AA986">
        <f t="shared" ca="1" si="129"/>
        <v>0</v>
      </c>
      <c r="AB986" s="24">
        <f t="shared" ca="1" si="130"/>
        <v>-0.12520842563112569</v>
      </c>
      <c r="AC986" s="24">
        <f t="shared" ca="1" si="131"/>
        <v>0</v>
      </c>
    </row>
    <row r="987" spans="3:29" x14ac:dyDescent="0.25">
      <c r="C987" s="6">
        <v>980</v>
      </c>
      <c r="D987" s="37">
        <v>43398</v>
      </c>
      <c r="E987" s="39">
        <v>22.13</v>
      </c>
      <c r="F987" s="39">
        <v>2.126284943913384</v>
      </c>
      <c r="G987" s="39">
        <v>65.167098944330505</v>
      </c>
      <c r="H987" s="39">
        <v>79.861055971275093</v>
      </c>
      <c r="I987" s="10">
        <v>0</v>
      </c>
      <c r="J987" s="40">
        <v>0</v>
      </c>
      <c r="K987" s="40">
        <v>0</v>
      </c>
      <c r="L987" s="40">
        <v>0</v>
      </c>
      <c r="M987" s="40">
        <v>0</v>
      </c>
      <c r="N987" s="40">
        <v>0</v>
      </c>
      <c r="O987" s="40">
        <v>0</v>
      </c>
      <c r="P987" s="40">
        <v>0</v>
      </c>
      <c r="Q987" s="40">
        <v>0</v>
      </c>
      <c r="R987" s="40">
        <v>1</v>
      </c>
      <c r="S987" s="40">
        <v>0</v>
      </c>
      <c r="T987" s="29">
        <f t="array" aca="1" ref="T987" ca="1">+fair_value_gap(OFFSET(S986,0,0,-1*$I$5,-1*$Z$1),OFFSET(E986,0,0,-1*$I$5,1),F987:S987,0)</f>
        <v>22.082235349869851</v>
      </c>
      <c r="U987" s="9" cm="1">
        <f t="array" aca="1" ref="U987" ca="1">z_score_diff(OFFSET(T987,0,0,$I$5*-1,1),OFFSET(E987,0,0,$I$5*-1,1))</f>
        <v>7.1526900820045869E-3</v>
      </c>
      <c r="V987" s="9">
        <f t="shared" ca="1" si="127"/>
        <v>-2.2918512360477237E-2</v>
      </c>
      <c r="W987" s="17">
        <f t="shared" ca="1" si="124"/>
        <v>-0.11692484097420351</v>
      </c>
      <c r="X987" s="13">
        <f t="shared" ca="1" si="125"/>
        <v>0</v>
      </c>
      <c r="Y987" s="13">
        <f t="shared" ca="1" si="126"/>
        <v>0</v>
      </c>
      <c r="Z987">
        <f t="shared" ca="1" si="128"/>
        <v>1</v>
      </c>
      <c r="AA987">
        <f t="shared" ca="1" si="129"/>
        <v>0</v>
      </c>
      <c r="AB987" s="24">
        <f t="shared" ca="1" si="130"/>
        <v>-0.11692484097420351</v>
      </c>
      <c r="AC987" s="24">
        <f t="shared" ca="1" si="131"/>
        <v>0</v>
      </c>
    </row>
    <row r="988" spans="3:29" x14ac:dyDescent="0.25">
      <c r="C988" s="6">
        <v>981</v>
      </c>
      <c r="D988" s="37">
        <v>43399</v>
      </c>
      <c r="E988" s="39">
        <v>21.757999999999999</v>
      </c>
      <c r="F988" s="39">
        <v>2.1184480054824535</v>
      </c>
      <c r="G988" s="39">
        <v>63.750320789235147</v>
      </c>
      <c r="H988" s="39">
        <v>79.368850894108448</v>
      </c>
      <c r="I988" s="10">
        <v>0</v>
      </c>
      <c r="J988" s="40">
        <v>0</v>
      </c>
      <c r="K988" s="40">
        <v>0</v>
      </c>
      <c r="L988" s="40">
        <v>0</v>
      </c>
      <c r="M988" s="40">
        <v>0</v>
      </c>
      <c r="N988" s="40">
        <v>0</v>
      </c>
      <c r="O988" s="40">
        <v>0</v>
      </c>
      <c r="P988" s="40">
        <v>0</v>
      </c>
      <c r="Q988" s="40">
        <v>0</v>
      </c>
      <c r="R988" s="40">
        <v>1</v>
      </c>
      <c r="S988" s="40">
        <v>0</v>
      </c>
      <c r="T988" s="29">
        <f t="array" aca="1" ref="T988" ca="1">+fair_value_gap(OFFSET(S987,0,0,-1*$I$5,-1*$Z$1),OFFSET(E987,0,0,-1*$I$5,1),F988:S988,0)</f>
        <v>21.662671865970374</v>
      </c>
      <c r="U988" s="9" cm="1">
        <f t="array" aca="1" ref="U988" ca="1">z_score_diff(OFFSET(T988,0,0,$I$5*-1,1),OFFSET(E988,0,0,$I$5*-1,1))</f>
        <v>-6.6901312684115588E-3</v>
      </c>
      <c r="V988" s="9">
        <f t="shared" ca="1" si="127"/>
        <v>-2.3708750762054965E-2</v>
      </c>
      <c r="W988" s="17">
        <f t="shared" ca="1" si="124"/>
        <v>-8.6000765483706262E-2</v>
      </c>
      <c r="X988" s="13">
        <f t="shared" ca="1" si="125"/>
        <v>0</v>
      </c>
      <c r="Y988" s="13">
        <f t="shared" ca="1" si="126"/>
        <v>0</v>
      </c>
      <c r="Z988">
        <f t="shared" ca="1" si="128"/>
        <v>1</v>
      </c>
      <c r="AA988">
        <f t="shared" ca="1" si="129"/>
        <v>0</v>
      </c>
      <c r="AB988" s="24">
        <f t="shared" ca="1" si="130"/>
        <v>-8.6000765483706262E-2</v>
      </c>
      <c r="AC988" s="24">
        <f t="shared" ca="1" si="131"/>
        <v>0</v>
      </c>
    </row>
    <row r="989" spans="3:29" x14ac:dyDescent="0.25">
      <c r="C989" s="6">
        <v>982</v>
      </c>
      <c r="D989" s="37">
        <v>43402</v>
      </c>
      <c r="E989" s="39">
        <v>21.943000000000001</v>
      </c>
      <c r="F989" s="39">
        <v>2.1332958836250313</v>
      </c>
      <c r="G989" s="39">
        <v>64.473375699140391</v>
      </c>
      <c r="H989" s="39">
        <v>80.583747328155582</v>
      </c>
      <c r="I989" s="10">
        <v>0</v>
      </c>
      <c r="J989" s="40">
        <v>0</v>
      </c>
      <c r="K989" s="40">
        <v>0</v>
      </c>
      <c r="L989" s="40">
        <v>0</v>
      </c>
      <c r="M989" s="40">
        <v>0</v>
      </c>
      <c r="N989" s="40">
        <v>0</v>
      </c>
      <c r="O989" s="40">
        <v>0</v>
      </c>
      <c r="P989" s="40">
        <v>0</v>
      </c>
      <c r="Q989" s="40">
        <v>0</v>
      </c>
      <c r="R989" s="40">
        <v>1</v>
      </c>
      <c r="S989" s="40">
        <v>0</v>
      </c>
      <c r="T989" s="29">
        <f t="array" aca="1" ref="T989" ca="1">+fair_value_gap(OFFSET(S988,0,0,-1*$I$5,-1*$Z$1),OFFSET(E988,0,0,-1*$I$5,1),F989:S989,0)</f>
        <v>21.931321765521325</v>
      </c>
      <c r="U989" s="9" cm="1">
        <f t="array" aca="1" ref="U989" ca="1">z_score_diff(OFFSET(T989,0,0,$I$5*-1,1),OFFSET(E989,0,0,$I$5*-1,1))</f>
        <v>2.0177816883969579E-2</v>
      </c>
      <c r="V989" s="9">
        <f t="shared" ca="1" si="127"/>
        <v>-2.2383590141694734E-2</v>
      </c>
      <c r="W989" s="17">
        <f t="shared" ca="1" si="124"/>
        <v>-9.4617715789337906E-2</v>
      </c>
      <c r="X989" s="13">
        <f t="shared" ca="1" si="125"/>
        <v>0</v>
      </c>
      <c r="Y989" s="13">
        <f t="shared" ca="1" si="126"/>
        <v>0</v>
      </c>
      <c r="Z989">
        <f t="shared" ca="1" si="128"/>
        <v>1</v>
      </c>
      <c r="AA989">
        <f t="shared" ca="1" si="129"/>
        <v>0</v>
      </c>
      <c r="AB989" s="24">
        <f t="shared" ca="1" si="130"/>
        <v>-9.4617715789337906E-2</v>
      </c>
      <c r="AC989" s="24">
        <f t="shared" ca="1" si="131"/>
        <v>0</v>
      </c>
    </row>
    <row r="990" spans="3:29" x14ac:dyDescent="0.25">
      <c r="C990" s="6">
        <v>983</v>
      </c>
      <c r="D990" s="37">
        <v>43403</v>
      </c>
      <c r="E990" s="39">
        <v>21.463000000000001</v>
      </c>
      <c r="F990" s="39">
        <v>2.0954506685166288</v>
      </c>
      <c r="G990" s="39">
        <v>63.33261015820004</v>
      </c>
      <c r="H990" s="39">
        <v>80.223671135732587</v>
      </c>
      <c r="I990" s="10">
        <v>0</v>
      </c>
      <c r="J990" s="40">
        <v>0</v>
      </c>
      <c r="K990" s="40">
        <v>0</v>
      </c>
      <c r="L990" s="40">
        <v>0</v>
      </c>
      <c r="M990" s="40">
        <v>0</v>
      </c>
      <c r="N990" s="40">
        <v>0</v>
      </c>
      <c r="O990" s="40">
        <v>0</v>
      </c>
      <c r="P990" s="40">
        <v>0</v>
      </c>
      <c r="Q990" s="40">
        <v>0</v>
      </c>
      <c r="R990" s="40">
        <v>1</v>
      </c>
      <c r="S990" s="40">
        <v>0</v>
      </c>
      <c r="T990" s="29">
        <f t="array" aca="1" ref="T990" ca="1">+fair_value_gap(OFFSET(S989,0,0,-1*$I$5,-1*$Z$1),OFFSET(E989,0,0,-1*$I$5,1),F990:S990,0)</f>
        <v>21.575285174620511</v>
      </c>
      <c r="U990" s="9" cm="1">
        <f t="array" aca="1" ref="U990" ca="1">z_score_diff(OFFSET(T990,0,0,$I$5*-1,1),OFFSET(E990,0,0,$I$5*-1,1))</f>
        <v>6.3927124359504428E-2</v>
      </c>
      <c r="V990" s="9">
        <f t="shared" ca="1" si="127"/>
        <v>-2.1985771557353366E-2</v>
      </c>
      <c r="W990" s="17">
        <f t="shared" ca="1" si="124"/>
        <v>-9.0239889100825532E-2</v>
      </c>
      <c r="X990" s="13">
        <f t="shared" ca="1" si="125"/>
        <v>0</v>
      </c>
      <c r="Y990" s="13">
        <f t="shared" ca="1" si="126"/>
        <v>0</v>
      </c>
      <c r="Z990">
        <f t="shared" ca="1" si="128"/>
        <v>1</v>
      </c>
      <c r="AA990">
        <f t="shared" ca="1" si="129"/>
        <v>0</v>
      </c>
      <c r="AB990" s="24">
        <f t="shared" ca="1" si="130"/>
        <v>-9.0239889100825532E-2</v>
      </c>
      <c r="AC990" s="24">
        <f t="shared" ca="1" si="131"/>
        <v>0</v>
      </c>
    </row>
    <row r="991" spans="3:29" x14ac:dyDescent="0.25">
      <c r="C991" s="6">
        <v>984</v>
      </c>
      <c r="D991" s="37">
        <v>43404</v>
      </c>
      <c r="E991" s="39">
        <v>20.324999999999999</v>
      </c>
      <c r="F991" s="39">
        <v>2.1125459705452654</v>
      </c>
      <c r="G991" s="39">
        <v>57.783291117986835</v>
      </c>
      <c r="H991" s="39">
        <v>79.682278459755835</v>
      </c>
      <c r="I991" s="10">
        <v>0</v>
      </c>
      <c r="J991" s="40">
        <v>0</v>
      </c>
      <c r="K991" s="40">
        <v>0</v>
      </c>
      <c r="L991" s="40">
        <v>0</v>
      </c>
      <c r="M991" s="40">
        <v>0</v>
      </c>
      <c r="N991" s="40">
        <v>0</v>
      </c>
      <c r="O991" s="40">
        <v>0</v>
      </c>
      <c r="P991" s="40">
        <v>0</v>
      </c>
      <c r="Q991" s="40">
        <v>0</v>
      </c>
      <c r="R991" s="40">
        <v>1</v>
      </c>
      <c r="S991" s="40">
        <v>0</v>
      </c>
      <c r="T991" s="29">
        <f t="array" aca="1" ref="T991" ca="1">+fair_value_gap(OFFSET(S990,0,0,-1*$I$5,-1*$Z$1),OFFSET(E990,0,0,-1*$I$5,1),F991:S991,0)</f>
        <v>20.005612409043714</v>
      </c>
      <c r="U991" s="9" cm="1">
        <f t="array" aca="1" ref="U991" ca="1">z_score_diff(OFFSET(T991,0,0,$I$5*-1,1),OFFSET(E991,0,0,$I$5*-1,1))</f>
        <v>-7.4058896997280188E-2</v>
      </c>
      <c r="V991" s="9">
        <f t="shared" ca="1" si="127"/>
        <v>-2.616004650741589E-2</v>
      </c>
      <c r="W991" s="17">
        <f t="shared" ca="1" si="124"/>
        <v>-3.5047391765402135E-2</v>
      </c>
      <c r="X991" s="13">
        <f t="shared" ca="1" si="125"/>
        <v>0</v>
      </c>
      <c r="Y991" s="13">
        <f t="shared" ca="1" si="126"/>
        <v>0</v>
      </c>
      <c r="Z991">
        <f t="shared" ca="1" si="128"/>
        <v>1</v>
      </c>
      <c r="AA991">
        <f t="shared" ca="1" si="129"/>
        <v>0</v>
      </c>
      <c r="AB991" s="24">
        <f t="shared" ca="1" si="130"/>
        <v>-3.5047391765402135E-2</v>
      </c>
      <c r="AC991" s="24">
        <f t="shared" ca="1" si="131"/>
        <v>0</v>
      </c>
    </row>
    <row r="992" spans="3:29" x14ac:dyDescent="0.25">
      <c r="C992" s="6">
        <v>985</v>
      </c>
      <c r="D992" s="37">
        <v>43405</v>
      </c>
      <c r="E992" s="39">
        <v>19.704000000000001</v>
      </c>
      <c r="F992" s="39">
        <v>2.0899076957434382</v>
      </c>
      <c r="G992" s="39">
        <v>55.952258829931004</v>
      </c>
      <c r="H992" s="39">
        <v>77.204923449214334</v>
      </c>
      <c r="I992" s="10">
        <v>0</v>
      </c>
      <c r="J992" s="40">
        <v>0</v>
      </c>
      <c r="K992" s="40">
        <v>0</v>
      </c>
      <c r="L992" s="40">
        <v>0</v>
      </c>
      <c r="M992" s="40">
        <v>0</v>
      </c>
      <c r="N992" s="40">
        <v>0</v>
      </c>
      <c r="O992" s="40">
        <v>0</v>
      </c>
      <c r="P992" s="40">
        <v>0</v>
      </c>
      <c r="Q992" s="40">
        <v>0</v>
      </c>
      <c r="R992" s="40">
        <v>0</v>
      </c>
      <c r="S992" s="40">
        <v>1</v>
      </c>
      <c r="T992" s="29">
        <f t="array" aca="1" ref="T992" ca="1">+fair_value_gap(OFFSET(S991,0,0,-1*$I$5,-1*$Z$1),OFFSET(E991,0,0,-1*$I$5,1),F992:S992,0)</f>
        <v>19.528139874019374</v>
      </c>
      <c r="U992" s="9" cm="1">
        <f t="array" aca="1" ref="U992" ca="1">z_score_diff(OFFSET(T992,0,0,$I$5*-1,1),OFFSET(E992,0,0,$I$5*-1,1))</f>
        <v>-2.2510146878229637E-2</v>
      </c>
      <c r="V992" s="9">
        <f t="shared" ca="1" si="127"/>
        <v>-2.9171662577184447E-2</v>
      </c>
      <c r="W992" s="17">
        <f t="shared" ca="1" si="124"/>
        <v>-1.7147810958134647E-2</v>
      </c>
      <c r="X992" s="13">
        <f t="shared" ca="1" si="125"/>
        <v>0</v>
      </c>
      <c r="Y992" s="13">
        <f t="shared" ca="1" si="126"/>
        <v>0</v>
      </c>
      <c r="Z992">
        <f t="shared" ca="1" si="128"/>
        <v>1</v>
      </c>
      <c r="AA992">
        <f t="shared" ca="1" si="129"/>
        <v>0</v>
      </c>
      <c r="AB992" s="24">
        <f t="shared" ca="1" si="130"/>
        <v>-1.7147810958134647E-2</v>
      </c>
      <c r="AC992" s="24">
        <f t="shared" ca="1" si="131"/>
        <v>0</v>
      </c>
    </row>
    <row r="993" spans="3:29" x14ac:dyDescent="0.25">
      <c r="C993" s="6">
        <v>986</v>
      </c>
      <c r="D993" s="37">
        <v>43406</v>
      </c>
      <c r="E993" s="39">
        <v>19.981000000000002</v>
      </c>
      <c r="F993" s="39">
        <v>2.09499129381356</v>
      </c>
      <c r="G993" s="39">
        <v>56.413047228259721</v>
      </c>
      <c r="H993" s="39">
        <v>77.967716609668329</v>
      </c>
      <c r="I993" s="10">
        <v>0</v>
      </c>
      <c r="J993" s="40">
        <v>0</v>
      </c>
      <c r="K993" s="40">
        <v>0</v>
      </c>
      <c r="L993" s="40">
        <v>0</v>
      </c>
      <c r="M993" s="40">
        <v>0</v>
      </c>
      <c r="N993" s="40">
        <v>0</v>
      </c>
      <c r="O993" s="40">
        <v>0</v>
      </c>
      <c r="P993" s="40">
        <v>0</v>
      </c>
      <c r="Q993" s="40">
        <v>0</v>
      </c>
      <c r="R993" s="40">
        <v>0</v>
      </c>
      <c r="S993" s="40">
        <v>1</v>
      </c>
      <c r="T993" s="29">
        <f t="array" aca="1" ref="T993" ca="1">+fair_value_gap(OFFSET(S992,0,0,-1*$I$5,-1*$Z$1),OFFSET(E992,0,0,-1*$I$5,1),F993:S993,0)</f>
        <v>19.744204062709677</v>
      </c>
      <c r="U993" s="9" cm="1">
        <f t="array" aca="1" ref="U993" ca="1">z_score_diff(OFFSET(T993,0,0,$I$5*-1,1),OFFSET(E993,0,0,$I$5*-1,1))</f>
        <v>-4.4453615645937944E-2</v>
      </c>
      <c r="V993" s="9">
        <f t="shared" ca="1" si="127"/>
        <v>-3.4112101804392912E-2</v>
      </c>
      <c r="W993" s="17">
        <f t="shared" ca="1" si="124"/>
        <v>-4.7242391065489671E-2</v>
      </c>
      <c r="X993" s="13">
        <f t="shared" ca="1" si="125"/>
        <v>0</v>
      </c>
      <c r="Y993" s="13">
        <f t="shared" ca="1" si="126"/>
        <v>0</v>
      </c>
      <c r="Z993">
        <f t="shared" ca="1" si="128"/>
        <v>1</v>
      </c>
      <c r="AA993">
        <f t="shared" ca="1" si="129"/>
        <v>0</v>
      </c>
      <c r="AB993" s="24">
        <f t="shared" ca="1" si="130"/>
        <v>-4.7242391065489671E-2</v>
      </c>
      <c r="AC993" s="24">
        <f t="shared" ca="1" si="131"/>
        <v>0</v>
      </c>
    </row>
    <row r="994" spans="3:29" x14ac:dyDescent="0.25">
      <c r="C994" s="6">
        <v>987</v>
      </c>
      <c r="D994" s="37">
        <v>43409</v>
      </c>
      <c r="E994" s="39">
        <v>19.890999999999998</v>
      </c>
      <c r="F994" s="39">
        <v>2.0937786291330056</v>
      </c>
      <c r="G994" s="39">
        <v>56.515741914426044</v>
      </c>
      <c r="H994" s="39">
        <v>76.163904389106349</v>
      </c>
      <c r="I994" s="10">
        <v>0</v>
      </c>
      <c r="J994" s="40">
        <v>0</v>
      </c>
      <c r="K994" s="40">
        <v>0</v>
      </c>
      <c r="L994" s="40">
        <v>0</v>
      </c>
      <c r="M994" s="40">
        <v>0</v>
      </c>
      <c r="N994" s="40">
        <v>0</v>
      </c>
      <c r="O994" s="40">
        <v>0</v>
      </c>
      <c r="P994" s="40">
        <v>0</v>
      </c>
      <c r="Q994" s="40">
        <v>0</v>
      </c>
      <c r="R994" s="40">
        <v>0</v>
      </c>
      <c r="S994" s="40">
        <v>1</v>
      </c>
      <c r="T994" s="29">
        <f t="array" aca="1" ref="T994" ca="1">+fair_value_gap(OFFSET(S993,0,0,-1*$I$5,-1*$Z$1),OFFSET(E993,0,0,-1*$I$5,1),F994:S994,0)</f>
        <v>19.748793424690934</v>
      </c>
      <c r="U994" s="9" cm="1">
        <f t="array" aca="1" ref="U994" ca="1">z_score_diff(OFFSET(T994,0,0,$I$5*-1,1),OFFSET(E994,0,0,$I$5*-1,1))</f>
        <v>-1.2243572680620263E-2</v>
      </c>
      <c r="V994" s="9">
        <f t="shared" ca="1" si="127"/>
        <v>-3.5410839585340949E-2</v>
      </c>
      <c r="W994" s="17">
        <f t="shared" ca="1" si="124"/>
        <v>-6.4260377060498128E-2</v>
      </c>
      <c r="X994" s="13">
        <f t="shared" ca="1" si="125"/>
        <v>0</v>
      </c>
      <c r="Y994" s="13">
        <f t="shared" ca="1" si="126"/>
        <v>0</v>
      </c>
      <c r="Z994">
        <f t="shared" ca="1" si="128"/>
        <v>1</v>
      </c>
      <c r="AA994">
        <f t="shared" ca="1" si="129"/>
        <v>0</v>
      </c>
      <c r="AB994" s="24">
        <f t="shared" ca="1" si="130"/>
        <v>-6.4260377060498128E-2</v>
      </c>
      <c r="AC994" s="24">
        <f t="shared" ca="1" si="131"/>
        <v>0</v>
      </c>
    </row>
    <row r="995" spans="3:29" x14ac:dyDescent="0.25">
      <c r="C995" s="6">
        <v>988</v>
      </c>
      <c r="D995" s="37">
        <v>43410</v>
      </c>
      <c r="E995" s="39">
        <v>19.93</v>
      </c>
      <c r="F995" s="39">
        <v>2.0982999030274403</v>
      </c>
      <c r="G995" s="39">
        <v>56.765860174952358</v>
      </c>
      <c r="H995" s="39">
        <v>75.390759496408023</v>
      </c>
      <c r="I995" s="10">
        <v>0</v>
      </c>
      <c r="J995" s="40">
        <v>0</v>
      </c>
      <c r="K995" s="40">
        <v>0</v>
      </c>
      <c r="L995" s="40">
        <v>0</v>
      </c>
      <c r="M995" s="40">
        <v>0</v>
      </c>
      <c r="N995" s="40">
        <v>0</v>
      </c>
      <c r="O995" s="40">
        <v>0</v>
      </c>
      <c r="P995" s="40">
        <v>0</v>
      </c>
      <c r="Q995" s="40">
        <v>0</v>
      </c>
      <c r="R995" s="40">
        <v>0</v>
      </c>
      <c r="S995" s="40">
        <v>1</v>
      </c>
      <c r="T995" s="29">
        <f t="array" aca="1" ref="T995" ca="1">+fair_value_gap(OFFSET(S994,0,0,-1*$I$5,-1*$Z$1),OFFSET(E994,0,0,-1*$I$5,1),F995:S995,0)</f>
        <v>19.813651179817292</v>
      </c>
      <c r="U995" s="9" cm="1">
        <f t="array" aca="1" ref="U995" ca="1">z_score_diff(OFFSET(T995,0,0,$I$5*-1,1),OFFSET(E995,0,0,$I$5*-1,1))</f>
        <v>-3.7613938033626004E-3</v>
      </c>
      <c r="V995" s="9">
        <f t="shared" ca="1" si="127"/>
        <v>-3.6192017127825805E-2</v>
      </c>
      <c r="W995" s="17">
        <f t="shared" ca="1" si="124"/>
        <v>-7.8734816054623208E-2</v>
      </c>
      <c r="X995" s="13">
        <f t="shared" ca="1" si="125"/>
        <v>0</v>
      </c>
      <c r="Y995" s="13">
        <f t="shared" ca="1" si="126"/>
        <v>0</v>
      </c>
      <c r="Z995">
        <f t="shared" ca="1" si="128"/>
        <v>1</v>
      </c>
      <c r="AA995">
        <f t="shared" ca="1" si="129"/>
        <v>0</v>
      </c>
      <c r="AB995" s="24">
        <f t="shared" ca="1" si="130"/>
        <v>-7.8734816054623208E-2</v>
      </c>
      <c r="AC995" s="24">
        <f t="shared" ca="1" si="131"/>
        <v>0</v>
      </c>
    </row>
    <row r="996" spans="3:29" x14ac:dyDescent="0.25">
      <c r="C996" s="6">
        <v>989</v>
      </c>
      <c r="D996" s="37">
        <v>43411</v>
      </c>
      <c r="E996" s="39">
        <v>20.184999999999999</v>
      </c>
      <c r="F996" s="39">
        <v>2.0921213629482152</v>
      </c>
      <c r="G996" s="39">
        <v>57.300190140102046</v>
      </c>
      <c r="H996" s="39">
        <v>76.567328231609935</v>
      </c>
      <c r="I996" s="10">
        <v>0</v>
      </c>
      <c r="J996" s="40">
        <v>0</v>
      </c>
      <c r="K996" s="40">
        <v>0</v>
      </c>
      <c r="L996" s="40">
        <v>0</v>
      </c>
      <c r="M996" s="40">
        <v>0</v>
      </c>
      <c r="N996" s="40">
        <v>0</v>
      </c>
      <c r="O996" s="40">
        <v>0</v>
      </c>
      <c r="P996" s="40">
        <v>0</v>
      </c>
      <c r="Q996" s="40">
        <v>0</v>
      </c>
      <c r="R996" s="40">
        <v>0</v>
      </c>
      <c r="S996" s="40">
        <v>1</v>
      </c>
      <c r="T996" s="29">
        <f t="array" aca="1" ref="T996" ca="1">+fair_value_gap(OFFSET(S995,0,0,-1*$I$5,-1*$Z$1),OFFSET(E995,0,0,-1*$I$5,1),F996:S996,0)</f>
        <v>20.035710611174359</v>
      </c>
      <c r="U996" s="9" cm="1">
        <f t="array" aca="1" ref="U996" ca="1">z_score_diff(OFFSET(T996,0,0,$I$5*-1,1),OFFSET(E996,0,0,$I$5*-1,1))</f>
        <v>-1.6103763051323911E-2</v>
      </c>
      <c r="V996" s="9">
        <f t="shared" ca="1" si="127"/>
        <v>-3.6014272024157641E-2</v>
      </c>
      <c r="W996" s="17">
        <f t="shared" ca="1" si="124"/>
        <v>-0.10472768260832534</v>
      </c>
      <c r="X996" s="13">
        <f t="shared" ca="1" si="125"/>
        <v>0</v>
      </c>
      <c r="Y996" s="13">
        <f t="shared" ca="1" si="126"/>
        <v>0</v>
      </c>
      <c r="Z996">
        <f t="shared" ca="1" si="128"/>
        <v>1</v>
      </c>
      <c r="AA996">
        <f t="shared" ca="1" si="129"/>
        <v>0</v>
      </c>
      <c r="AB996" s="24">
        <f t="shared" ca="1" si="130"/>
        <v>-0.10472768260832534</v>
      </c>
      <c r="AC996" s="24">
        <f t="shared" ca="1" si="131"/>
        <v>0</v>
      </c>
    </row>
    <row r="997" spans="3:29" x14ac:dyDescent="0.25">
      <c r="C997" s="6">
        <v>990</v>
      </c>
      <c r="D997" s="37">
        <v>43412</v>
      </c>
      <c r="E997" s="39">
        <v>20.190000000000001</v>
      </c>
      <c r="F997" s="39">
        <v>2.1112392590285127</v>
      </c>
      <c r="G997" s="39">
        <v>57.249099865752214</v>
      </c>
      <c r="H997" s="39">
        <v>76.373746138511663</v>
      </c>
      <c r="I997" s="10">
        <v>0</v>
      </c>
      <c r="J997" s="40">
        <v>0</v>
      </c>
      <c r="K997" s="40">
        <v>0</v>
      </c>
      <c r="L997" s="40">
        <v>0</v>
      </c>
      <c r="M997" s="40">
        <v>0</v>
      </c>
      <c r="N997" s="40">
        <v>0</v>
      </c>
      <c r="O997" s="40">
        <v>0</v>
      </c>
      <c r="P997" s="40">
        <v>0</v>
      </c>
      <c r="Q997" s="40">
        <v>0</v>
      </c>
      <c r="R997" s="40">
        <v>0</v>
      </c>
      <c r="S997" s="40">
        <v>1</v>
      </c>
      <c r="T997" s="29">
        <f t="array" aca="1" ref="T997" ca="1">+fair_value_gap(OFFSET(S996,0,0,-1*$I$5,-1*$Z$1),OFFSET(E996,0,0,-1*$I$5,1),F997:S997,0)</f>
        <v>20.049933320730016</v>
      </c>
      <c r="U997" s="9" cm="1">
        <f t="array" aca="1" ref="U997" ca="1">z_score_diff(OFFSET(T997,0,0,$I$5*-1,1),OFFSET(E997,0,0,$I$5*-1,1))</f>
        <v>-1.2992611138375271E-2</v>
      </c>
      <c r="V997" s="9">
        <f t="shared" ca="1" si="127"/>
        <v>-3.4596451125442129E-2</v>
      </c>
      <c r="W997" s="17">
        <f t="shared" ca="1" si="124"/>
        <v>-0.10982813291754244</v>
      </c>
      <c r="X997" s="13">
        <f t="shared" ca="1" si="125"/>
        <v>0</v>
      </c>
      <c r="Y997" s="13">
        <f t="shared" ca="1" si="126"/>
        <v>0</v>
      </c>
      <c r="Z997">
        <f t="shared" ca="1" si="128"/>
        <v>1</v>
      </c>
      <c r="AA997">
        <f t="shared" ca="1" si="129"/>
        <v>0</v>
      </c>
      <c r="AB997" s="24">
        <f t="shared" ca="1" si="130"/>
        <v>-0.10982813291754244</v>
      </c>
      <c r="AC997" s="24">
        <f t="shared" ca="1" si="131"/>
        <v>0</v>
      </c>
    </row>
    <row r="998" spans="3:29" x14ac:dyDescent="0.25">
      <c r="C998" s="6">
        <v>991</v>
      </c>
      <c r="D998" s="37">
        <v>43413</v>
      </c>
      <c r="E998" s="39">
        <v>20.138000000000002</v>
      </c>
      <c r="F998" s="39">
        <v>2.1180265921630501</v>
      </c>
      <c r="G998" s="39">
        <v>57.131288999542541</v>
      </c>
      <c r="H998" s="39">
        <v>75.709610095508012</v>
      </c>
      <c r="I998" s="10">
        <v>0</v>
      </c>
      <c r="J998" s="40">
        <v>0</v>
      </c>
      <c r="K998" s="40">
        <v>0</v>
      </c>
      <c r="L998" s="40">
        <v>0</v>
      </c>
      <c r="M998" s="40">
        <v>0</v>
      </c>
      <c r="N998" s="40">
        <v>0</v>
      </c>
      <c r="O998" s="40">
        <v>0</v>
      </c>
      <c r="P998" s="40">
        <v>0</v>
      </c>
      <c r="Q998" s="40">
        <v>0</v>
      </c>
      <c r="R998" s="40">
        <v>0</v>
      </c>
      <c r="S998" s="40">
        <v>1</v>
      </c>
      <c r="T998" s="29">
        <f t="array" aca="1" ref="T998" ca="1">+fair_value_gap(OFFSET(S997,0,0,-1*$I$5,-1*$Z$1),OFFSET(E997,0,0,-1*$I$5,1),F998:S998,0)</f>
        <v>20.01069380453535</v>
      </c>
      <c r="U998" s="9" cm="1">
        <f t="array" aca="1" ref="U998" ca="1">z_score_diff(OFFSET(T998,0,0,$I$5*-1,1),OFFSET(E998,0,0,$I$5*-1,1))</f>
        <v>-8.3425327655524129E-3</v>
      </c>
      <c r="V998" s="9">
        <f t="shared" ca="1" si="127"/>
        <v>-3.2873083930912067E-2</v>
      </c>
      <c r="W998" s="17">
        <f t="shared" ca="1" si="124"/>
        <v>-0.10404821569170579</v>
      </c>
      <c r="X998" s="13">
        <f t="shared" ca="1" si="125"/>
        <v>0</v>
      </c>
      <c r="Y998" s="13">
        <f t="shared" ca="1" si="126"/>
        <v>0</v>
      </c>
      <c r="Z998">
        <f t="shared" ca="1" si="128"/>
        <v>1</v>
      </c>
      <c r="AA998">
        <f t="shared" ca="1" si="129"/>
        <v>0</v>
      </c>
      <c r="AB998" s="24">
        <f t="shared" ca="1" si="130"/>
        <v>-0.10404821569170579</v>
      </c>
      <c r="AC998" s="24">
        <f t="shared" ca="1" si="131"/>
        <v>0</v>
      </c>
    </row>
    <row r="999" spans="3:29" x14ac:dyDescent="0.25">
      <c r="C999" s="6">
        <v>992</v>
      </c>
      <c r="D999" s="37">
        <v>43416</v>
      </c>
      <c r="E999" s="39">
        <v>20.779</v>
      </c>
      <c r="F999" s="39">
        <v>2.1606607407181722</v>
      </c>
      <c r="G999" s="39">
        <v>59.134102979767675</v>
      </c>
      <c r="H999" s="39">
        <v>77.269222729169257</v>
      </c>
      <c r="I999" s="10">
        <v>0</v>
      </c>
      <c r="J999" s="40">
        <v>0</v>
      </c>
      <c r="K999" s="40">
        <v>0</v>
      </c>
      <c r="L999" s="40">
        <v>0</v>
      </c>
      <c r="M999" s="40">
        <v>0</v>
      </c>
      <c r="N999" s="40">
        <v>0</v>
      </c>
      <c r="O999" s="40">
        <v>0</v>
      </c>
      <c r="P999" s="40">
        <v>0</v>
      </c>
      <c r="Q999" s="40">
        <v>0</v>
      </c>
      <c r="R999" s="40">
        <v>0</v>
      </c>
      <c r="S999" s="40">
        <v>1</v>
      </c>
      <c r="T999" s="29">
        <f t="array" aca="1" ref="T999" ca="1">+fair_value_gap(OFFSET(S998,0,0,-1*$I$5,-1*$Z$1),OFFSET(E998,0,0,-1*$I$5,1),F999:S999,0)</f>
        <v>20.68029576463546</v>
      </c>
      <c r="U999" s="9" cm="1">
        <f t="array" aca="1" ref="U999" ca="1">z_score_diff(OFFSET(T999,0,0,$I$5*-1,1),OFFSET(E999,0,0,$I$5*-1,1))</f>
        <v>-2.1478818865862115E-3</v>
      </c>
      <c r="V999" s="9">
        <f t="shared" ca="1" si="127"/>
        <v>-3.2810394723550372E-2</v>
      </c>
      <c r="W999" s="17">
        <f t="shared" ca="1" si="124"/>
        <v>-0.13869412634207423</v>
      </c>
      <c r="X999" s="13">
        <f t="shared" ca="1" si="125"/>
        <v>0</v>
      </c>
      <c r="Y999" s="13">
        <f t="shared" ca="1" si="126"/>
        <v>0</v>
      </c>
      <c r="Z999">
        <f t="shared" ca="1" si="128"/>
        <v>1</v>
      </c>
      <c r="AA999">
        <f t="shared" ca="1" si="129"/>
        <v>0</v>
      </c>
      <c r="AB999" s="24">
        <f t="shared" ca="1" si="130"/>
        <v>-0.13869412634207423</v>
      </c>
      <c r="AC999" s="24">
        <f t="shared" ca="1" si="131"/>
        <v>0</v>
      </c>
    </row>
    <row r="1000" spans="3:29" x14ac:dyDescent="0.25">
      <c r="C1000" s="6">
        <v>993</v>
      </c>
      <c r="D1000" s="37">
        <v>43417</v>
      </c>
      <c r="E1000" s="39">
        <v>20.600999999999999</v>
      </c>
      <c r="F1000" s="39">
        <v>2.1231922979136812</v>
      </c>
      <c r="G1000" s="39">
        <v>58.358112417690016</v>
      </c>
      <c r="H1000" s="39">
        <v>75.641882619962047</v>
      </c>
      <c r="I1000" s="10">
        <v>0</v>
      </c>
      <c r="J1000" s="40">
        <v>0</v>
      </c>
      <c r="K1000" s="40">
        <v>0</v>
      </c>
      <c r="L1000" s="40">
        <v>0</v>
      </c>
      <c r="M1000" s="40">
        <v>0</v>
      </c>
      <c r="N1000" s="40">
        <v>0</v>
      </c>
      <c r="O1000" s="40">
        <v>0</v>
      </c>
      <c r="P1000" s="40">
        <v>0</v>
      </c>
      <c r="Q1000" s="40">
        <v>0</v>
      </c>
      <c r="R1000" s="40">
        <v>0</v>
      </c>
      <c r="S1000" s="40">
        <v>1</v>
      </c>
      <c r="T1000" s="29">
        <f t="array" aca="1" ref="T1000" ca="1">+fair_value_gap(OFFSET(S999,0,0,-1*$I$5,-1*$Z$1),OFFSET(E999,0,0,-1*$I$5,1),F1000:S1000,0)</f>
        <v>20.390037739766978</v>
      </c>
      <c r="U1000" s="9" cm="1">
        <f t="array" aca="1" ref="U1000" ca="1">z_score_diff(OFFSET(T1000,0,0,$I$5*-1,1),OFFSET(E1000,0,0,$I$5*-1,1))</f>
        <v>-3.9025548851168379E-2</v>
      </c>
      <c r="V1000" s="9">
        <f t="shared" ca="1" si="127"/>
        <v>-3.3683982888904236E-2</v>
      </c>
      <c r="W1000" s="17">
        <f t="shared" ca="1" si="124"/>
        <v>-0.10250067027298268</v>
      </c>
      <c r="X1000" s="13">
        <f t="shared" ca="1" si="125"/>
        <v>0</v>
      </c>
      <c r="Y1000" s="13">
        <f t="shared" ca="1" si="126"/>
        <v>0</v>
      </c>
      <c r="Z1000">
        <f t="shared" ca="1" si="128"/>
        <v>1</v>
      </c>
      <c r="AA1000">
        <f t="shared" ca="1" si="129"/>
        <v>0</v>
      </c>
      <c r="AB1000" s="24">
        <f t="shared" ca="1" si="130"/>
        <v>-0.10250067027298268</v>
      </c>
      <c r="AC1000" s="24">
        <f t="shared" ca="1" si="131"/>
        <v>0</v>
      </c>
    </row>
    <row r="1001" spans="3:29" x14ac:dyDescent="0.25">
      <c r="C1001" s="6">
        <v>994</v>
      </c>
      <c r="D1001" s="37">
        <v>43418</v>
      </c>
      <c r="E1001" s="39">
        <v>20.079000000000001</v>
      </c>
      <c r="F1001" s="39">
        <v>2.0912525174816956</v>
      </c>
      <c r="G1001" s="39">
        <v>56.768676625138106</v>
      </c>
      <c r="H1001" s="39">
        <v>73.781740426010813</v>
      </c>
      <c r="I1001" s="10">
        <v>0</v>
      </c>
      <c r="J1001" s="40">
        <v>0</v>
      </c>
      <c r="K1001" s="40">
        <v>0</v>
      </c>
      <c r="L1001" s="40">
        <v>0</v>
      </c>
      <c r="M1001" s="40">
        <v>0</v>
      </c>
      <c r="N1001" s="40">
        <v>0</v>
      </c>
      <c r="O1001" s="40">
        <v>0</v>
      </c>
      <c r="P1001" s="40">
        <v>0</v>
      </c>
      <c r="Q1001" s="40">
        <v>0</v>
      </c>
      <c r="R1001" s="40">
        <v>0</v>
      </c>
      <c r="S1001" s="40">
        <v>1</v>
      </c>
      <c r="T1001" s="29">
        <f t="array" aca="1" ref="T1001" ca="1">+fair_value_gap(OFFSET(S1000,0,0,-1*$I$5,-1*$Z$1),OFFSET(E1000,0,0,-1*$I$5,1),F1001:S1001,0)</f>
        <v>19.873777489772479</v>
      </c>
      <c r="U1001" s="9" cm="1">
        <f t="array" aca="1" ref="U1001" ca="1">z_score_diff(OFFSET(T1001,0,0,$I$5*-1,1),OFFSET(E1001,0,0,$I$5*-1,1))</f>
        <v>-3.4240937365648705E-2</v>
      </c>
      <c r="V1001" s="9">
        <f t="shared" ca="1" si="127"/>
        <v>-3.3930924897656804E-2</v>
      </c>
      <c r="W1001" s="17">
        <f t="shared" ca="1" si="124"/>
        <v>-9.512592465524157E-2</v>
      </c>
      <c r="X1001" s="13">
        <f t="shared" ca="1" si="125"/>
        <v>0</v>
      </c>
      <c r="Y1001" s="13">
        <f t="shared" ca="1" si="126"/>
        <v>0</v>
      </c>
      <c r="Z1001">
        <f t="shared" ca="1" si="128"/>
        <v>1</v>
      </c>
      <c r="AA1001">
        <f t="shared" ca="1" si="129"/>
        <v>0</v>
      </c>
      <c r="AB1001" s="24">
        <f t="shared" ca="1" si="130"/>
        <v>-9.512592465524157E-2</v>
      </c>
      <c r="AC1001" s="24">
        <f t="shared" ca="1" si="131"/>
        <v>0</v>
      </c>
    </row>
    <row r="1002" spans="3:29" x14ac:dyDescent="0.25">
      <c r="C1002" s="6">
        <v>995</v>
      </c>
      <c r="D1002" s="37">
        <v>43419</v>
      </c>
      <c r="E1002" s="39">
        <v>20.202999999999999</v>
      </c>
      <c r="F1002" s="39">
        <v>2.0710550553371818</v>
      </c>
      <c r="G1002" s="39">
        <v>57.410553342362711</v>
      </c>
      <c r="H1002" s="39">
        <v>74.445579652156709</v>
      </c>
      <c r="I1002" s="10">
        <v>0</v>
      </c>
      <c r="J1002" s="40">
        <v>0</v>
      </c>
      <c r="K1002" s="40">
        <v>0</v>
      </c>
      <c r="L1002" s="40">
        <v>0</v>
      </c>
      <c r="M1002" s="40">
        <v>0</v>
      </c>
      <c r="N1002" s="40">
        <v>0</v>
      </c>
      <c r="O1002" s="40">
        <v>0</v>
      </c>
      <c r="P1002" s="40">
        <v>0</v>
      </c>
      <c r="Q1002" s="40">
        <v>0</v>
      </c>
      <c r="R1002" s="40">
        <v>0</v>
      </c>
      <c r="S1002" s="40">
        <v>1</v>
      </c>
      <c r="T1002" s="29">
        <f t="array" aca="1" ref="T1002" ca="1">+fair_value_gap(OFFSET(S1001,0,0,-1*$I$5,-1*$Z$1),OFFSET(E1001,0,0,-1*$I$5,1),F1002:S1002,0)</f>
        <v>20.090946269139174</v>
      </c>
      <c r="U1002" s="9" cm="1">
        <f t="array" aca="1" ref="U1002" ca="1">z_score_diff(OFFSET(T1002,0,0,$I$5*-1,1),OFFSET(E1002,0,0,$I$5*-1,1))</f>
        <v>-3.3491610612722544E-3</v>
      </c>
      <c r="V1002" s="9">
        <f t="shared" ca="1" si="127"/>
        <v>-3.3721777260953621E-2</v>
      </c>
      <c r="W1002" s="17">
        <f t="shared" ca="1" si="124"/>
        <v>-8.7087876205550058E-2</v>
      </c>
      <c r="X1002" s="13">
        <f t="shared" ca="1" si="125"/>
        <v>0</v>
      </c>
      <c r="Y1002" s="13">
        <f t="shared" ca="1" si="126"/>
        <v>0</v>
      </c>
      <c r="Z1002">
        <f t="shared" ca="1" si="128"/>
        <v>1</v>
      </c>
      <c r="AA1002">
        <f t="shared" ca="1" si="129"/>
        <v>0</v>
      </c>
      <c r="AB1002" s="24">
        <f t="shared" ca="1" si="130"/>
        <v>-8.7087876205550058E-2</v>
      </c>
      <c r="AC1002" s="24">
        <f t="shared" ca="1" si="131"/>
        <v>0</v>
      </c>
    </row>
    <row r="1003" spans="3:29" x14ac:dyDescent="0.25">
      <c r="C1003" s="6">
        <v>996</v>
      </c>
      <c r="D1003" s="37">
        <v>43420</v>
      </c>
      <c r="E1003" s="39">
        <v>20.004999999999999</v>
      </c>
      <c r="F1003" s="39">
        <v>2.0553511224834247</v>
      </c>
      <c r="G1003" s="39">
        <v>56.693356673344667</v>
      </c>
      <c r="H1003" s="39">
        <v>72.178997245362751</v>
      </c>
      <c r="I1003" s="10">
        <v>0</v>
      </c>
      <c r="J1003" s="40">
        <v>0</v>
      </c>
      <c r="K1003" s="40">
        <v>0</v>
      </c>
      <c r="L1003" s="40">
        <v>0</v>
      </c>
      <c r="M1003" s="40">
        <v>0</v>
      </c>
      <c r="N1003" s="40">
        <v>0</v>
      </c>
      <c r="O1003" s="40">
        <v>0</v>
      </c>
      <c r="P1003" s="40">
        <v>0</v>
      </c>
      <c r="Q1003" s="40">
        <v>0</v>
      </c>
      <c r="R1003" s="40">
        <v>0</v>
      </c>
      <c r="S1003" s="40">
        <v>1</v>
      </c>
      <c r="T1003" s="29">
        <f t="array" aca="1" ref="T1003" ca="1">+fair_value_gap(OFFSET(S1002,0,0,-1*$I$5,-1*$Z$1),OFFSET(E1002,0,0,-1*$I$5,1),F1003:S1003,0)</f>
        <v>19.799510816069116</v>
      </c>
      <c r="U1003" s="9" cm="1">
        <f t="array" aca="1" ref="U1003" ca="1">z_score_diff(OFFSET(T1003,0,0,$I$5*-1,1),OFFSET(E1003,0,0,$I$5*-1,1))</f>
        <v>-3.4167424011400827E-2</v>
      </c>
      <c r="V1003" s="9">
        <f t="shared" ca="1" si="127"/>
        <v>-2.2801613409472725E-2</v>
      </c>
      <c r="W1003" s="17">
        <f t="shared" ca="1" si="124"/>
        <v>-8.5916795512299055E-2</v>
      </c>
      <c r="X1003" s="13">
        <f t="shared" ca="1" si="125"/>
        <v>0</v>
      </c>
      <c r="Y1003" s="13">
        <f t="shared" ca="1" si="126"/>
        <v>0</v>
      </c>
      <c r="Z1003">
        <f t="shared" ca="1" si="128"/>
        <v>1</v>
      </c>
      <c r="AA1003">
        <f t="shared" ca="1" si="129"/>
        <v>0</v>
      </c>
      <c r="AB1003" s="24">
        <f t="shared" ca="1" si="130"/>
        <v>-8.5916795512299055E-2</v>
      </c>
      <c r="AC1003" s="24">
        <f t="shared" ca="1" si="131"/>
        <v>0</v>
      </c>
    </row>
    <row r="1004" spans="3:29" x14ac:dyDescent="0.25">
      <c r="C1004" s="6">
        <v>997</v>
      </c>
      <c r="D1004" s="37">
        <v>43423</v>
      </c>
      <c r="E1004" s="39">
        <v>19.672999999999998</v>
      </c>
      <c r="F1004" s="39">
        <v>2.0335777172404508</v>
      </c>
      <c r="G1004" s="39">
        <v>56.189030618408822</v>
      </c>
      <c r="H1004" s="39">
        <v>71.719557416367351</v>
      </c>
      <c r="I1004" s="10">
        <v>0</v>
      </c>
      <c r="J1004" s="40">
        <v>0</v>
      </c>
      <c r="K1004" s="40">
        <v>0</v>
      </c>
      <c r="L1004" s="40">
        <v>0</v>
      </c>
      <c r="M1004" s="40">
        <v>0</v>
      </c>
      <c r="N1004" s="40">
        <v>0</v>
      </c>
      <c r="O1004" s="40">
        <v>0</v>
      </c>
      <c r="P1004" s="40">
        <v>0</v>
      </c>
      <c r="Q1004" s="40">
        <v>0</v>
      </c>
      <c r="R1004" s="40">
        <v>0</v>
      </c>
      <c r="S1004" s="40">
        <v>1</v>
      </c>
      <c r="T1004" s="29">
        <f t="array" aca="1" ref="T1004" ca="1">+fair_value_gap(OFFSET(S1003,0,0,-1*$I$5,-1*$Z$1),OFFSET(E1003,0,0,-1*$I$5,1),F1004:S1004,0)</f>
        <v>19.64297478910764</v>
      </c>
      <c r="U1004" s="9" cm="1">
        <f t="array" aca="1" ref="U1004" ca="1">z_score_diff(OFFSET(T1004,0,0,$I$5*-1,1),OFFSET(E1004,0,0,$I$5*-1,1))</f>
        <v>2.7195319710951342E-2</v>
      </c>
      <c r="V1004" s="9">
        <f t="shared" ca="1" si="127"/>
        <v>-1.8775088577565227E-2</v>
      </c>
      <c r="W1004" s="17">
        <f t="shared" ca="1" si="124"/>
        <v>-6.619020040904551E-2</v>
      </c>
      <c r="X1004" s="13">
        <f t="shared" ca="1" si="125"/>
        <v>0</v>
      </c>
      <c r="Y1004" s="13">
        <f t="shared" ca="1" si="126"/>
        <v>0</v>
      </c>
      <c r="Z1004">
        <f t="shared" ca="1" si="128"/>
        <v>1</v>
      </c>
      <c r="AA1004">
        <f t="shared" ca="1" si="129"/>
        <v>0</v>
      </c>
      <c r="AB1004" s="24">
        <f t="shared" ca="1" si="130"/>
        <v>-6.619020040904551E-2</v>
      </c>
      <c r="AC1004" s="24">
        <f t="shared" ca="1" si="131"/>
        <v>0</v>
      </c>
    </row>
    <row r="1005" spans="3:29" x14ac:dyDescent="0.25">
      <c r="C1005" s="6">
        <v>998</v>
      </c>
      <c r="D1005" s="37">
        <v>43424</v>
      </c>
      <c r="E1005" s="39">
        <v>19.55</v>
      </c>
      <c r="F1005" s="39">
        <v>2.0078070229743319</v>
      </c>
      <c r="G1005" s="39">
        <v>55.734735669900708</v>
      </c>
      <c r="H1005" s="39">
        <v>72.030076949204158</v>
      </c>
      <c r="I1005" s="10">
        <v>0</v>
      </c>
      <c r="J1005" s="40">
        <v>0</v>
      </c>
      <c r="K1005" s="40">
        <v>0</v>
      </c>
      <c r="L1005" s="40">
        <v>0</v>
      </c>
      <c r="M1005" s="40">
        <v>0</v>
      </c>
      <c r="N1005" s="40">
        <v>0</v>
      </c>
      <c r="O1005" s="40">
        <v>0</v>
      </c>
      <c r="P1005" s="40">
        <v>0</v>
      </c>
      <c r="Q1005" s="40">
        <v>0</v>
      </c>
      <c r="R1005" s="40">
        <v>0</v>
      </c>
      <c r="S1005" s="40">
        <v>1</v>
      </c>
      <c r="T1005" s="29">
        <f t="array" aca="1" ref="T1005" ca="1">+fair_value_gap(OFFSET(S1004,0,0,-1*$I$5,-1*$Z$1),OFFSET(E1004,0,0,-1*$I$5,1),F1005:S1005,0)</f>
        <v>19.521456984309079</v>
      </c>
      <c r="U1005" s="9" cm="1">
        <f t="array" aca="1" ref="U1005" ca="1">z_score_diff(OFFSET(T1005,0,0,$I$5*-1,1),OFFSET(E1005,0,0,$I$5*-1,1))</f>
        <v>2.8480838654673563E-2</v>
      </c>
      <c r="V1005" s="9">
        <f t="shared" ca="1" si="127"/>
        <v>-1.7755468214521248E-2</v>
      </c>
      <c r="W1005" s="17">
        <f t="shared" ca="1" si="124"/>
        <v>-5.0243905761874159E-2</v>
      </c>
      <c r="X1005" s="13">
        <f t="shared" ca="1" si="125"/>
        <v>0</v>
      </c>
      <c r="Y1005" s="13">
        <f t="shared" ca="1" si="126"/>
        <v>0</v>
      </c>
      <c r="Z1005">
        <f t="shared" ca="1" si="128"/>
        <v>1</v>
      </c>
      <c r="AA1005">
        <f t="shared" ca="1" si="129"/>
        <v>0</v>
      </c>
      <c r="AB1005" s="24">
        <f t="shared" ca="1" si="130"/>
        <v>-5.0243905761874159E-2</v>
      </c>
      <c r="AC1005" s="24">
        <f t="shared" ca="1" si="131"/>
        <v>0</v>
      </c>
    </row>
    <row r="1006" spans="3:29" x14ac:dyDescent="0.25">
      <c r="C1006" s="6">
        <v>999</v>
      </c>
      <c r="D1006" s="37">
        <v>43425</v>
      </c>
      <c r="E1006" s="39">
        <v>19.536000000000001</v>
      </c>
      <c r="F1006" s="39">
        <v>2.0017544592505954</v>
      </c>
      <c r="G1006" s="39">
        <v>55.387183203759825</v>
      </c>
      <c r="H1006" s="39">
        <v>71.64041939930658</v>
      </c>
      <c r="I1006" s="10">
        <v>0</v>
      </c>
      <c r="J1006" s="40">
        <v>0</v>
      </c>
      <c r="K1006" s="40">
        <v>0</v>
      </c>
      <c r="L1006" s="40">
        <v>0</v>
      </c>
      <c r="M1006" s="40">
        <v>0</v>
      </c>
      <c r="N1006" s="40">
        <v>0</v>
      </c>
      <c r="O1006" s="40">
        <v>0</v>
      </c>
      <c r="P1006" s="40">
        <v>0</v>
      </c>
      <c r="Q1006" s="40">
        <v>0</v>
      </c>
      <c r="R1006" s="40">
        <v>0</v>
      </c>
      <c r="S1006" s="40">
        <v>1</v>
      </c>
      <c r="T1006" s="29">
        <f t="array" aca="1" ref="T1006" ca="1">+fair_value_gap(OFFSET(S1005,0,0,-1*$I$5,-1*$Z$1),OFFSET(E1005,0,0,-1*$I$5,1),F1006:S1006,0)</f>
        <v>19.422146077457384</v>
      </c>
      <c r="U1006" s="9" cm="1">
        <f t="array" aca="1" ref="U1006" ca="1">z_score_diff(OFFSET(T1006,0,0,$I$5*-1,1),OFFSET(E1006,0,0,$I$5*-1,1))</f>
        <v>-6.003668888829106E-4</v>
      </c>
      <c r="V1006" s="9">
        <f t="shared" ca="1" si="127"/>
        <v>-1.8069907750379848E-2</v>
      </c>
      <c r="W1006" s="17">
        <f t="shared" ca="1" si="124"/>
        <v>-5.6923580886387187E-2</v>
      </c>
      <c r="X1006" s="13">
        <f t="shared" ca="1" si="125"/>
        <v>0</v>
      </c>
      <c r="Y1006" s="13">
        <f t="shared" ca="1" si="126"/>
        <v>0</v>
      </c>
      <c r="Z1006">
        <f t="shared" ca="1" si="128"/>
        <v>1</v>
      </c>
      <c r="AA1006">
        <f t="shared" ca="1" si="129"/>
        <v>0</v>
      </c>
      <c r="AB1006" s="24">
        <f t="shared" ca="1" si="130"/>
        <v>-5.6923580886387187E-2</v>
      </c>
      <c r="AC1006" s="24">
        <f t="shared" ca="1" si="131"/>
        <v>0</v>
      </c>
    </row>
    <row r="1007" spans="3:29" x14ac:dyDescent="0.25">
      <c r="C1007" s="6">
        <v>1000</v>
      </c>
      <c r="D1007" s="37">
        <v>43426</v>
      </c>
      <c r="E1007" s="39">
        <v>19.693999999999999</v>
      </c>
      <c r="F1007" s="39">
        <v>1.9981986189411882</v>
      </c>
      <c r="G1007" s="39">
        <v>55.865736602333413</v>
      </c>
      <c r="H1007" s="39">
        <v>71.429762818160597</v>
      </c>
      <c r="I1007" s="10">
        <v>0</v>
      </c>
      <c r="J1007" s="40">
        <v>0</v>
      </c>
      <c r="K1007" s="40">
        <v>0</v>
      </c>
      <c r="L1007" s="40">
        <v>0</v>
      </c>
      <c r="M1007" s="40">
        <v>0</v>
      </c>
      <c r="N1007" s="40">
        <v>0</v>
      </c>
      <c r="O1007" s="40">
        <v>0</v>
      </c>
      <c r="P1007" s="40">
        <v>0</v>
      </c>
      <c r="Q1007" s="40">
        <v>0</v>
      </c>
      <c r="R1007" s="40">
        <v>0</v>
      </c>
      <c r="S1007" s="40">
        <v>1</v>
      </c>
      <c r="T1007" s="29">
        <f t="array" aca="1" ref="T1007" ca="1">+fair_value_gap(OFFSET(S1006,0,0,-1*$I$5,-1*$Z$1),OFFSET(E1006,0,0,-1*$I$5,1),F1007:S1007,0)</f>
        <v>19.564093305004235</v>
      </c>
      <c r="U1007" s="9" cm="1">
        <f t="array" aca="1" ref="U1007" ca="1">z_score_diff(OFFSET(T1007,0,0,$I$5*-1,1),OFFSET(E1007,0,0,$I$5*-1,1))</f>
        <v>-7.4668399701460636E-3</v>
      </c>
      <c r="V1007" s="9">
        <f t="shared" ca="1" si="127"/>
        <v>-1.7864764944276336E-2</v>
      </c>
      <c r="W1007" s="17">
        <f t="shared" ca="1" si="124"/>
        <v>-4.9547026123978342E-2</v>
      </c>
      <c r="X1007" s="13">
        <f t="shared" ca="1" si="125"/>
        <v>0</v>
      </c>
      <c r="Y1007" s="13">
        <f t="shared" ca="1" si="126"/>
        <v>0</v>
      </c>
      <c r="Z1007">
        <f t="shared" ca="1" si="128"/>
        <v>1</v>
      </c>
      <c r="AA1007">
        <f t="shared" ca="1" si="129"/>
        <v>0</v>
      </c>
      <c r="AB1007" s="24">
        <f t="shared" ca="1" si="130"/>
        <v>-4.9547026123978342E-2</v>
      </c>
      <c r="AC1007" s="24">
        <f t="shared" ca="1" si="131"/>
        <v>0</v>
      </c>
    </row>
    <row r="1008" spans="3:29" x14ac:dyDescent="0.25">
      <c r="C1008" s="6">
        <v>1001</v>
      </c>
      <c r="D1008" s="37">
        <v>43427</v>
      </c>
      <c r="E1008" s="39">
        <v>19.359000000000002</v>
      </c>
      <c r="F1008" s="39">
        <v>2.0400127941543142</v>
      </c>
      <c r="G1008" s="39">
        <v>55.063874315434809</v>
      </c>
      <c r="H1008" s="39">
        <v>71.484398939193355</v>
      </c>
      <c r="I1008" s="10">
        <v>0</v>
      </c>
      <c r="J1008" s="40">
        <v>0</v>
      </c>
      <c r="K1008" s="40">
        <v>0</v>
      </c>
      <c r="L1008" s="40">
        <v>0</v>
      </c>
      <c r="M1008" s="40">
        <v>0</v>
      </c>
      <c r="N1008" s="40">
        <v>0</v>
      </c>
      <c r="O1008" s="40">
        <v>0</v>
      </c>
      <c r="P1008" s="40">
        <v>0</v>
      </c>
      <c r="Q1008" s="40">
        <v>0</v>
      </c>
      <c r="R1008" s="40">
        <v>0</v>
      </c>
      <c r="S1008" s="40">
        <v>1</v>
      </c>
      <c r="T1008" s="29">
        <f t="array" aca="1" ref="T1008" ca="1">+fair_value_gap(OFFSET(S1007,0,0,-1*$I$5,-1*$Z$1),OFFSET(E1007,0,0,-1*$I$5,1),F1008:S1008,0)</f>
        <v>19.373058283480319</v>
      </c>
      <c r="U1008" s="9" cm="1">
        <f t="array" aca="1" ref="U1008" ca="1">z_score_diff(OFFSET(T1008,0,0,$I$5*-1,1),OFFSET(E1008,0,0,$I$5*-1,1))</f>
        <v>4.2353713119468478E-2</v>
      </c>
      <c r="V1008" s="9">
        <f t="shared" ca="1" si="127"/>
        <v>-1.6006535538745245E-2</v>
      </c>
      <c r="W1008" s="17">
        <f t="shared" ca="1" si="124"/>
        <v>-1.808706887004945E-2</v>
      </c>
      <c r="X1008" s="13">
        <f t="shared" ca="1" si="125"/>
        <v>0</v>
      </c>
      <c r="Y1008" s="13">
        <f t="shared" ca="1" si="126"/>
        <v>0</v>
      </c>
      <c r="Z1008">
        <f t="shared" ca="1" si="128"/>
        <v>1</v>
      </c>
      <c r="AA1008">
        <f t="shared" ca="1" si="129"/>
        <v>0</v>
      </c>
      <c r="AB1008" s="24">
        <f t="shared" ca="1" si="130"/>
        <v>-1.808706887004945E-2</v>
      </c>
      <c r="AC1008" s="24">
        <f t="shared" ca="1" si="131"/>
        <v>0</v>
      </c>
    </row>
    <row r="1009" spans="3:29" x14ac:dyDescent="0.25">
      <c r="C1009" s="6">
        <v>1002</v>
      </c>
      <c r="D1009" s="37">
        <v>43430</v>
      </c>
      <c r="E1009" s="39">
        <v>19.434000000000001</v>
      </c>
      <c r="F1009" s="39">
        <v>2.0369522961893209</v>
      </c>
      <c r="G1009" s="39">
        <v>55.257049780000202</v>
      </c>
      <c r="H1009" s="39">
        <v>72.544385156948607</v>
      </c>
      <c r="I1009" s="10">
        <v>0</v>
      </c>
      <c r="J1009" s="40">
        <v>0</v>
      </c>
      <c r="K1009" s="40">
        <v>0</v>
      </c>
      <c r="L1009" s="40">
        <v>0</v>
      </c>
      <c r="M1009" s="40">
        <v>0</v>
      </c>
      <c r="N1009" s="40">
        <v>0</v>
      </c>
      <c r="O1009" s="40">
        <v>0</v>
      </c>
      <c r="P1009" s="40">
        <v>0</v>
      </c>
      <c r="Q1009" s="40">
        <v>0</v>
      </c>
      <c r="R1009" s="40">
        <v>0</v>
      </c>
      <c r="S1009" s="40">
        <v>1</v>
      </c>
      <c r="T1009" s="29">
        <f t="array" aca="1" ref="T1009" ca="1">+fair_value_gap(OFFSET(S1008,0,0,-1*$I$5,-1*$Z$1),OFFSET(E1008,0,0,-1*$I$5,1),F1009:S1009,0)</f>
        <v>19.464224562832992</v>
      </c>
      <c r="U1009" s="9" cm="1">
        <f t="array" aca="1" ref="U1009" ca="1">z_score_diff(OFFSET(T1009,0,0,$I$5*-1,1),OFFSET(E1009,0,0,$I$5*-1,1))</f>
        <v>4.6804744635125871E-2</v>
      </c>
      <c r="V1009" s="9">
        <f t="shared" ca="1" si="127"/>
        <v>-1.2810398389425387E-2</v>
      </c>
      <c r="W1009" s="17">
        <f t="shared" ca="1" si="124"/>
        <v>9.2578312429222713E-4</v>
      </c>
      <c r="X1009" s="13">
        <f t="shared" ca="1" si="125"/>
        <v>0</v>
      </c>
      <c r="Y1009" s="13">
        <f t="shared" ca="1" si="126"/>
        <v>0</v>
      </c>
      <c r="Z1009">
        <f t="shared" ca="1" si="128"/>
        <v>1</v>
      </c>
      <c r="AA1009">
        <f t="shared" ca="1" si="129"/>
        <v>0</v>
      </c>
      <c r="AB1009" s="24">
        <f t="shared" ca="1" si="130"/>
        <v>9.2578312429222713E-4</v>
      </c>
      <c r="AC1009" s="24">
        <f t="shared" ca="1" si="131"/>
        <v>0</v>
      </c>
    </row>
    <row r="1010" spans="3:29" x14ac:dyDescent="0.25">
      <c r="C1010" s="6">
        <v>1003</v>
      </c>
      <c r="D1010" s="37">
        <v>43431</v>
      </c>
      <c r="E1010" s="39">
        <v>19.718</v>
      </c>
      <c r="F1010" s="39">
        <v>2.0484312486839333</v>
      </c>
      <c r="G1010" s="39">
        <v>56.299709068522809</v>
      </c>
      <c r="H1010" s="39">
        <v>73.48915561170773</v>
      </c>
      <c r="I1010" s="10">
        <v>0</v>
      </c>
      <c r="J1010" s="40">
        <v>0</v>
      </c>
      <c r="K1010" s="40">
        <v>0</v>
      </c>
      <c r="L1010" s="40">
        <v>0</v>
      </c>
      <c r="M1010" s="40">
        <v>0</v>
      </c>
      <c r="N1010" s="40">
        <v>0</v>
      </c>
      <c r="O1010" s="40">
        <v>0</v>
      </c>
      <c r="P1010" s="40">
        <v>0</v>
      </c>
      <c r="Q1010" s="40">
        <v>0</v>
      </c>
      <c r="R1010" s="40">
        <v>0</v>
      </c>
      <c r="S1010" s="40">
        <v>1</v>
      </c>
      <c r="T1010" s="29">
        <f t="array" aca="1" ref="T1010" ca="1">+fair_value_gap(OFFSET(S1009,0,0,-1*$I$5,-1*$Z$1),OFFSET(E1009,0,0,-1*$I$5,1),F1010:S1010,0)</f>
        <v>19.797645284934873</v>
      </c>
      <c r="U1010" s="9" cm="1">
        <f t="array" aca="1" ref="U1010" ca="1">z_score_diff(OFFSET(T1010,0,0,$I$5*-1,1),OFFSET(E1010,0,0,$I$5*-1,1))</f>
        <v>6.2136243625520136E-2</v>
      </c>
      <c r="V1010" s="9">
        <f t="shared" ca="1" si="127"/>
        <v>-9.792701705762118E-3</v>
      </c>
      <c r="W1010" s="17">
        <f t="shared" ca="1" si="124"/>
        <v>-6.0533796261265727E-3</v>
      </c>
      <c r="X1010" s="13">
        <f t="shared" ca="1" si="125"/>
        <v>0</v>
      </c>
      <c r="Y1010" s="13">
        <f t="shared" ca="1" si="126"/>
        <v>0</v>
      </c>
      <c r="Z1010">
        <f t="shared" ca="1" si="128"/>
        <v>1</v>
      </c>
      <c r="AA1010">
        <f t="shared" ca="1" si="129"/>
        <v>0</v>
      </c>
      <c r="AB1010" s="24">
        <f t="shared" ca="1" si="130"/>
        <v>-6.0533796261265727E-3</v>
      </c>
      <c r="AC1010" s="24">
        <f t="shared" ca="1" si="131"/>
        <v>0</v>
      </c>
    </row>
    <row r="1011" spans="3:29" x14ac:dyDescent="0.25">
      <c r="C1011" s="6">
        <v>1004</v>
      </c>
      <c r="D1011" s="37">
        <v>43432</v>
      </c>
      <c r="E1011" s="39">
        <v>19.469000000000001</v>
      </c>
      <c r="F1011" s="39">
        <v>2.0516383391020838</v>
      </c>
      <c r="G1011" s="39">
        <v>55.396492917265221</v>
      </c>
      <c r="H1011" s="39">
        <v>72.740665715206489</v>
      </c>
      <c r="I1011" s="10">
        <v>0</v>
      </c>
      <c r="J1011" s="40">
        <v>0</v>
      </c>
      <c r="K1011" s="40">
        <v>0</v>
      </c>
      <c r="L1011" s="40">
        <v>0</v>
      </c>
      <c r="M1011" s="40">
        <v>0</v>
      </c>
      <c r="N1011" s="40">
        <v>0</v>
      </c>
      <c r="O1011" s="40">
        <v>0</v>
      </c>
      <c r="P1011" s="40">
        <v>0</v>
      </c>
      <c r="Q1011" s="40">
        <v>0</v>
      </c>
      <c r="R1011" s="40">
        <v>0</v>
      </c>
      <c r="S1011" s="40">
        <v>1</v>
      </c>
      <c r="T1011" s="29">
        <f t="array" aca="1" ref="T1011" ca="1">+fair_value_gap(OFFSET(S1010,0,0,-1*$I$5,-1*$Z$1),OFFSET(E1010,0,0,-1*$I$5,1),F1011:S1011,0)</f>
        <v>19.515277018646408</v>
      </c>
      <c r="U1011" s="9" cm="1">
        <f t="array" aca="1" ref="U1011" ca="1">z_score_diff(OFFSET(T1011,0,0,$I$5*-1,1),OFFSET(E1011,0,0,$I$5*-1,1))</f>
        <v>5.1312161973885967E-2</v>
      </c>
      <c r="V1011" s="9">
        <f t="shared" ca="1" si="127"/>
        <v>-6.6582117759909675E-3</v>
      </c>
      <c r="W1011" s="17">
        <f t="shared" ca="1" si="124"/>
        <v>-6.0276836890471681E-3</v>
      </c>
      <c r="X1011" s="13">
        <f t="shared" ca="1" si="125"/>
        <v>0</v>
      </c>
      <c r="Y1011" s="13">
        <f t="shared" ca="1" si="126"/>
        <v>0</v>
      </c>
      <c r="Z1011">
        <f t="shared" ca="1" si="128"/>
        <v>1</v>
      </c>
      <c r="AA1011">
        <f t="shared" ca="1" si="129"/>
        <v>0</v>
      </c>
      <c r="AB1011" s="24">
        <f t="shared" ca="1" si="130"/>
        <v>-6.0276836890471681E-3</v>
      </c>
      <c r="AC1011" s="24">
        <f t="shared" ca="1" si="131"/>
        <v>0</v>
      </c>
    </row>
    <row r="1012" spans="3:29" x14ac:dyDescent="0.25">
      <c r="C1012" s="6">
        <v>1005</v>
      </c>
      <c r="D1012" s="37">
        <v>43433</v>
      </c>
      <c r="E1012" s="39">
        <v>19.573</v>
      </c>
      <c r="F1012" s="39">
        <v>2.0755833191284556</v>
      </c>
      <c r="G1012" s="39">
        <v>55.932648089782056</v>
      </c>
      <c r="H1012" s="39">
        <v>73.322236817037833</v>
      </c>
      <c r="I1012" s="10">
        <v>0</v>
      </c>
      <c r="J1012" s="40">
        <v>0</v>
      </c>
      <c r="K1012" s="40">
        <v>0</v>
      </c>
      <c r="L1012" s="40">
        <v>0</v>
      </c>
      <c r="M1012" s="40">
        <v>0</v>
      </c>
      <c r="N1012" s="40">
        <v>0</v>
      </c>
      <c r="O1012" s="40">
        <v>0</v>
      </c>
      <c r="P1012" s="40">
        <v>0</v>
      </c>
      <c r="Q1012" s="40">
        <v>0</v>
      </c>
      <c r="R1012" s="40">
        <v>0</v>
      </c>
      <c r="S1012" s="40">
        <v>1</v>
      </c>
      <c r="T1012" s="29">
        <f t="array" aca="1" ref="T1012" ca="1">+fair_value_gap(OFFSET(S1011,0,0,-1*$I$5,-1*$Z$1),OFFSET(E1011,0,0,-1*$I$5,1),F1012:S1012,0)</f>
        <v>19.70159110976056</v>
      </c>
      <c r="U1012" s="9" cm="1">
        <f t="array" aca="1" ref="U1012" ca="1">z_score_diff(OFFSET(T1012,0,0,$I$5*-1,1),OFFSET(E1012,0,0,$I$5*-1,1))</f>
        <v>7.9324064269254563E-2</v>
      </c>
      <c r="V1012" s="9">
        <f t="shared" ca="1" si="127"/>
        <v>-3.4807380007850601E-3</v>
      </c>
      <c r="W1012" s="17">
        <f t="shared" ca="1" si="124"/>
        <v>-1.6640004786593582E-2</v>
      </c>
      <c r="X1012" s="13">
        <f t="shared" ca="1" si="125"/>
        <v>0</v>
      </c>
      <c r="Y1012" s="13">
        <f t="shared" ca="1" si="126"/>
        <v>0</v>
      </c>
      <c r="Z1012">
        <f t="shared" ca="1" si="128"/>
        <v>1</v>
      </c>
      <c r="AA1012">
        <f t="shared" ca="1" si="129"/>
        <v>0</v>
      </c>
      <c r="AB1012" s="24">
        <f t="shared" ca="1" si="130"/>
        <v>-1.6640004786593582E-2</v>
      </c>
      <c r="AC1012" s="24">
        <f t="shared" ca="1" si="131"/>
        <v>0</v>
      </c>
    </row>
    <row r="1013" spans="3:29" x14ac:dyDescent="0.25">
      <c r="C1013" s="6">
        <v>1006</v>
      </c>
      <c r="D1013" s="37">
        <v>43434</v>
      </c>
      <c r="E1013" s="39">
        <v>19.161999999999999</v>
      </c>
      <c r="F1013" s="39">
        <v>2.0962633034519813</v>
      </c>
      <c r="G1013" s="39">
        <v>53.3370059220493</v>
      </c>
      <c r="H1013" s="39">
        <v>74.163828064366129</v>
      </c>
      <c r="I1013" s="10">
        <v>0</v>
      </c>
      <c r="J1013" s="40">
        <v>0</v>
      </c>
      <c r="K1013" s="40">
        <v>0</v>
      </c>
      <c r="L1013" s="40">
        <v>0</v>
      </c>
      <c r="M1013" s="40">
        <v>0</v>
      </c>
      <c r="N1013" s="40">
        <v>0</v>
      </c>
      <c r="O1013" s="40">
        <v>0</v>
      </c>
      <c r="P1013" s="40">
        <v>0</v>
      </c>
      <c r="Q1013" s="40">
        <v>0</v>
      </c>
      <c r="R1013" s="40">
        <v>0</v>
      </c>
      <c r="S1013" s="40">
        <v>1</v>
      </c>
      <c r="T1013" s="29">
        <f t="array" aca="1" ref="T1013" ca="1">+fair_value_gap(OFFSET(S1012,0,0,-1*$I$5,-1*$Z$1),OFFSET(E1012,0,0,-1*$I$5,1),F1013:S1013,0)</f>
        <v>19.01788398278098</v>
      </c>
      <c r="U1013" s="9" cm="1">
        <f t="array" aca="1" ref="U1013" ca="1">z_score_diff(OFFSET(T1013,0,0,$I$5*-1,1),OFFSET(E1013,0,0,$I$5*-1,1))</f>
        <v>-1.3768707713097794E-2</v>
      </c>
      <c r="V1013" s="9">
        <f t="shared" ca="1" si="127"/>
        <v>-2.1732833460031465E-3</v>
      </c>
      <c r="W1013" s="17">
        <f t="shared" ca="1" si="124"/>
        <v>1.5277751260557478E-2</v>
      </c>
      <c r="X1013" s="13">
        <f t="shared" ca="1" si="125"/>
        <v>0</v>
      </c>
      <c r="Y1013" s="13">
        <f t="shared" ca="1" si="126"/>
        <v>0</v>
      </c>
      <c r="Z1013">
        <f t="shared" ca="1" si="128"/>
        <v>1</v>
      </c>
      <c r="AA1013">
        <f t="shared" ca="1" si="129"/>
        <v>0</v>
      </c>
      <c r="AB1013" s="24">
        <f t="shared" ca="1" si="130"/>
        <v>1.5277751260557478E-2</v>
      </c>
      <c r="AC1013" s="24">
        <f t="shared" ca="1" si="131"/>
        <v>0</v>
      </c>
    </row>
    <row r="1014" spans="3:29" x14ac:dyDescent="0.25">
      <c r="C1014" s="6">
        <v>1007</v>
      </c>
      <c r="D1014" s="37">
        <v>43437</v>
      </c>
      <c r="E1014" s="39">
        <v>19.172000000000001</v>
      </c>
      <c r="F1014" s="39">
        <v>2.1035411564950812</v>
      </c>
      <c r="G1014" s="39">
        <v>53.715387504035242</v>
      </c>
      <c r="H1014" s="39">
        <v>73.875359739060343</v>
      </c>
      <c r="I1014" s="10">
        <v>0</v>
      </c>
      <c r="J1014" s="40">
        <v>0</v>
      </c>
      <c r="K1014" s="40">
        <v>0</v>
      </c>
      <c r="L1014" s="40">
        <v>0</v>
      </c>
      <c r="M1014" s="40">
        <v>0</v>
      </c>
      <c r="N1014" s="40">
        <v>0</v>
      </c>
      <c r="O1014" s="40">
        <v>0</v>
      </c>
      <c r="P1014" s="40">
        <v>0</v>
      </c>
      <c r="Q1014" s="40">
        <v>0</v>
      </c>
      <c r="R1014" s="40">
        <v>0</v>
      </c>
      <c r="S1014" s="40">
        <v>0</v>
      </c>
      <c r="T1014" s="29">
        <f t="array" aca="1" ref="T1014" ca="1">+fair_value_gap(OFFSET(S1013,0,0,-1*$I$5,-1*$Z$1),OFFSET(E1013,0,0,-1*$I$5,1),F1014:S1014,0)</f>
        <v>19.308930311903435</v>
      </c>
      <c r="U1014" s="9" cm="1">
        <f t="array" aca="1" ref="U1014" ca="1">z_score_diff(OFFSET(T1014,0,0,$I$5*-1,1),OFFSET(E1014,0,0,$I$5*-1,1))</f>
        <v>8.4111503656681602E-2</v>
      </c>
      <c r="V1014" s="9">
        <f t="shared" ca="1" si="127"/>
        <v>1.0262671469282922E-3</v>
      </c>
      <c r="W1014" s="17">
        <f t="shared" ca="1" si="124"/>
        <v>-8.9592719369899054E-3</v>
      </c>
      <c r="X1014" s="13">
        <f t="shared" ca="1" si="125"/>
        <v>0</v>
      </c>
      <c r="Y1014" s="13">
        <f t="shared" ca="1" si="126"/>
        <v>0</v>
      </c>
      <c r="Z1014">
        <f t="shared" ca="1" si="128"/>
        <v>0</v>
      </c>
      <c r="AA1014">
        <f t="shared" ca="1" si="129"/>
        <v>1</v>
      </c>
      <c r="AB1014" s="24">
        <f t="shared" ca="1" si="130"/>
        <v>0</v>
      </c>
      <c r="AC1014" s="24">
        <f t="shared" ca="1" si="131"/>
        <v>-8.9592719369899054E-3</v>
      </c>
    </row>
    <row r="1015" spans="3:29" x14ac:dyDescent="0.25">
      <c r="C1015" s="6">
        <v>1008</v>
      </c>
      <c r="D1015" s="37">
        <v>43438</v>
      </c>
      <c r="E1015" s="39">
        <v>19.245000000000001</v>
      </c>
      <c r="F1015" s="39">
        <v>2.0955760527165732</v>
      </c>
      <c r="G1015" s="39">
        <v>53.914859268617953</v>
      </c>
      <c r="H1015" s="39">
        <v>73.48777510727453</v>
      </c>
      <c r="I1015" s="10">
        <v>0</v>
      </c>
      <c r="J1015" s="40">
        <v>0</v>
      </c>
      <c r="K1015" s="40">
        <v>0</v>
      </c>
      <c r="L1015" s="40">
        <v>0</v>
      </c>
      <c r="M1015" s="40">
        <v>0</v>
      </c>
      <c r="N1015" s="40">
        <v>0</v>
      </c>
      <c r="O1015" s="40">
        <v>0</v>
      </c>
      <c r="P1015" s="40">
        <v>0</v>
      </c>
      <c r="Q1015" s="40">
        <v>0</v>
      </c>
      <c r="R1015" s="40">
        <v>0</v>
      </c>
      <c r="S1015" s="40">
        <v>0</v>
      </c>
      <c r="T1015" s="29">
        <f t="array" aca="1" ref="T1015" ca="1">+fair_value_gap(OFFSET(S1014,0,0,-1*$I$5,-1*$Z$1),OFFSET(E1014,0,0,-1*$I$5,1),F1015:S1015,0)</f>
        <v>19.322148574176758</v>
      </c>
      <c r="U1015" s="9" cm="1">
        <f t="array" aca="1" ref="U1015" ca="1">z_score_diff(OFFSET(T1015,0,0,$I$5*-1,1),OFFSET(E1015,0,0,$I$5*-1,1))</f>
        <v>6.2548394316044573E-2</v>
      </c>
      <c r="V1015" s="9">
        <f t="shared" ca="1" si="127"/>
        <v>4.0022565428610461E-3</v>
      </c>
      <c r="W1015" s="17">
        <f t="shared" ca="1" si="124"/>
        <v>-1.2338735511693066E-2</v>
      </c>
      <c r="X1015" s="13">
        <f t="shared" ca="1" si="125"/>
        <v>0</v>
      </c>
      <c r="Y1015" s="13">
        <f t="shared" ca="1" si="126"/>
        <v>0</v>
      </c>
      <c r="Z1015">
        <f t="shared" ca="1" si="128"/>
        <v>0</v>
      </c>
      <c r="AA1015">
        <f t="shared" ca="1" si="129"/>
        <v>1</v>
      </c>
      <c r="AB1015" s="24">
        <f t="shared" ca="1" si="130"/>
        <v>0</v>
      </c>
      <c r="AC1015" s="24">
        <f t="shared" ca="1" si="131"/>
        <v>-1.2338735511693066E-2</v>
      </c>
    </row>
    <row r="1016" spans="3:29" x14ac:dyDescent="0.25">
      <c r="C1016" s="6">
        <v>1009</v>
      </c>
      <c r="D1016" s="37">
        <v>43439</v>
      </c>
      <c r="E1016" s="39">
        <v>19.081</v>
      </c>
      <c r="F1016" s="39">
        <v>2.0994359286208559</v>
      </c>
      <c r="G1016" s="39">
        <v>53.447917936686295</v>
      </c>
      <c r="H1016" s="39">
        <v>74.314831512508121</v>
      </c>
      <c r="I1016" s="10">
        <v>0</v>
      </c>
      <c r="J1016" s="40">
        <v>0</v>
      </c>
      <c r="K1016" s="40">
        <v>0</v>
      </c>
      <c r="L1016" s="40">
        <v>0</v>
      </c>
      <c r="M1016" s="40">
        <v>0</v>
      </c>
      <c r="N1016" s="40">
        <v>0</v>
      </c>
      <c r="O1016" s="40">
        <v>0</v>
      </c>
      <c r="P1016" s="40">
        <v>0</v>
      </c>
      <c r="Q1016" s="40">
        <v>0</v>
      </c>
      <c r="R1016" s="40">
        <v>0</v>
      </c>
      <c r="S1016" s="40">
        <v>0</v>
      </c>
      <c r="T1016" s="29">
        <f t="array" aca="1" ref="T1016" ca="1">+fair_value_gap(OFFSET(S1015,0,0,-1*$I$5,-1*$Z$1),OFFSET(E1015,0,0,-1*$I$5,1),F1016:S1016,0)</f>
        <v>19.204299641307216</v>
      </c>
      <c r="U1016" s="9" cm="1">
        <f t="array" aca="1" ref="U1016" ca="1">z_score_diff(OFFSET(T1016,0,0,$I$5*-1,1),OFFSET(E1016,0,0,$I$5*-1,1))</f>
        <v>7.9324284712896653E-2</v>
      </c>
      <c r="V1016" s="9">
        <f t="shared" ca="1" si="127"/>
        <v>7.5186042457815209E-3</v>
      </c>
      <c r="W1016" s="17">
        <f t="shared" ca="1" si="124"/>
        <v>-9.0021928778384695E-3</v>
      </c>
      <c r="X1016" s="13">
        <f t="shared" ca="1" si="125"/>
        <v>0</v>
      </c>
      <c r="Y1016" s="13">
        <f t="shared" ca="1" si="126"/>
        <v>0</v>
      </c>
      <c r="Z1016">
        <f t="shared" ca="1" si="128"/>
        <v>0</v>
      </c>
      <c r="AA1016">
        <f t="shared" ca="1" si="129"/>
        <v>1</v>
      </c>
      <c r="AB1016" s="24">
        <f t="shared" ca="1" si="130"/>
        <v>0</v>
      </c>
      <c r="AC1016" s="24">
        <f t="shared" ca="1" si="131"/>
        <v>-9.0021928778384695E-3</v>
      </c>
    </row>
    <row r="1017" spans="3:29" x14ac:dyDescent="0.25">
      <c r="C1017" s="6">
        <v>1010</v>
      </c>
      <c r="D1017" s="37">
        <v>43440</v>
      </c>
      <c r="E1017" s="39">
        <v>19.018000000000001</v>
      </c>
      <c r="F1017" s="39">
        <v>2.0980407411404207</v>
      </c>
      <c r="G1017" s="39">
        <v>53.269606205040716</v>
      </c>
      <c r="H1017" s="39">
        <v>73.406329758800609</v>
      </c>
      <c r="I1017" s="10">
        <v>0</v>
      </c>
      <c r="J1017" s="40">
        <v>0</v>
      </c>
      <c r="K1017" s="40">
        <v>0</v>
      </c>
      <c r="L1017" s="40">
        <v>0</v>
      </c>
      <c r="M1017" s="40">
        <v>0</v>
      </c>
      <c r="N1017" s="40">
        <v>0</v>
      </c>
      <c r="O1017" s="40">
        <v>0</v>
      </c>
      <c r="P1017" s="40">
        <v>0</v>
      </c>
      <c r="Q1017" s="40">
        <v>0</v>
      </c>
      <c r="R1017" s="40">
        <v>0</v>
      </c>
      <c r="S1017" s="40">
        <v>0</v>
      </c>
      <c r="T1017" s="29">
        <f t="array" aca="1" ref="T1017" ca="1">+fair_value_gap(OFFSET(S1016,0,0,-1*$I$5,-1*$Z$1),OFFSET(E1016,0,0,-1*$I$5,1),F1017:S1017,0)</f>
        <v>19.100109449516289</v>
      </c>
      <c r="U1017" s="9" cm="1">
        <f t="array" aca="1" ref="U1017" ca="1">z_score_diff(OFFSET(T1017,0,0,$I$5*-1,1),OFFSET(E1017,0,0,$I$5*-1,1))</f>
        <v>6.4926189778732046E-2</v>
      </c>
      <c r="V1017" s="9">
        <f t="shared" ca="1" si="127"/>
        <v>1.037933863689392E-2</v>
      </c>
      <c r="W1017" s="17">
        <f t="shared" ca="1" si="124"/>
        <v>3.831120695269761E-3</v>
      </c>
      <c r="X1017" s="13">
        <f t="shared" ca="1" si="125"/>
        <v>0</v>
      </c>
      <c r="Y1017" s="13">
        <f t="shared" ca="1" si="126"/>
        <v>0</v>
      </c>
      <c r="Z1017">
        <f t="shared" ca="1" si="128"/>
        <v>0</v>
      </c>
      <c r="AA1017">
        <f t="shared" ca="1" si="129"/>
        <v>1</v>
      </c>
      <c r="AB1017" s="24">
        <f t="shared" ca="1" si="130"/>
        <v>0</v>
      </c>
      <c r="AC1017" s="24">
        <f t="shared" ca="1" si="131"/>
        <v>3.831120695269761E-3</v>
      </c>
    </row>
    <row r="1018" spans="3:29" x14ac:dyDescent="0.25">
      <c r="C1018" s="6">
        <v>1011</v>
      </c>
      <c r="D1018" s="37">
        <v>43441</v>
      </c>
      <c r="E1018" s="39">
        <v>19.242000000000001</v>
      </c>
      <c r="F1018" s="39">
        <v>2.1078099245014736</v>
      </c>
      <c r="G1018" s="39">
        <v>53.818464916309111</v>
      </c>
      <c r="H1018" s="39">
        <v>75.022327078966427</v>
      </c>
      <c r="I1018" s="10">
        <v>0</v>
      </c>
      <c r="J1018" s="40">
        <v>0</v>
      </c>
      <c r="K1018" s="40">
        <v>0</v>
      </c>
      <c r="L1018" s="40">
        <v>0</v>
      </c>
      <c r="M1018" s="40">
        <v>0</v>
      </c>
      <c r="N1018" s="40">
        <v>0</v>
      </c>
      <c r="O1018" s="40">
        <v>0</v>
      </c>
      <c r="P1018" s="40">
        <v>0</v>
      </c>
      <c r="Q1018" s="40">
        <v>0</v>
      </c>
      <c r="R1018" s="40">
        <v>0</v>
      </c>
      <c r="S1018" s="40">
        <v>0</v>
      </c>
      <c r="T1018" s="29">
        <f t="array" aca="1" ref="T1018" ca="1">+fair_value_gap(OFFSET(S1017,0,0,-1*$I$5,-1*$Z$1),OFFSET(E1017,0,0,-1*$I$5,1),F1018:S1018,0)</f>
        <v>19.303772039322808</v>
      </c>
      <c r="U1018" s="9" cm="1">
        <f t="array" aca="1" ref="U1018" ca="1">z_score_diff(OFFSET(T1018,0,0,$I$5*-1,1),OFFSET(E1018,0,0,$I$5*-1,1))</f>
        <v>5.6862329205824264E-2</v>
      </c>
      <c r="V1018" s="9">
        <f t="shared" ca="1" si="127"/>
        <v>1.3331272594316212E-2</v>
      </c>
      <c r="W1018" s="17">
        <f t="shared" ca="1" si="124"/>
        <v>-1.7140131854080375E-2</v>
      </c>
      <c r="X1018" s="13">
        <f t="shared" ca="1" si="125"/>
        <v>0</v>
      </c>
      <c r="Y1018" s="13">
        <f t="shared" ca="1" si="126"/>
        <v>0</v>
      </c>
      <c r="Z1018">
        <f t="shared" ca="1" si="128"/>
        <v>0</v>
      </c>
      <c r="AA1018">
        <f t="shared" ca="1" si="129"/>
        <v>1</v>
      </c>
      <c r="AB1018" s="24">
        <f t="shared" ca="1" si="130"/>
        <v>0</v>
      </c>
      <c r="AC1018" s="24">
        <f t="shared" ca="1" si="131"/>
        <v>-1.7140131854080375E-2</v>
      </c>
    </row>
    <row r="1019" spans="3:29" x14ac:dyDescent="0.25">
      <c r="C1019" s="6">
        <v>1012</v>
      </c>
      <c r="D1019" s="37">
        <v>43444</v>
      </c>
      <c r="E1019" s="39">
        <v>19.202999999999999</v>
      </c>
      <c r="F1019" s="39">
        <v>2.1176371804022001</v>
      </c>
      <c r="G1019" s="39">
        <v>54.119960498276129</v>
      </c>
      <c r="H1019" s="39">
        <v>75.066123682774261</v>
      </c>
      <c r="I1019" s="10">
        <v>0</v>
      </c>
      <c r="J1019" s="40">
        <v>0</v>
      </c>
      <c r="K1019" s="40">
        <v>0</v>
      </c>
      <c r="L1019" s="40">
        <v>0</v>
      </c>
      <c r="M1019" s="40">
        <v>0</v>
      </c>
      <c r="N1019" s="40">
        <v>0</v>
      </c>
      <c r="O1019" s="40">
        <v>0</v>
      </c>
      <c r="P1019" s="40">
        <v>0</v>
      </c>
      <c r="Q1019" s="40">
        <v>0</v>
      </c>
      <c r="R1019" s="40">
        <v>0</v>
      </c>
      <c r="S1019" s="40">
        <v>0</v>
      </c>
      <c r="T1019" s="29">
        <f t="array" aca="1" ref="T1019" ca="1">+fair_value_gap(OFFSET(S1018,0,0,-1*$I$5,-1*$Z$1),OFFSET(E1018,0,0,-1*$I$5,1),F1019:S1019,0)</f>
        <v>19.382546936607831</v>
      </c>
      <c r="U1019" s="9" cm="1">
        <f t="array" aca="1" ref="U1019" ca="1">z_score_diff(OFFSET(T1019,0,0,$I$5*-1,1),OFFSET(E1019,0,0,$I$5*-1,1))</f>
        <v>9.8879149535926789E-2</v>
      </c>
      <c r="V1019" s="9">
        <f t="shared" ca="1" si="127"/>
        <v>1.5838600297985346E-2</v>
      </c>
      <c r="W1019" s="17">
        <f t="shared" ca="1" si="124"/>
        <v>-1.1469997694513482E-2</v>
      </c>
      <c r="X1019" s="13">
        <f t="shared" ca="1" si="125"/>
        <v>0</v>
      </c>
      <c r="Y1019" s="13">
        <f t="shared" ca="1" si="126"/>
        <v>0</v>
      </c>
      <c r="Z1019">
        <f t="shared" ca="1" si="128"/>
        <v>0</v>
      </c>
      <c r="AA1019">
        <f t="shared" ca="1" si="129"/>
        <v>1</v>
      </c>
      <c r="AB1019" s="24">
        <f t="shared" ca="1" si="130"/>
        <v>0</v>
      </c>
      <c r="AC1019" s="24">
        <f t="shared" ca="1" si="131"/>
        <v>-1.1469997694513482E-2</v>
      </c>
    </row>
    <row r="1020" spans="3:29" x14ac:dyDescent="0.25">
      <c r="C1020" s="6">
        <v>1013</v>
      </c>
      <c r="D1020" s="37">
        <v>43445</v>
      </c>
      <c r="E1020" s="39">
        <v>19.25</v>
      </c>
      <c r="F1020" s="39">
        <v>2.1226168954245064</v>
      </c>
      <c r="G1020" s="39">
        <v>53.828358386272477</v>
      </c>
      <c r="H1020" s="39">
        <v>75.074316840549557</v>
      </c>
      <c r="I1020" s="10">
        <v>0</v>
      </c>
      <c r="J1020" s="40">
        <v>0</v>
      </c>
      <c r="K1020" s="40">
        <v>0</v>
      </c>
      <c r="L1020" s="40">
        <v>0</v>
      </c>
      <c r="M1020" s="40">
        <v>0</v>
      </c>
      <c r="N1020" s="40">
        <v>0</v>
      </c>
      <c r="O1020" s="40">
        <v>0</v>
      </c>
      <c r="P1020" s="40">
        <v>0</v>
      </c>
      <c r="Q1020" s="40">
        <v>0</v>
      </c>
      <c r="R1020" s="40">
        <v>0</v>
      </c>
      <c r="S1020" s="40">
        <v>0</v>
      </c>
      <c r="T1020" s="29">
        <f t="array" aca="1" ref="T1020" ca="1">+fair_value_gap(OFFSET(S1019,0,0,-1*$I$5,-1*$Z$1),OFFSET(E1019,0,0,-1*$I$5,1),F1020:S1020,0)</f>
        <v>19.290070650375458</v>
      </c>
      <c r="U1020" s="9" cm="1">
        <f t="array" aca="1" ref="U1020" ca="1">z_score_diff(OFFSET(T1020,0,0,$I$5*-1,1),OFFSET(E1020,0,0,$I$5*-1,1))</f>
        <v>4.9462464723953284E-2</v>
      </c>
      <c r="V1020" s="9">
        <f t="shared" ca="1" si="127"/>
        <v>1.7355830393195899E-2</v>
      </c>
      <c r="W1020" s="17">
        <f t="shared" ca="1" si="124"/>
        <v>-1.9513837831040538E-2</v>
      </c>
      <c r="X1020" s="13">
        <f t="shared" ca="1" si="125"/>
        <v>0</v>
      </c>
      <c r="Y1020" s="13">
        <f t="shared" ca="1" si="126"/>
        <v>0</v>
      </c>
      <c r="Z1020">
        <f t="shared" ca="1" si="128"/>
        <v>0</v>
      </c>
      <c r="AA1020">
        <f t="shared" ca="1" si="129"/>
        <v>1</v>
      </c>
      <c r="AB1020" s="24">
        <f t="shared" ca="1" si="130"/>
        <v>0</v>
      </c>
      <c r="AC1020" s="24">
        <f t="shared" ca="1" si="131"/>
        <v>-1.9513837831040538E-2</v>
      </c>
    </row>
    <row r="1021" spans="3:29" x14ac:dyDescent="0.25">
      <c r="C1021" s="6">
        <v>1014</v>
      </c>
      <c r="D1021" s="37">
        <v>43446</v>
      </c>
      <c r="E1021" s="39">
        <v>19.484999999999999</v>
      </c>
      <c r="F1021" s="39">
        <v>2.1210517531595618</v>
      </c>
      <c r="G1021" s="39">
        <v>54.684485410405379</v>
      </c>
      <c r="H1021" s="39">
        <v>74.601642326430621</v>
      </c>
      <c r="I1021" s="10">
        <v>0</v>
      </c>
      <c r="J1021" s="40">
        <v>0</v>
      </c>
      <c r="K1021" s="40">
        <v>0</v>
      </c>
      <c r="L1021" s="40">
        <v>0</v>
      </c>
      <c r="M1021" s="40">
        <v>0</v>
      </c>
      <c r="N1021" s="40">
        <v>0</v>
      </c>
      <c r="O1021" s="40">
        <v>0</v>
      </c>
      <c r="P1021" s="40">
        <v>0</v>
      </c>
      <c r="Q1021" s="40">
        <v>0</v>
      </c>
      <c r="R1021" s="40">
        <v>0</v>
      </c>
      <c r="S1021" s="40">
        <v>0</v>
      </c>
      <c r="T1021" s="29">
        <f t="array" aca="1" ref="T1021" ca="1">+fair_value_gap(OFFSET(S1020,0,0,-1*$I$5,-1*$Z$1),OFFSET(E1020,0,0,-1*$I$5,1),F1021:S1021,0)</f>
        <v>19.497986961550435</v>
      </c>
      <c r="U1021" s="9" cm="1">
        <f t="array" aca="1" ref="U1021" ca="1">z_score_diff(OFFSET(T1021,0,0,$I$5*-1,1),OFFSET(E1021,0,0,$I$5*-1,1))</f>
        <v>3.8765265431524455E-2</v>
      </c>
      <c r="V1021" s="9">
        <f t="shared" ca="1" si="127"/>
        <v>1.7937736191389868E-2</v>
      </c>
      <c r="W1021" s="17">
        <f t="shared" ca="1" si="124"/>
        <v>-3.5788068954768992E-2</v>
      </c>
      <c r="X1021" s="13">
        <f t="shared" ca="1" si="125"/>
        <v>0</v>
      </c>
      <c r="Y1021" s="13">
        <f t="shared" ca="1" si="126"/>
        <v>0</v>
      </c>
      <c r="Z1021">
        <f t="shared" ca="1" si="128"/>
        <v>0</v>
      </c>
      <c r="AA1021">
        <f t="shared" ca="1" si="129"/>
        <v>1</v>
      </c>
      <c r="AB1021" s="24">
        <f t="shared" ca="1" si="130"/>
        <v>0</v>
      </c>
      <c r="AC1021" s="24">
        <f t="shared" ca="1" si="131"/>
        <v>-3.5788068954768992E-2</v>
      </c>
    </row>
    <row r="1022" spans="3:29" x14ac:dyDescent="0.25">
      <c r="C1022" s="6">
        <v>1015</v>
      </c>
      <c r="D1022" s="37">
        <v>43447</v>
      </c>
      <c r="E1022" s="39">
        <v>19.687999999999999</v>
      </c>
      <c r="F1022" s="39">
        <v>2.1180931289897744</v>
      </c>
      <c r="G1022" s="39">
        <v>54.926608284663494</v>
      </c>
      <c r="H1022" s="39">
        <v>75.035021935895173</v>
      </c>
      <c r="I1022" s="10">
        <v>0</v>
      </c>
      <c r="J1022" s="40">
        <v>0</v>
      </c>
      <c r="K1022" s="40">
        <v>0</v>
      </c>
      <c r="L1022" s="40">
        <v>0</v>
      </c>
      <c r="M1022" s="40">
        <v>0</v>
      </c>
      <c r="N1022" s="40">
        <v>0</v>
      </c>
      <c r="O1022" s="40">
        <v>0</v>
      </c>
      <c r="P1022" s="40">
        <v>0</v>
      </c>
      <c r="Q1022" s="40">
        <v>0</v>
      </c>
      <c r="R1022" s="40">
        <v>0</v>
      </c>
      <c r="S1022" s="40">
        <v>0</v>
      </c>
      <c r="T1022" s="29">
        <f t="array" aca="1" ref="T1022" ca="1">+fair_value_gap(OFFSET(S1021,0,0,-1*$I$5,-1*$Z$1),OFFSET(E1021,0,0,-1*$I$5,1),F1022:S1022,0)</f>
        <v>19.568222635408468</v>
      </c>
      <c r="U1022" s="9" cm="1">
        <f t="array" aca="1" ref="U1022" ca="1">z_score_diff(OFFSET(T1022,0,0,$I$5*-1,1),OFFSET(E1022,0,0,$I$5*-1,1))</f>
        <v>-9.1914510707556425E-3</v>
      </c>
      <c r="V1022" s="9">
        <f t="shared" ca="1" si="127"/>
        <v>1.7470760729882431E-2</v>
      </c>
      <c r="W1022" s="17">
        <f t="shared" ca="1" si="124"/>
        <v>-5.0470262269562492E-2</v>
      </c>
      <c r="X1022" s="13">
        <f t="shared" ca="1" si="125"/>
        <v>0</v>
      </c>
      <c r="Y1022" s="13">
        <f t="shared" ca="1" si="126"/>
        <v>0</v>
      </c>
      <c r="Z1022">
        <f t="shared" ca="1" si="128"/>
        <v>0</v>
      </c>
      <c r="AA1022">
        <f t="shared" ca="1" si="129"/>
        <v>1</v>
      </c>
      <c r="AB1022" s="24">
        <f t="shared" ca="1" si="130"/>
        <v>0</v>
      </c>
      <c r="AC1022" s="24">
        <f t="shared" ca="1" si="131"/>
        <v>-5.0470262269562492E-2</v>
      </c>
    </row>
    <row r="1023" spans="3:29" x14ac:dyDescent="0.25">
      <c r="C1023" s="6">
        <v>1016</v>
      </c>
      <c r="D1023" s="37">
        <v>43448</v>
      </c>
      <c r="E1023" s="39">
        <v>19.965</v>
      </c>
      <c r="F1023" s="39">
        <v>2.1414196938107071</v>
      </c>
      <c r="G1023" s="39">
        <v>55.781231281922828</v>
      </c>
      <c r="H1023" s="39">
        <v>76.087845419848932</v>
      </c>
      <c r="I1023" s="10">
        <v>0</v>
      </c>
      <c r="J1023" s="40">
        <v>0</v>
      </c>
      <c r="K1023" s="40">
        <v>0</v>
      </c>
      <c r="L1023" s="40">
        <v>0</v>
      </c>
      <c r="M1023" s="40">
        <v>0</v>
      </c>
      <c r="N1023" s="40">
        <v>0</v>
      </c>
      <c r="O1023" s="40">
        <v>0</v>
      </c>
      <c r="P1023" s="40">
        <v>0</v>
      </c>
      <c r="Q1023" s="40">
        <v>0</v>
      </c>
      <c r="R1023" s="40">
        <v>0</v>
      </c>
      <c r="S1023" s="40">
        <v>0</v>
      </c>
      <c r="T1023" s="29">
        <f t="array" aca="1" ref="T1023" ca="1">+fair_value_gap(OFFSET(S1022,0,0,-1*$I$5,-1*$Z$1),OFFSET(E1022,0,0,-1*$I$5,1),F1023:S1023,0)</f>
        <v>19.864703820833519</v>
      </c>
      <c r="U1023" s="9" cm="1">
        <f t="array" aca="1" ref="U1023" ca="1">z_score_diff(OFFSET(T1023,0,0,$I$5*-1,1),OFFSET(E1023,0,0,$I$5*-1,1))</f>
        <v>-3.470973072918479E-3</v>
      </c>
      <c r="V1023" s="9">
        <f t="shared" ca="1" si="127"/>
        <v>1.7562736678325093E-2</v>
      </c>
      <c r="W1023" s="17">
        <f t="shared" ca="1" si="124"/>
        <v>-6.7169912427615525E-2</v>
      </c>
      <c r="X1023" s="13">
        <f t="shared" ca="1" si="125"/>
        <v>0</v>
      </c>
      <c r="Y1023" s="13">
        <f t="shared" ca="1" si="126"/>
        <v>0</v>
      </c>
      <c r="Z1023">
        <f t="shared" ca="1" si="128"/>
        <v>0</v>
      </c>
      <c r="AA1023">
        <f t="shared" ca="1" si="129"/>
        <v>1</v>
      </c>
      <c r="AB1023" s="24">
        <f t="shared" ca="1" si="130"/>
        <v>0</v>
      </c>
      <c r="AC1023" s="24">
        <f t="shared" ca="1" si="131"/>
        <v>-6.7169912427615525E-2</v>
      </c>
    </row>
    <row r="1024" spans="3:29" x14ac:dyDescent="0.25">
      <c r="C1024" s="6">
        <v>1017</v>
      </c>
      <c r="D1024" s="37">
        <v>43451</v>
      </c>
      <c r="E1024" s="39">
        <v>19.962</v>
      </c>
      <c r="F1024" s="39">
        <v>2.122740647330811</v>
      </c>
      <c r="G1024" s="39">
        <v>55.791115626516067</v>
      </c>
      <c r="H1024" s="39">
        <v>75.662042875157624</v>
      </c>
      <c r="I1024" s="10">
        <v>0</v>
      </c>
      <c r="J1024" s="40">
        <v>0</v>
      </c>
      <c r="K1024" s="40">
        <v>0</v>
      </c>
      <c r="L1024" s="40">
        <v>0</v>
      </c>
      <c r="M1024" s="40">
        <v>0</v>
      </c>
      <c r="N1024" s="40">
        <v>0</v>
      </c>
      <c r="O1024" s="40">
        <v>0</v>
      </c>
      <c r="P1024" s="40">
        <v>0</v>
      </c>
      <c r="Q1024" s="40">
        <v>0</v>
      </c>
      <c r="R1024" s="40">
        <v>0</v>
      </c>
      <c r="S1024" s="40">
        <v>0</v>
      </c>
      <c r="T1024" s="29">
        <f t="array" aca="1" ref="T1024" ca="1">+fair_value_gap(OFFSET(S1023,0,0,-1*$I$5,-1*$Z$1),OFFSET(E1023,0,0,-1*$I$5,1),F1024:S1024,0)</f>
        <v>19.836966380002231</v>
      </c>
      <c r="U1024" s="9" cm="1">
        <f t="array" aca="1" ref="U1024" ca="1">z_score_diff(OFFSET(T1024,0,0,$I$5*-1,1),OFFSET(E1024,0,0,$I$5*-1,1))</f>
        <v>-1.2102493428004263E-2</v>
      </c>
      <c r="V1024" s="9">
        <f t="shared" ca="1" si="127"/>
        <v>1.6640442097982981E-2</v>
      </c>
      <c r="W1024" s="17">
        <f t="shared" ca="1" si="124"/>
        <v>-7.1368054638178746E-2</v>
      </c>
      <c r="X1024" s="13">
        <f t="shared" ca="1" si="125"/>
        <v>0</v>
      </c>
      <c r="Y1024" s="13">
        <f t="shared" ca="1" si="126"/>
        <v>0</v>
      </c>
      <c r="Z1024">
        <f t="shared" ca="1" si="128"/>
        <v>0</v>
      </c>
      <c r="AA1024">
        <f t="shared" ca="1" si="129"/>
        <v>1</v>
      </c>
      <c r="AB1024" s="24">
        <f t="shared" ca="1" si="130"/>
        <v>0</v>
      </c>
      <c r="AC1024" s="24">
        <f t="shared" ca="1" si="131"/>
        <v>-7.1368054638178746E-2</v>
      </c>
    </row>
    <row r="1025" spans="3:29" x14ac:dyDescent="0.25">
      <c r="C1025" s="6">
        <v>1018</v>
      </c>
      <c r="D1025" s="37">
        <v>43452</v>
      </c>
      <c r="E1025" s="39">
        <v>19.611000000000001</v>
      </c>
      <c r="F1025" s="39">
        <v>2.127398883514211</v>
      </c>
      <c r="G1025" s="39">
        <v>54.53763815349118</v>
      </c>
      <c r="H1025" s="39">
        <v>75.612875504785166</v>
      </c>
      <c r="I1025" s="10">
        <v>0</v>
      </c>
      <c r="J1025" s="40">
        <v>0</v>
      </c>
      <c r="K1025" s="40">
        <v>0</v>
      </c>
      <c r="L1025" s="40">
        <v>0</v>
      </c>
      <c r="M1025" s="40">
        <v>0</v>
      </c>
      <c r="N1025" s="40">
        <v>0</v>
      </c>
      <c r="O1025" s="40">
        <v>0</v>
      </c>
      <c r="P1025" s="40">
        <v>0</v>
      </c>
      <c r="Q1025" s="40">
        <v>0</v>
      </c>
      <c r="R1025" s="40">
        <v>0</v>
      </c>
      <c r="S1025" s="40">
        <v>0</v>
      </c>
      <c r="T1025" s="29">
        <f t="array" aca="1" ref="T1025" ca="1">+fair_value_gap(OFFSET(S1024,0,0,-1*$I$5,-1*$Z$1),OFFSET(E1024,0,0,-1*$I$5,1),F1025:S1025,0)</f>
        <v>19.489031398462394</v>
      </c>
      <c r="U1025" s="9" cm="1">
        <f t="array" aca="1" ref="U1025" ca="1">z_score_diff(OFFSET(T1025,0,0,$I$5*-1,1),OFFSET(E1025,0,0,$I$5*-1,1))</f>
        <v>-9.2119487644550593E-3</v>
      </c>
      <c r="V1025" s="9">
        <f t="shared" ca="1" si="127"/>
        <v>1.4550754294441278E-2</v>
      </c>
      <c r="W1025" s="17">
        <f t="shared" ca="1" si="124"/>
        <v>-7.1761183218055052E-2</v>
      </c>
      <c r="X1025" s="13">
        <f t="shared" ca="1" si="125"/>
        <v>0</v>
      </c>
      <c r="Y1025" s="13">
        <f t="shared" ca="1" si="126"/>
        <v>0</v>
      </c>
      <c r="Z1025">
        <f t="shared" ca="1" si="128"/>
        <v>0</v>
      </c>
      <c r="AA1025">
        <f t="shared" ca="1" si="129"/>
        <v>1</v>
      </c>
      <c r="AB1025" s="24">
        <f t="shared" ca="1" si="130"/>
        <v>0</v>
      </c>
      <c r="AC1025" s="24">
        <f t="shared" ca="1" si="131"/>
        <v>-7.1761183218055052E-2</v>
      </c>
    </row>
    <row r="1026" spans="3:29" x14ac:dyDescent="0.25">
      <c r="C1026" s="6">
        <v>1019</v>
      </c>
      <c r="D1026" s="37">
        <v>43453</v>
      </c>
      <c r="E1026" s="39">
        <v>19.625</v>
      </c>
      <c r="F1026" s="39">
        <v>2.1238754104846018</v>
      </c>
      <c r="G1026" s="39">
        <v>55.072542372881358</v>
      </c>
      <c r="H1026" s="39">
        <v>75.18217218645178</v>
      </c>
      <c r="I1026" s="10">
        <v>0</v>
      </c>
      <c r="J1026" s="40">
        <v>0</v>
      </c>
      <c r="K1026" s="40">
        <v>0</v>
      </c>
      <c r="L1026" s="40">
        <v>0</v>
      </c>
      <c r="M1026" s="40">
        <v>0</v>
      </c>
      <c r="N1026" s="40">
        <v>0</v>
      </c>
      <c r="O1026" s="40">
        <v>0</v>
      </c>
      <c r="P1026" s="40">
        <v>0</v>
      </c>
      <c r="Q1026" s="40">
        <v>0</v>
      </c>
      <c r="R1026" s="40">
        <v>0</v>
      </c>
      <c r="S1026" s="40">
        <v>0</v>
      </c>
      <c r="T1026" s="29">
        <f t="array" aca="1" ref="T1026" ca="1">+fair_value_gap(OFFSET(S1025,0,0,-1*$I$5,-1*$Z$1),OFFSET(E1025,0,0,-1*$I$5,1),F1026:S1026,0)</f>
        <v>19.617735279160694</v>
      </c>
      <c r="U1026" s="9" cm="1">
        <f t="array" aca="1" ref="U1026" ca="1">z_score_diff(OFFSET(T1026,0,0,$I$5*-1,1),OFFSET(E1026,0,0,$I$5*-1,1))</f>
        <v>3.2471622630124222E-2</v>
      </c>
      <c r="V1026" s="9">
        <f t="shared" ca="1" si="127"/>
        <v>1.7594483426652836E-2</v>
      </c>
      <c r="W1026" s="17">
        <f t="shared" ca="1" si="124"/>
        <v>-7.2310470548752337E-2</v>
      </c>
      <c r="X1026" s="13">
        <f t="shared" ca="1" si="125"/>
        <v>0</v>
      </c>
      <c r="Y1026" s="13">
        <f t="shared" ca="1" si="126"/>
        <v>0</v>
      </c>
      <c r="Z1026">
        <f t="shared" ca="1" si="128"/>
        <v>0</v>
      </c>
      <c r="AA1026">
        <f t="shared" ca="1" si="129"/>
        <v>1</v>
      </c>
      <c r="AB1026" s="24">
        <f t="shared" ca="1" si="130"/>
        <v>0</v>
      </c>
      <c r="AC1026" s="24">
        <f t="shared" ca="1" si="131"/>
        <v>-7.2310470548752337E-2</v>
      </c>
    </row>
    <row r="1027" spans="3:29" x14ac:dyDescent="0.25">
      <c r="C1027" s="6">
        <v>1020</v>
      </c>
      <c r="D1027" s="37">
        <v>43454</v>
      </c>
      <c r="E1027" s="39">
        <v>19.369</v>
      </c>
      <c r="F1027" s="39">
        <v>2.1039408334234588</v>
      </c>
      <c r="G1027" s="39">
        <v>54.464652581042799</v>
      </c>
      <c r="H1027" s="39">
        <v>74.207798474247738</v>
      </c>
      <c r="I1027" s="10">
        <v>0</v>
      </c>
      <c r="J1027" s="40">
        <v>0</v>
      </c>
      <c r="K1027" s="40">
        <v>0</v>
      </c>
      <c r="L1027" s="40">
        <v>0</v>
      </c>
      <c r="M1027" s="40">
        <v>0</v>
      </c>
      <c r="N1027" s="40">
        <v>0</v>
      </c>
      <c r="O1027" s="40">
        <v>0</v>
      </c>
      <c r="P1027" s="40">
        <v>0</v>
      </c>
      <c r="Q1027" s="40">
        <v>0</v>
      </c>
      <c r="R1027" s="40">
        <v>0</v>
      </c>
      <c r="S1027" s="40">
        <v>0</v>
      </c>
      <c r="T1027" s="29">
        <f t="array" aca="1" ref="T1027" ca="1">+fair_value_gap(OFFSET(S1026,0,0,-1*$I$5,-1*$Z$1),OFFSET(E1026,0,0,-1*$I$5,1),F1027:S1027,0)</f>
        <v>19.405639383377828</v>
      </c>
      <c r="U1027" s="9" cm="1">
        <f t="array" aca="1" ref="U1027" ca="1">z_score_diff(OFFSET(T1027,0,0,$I$5*-1,1),OFFSET(E1027,0,0,$I$5*-1,1))</f>
        <v>4.871690363322341E-2</v>
      </c>
      <c r="V1027" s="9">
        <f t="shared" ca="1" si="127"/>
        <v>1.9629542012694352E-2</v>
      </c>
      <c r="W1027" s="17">
        <f t="shared" ca="1" si="124"/>
        <v>-6.6271310379320256E-2</v>
      </c>
      <c r="X1027" s="13">
        <f t="shared" ca="1" si="125"/>
        <v>0</v>
      </c>
      <c r="Y1027" s="13">
        <f t="shared" ca="1" si="126"/>
        <v>0</v>
      </c>
      <c r="Z1027">
        <f t="shared" ca="1" si="128"/>
        <v>0</v>
      </c>
      <c r="AA1027">
        <f t="shared" ca="1" si="129"/>
        <v>1</v>
      </c>
      <c r="AB1027" s="24">
        <f t="shared" ca="1" si="130"/>
        <v>0</v>
      </c>
      <c r="AC1027" s="24">
        <f t="shared" ca="1" si="131"/>
        <v>-6.6271310379320256E-2</v>
      </c>
    </row>
    <row r="1028" spans="3:29" x14ac:dyDescent="0.25">
      <c r="C1028" s="6">
        <v>1021</v>
      </c>
      <c r="D1028" s="37">
        <v>43455</v>
      </c>
      <c r="E1028" s="39">
        <v>19.059000000000001</v>
      </c>
      <c r="F1028" s="39">
        <v>2.1325631477975411</v>
      </c>
      <c r="G1028" s="39">
        <v>53.598791527652494</v>
      </c>
      <c r="H1028" s="39">
        <v>74.723669351961078</v>
      </c>
      <c r="I1028" s="10">
        <v>0</v>
      </c>
      <c r="J1028" s="40">
        <v>0</v>
      </c>
      <c r="K1028" s="40">
        <v>0</v>
      </c>
      <c r="L1028" s="40">
        <v>0</v>
      </c>
      <c r="M1028" s="40">
        <v>0</v>
      </c>
      <c r="N1028" s="40">
        <v>0</v>
      </c>
      <c r="O1028" s="40">
        <v>0</v>
      </c>
      <c r="P1028" s="40">
        <v>0</v>
      </c>
      <c r="Q1028" s="40">
        <v>0</v>
      </c>
      <c r="R1028" s="40">
        <v>0</v>
      </c>
      <c r="S1028" s="40">
        <v>0</v>
      </c>
      <c r="T1028" s="29">
        <f t="array" aca="1" ref="T1028" ca="1">+fair_value_gap(OFFSET(S1027,0,0,-1*$I$5,-1*$Z$1),OFFSET(E1027,0,0,-1*$I$5,1),F1028:S1028,0)</f>
        <v>19.195349928246213</v>
      </c>
      <c r="U1028" s="9" cm="1">
        <f t="array" aca="1" ref="U1028" ca="1">z_score_diff(OFFSET(T1028,0,0,$I$5*-1,1),OFFSET(E1028,0,0,$I$5*-1,1))</f>
        <v>8.550832781636486E-2</v>
      </c>
      <c r="V1028" s="9">
        <f t="shared" ca="1" si="127"/>
        <v>2.3342740397331575E-2</v>
      </c>
      <c r="W1028" s="17">
        <f t="shared" ca="1" si="124"/>
        <v>-3.3722450599782169E-2</v>
      </c>
      <c r="X1028" s="13">
        <f t="shared" ca="1" si="125"/>
        <v>0</v>
      </c>
      <c r="Y1028" s="13">
        <f t="shared" ca="1" si="126"/>
        <v>0</v>
      </c>
      <c r="Z1028">
        <f t="shared" ca="1" si="128"/>
        <v>0</v>
      </c>
      <c r="AA1028">
        <f t="shared" ca="1" si="129"/>
        <v>1</v>
      </c>
      <c r="AB1028" s="24">
        <f t="shared" ca="1" si="130"/>
        <v>0</v>
      </c>
      <c r="AC1028" s="24">
        <f t="shared" ca="1" si="131"/>
        <v>-3.3722450599782169E-2</v>
      </c>
    </row>
    <row r="1029" spans="3:29" x14ac:dyDescent="0.25">
      <c r="C1029" s="6">
        <v>1022</v>
      </c>
      <c r="D1029" s="37">
        <v>43458</v>
      </c>
      <c r="E1029" s="39">
        <v>18.652999999999999</v>
      </c>
      <c r="F1029" s="39">
        <v>2.1097823267024296</v>
      </c>
      <c r="G1029" s="39">
        <v>52.593527168596985</v>
      </c>
      <c r="H1029" s="39">
        <v>74.524441171301604</v>
      </c>
      <c r="I1029" s="10">
        <v>0</v>
      </c>
      <c r="J1029" s="40">
        <v>0</v>
      </c>
      <c r="K1029" s="40">
        <v>0</v>
      </c>
      <c r="L1029" s="40">
        <v>0</v>
      </c>
      <c r="M1029" s="40">
        <v>0</v>
      </c>
      <c r="N1029" s="40">
        <v>0</v>
      </c>
      <c r="O1029" s="40">
        <v>0</v>
      </c>
      <c r="P1029" s="40">
        <v>0</v>
      </c>
      <c r="Q1029" s="40">
        <v>0</v>
      </c>
      <c r="R1029" s="40">
        <v>0</v>
      </c>
      <c r="S1029" s="40">
        <v>0</v>
      </c>
      <c r="T1029" s="29">
        <f t="array" aca="1" ref="T1029" ca="1">+fair_value_gap(OFFSET(S1028,0,0,-1*$I$5,-1*$Z$1),OFFSET(E1028,0,0,-1*$I$5,1),F1029:S1029,0)</f>
        <v>18.880955581165743</v>
      </c>
      <c r="U1029" s="9" cm="1">
        <f t="array" aca="1" ref="U1029" ca="1">z_score_diff(OFFSET(T1029,0,0,$I$5*-1,1),OFFSET(E1029,0,0,$I$5*-1,1))</f>
        <v>0.11993916352806927</v>
      </c>
      <c r="V1029" s="9">
        <f t="shared" ca="1" si="127"/>
        <v>2.7119390003294129E-2</v>
      </c>
      <c r="W1029" s="17">
        <f t="shared" ca="1" si="124"/>
        <v>-2.1294115895603042E-2</v>
      </c>
      <c r="X1029" s="13">
        <f t="shared" ca="1" si="125"/>
        <v>0</v>
      </c>
      <c r="Y1029" s="13">
        <f t="shared" ca="1" si="126"/>
        <v>0</v>
      </c>
      <c r="Z1029">
        <f t="shared" ca="1" si="128"/>
        <v>0</v>
      </c>
      <c r="AA1029">
        <f t="shared" ca="1" si="129"/>
        <v>1</v>
      </c>
      <c r="AB1029" s="24">
        <f t="shared" ca="1" si="130"/>
        <v>0</v>
      </c>
      <c r="AC1029" s="24">
        <f t="shared" ca="1" si="131"/>
        <v>-2.1294115895603042E-2</v>
      </c>
    </row>
    <row r="1030" spans="3:29" x14ac:dyDescent="0.25">
      <c r="C1030" s="6">
        <v>1023</v>
      </c>
      <c r="D1030" s="37">
        <v>43461</v>
      </c>
      <c r="E1030" s="39">
        <v>18.420999999999999</v>
      </c>
      <c r="F1030" s="39">
        <v>2.1170381500960014</v>
      </c>
      <c r="G1030" s="39">
        <v>51.536515585980247</v>
      </c>
      <c r="H1030" s="39">
        <v>73.587110777193431</v>
      </c>
      <c r="I1030" s="10">
        <v>0</v>
      </c>
      <c r="J1030" s="40">
        <v>0</v>
      </c>
      <c r="K1030" s="40">
        <v>0</v>
      </c>
      <c r="L1030" s="40">
        <v>0</v>
      </c>
      <c r="M1030" s="40">
        <v>0</v>
      </c>
      <c r="N1030" s="40">
        <v>0</v>
      </c>
      <c r="O1030" s="40">
        <v>0</v>
      </c>
      <c r="P1030" s="40">
        <v>0</v>
      </c>
      <c r="Q1030" s="40">
        <v>0</v>
      </c>
      <c r="R1030" s="40">
        <v>0</v>
      </c>
      <c r="S1030" s="40">
        <v>0</v>
      </c>
      <c r="T1030" s="29">
        <f t="array" aca="1" ref="T1030" ca="1">+fair_value_gap(OFFSET(S1029,0,0,-1*$I$5,-1*$Z$1),OFFSET(E1029,0,0,-1*$I$5,1),F1030:S1030,0)</f>
        <v>18.536994642072102</v>
      </c>
      <c r="U1030" s="9" cm="1">
        <f t="array" aca="1" ref="U1030" ca="1">z_score_diff(OFFSET(T1030,0,0,$I$5*-1,1),OFFSET(E1030,0,0,$I$5*-1,1))</f>
        <v>8.0231396804195887E-2</v>
      </c>
      <c r="V1030" s="9">
        <f t="shared" ca="1" si="127"/>
        <v>2.9519184020652948E-2</v>
      </c>
      <c r="W1030" s="17">
        <f t="shared" ca="1" si="124"/>
        <v>9.1862744780001303E-3</v>
      </c>
      <c r="X1030" s="13">
        <f t="shared" ca="1" si="125"/>
        <v>0</v>
      </c>
      <c r="Y1030" s="13">
        <f t="shared" ca="1" si="126"/>
        <v>0</v>
      </c>
      <c r="Z1030">
        <f t="shared" ca="1" si="128"/>
        <v>0</v>
      </c>
      <c r="AA1030">
        <f t="shared" ca="1" si="129"/>
        <v>1</v>
      </c>
      <c r="AB1030" s="24">
        <f t="shared" ca="1" si="130"/>
        <v>0</v>
      </c>
      <c r="AC1030" s="24">
        <f t="shared" ca="1" si="131"/>
        <v>9.1862744780001303E-3</v>
      </c>
    </row>
    <row r="1031" spans="3:29" x14ac:dyDescent="0.25">
      <c r="C1031" s="6">
        <v>1024</v>
      </c>
      <c r="D1031" s="37">
        <v>43462</v>
      </c>
      <c r="E1031" s="39">
        <v>18.178000000000001</v>
      </c>
      <c r="F1031" s="39">
        <v>2.1282651133947996</v>
      </c>
      <c r="G1031" s="39">
        <v>51.33732092988928</v>
      </c>
      <c r="H1031" s="39">
        <v>73.404281067871636</v>
      </c>
      <c r="I1031" s="10">
        <v>0</v>
      </c>
      <c r="J1031" s="40">
        <v>0</v>
      </c>
      <c r="K1031" s="40">
        <v>0</v>
      </c>
      <c r="L1031" s="40">
        <v>0</v>
      </c>
      <c r="M1031" s="40">
        <v>0</v>
      </c>
      <c r="N1031" s="40">
        <v>0</v>
      </c>
      <c r="O1031" s="40">
        <v>0</v>
      </c>
      <c r="P1031" s="40">
        <v>0</v>
      </c>
      <c r="Q1031" s="40">
        <v>0</v>
      </c>
      <c r="R1031" s="40">
        <v>0</v>
      </c>
      <c r="S1031" s="40">
        <v>0</v>
      </c>
      <c r="T1031" s="29">
        <f t="array" aca="1" ref="T1031" ca="1">+fair_value_gap(OFFSET(S1030,0,0,-1*$I$5,-1*$Z$1),OFFSET(E1030,0,0,-1*$I$5,1),F1031:S1031,0)</f>
        <v>18.472743803113346</v>
      </c>
      <c r="U1031" s="9" cm="1">
        <f t="array" aca="1" ref="U1031" ca="1">z_score_diff(OFFSET(T1031,0,0,$I$5*-1,1),OFFSET(E1031,0,0,$I$5*-1,1))</f>
        <v>0.14602460914145443</v>
      </c>
      <c r="V1031" s="9">
        <f t="shared" ca="1" si="127"/>
        <v>3.4151423226160903E-2</v>
      </c>
      <c r="W1031" s="17">
        <f t="shared" ref="W1031:W1094" ca="1" si="132">+LN(OFFSET(E1031,$W$3,0,1,1)/E1031)</f>
        <v>7.3991184622327916E-3</v>
      </c>
      <c r="X1031" s="13">
        <f t="shared" ca="1" si="125"/>
        <v>0</v>
      </c>
      <c r="Y1031" s="13">
        <f t="shared" ca="1" si="126"/>
        <v>0</v>
      </c>
      <c r="Z1031">
        <f t="shared" ca="1" si="128"/>
        <v>0</v>
      </c>
      <c r="AA1031">
        <f t="shared" ca="1" si="129"/>
        <v>1</v>
      </c>
      <c r="AB1031" s="24">
        <f t="shared" ca="1" si="130"/>
        <v>0</v>
      </c>
      <c r="AC1031" s="24">
        <f t="shared" ca="1" si="131"/>
        <v>7.3991184622327916E-3</v>
      </c>
    </row>
    <row r="1032" spans="3:29" x14ac:dyDescent="0.25">
      <c r="C1032" s="6">
        <v>1025</v>
      </c>
      <c r="D1032" s="37">
        <v>43465</v>
      </c>
      <c r="E1032" s="39">
        <v>18.09</v>
      </c>
      <c r="F1032" s="39">
        <v>2.1211135846319316</v>
      </c>
      <c r="G1032" s="39">
        <v>50.234128280518348</v>
      </c>
      <c r="H1032" s="39">
        <v>73.20509934382217</v>
      </c>
      <c r="I1032" s="10">
        <v>0</v>
      </c>
      <c r="J1032" s="40">
        <v>0</v>
      </c>
      <c r="K1032" s="40">
        <v>0</v>
      </c>
      <c r="L1032" s="40">
        <v>0</v>
      </c>
      <c r="M1032" s="40">
        <v>0</v>
      </c>
      <c r="N1032" s="40">
        <v>0</v>
      </c>
      <c r="O1032" s="40">
        <v>0</v>
      </c>
      <c r="P1032" s="40">
        <v>0</v>
      </c>
      <c r="Q1032" s="40">
        <v>0</v>
      </c>
      <c r="R1032" s="40">
        <v>0</v>
      </c>
      <c r="S1032" s="40">
        <v>0</v>
      </c>
      <c r="T1032" s="29">
        <f t="array" aca="1" ref="T1032" ca="1">+fair_value_gap(OFFSET(S1031,0,0,-1*$I$5,-1*$Z$1),OFFSET(E1031,0,0,-1*$I$5,1),F1032:S1032,0)</f>
        <v>18.128957560598977</v>
      </c>
      <c r="U1032" s="9" cm="1">
        <f t="array" aca="1" ref="U1032" ca="1">z_score_diff(OFFSET(T1032,0,0,$I$5*-1,1),OFFSET(E1032,0,0,$I$5*-1,1))</f>
        <v>5.2985025534010077E-2</v>
      </c>
      <c r="V1032" s="9">
        <f t="shared" ca="1" si="127"/>
        <v>3.6036498559657626E-2</v>
      </c>
      <c r="W1032" s="17">
        <f t="shared" ca="1" si="132"/>
        <v>3.2254720070496623E-2</v>
      </c>
      <c r="X1032" s="13">
        <f t="shared" ca="1" si="125"/>
        <v>0</v>
      </c>
      <c r="Y1032" s="13">
        <f t="shared" ca="1" si="126"/>
        <v>0</v>
      </c>
      <c r="Z1032">
        <f t="shared" ca="1" si="128"/>
        <v>0</v>
      </c>
      <c r="AA1032">
        <f t="shared" ca="1" si="129"/>
        <v>1</v>
      </c>
      <c r="AB1032" s="24">
        <f t="shared" ca="1" si="130"/>
        <v>0</v>
      </c>
      <c r="AC1032" s="24">
        <f t="shared" ca="1" si="131"/>
        <v>3.2254720070496623E-2</v>
      </c>
    </row>
    <row r="1033" spans="3:29" x14ac:dyDescent="0.25">
      <c r="C1033" s="6">
        <v>1026</v>
      </c>
      <c r="D1033" s="37">
        <v>43467</v>
      </c>
      <c r="E1033" s="39">
        <v>18.148</v>
      </c>
      <c r="F1033" s="39">
        <v>2.1131201186714788</v>
      </c>
      <c r="G1033" s="39">
        <v>50.724700742758436</v>
      </c>
      <c r="H1033" s="39">
        <v>72.780571417987801</v>
      </c>
      <c r="I1033" s="10">
        <v>1</v>
      </c>
      <c r="J1033" s="40">
        <v>0</v>
      </c>
      <c r="K1033" s="40">
        <v>0</v>
      </c>
      <c r="L1033" s="40">
        <v>0</v>
      </c>
      <c r="M1033" s="40">
        <v>0</v>
      </c>
      <c r="N1033" s="40">
        <v>0</v>
      </c>
      <c r="O1033" s="40">
        <v>0</v>
      </c>
      <c r="P1033" s="40">
        <v>0</v>
      </c>
      <c r="Q1033" s="40">
        <v>0</v>
      </c>
      <c r="R1033" s="40">
        <v>0</v>
      </c>
      <c r="S1033" s="40">
        <v>0</v>
      </c>
      <c r="T1033" s="29">
        <f t="array" aca="1" ref="T1033" ca="1">+fair_value_gap(OFFSET(S1032,0,0,-1*$I$5,-1*$Z$1),OFFSET(E1032,0,0,-1*$I$5,1),F1033:S1033,0)</f>
        <v>18.092824957175576</v>
      </c>
      <c r="U1033" s="9" cm="1">
        <f t="array" aca="1" ref="U1033" ca="1">z_score_diff(OFFSET(T1033,0,0,$I$5*-1,1),OFFSET(E1033,0,0,$I$5*-1,1))</f>
        <v>1.8192177749405514E-2</v>
      </c>
      <c r="V1033" s="9">
        <f t="shared" ca="1" si="127"/>
        <v>3.6794633145799276E-2</v>
      </c>
      <c r="W1033" s="17">
        <f t="shared" ca="1" si="132"/>
        <v>4.1236279421970133E-2</v>
      </c>
      <c r="X1033" s="13">
        <f t="shared" ref="X1033:X1096" ca="1" si="133">+X1032</f>
        <v>0</v>
      </c>
      <c r="Y1033" s="13">
        <f t="shared" ref="Y1033:Y1096" ca="1" si="134">+Y1032</f>
        <v>0</v>
      </c>
      <c r="Z1033">
        <f t="shared" ca="1" si="128"/>
        <v>0</v>
      </c>
      <c r="AA1033">
        <f t="shared" ca="1" si="129"/>
        <v>1</v>
      </c>
      <c r="AB1033" s="24">
        <f t="shared" ca="1" si="130"/>
        <v>0</v>
      </c>
      <c r="AC1033" s="24">
        <f t="shared" ca="1" si="131"/>
        <v>4.1236279421970133E-2</v>
      </c>
    </row>
    <row r="1034" spans="3:29" x14ac:dyDescent="0.25">
      <c r="C1034" s="6">
        <v>1027</v>
      </c>
      <c r="D1034" s="37">
        <v>43468</v>
      </c>
      <c r="E1034" s="39">
        <v>18.088000000000001</v>
      </c>
      <c r="F1034" s="39">
        <v>2.1020731108415425</v>
      </c>
      <c r="G1034" s="39">
        <v>50.349920551537309</v>
      </c>
      <c r="H1034" s="39">
        <v>71.943955910191775</v>
      </c>
      <c r="I1034" s="10">
        <v>1</v>
      </c>
      <c r="J1034" s="40">
        <v>0</v>
      </c>
      <c r="K1034" s="40">
        <v>0</v>
      </c>
      <c r="L1034" s="40">
        <v>0</v>
      </c>
      <c r="M1034" s="40">
        <v>0</v>
      </c>
      <c r="N1034" s="40">
        <v>0</v>
      </c>
      <c r="O1034" s="40">
        <v>0</v>
      </c>
      <c r="P1034" s="40">
        <v>0</v>
      </c>
      <c r="Q1034" s="40">
        <v>0</v>
      </c>
      <c r="R1034" s="40">
        <v>0</v>
      </c>
      <c r="S1034" s="40">
        <v>0</v>
      </c>
      <c r="T1034" s="29">
        <f t="array" aca="1" ref="T1034" ca="1">+fair_value_gap(OFFSET(S1033,0,0,-1*$I$5,-1*$Z$1),OFFSET(E1033,0,0,-1*$I$5,1),F1034:S1034,0)</f>
        <v>17.953325843199757</v>
      </c>
      <c r="U1034" s="9" cm="1">
        <f t="array" aca="1" ref="U1034" ca="1">z_score_diff(OFFSET(T1034,0,0,$I$5*-1,1),OFFSET(E1034,0,0,$I$5*-1,1))</f>
        <v>-1.0518532175326611E-2</v>
      </c>
      <c r="V1034" s="9">
        <f t="shared" ca="1" si="127"/>
        <v>3.6555471708978118E-2</v>
      </c>
      <c r="W1034" s="17">
        <f t="shared" ca="1" si="132"/>
        <v>3.2258229582755808E-2</v>
      </c>
      <c r="X1034" s="13">
        <f t="shared" ca="1" si="133"/>
        <v>0</v>
      </c>
      <c r="Y1034" s="13">
        <f t="shared" ca="1" si="134"/>
        <v>0</v>
      </c>
      <c r="Z1034">
        <f t="shared" ca="1" si="128"/>
        <v>0</v>
      </c>
      <c r="AA1034">
        <f t="shared" ca="1" si="129"/>
        <v>1</v>
      </c>
      <c r="AB1034" s="24">
        <f t="shared" ca="1" si="130"/>
        <v>0</v>
      </c>
      <c r="AC1034" s="24">
        <f t="shared" ca="1" si="131"/>
        <v>3.2258229582755808E-2</v>
      </c>
    </row>
    <row r="1035" spans="3:29" x14ac:dyDescent="0.25">
      <c r="C1035" s="6">
        <v>1028</v>
      </c>
      <c r="D1035" s="37">
        <v>43469</v>
      </c>
      <c r="E1035" s="39">
        <v>18.594000000000001</v>
      </c>
      <c r="F1035" s="39">
        <v>2.1167365539025913</v>
      </c>
      <c r="G1035" s="39">
        <v>51.703435741421586</v>
      </c>
      <c r="H1035" s="39">
        <v>72.13670513398732</v>
      </c>
      <c r="I1035" s="10">
        <v>1</v>
      </c>
      <c r="J1035" s="40">
        <v>0</v>
      </c>
      <c r="K1035" s="40">
        <v>0</v>
      </c>
      <c r="L1035" s="40">
        <v>0</v>
      </c>
      <c r="M1035" s="40">
        <v>0</v>
      </c>
      <c r="N1035" s="40">
        <v>0</v>
      </c>
      <c r="O1035" s="40">
        <v>0</v>
      </c>
      <c r="P1035" s="40">
        <v>0</v>
      </c>
      <c r="Q1035" s="40">
        <v>0</v>
      </c>
      <c r="R1035" s="40">
        <v>0</v>
      </c>
      <c r="S1035" s="40">
        <v>0</v>
      </c>
      <c r="T1035" s="29">
        <f t="array" aca="1" ref="T1035" ca="1">+fair_value_gap(OFFSET(S1034,0,0,-1*$I$5,-1*$Z$1),OFFSET(E1034,0,0,-1*$I$5,1),F1035:S1035,0)</f>
        <v>18.370792881679442</v>
      </c>
      <c r="U1035" s="9" cm="1">
        <f t="array" aca="1" ref="U1035" ca="1">z_score_diff(OFFSET(T1035,0,0,$I$5*-1,1),OFFSET(E1035,0,0,$I$5*-1,1))</f>
        <v>-4.4935939618979404E-2</v>
      </c>
      <c r="V1035" s="9">
        <f t="shared" ref="V1035:V1098" ca="1" si="135">+IF(ISERROR(AVERAGE(OFFSET(U1035,0,0,$V$5*-1,1))),"",AVERAGE(OFFSET(U1035,0,0,$V$5*-1,1)))</f>
        <v>3.6386603401326371E-2</v>
      </c>
      <c r="W1035" s="17">
        <f t="shared" ca="1" si="132"/>
        <v>0</v>
      </c>
      <c r="X1035" s="13">
        <f t="shared" ca="1" si="133"/>
        <v>0</v>
      </c>
      <c r="Y1035" s="13">
        <f t="shared" ca="1" si="134"/>
        <v>0</v>
      </c>
      <c r="Z1035">
        <f t="shared" ref="Z1035:Z1098" ca="1" si="136">+IF(V1035="","",IF(V1035&lt;X1035,1,0))</f>
        <v>0</v>
      </c>
      <c r="AA1035">
        <f t="shared" ref="AA1035:AA1098" ca="1" si="137">+IF(V1035="","",IF(V1035&gt;Y1035,1,0))</f>
        <v>1</v>
      </c>
      <c r="AB1035" s="24">
        <f t="shared" ref="AB1035:AB1098" ca="1" si="138">+IF(ISERROR(Z1035*W1035),"",Z1035*W1035)</f>
        <v>0</v>
      </c>
      <c r="AC1035" s="24">
        <f t="shared" ref="AC1035:AC1098" ca="1" si="139">+IF(ISERROR(AA1035*W1035),"",AA1035*W1035)</f>
        <v>0</v>
      </c>
    </row>
    <row r="1036" spans="3:29" x14ac:dyDescent="0.25">
      <c r="C1036" s="6">
        <v>1029</v>
      </c>
      <c r="D1036" s="37">
        <v>43472</v>
      </c>
      <c r="E1036" s="39">
        <v>18.257000000000001</v>
      </c>
      <c r="F1036" s="39">
        <v>2.1157897366295577</v>
      </c>
      <c r="G1036" s="39">
        <v>50.581507505484836</v>
      </c>
      <c r="H1036" s="39">
        <v>71.317351807289114</v>
      </c>
      <c r="I1036" s="10">
        <v>1</v>
      </c>
      <c r="J1036" s="40">
        <v>0</v>
      </c>
      <c r="K1036" s="40">
        <v>0</v>
      </c>
      <c r="L1036" s="40">
        <v>0</v>
      </c>
      <c r="M1036" s="40">
        <v>0</v>
      </c>
      <c r="N1036" s="40">
        <v>0</v>
      </c>
      <c r="O1036" s="40">
        <v>0</v>
      </c>
      <c r="P1036" s="40">
        <v>0</v>
      </c>
      <c r="Q1036" s="40">
        <v>0</v>
      </c>
      <c r="R1036" s="40">
        <v>0</v>
      </c>
      <c r="S1036" s="40">
        <v>0</v>
      </c>
      <c r="T1036" s="29">
        <f t="array" aca="1" ref="T1036" ca="1">+fair_value_gap(OFFSET(S1035,0,0,-1*$I$5,-1*$Z$1),OFFSET(E1035,0,0,-1*$I$5,1),F1036:S1036,0)</f>
        <v>18.045548836415946</v>
      </c>
      <c r="U1036" s="9" cm="1">
        <f t="array" aca="1" ref="U1036" ca="1">z_score_diff(OFFSET(T1036,0,0,$I$5*-1,1),OFFSET(E1036,0,0,$I$5*-1,1))</f>
        <v>-3.8860421200227035E-2</v>
      </c>
      <c r="V1036" s="9">
        <f t="shared" ca="1" si="135"/>
        <v>3.6254618148909859E-2</v>
      </c>
      <c r="W1036" s="17">
        <f t="shared" ca="1" si="132"/>
        <v>9.3226789422973938E-3</v>
      </c>
      <c r="X1036" s="13">
        <f t="shared" ca="1" si="133"/>
        <v>0</v>
      </c>
      <c r="Y1036" s="13">
        <f t="shared" ca="1" si="134"/>
        <v>0</v>
      </c>
      <c r="Z1036">
        <f t="shared" ca="1" si="136"/>
        <v>0</v>
      </c>
      <c r="AA1036">
        <f t="shared" ca="1" si="137"/>
        <v>1</v>
      </c>
      <c r="AB1036" s="24">
        <f t="shared" ca="1" si="138"/>
        <v>0</v>
      </c>
      <c r="AC1036" s="24">
        <f t="shared" ca="1" si="139"/>
        <v>9.3226789422973938E-3</v>
      </c>
    </row>
    <row r="1037" spans="3:29" x14ac:dyDescent="0.25">
      <c r="C1037" s="6">
        <v>1030</v>
      </c>
      <c r="D1037" s="37">
        <v>43473</v>
      </c>
      <c r="E1037" s="39">
        <v>18.518000000000001</v>
      </c>
      <c r="F1037" s="39">
        <v>2.1477731357237357</v>
      </c>
      <c r="G1037" s="39">
        <v>51.369993438655783</v>
      </c>
      <c r="H1037" s="39">
        <v>71.745472606084377</v>
      </c>
      <c r="I1037" s="10">
        <v>1</v>
      </c>
      <c r="J1037" s="40">
        <v>0</v>
      </c>
      <c r="K1037" s="40">
        <v>0</v>
      </c>
      <c r="L1037" s="40">
        <v>0</v>
      </c>
      <c r="M1037" s="40">
        <v>0</v>
      </c>
      <c r="N1037" s="40">
        <v>0</v>
      </c>
      <c r="O1037" s="40">
        <v>0</v>
      </c>
      <c r="P1037" s="40">
        <v>0</v>
      </c>
      <c r="Q1037" s="40">
        <v>0</v>
      </c>
      <c r="R1037" s="40">
        <v>0</v>
      </c>
      <c r="S1037" s="40">
        <v>0</v>
      </c>
      <c r="T1037" s="29">
        <f t="array" aca="1" ref="T1037" ca="1">+fair_value_gap(OFFSET(S1036,0,0,-1*$I$5,-1*$Z$1),OFFSET(E1036,0,0,-1*$I$5,1),F1037:S1037,0)</f>
        <v>18.326110660246268</v>
      </c>
      <c r="U1037" s="9" cm="1">
        <f t="array" aca="1" ref="U1037" ca="1">z_score_diff(OFFSET(T1037,0,0,$I$5*-1,1),OFFSET(E1037,0,0,$I$5*-1,1))</f>
        <v>-3.2610601738847889E-2</v>
      </c>
      <c r="V1037" s="9">
        <f t="shared" ca="1" si="135"/>
        <v>3.5418576986693401E-2</v>
      </c>
      <c r="W1037" s="17">
        <f t="shared" ca="1" si="132"/>
        <v>-1.5131866268220352E-3</v>
      </c>
      <c r="X1037" s="13">
        <f t="shared" ca="1" si="133"/>
        <v>0</v>
      </c>
      <c r="Y1037" s="13">
        <f t="shared" ca="1" si="134"/>
        <v>0</v>
      </c>
      <c r="Z1037">
        <f t="shared" ca="1" si="136"/>
        <v>0</v>
      </c>
      <c r="AA1037">
        <f t="shared" ca="1" si="137"/>
        <v>1</v>
      </c>
      <c r="AB1037" s="24">
        <f t="shared" ca="1" si="138"/>
        <v>0</v>
      </c>
      <c r="AC1037" s="24">
        <f t="shared" ca="1" si="139"/>
        <v>-1.5131866268220352E-3</v>
      </c>
    </row>
    <row r="1038" spans="3:29" x14ac:dyDescent="0.25">
      <c r="C1038" s="6">
        <v>1031</v>
      </c>
      <c r="D1038" s="37">
        <v>43474</v>
      </c>
      <c r="E1038" s="39">
        <v>18.358000000000001</v>
      </c>
      <c r="F1038" s="39">
        <v>2.1435979033760013</v>
      </c>
      <c r="G1038" s="39">
        <v>50.759934157486008</v>
      </c>
      <c r="H1038" s="39">
        <v>71.742715323251588</v>
      </c>
      <c r="I1038" s="10">
        <v>1</v>
      </c>
      <c r="J1038" s="40">
        <v>0</v>
      </c>
      <c r="K1038" s="40">
        <v>0</v>
      </c>
      <c r="L1038" s="40">
        <v>0</v>
      </c>
      <c r="M1038" s="40">
        <v>0</v>
      </c>
      <c r="N1038" s="40">
        <v>0</v>
      </c>
      <c r="O1038" s="40">
        <v>0</v>
      </c>
      <c r="P1038" s="40">
        <v>0</v>
      </c>
      <c r="Q1038" s="40">
        <v>0</v>
      </c>
      <c r="R1038" s="40">
        <v>0</v>
      </c>
      <c r="S1038" s="40">
        <v>0</v>
      </c>
      <c r="T1038" s="29">
        <f t="array" aca="1" ref="T1038" ca="1">+fair_value_gap(OFFSET(S1037,0,0,-1*$I$5,-1*$Z$1),OFFSET(E1037,0,0,-1*$I$5,1),F1038:S1038,0)</f>
        <v>18.166921879717151</v>
      </c>
      <c r="U1038" s="9" cm="1">
        <f t="array" aca="1" ref="U1038" ca="1">z_score_diff(OFFSET(T1038,0,0,$I$5*-1,1),OFFSET(E1038,0,0,$I$5*-1,1))</f>
        <v>-3.1041032696073723E-2</v>
      </c>
      <c r="V1038" s="9">
        <f t="shared" ca="1" si="135"/>
        <v>3.5507902452845616E-2</v>
      </c>
      <c r="W1038" s="17">
        <f t="shared" ca="1" si="132"/>
        <v>2.6659646177059217E-2</v>
      </c>
      <c r="X1038" s="13">
        <f t="shared" ca="1" si="133"/>
        <v>0</v>
      </c>
      <c r="Y1038" s="13">
        <f t="shared" ca="1" si="134"/>
        <v>0</v>
      </c>
      <c r="Z1038">
        <f t="shared" ca="1" si="136"/>
        <v>0</v>
      </c>
      <c r="AA1038">
        <f t="shared" ca="1" si="137"/>
        <v>1</v>
      </c>
      <c r="AB1038" s="24">
        <f t="shared" ca="1" si="138"/>
        <v>0</v>
      </c>
      <c r="AC1038" s="24">
        <f t="shared" ca="1" si="139"/>
        <v>2.6659646177059217E-2</v>
      </c>
    </row>
    <row r="1039" spans="3:29" x14ac:dyDescent="0.25">
      <c r="C1039" s="6">
        <v>1032</v>
      </c>
      <c r="D1039" s="37">
        <v>43475</v>
      </c>
      <c r="E1039" s="39">
        <v>18.413</v>
      </c>
      <c r="F1039" s="39">
        <v>2.1700570346154007</v>
      </c>
      <c r="G1039" s="39">
        <v>51.112649675418396</v>
      </c>
      <c r="H1039" s="39">
        <v>72.155227203808394</v>
      </c>
      <c r="I1039" s="10">
        <v>1</v>
      </c>
      <c r="J1039" s="40">
        <v>0</v>
      </c>
      <c r="K1039" s="40">
        <v>0</v>
      </c>
      <c r="L1039" s="40">
        <v>0</v>
      </c>
      <c r="M1039" s="40">
        <v>0</v>
      </c>
      <c r="N1039" s="40">
        <v>0</v>
      </c>
      <c r="O1039" s="40">
        <v>0</v>
      </c>
      <c r="P1039" s="40">
        <v>0</v>
      </c>
      <c r="Q1039" s="40">
        <v>0</v>
      </c>
      <c r="R1039" s="40">
        <v>0</v>
      </c>
      <c r="S1039" s="40">
        <v>0</v>
      </c>
      <c r="T1039" s="29">
        <f t="array" aca="1" ref="T1039" ca="1">+fair_value_gap(OFFSET(S1038,0,0,-1*$I$5,-1*$Z$1),OFFSET(E1038,0,0,-1*$I$5,1),F1039:S1039,0)</f>
        <v>18.321161752848717</v>
      </c>
      <c r="U1039" s="9" cm="1">
        <f t="array" aca="1" ref="U1039" ca="1">z_score_diff(OFFSET(T1039,0,0,$I$5*-1,1),OFFSET(E1039,0,0,$I$5*-1,1))</f>
        <v>5.676104004935012E-3</v>
      </c>
      <c r="V1039" s="9">
        <f t="shared" ca="1" si="135"/>
        <v>3.4893067718388009E-2</v>
      </c>
      <c r="W1039" s="17">
        <f t="shared" ca="1" si="132"/>
        <v>5.5047169551433704E-2</v>
      </c>
      <c r="X1039" s="13">
        <f t="shared" ca="1" si="133"/>
        <v>0</v>
      </c>
      <c r="Y1039" s="13">
        <f t="shared" ca="1" si="134"/>
        <v>0</v>
      </c>
      <c r="Z1039">
        <f t="shared" ca="1" si="136"/>
        <v>0</v>
      </c>
      <c r="AA1039">
        <f t="shared" ca="1" si="137"/>
        <v>1</v>
      </c>
      <c r="AB1039" s="24">
        <f t="shared" ca="1" si="138"/>
        <v>0</v>
      </c>
      <c r="AC1039" s="24">
        <f t="shared" ca="1" si="139"/>
        <v>5.5047169551433704E-2</v>
      </c>
    </row>
    <row r="1040" spans="3:29" x14ac:dyDescent="0.25">
      <c r="C1040" s="6">
        <v>1033</v>
      </c>
      <c r="D1040" s="37">
        <v>43476</v>
      </c>
      <c r="E1040" s="39">
        <v>18.591999999999999</v>
      </c>
      <c r="F1040" s="39">
        <v>2.1851912042303701</v>
      </c>
      <c r="G1040" s="39">
        <v>51.890248450202478</v>
      </c>
      <c r="H1040" s="39">
        <v>72.631355243583826</v>
      </c>
      <c r="I1040" s="10">
        <v>1</v>
      </c>
      <c r="J1040" s="40">
        <v>0</v>
      </c>
      <c r="K1040" s="40">
        <v>0</v>
      </c>
      <c r="L1040" s="40">
        <v>0</v>
      </c>
      <c r="M1040" s="40">
        <v>0</v>
      </c>
      <c r="N1040" s="40">
        <v>0</v>
      </c>
      <c r="O1040" s="40">
        <v>0</v>
      </c>
      <c r="P1040" s="40">
        <v>0</v>
      </c>
      <c r="Q1040" s="40">
        <v>0</v>
      </c>
      <c r="R1040" s="40">
        <v>0</v>
      </c>
      <c r="S1040" s="40">
        <v>0</v>
      </c>
      <c r="T1040" s="29">
        <f t="array" aca="1" ref="T1040" ca="1">+fair_value_gap(OFFSET(S1039,0,0,-1*$I$5,-1*$Z$1),OFFSET(E1039,0,0,-1*$I$5,1),F1040:S1040,0)</f>
        <v>18.583009030181245</v>
      </c>
      <c r="U1040" s="9" cm="1">
        <f t="array" aca="1" ref="U1040" ca="1">z_score_diff(OFFSET(T1040,0,0,$I$5*-1,1),OFFSET(E1040,0,0,$I$5*-1,1))</f>
        <v>3.5908306313341742E-2</v>
      </c>
      <c r="V1040" s="9">
        <f t="shared" ca="1" si="135"/>
        <v>3.5105281080064242E-2</v>
      </c>
      <c r="W1040" s="17">
        <f t="shared" ca="1" si="132"/>
        <v>3.529902570047893E-2</v>
      </c>
      <c r="X1040" s="13">
        <f t="shared" ca="1" si="133"/>
        <v>0</v>
      </c>
      <c r="Y1040" s="13">
        <f t="shared" ca="1" si="134"/>
        <v>0</v>
      </c>
      <c r="Z1040">
        <f t="shared" ca="1" si="136"/>
        <v>0</v>
      </c>
      <c r="AA1040">
        <f t="shared" ca="1" si="137"/>
        <v>1</v>
      </c>
      <c r="AB1040" s="24">
        <f t="shared" ca="1" si="138"/>
        <v>0</v>
      </c>
      <c r="AC1040" s="24">
        <f t="shared" ca="1" si="139"/>
        <v>3.529902570047893E-2</v>
      </c>
    </row>
    <row r="1041" spans="3:29" x14ac:dyDescent="0.25">
      <c r="C1041" s="6">
        <v>1034</v>
      </c>
      <c r="D1041" s="37">
        <v>43479</v>
      </c>
      <c r="E1041" s="39">
        <v>18.454999999999998</v>
      </c>
      <c r="F1041" s="39">
        <v>2.1838334689553327</v>
      </c>
      <c r="G1041" s="39">
        <v>51.182243935013929</v>
      </c>
      <c r="H1041" s="39">
        <v>72.253071484315456</v>
      </c>
      <c r="I1041" s="10">
        <v>1</v>
      </c>
      <c r="J1041" s="40">
        <v>0</v>
      </c>
      <c r="K1041" s="40">
        <v>0</v>
      </c>
      <c r="L1041" s="40">
        <v>0</v>
      </c>
      <c r="M1041" s="40">
        <v>0</v>
      </c>
      <c r="N1041" s="40">
        <v>0</v>
      </c>
      <c r="O1041" s="40">
        <v>0</v>
      </c>
      <c r="P1041" s="40">
        <v>0</v>
      </c>
      <c r="Q1041" s="40">
        <v>0</v>
      </c>
      <c r="R1041" s="40">
        <v>0</v>
      </c>
      <c r="S1041" s="40">
        <v>0</v>
      </c>
      <c r="T1041" s="29">
        <f t="array" aca="1" ref="T1041" ca="1">+fair_value_gap(OFFSET(S1040,0,0,-1*$I$5,-1*$Z$1),OFFSET(E1040,0,0,-1*$I$5,1),F1041:S1041,0)</f>
        <v>18.372011976164885</v>
      </c>
      <c r="U1041" s="9" cm="1">
        <f t="array" aca="1" ref="U1041" ca="1">z_score_diff(OFFSET(T1041,0,0,$I$5*-1,1),OFFSET(E1041,0,0,$I$5*-1,1))</f>
        <v>9.2651673181654015E-3</v>
      </c>
      <c r="V1041" s="9">
        <f t="shared" ca="1" si="135"/>
        <v>3.53871534859799E-2</v>
      </c>
      <c r="W1041" s="17">
        <f t="shared" ca="1" si="132"/>
        <v>4.5339545256626625E-2</v>
      </c>
      <c r="X1041" s="13">
        <f t="shared" ca="1" si="133"/>
        <v>0</v>
      </c>
      <c r="Y1041" s="13">
        <f t="shared" ca="1" si="134"/>
        <v>0</v>
      </c>
      <c r="Z1041">
        <f t="shared" ca="1" si="136"/>
        <v>0</v>
      </c>
      <c r="AA1041">
        <f t="shared" ca="1" si="137"/>
        <v>1</v>
      </c>
      <c r="AB1041" s="24">
        <f t="shared" ca="1" si="138"/>
        <v>0</v>
      </c>
      <c r="AC1041" s="24">
        <f t="shared" ca="1" si="139"/>
        <v>4.5339545256626625E-2</v>
      </c>
    </row>
    <row r="1042" spans="3:29" x14ac:dyDescent="0.25">
      <c r="C1042" s="6">
        <v>1035</v>
      </c>
      <c r="D1042" s="37">
        <v>43480</v>
      </c>
      <c r="E1042" s="39">
        <v>18.742000000000001</v>
      </c>
      <c r="F1042" s="39">
        <v>2.1747264641107349</v>
      </c>
      <c r="G1042" s="39">
        <v>52.306455069473138</v>
      </c>
      <c r="H1042" s="39">
        <v>73.620936304287596</v>
      </c>
      <c r="I1042" s="10">
        <v>1</v>
      </c>
      <c r="J1042" s="40">
        <v>0</v>
      </c>
      <c r="K1042" s="40">
        <v>0</v>
      </c>
      <c r="L1042" s="40">
        <v>0</v>
      </c>
      <c r="M1042" s="40">
        <v>0</v>
      </c>
      <c r="N1042" s="40">
        <v>0</v>
      </c>
      <c r="O1042" s="40">
        <v>0</v>
      </c>
      <c r="P1042" s="40">
        <v>0</v>
      </c>
      <c r="Q1042" s="40">
        <v>0</v>
      </c>
      <c r="R1042" s="40">
        <v>0</v>
      </c>
      <c r="S1042" s="40">
        <v>0</v>
      </c>
      <c r="T1042" s="29">
        <f t="array" aca="1" ref="T1042" ca="1">+fair_value_gap(OFFSET(S1041,0,0,-1*$I$5,-1*$Z$1),OFFSET(E1041,0,0,-1*$I$5,1),F1042:S1042,0)</f>
        <v>18.753530331497487</v>
      </c>
      <c r="U1042" s="9" cm="1">
        <f t="array" aca="1" ref="U1042" ca="1">z_score_diff(OFFSET(T1042,0,0,$I$5*-1,1),OFFSET(E1042,0,0,$I$5*-1,1))</f>
        <v>4.3373136264838186E-2</v>
      </c>
      <c r="V1042" s="9">
        <f t="shared" ca="1" si="135"/>
        <v>3.6839724235550889E-2</v>
      </c>
      <c r="W1042" s="17">
        <f t="shared" ca="1" si="132"/>
        <v>1.9183086197231317E-2</v>
      </c>
      <c r="X1042" s="13">
        <f t="shared" ca="1" si="133"/>
        <v>0</v>
      </c>
      <c r="Y1042" s="13">
        <f t="shared" ca="1" si="134"/>
        <v>0</v>
      </c>
      <c r="Z1042">
        <f t="shared" ca="1" si="136"/>
        <v>0</v>
      </c>
      <c r="AA1042">
        <f t="shared" ca="1" si="137"/>
        <v>1</v>
      </c>
      <c r="AB1042" s="24">
        <f t="shared" ca="1" si="138"/>
        <v>0</v>
      </c>
      <c r="AC1042" s="24">
        <f t="shared" ca="1" si="139"/>
        <v>1.9183086197231317E-2</v>
      </c>
    </row>
    <row r="1043" spans="3:29" x14ac:dyDescent="0.25">
      <c r="C1043" s="6">
        <v>1036</v>
      </c>
      <c r="D1043" s="37">
        <v>43481</v>
      </c>
      <c r="E1043" s="39">
        <v>19.012</v>
      </c>
      <c r="F1043" s="39">
        <v>2.1523707508907446</v>
      </c>
      <c r="G1043" s="39">
        <v>52.513119984958323</v>
      </c>
      <c r="H1043" s="39">
        <v>75.18210917246877</v>
      </c>
      <c r="I1043" s="10">
        <v>1</v>
      </c>
      <c r="J1043" s="40">
        <v>0</v>
      </c>
      <c r="K1043" s="40">
        <v>0</v>
      </c>
      <c r="L1043" s="40">
        <v>0</v>
      </c>
      <c r="M1043" s="40">
        <v>0</v>
      </c>
      <c r="N1043" s="40">
        <v>0</v>
      </c>
      <c r="O1043" s="40">
        <v>0</v>
      </c>
      <c r="P1043" s="40">
        <v>0</v>
      </c>
      <c r="Q1043" s="40">
        <v>0</v>
      </c>
      <c r="R1043" s="40">
        <v>0</v>
      </c>
      <c r="S1043" s="40">
        <v>0</v>
      </c>
      <c r="T1043" s="29">
        <f t="array" aca="1" ref="T1043" ca="1">+fair_value_gap(OFFSET(S1042,0,0,-1*$I$5,-1*$Z$1),OFFSET(E1042,0,0,-1*$I$5,1),F1043:S1043,0)</f>
        <v>18.860179035934109</v>
      </c>
      <c r="U1043" s="9" cm="1">
        <f t="array" aca="1" ref="U1043" ca="1">z_score_diff(OFFSET(T1043,0,0,$I$5*-1,1),OFFSET(E1043,0,0,$I$5*-1,1))</f>
        <v>-1.8945368155060704E-2</v>
      </c>
      <c r="V1043" s="9">
        <f t="shared" ca="1" si="135"/>
        <v>3.5088321913421476E-2</v>
      </c>
      <c r="W1043" s="17">
        <f t="shared" ca="1" si="132"/>
        <v>-1.0628553640879465E-2</v>
      </c>
      <c r="X1043" s="13">
        <f t="shared" ca="1" si="133"/>
        <v>0</v>
      </c>
      <c r="Y1043" s="13">
        <f t="shared" ca="1" si="134"/>
        <v>0</v>
      </c>
      <c r="Z1043">
        <f t="shared" ca="1" si="136"/>
        <v>0</v>
      </c>
      <c r="AA1043">
        <f t="shared" ca="1" si="137"/>
        <v>1</v>
      </c>
      <c r="AB1043" s="24">
        <f t="shared" ca="1" si="138"/>
        <v>0</v>
      </c>
      <c r="AC1043" s="24">
        <f t="shared" ca="1" si="139"/>
        <v>-1.0628553640879465E-2</v>
      </c>
    </row>
    <row r="1044" spans="3:29" x14ac:dyDescent="0.25">
      <c r="C1044" s="6">
        <v>1037</v>
      </c>
      <c r="D1044" s="37">
        <v>43482</v>
      </c>
      <c r="E1044" s="39">
        <v>19.452000000000002</v>
      </c>
      <c r="F1044" s="39">
        <v>2.1671759166919475</v>
      </c>
      <c r="G1044" s="39">
        <v>54.541232993538998</v>
      </c>
      <c r="H1044" s="39">
        <v>76.010385013132122</v>
      </c>
      <c r="I1044" s="10">
        <v>1</v>
      </c>
      <c r="J1044" s="40">
        <v>0</v>
      </c>
      <c r="K1044" s="40">
        <v>0</v>
      </c>
      <c r="L1044" s="40">
        <v>0</v>
      </c>
      <c r="M1044" s="40">
        <v>0</v>
      </c>
      <c r="N1044" s="40">
        <v>0</v>
      </c>
      <c r="O1044" s="40">
        <v>0</v>
      </c>
      <c r="P1044" s="40">
        <v>0</v>
      </c>
      <c r="Q1044" s="40">
        <v>0</v>
      </c>
      <c r="R1044" s="40">
        <v>0</v>
      </c>
      <c r="S1044" s="40">
        <v>0</v>
      </c>
      <c r="T1044" s="29">
        <f t="array" aca="1" ref="T1044" ca="1">+fair_value_gap(OFFSET(S1043,0,0,-1*$I$5,-1*$Z$1),OFFSET(E1043,0,0,-1*$I$5,1),F1044:S1044,0)</f>
        <v>19.499693818796313</v>
      </c>
      <c r="U1044" s="9" cm="1">
        <f t="array" aca="1" ref="U1044" ca="1">z_score_diff(OFFSET(T1044,0,0,$I$5*-1,1),OFFSET(E1044,0,0,$I$5*-1,1))</f>
        <v>5.4196771342661598E-2</v>
      </c>
      <c r="V1044" s="9">
        <f t="shared" ca="1" si="135"/>
        <v>3.529952267649393E-2</v>
      </c>
      <c r="W1044" s="17">
        <f t="shared" ca="1" si="132"/>
        <v>-2.7096280497538008E-2</v>
      </c>
      <c r="X1044" s="13">
        <f t="shared" ca="1" si="133"/>
        <v>0</v>
      </c>
      <c r="Y1044" s="13">
        <f t="shared" ca="1" si="134"/>
        <v>0</v>
      </c>
      <c r="Z1044">
        <f t="shared" ca="1" si="136"/>
        <v>0</v>
      </c>
      <c r="AA1044">
        <f t="shared" ca="1" si="137"/>
        <v>1</v>
      </c>
      <c r="AB1044" s="24">
        <f t="shared" ca="1" si="138"/>
        <v>0</v>
      </c>
      <c r="AC1044" s="24">
        <f t="shared" ca="1" si="139"/>
        <v>-2.7096280497538008E-2</v>
      </c>
    </row>
    <row r="1045" spans="3:29" x14ac:dyDescent="0.25">
      <c r="C1045" s="6">
        <v>1038</v>
      </c>
      <c r="D1045" s="37">
        <v>43483</v>
      </c>
      <c r="E1045" s="39">
        <v>19.599</v>
      </c>
      <c r="F1045" s="39">
        <v>2.1832704383503208</v>
      </c>
      <c r="G1045" s="39">
        <v>54.599564400551976</v>
      </c>
      <c r="H1045" s="39">
        <v>77.002268921817091</v>
      </c>
      <c r="I1045" s="10">
        <v>1</v>
      </c>
      <c r="J1045" s="40">
        <v>0</v>
      </c>
      <c r="K1045" s="40">
        <v>0</v>
      </c>
      <c r="L1045" s="40">
        <v>0</v>
      </c>
      <c r="M1045" s="40">
        <v>0</v>
      </c>
      <c r="N1045" s="40">
        <v>0</v>
      </c>
      <c r="O1045" s="40">
        <v>0</v>
      </c>
      <c r="P1045" s="40">
        <v>0</v>
      </c>
      <c r="Q1045" s="40">
        <v>0</v>
      </c>
      <c r="R1045" s="40">
        <v>0</v>
      </c>
      <c r="S1045" s="40">
        <v>0</v>
      </c>
      <c r="T1045" s="29">
        <f t="array" aca="1" ref="T1045" ca="1">+fair_value_gap(OFFSET(S1044,0,0,-1*$I$5,-1*$Z$1),OFFSET(E1044,0,0,-1*$I$5,1),F1045:S1045,0)</f>
        <v>19.561862189887787</v>
      </c>
      <c r="U1045" s="9" cm="1">
        <f t="array" aca="1" ref="U1045" ca="1">z_score_diff(OFFSET(T1045,0,0,$I$5*-1,1),OFFSET(E1045,0,0,$I$5*-1,1))</f>
        <v>2.1710606861302564E-2</v>
      </c>
      <c r="V1045" s="9">
        <f t="shared" ca="1" si="135"/>
        <v>3.414450448323058E-2</v>
      </c>
      <c r="W1045" s="17">
        <f t="shared" ca="1" si="132"/>
        <v>-3.9761703382718581E-2</v>
      </c>
      <c r="X1045" s="13">
        <f t="shared" ca="1" si="133"/>
        <v>0</v>
      </c>
      <c r="Y1045" s="13">
        <f t="shared" ca="1" si="134"/>
        <v>0</v>
      </c>
      <c r="Z1045">
        <f t="shared" ca="1" si="136"/>
        <v>0</v>
      </c>
      <c r="AA1045">
        <f t="shared" ca="1" si="137"/>
        <v>1</v>
      </c>
      <c r="AB1045" s="24">
        <f t="shared" ca="1" si="138"/>
        <v>0</v>
      </c>
      <c r="AC1045" s="24">
        <f t="shared" ca="1" si="139"/>
        <v>-3.9761703382718581E-2</v>
      </c>
    </row>
    <row r="1046" spans="3:29" x14ac:dyDescent="0.25">
      <c r="C1046" s="6">
        <v>1039</v>
      </c>
      <c r="D1046" s="37">
        <v>43486</v>
      </c>
      <c r="E1046" s="39">
        <v>19.352</v>
      </c>
      <c r="F1046" s="39">
        <v>2.1834244493151607</v>
      </c>
      <c r="G1046" s="39">
        <v>53.910959748334086</v>
      </c>
      <c r="H1046" s="39">
        <v>76.9237229066418</v>
      </c>
      <c r="I1046" s="10">
        <v>1</v>
      </c>
      <c r="J1046" s="40">
        <v>0</v>
      </c>
      <c r="K1046" s="40">
        <v>0</v>
      </c>
      <c r="L1046" s="40">
        <v>0</v>
      </c>
      <c r="M1046" s="40">
        <v>0</v>
      </c>
      <c r="N1046" s="40">
        <v>0</v>
      </c>
      <c r="O1046" s="40">
        <v>0</v>
      </c>
      <c r="P1046" s="40">
        <v>0</v>
      </c>
      <c r="Q1046" s="40">
        <v>0</v>
      </c>
      <c r="R1046" s="40">
        <v>0</v>
      </c>
      <c r="S1046" s="40">
        <v>0</v>
      </c>
      <c r="T1046" s="29">
        <f t="array" aca="1" ref="T1046" ca="1">+fair_value_gap(OFFSET(S1045,0,0,-1*$I$5,-1*$Z$1),OFFSET(E1045,0,0,-1*$I$5,1),F1046:S1046,0)</f>
        <v>19.371721449210185</v>
      </c>
      <c r="U1046" s="9" cm="1">
        <f t="array" aca="1" ref="U1046" ca="1">z_score_diff(OFFSET(T1046,0,0,$I$5*-1,1),OFFSET(E1046,0,0,$I$5*-1,1))</f>
        <v>4.4933116442231025E-2</v>
      </c>
      <c r="V1046" s="9">
        <f t="shared" ca="1" si="135"/>
        <v>3.3962246039468999E-2</v>
      </c>
      <c r="W1046" s="17">
        <f t="shared" ca="1" si="132"/>
        <v>-3.4646651077531482E-2</v>
      </c>
      <c r="X1046" s="13">
        <f t="shared" ca="1" si="133"/>
        <v>0</v>
      </c>
      <c r="Y1046" s="13">
        <f t="shared" ca="1" si="134"/>
        <v>0</v>
      </c>
      <c r="Z1046">
        <f t="shared" ca="1" si="136"/>
        <v>0</v>
      </c>
      <c r="AA1046">
        <f t="shared" ca="1" si="137"/>
        <v>1</v>
      </c>
      <c r="AB1046" s="24">
        <f t="shared" ca="1" si="138"/>
        <v>0</v>
      </c>
      <c r="AC1046" s="24">
        <f t="shared" ca="1" si="139"/>
        <v>-3.4646651077531482E-2</v>
      </c>
    </row>
    <row r="1047" spans="3:29" x14ac:dyDescent="0.25">
      <c r="C1047" s="6">
        <v>1040</v>
      </c>
      <c r="D1047" s="37">
        <v>43487</v>
      </c>
      <c r="E1047" s="39">
        <v>19.25</v>
      </c>
      <c r="F1047" s="39">
        <v>2.1907194837061561</v>
      </c>
      <c r="G1047" s="39">
        <v>53.709852945280019</v>
      </c>
      <c r="H1047" s="39">
        <v>77.771802154585629</v>
      </c>
      <c r="I1047" s="10">
        <v>1</v>
      </c>
      <c r="J1047" s="40">
        <v>0</v>
      </c>
      <c r="K1047" s="40">
        <v>0</v>
      </c>
      <c r="L1047" s="40">
        <v>0</v>
      </c>
      <c r="M1047" s="40">
        <v>0</v>
      </c>
      <c r="N1047" s="40">
        <v>0</v>
      </c>
      <c r="O1047" s="40">
        <v>0</v>
      </c>
      <c r="P1047" s="40">
        <v>0</v>
      </c>
      <c r="Q1047" s="40">
        <v>0</v>
      </c>
      <c r="R1047" s="40">
        <v>0</v>
      </c>
      <c r="S1047" s="40">
        <v>0</v>
      </c>
      <c r="T1047" s="29">
        <f t="array" aca="1" ref="T1047" ca="1">+fair_value_gap(OFFSET(S1046,0,0,-1*$I$5,-1*$Z$1),OFFSET(E1046,0,0,-1*$I$5,1),F1047:S1047,0)</f>
        <v>19.351496897372041</v>
      </c>
      <c r="U1047" s="9" cm="1">
        <f t="array" aca="1" ref="U1047" ca="1">z_score_diff(OFFSET(T1047,0,0,$I$5*-1,1),OFFSET(E1047,0,0,$I$5*-1,1))</f>
        <v>7.694191669950759E-2</v>
      </c>
      <c r="V1047" s="9">
        <f t="shared" ca="1" si="135"/>
        <v>3.3894184680333374E-2</v>
      </c>
      <c r="W1047" s="17">
        <f t="shared" ca="1" si="132"/>
        <v>-3.8821831678114441E-2</v>
      </c>
      <c r="X1047" s="13">
        <f t="shared" ca="1" si="133"/>
        <v>0</v>
      </c>
      <c r="Y1047" s="13">
        <f t="shared" ca="1" si="134"/>
        <v>0</v>
      </c>
      <c r="Z1047">
        <f t="shared" ca="1" si="136"/>
        <v>0</v>
      </c>
      <c r="AA1047">
        <f t="shared" ca="1" si="137"/>
        <v>1</v>
      </c>
      <c r="AB1047" s="24">
        <f t="shared" ca="1" si="138"/>
        <v>0</v>
      </c>
      <c r="AC1047" s="24">
        <f t="shared" ca="1" si="139"/>
        <v>-3.8821831678114441E-2</v>
      </c>
    </row>
    <row r="1048" spans="3:29" x14ac:dyDescent="0.25">
      <c r="C1048" s="6">
        <v>1041</v>
      </c>
      <c r="D1048" s="37">
        <v>43488</v>
      </c>
      <c r="E1048" s="39">
        <v>19.457000000000001</v>
      </c>
      <c r="F1048" s="39">
        <v>2.1850720839014013</v>
      </c>
      <c r="G1048" s="39">
        <v>54.478643427839394</v>
      </c>
      <c r="H1048" s="39">
        <v>77.475311033188618</v>
      </c>
      <c r="I1048" s="10">
        <v>1</v>
      </c>
      <c r="J1048" s="40">
        <v>0</v>
      </c>
      <c r="K1048" s="40">
        <v>0</v>
      </c>
      <c r="L1048" s="40">
        <v>0</v>
      </c>
      <c r="M1048" s="40">
        <v>0</v>
      </c>
      <c r="N1048" s="40">
        <v>0</v>
      </c>
      <c r="O1048" s="40">
        <v>0</v>
      </c>
      <c r="P1048" s="40">
        <v>0</v>
      </c>
      <c r="Q1048" s="40">
        <v>0</v>
      </c>
      <c r="R1048" s="40">
        <v>0</v>
      </c>
      <c r="S1048" s="40">
        <v>0</v>
      </c>
      <c r="T1048" s="29">
        <f t="array" aca="1" ref="T1048" ca="1">+fair_value_gap(OFFSET(S1047,0,0,-1*$I$5,-1*$Z$1),OFFSET(E1047,0,0,-1*$I$5,1),F1048:S1048,0)</f>
        <v>19.553089304647163</v>
      </c>
      <c r="U1048" s="9" cm="1">
        <f t="array" aca="1" ref="U1048" ca="1">z_score_diff(OFFSET(T1048,0,0,$I$5*-1,1),OFFSET(E1048,0,0,$I$5*-1,1))</f>
        <v>7.3836400784704881E-2</v>
      </c>
      <c r="V1048" s="9">
        <f t="shared" ca="1" si="135"/>
        <v>3.6397187780270582E-2</v>
      </c>
      <c r="W1048" s="17">
        <f t="shared" ca="1" si="132"/>
        <v>-6.3548793334643111E-2</v>
      </c>
      <c r="X1048" s="13">
        <f t="shared" ca="1" si="133"/>
        <v>0</v>
      </c>
      <c r="Y1048" s="13">
        <f t="shared" ca="1" si="134"/>
        <v>0</v>
      </c>
      <c r="Z1048">
        <f t="shared" ca="1" si="136"/>
        <v>0</v>
      </c>
      <c r="AA1048">
        <f t="shared" ca="1" si="137"/>
        <v>1</v>
      </c>
      <c r="AB1048" s="24">
        <f t="shared" ca="1" si="138"/>
        <v>0</v>
      </c>
      <c r="AC1048" s="24">
        <f t="shared" ca="1" si="139"/>
        <v>-6.3548793334643111E-2</v>
      </c>
    </row>
    <row r="1049" spans="3:29" x14ac:dyDescent="0.25">
      <c r="C1049" s="6">
        <v>1042</v>
      </c>
      <c r="D1049" s="37">
        <v>43489</v>
      </c>
      <c r="E1049" s="39">
        <v>19.001000000000001</v>
      </c>
      <c r="F1049" s="39">
        <v>2.2095885000118161</v>
      </c>
      <c r="G1049" s="39">
        <v>53.52870103610136</v>
      </c>
      <c r="H1049" s="39">
        <v>76.930478142122624</v>
      </c>
      <c r="I1049" s="10">
        <v>1</v>
      </c>
      <c r="J1049" s="40">
        <v>0</v>
      </c>
      <c r="K1049" s="40">
        <v>0</v>
      </c>
      <c r="L1049" s="40">
        <v>0</v>
      </c>
      <c r="M1049" s="40">
        <v>0</v>
      </c>
      <c r="N1049" s="40">
        <v>0</v>
      </c>
      <c r="O1049" s="40">
        <v>0</v>
      </c>
      <c r="P1049" s="40">
        <v>0</v>
      </c>
      <c r="Q1049" s="40">
        <v>0</v>
      </c>
      <c r="R1049" s="40">
        <v>0</v>
      </c>
      <c r="S1049" s="40">
        <v>0</v>
      </c>
      <c r="T1049" s="29">
        <f t="array" aca="1" ref="T1049" ca="1">+fair_value_gap(OFFSET(S1048,0,0,-1*$I$5,-1*$Z$1),OFFSET(E1048,0,0,-1*$I$5,1),F1049:S1049,0)</f>
        <v>19.273769000419122</v>
      </c>
      <c r="U1049" s="9" cm="1">
        <f t="array" aca="1" ref="U1049" ca="1">z_score_diff(OFFSET(T1049,0,0,$I$5*-1,1),OFFSET(E1049,0,0,$I$5*-1,1))</f>
        <v>0.14304209903469112</v>
      </c>
      <c r="V1049" s="9">
        <f t="shared" ca="1" si="135"/>
        <v>3.8080919076785145E-2</v>
      </c>
      <c r="W1049" s="17">
        <f t="shared" ca="1" si="132"/>
        <v>-4.9353451042106672E-2</v>
      </c>
      <c r="X1049" s="13">
        <f t="shared" ca="1" si="133"/>
        <v>0</v>
      </c>
      <c r="Y1049" s="13">
        <f t="shared" ca="1" si="134"/>
        <v>0</v>
      </c>
      <c r="Z1049">
        <f t="shared" ca="1" si="136"/>
        <v>0</v>
      </c>
      <c r="AA1049">
        <f t="shared" ca="1" si="137"/>
        <v>1</v>
      </c>
      <c r="AB1049" s="24">
        <f t="shared" ca="1" si="138"/>
        <v>0</v>
      </c>
      <c r="AC1049" s="24">
        <f t="shared" ca="1" si="139"/>
        <v>-4.9353451042106672E-2</v>
      </c>
    </row>
    <row r="1050" spans="3:29" x14ac:dyDescent="0.25">
      <c r="C1050" s="6">
        <v>1043</v>
      </c>
      <c r="D1050" s="37">
        <v>43490</v>
      </c>
      <c r="E1050" s="39">
        <v>19.009</v>
      </c>
      <c r="F1050" s="39">
        <v>2.1894391757405454</v>
      </c>
      <c r="G1050" s="39">
        <v>53.063319131003183</v>
      </c>
      <c r="H1050" s="39">
        <v>76.145315871343271</v>
      </c>
      <c r="I1050" s="10">
        <v>1</v>
      </c>
      <c r="J1050" s="40">
        <v>0</v>
      </c>
      <c r="K1050" s="40">
        <v>0</v>
      </c>
      <c r="L1050" s="40">
        <v>0</v>
      </c>
      <c r="M1050" s="40">
        <v>0</v>
      </c>
      <c r="N1050" s="40">
        <v>0</v>
      </c>
      <c r="O1050" s="40">
        <v>0</v>
      </c>
      <c r="P1050" s="40">
        <v>0</v>
      </c>
      <c r="Q1050" s="40">
        <v>0</v>
      </c>
      <c r="R1050" s="40">
        <v>0</v>
      </c>
      <c r="S1050" s="40">
        <v>0</v>
      </c>
      <c r="T1050" s="29">
        <f t="array" aca="1" ref="T1050" ca="1">+fair_value_gap(OFFSET(S1049,0,0,-1*$I$5,-1*$Z$1),OFFSET(E1049,0,0,-1*$I$5,1),F1050:S1050,0)</f>
        <v>19.085279858549487</v>
      </c>
      <c r="U1050" s="9" cm="1">
        <f t="array" aca="1" ref="U1050" ca="1">z_score_diff(OFFSET(T1050,0,0,$I$5*-1,1),OFFSET(E1050,0,0,$I$5*-1,1))</f>
        <v>6.5832600914362605E-2</v>
      </c>
      <c r="V1050" s="9">
        <f t="shared" ca="1" si="135"/>
        <v>3.8174753551022803E-2</v>
      </c>
      <c r="W1050" s="17">
        <f t="shared" ca="1" si="132"/>
        <v>-7.4743500645371178E-2</v>
      </c>
      <c r="X1050" s="13">
        <f t="shared" ca="1" si="133"/>
        <v>0</v>
      </c>
      <c r="Y1050" s="13">
        <f t="shared" ca="1" si="134"/>
        <v>0</v>
      </c>
      <c r="Z1050">
        <f t="shared" ca="1" si="136"/>
        <v>0</v>
      </c>
      <c r="AA1050">
        <f t="shared" ca="1" si="137"/>
        <v>1</v>
      </c>
      <c r="AB1050" s="24">
        <f t="shared" ca="1" si="138"/>
        <v>0</v>
      </c>
      <c r="AC1050" s="24">
        <f t="shared" ca="1" si="139"/>
        <v>-7.4743500645371178E-2</v>
      </c>
    </row>
    <row r="1051" spans="3:29" x14ac:dyDescent="0.25">
      <c r="C1051" s="6">
        <v>1044</v>
      </c>
      <c r="D1051" s="37">
        <v>43493</v>
      </c>
      <c r="E1051" s="39">
        <v>18.91</v>
      </c>
      <c r="F1051" s="39">
        <v>2.1912420491245892</v>
      </c>
      <c r="G1051" s="39">
        <v>52.582939431449795</v>
      </c>
      <c r="H1051" s="39">
        <v>76.438676132253107</v>
      </c>
      <c r="I1051" s="10">
        <v>1</v>
      </c>
      <c r="J1051" s="40">
        <v>0</v>
      </c>
      <c r="K1051" s="40">
        <v>0</v>
      </c>
      <c r="L1051" s="40">
        <v>0</v>
      </c>
      <c r="M1051" s="40">
        <v>0</v>
      </c>
      <c r="N1051" s="40">
        <v>0</v>
      </c>
      <c r="O1051" s="40">
        <v>0</v>
      </c>
      <c r="P1051" s="40">
        <v>0</v>
      </c>
      <c r="Q1051" s="40">
        <v>0</v>
      </c>
      <c r="R1051" s="40">
        <v>0</v>
      </c>
      <c r="S1051" s="40">
        <v>0</v>
      </c>
      <c r="T1051" s="29">
        <f t="array" aca="1" ref="T1051" ca="1">+fair_value_gap(OFFSET(S1050,0,0,-1*$I$5,-1*$Z$1),OFFSET(E1050,0,0,-1*$I$5,1),F1051:S1051,0)</f>
        <v>18.95501927786411</v>
      </c>
      <c r="U1051" s="9" cm="1">
        <f t="array" aca="1" ref="U1051" ca="1">z_score_diff(OFFSET(T1051,0,0,$I$5*-1,1),OFFSET(E1051,0,0,$I$5*-1,1))</f>
        <v>5.395974485105931E-2</v>
      </c>
      <c r="V1051" s="9">
        <f t="shared" ca="1" si="135"/>
        <v>3.7450052412113168E-2</v>
      </c>
      <c r="W1051" s="17">
        <f t="shared" ca="1" si="132"/>
        <v>-8.8753194019608614E-2</v>
      </c>
      <c r="X1051" s="13">
        <f t="shared" ca="1" si="133"/>
        <v>0</v>
      </c>
      <c r="Y1051" s="13">
        <f t="shared" ca="1" si="134"/>
        <v>0</v>
      </c>
      <c r="Z1051">
        <f t="shared" ca="1" si="136"/>
        <v>0</v>
      </c>
      <c r="AA1051">
        <f t="shared" ca="1" si="137"/>
        <v>1</v>
      </c>
      <c r="AB1051" s="24">
        <f t="shared" ca="1" si="138"/>
        <v>0</v>
      </c>
      <c r="AC1051" s="24">
        <f t="shared" ca="1" si="139"/>
        <v>-8.8753194019608614E-2</v>
      </c>
    </row>
    <row r="1052" spans="3:29" x14ac:dyDescent="0.25">
      <c r="C1052" s="6">
        <v>1045</v>
      </c>
      <c r="D1052" s="37">
        <v>43494</v>
      </c>
      <c r="E1052" s="39">
        <v>19.091000000000001</v>
      </c>
      <c r="F1052" s="39">
        <v>2.1849629132393558</v>
      </c>
      <c r="G1052" s="39">
        <v>52.767313854558125</v>
      </c>
      <c r="H1052" s="39">
        <v>75.601219638450004</v>
      </c>
      <c r="I1052" s="10">
        <v>1</v>
      </c>
      <c r="J1052" s="40">
        <v>0</v>
      </c>
      <c r="K1052" s="40">
        <v>0</v>
      </c>
      <c r="L1052" s="40">
        <v>0</v>
      </c>
      <c r="M1052" s="40">
        <v>0</v>
      </c>
      <c r="N1052" s="40">
        <v>0</v>
      </c>
      <c r="O1052" s="40">
        <v>0</v>
      </c>
      <c r="P1052" s="40">
        <v>0</v>
      </c>
      <c r="Q1052" s="40">
        <v>0</v>
      </c>
      <c r="R1052" s="40">
        <v>0</v>
      </c>
      <c r="S1052" s="40">
        <v>0</v>
      </c>
      <c r="T1052" s="29">
        <f t="array" aca="1" ref="T1052" ca="1">+fair_value_gap(OFFSET(S1051,0,0,-1*$I$5,-1*$Z$1),OFFSET(E1051,0,0,-1*$I$5,1),F1052:S1052,0)</f>
        <v>18.972510899379138</v>
      </c>
      <c r="U1052" s="9" cm="1">
        <f t="array" aca="1" ref="U1052" ca="1">z_score_diff(OFFSET(T1052,0,0,$I$5*-1,1),OFFSET(E1052,0,0,$I$5*-1,1))</f>
        <v>-1.1742887741215402E-2</v>
      </c>
      <c r="V1052" s="9">
        <f t="shared" ca="1" si="135"/>
        <v>3.5259507340114668E-2</v>
      </c>
      <c r="W1052" s="17">
        <f t="shared" ca="1" si="132"/>
        <v>-9.7759355415583324E-2</v>
      </c>
      <c r="X1052" s="13">
        <f t="shared" ca="1" si="133"/>
        <v>0</v>
      </c>
      <c r="Y1052" s="13">
        <f t="shared" ca="1" si="134"/>
        <v>0</v>
      </c>
      <c r="Z1052">
        <f t="shared" ca="1" si="136"/>
        <v>0</v>
      </c>
      <c r="AA1052">
        <f t="shared" ca="1" si="137"/>
        <v>1</v>
      </c>
      <c r="AB1052" s="24">
        <f t="shared" ca="1" si="138"/>
        <v>0</v>
      </c>
      <c r="AC1052" s="24">
        <f t="shared" ca="1" si="139"/>
        <v>-9.7759355415583324E-2</v>
      </c>
    </row>
    <row r="1053" spans="3:29" x14ac:dyDescent="0.25">
      <c r="C1053" s="6">
        <v>1046</v>
      </c>
      <c r="D1053" s="37">
        <v>43495</v>
      </c>
      <c r="E1053" s="39">
        <v>18.914999999999999</v>
      </c>
      <c r="F1053" s="39">
        <v>2.1721074768766258</v>
      </c>
      <c r="G1053" s="39">
        <v>52.758126778528975</v>
      </c>
      <c r="H1053" s="39">
        <v>76.106984199374509</v>
      </c>
      <c r="I1053" s="10">
        <v>1</v>
      </c>
      <c r="J1053" s="40">
        <v>0</v>
      </c>
      <c r="K1053" s="40">
        <v>0</v>
      </c>
      <c r="L1053" s="40">
        <v>0</v>
      </c>
      <c r="M1053" s="40">
        <v>0</v>
      </c>
      <c r="N1053" s="40">
        <v>0</v>
      </c>
      <c r="O1053" s="40">
        <v>0</v>
      </c>
      <c r="P1053" s="40">
        <v>0</v>
      </c>
      <c r="Q1053" s="40">
        <v>0</v>
      </c>
      <c r="R1053" s="40">
        <v>0</v>
      </c>
      <c r="S1053" s="40">
        <v>0</v>
      </c>
      <c r="T1053" s="29">
        <f t="array" aca="1" ref="T1053" ca="1">+fair_value_gap(OFFSET(S1052,0,0,-1*$I$5,-1*$Z$1),OFFSET(E1052,0,0,-1*$I$5,1),F1053:S1053,0)</f>
        <v>18.986053897914069</v>
      </c>
      <c r="U1053" s="9" cm="1">
        <f t="array" aca="1" ref="U1053" ca="1">z_score_diff(OFFSET(T1053,0,0,$I$5*-1,1),OFFSET(E1053,0,0,$I$5*-1,1))</f>
        <v>6.4129375631117314E-2</v>
      </c>
      <c r="V1053" s="9">
        <f t="shared" ca="1" si="135"/>
        <v>3.5467137237980194E-2</v>
      </c>
      <c r="W1053" s="17">
        <f t="shared" ca="1" si="132"/>
        <v>-7.2340487311444074E-2</v>
      </c>
      <c r="X1053" s="13">
        <f t="shared" ca="1" si="133"/>
        <v>0</v>
      </c>
      <c r="Y1053" s="13">
        <f t="shared" ca="1" si="134"/>
        <v>0</v>
      </c>
      <c r="Z1053">
        <f t="shared" ca="1" si="136"/>
        <v>0</v>
      </c>
      <c r="AA1053">
        <f t="shared" ca="1" si="137"/>
        <v>1</v>
      </c>
      <c r="AB1053" s="24">
        <f t="shared" ca="1" si="138"/>
        <v>0</v>
      </c>
      <c r="AC1053" s="24">
        <f t="shared" ca="1" si="139"/>
        <v>-7.2340487311444074E-2</v>
      </c>
    </row>
    <row r="1054" spans="3:29" x14ac:dyDescent="0.25">
      <c r="C1054" s="6">
        <v>1047</v>
      </c>
      <c r="D1054" s="37">
        <v>43496</v>
      </c>
      <c r="E1054" s="39">
        <v>18.984000000000002</v>
      </c>
      <c r="F1054" s="39">
        <v>2.1525954723686231</v>
      </c>
      <c r="G1054" s="39">
        <v>53.820382335863002</v>
      </c>
      <c r="H1054" s="39">
        <v>75.858533229127005</v>
      </c>
      <c r="I1054" s="10">
        <v>1</v>
      </c>
      <c r="J1054" s="40">
        <v>0</v>
      </c>
      <c r="K1054" s="40">
        <v>0</v>
      </c>
      <c r="L1054" s="40">
        <v>0</v>
      </c>
      <c r="M1054" s="40">
        <v>0</v>
      </c>
      <c r="N1054" s="40">
        <v>0</v>
      </c>
      <c r="O1054" s="40">
        <v>0</v>
      </c>
      <c r="P1054" s="40">
        <v>0</v>
      </c>
      <c r="Q1054" s="40">
        <v>0</v>
      </c>
      <c r="R1054" s="40">
        <v>0</v>
      </c>
      <c r="S1054" s="40">
        <v>0</v>
      </c>
      <c r="T1054" s="29">
        <f t="array" aca="1" ref="T1054" ca="1">+fair_value_gap(OFFSET(S1053,0,0,-1*$I$5,-1*$Z$1),OFFSET(E1053,0,0,-1*$I$5,1),F1054:S1054,0)</f>
        <v>19.265425279139514</v>
      </c>
      <c r="U1054" s="9" cm="1">
        <f t="array" aca="1" ref="U1054" ca="1">z_score_diff(OFFSET(T1054,0,0,$I$5*-1,1),OFFSET(E1054,0,0,$I$5*-1,1))</f>
        <v>0.14739614412172869</v>
      </c>
      <c r="V1054" s="9">
        <f t="shared" ca="1" si="135"/>
        <v>3.6853337083288813E-2</v>
      </c>
      <c r="W1054" s="17">
        <f t="shared" ca="1" si="132"/>
        <v>-8.6092364862914772E-2</v>
      </c>
      <c r="X1054" s="13">
        <f t="shared" ca="1" si="133"/>
        <v>0</v>
      </c>
      <c r="Y1054" s="13">
        <f t="shared" ca="1" si="134"/>
        <v>0</v>
      </c>
      <c r="Z1054">
        <f t="shared" ca="1" si="136"/>
        <v>0</v>
      </c>
      <c r="AA1054">
        <f t="shared" ca="1" si="137"/>
        <v>1</v>
      </c>
      <c r="AB1054" s="24">
        <f t="shared" ca="1" si="138"/>
        <v>0</v>
      </c>
      <c r="AC1054" s="24">
        <f t="shared" ca="1" si="139"/>
        <v>-8.6092364862914772E-2</v>
      </c>
    </row>
    <row r="1055" spans="3:29" x14ac:dyDescent="0.25">
      <c r="C1055" s="6">
        <v>1048</v>
      </c>
      <c r="D1055" s="37">
        <v>43497</v>
      </c>
      <c r="E1055" s="39">
        <v>18.878</v>
      </c>
      <c r="F1055" s="39">
        <v>2.1455129760591438</v>
      </c>
      <c r="G1055" s="39">
        <v>53.370016831910171</v>
      </c>
      <c r="H1055" s="39">
        <v>74.25492830084211</v>
      </c>
      <c r="I1055" s="10">
        <v>0</v>
      </c>
      <c r="J1055" s="40">
        <v>1</v>
      </c>
      <c r="K1055" s="40">
        <v>0</v>
      </c>
      <c r="L1055" s="40">
        <v>0</v>
      </c>
      <c r="M1055" s="40">
        <v>0</v>
      </c>
      <c r="N1055" s="40">
        <v>0</v>
      </c>
      <c r="O1055" s="40">
        <v>0</v>
      </c>
      <c r="P1055" s="40">
        <v>0</v>
      </c>
      <c r="Q1055" s="40">
        <v>0</v>
      </c>
      <c r="R1055" s="40">
        <v>0</v>
      </c>
      <c r="S1055" s="40">
        <v>0</v>
      </c>
      <c r="T1055" s="29">
        <f t="array" aca="1" ref="T1055" ca="1">+fair_value_gap(OFFSET(S1054,0,0,-1*$I$5,-1*$Z$1),OFFSET(E1054,0,0,-1*$I$5,1),F1055:S1055,0)</f>
        <v>18.988783746390958</v>
      </c>
      <c r="U1055" s="9" cm="1">
        <f t="array" aca="1" ref="U1055" ca="1">z_score_diff(OFFSET(T1055,0,0,$I$5*-1,1),OFFSET(E1055,0,0,$I$5*-1,1))</f>
        <v>7.8642442377211075E-2</v>
      </c>
      <c r="V1055" s="9">
        <f t="shared" ca="1" si="135"/>
        <v>3.7687050730524745E-2</v>
      </c>
      <c r="W1055" s="17">
        <f t="shared" ca="1" si="132"/>
        <v>-7.4140570662343044E-2</v>
      </c>
      <c r="X1055" s="13">
        <f t="shared" ca="1" si="133"/>
        <v>0</v>
      </c>
      <c r="Y1055" s="13">
        <f t="shared" ca="1" si="134"/>
        <v>0</v>
      </c>
      <c r="Z1055">
        <f t="shared" ca="1" si="136"/>
        <v>0</v>
      </c>
      <c r="AA1055">
        <f t="shared" ca="1" si="137"/>
        <v>1</v>
      </c>
      <c r="AB1055" s="24">
        <f t="shared" ca="1" si="138"/>
        <v>0</v>
      </c>
      <c r="AC1055" s="24">
        <f t="shared" ca="1" si="139"/>
        <v>-7.4140570662343044E-2</v>
      </c>
    </row>
    <row r="1056" spans="3:29" x14ac:dyDescent="0.25">
      <c r="C1056" s="6">
        <v>1049</v>
      </c>
      <c r="D1056" s="37">
        <v>43500</v>
      </c>
      <c r="E1056" s="39">
        <v>18.8</v>
      </c>
      <c r="F1056" s="39">
        <v>2.1436701603952972</v>
      </c>
      <c r="G1056" s="39">
        <v>53.062724608927716</v>
      </c>
      <c r="H1056" s="39">
        <v>73.237192468510941</v>
      </c>
      <c r="I1056" s="10">
        <v>0</v>
      </c>
      <c r="J1056" s="40">
        <v>1</v>
      </c>
      <c r="K1056" s="40">
        <v>0</v>
      </c>
      <c r="L1056" s="40">
        <v>0</v>
      </c>
      <c r="M1056" s="40">
        <v>0</v>
      </c>
      <c r="N1056" s="40">
        <v>0</v>
      </c>
      <c r="O1056" s="40">
        <v>0</v>
      </c>
      <c r="P1056" s="40">
        <v>0</v>
      </c>
      <c r="Q1056" s="40">
        <v>0</v>
      </c>
      <c r="R1056" s="40">
        <v>0</v>
      </c>
      <c r="S1056" s="40">
        <v>0</v>
      </c>
      <c r="T1056" s="29">
        <f t="array" aca="1" ref="T1056" ca="1">+fair_value_gap(OFFSET(S1055,0,0,-1*$I$5,-1*$Z$1),OFFSET(E1055,0,0,-1*$I$5,1),F1056:S1056,0)</f>
        <v>18.844869408470448</v>
      </c>
      <c r="U1056" s="9" cm="1">
        <f t="array" aca="1" ref="U1056" ca="1">z_score_diff(OFFSET(T1056,0,0,$I$5*-1,1),OFFSET(E1056,0,0,$I$5*-1,1))</f>
        <v>5.1553418136217666E-2</v>
      </c>
      <c r="V1056" s="9">
        <f t="shared" ca="1" si="135"/>
        <v>3.8052426522087394E-2</v>
      </c>
      <c r="W1056" s="17">
        <f t="shared" ca="1" si="132"/>
        <v>-8.263027239164171E-2</v>
      </c>
      <c r="X1056" s="13">
        <f t="shared" ca="1" si="133"/>
        <v>0</v>
      </c>
      <c r="Y1056" s="13">
        <f t="shared" ca="1" si="134"/>
        <v>0</v>
      </c>
      <c r="Z1056">
        <f t="shared" ca="1" si="136"/>
        <v>0</v>
      </c>
      <c r="AA1056">
        <f t="shared" ca="1" si="137"/>
        <v>1</v>
      </c>
      <c r="AB1056" s="24">
        <f t="shared" ca="1" si="138"/>
        <v>0</v>
      </c>
      <c r="AC1056" s="24">
        <f t="shared" ca="1" si="139"/>
        <v>-8.263027239164171E-2</v>
      </c>
    </row>
    <row r="1057" spans="3:29" x14ac:dyDescent="0.25">
      <c r="C1057" s="6">
        <v>1050</v>
      </c>
      <c r="D1057" s="37">
        <v>43501</v>
      </c>
      <c r="E1057" s="39">
        <v>18.719000000000001</v>
      </c>
      <c r="F1057" s="39">
        <v>2.1736418297107365</v>
      </c>
      <c r="G1057" s="39">
        <v>52.971380771010573</v>
      </c>
      <c r="H1057" s="39">
        <v>72.468682727836764</v>
      </c>
      <c r="I1057" s="10">
        <v>0</v>
      </c>
      <c r="J1057" s="40">
        <v>1</v>
      </c>
      <c r="K1057" s="40">
        <v>0</v>
      </c>
      <c r="L1057" s="40">
        <v>0</v>
      </c>
      <c r="M1057" s="40">
        <v>0</v>
      </c>
      <c r="N1057" s="40">
        <v>0</v>
      </c>
      <c r="O1057" s="40">
        <v>0</v>
      </c>
      <c r="P1057" s="40">
        <v>0</v>
      </c>
      <c r="Q1057" s="40">
        <v>0</v>
      </c>
      <c r="R1057" s="40">
        <v>0</v>
      </c>
      <c r="S1057" s="40">
        <v>0</v>
      </c>
      <c r="T1057" s="29">
        <f t="array" aca="1" ref="T1057" ca="1">+fair_value_gap(OFFSET(S1056,0,0,-1*$I$5,-1*$Z$1),OFFSET(E1056,0,0,-1*$I$5,1),F1057:S1057,0)</f>
        <v>18.794244755822795</v>
      </c>
      <c r="U1057" s="9" cm="1">
        <f t="array" aca="1" ref="U1057" ca="1">z_score_diff(OFFSET(T1057,0,0,$I$5*-1,1),OFFSET(E1057,0,0,$I$5*-1,1))</f>
        <v>6.419316614727022E-2</v>
      </c>
      <c r="V1057" s="9">
        <f t="shared" ca="1" si="135"/>
        <v>4.0149129871173854E-2</v>
      </c>
      <c r="W1057" s="17">
        <f t="shared" ca="1" si="132"/>
        <v>-6.6881131490543283E-2</v>
      </c>
      <c r="X1057" s="13">
        <f t="shared" ca="1" si="133"/>
        <v>0</v>
      </c>
      <c r="Y1057" s="13">
        <f t="shared" ca="1" si="134"/>
        <v>0</v>
      </c>
      <c r="Z1057">
        <f t="shared" ca="1" si="136"/>
        <v>0</v>
      </c>
      <c r="AA1057">
        <f t="shared" ca="1" si="137"/>
        <v>1</v>
      </c>
      <c r="AB1057" s="24">
        <f t="shared" ca="1" si="138"/>
        <v>0</v>
      </c>
      <c r="AC1057" s="24">
        <f t="shared" ca="1" si="139"/>
        <v>-6.6881131490543283E-2</v>
      </c>
    </row>
    <row r="1058" spans="3:29" x14ac:dyDescent="0.25">
      <c r="C1058" s="6">
        <v>1051</v>
      </c>
      <c r="D1058" s="37">
        <v>43502</v>
      </c>
      <c r="E1058" s="39">
        <v>18.667999999999999</v>
      </c>
      <c r="F1058" s="39">
        <v>2.1870751671604323</v>
      </c>
      <c r="G1058" s="39">
        <v>52.821436337178504</v>
      </c>
      <c r="H1058" s="39">
        <v>73.560672641143228</v>
      </c>
      <c r="I1058" s="10">
        <v>0</v>
      </c>
      <c r="J1058" s="40">
        <v>1</v>
      </c>
      <c r="K1058" s="40">
        <v>0</v>
      </c>
      <c r="L1058" s="40">
        <v>0</v>
      </c>
      <c r="M1058" s="40">
        <v>0</v>
      </c>
      <c r="N1058" s="40">
        <v>0</v>
      </c>
      <c r="O1058" s="40">
        <v>0</v>
      </c>
      <c r="P1058" s="40">
        <v>0</v>
      </c>
      <c r="Q1058" s="40">
        <v>0</v>
      </c>
      <c r="R1058" s="40">
        <v>0</v>
      </c>
      <c r="S1058" s="40">
        <v>0</v>
      </c>
      <c r="T1058" s="29">
        <f t="array" aca="1" ref="T1058" ca="1">+fair_value_gap(OFFSET(S1057,0,0,-1*$I$5,-1*$Z$1),OFFSET(E1057,0,0,-1*$I$5,1),F1058:S1058,0)</f>
        <v>18.786351435508823</v>
      </c>
      <c r="U1058" s="9" cm="1">
        <f t="array" aca="1" ref="U1058" ca="1">z_score_diff(OFFSET(T1058,0,0,$I$5*-1,1),OFFSET(E1058,0,0,$I$5*-1,1))</f>
        <v>8.2136184472393681E-2</v>
      </c>
      <c r="V1058" s="9">
        <f t="shared" ca="1" si="135"/>
        <v>4.2595048658182783E-2</v>
      </c>
      <c r="W1058" s="17">
        <f t="shared" ca="1" si="132"/>
        <v>-3.7550799044094842E-2</v>
      </c>
      <c r="X1058" s="13">
        <f t="shared" ca="1" si="133"/>
        <v>0</v>
      </c>
      <c r="Y1058" s="13">
        <f t="shared" ca="1" si="134"/>
        <v>0</v>
      </c>
      <c r="Z1058">
        <f t="shared" ca="1" si="136"/>
        <v>0</v>
      </c>
      <c r="AA1058">
        <f t="shared" ca="1" si="137"/>
        <v>1</v>
      </c>
      <c r="AB1058" s="24">
        <f t="shared" ca="1" si="138"/>
        <v>0</v>
      </c>
      <c r="AC1058" s="24">
        <f t="shared" ca="1" si="139"/>
        <v>-3.7550799044094842E-2</v>
      </c>
    </row>
    <row r="1059" spans="3:29" x14ac:dyDescent="0.25">
      <c r="C1059" s="6">
        <v>1052</v>
      </c>
      <c r="D1059" s="37">
        <v>43503</v>
      </c>
      <c r="E1059" s="39">
        <v>18.587</v>
      </c>
      <c r="F1059" s="39">
        <v>2.183529348336112</v>
      </c>
      <c r="G1059" s="39">
        <v>52.604775842096132</v>
      </c>
      <c r="H1059" s="39">
        <v>71.689177292979593</v>
      </c>
      <c r="I1059" s="10">
        <v>0</v>
      </c>
      <c r="J1059" s="40">
        <v>1</v>
      </c>
      <c r="K1059" s="40">
        <v>0</v>
      </c>
      <c r="L1059" s="40">
        <v>0</v>
      </c>
      <c r="M1059" s="40">
        <v>0</v>
      </c>
      <c r="N1059" s="40">
        <v>0</v>
      </c>
      <c r="O1059" s="40">
        <v>0</v>
      </c>
      <c r="P1059" s="40">
        <v>0</v>
      </c>
      <c r="Q1059" s="40">
        <v>0</v>
      </c>
      <c r="R1059" s="40">
        <v>0</v>
      </c>
      <c r="S1059" s="40">
        <v>0</v>
      </c>
      <c r="T1059" s="29">
        <f t="array" aca="1" ref="T1059" ca="1">+fair_value_gap(OFFSET(S1058,0,0,-1*$I$5,-1*$Z$1),OFFSET(E1058,0,0,-1*$I$5,1),F1059:S1059,0)</f>
        <v>18.636876629916244</v>
      </c>
      <c r="U1059" s="9" cm="1">
        <f t="array" aca="1" ref="U1059" ca="1">z_score_diff(OFFSET(T1059,0,0,$I$5*-1,1),OFFSET(E1059,0,0,$I$5*-1,1))</f>
        <v>5.4209852167136696E-2</v>
      </c>
      <c r="V1059" s="9">
        <f t="shared" ca="1" si="135"/>
        <v>4.4489687103758231E-2</v>
      </c>
      <c r="W1059" s="17">
        <f t="shared" ca="1" si="132"/>
        <v>-4.2084874435253515E-2</v>
      </c>
      <c r="X1059" s="13">
        <f t="shared" ca="1" si="133"/>
        <v>0</v>
      </c>
      <c r="Y1059" s="13">
        <f t="shared" ca="1" si="134"/>
        <v>0</v>
      </c>
      <c r="Z1059">
        <f t="shared" ca="1" si="136"/>
        <v>0</v>
      </c>
      <c r="AA1059">
        <f t="shared" ca="1" si="137"/>
        <v>1</v>
      </c>
      <c r="AB1059" s="24">
        <f t="shared" ca="1" si="138"/>
        <v>0</v>
      </c>
      <c r="AC1059" s="24">
        <f t="shared" ca="1" si="139"/>
        <v>-4.2084874435253515E-2</v>
      </c>
    </row>
    <row r="1060" spans="3:29" x14ac:dyDescent="0.25">
      <c r="C1060" s="6">
        <v>1053</v>
      </c>
      <c r="D1060" s="37">
        <v>43504</v>
      </c>
      <c r="E1060" s="39">
        <v>18.253</v>
      </c>
      <c r="F1060" s="39">
        <v>2.2040283662080498</v>
      </c>
      <c r="G1060" s="39">
        <v>51.74206502155733</v>
      </c>
      <c r="H1060" s="39">
        <v>70.653839238457977</v>
      </c>
      <c r="I1060" s="10">
        <v>0</v>
      </c>
      <c r="J1060" s="40">
        <v>1</v>
      </c>
      <c r="K1060" s="40">
        <v>0</v>
      </c>
      <c r="L1060" s="40">
        <v>0</v>
      </c>
      <c r="M1060" s="40">
        <v>0</v>
      </c>
      <c r="N1060" s="40">
        <v>0</v>
      </c>
      <c r="O1060" s="40">
        <v>0</v>
      </c>
      <c r="P1060" s="40">
        <v>0</v>
      </c>
      <c r="Q1060" s="40">
        <v>0</v>
      </c>
      <c r="R1060" s="40">
        <v>0</v>
      </c>
      <c r="S1060" s="40">
        <v>0</v>
      </c>
      <c r="T1060" s="29">
        <f t="array" aca="1" ref="T1060" ca="1">+fair_value_gap(OFFSET(S1059,0,0,-1*$I$5,-1*$Z$1),OFFSET(E1059,0,0,-1*$I$5,1),F1060:S1060,0)</f>
        <v>18.356920323908778</v>
      </c>
      <c r="U1060" s="9" cm="1">
        <f t="array" aca="1" ref="U1060" ca="1">z_score_diff(OFFSET(T1060,0,0,$I$5*-1,1),OFFSET(E1060,0,0,$I$5*-1,1))</f>
        <v>7.8331491029550393E-2</v>
      </c>
      <c r="V1060" s="9">
        <f t="shared" ca="1" si="135"/>
        <v>4.6990928240729812E-2</v>
      </c>
      <c r="W1060" s="17">
        <f t="shared" ca="1" si="132"/>
        <v>2.6917634246934434E-2</v>
      </c>
      <c r="X1060" s="13">
        <f t="shared" ca="1" si="133"/>
        <v>0</v>
      </c>
      <c r="Y1060" s="13">
        <f t="shared" ca="1" si="134"/>
        <v>0</v>
      </c>
      <c r="Z1060">
        <f t="shared" ca="1" si="136"/>
        <v>0</v>
      </c>
      <c r="AA1060">
        <f t="shared" ca="1" si="137"/>
        <v>1</v>
      </c>
      <c r="AB1060" s="24">
        <f t="shared" ca="1" si="138"/>
        <v>0</v>
      </c>
      <c r="AC1060" s="24">
        <f t="shared" ca="1" si="139"/>
        <v>2.6917634246934434E-2</v>
      </c>
    </row>
    <row r="1061" spans="3:29" x14ac:dyDescent="0.25">
      <c r="C1061" s="6">
        <v>1054</v>
      </c>
      <c r="D1061" s="37">
        <v>43507</v>
      </c>
      <c r="E1061" s="39">
        <v>18.256</v>
      </c>
      <c r="F1061" s="39">
        <v>2.2293587310195222</v>
      </c>
      <c r="G1061" s="39">
        <v>51.630781204919522</v>
      </c>
      <c r="H1061" s="39">
        <v>70.287079718004335</v>
      </c>
      <c r="I1061" s="10">
        <v>0</v>
      </c>
      <c r="J1061" s="40">
        <v>1</v>
      </c>
      <c r="K1061" s="40">
        <v>0</v>
      </c>
      <c r="L1061" s="40">
        <v>0</v>
      </c>
      <c r="M1061" s="40">
        <v>0</v>
      </c>
      <c r="N1061" s="40">
        <v>0</v>
      </c>
      <c r="O1061" s="40">
        <v>0</v>
      </c>
      <c r="P1061" s="40">
        <v>0</v>
      </c>
      <c r="Q1061" s="40">
        <v>0</v>
      </c>
      <c r="R1061" s="40">
        <v>0</v>
      </c>
      <c r="S1061" s="40">
        <v>0</v>
      </c>
      <c r="T1061" s="29">
        <f t="array" aca="1" ref="T1061" ca="1">+fair_value_gap(OFFSET(S1060,0,0,-1*$I$5,-1*$Z$1),OFFSET(E1060,0,0,-1*$I$5,1),F1061:S1061,0)</f>
        <v>18.314484478255963</v>
      </c>
      <c r="U1061" s="9" cm="1">
        <f t="array" aca="1" ref="U1061" ca="1">z_score_diff(OFFSET(T1061,0,0,$I$5*-1,1),OFFSET(E1061,0,0,$I$5*-1,1))</f>
        <v>5.9813568091116043E-2</v>
      </c>
      <c r="V1061" s="9">
        <f t="shared" ca="1" si="135"/>
        <v>4.7772126682472431E-2</v>
      </c>
      <c r="W1061" s="17">
        <f t="shared" ca="1" si="132"/>
        <v>2.2852567567806265E-2</v>
      </c>
      <c r="X1061" s="13">
        <f t="shared" ca="1" si="133"/>
        <v>0</v>
      </c>
      <c r="Y1061" s="13">
        <f t="shared" ca="1" si="134"/>
        <v>0</v>
      </c>
      <c r="Z1061">
        <f t="shared" ca="1" si="136"/>
        <v>0</v>
      </c>
      <c r="AA1061">
        <f t="shared" ca="1" si="137"/>
        <v>1</v>
      </c>
      <c r="AB1061" s="24">
        <f t="shared" ca="1" si="138"/>
        <v>0</v>
      </c>
      <c r="AC1061" s="24">
        <f t="shared" ca="1" si="139"/>
        <v>2.2852567567806265E-2</v>
      </c>
    </row>
    <row r="1062" spans="3:29" x14ac:dyDescent="0.25">
      <c r="C1062" s="6">
        <v>1055</v>
      </c>
      <c r="D1062" s="37">
        <v>43508</v>
      </c>
      <c r="E1062" s="39">
        <v>18.126999999999999</v>
      </c>
      <c r="F1062" s="39">
        <v>2.2188987450407782</v>
      </c>
      <c r="G1062" s="39">
        <v>51.008224253177552</v>
      </c>
      <c r="H1062" s="39">
        <v>69.509195109655082</v>
      </c>
      <c r="I1062" s="10">
        <v>0</v>
      </c>
      <c r="J1062" s="40">
        <v>1</v>
      </c>
      <c r="K1062" s="40">
        <v>0</v>
      </c>
      <c r="L1062" s="40">
        <v>0</v>
      </c>
      <c r="M1062" s="40">
        <v>0</v>
      </c>
      <c r="N1062" s="40">
        <v>0</v>
      </c>
      <c r="O1062" s="40">
        <v>0</v>
      </c>
      <c r="P1062" s="40">
        <v>0</v>
      </c>
      <c r="Q1062" s="40">
        <v>0</v>
      </c>
      <c r="R1062" s="40">
        <v>0</v>
      </c>
      <c r="S1062" s="40">
        <v>0</v>
      </c>
      <c r="T1062" s="29">
        <f t="array" aca="1" ref="T1062" ca="1">+fair_value_gap(OFFSET(S1061,0,0,-1*$I$5,-1*$Z$1),OFFSET(E1061,0,0,-1*$I$5,1),F1062:S1062,0)</f>
        <v>18.093673477700875</v>
      </c>
      <c r="U1062" s="9" cm="1">
        <f t="array" aca="1" ref="U1062" ca="1">z_score_diff(OFFSET(T1062,0,0,$I$5*-1,1),OFFSET(E1062,0,0,$I$5*-1,1))</f>
        <v>2.1995444539681386E-2</v>
      </c>
      <c r="V1062" s="9">
        <f t="shared" ca="1" si="135"/>
        <v>4.7008656422656947E-2</v>
      </c>
      <c r="W1062" s="17">
        <f t="shared" ca="1" si="132"/>
        <v>2.3444536881419738E-2</v>
      </c>
      <c r="X1062" s="13">
        <f t="shared" ca="1" si="133"/>
        <v>0</v>
      </c>
      <c r="Y1062" s="13">
        <f t="shared" ca="1" si="134"/>
        <v>0</v>
      </c>
      <c r="Z1062">
        <f t="shared" ca="1" si="136"/>
        <v>0</v>
      </c>
      <c r="AA1062">
        <f t="shared" ca="1" si="137"/>
        <v>1</v>
      </c>
      <c r="AB1062" s="24">
        <f t="shared" ca="1" si="138"/>
        <v>0</v>
      </c>
      <c r="AC1062" s="24">
        <f t="shared" ca="1" si="139"/>
        <v>2.3444536881419738E-2</v>
      </c>
    </row>
    <row r="1063" spans="3:29" x14ac:dyDescent="0.25">
      <c r="C1063" s="6">
        <v>1056</v>
      </c>
      <c r="D1063" s="37">
        <v>43509</v>
      </c>
      <c r="E1063" s="39">
        <v>18.427</v>
      </c>
      <c r="F1063" s="39">
        <v>2.2263674107948734</v>
      </c>
      <c r="G1063" s="39">
        <v>51.667454757441305</v>
      </c>
      <c r="H1063" s="39">
        <v>71.062393374628897</v>
      </c>
      <c r="I1063" s="10">
        <v>0</v>
      </c>
      <c r="J1063" s="40">
        <v>1</v>
      </c>
      <c r="K1063" s="40">
        <v>0</v>
      </c>
      <c r="L1063" s="40">
        <v>0</v>
      </c>
      <c r="M1063" s="40">
        <v>0</v>
      </c>
      <c r="N1063" s="40">
        <v>0</v>
      </c>
      <c r="O1063" s="40">
        <v>0</v>
      </c>
      <c r="P1063" s="40">
        <v>0</v>
      </c>
      <c r="Q1063" s="40">
        <v>0</v>
      </c>
      <c r="R1063" s="40">
        <v>0</v>
      </c>
      <c r="S1063" s="40">
        <v>0</v>
      </c>
      <c r="T1063" s="29">
        <f t="array" aca="1" ref="T1063" ca="1">+fair_value_gap(OFFSET(S1062,0,0,-1*$I$5,-1*$Z$1),OFFSET(E1062,0,0,-1*$I$5,1),F1063:S1063,0)</f>
        <v>18.337865900196199</v>
      </c>
      <c r="U1063" s="9" cm="1">
        <f t="array" aca="1" ref="U1063" ca="1">z_score_diff(OFFSET(T1063,0,0,$I$5*-1,1),OFFSET(E1063,0,0,$I$5*-1,1))</f>
        <v>-2.1155921767458397E-3</v>
      </c>
      <c r="V1063" s="9">
        <f t="shared" ca="1" si="135"/>
        <v>4.450511585142522E-2</v>
      </c>
      <c r="W1063" s="17">
        <f t="shared" ca="1" si="132"/>
        <v>2.7723064117840326E-2</v>
      </c>
      <c r="X1063" s="13">
        <f t="shared" ca="1" si="133"/>
        <v>0</v>
      </c>
      <c r="Y1063" s="13">
        <f t="shared" ca="1" si="134"/>
        <v>0</v>
      </c>
      <c r="Z1063">
        <f t="shared" ca="1" si="136"/>
        <v>0</v>
      </c>
      <c r="AA1063">
        <f t="shared" ca="1" si="137"/>
        <v>1</v>
      </c>
      <c r="AB1063" s="24">
        <f t="shared" ca="1" si="138"/>
        <v>0</v>
      </c>
      <c r="AC1063" s="24">
        <f t="shared" ca="1" si="139"/>
        <v>2.7723064117840326E-2</v>
      </c>
    </row>
    <row r="1064" spans="3:29" x14ac:dyDescent="0.25">
      <c r="C1064" s="6">
        <v>1057</v>
      </c>
      <c r="D1064" s="37">
        <v>43510</v>
      </c>
      <c r="E1064" s="39">
        <v>18.260000000000002</v>
      </c>
      <c r="F1064" s="39">
        <v>2.2265836491608013</v>
      </c>
      <c r="G1064" s="39">
        <v>51.353044962246294</v>
      </c>
      <c r="H1064" s="39">
        <v>69.749932322685439</v>
      </c>
      <c r="I1064" s="10">
        <v>0</v>
      </c>
      <c r="J1064" s="40">
        <v>1</v>
      </c>
      <c r="K1064" s="40">
        <v>0</v>
      </c>
      <c r="L1064" s="40">
        <v>0</v>
      </c>
      <c r="M1064" s="40">
        <v>0</v>
      </c>
      <c r="N1064" s="40">
        <v>0</v>
      </c>
      <c r="O1064" s="40">
        <v>0</v>
      </c>
      <c r="P1064" s="40">
        <v>0</v>
      </c>
      <c r="Q1064" s="40">
        <v>0</v>
      </c>
      <c r="R1064" s="40">
        <v>0</v>
      </c>
      <c r="S1064" s="40">
        <v>0</v>
      </c>
      <c r="T1064" s="29">
        <f t="array" aca="1" ref="T1064" ca="1">+fair_value_gap(OFFSET(S1063,0,0,-1*$I$5,-1*$Z$1),OFFSET(E1063,0,0,-1*$I$5,1),F1064:S1064,0)</f>
        <v>18.201997659167301</v>
      </c>
      <c r="U1064" s="9" cm="1">
        <f t="array" aca="1" ref="U1064" ca="1">z_score_diff(OFFSET(T1064,0,0,$I$5*-1,1),OFFSET(E1064,0,0,$I$5*-1,1))</f>
        <v>1.2668018268389813E-2</v>
      </c>
      <c r="V1064" s="9">
        <f t="shared" ca="1" si="135"/>
        <v>4.144022598686295E-2</v>
      </c>
      <c r="W1064" s="17">
        <f t="shared" ca="1" si="132"/>
        <v>6.6777934014134274E-2</v>
      </c>
      <c r="X1064" s="13">
        <f t="shared" ca="1" si="133"/>
        <v>0</v>
      </c>
      <c r="Y1064" s="13">
        <f t="shared" ca="1" si="134"/>
        <v>0</v>
      </c>
      <c r="Z1064">
        <f t="shared" ca="1" si="136"/>
        <v>0</v>
      </c>
      <c r="AA1064">
        <f t="shared" ca="1" si="137"/>
        <v>1</v>
      </c>
      <c r="AB1064" s="24">
        <f t="shared" ca="1" si="138"/>
        <v>0</v>
      </c>
      <c r="AC1064" s="24">
        <f t="shared" ca="1" si="139"/>
        <v>6.6777934014134274E-2</v>
      </c>
    </row>
    <row r="1065" spans="3:29" x14ac:dyDescent="0.25">
      <c r="C1065" s="6">
        <v>1058</v>
      </c>
      <c r="D1065" s="37">
        <v>43511</v>
      </c>
      <c r="E1065" s="39">
        <v>18.591000000000001</v>
      </c>
      <c r="F1065" s="39">
        <v>2.2145883682510248</v>
      </c>
      <c r="G1065" s="39">
        <v>52.224754399331417</v>
      </c>
      <c r="H1065" s="39">
        <v>71.098606704162961</v>
      </c>
      <c r="I1065" s="10">
        <v>0</v>
      </c>
      <c r="J1065" s="40">
        <v>1</v>
      </c>
      <c r="K1065" s="40">
        <v>0</v>
      </c>
      <c r="L1065" s="40">
        <v>0</v>
      </c>
      <c r="M1065" s="40">
        <v>0</v>
      </c>
      <c r="N1065" s="40">
        <v>0</v>
      </c>
      <c r="O1065" s="40">
        <v>0</v>
      </c>
      <c r="P1065" s="40">
        <v>0</v>
      </c>
      <c r="Q1065" s="40">
        <v>0</v>
      </c>
      <c r="R1065" s="40">
        <v>0</v>
      </c>
      <c r="S1065" s="40">
        <v>0</v>
      </c>
      <c r="T1065" s="29">
        <f t="array" aca="1" ref="T1065" ca="1">+fair_value_gap(OFFSET(S1064,0,0,-1*$I$5,-1*$Z$1),OFFSET(E1064,0,0,-1*$I$5,1),F1065:S1065,0)</f>
        <v>18.492719352103563</v>
      </c>
      <c r="U1065" s="9" cm="1">
        <f t="array" aca="1" ref="U1065" ca="1">z_score_diff(OFFSET(T1065,0,0,$I$5*-1,1),OFFSET(E1065,0,0,$I$5*-1,1))</f>
        <v>-4.8663902577006368E-3</v>
      </c>
      <c r="V1065" s="9">
        <f t="shared" ca="1" si="135"/>
        <v>3.9008860642237339E-2</v>
      </c>
      <c r="W1065" s="17">
        <f t="shared" ca="1" si="132"/>
        <v>8.7401274612832383E-2</v>
      </c>
      <c r="X1065" s="13">
        <f t="shared" ca="1" si="133"/>
        <v>0</v>
      </c>
      <c r="Y1065" s="13">
        <f t="shared" ca="1" si="134"/>
        <v>0</v>
      </c>
      <c r="Z1065">
        <f t="shared" ca="1" si="136"/>
        <v>0</v>
      </c>
      <c r="AA1065">
        <f t="shared" ca="1" si="137"/>
        <v>1</v>
      </c>
      <c r="AB1065" s="24">
        <f t="shared" ca="1" si="138"/>
        <v>0</v>
      </c>
      <c r="AC1065" s="24">
        <f t="shared" ca="1" si="139"/>
        <v>8.7401274612832383E-2</v>
      </c>
    </row>
    <row r="1066" spans="3:29" x14ac:dyDescent="0.25">
      <c r="C1066" s="6">
        <v>1059</v>
      </c>
      <c r="D1066" s="37">
        <v>43514</v>
      </c>
      <c r="E1066" s="39">
        <v>18.312999999999999</v>
      </c>
      <c r="F1066" s="39">
        <v>2.2109619120006756</v>
      </c>
      <c r="G1066" s="39">
        <v>51.37454349920462</v>
      </c>
      <c r="H1066" s="39">
        <v>71.615573009036396</v>
      </c>
      <c r="I1066" s="10">
        <v>0</v>
      </c>
      <c r="J1066" s="40">
        <v>1</v>
      </c>
      <c r="K1066" s="40">
        <v>0</v>
      </c>
      <c r="L1066" s="40">
        <v>0</v>
      </c>
      <c r="M1066" s="40">
        <v>0</v>
      </c>
      <c r="N1066" s="40">
        <v>0</v>
      </c>
      <c r="O1066" s="40">
        <v>0</v>
      </c>
      <c r="P1066" s="40">
        <v>0</v>
      </c>
      <c r="Q1066" s="40">
        <v>0</v>
      </c>
      <c r="R1066" s="40">
        <v>0</v>
      </c>
      <c r="S1066" s="40">
        <v>0</v>
      </c>
      <c r="T1066" s="29">
        <f t="array" aca="1" ref="T1066" ca="1">+fair_value_gap(OFFSET(S1065,0,0,-1*$I$5,-1*$Z$1),OFFSET(E1065,0,0,-1*$I$5,1),F1066:S1066,0)</f>
        <v>18.272832242672902</v>
      </c>
      <c r="U1066" s="9" cm="1">
        <f t="array" aca="1" ref="U1066" ca="1">z_score_diff(OFFSET(T1066,0,0,$I$5*-1,1),OFFSET(E1066,0,0,$I$5*-1,1))</f>
        <v>2.2108640248959532E-2</v>
      </c>
      <c r="V1066" s="9">
        <f t="shared" ca="1" si="135"/>
        <v>3.5468404388166064E-2</v>
      </c>
      <c r="W1066" s="17">
        <f t="shared" ca="1" si="132"/>
        <v>7.5137155836884809E-2</v>
      </c>
      <c r="X1066" s="13">
        <f t="shared" ca="1" si="133"/>
        <v>0</v>
      </c>
      <c r="Y1066" s="13">
        <f t="shared" ca="1" si="134"/>
        <v>0</v>
      </c>
      <c r="Z1066">
        <f t="shared" ca="1" si="136"/>
        <v>0</v>
      </c>
      <c r="AA1066">
        <f t="shared" ca="1" si="137"/>
        <v>1</v>
      </c>
      <c r="AB1066" s="24">
        <f t="shared" ca="1" si="138"/>
        <v>0</v>
      </c>
      <c r="AC1066" s="24">
        <f t="shared" ca="1" si="139"/>
        <v>7.5137155836884809E-2</v>
      </c>
    </row>
    <row r="1067" spans="3:29" x14ac:dyDescent="0.25">
      <c r="C1067" s="6">
        <v>1060</v>
      </c>
      <c r="D1067" s="37">
        <v>43515</v>
      </c>
      <c r="E1067" s="39">
        <v>18.683</v>
      </c>
      <c r="F1067" s="39">
        <v>2.232033771201793</v>
      </c>
      <c r="G1067" s="39">
        <v>52.038592090811292</v>
      </c>
      <c r="H1067" s="39">
        <v>71.072876029018971</v>
      </c>
      <c r="I1067" s="10">
        <v>0</v>
      </c>
      <c r="J1067" s="40">
        <v>1</v>
      </c>
      <c r="K1067" s="40">
        <v>0</v>
      </c>
      <c r="L1067" s="40">
        <v>0</v>
      </c>
      <c r="M1067" s="40">
        <v>0</v>
      </c>
      <c r="N1067" s="40">
        <v>0</v>
      </c>
      <c r="O1067" s="40">
        <v>0</v>
      </c>
      <c r="P1067" s="40">
        <v>0</v>
      </c>
      <c r="Q1067" s="40">
        <v>0</v>
      </c>
      <c r="R1067" s="40">
        <v>0</v>
      </c>
      <c r="S1067" s="40">
        <v>0</v>
      </c>
      <c r="T1067" s="29">
        <f t="array" aca="1" ref="T1067" ca="1">+fair_value_gap(OFFSET(S1066,0,0,-1*$I$5,-1*$Z$1),OFFSET(E1066,0,0,-1*$I$5,1),F1067:S1067,0)</f>
        <v>18.453710990645806</v>
      </c>
      <c r="U1067" s="9" cm="1">
        <f t="array" aca="1" ref="U1067" ca="1">z_score_diff(OFFSET(T1067,0,0,$I$5*-1,1),OFFSET(E1067,0,0,$I$5*-1,1))</f>
        <v>-6.103384338145601E-2</v>
      </c>
      <c r="V1067" s="9">
        <f t="shared" ca="1" si="135"/>
        <v>3.2210722419152751E-2</v>
      </c>
      <c r="W1067" s="17">
        <f t="shared" ca="1" si="132"/>
        <v>7.8514030258411027E-2</v>
      </c>
      <c r="X1067" s="13">
        <f t="shared" ca="1" si="133"/>
        <v>0</v>
      </c>
      <c r="Y1067" s="13">
        <f t="shared" ca="1" si="134"/>
        <v>0</v>
      </c>
      <c r="Z1067">
        <f t="shared" ca="1" si="136"/>
        <v>0</v>
      </c>
      <c r="AA1067">
        <f t="shared" ca="1" si="137"/>
        <v>1</v>
      </c>
      <c r="AB1067" s="24">
        <f t="shared" ca="1" si="138"/>
        <v>0</v>
      </c>
      <c r="AC1067" s="24">
        <f t="shared" ca="1" si="139"/>
        <v>7.8514030258411027E-2</v>
      </c>
    </row>
    <row r="1068" spans="3:29" x14ac:dyDescent="0.25">
      <c r="C1068" s="6">
        <v>1061</v>
      </c>
      <c r="D1068" s="37">
        <v>43516</v>
      </c>
      <c r="E1068" s="39">
        <v>18.911999999999999</v>
      </c>
      <c r="F1068" s="39">
        <v>2.2139692523005974</v>
      </c>
      <c r="G1068" s="39">
        <v>52.723720714210835</v>
      </c>
      <c r="H1068" s="39">
        <v>71.831751826356012</v>
      </c>
      <c r="I1068" s="10">
        <v>0</v>
      </c>
      <c r="J1068" s="40">
        <v>1</v>
      </c>
      <c r="K1068" s="40">
        <v>0</v>
      </c>
      <c r="L1068" s="40">
        <v>0</v>
      </c>
      <c r="M1068" s="40">
        <v>0</v>
      </c>
      <c r="N1068" s="40">
        <v>0</v>
      </c>
      <c r="O1068" s="40">
        <v>0</v>
      </c>
      <c r="P1068" s="40">
        <v>0</v>
      </c>
      <c r="Q1068" s="40">
        <v>0</v>
      </c>
      <c r="R1068" s="40">
        <v>0</v>
      </c>
      <c r="S1068" s="40">
        <v>0</v>
      </c>
      <c r="T1068" s="29">
        <f t="array" aca="1" ref="T1068" ca="1">+fair_value_gap(OFFSET(S1067,0,0,-1*$I$5,-1*$Z$1),OFFSET(E1067,0,0,-1*$I$5,1),F1068:S1068,0)</f>
        <v>18.676571220538001</v>
      </c>
      <c r="U1068" s="9" cm="1">
        <f t="array" aca="1" ref="U1068" ca="1">z_score_diff(OFFSET(T1068,0,0,$I$5*-1,1),OFFSET(E1068,0,0,$I$5*-1,1))</f>
        <v>-6.3535194205941115E-2</v>
      </c>
      <c r="V1068" s="9">
        <f t="shared" ca="1" si="135"/>
        <v>2.9875654648999994E-2</v>
      </c>
      <c r="W1068" s="17">
        <f t="shared" ca="1" si="132"/>
        <v>6.2215870287453963E-2</v>
      </c>
      <c r="X1068" s="13">
        <f t="shared" ca="1" si="133"/>
        <v>0</v>
      </c>
      <c r="Y1068" s="13">
        <f t="shared" ca="1" si="134"/>
        <v>0</v>
      </c>
      <c r="Z1068">
        <f t="shared" ca="1" si="136"/>
        <v>0</v>
      </c>
      <c r="AA1068">
        <f t="shared" ca="1" si="137"/>
        <v>1</v>
      </c>
      <c r="AB1068" s="24">
        <f t="shared" ca="1" si="138"/>
        <v>0</v>
      </c>
      <c r="AC1068" s="24">
        <f t="shared" ca="1" si="139"/>
        <v>6.2215870287453963E-2</v>
      </c>
    </row>
    <row r="1069" spans="3:29" x14ac:dyDescent="0.25">
      <c r="C1069" s="6">
        <v>1062</v>
      </c>
      <c r="D1069" s="37">
        <v>43517</v>
      </c>
      <c r="E1069" s="39">
        <v>18.681000000000001</v>
      </c>
      <c r="F1069" s="39">
        <v>2.2108423216459259</v>
      </c>
      <c r="G1069" s="39">
        <v>51.938624956464203</v>
      </c>
      <c r="H1069" s="39">
        <v>70.644045951105042</v>
      </c>
      <c r="I1069" s="10">
        <v>0</v>
      </c>
      <c r="J1069" s="40">
        <v>1</v>
      </c>
      <c r="K1069" s="40">
        <v>0</v>
      </c>
      <c r="L1069" s="40">
        <v>0</v>
      </c>
      <c r="M1069" s="40">
        <v>0</v>
      </c>
      <c r="N1069" s="40">
        <v>0</v>
      </c>
      <c r="O1069" s="40">
        <v>0</v>
      </c>
      <c r="P1069" s="40">
        <v>0</v>
      </c>
      <c r="Q1069" s="40">
        <v>0</v>
      </c>
      <c r="R1069" s="40">
        <v>0</v>
      </c>
      <c r="S1069" s="40">
        <v>0</v>
      </c>
      <c r="T1069" s="29">
        <f t="array" aca="1" ref="T1069" ca="1">+fair_value_gap(OFFSET(S1068,0,0,-1*$I$5,-1*$Z$1),OFFSET(E1068,0,0,-1*$I$5,1),F1069:S1069,0)</f>
        <v>18.437325732657804</v>
      </c>
      <c r="U1069" s="9" cm="1">
        <f t="array" aca="1" ref="U1069" ca="1">z_score_diff(OFFSET(T1069,0,0,$I$5*-1,1),OFFSET(E1069,0,0,$I$5*-1,1))</f>
        <v>-6.822492343600628E-2</v>
      </c>
      <c r="V1069" s="9">
        <f t="shared" ca="1" si="135"/>
        <v>2.8226900612980565E-2</v>
      </c>
      <c r="W1069" s="17">
        <f t="shared" ca="1" si="132"/>
        <v>8.1536323055238724E-2</v>
      </c>
      <c r="X1069" s="13">
        <f t="shared" ca="1" si="133"/>
        <v>0</v>
      </c>
      <c r="Y1069" s="13">
        <f t="shared" ca="1" si="134"/>
        <v>0</v>
      </c>
      <c r="Z1069">
        <f t="shared" ca="1" si="136"/>
        <v>0</v>
      </c>
      <c r="AA1069">
        <f t="shared" ca="1" si="137"/>
        <v>1</v>
      </c>
      <c r="AB1069" s="24">
        <f t="shared" ca="1" si="138"/>
        <v>0</v>
      </c>
      <c r="AC1069" s="24">
        <f t="shared" ca="1" si="139"/>
        <v>8.1536323055238724E-2</v>
      </c>
    </row>
    <row r="1070" spans="3:29" x14ac:dyDescent="0.25">
      <c r="C1070" s="6">
        <v>1063</v>
      </c>
      <c r="D1070" s="37">
        <v>43518</v>
      </c>
      <c r="E1070" s="39">
        <v>18.594000000000001</v>
      </c>
      <c r="F1070" s="39">
        <v>2.2150179057828421</v>
      </c>
      <c r="G1070" s="39">
        <v>51.84156747029192</v>
      </c>
      <c r="H1070" s="39">
        <v>70.627428081532912</v>
      </c>
      <c r="I1070" s="10">
        <v>0</v>
      </c>
      <c r="J1070" s="40">
        <v>1</v>
      </c>
      <c r="K1070" s="40">
        <v>0</v>
      </c>
      <c r="L1070" s="40">
        <v>0</v>
      </c>
      <c r="M1070" s="40">
        <v>0</v>
      </c>
      <c r="N1070" s="40">
        <v>0</v>
      </c>
      <c r="O1070" s="40">
        <v>0</v>
      </c>
      <c r="P1070" s="40">
        <v>0</v>
      </c>
      <c r="Q1070" s="40">
        <v>0</v>
      </c>
      <c r="R1070" s="40">
        <v>0</v>
      </c>
      <c r="S1070" s="40">
        <v>0</v>
      </c>
      <c r="T1070" s="29">
        <f t="array" aca="1" ref="T1070" ca="1">+fair_value_gap(OFFSET(S1069,0,0,-1*$I$5,-1*$Z$1),OFFSET(E1069,0,0,-1*$I$5,1),F1070:S1070,0)</f>
        <v>18.427672100805548</v>
      </c>
      <c r="U1070" s="9" cm="1">
        <f t="array" aca="1" ref="U1070" ca="1">z_score_diff(OFFSET(T1070,0,0,$I$5*-1,1),OFFSET(E1070,0,0,$I$5*-1,1))</f>
        <v>-3.4513780323974896E-2</v>
      </c>
      <c r="V1070" s="9">
        <f t="shared" ca="1" si="135"/>
        <v>2.8524676592837847E-2</v>
      </c>
      <c r="W1070" s="17">
        <f t="shared" ca="1" si="132"/>
        <v>7.743300556235673E-2</v>
      </c>
      <c r="X1070" s="13">
        <f t="shared" ca="1" si="133"/>
        <v>0</v>
      </c>
      <c r="Y1070" s="13">
        <f t="shared" ca="1" si="134"/>
        <v>0</v>
      </c>
      <c r="Z1070">
        <f t="shared" ca="1" si="136"/>
        <v>0</v>
      </c>
      <c r="AA1070">
        <f t="shared" ca="1" si="137"/>
        <v>1</v>
      </c>
      <c r="AB1070" s="24">
        <f t="shared" ca="1" si="138"/>
        <v>0</v>
      </c>
      <c r="AC1070" s="24">
        <f t="shared" ca="1" si="139"/>
        <v>7.743300556235673E-2</v>
      </c>
    </row>
    <row r="1071" spans="3:29" x14ac:dyDescent="0.25">
      <c r="C1071" s="6">
        <v>1064</v>
      </c>
      <c r="D1071" s="37">
        <v>43521</v>
      </c>
      <c r="E1071" s="39">
        <v>18.428000000000001</v>
      </c>
      <c r="F1071" s="39">
        <v>2.2069278857075547</v>
      </c>
      <c r="G1071" s="39">
        <v>51.389006641232164</v>
      </c>
      <c r="H1071" s="39">
        <v>70.254852633084568</v>
      </c>
      <c r="I1071" s="10">
        <v>0</v>
      </c>
      <c r="J1071" s="40">
        <v>1</v>
      </c>
      <c r="K1071" s="40">
        <v>0</v>
      </c>
      <c r="L1071" s="40">
        <v>0</v>
      </c>
      <c r="M1071" s="40">
        <v>0</v>
      </c>
      <c r="N1071" s="40">
        <v>0</v>
      </c>
      <c r="O1071" s="40">
        <v>0</v>
      </c>
      <c r="P1071" s="40">
        <v>0</v>
      </c>
      <c r="Q1071" s="40">
        <v>0</v>
      </c>
      <c r="R1071" s="40">
        <v>0</v>
      </c>
      <c r="S1071" s="40">
        <v>0</v>
      </c>
      <c r="T1071" s="29">
        <f t="array" aca="1" ref="T1071" ca="1">+fair_value_gap(OFFSET(S1070,0,0,-1*$I$5,-1*$Z$1),OFFSET(E1070,0,0,-1*$I$5,1),F1071:S1071,0)</f>
        <v>18.290936798689298</v>
      </c>
      <c r="U1071" s="9" cm="1">
        <f t="array" aca="1" ref="U1071" ca="1">z_score_diff(OFFSET(T1071,0,0,$I$5*-1,1),OFFSET(E1071,0,0,$I$5*-1,1))</f>
        <v>-2.1249439350387922E-2</v>
      </c>
      <c r="V1071" s="9">
        <f t="shared" ca="1" si="135"/>
        <v>2.902784750283326E-2</v>
      </c>
      <c r="W1071" s="17">
        <f t="shared" ca="1" si="132"/>
        <v>7.1760184300890775E-2</v>
      </c>
      <c r="X1071" s="13">
        <f t="shared" ca="1" si="133"/>
        <v>0</v>
      </c>
      <c r="Y1071" s="13">
        <f t="shared" ca="1" si="134"/>
        <v>0</v>
      </c>
      <c r="Z1071">
        <f t="shared" ca="1" si="136"/>
        <v>0</v>
      </c>
      <c r="AA1071">
        <f t="shared" ca="1" si="137"/>
        <v>1</v>
      </c>
      <c r="AB1071" s="24">
        <f t="shared" ca="1" si="138"/>
        <v>0</v>
      </c>
      <c r="AC1071" s="24">
        <f t="shared" ca="1" si="139"/>
        <v>7.1760184300890775E-2</v>
      </c>
    </row>
    <row r="1072" spans="3:29" x14ac:dyDescent="0.25">
      <c r="C1072" s="6">
        <v>1065</v>
      </c>
      <c r="D1072" s="37">
        <v>43522</v>
      </c>
      <c r="E1072" s="39">
        <v>18.489999999999998</v>
      </c>
      <c r="F1072" s="39">
        <v>2.1859923557425534</v>
      </c>
      <c r="G1072" s="39">
        <v>51.551859231489523</v>
      </c>
      <c r="H1072" s="39">
        <v>70.851672359704878</v>
      </c>
      <c r="I1072" s="10">
        <v>0</v>
      </c>
      <c r="J1072" s="40">
        <v>1</v>
      </c>
      <c r="K1072" s="40">
        <v>0</v>
      </c>
      <c r="L1072" s="40">
        <v>0</v>
      </c>
      <c r="M1072" s="40">
        <v>0</v>
      </c>
      <c r="N1072" s="40">
        <v>0</v>
      </c>
      <c r="O1072" s="40">
        <v>0</v>
      </c>
      <c r="P1072" s="40">
        <v>0</v>
      </c>
      <c r="Q1072" s="40">
        <v>0</v>
      </c>
      <c r="R1072" s="40">
        <v>0</v>
      </c>
      <c r="S1072" s="40">
        <v>0</v>
      </c>
      <c r="T1072" s="29">
        <f t="array" aca="1" ref="T1072" ca="1">+fair_value_gap(OFFSET(S1071,0,0,-1*$I$5,-1*$Z$1),OFFSET(E1071,0,0,-1*$I$5,1),F1072:S1072,0)</f>
        <v>18.354166207625187</v>
      </c>
      <c r="U1072" s="9" cm="1">
        <f t="array" aca="1" ref="U1072" ca="1">z_score_diff(OFFSET(T1072,0,0,$I$5*-1,1),OFFSET(E1072,0,0,$I$5*-1,1))</f>
        <v>-2.1539042055642721E-2</v>
      </c>
      <c r="V1072" s="9">
        <f t="shared" ca="1" si="135"/>
        <v>2.9344177779496258E-2</v>
      </c>
      <c r="W1072" s="17">
        <f t="shared" ca="1" si="132"/>
        <v>6.4656821332904679E-2</v>
      </c>
      <c r="X1072" s="13">
        <f t="shared" ca="1" si="133"/>
        <v>0</v>
      </c>
      <c r="Y1072" s="13">
        <f t="shared" ca="1" si="134"/>
        <v>0</v>
      </c>
      <c r="Z1072">
        <f t="shared" ca="1" si="136"/>
        <v>0</v>
      </c>
      <c r="AA1072">
        <f t="shared" ca="1" si="137"/>
        <v>1</v>
      </c>
      <c r="AB1072" s="24">
        <f t="shared" ca="1" si="138"/>
        <v>0</v>
      </c>
      <c r="AC1072" s="24">
        <f t="shared" ca="1" si="139"/>
        <v>6.4656821332904679E-2</v>
      </c>
    </row>
    <row r="1073" spans="3:29" x14ac:dyDescent="0.25">
      <c r="C1073" s="6">
        <v>1066</v>
      </c>
      <c r="D1073" s="37">
        <v>43523</v>
      </c>
      <c r="E1073" s="39">
        <v>18.853999999999999</v>
      </c>
      <c r="F1073" s="39">
        <v>2.1819887966016474</v>
      </c>
      <c r="G1073" s="39">
        <v>52.714909560338391</v>
      </c>
      <c r="H1073" s="39">
        <v>71.303525992994096</v>
      </c>
      <c r="I1073" s="10">
        <v>0</v>
      </c>
      <c r="J1073" s="40">
        <v>1</v>
      </c>
      <c r="K1073" s="40">
        <v>0</v>
      </c>
      <c r="L1073" s="40">
        <v>0</v>
      </c>
      <c r="M1073" s="40">
        <v>0</v>
      </c>
      <c r="N1073" s="40">
        <v>0</v>
      </c>
      <c r="O1073" s="40">
        <v>0</v>
      </c>
      <c r="P1073" s="40">
        <v>0</v>
      </c>
      <c r="Q1073" s="40">
        <v>0</v>
      </c>
      <c r="R1073" s="40">
        <v>0</v>
      </c>
      <c r="S1073" s="40">
        <v>0</v>
      </c>
      <c r="T1073" s="29">
        <f t="array" aca="1" ref="T1073" ca="1">+fair_value_gap(OFFSET(S1072,0,0,-1*$I$5,-1*$Z$1),OFFSET(E1072,0,0,-1*$I$5,1),F1073:S1073,0)</f>
        <v>18.706069332893406</v>
      </c>
      <c r="U1073" s="9" cm="1">
        <f t="array" aca="1" ref="U1073" ca="1">z_score_diff(OFFSET(T1073,0,0,$I$5*-1,1),OFFSET(E1073,0,0,$I$5*-1,1))</f>
        <v>-2.8685908901544099E-2</v>
      </c>
      <c r="V1073" s="9">
        <f t="shared" ca="1" si="135"/>
        <v>2.9411467030768527E-2</v>
      </c>
      <c r="W1073" s="17">
        <f t="shared" ca="1" si="132"/>
        <v>6.3148593080582516E-2</v>
      </c>
      <c r="X1073" s="13">
        <f t="shared" ca="1" si="133"/>
        <v>0</v>
      </c>
      <c r="Y1073" s="13">
        <f t="shared" ca="1" si="134"/>
        <v>0</v>
      </c>
      <c r="Z1073">
        <f t="shared" ca="1" si="136"/>
        <v>0</v>
      </c>
      <c r="AA1073">
        <f t="shared" ca="1" si="137"/>
        <v>1</v>
      </c>
      <c r="AB1073" s="24">
        <f t="shared" ca="1" si="138"/>
        <v>0</v>
      </c>
      <c r="AC1073" s="24">
        <f t="shared" ca="1" si="139"/>
        <v>6.3148593080582516E-2</v>
      </c>
    </row>
    <row r="1074" spans="3:29" x14ac:dyDescent="0.25">
      <c r="C1074" s="6">
        <v>1067</v>
      </c>
      <c r="D1074" s="37">
        <v>43524</v>
      </c>
      <c r="E1074" s="39">
        <v>19.454999999999998</v>
      </c>
      <c r="F1074" s="39">
        <v>2.1940129505607344</v>
      </c>
      <c r="G1074" s="39">
        <v>56.25377719437143</v>
      </c>
      <c r="H1074" s="39">
        <v>71.998930733918357</v>
      </c>
      <c r="I1074" s="10">
        <v>0</v>
      </c>
      <c r="J1074" s="40">
        <v>1</v>
      </c>
      <c r="K1074" s="40">
        <v>0</v>
      </c>
      <c r="L1074" s="40">
        <v>0</v>
      </c>
      <c r="M1074" s="40">
        <v>0</v>
      </c>
      <c r="N1074" s="40">
        <v>0</v>
      </c>
      <c r="O1074" s="40">
        <v>0</v>
      </c>
      <c r="P1074" s="40">
        <v>0</v>
      </c>
      <c r="Q1074" s="40">
        <v>0</v>
      </c>
      <c r="R1074" s="40">
        <v>0</v>
      </c>
      <c r="S1074" s="40">
        <v>0</v>
      </c>
      <c r="T1074" s="29">
        <f t="array" aca="1" ref="T1074" ca="1">+fair_value_gap(OFFSET(S1073,0,0,-1*$I$5,-1*$Z$1),OFFSET(E1073,0,0,-1*$I$5,1),F1074:S1074,0)</f>
        <v>19.749460866399733</v>
      </c>
      <c r="U1074" s="9" cm="1">
        <f t="array" aca="1" ref="U1074" ca="1">z_score_diff(OFFSET(T1074,0,0,$I$5*-1,1),OFFSET(E1074,0,0,$I$5*-1,1))</f>
        <v>0.17079226079208326</v>
      </c>
      <c r="V1074" s="9">
        <f t="shared" ca="1" si="135"/>
        <v>3.4129071510401343E-2</v>
      </c>
      <c r="W1074" s="17">
        <f t="shared" ca="1" si="132"/>
        <v>2.1710693353436759E-2</v>
      </c>
      <c r="X1074" s="13">
        <f t="shared" ca="1" si="133"/>
        <v>0</v>
      </c>
      <c r="Y1074" s="13">
        <f t="shared" ca="1" si="134"/>
        <v>0</v>
      </c>
      <c r="Z1074">
        <f t="shared" ca="1" si="136"/>
        <v>0</v>
      </c>
      <c r="AA1074">
        <f t="shared" ca="1" si="137"/>
        <v>1</v>
      </c>
      <c r="AB1074" s="24">
        <f t="shared" ca="1" si="138"/>
        <v>0</v>
      </c>
      <c r="AC1074" s="24">
        <f t="shared" ca="1" si="139"/>
        <v>2.1710693353436759E-2</v>
      </c>
    </row>
    <row r="1075" spans="3:29" x14ac:dyDescent="0.25">
      <c r="C1075" s="6">
        <v>1068</v>
      </c>
      <c r="D1075" s="37">
        <v>43525</v>
      </c>
      <c r="E1075" s="39">
        <v>19.260000000000002</v>
      </c>
      <c r="F1075" s="39">
        <v>2.1886380770914986</v>
      </c>
      <c r="G1075" s="39">
        <v>56.030383956177872</v>
      </c>
      <c r="H1075" s="39">
        <v>72.114111756701448</v>
      </c>
      <c r="I1075" s="10">
        <v>0</v>
      </c>
      <c r="J1075" s="40">
        <v>0</v>
      </c>
      <c r="K1075" s="40">
        <v>1</v>
      </c>
      <c r="L1075" s="40">
        <v>0</v>
      </c>
      <c r="M1075" s="40">
        <v>0</v>
      </c>
      <c r="N1075" s="40">
        <v>0</v>
      </c>
      <c r="O1075" s="40">
        <v>0</v>
      </c>
      <c r="P1075" s="40">
        <v>0</v>
      </c>
      <c r="Q1075" s="40">
        <v>0</v>
      </c>
      <c r="R1075" s="40">
        <v>0</v>
      </c>
      <c r="S1075" s="40">
        <v>0</v>
      </c>
      <c r="T1075" s="29">
        <f t="array" aca="1" ref="T1075" ca="1">+fair_value_gap(OFFSET(S1074,0,0,-1*$I$5,-1*$Z$1),OFFSET(E1074,0,0,-1*$I$5,1),F1075:S1075,0)</f>
        <v>19.638967980503871</v>
      </c>
      <c r="U1075" s="9" cm="1">
        <f t="array" aca="1" ref="U1075" ca="1">z_score_diff(OFFSET(T1075,0,0,$I$5*-1,1),OFFSET(E1075,0,0,$I$5*-1,1))</f>
        <v>0.21100616640820025</v>
      </c>
      <c r="V1075" s="9">
        <f t="shared" ca="1" si="135"/>
        <v>3.9131867513111589E-2</v>
      </c>
      <c r="W1075" s="17">
        <f t="shared" ca="1" si="132"/>
        <v>4.5620432428306865E-2</v>
      </c>
      <c r="X1075" s="13">
        <f t="shared" ca="1" si="133"/>
        <v>0</v>
      </c>
      <c r="Y1075" s="13">
        <f t="shared" ca="1" si="134"/>
        <v>0</v>
      </c>
      <c r="Z1075">
        <f t="shared" ca="1" si="136"/>
        <v>0</v>
      </c>
      <c r="AA1075">
        <f t="shared" ca="1" si="137"/>
        <v>1</v>
      </c>
      <c r="AB1075" s="24">
        <f t="shared" ca="1" si="138"/>
        <v>0</v>
      </c>
      <c r="AC1075" s="24">
        <f t="shared" ca="1" si="139"/>
        <v>4.5620432428306865E-2</v>
      </c>
    </row>
    <row r="1076" spans="3:29" x14ac:dyDescent="0.25">
      <c r="C1076" s="6">
        <v>1069</v>
      </c>
      <c r="D1076" s="37">
        <v>43528</v>
      </c>
      <c r="E1076" s="39">
        <v>19.311</v>
      </c>
      <c r="F1076" s="39">
        <v>2.2043990231883228</v>
      </c>
      <c r="G1076" s="39">
        <v>56.005700742872371</v>
      </c>
      <c r="H1076" s="39">
        <v>73.227169386492847</v>
      </c>
      <c r="I1076" s="10">
        <v>0</v>
      </c>
      <c r="J1076" s="40">
        <v>0</v>
      </c>
      <c r="K1076" s="40">
        <v>1</v>
      </c>
      <c r="L1076" s="40">
        <v>0</v>
      </c>
      <c r="M1076" s="40">
        <v>0</v>
      </c>
      <c r="N1076" s="40">
        <v>0</v>
      </c>
      <c r="O1076" s="40">
        <v>0</v>
      </c>
      <c r="P1076" s="40">
        <v>0</v>
      </c>
      <c r="Q1076" s="40">
        <v>0</v>
      </c>
      <c r="R1076" s="40">
        <v>0</v>
      </c>
      <c r="S1076" s="40">
        <v>0</v>
      </c>
      <c r="T1076" s="29">
        <f t="array" aca="1" ref="T1076" ca="1">+fair_value_gap(OFFSET(S1075,0,0,-1*$I$5,-1*$Z$1),OFFSET(E1075,0,0,-1*$I$5,1),F1076:S1076,0)</f>
        <v>19.648303272930743</v>
      </c>
      <c r="U1076" s="9" cm="1">
        <f t="array" aca="1" ref="U1076" ca="1">z_score_diff(OFFSET(T1076,0,0,$I$5*-1,1),OFFSET(E1076,0,0,$I$5*-1,1))</f>
        <v>0.19198179312539765</v>
      </c>
      <c r="V1076" s="9">
        <f t="shared" ca="1" si="135"/>
        <v>4.4352342536175371E-2</v>
      </c>
      <c r="W1076" s="17">
        <f t="shared" ca="1" si="132"/>
        <v>4.2430146144815536E-2</v>
      </c>
      <c r="X1076" s="13">
        <f t="shared" ca="1" si="133"/>
        <v>0</v>
      </c>
      <c r="Y1076" s="13">
        <f t="shared" ca="1" si="134"/>
        <v>0</v>
      </c>
      <c r="Z1076">
        <f t="shared" ca="1" si="136"/>
        <v>0</v>
      </c>
      <c r="AA1076">
        <f t="shared" ca="1" si="137"/>
        <v>1</v>
      </c>
      <c r="AB1076" s="24">
        <f t="shared" ca="1" si="138"/>
        <v>0</v>
      </c>
      <c r="AC1076" s="24">
        <f t="shared" ca="1" si="139"/>
        <v>4.2430146144815536E-2</v>
      </c>
    </row>
    <row r="1077" spans="3:29" x14ac:dyDescent="0.25">
      <c r="C1077" s="6">
        <v>1070</v>
      </c>
      <c r="D1077" s="37">
        <v>43529</v>
      </c>
      <c r="E1077" s="39">
        <v>19.105</v>
      </c>
      <c r="F1077" s="39">
        <v>2.2146419859280249</v>
      </c>
      <c r="G1077" s="39">
        <v>55.954962021183192</v>
      </c>
      <c r="H1077" s="39">
        <v>71.23018672786435</v>
      </c>
      <c r="I1077" s="10">
        <v>0</v>
      </c>
      <c r="J1077" s="40">
        <v>0</v>
      </c>
      <c r="K1077" s="40">
        <v>1</v>
      </c>
      <c r="L1077" s="40">
        <v>0</v>
      </c>
      <c r="M1077" s="40">
        <v>0</v>
      </c>
      <c r="N1077" s="40">
        <v>0</v>
      </c>
      <c r="O1077" s="40">
        <v>0</v>
      </c>
      <c r="P1077" s="40">
        <v>0</v>
      </c>
      <c r="Q1077" s="40">
        <v>0</v>
      </c>
      <c r="R1077" s="40">
        <v>0</v>
      </c>
      <c r="S1077" s="40">
        <v>0</v>
      </c>
      <c r="T1077" s="29">
        <f t="array" aca="1" ref="T1077" ca="1">+fair_value_gap(OFFSET(S1076,0,0,-1*$I$5,-1*$Z$1),OFFSET(E1076,0,0,-1*$I$5,1),F1077:S1077,0)</f>
        <v>19.536296468901618</v>
      </c>
      <c r="U1077" s="9" cm="1">
        <f t="array" aca="1" ref="U1077" ca="1">z_score_diff(OFFSET(T1077,0,0,$I$5*-1,1),OFFSET(E1077,0,0,$I$5*-1,1))</f>
        <v>0.23754584627162217</v>
      </c>
      <c r="V1077" s="9">
        <f t="shared" ca="1" si="135"/>
        <v>4.9900134250654905E-2</v>
      </c>
      <c r="W1077" s="17">
        <f t="shared" ca="1" si="132"/>
        <v>6.283594722095534E-2</v>
      </c>
      <c r="X1077" s="13">
        <f t="shared" ca="1" si="133"/>
        <v>0</v>
      </c>
      <c r="Y1077" s="13">
        <f t="shared" ca="1" si="134"/>
        <v>0</v>
      </c>
      <c r="Z1077">
        <f t="shared" ca="1" si="136"/>
        <v>0</v>
      </c>
      <c r="AA1077">
        <f t="shared" ca="1" si="137"/>
        <v>1</v>
      </c>
      <c r="AB1077" s="24">
        <f t="shared" ca="1" si="138"/>
        <v>0</v>
      </c>
      <c r="AC1077" s="24">
        <f t="shared" ca="1" si="139"/>
        <v>6.283594722095534E-2</v>
      </c>
    </row>
    <row r="1078" spans="3:29" x14ac:dyDescent="0.25">
      <c r="C1078" s="6">
        <v>1071</v>
      </c>
      <c r="D1078" s="37">
        <v>43530</v>
      </c>
      <c r="E1078" s="39">
        <v>18.811</v>
      </c>
      <c r="F1078" s="39">
        <v>2.2072070549503295</v>
      </c>
      <c r="G1078" s="39">
        <v>55.261610817166371</v>
      </c>
      <c r="H1078" s="39">
        <v>70.179382049626668</v>
      </c>
      <c r="I1078" s="10">
        <v>0</v>
      </c>
      <c r="J1078" s="40">
        <v>0</v>
      </c>
      <c r="K1078" s="40">
        <v>1</v>
      </c>
      <c r="L1078" s="40">
        <v>0</v>
      </c>
      <c r="M1078" s="40">
        <v>0</v>
      </c>
      <c r="N1078" s="40">
        <v>0</v>
      </c>
      <c r="O1078" s="40">
        <v>0</v>
      </c>
      <c r="P1078" s="40">
        <v>0</v>
      </c>
      <c r="Q1078" s="40">
        <v>0</v>
      </c>
      <c r="R1078" s="40">
        <v>0</v>
      </c>
      <c r="S1078" s="40">
        <v>0</v>
      </c>
      <c r="T1078" s="29">
        <f t="array" aca="1" ref="T1078" ca="1">+fair_value_gap(OFFSET(S1077,0,0,-1*$I$5,-1*$Z$1),OFFSET(E1077,0,0,-1*$I$5,1),F1078:S1078,0)</f>
        <v>19.270309632516284</v>
      </c>
      <c r="U1078" s="9" cm="1">
        <f t="array" aca="1" ref="U1078" ca="1">z_score_diff(OFFSET(T1078,0,0,$I$5*-1,1),OFFSET(E1078,0,0,$I$5*-1,1))</f>
        <v>0.25276656220848298</v>
      </c>
      <c r="V1078" s="9">
        <f t="shared" ca="1" si="135"/>
        <v>5.7663332261041866E-2</v>
      </c>
      <c r="W1078" s="17">
        <f t="shared" ca="1" si="132"/>
        <v>6.3038938977224249E-2</v>
      </c>
      <c r="X1078" s="13">
        <f t="shared" ca="1" si="133"/>
        <v>0</v>
      </c>
      <c r="Y1078" s="13">
        <f t="shared" ca="1" si="134"/>
        <v>0</v>
      </c>
      <c r="Z1078">
        <f t="shared" ca="1" si="136"/>
        <v>0</v>
      </c>
      <c r="AA1078">
        <f t="shared" ca="1" si="137"/>
        <v>1</v>
      </c>
      <c r="AB1078" s="24">
        <f t="shared" ca="1" si="138"/>
        <v>0</v>
      </c>
      <c r="AC1078" s="24">
        <f t="shared" ca="1" si="139"/>
        <v>6.3038938977224249E-2</v>
      </c>
    </row>
    <row r="1079" spans="3:29" x14ac:dyDescent="0.25">
      <c r="C1079" s="6">
        <v>1072</v>
      </c>
      <c r="D1079" s="37">
        <v>43531</v>
      </c>
      <c r="E1079" s="39">
        <v>18.931999999999999</v>
      </c>
      <c r="F1079" s="39">
        <v>2.2419819667410863</v>
      </c>
      <c r="G1079" s="39">
        <v>55.351926725682773</v>
      </c>
      <c r="H1079" s="39">
        <v>71.129953784754349</v>
      </c>
      <c r="I1079" s="10">
        <v>0</v>
      </c>
      <c r="J1079" s="40">
        <v>0</v>
      </c>
      <c r="K1079" s="40">
        <v>1</v>
      </c>
      <c r="L1079" s="40">
        <v>0</v>
      </c>
      <c r="M1079" s="40">
        <v>0</v>
      </c>
      <c r="N1079" s="40">
        <v>0</v>
      </c>
      <c r="O1079" s="40">
        <v>0</v>
      </c>
      <c r="P1079" s="40">
        <v>0</v>
      </c>
      <c r="Q1079" s="40">
        <v>0</v>
      </c>
      <c r="R1079" s="40">
        <v>0</v>
      </c>
      <c r="S1079" s="40">
        <v>0</v>
      </c>
      <c r="T1079" s="29">
        <f t="array" aca="1" ref="T1079" ca="1">+fair_value_gap(OFFSET(S1078,0,0,-1*$I$5,-1*$Z$1),OFFSET(E1078,0,0,-1*$I$5,1),F1079:S1079,0)</f>
        <v>19.330743943968187</v>
      </c>
      <c r="U1079" s="9" cm="1">
        <f t="array" aca="1" ref="U1079" ca="1">z_score_diff(OFFSET(T1079,0,0,$I$5*-1,1),OFFSET(E1079,0,0,$I$5*-1,1))</f>
        <v>0.22457911309968692</v>
      </c>
      <c r="V1079" s="9">
        <f t="shared" ca="1" si="135"/>
        <v>6.2531399168385432E-2</v>
      </c>
      <c r="W1079" s="17">
        <f t="shared" ca="1" si="132"/>
        <v>5.4178416395596181E-2</v>
      </c>
      <c r="X1079" s="13">
        <f t="shared" ca="1" si="133"/>
        <v>0</v>
      </c>
      <c r="Y1079" s="13">
        <f t="shared" ca="1" si="134"/>
        <v>0</v>
      </c>
      <c r="Z1079">
        <f t="shared" ca="1" si="136"/>
        <v>0</v>
      </c>
      <c r="AA1079">
        <f t="shared" ca="1" si="137"/>
        <v>1</v>
      </c>
      <c r="AB1079" s="24">
        <f t="shared" ca="1" si="138"/>
        <v>0</v>
      </c>
      <c r="AC1079" s="24">
        <f t="shared" ca="1" si="139"/>
        <v>5.4178416395596181E-2</v>
      </c>
    </row>
    <row r="1080" spans="3:29" x14ac:dyDescent="0.25">
      <c r="C1080" s="6">
        <v>1073</v>
      </c>
      <c r="D1080" s="37">
        <v>43532</v>
      </c>
      <c r="E1080" s="39">
        <v>18.835000000000001</v>
      </c>
      <c r="F1080" s="39">
        <v>2.235071306176692</v>
      </c>
      <c r="G1080" s="39">
        <v>54.981538506940225</v>
      </c>
      <c r="H1080" s="39">
        <v>69.255730613925678</v>
      </c>
      <c r="I1080" s="10">
        <v>0</v>
      </c>
      <c r="J1080" s="40">
        <v>0</v>
      </c>
      <c r="K1080" s="40">
        <v>1</v>
      </c>
      <c r="L1080" s="40">
        <v>0</v>
      </c>
      <c r="M1080" s="40">
        <v>0</v>
      </c>
      <c r="N1080" s="40">
        <v>0</v>
      </c>
      <c r="O1080" s="40">
        <v>0</v>
      </c>
      <c r="P1080" s="40">
        <v>0</v>
      </c>
      <c r="Q1080" s="40">
        <v>0</v>
      </c>
      <c r="R1080" s="40">
        <v>0</v>
      </c>
      <c r="S1080" s="40">
        <v>0</v>
      </c>
      <c r="T1080" s="29">
        <f t="array" aca="1" ref="T1080" ca="1">+fair_value_gap(OFFSET(S1079,0,0,-1*$I$5,-1*$Z$1),OFFSET(E1079,0,0,-1*$I$5,1),F1080:S1080,0)</f>
        <v>19.137461736155863</v>
      </c>
      <c r="U1080" s="9" cm="1">
        <f t="array" aca="1" ref="U1080" ca="1">z_score_diff(OFFSET(T1080,0,0,$I$5*-1,1),OFFSET(E1080,0,0,$I$5*-1,1))</f>
        <v>0.17846301817067545</v>
      </c>
      <c r="V1080" s="9">
        <f t="shared" ca="1" si="135"/>
        <v>6.7010039491510368E-2</v>
      </c>
      <c r="W1080" s="17">
        <f t="shared" ca="1" si="132"/>
        <v>7.1499240351272378E-2</v>
      </c>
      <c r="X1080" s="13">
        <f t="shared" ca="1" si="133"/>
        <v>0</v>
      </c>
      <c r="Y1080" s="13">
        <f t="shared" ca="1" si="134"/>
        <v>0</v>
      </c>
      <c r="Z1080">
        <f t="shared" ca="1" si="136"/>
        <v>0</v>
      </c>
      <c r="AA1080">
        <f t="shared" ca="1" si="137"/>
        <v>1</v>
      </c>
      <c r="AB1080" s="24">
        <f t="shared" ca="1" si="138"/>
        <v>0</v>
      </c>
      <c r="AC1080" s="24">
        <f t="shared" ca="1" si="139"/>
        <v>7.1499240351272378E-2</v>
      </c>
    </row>
    <row r="1081" spans="3:29" x14ac:dyDescent="0.25">
      <c r="C1081" s="6">
        <v>1074</v>
      </c>
      <c r="D1081" s="37">
        <v>43535</v>
      </c>
      <c r="E1081" s="39">
        <v>18.693000000000001</v>
      </c>
      <c r="F1081" s="39">
        <v>2.2329659872037797</v>
      </c>
      <c r="G1081" s="39">
        <v>55.090388578055993</v>
      </c>
      <c r="H1081" s="39">
        <v>68.951746522673787</v>
      </c>
      <c r="I1081" s="10">
        <v>0</v>
      </c>
      <c r="J1081" s="40">
        <v>0</v>
      </c>
      <c r="K1081" s="40">
        <v>1</v>
      </c>
      <c r="L1081" s="40">
        <v>0</v>
      </c>
      <c r="M1081" s="40">
        <v>0</v>
      </c>
      <c r="N1081" s="40">
        <v>0</v>
      </c>
      <c r="O1081" s="40">
        <v>0</v>
      </c>
      <c r="P1081" s="40">
        <v>0</v>
      </c>
      <c r="Q1081" s="40">
        <v>0</v>
      </c>
      <c r="R1081" s="40">
        <v>0</v>
      </c>
      <c r="S1081" s="40">
        <v>0</v>
      </c>
      <c r="T1081" s="29">
        <f t="array" aca="1" ref="T1081" ca="1">+fair_value_gap(OFFSET(S1080,0,0,-1*$I$5,-1*$Z$1),OFFSET(E1080,0,0,-1*$I$5,1),F1081:S1081,0)</f>
        <v>19.133656097853482</v>
      </c>
      <c r="U1081" s="9" cm="1">
        <f t="array" aca="1" ref="U1081" ca="1">z_score_diff(OFFSET(T1081,0,0,$I$5*-1,1),OFFSET(E1081,0,0,$I$5*-1,1))</f>
        <v>0.24551099894628159</v>
      </c>
      <c r="V1081" s="9">
        <f t="shared" ca="1" si="135"/>
        <v>7.2740836134483233E-2</v>
      </c>
      <c r="W1081" s="17">
        <f t="shared" ca="1" si="132"/>
        <v>5.8895522926230896E-2</v>
      </c>
      <c r="X1081" s="13">
        <f t="shared" ca="1" si="133"/>
        <v>0</v>
      </c>
      <c r="Y1081" s="13">
        <f t="shared" ca="1" si="134"/>
        <v>0</v>
      </c>
      <c r="Z1081">
        <f t="shared" ca="1" si="136"/>
        <v>0</v>
      </c>
      <c r="AA1081">
        <f t="shared" ca="1" si="137"/>
        <v>1</v>
      </c>
      <c r="AB1081" s="24">
        <f t="shared" ca="1" si="138"/>
        <v>0</v>
      </c>
      <c r="AC1081" s="24">
        <f t="shared" ca="1" si="139"/>
        <v>5.8895522926230896E-2</v>
      </c>
    </row>
    <row r="1082" spans="3:29" x14ac:dyDescent="0.25">
      <c r="C1082" s="6">
        <v>1075</v>
      </c>
      <c r="D1082" s="37">
        <v>43536</v>
      </c>
      <c r="E1082" s="39">
        <v>18.516999999999999</v>
      </c>
      <c r="F1082" s="39">
        <v>2.2334908437039189</v>
      </c>
      <c r="G1082" s="39">
        <v>54.016529375599774</v>
      </c>
      <c r="H1082" s="39">
        <v>68.690218970188781</v>
      </c>
      <c r="I1082" s="10">
        <v>0</v>
      </c>
      <c r="J1082" s="40">
        <v>0</v>
      </c>
      <c r="K1082" s="40">
        <v>1</v>
      </c>
      <c r="L1082" s="40">
        <v>0</v>
      </c>
      <c r="M1082" s="40">
        <v>0</v>
      </c>
      <c r="N1082" s="40">
        <v>0</v>
      </c>
      <c r="O1082" s="40">
        <v>0</v>
      </c>
      <c r="P1082" s="40">
        <v>0</v>
      </c>
      <c r="Q1082" s="40">
        <v>0</v>
      </c>
      <c r="R1082" s="40">
        <v>0</v>
      </c>
      <c r="S1082" s="40">
        <v>0</v>
      </c>
      <c r="T1082" s="29">
        <f t="array" aca="1" ref="T1082" ca="1">+fair_value_gap(OFFSET(S1081,0,0,-1*$I$5,-1*$Z$1),OFFSET(E1081,0,0,-1*$I$5,1),F1082:S1082,0)</f>
        <v>18.805350230607011</v>
      </c>
      <c r="U1082" s="9" cm="1">
        <f t="array" aca="1" ref="U1082" ca="1">z_score_diff(OFFSET(T1082,0,0,$I$5*-1,1),OFFSET(E1082,0,0,$I$5*-1,1))</f>
        <v>0.17008179312958749</v>
      </c>
      <c r="V1082" s="9">
        <f t="shared" ca="1" si="135"/>
        <v>7.5401975461056953E-2</v>
      </c>
      <c r="W1082" s="17">
        <f t="shared" ca="1" si="132"/>
        <v>5.87772356914198E-2</v>
      </c>
      <c r="X1082" s="13">
        <f t="shared" ca="1" si="133"/>
        <v>0</v>
      </c>
      <c r="Y1082" s="13">
        <f t="shared" ca="1" si="134"/>
        <v>0</v>
      </c>
      <c r="Z1082">
        <f t="shared" ca="1" si="136"/>
        <v>0</v>
      </c>
      <c r="AA1082">
        <f t="shared" ca="1" si="137"/>
        <v>1</v>
      </c>
      <c r="AB1082" s="24">
        <f t="shared" ca="1" si="138"/>
        <v>0</v>
      </c>
      <c r="AC1082" s="24">
        <f t="shared" ca="1" si="139"/>
        <v>5.87772356914198E-2</v>
      </c>
    </row>
    <row r="1083" spans="3:29" x14ac:dyDescent="0.25">
      <c r="C1083" s="6">
        <v>1076</v>
      </c>
      <c r="D1083" s="37">
        <v>43537</v>
      </c>
      <c r="E1083" s="39">
        <v>18.259</v>
      </c>
      <c r="F1083" s="39">
        <v>2.2233134880455765</v>
      </c>
      <c r="G1083" s="39">
        <v>53.778188599392827</v>
      </c>
      <c r="H1083" s="39">
        <v>67.627543099374947</v>
      </c>
      <c r="I1083" s="10">
        <v>0</v>
      </c>
      <c r="J1083" s="40">
        <v>0</v>
      </c>
      <c r="K1083" s="40">
        <v>1</v>
      </c>
      <c r="L1083" s="40">
        <v>0</v>
      </c>
      <c r="M1083" s="40">
        <v>0</v>
      </c>
      <c r="N1083" s="40">
        <v>0</v>
      </c>
      <c r="O1083" s="40">
        <v>0</v>
      </c>
      <c r="P1083" s="40">
        <v>0</v>
      </c>
      <c r="Q1083" s="40">
        <v>0</v>
      </c>
      <c r="R1083" s="40">
        <v>0</v>
      </c>
      <c r="S1083" s="40">
        <v>0</v>
      </c>
      <c r="T1083" s="29">
        <f t="array" aca="1" ref="T1083" ca="1">+fair_value_gap(OFFSET(S1082,0,0,-1*$I$5,-1*$Z$1),OFFSET(E1082,0,0,-1*$I$5,1),F1083:S1083,0)</f>
        <v>18.667225841363521</v>
      </c>
      <c r="U1083" s="9" cm="1">
        <f t="array" aca="1" ref="U1083" ca="1">z_score_diff(OFFSET(T1083,0,0,$I$5*-1,1),OFFSET(E1083,0,0,$I$5*-1,1))</f>
        <v>0.22717634935461428</v>
      </c>
      <c r="V1083" s="9">
        <f t="shared" ca="1" si="135"/>
        <v>7.9783116848768626E-2</v>
      </c>
      <c r="W1083" s="17">
        <f t="shared" ca="1" si="132"/>
        <v>9.8943122778090309E-2</v>
      </c>
      <c r="X1083" s="13">
        <f t="shared" ca="1" si="133"/>
        <v>0</v>
      </c>
      <c r="Y1083" s="13">
        <f t="shared" ca="1" si="134"/>
        <v>0</v>
      </c>
      <c r="Z1083">
        <f t="shared" ca="1" si="136"/>
        <v>0</v>
      </c>
      <c r="AA1083">
        <f t="shared" ca="1" si="137"/>
        <v>1</v>
      </c>
      <c r="AB1083" s="24">
        <f t="shared" ca="1" si="138"/>
        <v>0</v>
      </c>
      <c r="AC1083" s="24">
        <f t="shared" ca="1" si="139"/>
        <v>9.8943122778090309E-2</v>
      </c>
    </row>
    <row r="1084" spans="3:29" x14ac:dyDescent="0.25">
      <c r="C1084" s="6">
        <v>1077</v>
      </c>
      <c r="D1084" s="37">
        <v>43538</v>
      </c>
      <c r="E1084" s="39">
        <v>18.085999999999999</v>
      </c>
      <c r="F1084" s="39">
        <v>2.2328964279579955</v>
      </c>
      <c r="G1084" s="39">
        <v>52.666545040222779</v>
      </c>
      <c r="H1084" s="39">
        <v>68.70450547563064</v>
      </c>
      <c r="I1084" s="10">
        <v>0</v>
      </c>
      <c r="J1084" s="40">
        <v>0</v>
      </c>
      <c r="K1084" s="40">
        <v>1</v>
      </c>
      <c r="L1084" s="40">
        <v>0</v>
      </c>
      <c r="M1084" s="40">
        <v>0</v>
      </c>
      <c r="N1084" s="40">
        <v>0</v>
      </c>
      <c r="O1084" s="40">
        <v>0</v>
      </c>
      <c r="P1084" s="40">
        <v>0</v>
      </c>
      <c r="Q1084" s="40">
        <v>0</v>
      </c>
      <c r="R1084" s="40">
        <v>0</v>
      </c>
      <c r="S1084" s="40">
        <v>0</v>
      </c>
      <c r="T1084" s="29">
        <f t="array" aca="1" ref="T1084" ca="1">+fair_value_gap(OFFSET(S1083,0,0,-1*$I$5,-1*$Z$1),OFFSET(E1083,0,0,-1*$I$5,1),F1084:S1084,0)</f>
        <v>18.376555090633332</v>
      </c>
      <c r="U1084" s="9" cm="1">
        <f t="array" aca="1" ref="U1084" ca="1">z_score_diff(OFFSET(T1084,0,0,$I$5*-1,1),OFFSET(E1084,0,0,$I$5*-1,1))</f>
        <v>0.16547436135525584</v>
      </c>
      <c r="V1084" s="9">
        <f t="shared" ca="1" si="135"/>
        <v>8.0424038629356209E-2</v>
      </c>
      <c r="W1084" s="17">
        <f t="shared" ca="1" si="132"/>
        <v>0.10483510949295727</v>
      </c>
      <c r="X1084" s="13">
        <f t="shared" ca="1" si="133"/>
        <v>0</v>
      </c>
      <c r="Y1084" s="13">
        <f t="shared" ca="1" si="134"/>
        <v>0</v>
      </c>
      <c r="Z1084">
        <f t="shared" ca="1" si="136"/>
        <v>0</v>
      </c>
      <c r="AA1084">
        <f t="shared" ca="1" si="137"/>
        <v>1</v>
      </c>
      <c r="AB1084" s="24">
        <f t="shared" ca="1" si="138"/>
        <v>0</v>
      </c>
      <c r="AC1084" s="24">
        <f t="shared" ca="1" si="139"/>
        <v>0.10483510949295727</v>
      </c>
    </row>
    <row r="1085" spans="3:29" x14ac:dyDescent="0.25">
      <c r="C1085" s="6">
        <v>1078</v>
      </c>
      <c r="D1085" s="37">
        <v>43539</v>
      </c>
      <c r="E1085" s="39">
        <v>17.64</v>
      </c>
      <c r="F1085" s="39">
        <v>2.21755132360886</v>
      </c>
      <c r="G1085" s="39">
        <v>51.590693885628362</v>
      </c>
      <c r="H1085" s="39">
        <v>66.855753646677485</v>
      </c>
      <c r="I1085" s="10">
        <v>0</v>
      </c>
      <c r="J1085" s="40">
        <v>0</v>
      </c>
      <c r="K1085" s="40">
        <v>1</v>
      </c>
      <c r="L1085" s="40">
        <v>0</v>
      </c>
      <c r="M1085" s="40">
        <v>0</v>
      </c>
      <c r="N1085" s="40">
        <v>0</v>
      </c>
      <c r="O1085" s="40">
        <v>0</v>
      </c>
      <c r="P1085" s="40">
        <v>0</v>
      </c>
      <c r="Q1085" s="40">
        <v>0</v>
      </c>
      <c r="R1085" s="40">
        <v>0</v>
      </c>
      <c r="S1085" s="40">
        <v>0</v>
      </c>
      <c r="T1085" s="29">
        <f t="array" aca="1" ref="T1085" ca="1">+fair_value_gap(OFFSET(S1084,0,0,-1*$I$5,-1*$Z$1),OFFSET(E1084,0,0,-1*$I$5,1),F1085:S1085,0)</f>
        <v>17.959681673595526</v>
      </c>
      <c r="U1085" s="9" cm="1">
        <f t="array" aca="1" ref="U1085" ca="1">z_score_diff(OFFSET(T1085,0,0,$I$5*-1,1),OFFSET(E1085,0,0,$I$5*-1,1))</f>
        <v>0.17470494724456209</v>
      </c>
      <c r="V1085" s="9">
        <f t="shared" ca="1" si="135"/>
        <v>8.3534677095933346E-2</v>
      </c>
      <c r="W1085" s="17">
        <f t="shared" ca="1" si="132"/>
        <v>0.1414365721316358</v>
      </c>
      <c r="X1085" s="13">
        <f t="shared" ca="1" si="133"/>
        <v>0</v>
      </c>
      <c r="Y1085" s="13">
        <f t="shared" ca="1" si="134"/>
        <v>0</v>
      </c>
      <c r="Z1085">
        <f t="shared" ca="1" si="136"/>
        <v>0</v>
      </c>
      <c r="AA1085">
        <f t="shared" ca="1" si="137"/>
        <v>1</v>
      </c>
      <c r="AB1085" s="24">
        <f t="shared" ca="1" si="138"/>
        <v>0</v>
      </c>
      <c r="AC1085" s="24">
        <f t="shared" ca="1" si="139"/>
        <v>0.1414365721316358</v>
      </c>
    </row>
    <row r="1086" spans="3:29" x14ac:dyDescent="0.25">
      <c r="C1086" s="6">
        <v>1079</v>
      </c>
      <c r="D1086" s="37">
        <v>43542</v>
      </c>
      <c r="E1086" s="39">
        <v>17.303999999999998</v>
      </c>
      <c r="F1086" s="39">
        <v>2.2223945880139078</v>
      </c>
      <c r="G1086" s="39">
        <v>50.613430193544843</v>
      </c>
      <c r="H1086" s="39">
        <v>67.321019671058622</v>
      </c>
      <c r="I1086" s="10">
        <v>0</v>
      </c>
      <c r="J1086" s="40">
        <v>0</v>
      </c>
      <c r="K1086" s="40">
        <v>1</v>
      </c>
      <c r="L1086" s="40">
        <v>0</v>
      </c>
      <c r="M1086" s="40">
        <v>0</v>
      </c>
      <c r="N1086" s="40">
        <v>0</v>
      </c>
      <c r="O1086" s="40">
        <v>0</v>
      </c>
      <c r="P1086" s="40">
        <v>0</v>
      </c>
      <c r="Q1086" s="40">
        <v>0</v>
      </c>
      <c r="R1086" s="40">
        <v>0</v>
      </c>
      <c r="S1086" s="40">
        <v>0</v>
      </c>
      <c r="T1086" s="29">
        <f t="array" aca="1" ref="T1086" ca="1">+fair_value_gap(OFFSET(S1085,0,0,-1*$I$5,-1*$Z$1),OFFSET(E1085,0,0,-1*$I$5,1),F1086:S1086,0)</f>
        <v>17.658385159948004</v>
      </c>
      <c r="U1086" s="9" cm="1">
        <f t="array" aca="1" ref="U1086" ca="1">z_score_diff(OFFSET(T1086,0,0,$I$5*-1,1),OFFSET(E1086,0,0,$I$5*-1,1))</f>
        <v>0.18680710483081553</v>
      </c>
      <c r="V1086" s="9">
        <f t="shared" ca="1" si="135"/>
        <v>8.7330315952497795E-2</v>
      </c>
      <c r="W1086" s="17">
        <f t="shared" ca="1" si="132"/>
        <v>0.15637724614630005</v>
      </c>
      <c r="X1086" s="13">
        <f t="shared" ca="1" si="133"/>
        <v>0</v>
      </c>
      <c r="Y1086" s="13">
        <f t="shared" ca="1" si="134"/>
        <v>0</v>
      </c>
      <c r="Z1086">
        <f t="shared" ca="1" si="136"/>
        <v>0</v>
      </c>
      <c r="AA1086">
        <f t="shared" ca="1" si="137"/>
        <v>1</v>
      </c>
      <c r="AB1086" s="24">
        <f t="shared" ca="1" si="138"/>
        <v>0</v>
      </c>
      <c r="AC1086" s="24">
        <f t="shared" ca="1" si="139"/>
        <v>0.15637724614630005</v>
      </c>
    </row>
    <row r="1087" spans="3:29" x14ac:dyDescent="0.25">
      <c r="C1087" s="6">
        <v>1080</v>
      </c>
      <c r="D1087" s="37">
        <v>43543</v>
      </c>
      <c r="E1087" s="39">
        <v>17.312999999999999</v>
      </c>
      <c r="F1087" s="39">
        <v>2.2188302367426158</v>
      </c>
      <c r="G1087" s="39">
        <v>50.571720101944173</v>
      </c>
      <c r="H1087" s="39">
        <v>66.800773642251116</v>
      </c>
      <c r="I1087" s="10">
        <v>0</v>
      </c>
      <c r="J1087" s="40">
        <v>0</v>
      </c>
      <c r="K1087" s="40">
        <v>1</v>
      </c>
      <c r="L1087" s="40">
        <v>0</v>
      </c>
      <c r="M1087" s="40">
        <v>0</v>
      </c>
      <c r="N1087" s="40">
        <v>0</v>
      </c>
      <c r="O1087" s="40">
        <v>0</v>
      </c>
      <c r="P1087" s="40">
        <v>0</v>
      </c>
      <c r="Q1087" s="40">
        <v>0</v>
      </c>
      <c r="R1087" s="40">
        <v>0</v>
      </c>
      <c r="S1087" s="40">
        <v>0</v>
      </c>
      <c r="T1087" s="29">
        <f t="array" aca="1" ref="T1087" ca="1">+fair_value_gap(OFFSET(S1086,0,0,-1*$I$5,-1*$Z$1),OFFSET(E1086,0,0,-1*$I$5,1),F1087:S1087,0)</f>
        <v>17.555227858852781</v>
      </c>
      <c r="U1087" s="9" cm="1">
        <f t="array" aca="1" ref="U1087" ca="1">z_score_diff(OFFSET(T1087,0,0,$I$5*-1,1),OFFSET(E1087,0,0,$I$5*-1,1))</f>
        <v>0.12554226925393119</v>
      </c>
      <c r="V1087" s="9">
        <f t="shared" ca="1" si="135"/>
        <v>9.1252749009501977E-2</v>
      </c>
      <c r="W1087" s="17">
        <f t="shared" ca="1" si="132"/>
        <v>0.14637240723919828</v>
      </c>
      <c r="X1087" s="13">
        <f t="shared" ca="1" si="133"/>
        <v>0</v>
      </c>
      <c r="Y1087" s="13">
        <f t="shared" ca="1" si="134"/>
        <v>0</v>
      </c>
      <c r="Z1087">
        <f t="shared" ca="1" si="136"/>
        <v>0</v>
      </c>
      <c r="AA1087">
        <f t="shared" ca="1" si="137"/>
        <v>1</v>
      </c>
      <c r="AB1087" s="24">
        <f t="shared" ca="1" si="138"/>
        <v>0</v>
      </c>
      <c r="AC1087" s="24">
        <f t="shared" ca="1" si="139"/>
        <v>0.14637240723919828</v>
      </c>
    </row>
    <row r="1088" spans="3:29" x14ac:dyDescent="0.25">
      <c r="C1088" s="6">
        <v>1081</v>
      </c>
      <c r="D1088" s="37">
        <v>43544</v>
      </c>
      <c r="E1088" s="39">
        <v>17.594999999999999</v>
      </c>
      <c r="F1088" s="39">
        <v>2.2008967858190505</v>
      </c>
      <c r="G1088" s="39">
        <v>50.79604645181174</v>
      </c>
      <c r="H1088" s="39">
        <v>66.756065876042413</v>
      </c>
      <c r="I1088" s="10">
        <v>0</v>
      </c>
      <c r="J1088" s="40">
        <v>0</v>
      </c>
      <c r="K1088" s="40">
        <v>1</v>
      </c>
      <c r="L1088" s="40">
        <v>0</v>
      </c>
      <c r="M1088" s="40">
        <v>0</v>
      </c>
      <c r="N1088" s="40">
        <v>0</v>
      </c>
      <c r="O1088" s="40">
        <v>0</v>
      </c>
      <c r="P1088" s="40">
        <v>0</v>
      </c>
      <c r="Q1088" s="40">
        <v>0</v>
      </c>
      <c r="R1088" s="40">
        <v>0</v>
      </c>
      <c r="S1088" s="40">
        <v>0</v>
      </c>
      <c r="T1088" s="29">
        <f t="array" aca="1" ref="T1088" ca="1">+fair_value_gap(OFFSET(S1087,0,0,-1*$I$5,-1*$Z$1),OFFSET(E1087,0,0,-1*$I$5,1),F1088:S1088,0)</f>
        <v>17.537700490443946</v>
      </c>
      <c r="U1088" s="9" cm="1">
        <f t="array" aca="1" ref="U1088" ca="1">z_score_diff(OFFSET(T1088,0,0,$I$5*-1,1),OFFSET(E1088,0,0,$I$5*-1,1))</f>
        <v>-2.8529469884329695E-2</v>
      </c>
      <c r="V1088" s="9">
        <f t="shared" ca="1" si="135"/>
        <v>8.8605353423346342E-2</v>
      </c>
      <c r="W1088" s="17">
        <f t="shared" ca="1" si="132"/>
        <v>0.11030988413047764</v>
      </c>
      <c r="X1088" s="13">
        <f t="shared" ca="1" si="133"/>
        <v>0</v>
      </c>
      <c r="Y1088" s="13">
        <f t="shared" ca="1" si="134"/>
        <v>0</v>
      </c>
      <c r="Z1088">
        <f t="shared" ca="1" si="136"/>
        <v>0</v>
      </c>
      <c r="AA1088">
        <f t="shared" ca="1" si="137"/>
        <v>1</v>
      </c>
      <c r="AB1088" s="24">
        <f t="shared" ca="1" si="138"/>
        <v>0</v>
      </c>
      <c r="AC1088" s="24">
        <f t="shared" ca="1" si="139"/>
        <v>0.11030988413047764</v>
      </c>
    </row>
    <row r="1089" spans="3:29" x14ac:dyDescent="0.25">
      <c r="C1089" s="6">
        <v>1082</v>
      </c>
      <c r="D1089" s="37">
        <v>43545</v>
      </c>
      <c r="E1089" s="39">
        <v>17.417999999999999</v>
      </c>
      <c r="F1089" s="39">
        <v>2.217063652267528</v>
      </c>
      <c r="G1089" s="39">
        <v>50.967222744759816</v>
      </c>
      <c r="H1089" s="39">
        <v>66.486677432377874</v>
      </c>
      <c r="I1089" s="10">
        <v>0</v>
      </c>
      <c r="J1089" s="40">
        <v>0</v>
      </c>
      <c r="K1089" s="40">
        <v>1</v>
      </c>
      <c r="L1089" s="40">
        <v>0</v>
      </c>
      <c r="M1089" s="40">
        <v>0</v>
      </c>
      <c r="N1089" s="40">
        <v>0</v>
      </c>
      <c r="O1089" s="40">
        <v>0</v>
      </c>
      <c r="P1089" s="40">
        <v>0</v>
      </c>
      <c r="Q1089" s="40">
        <v>0</v>
      </c>
      <c r="R1089" s="40">
        <v>0</v>
      </c>
      <c r="S1089" s="40">
        <v>0</v>
      </c>
      <c r="T1089" s="29">
        <f t="array" aca="1" ref="T1089" ca="1">+fair_value_gap(OFFSET(S1088,0,0,-1*$I$5,-1*$Z$1),OFFSET(E1088,0,0,-1*$I$5,1),F1089:S1089,0)</f>
        <v>17.534578529625435</v>
      </c>
      <c r="U1089" s="9" cm="1">
        <f t="array" aca="1" ref="U1089" ca="1">z_score_diff(OFFSET(T1089,0,0,$I$5*-1,1),OFFSET(E1089,0,0,$I$5*-1,1))</f>
        <v>5.9876916383266199E-2</v>
      </c>
      <c r="V1089" s="9">
        <f t="shared" ca="1" si="135"/>
        <v>8.6104804059390291E-2</v>
      </c>
      <c r="W1089" s="17">
        <f t="shared" ca="1" si="132"/>
        <v>0.12326675414328291</v>
      </c>
      <c r="X1089" s="13">
        <f t="shared" ca="1" si="133"/>
        <v>0</v>
      </c>
      <c r="Y1089" s="13">
        <f t="shared" ca="1" si="134"/>
        <v>0</v>
      </c>
      <c r="Z1089">
        <f t="shared" ca="1" si="136"/>
        <v>0</v>
      </c>
      <c r="AA1089">
        <f t="shared" ca="1" si="137"/>
        <v>1</v>
      </c>
      <c r="AB1089" s="24">
        <f t="shared" ca="1" si="138"/>
        <v>0</v>
      </c>
      <c r="AC1089" s="24">
        <f t="shared" ca="1" si="139"/>
        <v>0.12326675414328291</v>
      </c>
    </row>
    <row r="1090" spans="3:29" x14ac:dyDescent="0.25">
      <c r="C1090" s="6">
        <v>1083</v>
      </c>
      <c r="D1090" s="37">
        <v>43546</v>
      </c>
      <c r="E1090" s="39">
        <v>17.529</v>
      </c>
      <c r="F1090" s="39">
        <v>2.2280016604118837</v>
      </c>
      <c r="G1090" s="39">
        <v>50.790080671998894</v>
      </c>
      <c r="H1090" s="39">
        <v>66.670620028294778</v>
      </c>
      <c r="I1090" s="10">
        <v>0</v>
      </c>
      <c r="J1090" s="40">
        <v>0</v>
      </c>
      <c r="K1090" s="40">
        <v>1</v>
      </c>
      <c r="L1090" s="40">
        <v>0</v>
      </c>
      <c r="M1090" s="40">
        <v>0</v>
      </c>
      <c r="N1090" s="40">
        <v>0</v>
      </c>
      <c r="O1090" s="40">
        <v>0</v>
      </c>
      <c r="P1090" s="40">
        <v>0</v>
      </c>
      <c r="Q1090" s="40">
        <v>0</v>
      </c>
      <c r="R1090" s="40">
        <v>0</v>
      </c>
      <c r="S1090" s="40">
        <v>0</v>
      </c>
      <c r="T1090" s="29">
        <f t="array" aca="1" ref="T1090" ca="1">+fair_value_gap(OFFSET(S1089,0,0,-1*$I$5,-1*$Z$1),OFFSET(E1089,0,0,-1*$I$5,1),F1090:S1090,0)</f>
        <v>17.462217297340644</v>
      </c>
      <c r="U1090" s="9" cm="1">
        <f t="array" aca="1" ref="U1090" ca="1">z_score_diff(OFFSET(T1090,0,0,$I$5*-1,1),OFFSET(E1090,0,0,$I$5*-1,1))</f>
        <v>-4.4458867641153255E-2</v>
      </c>
      <c r="V1090" s="9">
        <f t="shared" ca="1" si="135"/>
        <v>8.258762377315132E-2</v>
      </c>
      <c r="W1090" s="17">
        <f t="shared" ca="1" si="132"/>
        <v>0.12771698616472232</v>
      </c>
      <c r="X1090" s="13">
        <f t="shared" ca="1" si="133"/>
        <v>0</v>
      </c>
      <c r="Y1090" s="13">
        <f t="shared" ca="1" si="134"/>
        <v>0</v>
      </c>
      <c r="Z1090">
        <f t="shared" ca="1" si="136"/>
        <v>0</v>
      </c>
      <c r="AA1090">
        <f t="shared" ca="1" si="137"/>
        <v>1</v>
      </c>
      <c r="AB1090" s="24">
        <f t="shared" ca="1" si="138"/>
        <v>0</v>
      </c>
      <c r="AC1090" s="24">
        <f t="shared" ca="1" si="139"/>
        <v>0.12771698616472232</v>
      </c>
    </row>
    <row r="1091" spans="3:29" x14ac:dyDescent="0.25">
      <c r="C1091" s="6">
        <v>1084</v>
      </c>
      <c r="D1091" s="37">
        <v>43549</v>
      </c>
      <c r="E1091" s="39">
        <v>17.309000000000001</v>
      </c>
      <c r="F1091" s="39">
        <v>2.2264976099264331</v>
      </c>
      <c r="G1091" s="39">
        <v>50.344847322782812</v>
      </c>
      <c r="H1091" s="39">
        <v>66.48981252330745</v>
      </c>
      <c r="I1091" s="10">
        <v>0</v>
      </c>
      <c r="J1091" s="40">
        <v>0</v>
      </c>
      <c r="K1091" s="40">
        <v>1</v>
      </c>
      <c r="L1091" s="40">
        <v>0</v>
      </c>
      <c r="M1091" s="40">
        <v>0</v>
      </c>
      <c r="N1091" s="40">
        <v>0</v>
      </c>
      <c r="O1091" s="40">
        <v>0</v>
      </c>
      <c r="P1091" s="40">
        <v>0</v>
      </c>
      <c r="Q1091" s="40">
        <v>0</v>
      </c>
      <c r="R1091" s="40">
        <v>0</v>
      </c>
      <c r="S1091" s="40">
        <v>0</v>
      </c>
      <c r="T1091" s="29">
        <f t="array" aca="1" ref="T1091" ca="1">+fair_value_gap(OFFSET(S1090,0,0,-1*$I$5,-1*$Z$1),OFFSET(E1090,0,0,-1*$I$5,1),F1091:S1091,0)</f>
        <v>17.331634608176458</v>
      </c>
      <c r="U1091" s="9" cm="1">
        <f t="array" aca="1" ref="U1091" ca="1">z_score_diff(OFFSET(T1091,0,0,$I$5*-1,1),OFFSET(E1091,0,0,$I$5*-1,1))</f>
        <v>-5.4317798131342521E-3</v>
      </c>
      <c r="V1091" s="9">
        <f t="shared" ca="1" si="135"/>
        <v>8.0959475260312663E-2</v>
      </c>
      <c r="W1091" s="17">
        <f t="shared" ca="1" si="132"/>
        <v>0.15232502516186092</v>
      </c>
      <c r="X1091" s="13">
        <f t="shared" ca="1" si="133"/>
        <v>0</v>
      </c>
      <c r="Y1091" s="13">
        <f t="shared" ca="1" si="134"/>
        <v>0</v>
      </c>
      <c r="Z1091">
        <f t="shared" ca="1" si="136"/>
        <v>0</v>
      </c>
      <c r="AA1091">
        <f t="shared" ca="1" si="137"/>
        <v>1</v>
      </c>
      <c r="AB1091" s="24">
        <f t="shared" ca="1" si="138"/>
        <v>0</v>
      </c>
      <c r="AC1091" s="24">
        <f t="shared" ca="1" si="139"/>
        <v>0.15232502516186092</v>
      </c>
    </row>
    <row r="1092" spans="3:29" x14ac:dyDescent="0.25">
      <c r="C1092" s="6">
        <v>1085</v>
      </c>
      <c r="D1092" s="37">
        <v>43550</v>
      </c>
      <c r="E1092" s="39">
        <v>17.507999999999999</v>
      </c>
      <c r="F1092" s="39">
        <v>2.2365445769111014</v>
      </c>
      <c r="G1092" s="39">
        <v>50.673324968286046</v>
      </c>
      <c r="H1092" s="39">
        <v>67.377075120334439</v>
      </c>
      <c r="I1092" s="10">
        <v>0</v>
      </c>
      <c r="J1092" s="40">
        <v>0</v>
      </c>
      <c r="K1092" s="40">
        <v>1</v>
      </c>
      <c r="L1092" s="40">
        <v>0</v>
      </c>
      <c r="M1092" s="40">
        <v>0</v>
      </c>
      <c r="N1092" s="40">
        <v>0</v>
      </c>
      <c r="O1092" s="40">
        <v>0</v>
      </c>
      <c r="P1092" s="40">
        <v>0</v>
      </c>
      <c r="Q1092" s="40">
        <v>0</v>
      </c>
      <c r="R1092" s="40">
        <v>0</v>
      </c>
      <c r="S1092" s="40">
        <v>0</v>
      </c>
      <c r="T1092" s="29">
        <f t="array" aca="1" ref="T1092" ca="1">+fair_value_gap(OFFSET(S1091,0,0,-1*$I$5,-1*$Z$1),OFFSET(E1091,0,0,-1*$I$5,1),F1092:S1092,0)</f>
        <v>17.464631525847793</v>
      </c>
      <c r="U1092" s="9" cm="1">
        <f t="array" aca="1" ref="U1092" ca="1">z_score_diff(OFFSET(T1092,0,0,$I$5*-1,1),OFFSET(E1092,0,0,$I$5*-1,1))</f>
        <v>-4.1094746015089223E-2</v>
      </c>
      <c r="V1092" s="9">
        <f t="shared" ca="1" si="135"/>
        <v>7.7951249198530984E-2</v>
      </c>
      <c r="W1092" s="17">
        <f t="shared" ca="1" si="132"/>
        <v>0.12307452214700865</v>
      </c>
      <c r="X1092" s="13">
        <f t="shared" ca="1" si="133"/>
        <v>0</v>
      </c>
      <c r="Y1092" s="13">
        <f t="shared" ca="1" si="134"/>
        <v>0</v>
      </c>
      <c r="Z1092">
        <f t="shared" ca="1" si="136"/>
        <v>0</v>
      </c>
      <c r="AA1092">
        <f t="shared" ca="1" si="137"/>
        <v>1</v>
      </c>
      <c r="AB1092" s="24">
        <f t="shared" ca="1" si="138"/>
        <v>0</v>
      </c>
      <c r="AC1092" s="24">
        <f t="shared" ca="1" si="139"/>
        <v>0.12307452214700865</v>
      </c>
    </row>
    <row r="1093" spans="3:29" x14ac:dyDescent="0.25">
      <c r="C1093" s="6">
        <v>1086</v>
      </c>
      <c r="D1093" s="37">
        <v>43551</v>
      </c>
      <c r="E1093" s="39">
        <v>17.98</v>
      </c>
      <c r="F1093" s="39">
        <v>2.2300315459563742</v>
      </c>
      <c r="G1093" s="39">
        <v>51.992748410117699</v>
      </c>
      <c r="H1093" s="39">
        <v>67.872377774331369</v>
      </c>
      <c r="I1093" s="10">
        <v>0</v>
      </c>
      <c r="J1093" s="40">
        <v>0</v>
      </c>
      <c r="K1093" s="40">
        <v>1</v>
      </c>
      <c r="L1093" s="40">
        <v>0</v>
      </c>
      <c r="M1093" s="40">
        <v>0</v>
      </c>
      <c r="N1093" s="40">
        <v>0</v>
      </c>
      <c r="O1093" s="40">
        <v>0</v>
      </c>
      <c r="P1093" s="40">
        <v>0</v>
      </c>
      <c r="Q1093" s="40">
        <v>0</v>
      </c>
      <c r="R1093" s="40">
        <v>0</v>
      </c>
      <c r="S1093" s="40">
        <v>0</v>
      </c>
      <c r="T1093" s="29">
        <f t="array" aca="1" ref="T1093" ca="1">+fair_value_gap(OFFSET(S1092,0,0,-1*$I$5,-1*$Z$1),OFFSET(E1092,0,0,-1*$I$5,1),F1093:S1093,0)</f>
        <v>17.852855098007836</v>
      </c>
      <c r="U1093" s="9" cm="1">
        <f t="array" aca="1" ref="U1093" ca="1">z_score_diff(OFFSET(T1093,0,0,$I$5*-1,1),OFFSET(E1093,0,0,$I$5*-1,1))</f>
        <v>-8.0988905257215471E-2</v>
      </c>
      <c r="V1093" s="9">
        <f t="shared" ca="1" si="135"/>
        <v>7.3290532349113563E-2</v>
      </c>
      <c r="W1093" s="17">
        <f t="shared" ca="1" si="132"/>
        <v>9.0037938047091995E-2</v>
      </c>
      <c r="X1093" s="13">
        <f t="shared" ca="1" si="133"/>
        <v>0</v>
      </c>
      <c r="Y1093" s="13">
        <f t="shared" ca="1" si="134"/>
        <v>0</v>
      </c>
      <c r="Z1093">
        <f t="shared" ca="1" si="136"/>
        <v>0</v>
      </c>
      <c r="AA1093">
        <f t="shared" ca="1" si="137"/>
        <v>1</v>
      </c>
      <c r="AB1093" s="24">
        <f t="shared" ca="1" si="138"/>
        <v>0</v>
      </c>
      <c r="AC1093" s="24">
        <f t="shared" ca="1" si="139"/>
        <v>9.0037938047091995E-2</v>
      </c>
    </row>
    <row r="1094" spans="3:29" x14ac:dyDescent="0.25">
      <c r="C1094" s="6">
        <v>1087</v>
      </c>
      <c r="D1094" s="37">
        <v>43552</v>
      </c>
      <c r="E1094" s="39">
        <v>17.821000000000002</v>
      </c>
      <c r="F1094" s="39">
        <v>2.2528232852634282</v>
      </c>
      <c r="G1094" s="39">
        <v>51.556680981630088</v>
      </c>
      <c r="H1094" s="39">
        <v>66.67127646042961</v>
      </c>
      <c r="I1094" s="10">
        <v>0</v>
      </c>
      <c r="J1094" s="40">
        <v>0</v>
      </c>
      <c r="K1094" s="40">
        <v>1</v>
      </c>
      <c r="L1094" s="40">
        <v>0</v>
      </c>
      <c r="M1094" s="40">
        <v>0</v>
      </c>
      <c r="N1094" s="40">
        <v>0</v>
      </c>
      <c r="O1094" s="40">
        <v>0</v>
      </c>
      <c r="P1094" s="40">
        <v>0</v>
      </c>
      <c r="Q1094" s="40">
        <v>0</v>
      </c>
      <c r="R1094" s="40">
        <v>0</v>
      </c>
      <c r="S1094" s="40">
        <v>0</v>
      </c>
      <c r="T1094" s="29">
        <f t="array" aca="1" ref="T1094" ca="1">+fair_value_gap(OFFSET(S1093,0,0,-1*$I$5,-1*$Z$1),OFFSET(E1093,0,0,-1*$I$5,1),F1094:S1094,0)</f>
        <v>17.685328038710043</v>
      </c>
      <c r="U1094" s="9" cm="1">
        <f t="array" aca="1" ref="U1094" ca="1">z_score_diff(OFFSET(T1094,0,0,$I$5*-1,1),OFFSET(E1094,0,0,$I$5*-1,1))</f>
        <v>-8.8114703436062314E-2</v>
      </c>
      <c r="V1094" s="9">
        <f t="shared" ca="1" si="135"/>
        <v>6.9224116474736475E-2</v>
      </c>
      <c r="W1094" s="17">
        <f t="shared" ca="1" si="132"/>
        <v>9.7394410986035795E-2</v>
      </c>
      <c r="X1094" s="13">
        <f t="shared" ca="1" si="133"/>
        <v>0</v>
      </c>
      <c r="Y1094" s="13">
        <f t="shared" ca="1" si="134"/>
        <v>0</v>
      </c>
      <c r="Z1094">
        <f t="shared" ca="1" si="136"/>
        <v>0</v>
      </c>
      <c r="AA1094">
        <f t="shared" ca="1" si="137"/>
        <v>1</v>
      </c>
      <c r="AB1094" s="24">
        <f t="shared" ca="1" si="138"/>
        <v>0</v>
      </c>
      <c r="AC1094" s="24">
        <f t="shared" ca="1" si="139"/>
        <v>9.7394410986035795E-2</v>
      </c>
    </row>
    <row r="1095" spans="3:29" x14ac:dyDescent="0.25">
      <c r="C1095" s="6">
        <v>1088</v>
      </c>
      <c r="D1095" s="37">
        <v>43553</v>
      </c>
      <c r="E1095" s="39">
        <v>18.751000000000001</v>
      </c>
      <c r="F1095" s="39">
        <v>2.2506311756815718</v>
      </c>
      <c r="G1095" s="39">
        <v>55.860186413552455</v>
      </c>
      <c r="H1095" s="39">
        <v>66.127232381084113</v>
      </c>
      <c r="I1095" s="10">
        <v>0</v>
      </c>
      <c r="J1095" s="40">
        <v>0</v>
      </c>
      <c r="K1095" s="40">
        <v>1</v>
      </c>
      <c r="L1095" s="40">
        <v>0</v>
      </c>
      <c r="M1095" s="40">
        <v>0</v>
      </c>
      <c r="N1095" s="40">
        <v>0</v>
      </c>
      <c r="O1095" s="40">
        <v>0</v>
      </c>
      <c r="P1095" s="40">
        <v>0</v>
      </c>
      <c r="Q1095" s="40">
        <v>0</v>
      </c>
      <c r="R1095" s="40">
        <v>0</v>
      </c>
      <c r="S1095" s="40">
        <v>0</v>
      </c>
      <c r="T1095" s="29">
        <f t="array" aca="1" ref="T1095" ca="1">+fair_value_gap(OFFSET(S1094,0,0,-1*$I$5,-1*$Z$1),OFFSET(E1094,0,0,-1*$I$5,1),F1095:S1095,0)</f>
        <v>18.854386284210079</v>
      </c>
      <c r="U1095" s="9" cm="1">
        <f t="array" aca="1" ref="U1095" ca="1">z_score_diff(OFFSET(T1095,0,0,$I$5*-1,1),OFFSET(E1095,0,0,$I$5*-1,1))</f>
        <v>4.780289378450564E-2</v>
      </c>
      <c r="V1095" s="9">
        <f t="shared" ca="1" si="135"/>
        <v>6.8351870839163761E-2</v>
      </c>
      <c r="W1095" s="17">
        <f t="shared" ref="W1095:W1158" ca="1" si="140">+LN(OFFSET(E1095,$W$3,0,1,1)/E1095)</f>
        <v>4.9726818250863974E-2</v>
      </c>
      <c r="X1095" s="13">
        <f t="shared" ca="1" si="133"/>
        <v>0</v>
      </c>
      <c r="Y1095" s="13">
        <f t="shared" ca="1" si="134"/>
        <v>0</v>
      </c>
      <c r="Z1095">
        <f t="shared" ca="1" si="136"/>
        <v>0</v>
      </c>
      <c r="AA1095">
        <f t="shared" ca="1" si="137"/>
        <v>1</v>
      </c>
      <c r="AB1095" s="24">
        <f t="shared" ca="1" si="138"/>
        <v>0</v>
      </c>
      <c r="AC1095" s="24">
        <f t="shared" ca="1" si="139"/>
        <v>4.9726818250863974E-2</v>
      </c>
    </row>
    <row r="1096" spans="3:29" x14ac:dyDescent="0.25">
      <c r="C1096" s="6">
        <v>1089</v>
      </c>
      <c r="D1096" s="37">
        <v>43556</v>
      </c>
      <c r="E1096" s="39">
        <v>18.678000000000001</v>
      </c>
      <c r="F1096" s="39">
        <v>2.2497927934855979</v>
      </c>
      <c r="G1096" s="39">
        <v>55.545210168132222</v>
      </c>
      <c r="H1096" s="39">
        <v>67.160544461818446</v>
      </c>
      <c r="I1096" s="10">
        <v>0</v>
      </c>
      <c r="J1096" s="40">
        <v>0</v>
      </c>
      <c r="K1096" s="40">
        <v>0</v>
      </c>
      <c r="L1096" s="40">
        <v>1</v>
      </c>
      <c r="M1096" s="40">
        <v>0</v>
      </c>
      <c r="N1096" s="40">
        <v>0</v>
      </c>
      <c r="O1096" s="40">
        <v>0</v>
      </c>
      <c r="P1096" s="40">
        <v>0</v>
      </c>
      <c r="Q1096" s="40">
        <v>0</v>
      </c>
      <c r="R1096" s="40">
        <v>0</v>
      </c>
      <c r="S1096" s="40">
        <v>0</v>
      </c>
      <c r="T1096" s="29">
        <f t="array" aca="1" ref="T1096" ca="1">+fair_value_gap(OFFSET(S1095,0,0,-1*$I$5,-1*$Z$1),OFFSET(E1095,0,0,-1*$I$5,1),F1096:S1096,0)</f>
        <v>18.849671830283441</v>
      </c>
      <c r="U1096" s="9" cm="1">
        <f t="array" aca="1" ref="U1096" ca="1">z_score_diff(OFFSET(T1096,0,0,$I$5*-1,1),OFFSET(E1096,0,0,$I$5*-1,1))</f>
        <v>8.2690640441358987E-2</v>
      </c>
      <c r="V1096" s="9">
        <f t="shared" ca="1" si="135"/>
        <v>6.9005501477742121E-2</v>
      </c>
      <c r="W1096" s="17">
        <f t="shared" ca="1" si="140"/>
        <v>6.0454542540184536E-2</v>
      </c>
      <c r="X1096" s="13">
        <f t="shared" ca="1" si="133"/>
        <v>0</v>
      </c>
      <c r="Y1096" s="13">
        <f t="shared" ca="1" si="134"/>
        <v>0</v>
      </c>
      <c r="Z1096">
        <f t="shared" ca="1" si="136"/>
        <v>0</v>
      </c>
      <c r="AA1096">
        <f t="shared" ca="1" si="137"/>
        <v>1</v>
      </c>
      <c r="AB1096" s="24">
        <f t="shared" ca="1" si="138"/>
        <v>0</v>
      </c>
      <c r="AC1096" s="24">
        <f t="shared" ca="1" si="139"/>
        <v>6.0454542540184536E-2</v>
      </c>
    </row>
    <row r="1097" spans="3:29" x14ac:dyDescent="0.25">
      <c r="C1097" s="6">
        <v>1090</v>
      </c>
      <c r="D1097" s="37">
        <v>43557</v>
      </c>
      <c r="E1097" s="39">
        <v>18.556999999999999</v>
      </c>
      <c r="F1097" s="39">
        <v>2.2619773238055587</v>
      </c>
      <c r="G1097" s="39">
        <v>55.595305745423417</v>
      </c>
      <c r="H1097" s="39">
        <v>65.91022360748623</v>
      </c>
      <c r="I1097" s="10">
        <v>0</v>
      </c>
      <c r="J1097" s="40">
        <v>0</v>
      </c>
      <c r="K1097" s="40">
        <v>0</v>
      </c>
      <c r="L1097" s="40">
        <v>1</v>
      </c>
      <c r="M1097" s="40">
        <v>0</v>
      </c>
      <c r="N1097" s="40">
        <v>0</v>
      </c>
      <c r="O1097" s="40">
        <v>0</v>
      </c>
      <c r="P1097" s="40">
        <v>0</v>
      </c>
      <c r="Q1097" s="40">
        <v>0</v>
      </c>
      <c r="R1097" s="40">
        <v>0</v>
      </c>
      <c r="S1097" s="40">
        <v>0</v>
      </c>
      <c r="T1097" s="29">
        <f t="array" aca="1" ref="T1097" ca="1">+fair_value_gap(OFFSET(S1096,0,0,-1*$I$5,-1*$Z$1),OFFSET(E1096,0,0,-1*$I$5,1),F1097:S1097,0)</f>
        <v>18.765442300797901</v>
      </c>
      <c r="U1097" s="9" cm="1">
        <f t="array" aca="1" ref="U1097" ca="1">z_score_diff(OFFSET(T1097,0,0,$I$5*-1,1),OFFSET(E1097,0,0,$I$5*-1,1))</f>
        <v>0.1004751884206192</v>
      </c>
      <c r="V1097" s="9">
        <f t="shared" ca="1" si="135"/>
        <v>7.1247779874340347E-2</v>
      </c>
      <c r="W1097" s="17">
        <f t="shared" ca="1" si="140"/>
        <v>6.3116213591790288E-2</v>
      </c>
      <c r="X1097" s="13">
        <f t="shared" ref="X1097:X1160" ca="1" si="141">+X1096</f>
        <v>0</v>
      </c>
      <c r="Y1097" s="13">
        <f t="shared" ref="Y1097:Y1160" ca="1" si="142">+Y1096</f>
        <v>0</v>
      </c>
      <c r="Z1097">
        <f t="shared" ca="1" si="136"/>
        <v>0</v>
      </c>
      <c r="AA1097">
        <f t="shared" ca="1" si="137"/>
        <v>1</v>
      </c>
      <c r="AB1097" s="24">
        <f t="shared" ca="1" si="138"/>
        <v>0</v>
      </c>
      <c r="AC1097" s="24">
        <f t="shared" ca="1" si="139"/>
        <v>6.3116213591790288E-2</v>
      </c>
    </row>
    <row r="1098" spans="3:29" x14ac:dyDescent="0.25">
      <c r="C1098" s="6">
        <v>1091</v>
      </c>
      <c r="D1098" s="37">
        <v>43558</v>
      </c>
      <c r="E1098" s="39">
        <v>18.945</v>
      </c>
      <c r="F1098" s="39">
        <v>2.2622506624858341</v>
      </c>
      <c r="G1098" s="39">
        <v>56.081466919287955</v>
      </c>
      <c r="H1098" s="39">
        <v>65.950358296197209</v>
      </c>
      <c r="I1098" s="10">
        <v>0</v>
      </c>
      <c r="J1098" s="40">
        <v>0</v>
      </c>
      <c r="K1098" s="40">
        <v>0</v>
      </c>
      <c r="L1098" s="40">
        <v>1</v>
      </c>
      <c r="M1098" s="40">
        <v>0</v>
      </c>
      <c r="N1098" s="40">
        <v>0</v>
      </c>
      <c r="O1098" s="40">
        <v>0</v>
      </c>
      <c r="P1098" s="40">
        <v>0</v>
      </c>
      <c r="Q1098" s="40">
        <v>0</v>
      </c>
      <c r="R1098" s="40">
        <v>0</v>
      </c>
      <c r="S1098" s="40">
        <v>0</v>
      </c>
      <c r="T1098" s="29">
        <f t="array" aca="1" ref="T1098" ca="1">+fair_value_gap(OFFSET(S1097,0,0,-1*$I$5,-1*$Z$1),OFFSET(E1097,0,0,-1*$I$5,1),F1098:S1098,0)</f>
        <v>18.862074773341504</v>
      </c>
      <c r="U1098" s="9" cm="1">
        <f t="array" aca="1" ref="U1098" ca="1">z_score_diff(OFFSET(T1098,0,0,$I$5*-1,1),OFFSET(E1098,0,0,$I$5*-1,1))</f>
        <v>-4.8610246754059561E-2</v>
      </c>
      <c r="V1098" s="9">
        <f t="shared" ca="1" si="135"/>
        <v>6.9919361172131378E-2</v>
      </c>
      <c r="W1098" s="17">
        <f t="shared" ca="1" si="140"/>
        <v>3.5518963817805574E-2</v>
      </c>
      <c r="X1098" s="13">
        <f t="shared" ca="1" si="141"/>
        <v>0</v>
      </c>
      <c r="Y1098" s="13">
        <f t="shared" ca="1" si="142"/>
        <v>0</v>
      </c>
      <c r="Z1098">
        <f t="shared" ca="1" si="136"/>
        <v>0</v>
      </c>
      <c r="AA1098">
        <f t="shared" ca="1" si="137"/>
        <v>1</v>
      </c>
      <c r="AB1098" s="24">
        <f t="shared" ca="1" si="138"/>
        <v>0</v>
      </c>
      <c r="AC1098" s="24">
        <f t="shared" ca="1" si="139"/>
        <v>3.5518963817805574E-2</v>
      </c>
    </row>
    <row r="1099" spans="3:29" x14ac:dyDescent="0.25">
      <c r="C1099" s="6">
        <v>1092</v>
      </c>
      <c r="D1099" s="37">
        <v>43559</v>
      </c>
      <c r="E1099" s="39">
        <v>19.521000000000001</v>
      </c>
      <c r="F1099" s="39">
        <v>2.2589346495665543</v>
      </c>
      <c r="G1099" s="39">
        <v>58.008776741634662</v>
      </c>
      <c r="H1099" s="39">
        <v>67.222073408551537</v>
      </c>
      <c r="I1099" s="10">
        <v>0</v>
      </c>
      <c r="J1099" s="40">
        <v>0</v>
      </c>
      <c r="K1099" s="40">
        <v>0</v>
      </c>
      <c r="L1099" s="40">
        <v>1</v>
      </c>
      <c r="M1099" s="40">
        <v>0</v>
      </c>
      <c r="N1099" s="40">
        <v>0</v>
      </c>
      <c r="O1099" s="40">
        <v>0</v>
      </c>
      <c r="P1099" s="40">
        <v>0</v>
      </c>
      <c r="Q1099" s="40">
        <v>0</v>
      </c>
      <c r="R1099" s="40">
        <v>0</v>
      </c>
      <c r="S1099" s="40">
        <v>0</v>
      </c>
      <c r="T1099" s="29">
        <f t="array" aca="1" ref="T1099" ca="1">+fair_value_gap(OFFSET(S1098,0,0,-1*$I$5,-1*$Z$1),OFFSET(E1098,0,0,-1*$I$5,1),F1099:S1099,0)</f>
        <v>19.471794985025795</v>
      </c>
      <c r="U1099" s="9" cm="1">
        <f t="array" aca="1" ref="U1099" ca="1">z_score_diff(OFFSET(T1099,0,0,$I$5*-1,1),OFFSET(E1099,0,0,$I$5*-1,1))</f>
        <v>-2.3026651742488968E-2</v>
      </c>
      <c r="V1099" s="9">
        <f t="shared" ref="V1099:V1162" ca="1" si="143">+IF(ISERROR(AVERAGE(OFFSET(U1099,0,0,$V$5*-1,1))),"",AVERAGE(OFFSET(U1099,0,0,$V$5*-1,1)))</f>
        <v>6.8899513457534825E-2</v>
      </c>
      <c r="W1099" s="17">
        <f t="shared" ca="1" si="140"/>
        <v>-7.686986311334535E-4</v>
      </c>
      <c r="X1099" s="13">
        <f t="shared" ca="1" si="141"/>
        <v>0</v>
      </c>
      <c r="Y1099" s="13">
        <f t="shared" ca="1" si="142"/>
        <v>0</v>
      </c>
      <c r="Z1099">
        <f t="shared" ref="Z1099:Z1162" ca="1" si="144">+IF(V1099="","",IF(V1099&lt;X1099,1,0))</f>
        <v>0</v>
      </c>
      <c r="AA1099">
        <f t="shared" ref="AA1099:AA1162" ca="1" si="145">+IF(V1099="","",IF(V1099&gt;Y1099,1,0))</f>
        <v>1</v>
      </c>
      <c r="AB1099" s="24">
        <f t="shared" ref="AB1099:AB1162" ca="1" si="146">+IF(ISERROR(Z1099*W1099),"",Z1099*W1099)</f>
        <v>0</v>
      </c>
      <c r="AC1099" s="24">
        <f t="shared" ref="AC1099:AC1162" ca="1" si="147">+IF(ISERROR(AA1099*W1099),"",AA1099*W1099)</f>
        <v>-7.686986311334535E-4</v>
      </c>
    </row>
    <row r="1100" spans="3:29" x14ac:dyDescent="0.25">
      <c r="C1100" s="6">
        <v>1093</v>
      </c>
      <c r="D1100" s="37">
        <v>43560</v>
      </c>
      <c r="E1100" s="39">
        <v>20.289000000000001</v>
      </c>
      <c r="F1100" s="39">
        <v>2.2666409507602978</v>
      </c>
      <c r="G1100" s="39">
        <v>60.778595354330896</v>
      </c>
      <c r="H1100" s="39">
        <v>68.784360177439751</v>
      </c>
      <c r="I1100" s="10">
        <v>0</v>
      </c>
      <c r="J1100" s="40">
        <v>0</v>
      </c>
      <c r="K1100" s="40">
        <v>0</v>
      </c>
      <c r="L1100" s="40">
        <v>1</v>
      </c>
      <c r="M1100" s="40">
        <v>0</v>
      </c>
      <c r="N1100" s="40">
        <v>0</v>
      </c>
      <c r="O1100" s="40">
        <v>0</v>
      </c>
      <c r="P1100" s="40">
        <v>0</v>
      </c>
      <c r="Q1100" s="40">
        <v>0</v>
      </c>
      <c r="R1100" s="40">
        <v>0</v>
      </c>
      <c r="S1100" s="40">
        <v>0</v>
      </c>
      <c r="T1100" s="29">
        <f t="array" aca="1" ref="T1100" ca="1">+fair_value_gap(OFFSET(S1099,0,0,-1*$I$5,-1*$Z$1),OFFSET(E1099,0,0,-1*$I$5,1),F1100:S1100,0)</f>
        <v>20.326618478309314</v>
      </c>
      <c r="U1100" s="9" cm="1">
        <f t="array" aca="1" ref="U1100" ca="1">z_score_diff(OFFSET(T1100,0,0,$I$5*-1,1),OFFSET(E1100,0,0,$I$5*-1,1))</f>
        <v>3.2523865073731645E-2</v>
      </c>
      <c r="V1100" s="9">
        <f t="shared" ca="1" si="143"/>
        <v>6.9967806467004331E-2</v>
      </c>
      <c r="W1100" s="17">
        <f t="shared" ca="1" si="140"/>
        <v>-1.674947832323195E-2</v>
      </c>
      <c r="X1100" s="13">
        <f t="shared" ca="1" si="141"/>
        <v>0</v>
      </c>
      <c r="Y1100" s="13">
        <f t="shared" ca="1" si="142"/>
        <v>0</v>
      </c>
      <c r="Z1100">
        <f t="shared" ca="1" si="144"/>
        <v>0</v>
      </c>
      <c r="AA1100">
        <f t="shared" ca="1" si="145"/>
        <v>1</v>
      </c>
      <c r="AB1100" s="24">
        <f t="shared" ca="1" si="146"/>
        <v>0</v>
      </c>
      <c r="AC1100" s="24">
        <f t="shared" ca="1" si="147"/>
        <v>-1.674947832323195E-2</v>
      </c>
    </row>
    <row r="1101" spans="3:29" x14ac:dyDescent="0.25">
      <c r="C1101" s="6">
        <v>1094</v>
      </c>
      <c r="D1101" s="37">
        <v>43563</v>
      </c>
      <c r="E1101" s="39">
        <v>19.742000000000001</v>
      </c>
      <c r="F1101" s="39">
        <v>2.2669706287954554</v>
      </c>
      <c r="G1101" s="39">
        <v>59.827551862496804</v>
      </c>
      <c r="H1101" s="39">
        <v>68.315006954705623</v>
      </c>
      <c r="I1101" s="10">
        <v>0</v>
      </c>
      <c r="J1101" s="40">
        <v>0</v>
      </c>
      <c r="K1101" s="40">
        <v>0</v>
      </c>
      <c r="L1101" s="40">
        <v>1</v>
      </c>
      <c r="M1101" s="40">
        <v>0</v>
      </c>
      <c r="N1101" s="40">
        <v>0</v>
      </c>
      <c r="O1101" s="40">
        <v>0</v>
      </c>
      <c r="P1101" s="40">
        <v>0</v>
      </c>
      <c r="Q1101" s="40">
        <v>0</v>
      </c>
      <c r="R1101" s="40">
        <v>0</v>
      </c>
      <c r="S1101" s="40">
        <v>0</v>
      </c>
      <c r="T1101" s="29">
        <f t="array" aca="1" ref="T1101" ca="1">+fair_value_gap(OFFSET(S1100,0,0,-1*$I$5,-1*$Z$1),OFFSET(E1100,0,0,-1*$I$5,1),F1101:S1101,0)</f>
        <v>20.027676193143304</v>
      </c>
      <c r="U1101" s="9" cm="1">
        <f t="array" aca="1" ref="U1101" ca="1">z_score_diff(OFFSET(T1101,0,0,$I$5*-1,1),OFFSET(E1101,0,0,$I$5*-1,1))</f>
        <v>0.15940982073155874</v>
      </c>
      <c r="V1101" s="9">
        <f t="shared" ca="1" si="143"/>
        <v>7.3890697337935754E-2</v>
      </c>
      <c r="W1101" s="17">
        <f t="shared" ca="1" si="140"/>
        <v>1.0931823432163841E-2</v>
      </c>
      <c r="X1101" s="13">
        <f t="shared" ca="1" si="141"/>
        <v>0</v>
      </c>
      <c r="Y1101" s="13">
        <f t="shared" ca="1" si="142"/>
        <v>0</v>
      </c>
      <c r="Z1101">
        <f t="shared" ca="1" si="144"/>
        <v>0</v>
      </c>
      <c r="AA1101">
        <f t="shared" ca="1" si="145"/>
        <v>1</v>
      </c>
      <c r="AB1101" s="24">
        <f t="shared" ca="1" si="146"/>
        <v>0</v>
      </c>
      <c r="AC1101" s="24">
        <f t="shared" ca="1" si="147"/>
        <v>1.0931823432163841E-2</v>
      </c>
    </row>
    <row r="1102" spans="3:29" x14ac:dyDescent="0.25">
      <c r="C1102" s="6">
        <v>1095</v>
      </c>
      <c r="D1102" s="37">
        <v>43564</v>
      </c>
      <c r="E1102" s="39">
        <v>20.209</v>
      </c>
      <c r="F1102" s="39">
        <v>2.2719545779077279</v>
      </c>
      <c r="G1102" s="39">
        <v>60.302283943324028</v>
      </c>
      <c r="H1102" s="39">
        <v>67.529663754122325</v>
      </c>
      <c r="I1102" s="10">
        <v>0</v>
      </c>
      <c r="J1102" s="40">
        <v>0</v>
      </c>
      <c r="K1102" s="40">
        <v>0</v>
      </c>
      <c r="L1102" s="40">
        <v>1</v>
      </c>
      <c r="M1102" s="40">
        <v>0</v>
      </c>
      <c r="N1102" s="40">
        <v>0</v>
      </c>
      <c r="O1102" s="40">
        <v>0</v>
      </c>
      <c r="P1102" s="40">
        <v>0</v>
      </c>
      <c r="Q1102" s="40">
        <v>0</v>
      </c>
      <c r="R1102" s="40">
        <v>0</v>
      </c>
      <c r="S1102" s="40">
        <v>0</v>
      </c>
      <c r="T1102" s="29">
        <f t="array" aca="1" ref="T1102" ca="1">+fair_value_gap(OFFSET(S1101,0,0,-1*$I$5,-1*$Z$1),OFFSET(E1101,0,0,-1*$I$5,1),F1102:S1102,0)</f>
        <v>20.075954381438983</v>
      </c>
      <c r="U1102" s="9" cm="1">
        <f t="array" aca="1" ref="U1102" ca="1">z_score_diff(OFFSET(T1102,0,0,$I$5*-1,1),OFFSET(E1102,0,0,$I$5*-1,1))</f>
        <v>-6.0889182776649953E-2</v>
      </c>
      <c r="V1102" s="9">
        <f t="shared" ca="1" si="143"/>
        <v>7.389483049807305E-2</v>
      </c>
      <c r="W1102" s="17">
        <f t="shared" ca="1" si="140"/>
        <v>-2.2164759782119313E-2</v>
      </c>
      <c r="X1102" s="13">
        <f t="shared" ca="1" si="141"/>
        <v>0</v>
      </c>
      <c r="Y1102" s="13">
        <f t="shared" ca="1" si="142"/>
        <v>0</v>
      </c>
      <c r="Z1102">
        <f t="shared" ca="1" si="144"/>
        <v>0</v>
      </c>
      <c r="AA1102">
        <f t="shared" ca="1" si="145"/>
        <v>1</v>
      </c>
      <c r="AB1102" s="24">
        <f t="shared" ca="1" si="146"/>
        <v>0</v>
      </c>
      <c r="AC1102" s="24">
        <f t="shared" ca="1" si="147"/>
        <v>-2.2164759782119313E-2</v>
      </c>
    </row>
    <row r="1103" spans="3:29" x14ac:dyDescent="0.25">
      <c r="C1103" s="6">
        <v>1096</v>
      </c>
      <c r="D1103" s="37">
        <v>43565</v>
      </c>
      <c r="E1103" s="39">
        <v>20.126000000000001</v>
      </c>
      <c r="F1103" s="39">
        <v>2.2714955343111356</v>
      </c>
      <c r="G1103" s="39">
        <v>59.49325450979812</v>
      </c>
      <c r="H1103" s="39">
        <v>68.68003513427648</v>
      </c>
      <c r="I1103" s="10">
        <v>0</v>
      </c>
      <c r="J1103" s="40">
        <v>0</v>
      </c>
      <c r="K1103" s="40">
        <v>0</v>
      </c>
      <c r="L1103" s="40">
        <v>1</v>
      </c>
      <c r="M1103" s="40">
        <v>0</v>
      </c>
      <c r="N1103" s="40">
        <v>0</v>
      </c>
      <c r="O1103" s="40">
        <v>0</v>
      </c>
      <c r="P1103" s="40">
        <v>0</v>
      </c>
      <c r="Q1103" s="40">
        <v>0</v>
      </c>
      <c r="R1103" s="40">
        <v>0</v>
      </c>
      <c r="S1103" s="40">
        <v>0</v>
      </c>
      <c r="T1103" s="29">
        <f t="array" aca="1" ref="T1103" ca="1">+fair_value_gap(OFFSET(S1102,0,0,-1*$I$5,-1*$Z$1),OFFSET(E1102,0,0,-1*$I$5,1),F1103:S1103,0)</f>
        <v>19.926308636990974</v>
      </c>
      <c r="U1103" s="9" cm="1">
        <f t="array" aca="1" ref="U1103" ca="1">z_score_diff(OFFSET(T1103,0,0,$I$5*-1,1),OFFSET(E1103,0,0,$I$5*-1,1))</f>
        <v>-9.7824657950164401E-2</v>
      </c>
      <c r="V1103" s="9">
        <f t="shared" ca="1" si="143"/>
        <v>7.2915131533952418E-2</v>
      </c>
      <c r="W1103" s="17">
        <f t="shared" ca="1" si="140"/>
        <v>-2.9702407901643208E-2</v>
      </c>
      <c r="X1103" s="13">
        <f t="shared" ca="1" si="141"/>
        <v>0</v>
      </c>
      <c r="Y1103" s="13">
        <f t="shared" ca="1" si="142"/>
        <v>0</v>
      </c>
      <c r="Z1103">
        <f t="shared" ca="1" si="144"/>
        <v>0</v>
      </c>
      <c r="AA1103">
        <f t="shared" ca="1" si="145"/>
        <v>1</v>
      </c>
      <c r="AB1103" s="24">
        <f t="shared" ca="1" si="146"/>
        <v>0</v>
      </c>
      <c r="AC1103" s="24">
        <f t="shared" ca="1" si="147"/>
        <v>-2.9702407901643208E-2</v>
      </c>
    </row>
    <row r="1104" spans="3:29" x14ac:dyDescent="0.25">
      <c r="C1104" s="6">
        <v>1097</v>
      </c>
      <c r="D1104" s="37">
        <v>43566</v>
      </c>
      <c r="E1104" s="39">
        <v>20.268000000000001</v>
      </c>
      <c r="F1104" s="39">
        <v>2.2702189783504432</v>
      </c>
      <c r="G1104" s="39">
        <v>59.971003031501255</v>
      </c>
      <c r="H1104" s="39">
        <v>68.489190526639774</v>
      </c>
      <c r="I1104" s="10">
        <v>0</v>
      </c>
      <c r="J1104" s="40">
        <v>0</v>
      </c>
      <c r="K1104" s="40">
        <v>0</v>
      </c>
      <c r="L1104" s="40">
        <v>1</v>
      </c>
      <c r="M1104" s="40">
        <v>0</v>
      </c>
      <c r="N1104" s="40">
        <v>0</v>
      </c>
      <c r="O1104" s="40">
        <v>0</v>
      </c>
      <c r="P1104" s="40">
        <v>0</v>
      </c>
      <c r="Q1104" s="40">
        <v>0</v>
      </c>
      <c r="R1104" s="40">
        <v>0</v>
      </c>
      <c r="S1104" s="40">
        <v>0</v>
      </c>
      <c r="T1104" s="29">
        <f t="array" aca="1" ref="T1104" ca="1">+fair_value_gap(OFFSET(S1103,0,0,-1*$I$5,-1*$Z$1),OFFSET(E1103,0,0,-1*$I$5,1),F1104:S1104,0)</f>
        <v>20.059922215050662</v>
      </c>
      <c r="U1104" s="9" cm="1">
        <f t="array" aca="1" ref="U1104" ca="1">z_score_diff(OFFSET(T1104,0,0,$I$5*-1,1),OFFSET(E1104,0,0,$I$5*-1,1))</f>
        <v>-0.10042343164181758</v>
      </c>
      <c r="V1104" s="9">
        <f t="shared" ca="1" si="143"/>
        <v>7.1995174156643513E-2</v>
      </c>
      <c r="W1104" s="17">
        <f t="shared" ca="1" si="140"/>
        <v>-4.1196217549208089E-2</v>
      </c>
      <c r="X1104" s="13">
        <f t="shared" ca="1" si="141"/>
        <v>0</v>
      </c>
      <c r="Y1104" s="13">
        <f t="shared" ca="1" si="142"/>
        <v>0</v>
      </c>
      <c r="Z1104">
        <f t="shared" ca="1" si="144"/>
        <v>0</v>
      </c>
      <c r="AA1104">
        <f t="shared" ca="1" si="145"/>
        <v>1</v>
      </c>
      <c r="AB1104" s="24">
        <f t="shared" ca="1" si="146"/>
        <v>0</v>
      </c>
      <c r="AC1104" s="24">
        <f t="shared" ca="1" si="147"/>
        <v>-4.1196217549208089E-2</v>
      </c>
    </row>
    <row r="1105" spans="3:29" x14ac:dyDescent="0.25">
      <c r="C1105" s="6">
        <v>1098</v>
      </c>
      <c r="D1105" s="37">
        <v>43567</v>
      </c>
      <c r="E1105" s="39">
        <v>20.091000000000001</v>
      </c>
      <c r="F1105" s="39">
        <v>2.2652664227583088</v>
      </c>
      <c r="G1105" s="39">
        <v>59.705588511125192</v>
      </c>
      <c r="H1105" s="39">
        <v>68.482830194748573</v>
      </c>
      <c r="I1105" s="10">
        <v>0</v>
      </c>
      <c r="J1105" s="40">
        <v>0</v>
      </c>
      <c r="K1105" s="40">
        <v>0</v>
      </c>
      <c r="L1105" s="40">
        <v>1</v>
      </c>
      <c r="M1105" s="40">
        <v>0</v>
      </c>
      <c r="N1105" s="40">
        <v>0</v>
      </c>
      <c r="O1105" s="40">
        <v>0</v>
      </c>
      <c r="P1105" s="40">
        <v>0</v>
      </c>
      <c r="Q1105" s="40">
        <v>0</v>
      </c>
      <c r="R1105" s="40">
        <v>0</v>
      </c>
      <c r="S1105" s="40">
        <v>0</v>
      </c>
      <c r="T1105" s="29">
        <f t="array" aca="1" ref="T1105" ca="1">+fair_value_gap(OFFSET(S1104,0,0,-1*$I$5,-1*$Z$1),OFFSET(E1104,0,0,-1*$I$5,1),F1105:S1105,0)</f>
        <v>20.002841176890801</v>
      </c>
      <c r="U1105" s="9" cm="1">
        <f t="array" aca="1" ref="U1105" ca="1">z_score_diff(OFFSET(T1105,0,0,$I$5*-1,1),OFFSET(E1105,0,0,$I$5*-1,1))</f>
        <v>-3.7186799165481427E-2</v>
      </c>
      <c r="V1105" s="9">
        <f t="shared" ca="1" si="143"/>
        <v>7.1918802189743308E-2</v>
      </c>
      <c r="W1105" s="17">
        <f t="shared" ca="1" si="140"/>
        <v>-3.242488353156766E-2</v>
      </c>
      <c r="X1105" s="13">
        <f t="shared" ca="1" si="141"/>
        <v>0</v>
      </c>
      <c r="Y1105" s="13">
        <f t="shared" ca="1" si="142"/>
        <v>0</v>
      </c>
      <c r="Z1105">
        <f t="shared" ca="1" si="144"/>
        <v>0</v>
      </c>
      <c r="AA1105">
        <f t="shared" ca="1" si="145"/>
        <v>1</v>
      </c>
      <c r="AB1105" s="24">
        <f t="shared" ca="1" si="146"/>
        <v>0</v>
      </c>
      <c r="AC1105" s="24">
        <f t="shared" ca="1" si="147"/>
        <v>-3.242488353156766E-2</v>
      </c>
    </row>
    <row r="1106" spans="3:29" x14ac:dyDescent="0.25">
      <c r="C1106" s="6">
        <v>1099</v>
      </c>
      <c r="D1106" s="37">
        <v>43570</v>
      </c>
      <c r="E1106" s="39">
        <v>19.798999999999999</v>
      </c>
      <c r="F1106" s="39">
        <v>2.2495349803959419</v>
      </c>
      <c r="G1106" s="39">
        <v>59.005421506216109</v>
      </c>
      <c r="H1106" s="39">
        <v>67.519915200066379</v>
      </c>
      <c r="I1106" s="10">
        <v>0</v>
      </c>
      <c r="J1106" s="40">
        <v>0</v>
      </c>
      <c r="K1106" s="40">
        <v>0</v>
      </c>
      <c r="L1106" s="40">
        <v>1</v>
      </c>
      <c r="M1106" s="40">
        <v>0</v>
      </c>
      <c r="N1106" s="40">
        <v>0</v>
      </c>
      <c r="O1106" s="40">
        <v>0</v>
      </c>
      <c r="P1106" s="40">
        <v>0</v>
      </c>
      <c r="Q1106" s="40">
        <v>0</v>
      </c>
      <c r="R1106" s="40">
        <v>0</v>
      </c>
      <c r="S1106" s="40">
        <v>0</v>
      </c>
      <c r="T1106" s="29">
        <f t="array" aca="1" ref="T1106" ca="1">+fair_value_gap(OFFSET(S1105,0,0,-1*$I$5,-1*$Z$1),OFFSET(E1105,0,0,-1*$I$5,1),F1106:S1106,0)</f>
        <v>19.756177694202712</v>
      </c>
      <c r="U1106" s="9" cm="1">
        <f t="array" aca="1" ref="U1106" ca="1">z_score_diff(OFFSET(T1106,0,0,$I$5*-1,1),OFFSET(E1106,0,0,$I$5*-1,1))</f>
        <v>-1.5486093560565461E-2</v>
      </c>
      <c r="V1106" s="9">
        <f t="shared" ca="1" si="143"/>
        <v>7.2083469212309667E-2</v>
      </c>
      <c r="W1106" s="17">
        <f t="shared" ca="1" si="140"/>
        <v>-1.6602540655120287E-2</v>
      </c>
      <c r="X1106" s="13">
        <f t="shared" ca="1" si="141"/>
        <v>0</v>
      </c>
      <c r="Y1106" s="13">
        <f t="shared" ca="1" si="142"/>
        <v>0</v>
      </c>
      <c r="Z1106">
        <f t="shared" ca="1" si="144"/>
        <v>0</v>
      </c>
      <c r="AA1106">
        <f t="shared" ca="1" si="145"/>
        <v>1</v>
      </c>
      <c r="AB1106" s="24">
        <f t="shared" ca="1" si="146"/>
        <v>0</v>
      </c>
      <c r="AC1106" s="24">
        <f t="shared" ca="1" si="147"/>
        <v>-1.6602540655120287E-2</v>
      </c>
    </row>
    <row r="1107" spans="3:29" x14ac:dyDescent="0.25">
      <c r="C1107" s="6">
        <v>1100</v>
      </c>
      <c r="D1107" s="37">
        <v>43571</v>
      </c>
      <c r="E1107" s="39">
        <v>19.725000000000001</v>
      </c>
      <c r="F1107" s="39">
        <v>2.2527791056009274</v>
      </c>
      <c r="G1107" s="39">
        <v>58.684727690623369</v>
      </c>
      <c r="H1107" s="39">
        <v>67.379961962104503</v>
      </c>
      <c r="I1107" s="10">
        <v>0</v>
      </c>
      <c r="J1107" s="40">
        <v>0</v>
      </c>
      <c r="K1107" s="40">
        <v>0</v>
      </c>
      <c r="L1107" s="40">
        <v>1</v>
      </c>
      <c r="M1107" s="40">
        <v>0</v>
      </c>
      <c r="N1107" s="40">
        <v>0</v>
      </c>
      <c r="O1107" s="40">
        <v>0</v>
      </c>
      <c r="P1107" s="40">
        <v>0</v>
      </c>
      <c r="Q1107" s="40">
        <v>0</v>
      </c>
      <c r="R1107" s="40">
        <v>0</v>
      </c>
      <c r="S1107" s="40">
        <v>0</v>
      </c>
      <c r="T1107" s="29">
        <f t="array" aca="1" ref="T1107" ca="1">+fair_value_gap(OFFSET(S1106,0,0,-1*$I$5,-1*$Z$1),OFFSET(E1106,0,0,-1*$I$5,1),F1107:S1107,0)</f>
        <v>19.663003445055157</v>
      </c>
      <c r="U1107" s="9" cm="1">
        <f t="array" aca="1" ref="U1107" ca="1">z_score_diff(OFFSET(T1107,0,0,$I$5*-1,1),OFFSET(E1107,0,0,$I$5*-1,1))</f>
        <v>-2.6907834482956694E-2</v>
      </c>
      <c r="V1107" s="9">
        <f t="shared" ca="1" si="143"/>
        <v>7.1930075142957864E-2</v>
      </c>
      <c r="W1107" s="17">
        <f t="shared" ca="1" si="140"/>
        <v>-1.7490473487799956E-2</v>
      </c>
      <c r="X1107" s="13">
        <f t="shared" ca="1" si="141"/>
        <v>0</v>
      </c>
      <c r="Y1107" s="13">
        <f t="shared" ca="1" si="142"/>
        <v>0</v>
      </c>
      <c r="Z1107">
        <f t="shared" ca="1" si="144"/>
        <v>0</v>
      </c>
      <c r="AA1107">
        <f t="shared" ca="1" si="145"/>
        <v>1</v>
      </c>
      <c r="AB1107" s="24">
        <f t="shared" ca="1" si="146"/>
        <v>0</v>
      </c>
      <c r="AC1107" s="24">
        <f t="shared" ca="1" si="147"/>
        <v>-1.7490473487799956E-2</v>
      </c>
    </row>
    <row r="1108" spans="3:29" x14ac:dyDescent="0.25">
      <c r="C1108" s="6">
        <v>1101</v>
      </c>
      <c r="D1108" s="37">
        <v>43572</v>
      </c>
      <c r="E1108" s="39">
        <v>20.082999999999998</v>
      </c>
      <c r="F1108" s="39">
        <v>2.2285033283556932</v>
      </c>
      <c r="G1108" s="39">
        <v>59.286726718845614</v>
      </c>
      <c r="H1108" s="39">
        <v>68.820180702736636</v>
      </c>
      <c r="I1108" s="10">
        <v>0</v>
      </c>
      <c r="J1108" s="40">
        <v>0</v>
      </c>
      <c r="K1108" s="40">
        <v>0</v>
      </c>
      <c r="L1108" s="40">
        <v>1</v>
      </c>
      <c r="M1108" s="40">
        <v>0</v>
      </c>
      <c r="N1108" s="40">
        <v>0</v>
      </c>
      <c r="O1108" s="40">
        <v>0</v>
      </c>
      <c r="P1108" s="40">
        <v>0</v>
      </c>
      <c r="Q1108" s="40">
        <v>0</v>
      </c>
      <c r="R1108" s="40">
        <v>0</v>
      </c>
      <c r="S1108" s="40">
        <v>0</v>
      </c>
      <c r="T1108" s="29">
        <f t="array" aca="1" ref="T1108" ca="1">+fair_value_gap(OFFSET(S1107,0,0,-1*$I$5,-1*$Z$1),OFFSET(E1107,0,0,-1*$I$5,1),F1108:S1108,0)</f>
        <v>19.893128542276862</v>
      </c>
      <c r="U1108" s="9" cm="1">
        <f t="array" aca="1" ref="U1108" ca="1">z_score_diff(OFFSET(T1108,0,0,$I$5*-1,1),OFFSET(E1108,0,0,$I$5*-1,1))</f>
        <v>-9.3051247836568096E-2</v>
      </c>
      <c r="V1108" s="9">
        <f t="shared" ca="1" si="143"/>
        <v>7.0091065459100016E-2</v>
      </c>
      <c r="W1108" s="17">
        <f t="shared" ca="1" si="140"/>
        <v>-1.2274395730738899E-2</v>
      </c>
      <c r="X1108" s="13">
        <f t="shared" ca="1" si="141"/>
        <v>0</v>
      </c>
      <c r="Y1108" s="13">
        <f t="shared" ca="1" si="142"/>
        <v>0</v>
      </c>
      <c r="Z1108">
        <f t="shared" ca="1" si="144"/>
        <v>0</v>
      </c>
      <c r="AA1108">
        <f t="shared" ca="1" si="145"/>
        <v>1</v>
      </c>
      <c r="AB1108" s="24">
        <f t="shared" ca="1" si="146"/>
        <v>0</v>
      </c>
      <c r="AC1108" s="24">
        <f t="shared" ca="1" si="147"/>
        <v>-1.2274395730738899E-2</v>
      </c>
    </row>
    <row r="1109" spans="3:29" x14ac:dyDescent="0.25">
      <c r="C1109" s="6">
        <v>1102</v>
      </c>
      <c r="D1109" s="37">
        <v>43573</v>
      </c>
      <c r="E1109" s="39">
        <v>19.882000000000001</v>
      </c>
      <c r="F1109" s="39">
        <v>2.2221672907544376</v>
      </c>
      <c r="G1109" s="39">
        <v>58.781083859197693</v>
      </c>
      <c r="H1109" s="39">
        <v>67.679356688109834</v>
      </c>
      <c r="I1109" s="10">
        <v>0</v>
      </c>
      <c r="J1109" s="40">
        <v>0</v>
      </c>
      <c r="K1109" s="40">
        <v>0</v>
      </c>
      <c r="L1109" s="40">
        <v>1</v>
      </c>
      <c r="M1109" s="40">
        <v>0</v>
      </c>
      <c r="N1109" s="40">
        <v>0</v>
      </c>
      <c r="O1109" s="40">
        <v>0</v>
      </c>
      <c r="P1109" s="40">
        <v>0</v>
      </c>
      <c r="Q1109" s="40">
        <v>0</v>
      </c>
      <c r="R1109" s="40">
        <v>0</v>
      </c>
      <c r="S1109" s="40">
        <v>0</v>
      </c>
      <c r="T1109" s="29">
        <f t="array" aca="1" ref="T1109" ca="1">+fair_value_gap(OFFSET(S1108,0,0,-1*$I$5,-1*$Z$1),OFFSET(E1108,0,0,-1*$I$5,1),F1109:S1109,0)</f>
        <v>19.699590185067599</v>
      </c>
      <c r="U1109" s="9" cm="1">
        <f t="array" aca="1" ref="U1109" ca="1">z_score_diff(OFFSET(T1109,0,0,$I$5*-1,1),OFFSET(E1109,0,0,$I$5*-1,1))</f>
        <v>-8.9553734874292856E-2</v>
      </c>
      <c r="V1109" s="9">
        <f t="shared" ca="1" si="143"/>
        <v>6.2652608440060695E-2</v>
      </c>
      <c r="W1109" s="17">
        <f t="shared" ca="1" si="140"/>
        <v>7.1167543395196011E-3</v>
      </c>
      <c r="X1109" s="13">
        <f t="shared" ca="1" si="141"/>
        <v>0</v>
      </c>
      <c r="Y1109" s="13">
        <f t="shared" ca="1" si="142"/>
        <v>0</v>
      </c>
      <c r="Z1109">
        <f t="shared" ca="1" si="144"/>
        <v>0</v>
      </c>
      <c r="AA1109">
        <f t="shared" ca="1" si="145"/>
        <v>1</v>
      </c>
      <c r="AB1109" s="24">
        <f t="shared" ca="1" si="146"/>
        <v>0</v>
      </c>
      <c r="AC1109" s="24">
        <f t="shared" ca="1" si="147"/>
        <v>7.1167543395196011E-3</v>
      </c>
    </row>
    <row r="1110" spans="3:29" x14ac:dyDescent="0.25">
      <c r="C1110" s="6">
        <v>1103</v>
      </c>
      <c r="D1110" s="37">
        <v>43578</v>
      </c>
      <c r="E1110" s="39">
        <v>20.158999999999999</v>
      </c>
      <c r="F1110" s="39">
        <v>2.1956189940228006</v>
      </c>
      <c r="G1110" s="39">
        <v>59.560565847953477</v>
      </c>
      <c r="H1110" s="39">
        <v>69.151339967087026</v>
      </c>
      <c r="I1110" s="10">
        <v>0</v>
      </c>
      <c r="J1110" s="40">
        <v>0</v>
      </c>
      <c r="K1110" s="40">
        <v>0</v>
      </c>
      <c r="L1110" s="40">
        <v>1</v>
      </c>
      <c r="M1110" s="40">
        <v>0</v>
      </c>
      <c r="N1110" s="40">
        <v>0</v>
      </c>
      <c r="O1110" s="40">
        <v>0</v>
      </c>
      <c r="P1110" s="40">
        <v>0</v>
      </c>
      <c r="Q1110" s="40">
        <v>0</v>
      </c>
      <c r="R1110" s="40">
        <v>0</v>
      </c>
      <c r="S1110" s="40">
        <v>0</v>
      </c>
      <c r="T1110" s="29">
        <f t="array" aca="1" ref="T1110" ca="1">+fair_value_gap(OFFSET(S1109,0,0,-1*$I$5,-1*$Z$1),OFFSET(E1109,0,0,-1*$I$5,1),F1110:S1110,0)</f>
        <v>20.029064524375599</v>
      </c>
      <c r="U1110" s="9" cm="1">
        <f t="array" aca="1" ref="U1110" ca="1">z_score_diff(OFFSET(T1110,0,0,$I$5*-1,1),OFFSET(E1110,0,0,$I$5*-1,1))</f>
        <v>-5.8486459988693895E-2</v>
      </c>
      <c r="V1110" s="9">
        <f t="shared" ca="1" si="143"/>
        <v>5.495281911443517E-2</v>
      </c>
      <c r="W1110" s="17">
        <f t="shared" ca="1" si="140"/>
        <v>-4.484191934889338E-2</v>
      </c>
      <c r="X1110" s="13">
        <f t="shared" ca="1" si="141"/>
        <v>0</v>
      </c>
      <c r="Y1110" s="13">
        <f t="shared" ca="1" si="142"/>
        <v>0</v>
      </c>
      <c r="Z1110">
        <f t="shared" ca="1" si="144"/>
        <v>0</v>
      </c>
      <c r="AA1110">
        <f t="shared" ca="1" si="145"/>
        <v>1</v>
      </c>
      <c r="AB1110" s="24">
        <f t="shared" ca="1" si="146"/>
        <v>0</v>
      </c>
      <c r="AC1110" s="24">
        <f t="shared" ca="1" si="147"/>
        <v>-4.484191934889338E-2</v>
      </c>
    </row>
    <row r="1111" spans="3:29" x14ac:dyDescent="0.25">
      <c r="C1111" s="6">
        <v>1104</v>
      </c>
      <c r="D1111" s="37">
        <v>43579</v>
      </c>
      <c r="E1111" s="39">
        <v>20.148</v>
      </c>
      <c r="F1111" s="39">
        <v>2.2142204638959293</v>
      </c>
      <c r="G1111" s="39">
        <v>59.737495083275434</v>
      </c>
      <c r="H1111" s="39">
        <v>68.856332378617111</v>
      </c>
      <c r="I1111" s="10">
        <v>0</v>
      </c>
      <c r="J1111" s="40">
        <v>0</v>
      </c>
      <c r="K1111" s="40">
        <v>0</v>
      </c>
      <c r="L1111" s="40">
        <v>1</v>
      </c>
      <c r="M1111" s="40">
        <v>0</v>
      </c>
      <c r="N1111" s="40">
        <v>0</v>
      </c>
      <c r="O1111" s="40">
        <v>0</v>
      </c>
      <c r="P1111" s="40">
        <v>0</v>
      </c>
      <c r="Q1111" s="40">
        <v>0</v>
      </c>
      <c r="R1111" s="40">
        <v>0</v>
      </c>
      <c r="S1111" s="40">
        <v>0</v>
      </c>
      <c r="T1111" s="29">
        <f t="array" aca="1" ref="T1111" ca="1">+fair_value_gap(OFFSET(S1110,0,0,-1*$I$5,-1*$Z$1),OFFSET(E1110,0,0,-1*$I$5,1),F1111:S1111,0)</f>
        <v>20.075422562513957</v>
      </c>
      <c r="U1111" s="9" cm="1">
        <f t="array" aca="1" ref="U1111" ca="1">z_score_diff(OFFSET(T1111,0,0,$I$5*-1,1),OFFSET(E1111,0,0,$I$5*-1,1))</f>
        <v>-2.7507103139850886E-2</v>
      </c>
      <c r="V1111" s="9">
        <f t="shared" ca="1" si="143"/>
        <v>4.868170779257093E-2</v>
      </c>
      <c r="W1111" s="17">
        <f t="shared" ca="1" si="140"/>
        <v>-4.8663608747293807E-2</v>
      </c>
      <c r="X1111" s="13">
        <f t="shared" ca="1" si="141"/>
        <v>0</v>
      </c>
      <c r="Y1111" s="13">
        <f t="shared" ca="1" si="142"/>
        <v>0</v>
      </c>
      <c r="Z1111">
        <f t="shared" ca="1" si="144"/>
        <v>0</v>
      </c>
      <c r="AA1111">
        <f t="shared" ca="1" si="145"/>
        <v>1</v>
      </c>
      <c r="AB1111" s="24">
        <f t="shared" ca="1" si="146"/>
        <v>0</v>
      </c>
      <c r="AC1111" s="24">
        <f t="shared" ca="1" si="147"/>
        <v>-4.8663608747293807E-2</v>
      </c>
    </row>
    <row r="1112" spans="3:29" x14ac:dyDescent="0.25">
      <c r="C1112" s="6">
        <v>1105</v>
      </c>
      <c r="D1112" s="37">
        <v>43580</v>
      </c>
      <c r="E1112" s="39">
        <v>20.344000000000001</v>
      </c>
      <c r="F1112" s="39">
        <v>2.2316051727816433</v>
      </c>
      <c r="G1112" s="39">
        <v>60.397794720129646</v>
      </c>
      <c r="H1112" s="39">
        <v>68.522494993083228</v>
      </c>
      <c r="I1112" s="10">
        <v>0</v>
      </c>
      <c r="J1112" s="40">
        <v>0</v>
      </c>
      <c r="K1112" s="40">
        <v>0</v>
      </c>
      <c r="L1112" s="40">
        <v>1</v>
      </c>
      <c r="M1112" s="40">
        <v>0</v>
      </c>
      <c r="N1112" s="40">
        <v>0</v>
      </c>
      <c r="O1112" s="40">
        <v>0</v>
      </c>
      <c r="P1112" s="40">
        <v>0</v>
      </c>
      <c r="Q1112" s="40">
        <v>0</v>
      </c>
      <c r="R1112" s="40">
        <v>0</v>
      </c>
      <c r="S1112" s="40">
        <v>0</v>
      </c>
      <c r="T1112" s="29">
        <f t="array" aca="1" ref="T1112" ca="1">+fair_value_gap(OFFSET(S1111,0,0,-1*$I$5,-1*$Z$1),OFFSET(E1111,0,0,-1*$I$5,1),F1112:S1112,0)</f>
        <v>20.24932386278055</v>
      </c>
      <c r="U1112" s="9" cm="1">
        <f t="array" aca="1" ref="U1112" ca="1">z_score_diff(OFFSET(T1112,0,0,$I$5*-1,1),OFFSET(E1112,0,0,$I$5*-1,1))</f>
        <v>-3.7882696808722388E-2</v>
      </c>
      <c r="V1112" s="9">
        <f t="shared" ca="1" si="143"/>
        <v>4.0812320847418218E-2</v>
      </c>
      <c r="W1112" s="17">
        <f t="shared" ca="1" si="140"/>
        <v>-4.6637057107501843E-2</v>
      </c>
      <c r="X1112" s="13">
        <f t="shared" ca="1" si="141"/>
        <v>0</v>
      </c>
      <c r="Y1112" s="13">
        <f t="shared" ca="1" si="142"/>
        <v>0</v>
      </c>
      <c r="Z1112">
        <f t="shared" ca="1" si="144"/>
        <v>0</v>
      </c>
      <c r="AA1112">
        <f t="shared" ca="1" si="145"/>
        <v>1</v>
      </c>
      <c r="AB1112" s="24">
        <f t="shared" ca="1" si="146"/>
        <v>0</v>
      </c>
      <c r="AC1112" s="24">
        <f t="shared" ca="1" si="147"/>
        <v>-4.6637057107501843E-2</v>
      </c>
    </row>
    <row r="1113" spans="3:29" x14ac:dyDescent="0.25">
      <c r="C1113" s="6">
        <v>1106</v>
      </c>
      <c r="D1113" s="37">
        <v>43581</v>
      </c>
      <c r="E1113" s="39">
        <v>20.035</v>
      </c>
      <c r="F1113" s="39">
        <v>2.2289984538739054</v>
      </c>
      <c r="G1113" s="39">
        <v>59.878675560461218</v>
      </c>
      <c r="H1113" s="39">
        <v>68.416079711389813</v>
      </c>
      <c r="I1113" s="10">
        <v>0</v>
      </c>
      <c r="J1113" s="40">
        <v>0</v>
      </c>
      <c r="K1113" s="40">
        <v>0</v>
      </c>
      <c r="L1113" s="40">
        <v>1</v>
      </c>
      <c r="M1113" s="40">
        <v>0</v>
      </c>
      <c r="N1113" s="40">
        <v>0</v>
      </c>
      <c r="O1113" s="40">
        <v>0</v>
      </c>
      <c r="P1113" s="40">
        <v>0</v>
      </c>
      <c r="Q1113" s="40">
        <v>0</v>
      </c>
      <c r="R1113" s="40">
        <v>0</v>
      </c>
      <c r="S1113" s="40">
        <v>0</v>
      </c>
      <c r="T1113" s="29">
        <f t="array" aca="1" ref="T1113" ca="1">+fair_value_gap(OFFSET(S1112,0,0,-1*$I$5,-1*$Z$1),OFFSET(E1112,0,0,-1*$I$5,1),F1113:S1113,0)</f>
        <v>20.104569533582108</v>
      </c>
      <c r="U1113" s="9" cm="1">
        <f t="array" aca="1" ref="U1113" ca="1">z_score_diff(OFFSET(T1113,0,0,$I$5*-1,1),OFFSET(E1113,0,0,$I$5*-1,1))</f>
        <v>4.932662150001782E-2</v>
      </c>
      <c r="V1113" s="9">
        <f t="shared" ca="1" si="143"/>
        <v>3.4999751112890623E-2</v>
      </c>
      <c r="W1113" s="17">
        <f t="shared" ca="1" si="140"/>
        <v>-4.2362153419413955E-2</v>
      </c>
      <c r="X1113" s="13">
        <f t="shared" ca="1" si="141"/>
        <v>0</v>
      </c>
      <c r="Y1113" s="13">
        <f t="shared" ca="1" si="142"/>
        <v>0</v>
      </c>
      <c r="Z1113">
        <f t="shared" ca="1" si="144"/>
        <v>0</v>
      </c>
      <c r="AA1113">
        <f t="shared" ca="1" si="145"/>
        <v>1</v>
      </c>
      <c r="AB1113" s="24">
        <f t="shared" ca="1" si="146"/>
        <v>0</v>
      </c>
      <c r="AC1113" s="24">
        <f t="shared" ca="1" si="147"/>
        <v>-4.2362153419413955E-2</v>
      </c>
    </row>
    <row r="1114" spans="3:29" x14ac:dyDescent="0.25">
      <c r="C1114" s="6">
        <v>1107</v>
      </c>
      <c r="D1114" s="37">
        <v>43584</v>
      </c>
      <c r="E1114" s="39">
        <v>19.986000000000001</v>
      </c>
      <c r="F1114" s="39">
        <v>2.2785070256107272</v>
      </c>
      <c r="G1114" s="39">
        <v>59.425444472402248</v>
      </c>
      <c r="H1114" s="39">
        <v>66.959507479428368</v>
      </c>
      <c r="I1114" s="10">
        <v>0</v>
      </c>
      <c r="J1114" s="40">
        <v>0</v>
      </c>
      <c r="K1114" s="40">
        <v>0</v>
      </c>
      <c r="L1114" s="40">
        <v>1</v>
      </c>
      <c r="M1114" s="40">
        <v>0</v>
      </c>
      <c r="N1114" s="40">
        <v>0</v>
      </c>
      <c r="O1114" s="40">
        <v>0</v>
      </c>
      <c r="P1114" s="40">
        <v>0</v>
      </c>
      <c r="Q1114" s="40">
        <v>0</v>
      </c>
      <c r="R1114" s="40">
        <v>0</v>
      </c>
      <c r="S1114" s="40">
        <v>0</v>
      </c>
      <c r="T1114" s="29">
        <f t="array" aca="1" ref="T1114" ca="1">+fair_value_gap(OFFSET(S1113,0,0,-1*$I$5,-1*$Z$1),OFFSET(E1113,0,0,-1*$I$5,1),F1114:S1114,0)</f>
        <v>19.903369233982762</v>
      </c>
      <c r="U1114" s="9" cm="1">
        <f t="array" aca="1" ref="U1114" ca="1">z_score_diff(OFFSET(T1114,0,0,$I$5*-1,1),OFFSET(E1114,0,0,$I$5*-1,1))</f>
        <v>-3.7017314112420874E-2</v>
      </c>
      <c r="V1114" s="9">
        <f t="shared" ca="1" si="143"/>
        <v>2.7525567478258978E-2</v>
      </c>
      <c r="W1114" s="17">
        <f t="shared" ca="1" si="140"/>
        <v>-3.928876310196984E-2</v>
      </c>
      <c r="X1114" s="13">
        <f t="shared" ca="1" si="141"/>
        <v>0</v>
      </c>
      <c r="Y1114" s="13">
        <f t="shared" ca="1" si="142"/>
        <v>0</v>
      </c>
      <c r="Z1114">
        <f t="shared" ca="1" si="144"/>
        <v>0</v>
      </c>
      <c r="AA1114">
        <f t="shared" ca="1" si="145"/>
        <v>1</v>
      </c>
      <c r="AB1114" s="24">
        <f t="shared" ca="1" si="146"/>
        <v>0</v>
      </c>
      <c r="AC1114" s="24">
        <f t="shared" ca="1" si="147"/>
        <v>-3.928876310196984E-2</v>
      </c>
    </row>
    <row r="1115" spans="3:29" x14ac:dyDescent="0.25">
      <c r="C1115" s="6">
        <v>1108</v>
      </c>
      <c r="D1115" s="37">
        <v>43585</v>
      </c>
      <c r="E1115" s="39">
        <v>20.231000000000002</v>
      </c>
      <c r="F1115" s="39">
        <v>2.2819686910139265</v>
      </c>
      <c r="G1115" s="39">
        <v>61.551526493794192</v>
      </c>
      <c r="H1115" s="39">
        <v>67.656572675964711</v>
      </c>
      <c r="I1115" s="10">
        <v>0</v>
      </c>
      <c r="J1115" s="40">
        <v>0</v>
      </c>
      <c r="K1115" s="40">
        <v>0</v>
      </c>
      <c r="L1115" s="40">
        <v>1</v>
      </c>
      <c r="M1115" s="40">
        <v>0</v>
      </c>
      <c r="N1115" s="40">
        <v>0</v>
      </c>
      <c r="O1115" s="40">
        <v>0</v>
      </c>
      <c r="P1115" s="40">
        <v>0</v>
      </c>
      <c r="Q1115" s="40">
        <v>0</v>
      </c>
      <c r="R1115" s="40">
        <v>0</v>
      </c>
      <c r="S1115" s="40">
        <v>0</v>
      </c>
      <c r="T1115" s="29">
        <f t="array" aca="1" ref="T1115" ca="1">+fair_value_gap(OFFSET(S1114,0,0,-1*$I$5,-1*$Z$1),OFFSET(E1114,0,0,-1*$I$5,1),F1115:S1115,0)</f>
        <v>20.540384567840945</v>
      </c>
      <c r="U1115" s="9" cm="1">
        <f t="array" aca="1" ref="U1115" ca="1">z_score_diff(OFFSET(T1115,0,0,$I$5*-1,1),OFFSET(E1115,0,0,$I$5*-1,1))</f>
        <v>0.18471071452406931</v>
      </c>
      <c r="V1115" s="9">
        <f t="shared" ca="1" si="143"/>
        <v>2.7704073088355943E-2</v>
      </c>
      <c r="W1115" s="17">
        <f t="shared" ca="1" si="140"/>
        <v>-5.7999061682754496E-2</v>
      </c>
      <c r="X1115" s="13">
        <f t="shared" ca="1" si="141"/>
        <v>0</v>
      </c>
      <c r="Y1115" s="13">
        <f t="shared" ca="1" si="142"/>
        <v>0</v>
      </c>
      <c r="Z1115">
        <f t="shared" ca="1" si="144"/>
        <v>0</v>
      </c>
      <c r="AA1115">
        <f t="shared" ca="1" si="145"/>
        <v>1</v>
      </c>
      <c r="AB1115" s="24">
        <f t="shared" ca="1" si="146"/>
        <v>0</v>
      </c>
      <c r="AC1115" s="24">
        <f t="shared" ca="1" si="147"/>
        <v>-5.7999061682754496E-2</v>
      </c>
    </row>
    <row r="1116" spans="3:29" x14ac:dyDescent="0.25">
      <c r="C1116" s="6">
        <v>1109</v>
      </c>
      <c r="D1116" s="37">
        <v>43586</v>
      </c>
      <c r="E1116" s="39">
        <v>19.827000000000002</v>
      </c>
      <c r="F1116" s="39">
        <v>2.2901102810387761</v>
      </c>
      <c r="G1116" s="39">
        <v>60.56627638624267</v>
      </c>
      <c r="H1116" s="39">
        <v>67.258093205265041</v>
      </c>
      <c r="I1116" s="10">
        <v>0</v>
      </c>
      <c r="J1116" s="40">
        <v>0</v>
      </c>
      <c r="K1116" s="40">
        <v>0</v>
      </c>
      <c r="L1116" s="40">
        <v>0</v>
      </c>
      <c r="M1116" s="40">
        <v>1</v>
      </c>
      <c r="N1116" s="40">
        <v>0</v>
      </c>
      <c r="O1116" s="40">
        <v>0</v>
      </c>
      <c r="P1116" s="40">
        <v>0</v>
      </c>
      <c r="Q1116" s="40">
        <v>0</v>
      </c>
      <c r="R1116" s="40">
        <v>0</v>
      </c>
      <c r="S1116" s="40">
        <v>0</v>
      </c>
      <c r="T1116" s="29">
        <f t="array" aca="1" ref="T1116" ca="1">+fair_value_gap(OFFSET(S1115,0,0,-1*$I$5,-1*$Z$1),OFFSET(E1115,0,0,-1*$I$5,1),F1116:S1116,0)</f>
        <v>19.898273548021628</v>
      </c>
      <c r="U1116" s="9" cm="1">
        <f t="array" aca="1" ref="U1116" ca="1">z_score_diff(OFFSET(T1116,0,0,$I$5*-1,1),OFFSET(E1116,0,0,$I$5*-1,1))</f>
        <v>4.5637285053023391E-2</v>
      </c>
      <c r="V1116" s="9">
        <f t="shared" ca="1" si="143"/>
        <v>2.1993395548548567E-2</v>
      </c>
      <c r="W1116" s="17">
        <f t="shared" ca="1" si="140"/>
        <v>-4.108051383655574E-2</v>
      </c>
      <c r="X1116" s="13">
        <f t="shared" ca="1" si="141"/>
        <v>0</v>
      </c>
      <c r="Y1116" s="13">
        <f t="shared" ca="1" si="142"/>
        <v>0</v>
      </c>
      <c r="Z1116">
        <f t="shared" ca="1" si="144"/>
        <v>0</v>
      </c>
      <c r="AA1116">
        <f t="shared" ca="1" si="145"/>
        <v>1</v>
      </c>
      <c r="AB1116" s="24">
        <f t="shared" ca="1" si="146"/>
        <v>0</v>
      </c>
      <c r="AC1116" s="24">
        <f t="shared" ca="1" si="147"/>
        <v>-4.108051383655574E-2</v>
      </c>
    </row>
    <row r="1117" spans="3:29" x14ac:dyDescent="0.25">
      <c r="C1117" s="6">
        <v>1110</v>
      </c>
      <c r="D1117" s="37">
        <v>43587</v>
      </c>
      <c r="E1117" s="39">
        <v>19.638000000000002</v>
      </c>
      <c r="F1117" s="39">
        <v>2.2960402295012918</v>
      </c>
      <c r="G1117" s="39">
        <v>59.647531083562541</v>
      </c>
      <c r="H1117" s="39">
        <v>67.117656224049696</v>
      </c>
      <c r="I1117" s="10">
        <v>0</v>
      </c>
      <c r="J1117" s="40">
        <v>0</v>
      </c>
      <c r="K1117" s="40">
        <v>0</v>
      </c>
      <c r="L1117" s="40">
        <v>0</v>
      </c>
      <c r="M1117" s="40">
        <v>1</v>
      </c>
      <c r="N1117" s="40">
        <v>0</v>
      </c>
      <c r="O1117" s="40">
        <v>0</v>
      </c>
      <c r="P1117" s="40">
        <v>0</v>
      </c>
      <c r="Q1117" s="40">
        <v>0</v>
      </c>
      <c r="R1117" s="40">
        <v>0</v>
      </c>
      <c r="S1117" s="40">
        <v>0</v>
      </c>
      <c r="T1117" s="29">
        <f t="array" aca="1" ref="T1117" ca="1">+fair_value_gap(OFFSET(S1116,0,0,-1*$I$5,-1*$Z$1),OFFSET(E1116,0,0,-1*$I$5,1),F1117:S1117,0)</f>
        <v>19.619070389187335</v>
      </c>
      <c r="U1117" s="9" cm="1">
        <f t="array" aca="1" ref="U1117" ca="1">z_score_diff(OFFSET(T1117,0,0,$I$5*-1,1),OFFSET(E1117,0,0,$I$5*-1,1))</f>
        <v>-7.5805173212479815E-3</v>
      </c>
      <c r="V1117" s="9">
        <f t="shared" ca="1" si="143"/>
        <v>1.6917329535667561E-2</v>
      </c>
      <c r="W1117" s="17">
        <f t="shared" ca="1" si="140"/>
        <v>-1.4877409786361857E-2</v>
      </c>
      <c r="X1117" s="13">
        <f t="shared" ca="1" si="141"/>
        <v>0</v>
      </c>
      <c r="Y1117" s="13">
        <f t="shared" ca="1" si="142"/>
        <v>0</v>
      </c>
      <c r="Z1117">
        <f t="shared" ca="1" si="144"/>
        <v>0</v>
      </c>
      <c r="AA1117">
        <f t="shared" ca="1" si="145"/>
        <v>1</v>
      </c>
      <c r="AB1117" s="24">
        <f t="shared" ca="1" si="146"/>
        <v>0</v>
      </c>
      <c r="AC1117" s="24">
        <f t="shared" ca="1" si="147"/>
        <v>-1.4877409786361857E-2</v>
      </c>
    </row>
    <row r="1118" spans="3:29" x14ac:dyDescent="0.25">
      <c r="C1118" s="6">
        <v>1111</v>
      </c>
      <c r="D1118" s="37">
        <v>43588</v>
      </c>
      <c r="E1118" s="39">
        <v>20.158000000000001</v>
      </c>
      <c r="F1118" s="39">
        <v>2.2733330599524315</v>
      </c>
      <c r="G1118" s="39">
        <v>61.535341336768866</v>
      </c>
      <c r="H1118" s="39">
        <v>68.174362339046993</v>
      </c>
      <c r="I1118" s="10">
        <v>0</v>
      </c>
      <c r="J1118" s="40">
        <v>0</v>
      </c>
      <c r="K1118" s="40">
        <v>0</v>
      </c>
      <c r="L1118" s="40">
        <v>0</v>
      </c>
      <c r="M1118" s="40">
        <v>1</v>
      </c>
      <c r="N1118" s="40">
        <v>0</v>
      </c>
      <c r="O1118" s="40">
        <v>0</v>
      </c>
      <c r="P1118" s="40">
        <v>0</v>
      </c>
      <c r="Q1118" s="40">
        <v>0</v>
      </c>
      <c r="R1118" s="40">
        <v>0</v>
      </c>
      <c r="S1118" s="40">
        <v>0</v>
      </c>
      <c r="T1118" s="29">
        <f t="array" aca="1" ref="T1118" ca="1">+fair_value_gap(OFFSET(S1117,0,0,-1*$I$5,-1*$Z$1),OFFSET(E1117,0,0,-1*$I$5,1),F1118:S1118,0)</f>
        <v>20.200715754982756</v>
      </c>
      <c r="U1118" s="9" cm="1">
        <f t="array" aca="1" ref="U1118" ca="1">z_score_diff(OFFSET(T1118,0,0,$I$5*-1,1),OFFSET(E1118,0,0,$I$5*-1,1))</f>
        <v>3.363842620897517E-2</v>
      </c>
      <c r="V1118" s="9">
        <f t="shared" ca="1" si="143"/>
        <v>1.1387674588649303E-2</v>
      </c>
      <c r="W1118" s="17">
        <f t="shared" ca="1" si="140"/>
        <v>-2.4354094638557713E-2</v>
      </c>
      <c r="X1118" s="13">
        <f t="shared" ca="1" si="141"/>
        <v>0</v>
      </c>
      <c r="Y1118" s="13">
        <f t="shared" ca="1" si="142"/>
        <v>0</v>
      </c>
      <c r="Z1118">
        <f t="shared" ca="1" si="144"/>
        <v>0</v>
      </c>
      <c r="AA1118">
        <f t="shared" ca="1" si="145"/>
        <v>1</v>
      </c>
      <c r="AB1118" s="24">
        <f t="shared" ca="1" si="146"/>
        <v>0</v>
      </c>
      <c r="AC1118" s="24">
        <f t="shared" ca="1" si="147"/>
        <v>-2.4354094638557713E-2</v>
      </c>
    </row>
    <row r="1119" spans="3:29" x14ac:dyDescent="0.25">
      <c r="C1119" s="6">
        <v>1112</v>
      </c>
      <c r="D1119" s="37">
        <v>43591</v>
      </c>
      <c r="E1119" s="39">
        <v>20.085000000000001</v>
      </c>
      <c r="F1119" s="39">
        <v>2.2659256092347158</v>
      </c>
      <c r="G1119" s="39">
        <v>61.148352315278153</v>
      </c>
      <c r="H1119" s="39">
        <v>68.106028217186832</v>
      </c>
      <c r="I1119" s="10">
        <v>0</v>
      </c>
      <c r="J1119" s="40">
        <v>0</v>
      </c>
      <c r="K1119" s="40">
        <v>0</v>
      </c>
      <c r="L1119" s="40">
        <v>0</v>
      </c>
      <c r="M1119" s="40">
        <v>1</v>
      </c>
      <c r="N1119" s="40">
        <v>0</v>
      </c>
      <c r="O1119" s="40">
        <v>0</v>
      </c>
      <c r="P1119" s="40">
        <v>0</v>
      </c>
      <c r="Q1119" s="40">
        <v>0</v>
      </c>
      <c r="R1119" s="40">
        <v>0</v>
      </c>
      <c r="S1119" s="40">
        <v>0</v>
      </c>
      <c r="T1119" s="29">
        <f t="array" aca="1" ref="T1119" ca="1">+fair_value_gap(OFFSET(S1118,0,0,-1*$I$5,-1*$Z$1),OFFSET(E1118,0,0,-1*$I$5,1),F1119:S1119,0)</f>
        <v>20.082330978657367</v>
      </c>
      <c r="U1119" s="9" cm="1">
        <f t="array" aca="1" ref="U1119" ca="1">z_score_diff(OFFSET(T1119,0,0,$I$5*-1,1),OFFSET(E1119,0,0,$I$5*-1,1))</f>
        <v>7.4403483629746914E-3</v>
      </c>
      <c r="V1119" s="9">
        <f t="shared" ca="1" si="143"/>
        <v>6.8724170745841284E-3</v>
      </c>
      <c r="W1119" s="17">
        <f t="shared" ca="1" si="140"/>
        <v>-1.0007589151591573E-2</v>
      </c>
      <c r="X1119" s="13">
        <f t="shared" ca="1" si="141"/>
        <v>0</v>
      </c>
      <c r="Y1119" s="13">
        <f t="shared" ca="1" si="142"/>
        <v>0</v>
      </c>
      <c r="Z1119">
        <f t="shared" ca="1" si="144"/>
        <v>0</v>
      </c>
      <c r="AA1119">
        <f t="shared" ca="1" si="145"/>
        <v>1</v>
      </c>
      <c r="AB1119" s="24">
        <f t="shared" ca="1" si="146"/>
        <v>0</v>
      </c>
      <c r="AC1119" s="24">
        <f t="shared" ca="1" si="147"/>
        <v>-1.0007589151591573E-2</v>
      </c>
    </row>
    <row r="1120" spans="3:29" x14ac:dyDescent="0.25">
      <c r="C1120" s="6">
        <v>1113</v>
      </c>
      <c r="D1120" s="37">
        <v>43592</v>
      </c>
      <c r="E1120" s="39">
        <v>20.32</v>
      </c>
      <c r="F1120" s="39">
        <v>2.2792217792303351</v>
      </c>
      <c r="G1120" s="39">
        <v>61.830508164122733</v>
      </c>
      <c r="H1120" s="39">
        <v>68.231207542649855</v>
      </c>
      <c r="I1120" s="10">
        <v>0</v>
      </c>
      <c r="J1120" s="40">
        <v>0</v>
      </c>
      <c r="K1120" s="40">
        <v>0</v>
      </c>
      <c r="L1120" s="40">
        <v>0</v>
      </c>
      <c r="M1120" s="40">
        <v>1</v>
      </c>
      <c r="N1120" s="40">
        <v>0</v>
      </c>
      <c r="O1120" s="40">
        <v>0</v>
      </c>
      <c r="P1120" s="40">
        <v>0</v>
      </c>
      <c r="Q1120" s="40">
        <v>0</v>
      </c>
      <c r="R1120" s="40">
        <v>0</v>
      </c>
      <c r="S1120" s="40">
        <v>0</v>
      </c>
      <c r="T1120" s="29">
        <f t="array" aca="1" ref="T1120" ca="1">+fair_value_gap(OFFSET(S1119,0,0,-1*$I$5,-1*$Z$1),OFFSET(E1119,0,0,-1*$I$5,1),F1120:S1120,0)</f>
        <v>20.281819853344814</v>
      </c>
      <c r="U1120" s="9" cm="1">
        <f t="array" aca="1" ref="U1120" ca="1">z_score_diff(OFFSET(T1120,0,0,$I$5*-1,1),OFFSET(E1120,0,0,$I$5*-1,1))</f>
        <v>-9.4055520027431228E-3</v>
      </c>
      <c r="V1120" s="9">
        <f t="shared" ca="1" si="143"/>
        <v>1.6121170960896889E-3</v>
      </c>
      <c r="W1120" s="17">
        <f t="shared" ca="1" si="140"/>
        <v>-3.2816069886602101E-2</v>
      </c>
      <c r="X1120" s="13">
        <f t="shared" ca="1" si="141"/>
        <v>0</v>
      </c>
      <c r="Y1120" s="13">
        <f t="shared" ca="1" si="142"/>
        <v>0</v>
      </c>
      <c r="Z1120">
        <f t="shared" ca="1" si="144"/>
        <v>0</v>
      </c>
      <c r="AA1120">
        <f t="shared" ca="1" si="145"/>
        <v>1</v>
      </c>
      <c r="AB1120" s="24">
        <f t="shared" ca="1" si="146"/>
        <v>0</v>
      </c>
      <c r="AC1120" s="24">
        <f t="shared" ca="1" si="147"/>
        <v>-3.2816069886602101E-2</v>
      </c>
    </row>
    <row r="1121" spans="3:29" x14ac:dyDescent="0.25">
      <c r="C1121" s="6">
        <v>1114</v>
      </c>
      <c r="D1121" s="37">
        <v>43593</v>
      </c>
      <c r="E1121" s="39">
        <v>20.233000000000001</v>
      </c>
      <c r="F1121" s="39">
        <v>2.2956122502217355</v>
      </c>
      <c r="G1121" s="39">
        <v>61.653769007825112</v>
      </c>
      <c r="H1121" s="39">
        <v>68.594673050589861</v>
      </c>
      <c r="I1121" s="10">
        <v>0</v>
      </c>
      <c r="J1121" s="40">
        <v>0</v>
      </c>
      <c r="K1121" s="40">
        <v>0</v>
      </c>
      <c r="L1121" s="40">
        <v>0</v>
      </c>
      <c r="M1121" s="40">
        <v>1</v>
      </c>
      <c r="N1121" s="40">
        <v>0</v>
      </c>
      <c r="O1121" s="40">
        <v>0</v>
      </c>
      <c r="P1121" s="40">
        <v>0</v>
      </c>
      <c r="Q1121" s="40">
        <v>0</v>
      </c>
      <c r="R1121" s="40">
        <v>0</v>
      </c>
      <c r="S1121" s="40">
        <v>0</v>
      </c>
      <c r="T1121" s="29">
        <f t="array" aca="1" ref="T1121" ca="1">+fair_value_gap(OFFSET(S1120,0,0,-1*$I$5,-1*$Z$1),OFFSET(E1120,0,0,-1*$I$5,1),F1121:S1121,0)</f>
        <v>20.254987403089434</v>
      </c>
      <c r="U1121" s="9" cm="1">
        <f t="array" aca="1" ref="U1121" ca="1">z_score_diff(OFFSET(T1121,0,0,$I$5*-1,1),OFFSET(E1121,0,0,$I$5*-1,1))</f>
        <v>2.3068206639962341E-2</v>
      </c>
      <c r="V1121" s="9">
        <f t="shared" ca="1" si="143"/>
        <v>-3.0661371379346871E-3</v>
      </c>
      <c r="W1121" s="17">
        <f t="shared" ca="1" si="140"/>
        <v>-2.0270289640631992E-2</v>
      </c>
      <c r="X1121" s="13">
        <f t="shared" ca="1" si="141"/>
        <v>0</v>
      </c>
      <c r="Y1121" s="13">
        <f t="shared" ca="1" si="142"/>
        <v>0</v>
      </c>
      <c r="Z1121">
        <f t="shared" ca="1" si="144"/>
        <v>1</v>
      </c>
      <c r="AA1121">
        <f t="shared" ca="1" si="145"/>
        <v>0</v>
      </c>
      <c r="AB1121" s="24">
        <f t="shared" ca="1" si="146"/>
        <v>-2.0270289640631992E-2</v>
      </c>
      <c r="AC1121" s="24">
        <f t="shared" ca="1" si="147"/>
        <v>0</v>
      </c>
    </row>
    <row r="1122" spans="3:29" x14ac:dyDescent="0.25">
      <c r="C1122" s="6">
        <v>1115</v>
      </c>
      <c r="D1122" s="37">
        <v>43594</v>
      </c>
      <c r="E1122" s="39">
        <v>20.042000000000002</v>
      </c>
      <c r="F1122" s="39">
        <v>2.2948590715685149</v>
      </c>
      <c r="G1122" s="39">
        <v>61.110314811402098</v>
      </c>
      <c r="H1122" s="39">
        <v>67.04370566361311</v>
      </c>
      <c r="I1122" s="10">
        <v>0</v>
      </c>
      <c r="J1122" s="40">
        <v>0</v>
      </c>
      <c r="K1122" s="40">
        <v>0</v>
      </c>
      <c r="L1122" s="40">
        <v>0</v>
      </c>
      <c r="M1122" s="40">
        <v>1</v>
      </c>
      <c r="N1122" s="40">
        <v>0</v>
      </c>
      <c r="O1122" s="40">
        <v>0</v>
      </c>
      <c r="P1122" s="40">
        <v>0</v>
      </c>
      <c r="Q1122" s="40">
        <v>0</v>
      </c>
      <c r="R1122" s="40">
        <v>0</v>
      </c>
      <c r="S1122" s="40">
        <v>0</v>
      </c>
      <c r="T1122" s="29">
        <f t="array" aca="1" ref="T1122" ca="1">+fair_value_gap(OFFSET(S1121,0,0,-1*$I$5,-1*$Z$1),OFFSET(E1121,0,0,-1*$I$5,1),F1122:S1122,0)</f>
        <v>20.017651835284145</v>
      </c>
      <c r="U1122" s="9" cm="1">
        <f t="array" aca="1" ref="U1122" ca="1">z_score_diff(OFFSET(T1122,0,0,$I$5*-1,1),OFFSET(E1122,0,0,$I$5*-1,1))</f>
        <v>-5.3743465914934396E-3</v>
      </c>
      <c r="V1122" s="9">
        <f t="shared" ca="1" si="143"/>
        <v>-6.8066118763753921E-3</v>
      </c>
      <c r="W1122" s="17">
        <f t="shared" ca="1" si="140"/>
        <v>-1.7719178985102911E-2</v>
      </c>
      <c r="X1122" s="13">
        <f t="shared" ca="1" si="141"/>
        <v>0</v>
      </c>
      <c r="Y1122" s="13">
        <f t="shared" ca="1" si="142"/>
        <v>0</v>
      </c>
      <c r="Z1122">
        <f t="shared" ca="1" si="144"/>
        <v>1</v>
      </c>
      <c r="AA1122">
        <f t="shared" ca="1" si="145"/>
        <v>0</v>
      </c>
      <c r="AB1122" s="24">
        <f t="shared" ca="1" si="146"/>
        <v>-1.7719178985102911E-2</v>
      </c>
      <c r="AC1122" s="24">
        <f t="shared" ca="1" si="147"/>
        <v>0</v>
      </c>
    </row>
    <row r="1123" spans="3:29" x14ac:dyDescent="0.25">
      <c r="C1123" s="6">
        <v>1116</v>
      </c>
      <c r="D1123" s="37">
        <v>43595</v>
      </c>
      <c r="E1123" s="39">
        <v>19.646999999999998</v>
      </c>
      <c r="F1123" s="39">
        <v>2.2890320907971362</v>
      </c>
      <c r="G1123" s="39">
        <v>59.878541178125616</v>
      </c>
      <c r="H1123" s="39">
        <v>67.204071816249737</v>
      </c>
      <c r="I1123" s="10">
        <v>0</v>
      </c>
      <c r="J1123" s="40">
        <v>0</v>
      </c>
      <c r="K1123" s="40">
        <v>0</v>
      </c>
      <c r="L1123" s="40">
        <v>0</v>
      </c>
      <c r="M1123" s="40">
        <v>1</v>
      </c>
      <c r="N1123" s="40">
        <v>0</v>
      </c>
      <c r="O1123" s="40">
        <v>0</v>
      </c>
      <c r="P1123" s="40">
        <v>0</v>
      </c>
      <c r="Q1123" s="40">
        <v>0</v>
      </c>
      <c r="R1123" s="40">
        <v>0</v>
      </c>
      <c r="S1123" s="40">
        <v>0</v>
      </c>
      <c r="T1123" s="29">
        <f t="array" aca="1" ref="T1123" ca="1">+fair_value_gap(OFFSET(S1122,0,0,-1*$I$5,-1*$Z$1),OFFSET(E1122,0,0,-1*$I$5,1),F1123:S1123,0)</f>
        <v>19.683099928905683</v>
      </c>
      <c r="U1123" s="9" cm="1">
        <f t="array" aca="1" ref="U1123" ca="1">z_score_diff(OFFSET(T1123,0,0,$I$5*-1,1),OFFSET(E1123,0,0,$I$5*-1,1))</f>
        <v>2.3029170722190795E-2</v>
      </c>
      <c r="V1123" s="9">
        <f t="shared" ca="1" si="143"/>
        <v>-5.3335078590462347E-3</v>
      </c>
      <c r="W1123" s="17">
        <f t="shared" ca="1" si="140"/>
        <v>2.5378884146283E-2</v>
      </c>
      <c r="X1123" s="13">
        <f t="shared" ca="1" si="141"/>
        <v>0</v>
      </c>
      <c r="Y1123" s="13">
        <f t="shared" ca="1" si="142"/>
        <v>0</v>
      </c>
      <c r="Z1123">
        <f t="shared" ca="1" si="144"/>
        <v>1</v>
      </c>
      <c r="AA1123">
        <f t="shared" ca="1" si="145"/>
        <v>0</v>
      </c>
      <c r="AB1123" s="24">
        <f t="shared" ca="1" si="146"/>
        <v>2.5378884146283E-2</v>
      </c>
      <c r="AC1123" s="24">
        <f t="shared" ca="1" si="147"/>
        <v>0</v>
      </c>
    </row>
    <row r="1124" spans="3:29" x14ac:dyDescent="0.25">
      <c r="C1124" s="6">
        <v>1117</v>
      </c>
      <c r="D1124" s="37">
        <v>43598</v>
      </c>
      <c r="E1124" s="39">
        <v>19.702999999999999</v>
      </c>
      <c r="F1124" s="39">
        <v>2.297022931760381</v>
      </c>
      <c r="G1124" s="39">
        <v>59.792542626095717</v>
      </c>
      <c r="H1124" s="39">
        <v>66.252057019512293</v>
      </c>
      <c r="I1124" s="10">
        <v>0</v>
      </c>
      <c r="J1124" s="40">
        <v>0</v>
      </c>
      <c r="K1124" s="40">
        <v>0</v>
      </c>
      <c r="L1124" s="40">
        <v>0</v>
      </c>
      <c r="M1124" s="40">
        <v>1</v>
      </c>
      <c r="N1124" s="40">
        <v>0</v>
      </c>
      <c r="O1124" s="40">
        <v>0</v>
      </c>
      <c r="P1124" s="40">
        <v>0</v>
      </c>
      <c r="Q1124" s="40">
        <v>0</v>
      </c>
      <c r="R1124" s="40">
        <v>0</v>
      </c>
      <c r="S1124" s="40">
        <v>0</v>
      </c>
      <c r="T1124" s="29">
        <f t="array" aca="1" ref="T1124" ca="1">+fair_value_gap(OFFSET(S1123,0,0,-1*$I$5,-1*$Z$1),OFFSET(E1123,0,0,-1*$I$5,1),F1124:S1124,0)</f>
        <v>19.603397116260599</v>
      </c>
      <c r="U1124" s="9" cm="1">
        <f t="array" aca="1" ref="U1124" ca="1">z_score_diff(OFFSET(T1124,0,0,$I$5*-1,1),OFFSET(E1124,0,0,$I$5*-1,1))</f>
        <v>-5.2169894591539034E-2</v>
      </c>
      <c r="V1124" s="9">
        <f t="shared" ca="1" si="143"/>
        <v>-8.5348453154692385E-3</v>
      </c>
      <c r="W1124" s="17">
        <f t="shared" ca="1" si="140"/>
        <v>2.2582252271521372E-2</v>
      </c>
      <c r="X1124" s="13">
        <f t="shared" ca="1" si="141"/>
        <v>0</v>
      </c>
      <c r="Y1124" s="13">
        <f t="shared" ca="1" si="142"/>
        <v>0</v>
      </c>
      <c r="Z1124">
        <f t="shared" ca="1" si="144"/>
        <v>1</v>
      </c>
      <c r="AA1124">
        <f t="shared" ca="1" si="145"/>
        <v>0</v>
      </c>
      <c r="AB1124" s="24">
        <f t="shared" ca="1" si="146"/>
        <v>2.2582252271521372E-2</v>
      </c>
      <c r="AC1124" s="24">
        <f t="shared" ca="1" si="147"/>
        <v>0</v>
      </c>
    </row>
    <row r="1125" spans="3:29" x14ac:dyDescent="0.25">
      <c r="C1125" s="6">
        <v>1118</v>
      </c>
      <c r="D1125" s="37">
        <v>43599</v>
      </c>
      <c r="E1125" s="39">
        <v>19.917000000000002</v>
      </c>
      <c r="F1125" s="39">
        <v>2.3124570797190502</v>
      </c>
      <c r="G1125" s="39">
        <v>60.422347014318987</v>
      </c>
      <c r="H1125" s="39">
        <v>67.346891652320707</v>
      </c>
      <c r="I1125" s="10">
        <v>0</v>
      </c>
      <c r="J1125" s="40">
        <v>0</v>
      </c>
      <c r="K1125" s="40">
        <v>0</v>
      </c>
      <c r="L1125" s="40">
        <v>0</v>
      </c>
      <c r="M1125" s="40">
        <v>1</v>
      </c>
      <c r="N1125" s="40">
        <v>0</v>
      </c>
      <c r="O1125" s="40">
        <v>0</v>
      </c>
      <c r="P1125" s="40">
        <v>0</v>
      </c>
      <c r="Q1125" s="40">
        <v>0</v>
      </c>
      <c r="R1125" s="40">
        <v>0</v>
      </c>
      <c r="S1125" s="40">
        <v>0</v>
      </c>
      <c r="T1125" s="29">
        <f t="array" aca="1" ref="T1125" ca="1">+fair_value_gap(OFFSET(S1124,0,0,-1*$I$5,-1*$Z$1),OFFSET(E1124,0,0,-1*$I$5,1),F1125:S1125,0)</f>
        <v>19.841501064290604</v>
      </c>
      <c r="U1125" s="9" cm="1">
        <f t="array" aca="1" ref="U1125" ca="1">z_score_diff(OFFSET(T1125,0,0,$I$5*-1,1),OFFSET(E1125,0,0,$I$5*-1,1))</f>
        <v>-3.579555316148203E-2</v>
      </c>
      <c r="V1125" s="9">
        <f t="shared" ca="1" si="143"/>
        <v>-8.287322044621492E-3</v>
      </c>
      <c r="W1125" s="17">
        <f t="shared" ca="1" si="140"/>
        <v>-6.5484819948291592E-3</v>
      </c>
      <c r="X1125" s="13">
        <f t="shared" ca="1" si="141"/>
        <v>0</v>
      </c>
      <c r="Y1125" s="13">
        <f t="shared" ca="1" si="142"/>
        <v>0</v>
      </c>
      <c r="Z1125">
        <f t="shared" ca="1" si="144"/>
        <v>1</v>
      </c>
      <c r="AA1125">
        <f t="shared" ca="1" si="145"/>
        <v>0</v>
      </c>
      <c r="AB1125" s="24">
        <f t="shared" ca="1" si="146"/>
        <v>-6.5484819948291592E-3</v>
      </c>
      <c r="AC1125" s="24">
        <f t="shared" ca="1" si="147"/>
        <v>0</v>
      </c>
    </row>
    <row r="1126" spans="3:29" x14ac:dyDescent="0.25">
      <c r="C1126" s="6">
        <v>1119</v>
      </c>
      <c r="D1126" s="37">
        <v>43600</v>
      </c>
      <c r="E1126" s="39">
        <v>20.157</v>
      </c>
      <c r="F1126" s="39">
        <v>2.3100954337313304</v>
      </c>
      <c r="G1126" s="39">
        <v>61.026645230945185</v>
      </c>
      <c r="H1126" s="39">
        <v>67.873496811743053</v>
      </c>
      <c r="I1126" s="10">
        <v>0</v>
      </c>
      <c r="J1126" s="40">
        <v>0</v>
      </c>
      <c r="K1126" s="40">
        <v>0</v>
      </c>
      <c r="L1126" s="40">
        <v>0</v>
      </c>
      <c r="M1126" s="40">
        <v>1</v>
      </c>
      <c r="N1126" s="40">
        <v>0</v>
      </c>
      <c r="O1126" s="40">
        <v>0</v>
      </c>
      <c r="P1126" s="40">
        <v>0</v>
      </c>
      <c r="Q1126" s="40">
        <v>0</v>
      </c>
      <c r="R1126" s="40">
        <v>0</v>
      </c>
      <c r="S1126" s="40">
        <v>0</v>
      </c>
      <c r="T1126" s="29">
        <f t="array" aca="1" ref="T1126" ca="1">+fair_value_gap(OFFSET(S1125,0,0,-1*$I$5,-1*$Z$1),OFFSET(E1125,0,0,-1*$I$5,1),F1126:S1126,0)</f>
        <v>20.034915041225766</v>
      </c>
      <c r="U1126" s="9" cm="1">
        <f t="array" aca="1" ref="U1126" ca="1">z_score_diff(OFFSET(T1126,0,0,$I$5*-1,1),OFFSET(E1126,0,0,$I$5*-1,1))</f>
        <v>-5.8502220698331803E-2</v>
      </c>
      <c r="V1126" s="9">
        <f t="shared" ca="1" si="143"/>
        <v>-9.8036203556271379E-3</v>
      </c>
      <c r="W1126" s="17">
        <f t="shared" ca="1" si="140"/>
        <v>-2.5474284290852484E-2</v>
      </c>
      <c r="X1126" s="13">
        <f t="shared" ca="1" si="141"/>
        <v>0</v>
      </c>
      <c r="Y1126" s="13">
        <f t="shared" ca="1" si="142"/>
        <v>0</v>
      </c>
      <c r="Z1126">
        <f t="shared" ca="1" si="144"/>
        <v>1</v>
      </c>
      <c r="AA1126">
        <f t="shared" ca="1" si="145"/>
        <v>0</v>
      </c>
      <c r="AB1126" s="24">
        <f t="shared" ca="1" si="146"/>
        <v>-2.5474284290852484E-2</v>
      </c>
      <c r="AC1126" s="24">
        <f t="shared" ca="1" si="147"/>
        <v>0</v>
      </c>
    </row>
    <row r="1127" spans="3:29" x14ac:dyDescent="0.25">
      <c r="C1127" s="6">
        <v>1120</v>
      </c>
      <c r="D1127" s="37">
        <v>43601</v>
      </c>
      <c r="E1127" s="39">
        <v>19.800999999999998</v>
      </c>
      <c r="F1127" s="39">
        <v>2.3283645553646686</v>
      </c>
      <c r="G1127" s="39">
        <v>60.41289062719197</v>
      </c>
      <c r="H1127" s="39">
        <v>66.438973873623638</v>
      </c>
      <c r="I1127" s="10">
        <v>0</v>
      </c>
      <c r="J1127" s="40">
        <v>0</v>
      </c>
      <c r="K1127" s="40">
        <v>0</v>
      </c>
      <c r="L1127" s="40">
        <v>0</v>
      </c>
      <c r="M1127" s="40">
        <v>1</v>
      </c>
      <c r="N1127" s="40">
        <v>0</v>
      </c>
      <c r="O1127" s="40">
        <v>0</v>
      </c>
      <c r="P1127" s="40">
        <v>0</v>
      </c>
      <c r="Q1127" s="40">
        <v>0</v>
      </c>
      <c r="R1127" s="40">
        <v>0</v>
      </c>
      <c r="S1127" s="40">
        <v>0</v>
      </c>
      <c r="T1127" s="29">
        <f t="array" aca="1" ref="T1127" ca="1">+fair_value_gap(OFFSET(S1126,0,0,-1*$I$5,-1*$Z$1),OFFSET(E1126,0,0,-1*$I$5,1),F1127:S1127,0)</f>
        <v>19.804567745271807</v>
      </c>
      <c r="U1127" s="9" cm="1">
        <f t="array" aca="1" ref="U1127" ca="1">z_score_diff(OFFSET(T1127,0,0,$I$5*-1,1),OFFSET(E1127,0,0,$I$5*-1,1))</f>
        <v>7.3027350024874038E-3</v>
      </c>
      <c r="V1127" s="9">
        <f t="shared" ca="1" si="143"/>
        <v>-8.4208351836963773E-3</v>
      </c>
      <c r="W1127" s="17">
        <f t="shared" ca="1" si="140"/>
        <v>-5.0503775167778735E-5</v>
      </c>
      <c r="X1127" s="13">
        <f t="shared" ca="1" si="141"/>
        <v>0</v>
      </c>
      <c r="Y1127" s="13">
        <f t="shared" ca="1" si="142"/>
        <v>0</v>
      </c>
      <c r="Z1127">
        <f t="shared" ca="1" si="144"/>
        <v>1</v>
      </c>
      <c r="AA1127">
        <f t="shared" ca="1" si="145"/>
        <v>0</v>
      </c>
      <c r="AB1127" s="24">
        <f t="shared" ca="1" si="146"/>
        <v>-5.0503775167778735E-5</v>
      </c>
      <c r="AC1127" s="24">
        <f t="shared" ca="1" si="147"/>
        <v>0</v>
      </c>
    </row>
    <row r="1128" spans="3:29" x14ac:dyDescent="0.25">
      <c r="C1128" s="6">
        <v>1121</v>
      </c>
      <c r="D1128" s="37">
        <v>43602</v>
      </c>
      <c r="E1128" s="39">
        <v>19.673999999999999</v>
      </c>
      <c r="F1128" s="39">
        <v>2.3317252962983646</v>
      </c>
      <c r="G1128" s="39">
        <v>59.544627184038603</v>
      </c>
      <c r="H1128" s="39">
        <v>66.025456529303355</v>
      </c>
      <c r="I1128" s="10">
        <v>0</v>
      </c>
      <c r="J1128" s="40">
        <v>0</v>
      </c>
      <c r="K1128" s="40">
        <v>0</v>
      </c>
      <c r="L1128" s="40">
        <v>0</v>
      </c>
      <c r="M1128" s="40">
        <v>1</v>
      </c>
      <c r="N1128" s="40">
        <v>0</v>
      </c>
      <c r="O1128" s="40">
        <v>0</v>
      </c>
      <c r="P1128" s="40">
        <v>0</v>
      </c>
      <c r="Q1128" s="40">
        <v>0</v>
      </c>
      <c r="R1128" s="40">
        <v>0</v>
      </c>
      <c r="S1128" s="40">
        <v>0</v>
      </c>
      <c r="T1128" s="29">
        <f t="array" aca="1" ref="T1128" ca="1">+fair_value_gap(OFFSET(S1127,0,0,-1*$I$5,-1*$Z$1),OFFSET(E1127,0,0,-1*$I$5,1),F1128:S1128,0)</f>
        <v>19.541888525329203</v>
      </c>
      <c r="U1128" s="9" cm="1">
        <f t="array" aca="1" ref="U1128" ca="1">z_score_diff(OFFSET(T1128,0,0,$I$5*-1,1),OFFSET(E1128,0,0,$I$5*-1,1))</f>
        <v>-6.9749480746477577E-2</v>
      </c>
      <c r="V1128" s="9">
        <f t="shared" ca="1" si="143"/>
        <v>-8.0997087691038645E-3</v>
      </c>
      <c r="W1128" s="17">
        <f t="shared" ca="1" si="140"/>
        <v>2.2515776779292715E-2</v>
      </c>
      <c r="X1128" s="13">
        <f t="shared" ca="1" si="141"/>
        <v>0</v>
      </c>
      <c r="Y1128" s="13">
        <f t="shared" ca="1" si="142"/>
        <v>0</v>
      </c>
      <c r="Z1128">
        <f t="shared" ca="1" si="144"/>
        <v>1</v>
      </c>
      <c r="AA1128">
        <f t="shared" ca="1" si="145"/>
        <v>0</v>
      </c>
      <c r="AB1128" s="24">
        <f t="shared" ca="1" si="146"/>
        <v>2.2515776779292715E-2</v>
      </c>
      <c r="AC1128" s="24">
        <f t="shared" ca="1" si="147"/>
        <v>0</v>
      </c>
    </row>
    <row r="1129" spans="3:29" x14ac:dyDescent="0.25">
      <c r="C1129" s="6">
        <v>1122</v>
      </c>
      <c r="D1129" s="37">
        <v>43605</v>
      </c>
      <c r="E1129" s="39">
        <v>19.643999999999998</v>
      </c>
      <c r="F1129" s="39">
        <v>2.3312483375805471</v>
      </c>
      <c r="G1129" s="39">
        <v>59.554308282569849</v>
      </c>
      <c r="H1129" s="39">
        <v>64.909435678310047</v>
      </c>
      <c r="I1129" s="10">
        <v>0</v>
      </c>
      <c r="J1129" s="40">
        <v>0</v>
      </c>
      <c r="K1129" s="40">
        <v>0</v>
      </c>
      <c r="L1129" s="40">
        <v>0</v>
      </c>
      <c r="M1129" s="40">
        <v>1</v>
      </c>
      <c r="N1129" s="40">
        <v>0</v>
      </c>
      <c r="O1129" s="40">
        <v>0</v>
      </c>
      <c r="P1129" s="40">
        <v>0</v>
      </c>
      <c r="Q1129" s="40">
        <v>0</v>
      </c>
      <c r="R1129" s="40">
        <v>0</v>
      </c>
      <c r="S1129" s="40">
        <v>0</v>
      </c>
      <c r="T1129" s="29">
        <f t="array" aca="1" ref="T1129" ca="1">+fair_value_gap(OFFSET(S1128,0,0,-1*$I$5,-1*$Z$1),OFFSET(E1128,0,0,-1*$I$5,1),F1129:S1129,0)</f>
        <v>19.502312183785893</v>
      </c>
      <c r="U1129" s="9" cm="1">
        <f t="array" aca="1" ref="U1129" ca="1">z_score_diff(OFFSET(T1129,0,0,$I$5*-1,1),OFFSET(E1129,0,0,$I$5*-1,1))</f>
        <v>-7.4535428231208511E-2</v>
      </c>
      <c r="V1129" s="9">
        <f t="shared" ca="1" si="143"/>
        <v>-7.7117294775366123E-3</v>
      </c>
      <c r="W1129" s="17">
        <f t="shared" ca="1" si="140"/>
        <v>3.9477168839242592E-2</v>
      </c>
      <c r="X1129" s="13">
        <f t="shared" ca="1" si="141"/>
        <v>0</v>
      </c>
      <c r="Y1129" s="13">
        <f t="shared" ca="1" si="142"/>
        <v>0</v>
      </c>
      <c r="Z1129">
        <f t="shared" ca="1" si="144"/>
        <v>1</v>
      </c>
      <c r="AA1129">
        <f t="shared" ca="1" si="145"/>
        <v>0</v>
      </c>
      <c r="AB1129" s="24">
        <f t="shared" ca="1" si="146"/>
        <v>3.9477168839242592E-2</v>
      </c>
      <c r="AC1129" s="24">
        <f t="shared" ca="1" si="147"/>
        <v>0</v>
      </c>
    </row>
    <row r="1130" spans="3:29" x14ac:dyDescent="0.25">
      <c r="C1130" s="6">
        <v>1123</v>
      </c>
      <c r="D1130" s="37">
        <v>43606</v>
      </c>
      <c r="E1130" s="39">
        <v>19.707000000000001</v>
      </c>
      <c r="F1130" s="39">
        <v>2.3182890683225548</v>
      </c>
      <c r="G1130" s="39">
        <v>59.29859004104943</v>
      </c>
      <c r="H1130" s="39">
        <v>66.242963563364853</v>
      </c>
      <c r="I1130" s="10">
        <v>0</v>
      </c>
      <c r="J1130" s="40">
        <v>0</v>
      </c>
      <c r="K1130" s="40">
        <v>0</v>
      </c>
      <c r="L1130" s="40">
        <v>0</v>
      </c>
      <c r="M1130" s="40">
        <v>1</v>
      </c>
      <c r="N1130" s="40">
        <v>0</v>
      </c>
      <c r="O1130" s="40">
        <v>0</v>
      </c>
      <c r="P1130" s="40">
        <v>0</v>
      </c>
      <c r="Q1130" s="40">
        <v>0</v>
      </c>
      <c r="R1130" s="40">
        <v>0</v>
      </c>
      <c r="S1130" s="40">
        <v>0</v>
      </c>
      <c r="T1130" s="29">
        <f t="array" aca="1" ref="T1130" ca="1">+fair_value_gap(OFFSET(S1129,0,0,-1*$I$5,-1*$Z$1),OFFSET(E1129,0,0,-1*$I$5,1),F1130:S1130,0)</f>
        <v>19.494137306427284</v>
      </c>
      <c r="U1130" s="9" cm="1">
        <f t="array" aca="1" ref="U1130" ca="1">z_score_diff(OFFSET(T1130,0,0,$I$5*-1,1),OFFSET(E1130,0,0,$I$5*-1,1))</f>
        <v>-0.11235245849835723</v>
      </c>
      <c r="V1130" s="9">
        <f t="shared" ca="1" si="143"/>
        <v>-1.2287596685618409E-2</v>
      </c>
      <c r="W1130" s="17">
        <f t="shared" ca="1" si="140"/>
        <v>3.1910429793111005E-2</v>
      </c>
      <c r="X1130" s="13">
        <f t="shared" ca="1" si="141"/>
        <v>0</v>
      </c>
      <c r="Y1130" s="13">
        <f t="shared" ca="1" si="142"/>
        <v>0</v>
      </c>
      <c r="Z1130">
        <f t="shared" ca="1" si="144"/>
        <v>1</v>
      </c>
      <c r="AA1130">
        <f t="shared" ca="1" si="145"/>
        <v>0</v>
      </c>
      <c r="AB1130" s="24">
        <f t="shared" ca="1" si="146"/>
        <v>3.1910429793111005E-2</v>
      </c>
      <c r="AC1130" s="24">
        <f t="shared" ca="1" si="147"/>
        <v>0</v>
      </c>
    </row>
    <row r="1131" spans="3:29" x14ac:dyDescent="0.25">
      <c r="C1131" s="6">
        <v>1124</v>
      </c>
      <c r="D1131" s="37">
        <v>43607</v>
      </c>
      <c r="E1131" s="39">
        <v>19.841999999999999</v>
      </c>
      <c r="F1131" s="39">
        <v>2.2971344235988038</v>
      </c>
      <c r="G1131" s="39">
        <v>60.167386470799777</v>
      </c>
      <c r="H1131" s="39">
        <v>65.933084147796635</v>
      </c>
      <c r="I1131" s="10">
        <v>0</v>
      </c>
      <c r="J1131" s="40">
        <v>0</v>
      </c>
      <c r="K1131" s="40">
        <v>0</v>
      </c>
      <c r="L1131" s="40">
        <v>0</v>
      </c>
      <c r="M1131" s="40">
        <v>1</v>
      </c>
      <c r="N1131" s="40">
        <v>0</v>
      </c>
      <c r="O1131" s="40">
        <v>0</v>
      </c>
      <c r="P1131" s="40">
        <v>0</v>
      </c>
      <c r="Q1131" s="40">
        <v>0</v>
      </c>
      <c r="R1131" s="40">
        <v>0</v>
      </c>
      <c r="S1131" s="40">
        <v>0</v>
      </c>
      <c r="T1131" s="29">
        <f t="array" aca="1" ref="T1131" ca="1">+fair_value_gap(OFFSET(S1130,0,0,-1*$I$5,-1*$Z$1),OFFSET(E1130,0,0,-1*$I$5,1),F1131:S1131,0)</f>
        <v>19.728069515477983</v>
      </c>
      <c r="U1131" s="9" cm="1">
        <f t="array" aca="1" ref="U1131" ca="1">z_score_diff(OFFSET(T1131,0,0,$I$5*-1,1),OFFSET(E1131,0,0,$I$5*-1,1))</f>
        <v>-5.4806165154546671E-2</v>
      </c>
      <c r="V1131" s="9">
        <f t="shared" ca="1" si="143"/>
        <v>-1.6216076845501425E-2</v>
      </c>
      <c r="W1131" s="17">
        <f t="shared" ca="1" si="140"/>
        <v>4.7344372683115241E-2</v>
      </c>
      <c r="X1131" s="13">
        <f t="shared" ca="1" si="141"/>
        <v>0</v>
      </c>
      <c r="Y1131" s="13">
        <f t="shared" ca="1" si="142"/>
        <v>0</v>
      </c>
      <c r="Z1131">
        <f t="shared" ca="1" si="144"/>
        <v>1</v>
      </c>
      <c r="AA1131">
        <f t="shared" ca="1" si="145"/>
        <v>0</v>
      </c>
      <c r="AB1131" s="24">
        <f t="shared" ca="1" si="146"/>
        <v>4.7344372683115241E-2</v>
      </c>
      <c r="AC1131" s="24">
        <f t="shared" ca="1" si="147"/>
        <v>0</v>
      </c>
    </row>
    <row r="1132" spans="3:29" x14ac:dyDescent="0.25">
      <c r="C1132" s="6">
        <v>1125</v>
      </c>
      <c r="D1132" s="37">
        <v>43608</v>
      </c>
      <c r="E1132" s="39">
        <v>19.765999999999998</v>
      </c>
      <c r="F1132" s="39">
        <v>2.2975705636426191</v>
      </c>
      <c r="G1132" s="39">
        <v>59.576907310863042</v>
      </c>
      <c r="H1132" s="39">
        <v>64.560188541488827</v>
      </c>
      <c r="I1132" s="10">
        <v>0</v>
      </c>
      <c r="J1132" s="40">
        <v>0</v>
      </c>
      <c r="K1132" s="40">
        <v>0</v>
      </c>
      <c r="L1132" s="40">
        <v>0</v>
      </c>
      <c r="M1132" s="40">
        <v>1</v>
      </c>
      <c r="N1132" s="40">
        <v>0</v>
      </c>
      <c r="O1132" s="40">
        <v>0</v>
      </c>
      <c r="P1132" s="40">
        <v>0</v>
      </c>
      <c r="Q1132" s="40">
        <v>0</v>
      </c>
      <c r="R1132" s="40">
        <v>0</v>
      </c>
      <c r="S1132" s="40">
        <v>0</v>
      </c>
      <c r="T1132" s="29">
        <f t="array" aca="1" ref="T1132" ca="1">+fair_value_gap(OFFSET(S1131,0,0,-1*$I$5,-1*$Z$1),OFFSET(E1131,0,0,-1*$I$5,1),F1132:S1132,0)</f>
        <v>19.508670538371149</v>
      </c>
      <c r="U1132" s="9" cm="1">
        <f t="array" aca="1" ref="U1132" ca="1">z_score_diff(OFFSET(T1132,0,0,$I$5*-1,1),OFFSET(E1132,0,0,$I$5*-1,1))</f>
        <v>-0.13344406250030344</v>
      </c>
      <c r="V1132" s="9">
        <f t="shared" ca="1" si="143"/>
        <v>-2.2899484014670651E-2</v>
      </c>
      <c r="W1132" s="17">
        <f t="shared" ca="1" si="140"/>
        <v>7.605747348236086E-2</v>
      </c>
      <c r="X1132" s="13">
        <f t="shared" ca="1" si="141"/>
        <v>0</v>
      </c>
      <c r="Y1132" s="13">
        <f t="shared" ca="1" si="142"/>
        <v>0</v>
      </c>
      <c r="Z1132">
        <f t="shared" ca="1" si="144"/>
        <v>1</v>
      </c>
      <c r="AA1132">
        <f t="shared" ca="1" si="145"/>
        <v>0</v>
      </c>
      <c r="AB1132" s="24">
        <f t="shared" ca="1" si="146"/>
        <v>7.605747348236086E-2</v>
      </c>
      <c r="AC1132" s="24">
        <f t="shared" ca="1" si="147"/>
        <v>0</v>
      </c>
    </row>
    <row r="1133" spans="3:29" x14ac:dyDescent="0.25">
      <c r="C1133" s="6">
        <v>1126</v>
      </c>
      <c r="D1133" s="37">
        <v>43609</v>
      </c>
      <c r="E1133" s="39">
        <v>19.63</v>
      </c>
      <c r="F1133" s="39">
        <v>2.2944894568252279</v>
      </c>
      <c r="G1133" s="39">
        <v>59.432007602311849</v>
      </c>
      <c r="H1133" s="39">
        <v>65.049075866321786</v>
      </c>
      <c r="I1133" s="10">
        <v>0</v>
      </c>
      <c r="J1133" s="40">
        <v>0</v>
      </c>
      <c r="K1133" s="40">
        <v>0</v>
      </c>
      <c r="L1133" s="40">
        <v>0</v>
      </c>
      <c r="M1133" s="40">
        <v>1</v>
      </c>
      <c r="N1133" s="40">
        <v>0</v>
      </c>
      <c r="O1133" s="40">
        <v>0</v>
      </c>
      <c r="P1133" s="40">
        <v>0</v>
      </c>
      <c r="Q1133" s="40">
        <v>0</v>
      </c>
      <c r="R1133" s="40">
        <v>0</v>
      </c>
      <c r="S1133" s="40">
        <v>0</v>
      </c>
      <c r="T1133" s="29">
        <f t="array" aca="1" ref="T1133" ca="1">+fair_value_gap(OFFSET(S1132,0,0,-1*$I$5,-1*$Z$1),OFFSET(E1132,0,0,-1*$I$5,1),F1133:S1133,0)</f>
        <v>19.529017954394725</v>
      </c>
      <c r="U1133" s="9" cm="1">
        <f t="array" aca="1" ref="U1133" ca="1">z_score_diff(OFFSET(T1133,0,0,$I$5*-1,1),OFFSET(E1133,0,0,$I$5*-1,1))</f>
        <v>-4.72906663122033E-2</v>
      </c>
      <c r="V1133" s="9">
        <f t="shared" ca="1" si="143"/>
        <v>-2.2861781716331894E-2</v>
      </c>
      <c r="W1133" s="17">
        <f t="shared" ca="1" si="140"/>
        <v>0.10310632124045059</v>
      </c>
      <c r="X1133" s="13">
        <f t="shared" ca="1" si="141"/>
        <v>0</v>
      </c>
      <c r="Y1133" s="13">
        <f t="shared" ca="1" si="142"/>
        <v>0</v>
      </c>
      <c r="Z1133">
        <f t="shared" ca="1" si="144"/>
        <v>1</v>
      </c>
      <c r="AA1133">
        <f t="shared" ca="1" si="145"/>
        <v>0</v>
      </c>
      <c r="AB1133" s="24">
        <f t="shared" ca="1" si="146"/>
        <v>0.10310632124045059</v>
      </c>
      <c r="AC1133" s="24">
        <f t="shared" ca="1" si="147"/>
        <v>0</v>
      </c>
    </row>
    <row r="1134" spans="3:29" x14ac:dyDescent="0.25">
      <c r="C1134" s="6">
        <v>1127</v>
      </c>
      <c r="D1134" s="37">
        <v>43612</v>
      </c>
      <c r="E1134" s="39">
        <v>19.506</v>
      </c>
      <c r="F1134" s="39">
        <v>2.2976419795227696</v>
      </c>
      <c r="G1134" s="39">
        <v>59.285883166516619</v>
      </c>
      <c r="H1134" s="39">
        <v>65.138450296660835</v>
      </c>
      <c r="I1134" s="10">
        <v>0</v>
      </c>
      <c r="J1134" s="40">
        <v>0</v>
      </c>
      <c r="K1134" s="40">
        <v>0</v>
      </c>
      <c r="L1134" s="40">
        <v>0</v>
      </c>
      <c r="M1134" s="40">
        <v>1</v>
      </c>
      <c r="N1134" s="40">
        <v>0</v>
      </c>
      <c r="O1134" s="40">
        <v>0</v>
      </c>
      <c r="P1134" s="40">
        <v>0</v>
      </c>
      <c r="Q1134" s="40">
        <v>0</v>
      </c>
      <c r="R1134" s="40">
        <v>0</v>
      </c>
      <c r="S1134" s="40">
        <v>0</v>
      </c>
      <c r="T1134" s="29">
        <f t="array" aca="1" ref="T1134" ca="1">+fair_value_gap(OFFSET(S1133,0,0,-1*$I$5,-1*$Z$1),OFFSET(E1133,0,0,-1*$I$5,1),F1134:S1134,0)</f>
        <v>19.499628335495732</v>
      </c>
      <c r="U1134" s="9" cm="1">
        <f t="array" aca="1" ref="U1134" ca="1">z_score_diff(OFFSET(T1134,0,0,$I$5*-1,1),OFFSET(E1134,0,0,$I$5*-1,1))</f>
        <v>3.8669076126018886E-3</v>
      </c>
      <c r="V1134" s="9">
        <f t="shared" ca="1" si="143"/>
        <v>-2.2093394306186447E-2</v>
      </c>
      <c r="W1134" s="17">
        <f t="shared" ca="1" si="140"/>
        <v>9.093834311827402E-2</v>
      </c>
      <c r="X1134" s="13">
        <f t="shared" ca="1" si="141"/>
        <v>0</v>
      </c>
      <c r="Y1134" s="13">
        <f t="shared" ca="1" si="142"/>
        <v>0</v>
      </c>
      <c r="Z1134">
        <f t="shared" ca="1" si="144"/>
        <v>1</v>
      </c>
      <c r="AA1134">
        <f t="shared" ca="1" si="145"/>
        <v>0</v>
      </c>
      <c r="AB1134" s="24">
        <f t="shared" ca="1" si="146"/>
        <v>9.093834311827402E-2</v>
      </c>
      <c r="AC1134" s="24">
        <f t="shared" ca="1" si="147"/>
        <v>0</v>
      </c>
    </row>
    <row r="1135" spans="3:29" x14ac:dyDescent="0.25">
      <c r="C1135" s="6">
        <v>1128</v>
      </c>
      <c r="D1135" s="37">
        <v>43613</v>
      </c>
      <c r="E1135" s="39">
        <v>19.952000000000002</v>
      </c>
      <c r="F1135" s="39">
        <v>2.296821913382403</v>
      </c>
      <c r="G1135" s="39">
        <v>60.322453357638679</v>
      </c>
      <c r="H1135" s="39">
        <v>63.972462196528213</v>
      </c>
      <c r="I1135" s="10">
        <v>0</v>
      </c>
      <c r="J1135" s="40">
        <v>0</v>
      </c>
      <c r="K1135" s="40">
        <v>0</v>
      </c>
      <c r="L1135" s="40">
        <v>0</v>
      </c>
      <c r="M1135" s="40">
        <v>1</v>
      </c>
      <c r="N1135" s="40">
        <v>0</v>
      </c>
      <c r="O1135" s="40">
        <v>0</v>
      </c>
      <c r="P1135" s="40">
        <v>0</v>
      </c>
      <c r="Q1135" s="40">
        <v>0</v>
      </c>
      <c r="R1135" s="40">
        <v>0</v>
      </c>
      <c r="S1135" s="40">
        <v>0</v>
      </c>
      <c r="T1135" s="29">
        <f t="array" aca="1" ref="T1135" ca="1">+fair_value_gap(OFFSET(S1134,0,0,-1*$I$5,-1*$Z$1),OFFSET(E1134,0,0,-1*$I$5,1),F1135:S1135,0)</f>
        <v>19.731995087276513</v>
      </c>
      <c r="U1135" s="9" cm="1">
        <f t="array" aca="1" ref="U1135" ca="1">z_score_diff(OFFSET(T1135,0,0,$I$5*-1,1),OFFSET(E1135,0,0,$I$5*-1,1))</f>
        <v>-0.10924947882123692</v>
      </c>
      <c r="V1135" s="9">
        <f t="shared" ca="1" si="143"/>
        <v>-2.6144061274614119E-2</v>
      </c>
      <c r="W1135" s="17">
        <f t="shared" ca="1" si="140"/>
        <v>3.7432133535705299E-2</v>
      </c>
      <c r="X1135" s="13">
        <f t="shared" ca="1" si="141"/>
        <v>0</v>
      </c>
      <c r="Y1135" s="13">
        <f t="shared" ca="1" si="142"/>
        <v>0</v>
      </c>
      <c r="Z1135">
        <f t="shared" ca="1" si="144"/>
        <v>1</v>
      </c>
      <c r="AA1135">
        <f t="shared" ca="1" si="145"/>
        <v>0</v>
      </c>
      <c r="AB1135" s="24">
        <f t="shared" ca="1" si="146"/>
        <v>3.7432133535705299E-2</v>
      </c>
      <c r="AC1135" s="24">
        <f t="shared" ca="1" si="147"/>
        <v>0</v>
      </c>
    </row>
    <row r="1136" spans="3:29" x14ac:dyDescent="0.25">
      <c r="C1136" s="6">
        <v>1129</v>
      </c>
      <c r="D1136" s="37">
        <v>43614</v>
      </c>
      <c r="E1136" s="39">
        <v>19.959</v>
      </c>
      <c r="F1136" s="39">
        <v>2.3057593953441433</v>
      </c>
      <c r="G1136" s="39">
        <v>60.44020224606605</v>
      </c>
      <c r="H1136" s="39">
        <v>63.358783235326342</v>
      </c>
      <c r="I1136" s="10">
        <v>0</v>
      </c>
      <c r="J1136" s="40">
        <v>0</v>
      </c>
      <c r="K1136" s="40">
        <v>0</v>
      </c>
      <c r="L1136" s="40">
        <v>0</v>
      </c>
      <c r="M1136" s="40">
        <v>1</v>
      </c>
      <c r="N1136" s="40">
        <v>0</v>
      </c>
      <c r="O1136" s="40">
        <v>0</v>
      </c>
      <c r="P1136" s="40">
        <v>0</v>
      </c>
      <c r="Q1136" s="40">
        <v>0</v>
      </c>
      <c r="R1136" s="40">
        <v>0</v>
      </c>
      <c r="S1136" s="40">
        <v>0</v>
      </c>
      <c r="T1136" s="29">
        <f t="array" aca="1" ref="T1136" ca="1">+fair_value_gap(OFFSET(S1135,0,0,-1*$I$5,-1*$Z$1),OFFSET(E1135,0,0,-1*$I$5,1),F1136:S1136,0)</f>
        <v>19.753068625473318</v>
      </c>
      <c r="U1136" s="9" cm="1">
        <f t="array" aca="1" ref="U1136" ca="1">z_score_diff(OFFSET(T1136,0,0,$I$5*-1,1),OFFSET(E1136,0,0,$I$5*-1,1))</f>
        <v>-0.10078858072147817</v>
      </c>
      <c r="V1136" s="9">
        <f t="shared" ca="1" si="143"/>
        <v>-3.3578301316129447E-2</v>
      </c>
      <c r="W1136" s="17">
        <f t="shared" ca="1" si="140"/>
        <v>4.0310816243221276E-2</v>
      </c>
      <c r="X1136" s="13">
        <f t="shared" ca="1" si="141"/>
        <v>0</v>
      </c>
      <c r="Y1136" s="13">
        <f t="shared" ca="1" si="142"/>
        <v>0</v>
      </c>
      <c r="Z1136">
        <f t="shared" ca="1" si="144"/>
        <v>1</v>
      </c>
      <c r="AA1136">
        <f t="shared" ca="1" si="145"/>
        <v>0</v>
      </c>
      <c r="AB1136" s="24">
        <f t="shared" ca="1" si="146"/>
        <v>4.0310816243221276E-2</v>
      </c>
      <c r="AC1136" s="24">
        <f t="shared" ca="1" si="147"/>
        <v>0</v>
      </c>
    </row>
    <row r="1137" spans="3:29" x14ac:dyDescent="0.25">
      <c r="C1137" s="6">
        <v>1130</v>
      </c>
      <c r="D1137" s="37">
        <v>43615</v>
      </c>
      <c r="E1137" s="39">
        <v>19.765999999999998</v>
      </c>
      <c r="F1137" s="39">
        <v>2.4338940233709043</v>
      </c>
      <c r="G1137" s="39">
        <v>59.842862505803254</v>
      </c>
      <c r="H1137" s="39">
        <v>62.723890641284918</v>
      </c>
      <c r="I1137" s="10">
        <v>0</v>
      </c>
      <c r="J1137" s="40">
        <v>0</v>
      </c>
      <c r="K1137" s="40">
        <v>0</v>
      </c>
      <c r="L1137" s="40">
        <v>0</v>
      </c>
      <c r="M1137" s="40">
        <v>1</v>
      </c>
      <c r="N1137" s="40">
        <v>0</v>
      </c>
      <c r="O1137" s="40">
        <v>0</v>
      </c>
      <c r="P1137" s="40">
        <v>0</v>
      </c>
      <c r="Q1137" s="40">
        <v>0</v>
      </c>
      <c r="R1137" s="40">
        <v>0</v>
      </c>
      <c r="S1137" s="40">
        <v>0</v>
      </c>
      <c r="T1137" s="29">
        <f t="array" aca="1" ref="T1137" ca="1">+fair_value_gap(OFFSET(S1136,0,0,-1*$I$5,-1*$Z$1),OFFSET(E1136,0,0,-1*$I$5,1),F1137:S1137,0)</f>
        <v>19.625660334200035</v>
      </c>
      <c r="U1137" s="9" cm="1">
        <f t="array" aca="1" ref="U1137" ca="1">z_score_diff(OFFSET(T1137,0,0,$I$5*-1,1),OFFSET(E1137,0,0,$I$5*-1,1))</f>
        <v>-6.6195592294567895E-2</v>
      </c>
      <c r="V1137" s="9">
        <f t="shared" ca="1" si="143"/>
        <v>-3.372991301664139E-2</v>
      </c>
      <c r="W1137" s="17">
        <f t="shared" ca="1" si="140"/>
        <v>4.1861623907168376E-2</v>
      </c>
      <c r="X1137" s="13">
        <f t="shared" ca="1" si="141"/>
        <v>0</v>
      </c>
      <c r="Y1137" s="13">
        <f t="shared" ca="1" si="142"/>
        <v>0</v>
      </c>
      <c r="Z1137">
        <f t="shared" ca="1" si="144"/>
        <v>1</v>
      </c>
      <c r="AA1137">
        <f t="shared" ca="1" si="145"/>
        <v>0</v>
      </c>
      <c r="AB1137" s="24">
        <f t="shared" ca="1" si="146"/>
        <v>4.1861623907168376E-2</v>
      </c>
      <c r="AC1137" s="24">
        <f t="shared" ca="1" si="147"/>
        <v>0</v>
      </c>
    </row>
    <row r="1138" spans="3:29" x14ac:dyDescent="0.25">
      <c r="C1138" s="6">
        <v>1131</v>
      </c>
      <c r="D1138" s="37">
        <v>43616</v>
      </c>
      <c r="E1138" s="39">
        <v>19.536999999999999</v>
      </c>
      <c r="F1138" s="39">
        <v>2.4185390886579392</v>
      </c>
      <c r="G1138" s="39">
        <v>60.6380290867505</v>
      </c>
      <c r="H1138" s="39">
        <v>61.174305413150584</v>
      </c>
      <c r="I1138" s="10">
        <v>0</v>
      </c>
      <c r="J1138" s="40">
        <v>0</v>
      </c>
      <c r="K1138" s="40">
        <v>0</v>
      </c>
      <c r="L1138" s="40">
        <v>0</v>
      </c>
      <c r="M1138" s="40">
        <v>1</v>
      </c>
      <c r="N1138" s="40">
        <v>0</v>
      </c>
      <c r="O1138" s="40">
        <v>0</v>
      </c>
      <c r="P1138" s="40">
        <v>0</v>
      </c>
      <c r="Q1138" s="40">
        <v>0</v>
      </c>
      <c r="R1138" s="40">
        <v>0</v>
      </c>
      <c r="S1138" s="40">
        <v>0</v>
      </c>
      <c r="T1138" s="29">
        <f t="array" aca="1" ref="T1138" ca="1">+fair_value_gap(OFFSET(S1137,0,0,-1*$I$5,-1*$Z$1),OFFSET(E1137,0,0,-1*$I$5,1),F1138:S1138,0)</f>
        <v>19.787164236450138</v>
      </c>
      <c r="U1138" s="9" cm="1">
        <f t="array" aca="1" ref="U1138" ca="1">z_score_diff(OFFSET(T1138,0,0,$I$5*-1,1),OFFSET(E1138,0,0,$I$5*-1,1))</f>
        <v>0.14790561244466316</v>
      </c>
      <c r="V1138" s="9">
        <f t="shared" ca="1" si="143"/>
        <v>-2.6709048148217753E-2</v>
      </c>
      <c r="W1138" s="17">
        <f t="shared" ca="1" si="140"/>
        <v>6.0717954688189558E-2</v>
      </c>
      <c r="X1138" s="13">
        <f t="shared" ca="1" si="141"/>
        <v>0</v>
      </c>
      <c r="Y1138" s="13">
        <f t="shared" ca="1" si="142"/>
        <v>0</v>
      </c>
      <c r="Z1138">
        <f t="shared" ca="1" si="144"/>
        <v>1</v>
      </c>
      <c r="AA1138">
        <f t="shared" ca="1" si="145"/>
        <v>0</v>
      </c>
      <c r="AB1138" s="24">
        <f t="shared" ca="1" si="146"/>
        <v>6.0717954688189558E-2</v>
      </c>
      <c r="AC1138" s="24">
        <f t="shared" ca="1" si="147"/>
        <v>0</v>
      </c>
    </row>
    <row r="1139" spans="3:29" x14ac:dyDescent="0.25">
      <c r="C1139" s="6">
        <v>1132</v>
      </c>
      <c r="D1139" s="37">
        <v>43619</v>
      </c>
      <c r="E1139" s="39">
        <v>19.45</v>
      </c>
      <c r="F1139" s="39">
        <v>2.3900454777304856</v>
      </c>
      <c r="G1139" s="39">
        <v>60.027007733229013</v>
      </c>
      <c r="H1139" s="39">
        <v>60.736987839743506</v>
      </c>
      <c r="I1139" s="10">
        <v>0</v>
      </c>
      <c r="J1139" s="40">
        <v>0</v>
      </c>
      <c r="K1139" s="40">
        <v>0</v>
      </c>
      <c r="L1139" s="40">
        <v>0</v>
      </c>
      <c r="M1139" s="40">
        <v>0</v>
      </c>
      <c r="N1139" s="40">
        <v>1</v>
      </c>
      <c r="O1139" s="40">
        <v>0</v>
      </c>
      <c r="P1139" s="40">
        <v>0</v>
      </c>
      <c r="Q1139" s="40">
        <v>0</v>
      </c>
      <c r="R1139" s="40">
        <v>0</v>
      </c>
      <c r="S1139" s="40">
        <v>0</v>
      </c>
      <c r="T1139" s="29">
        <f t="array" aca="1" ref="T1139" ca="1">+fair_value_gap(OFFSET(S1138,0,0,-1*$I$5,-1*$Z$1),OFFSET(E1138,0,0,-1*$I$5,1),F1139:S1139,0)</f>
        <v>19.05147009020223</v>
      </c>
      <c r="U1139" s="9" cm="1">
        <f t="array" aca="1" ref="U1139" ca="1">z_score_diff(OFFSET(T1139,0,0,$I$5*-1,1),OFFSET(E1139,0,0,$I$5*-1,1))</f>
        <v>-0.21312222998487962</v>
      </c>
      <c r="V1139" s="9">
        <f t="shared" ca="1" si="143"/>
        <v>-2.9929013815162379E-2</v>
      </c>
      <c r="W1139" s="17">
        <f t="shared" ca="1" si="140"/>
        <v>5.8171896094407996E-2</v>
      </c>
      <c r="X1139" s="13">
        <f t="shared" ca="1" si="141"/>
        <v>0</v>
      </c>
      <c r="Y1139" s="13">
        <f t="shared" ca="1" si="142"/>
        <v>0</v>
      </c>
      <c r="Z1139">
        <f t="shared" ca="1" si="144"/>
        <v>1</v>
      </c>
      <c r="AA1139">
        <f t="shared" ca="1" si="145"/>
        <v>0</v>
      </c>
      <c r="AB1139" s="24">
        <f t="shared" ca="1" si="146"/>
        <v>5.8171896094407996E-2</v>
      </c>
      <c r="AC1139" s="24">
        <f t="shared" ca="1" si="147"/>
        <v>0</v>
      </c>
    </row>
    <row r="1140" spans="3:29" x14ac:dyDescent="0.25">
      <c r="C1140" s="6">
        <v>1133</v>
      </c>
      <c r="D1140" s="37">
        <v>43620</v>
      </c>
      <c r="E1140" s="39">
        <v>19.45</v>
      </c>
      <c r="F1140" s="39">
        <v>2.395308004249574</v>
      </c>
      <c r="G1140" s="39">
        <v>59.978871330829598</v>
      </c>
      <c r="H1140" s="39">
        <v>61.338033775726231</v>
      </c>
      <c r="I1140" s="10">
        <v>0</v>
      </c>
      <c r="J1140" s="40">
        <v>0</v>
      </c>
      <c r="K1140" s="40">
        <v>0</v>
      </c>
      <c r="L1140" s="40">
        <v>0</v>
      </c>
      <c r="M1140" s="40">
        <v>0</v>
      </c>
      <c r="N1140" s="40">
        <v>1</v>
      </c>
      <c r="O1140" s="40">
        <v>0</v>
      </c>
      <c r="P1140" s="40">
        <v>0</v>
      </c>
      <c r="Q1140" s="40">
        <v>0</v>
      </c>
      <c r="R1140" s="40">
        <v>0</v>
      </c>
      <c r="S1140" s="40">
        <v>0</v>
      </c>
      <c r="T1140" s="29">
        <f t="array" aca="1" ref="T1140" ca="1">+fair_value_gap(OFFSET(S1139,0,0,-1*$I$5,-1*$Z$1),OFFSET(E1139,0,0,-1*$I$5,1),F1140:S1140,0)</f>
        <v>19.167174278749624</v>
      </c>
      <c r="U1140" s="9" cm="1">
        <f t="array" aca="1" ref="U1140" ca="1">z_score_diff(OFFSET(T1140,0,0,$I$5*-1,1),OFFSET(E1140,0,0,$I$5*-1,1))</f>
        <v>-0.1476133069140747</v>
      </c>
      <c r="V1140" s="9">
        <f t="shared" ca="1" si="143"/>
        <v>-3.3084056893693613E-2</v>
      </c>
      <c r="W1140" s="17">
        <f t="shared" ca="1" si="140"/>
        <v>6.9410950318033959E-2</v>
      </c>
      <c r="X1140" s="13">
        <f t="shared" ca="1" si="141"/>
        <v>0</v>
      </c>
      <c r="Y1140" s="13">
        <f t="shared" ca="1" si="142"/>
        <v>0</v>
      </c>
      <c r="Z1140">
        <f t="shared" ca="1" si="144"/>
        <v>1</v>
      </c>
      <c r="AA1140">
        <f t="shared" ca="1" si="145"/>
        <v>0</v>
      </c>
      <c r="AB1140" s="24">
        <f t="shared" ca="1" si="146"/>
        <v>6.9410950318033959E-2</v>
      </c>
      <c r="AC1140" s="24">
        <f t="shared" ca="1" si="147"/>
        <v>0</v>
      </c>
    </row>
    <row r="1141" spans="3:29" x14ac:dyDescent="0.25">
      <c r="C1141" s="6">
        <v>1134</v>
      </c>
      <c r="D1141" s="37">
        <v>43621</v>
      </c>
      <c r="E1141" s="39">
        <v>19.472999999999999</v>
      </c>
      <c r="F1141" s="39">
        <v>2.4061634869197586</v>
      </c>
      <c r="G1141" s="39">
        <v>60.108132557167579</v>
      </c>
      <c r="H1141" s="39">
        <v>59.531729510483501</v>
      </c>
      <c r="I1141" s="10">
        <v>0</v>
      </c>
      <c r="J1141" s="40">
        <v>0</v>
      </c>
      <c r="K1141" s="40">
        <v>0</v>
      </c>
      <c r="L1141" s="40">
        <v>0</v>
      </c>
      <c r="M1141" s="40">
        <v>0</v>
      </c>
      <c r="N1141" s="40">
        <v>1</v>
      </c>
      <c r="O1141" s="40">
        <v>0</v>
      </c>
      <c r="P1141" s="40">
        <v>0</v>
      </c>
      <c r="Q1141" s="40">
        <v>0</v>
      </c>
      <c r="R1141" s="40">
        <v>0</v>
      </c>
      <c r="S1141" s="40">
        <v>0</v>
      </c>
      <c r="T1141" s="29">
        <f t="array" aca="1" ref="T1141" ca="1">+fair_value_gap(OFFSET(S1140,0,0,-1*$I$5,-1*$Z$1),OFFSET(E1140,0,0,-1*$I$5,1),F1141:S1141,0)</f>
        <v>19.193747387155074</v>
      </c>
      <c r="U1141" s="9" cm="1">
        <f t="array" aca="1" ref="U1141" ca="1">z_score_diff(OFFSET(T1141,0,0,$I$5*-1,1),OFFSET(E1141,0,0,$I$5*-1,1))</f>
        <v>-0.14470920207765881</v>
      </c>
      <c r="V1141" s="9">
        <f t="shared" ca="1" si="143"/>
        <v>-3.6776145708467704E-2</v>
      </c>
      <c r="W1141" s="17">
        <f t="shared" ca="1" si="140"/>
        <v>6.0766588110250715E-2</v>
      </c>
      <c r="X1141" s="13">
        <f t="shared" ca="1" si="141"/>
        <v>0</v>
      </c>
      <c r="Y1141" s="13">
        <f t="shared" ca="1" si="142"/>
        <v>0</v>
      </c>
      <c r="Z1141">
        <f t="shared" ca="1" si="144"/>
        <v>1</v>
      </c>
      <c r="AA1141">
        <f t="shared" ca="1" si="145"/>
        <v>0</v>
      </c>
      <c r="AB1141" s="24">
        <f t="shared" ca="1" si="146"/>
        <v>6.0766588110250715E-2</v>
      </c>
      <c r="AC1141" s="24">
        <f t="shared" ca="1" si="147"/>
        <v>0</v>
      </c>
    </row>
    <row r="1142" spans="3:29" x14ac:dyDescent="0.25">
      <c r="C1142" s="6">
        <v>1135</v>
      </c>
      <c r="D1142" s="37">
        <v>43622</v>
      </c>
      <c r="E1142" s="39">
        <v>19.382999999999999</v>
      </c>
      <c r="F1142" s="39">
        <v>2.3819365682349245</v>
      </c>
      <c r="G1142" s="39">
        <v>59.81836787467428</v>
      </c>
      <c r="H1142" s="39">
        <v>61.149751984804794</v>
      </c>
      <c r="I1142" s="10">
        <v>0</v>
      </c>
      <c r="J1142" s="40">
        <v>0</v>
      </c>
      <c r="K1142" s="40">
        <v>0</v>
      </c>
      <c r="L1142" s="40">
        <v>0</v>
      </c>
      <c r="M1142" s="40">
        <v>0</v>
      </c>
      <c r="N1142" s="40">
        <v>1</v>
      </c>
      <c r="O1142" s="40">
        <v>0</v>
      </c>
      <c r="P1142" s="40">
        <v>0</v>
      </c>
      <c r="Q1142" s="40">
        <v>0</v>
      </c>
      <c r="R1142" s="40">
        <v>0</v>
      </c>
      <c r="S1142" s="40">
        <v>0</v>
      </c>
      <c r="T1142" s="29">
        <f t="array" aca="1" ref="T1142" ca="1">+fair_value_gap(OFFSET(S1141,0,0,-1*$I$5,-1*$Z$1),OFFSET(E1141,0,0,-1*$I$5,1),F1142:S1142,0)</f>
        <v>19.210046289339232</v>
      </c>
      <c r="U1142" s="9" cm="1">
        <f t="array" aca="1" ref="U1142" ca="1">z_score_diff(OFFSET(T1142,0,0,$I$5*-1,1),OFFSET(E1142,0,0,$I$5*-1,1))</f>
        <v>-8.5998522638647934E-2</v>
      </c>
      <c r="V1142" s="9">
        <f t="shared" ca="1" si="143"/>
        <v>-3.8464451084344604E-2</v>
      </c>
      <c r="W1142" s="17">
        <f t="shared" ca="1" si="140"/>
        <v>7.1565699528919252E-2</v>
      </c>
      <c r="X1142" s="13">
        <f t="shared" ca="1" si="141"/>
        <v>0</v>
      </c>
      <c r="Y1142" s="13">
        <f t="shared" ca="1" si="142"/>
        <v>0</v>
      </c>
      <c r="Z1142">
        <f t="shared" ca="1" si="144"/>
        <v>1</v>
      </c>
      <c r="AA1142">
        <f t="shared" ca="1" si="145"/>
        <v>0</v>
      </c>
      <c r="AB1142" s="24">
        <f t="shared" ca="1" si="146"/>
        <v>7.1565699528919252E-2</v>
      </c>
      <c r="AC1142" s="24">
        <f t="shared" ca="1" si="147"/>
        <v>0</v>
      </c>
    </row>
    <row r="1143" spans="3:29" x14ac:dyDescent="0.25">
      <c r="C1143" s="6">
        <v>1136</v>
      </c>
      <c r="D1143" s="37">
        <v>43623</v>
      </c>
      <c r="E1143" s="39">
        <v>19.838000000000001</v>
      </c>
      <c r="F1143" s="39">
        <v>2.3731527742597924</v>
      </c>
      <c r="G1143" s="39">
        <v>61.16137141723037</v>
      </c>
      <c r="H1143" s="39">
        <v>62.558755080773892</v>
      </c>
      <c r="I1143" s="10">
        <v>0</v>
      </c>
      <c r="J1143" s="40">
        <v>0</v>
      </c>
      <c r="K1143" s="40">
        <v>0</v>
      </c>
      <c r="L1143" s="40">
        <v>0</v>
      </c>
      <c r="M1143" s="40">
        <v>0</v>
      </c>
      <c r="N1143" s="40">
        <v>1</v>
      </c>
      <c r="O1143" s="40">
        <v>0</v>
      </c>
      <c r="P1143" s="40">
        <v>0</v>
      </c>
      <c r="Q1143" s="40">
        <v>0</v>
      </c>
      <c r="R1143" s="40">
        <v>0</v>
      </c>
      <c r="S1143" s="40">
        <v>0</v>
      </c>
      <c r="T1143" s="29">
        <f t="array" aca="1" ref="T1143" ca="1">+fair_value_gap(OFFSET(S1142,0,0,-1*$I$5,-1*$Z$1),OFFSET(E1142,0,0,-1*$I$5,1),F1143:S1143,0)</f>
        <v>19.658743154908059</v>
      </c>
      <c r="U1143" s="9" cm="1">
        <f t="array" aca="1" ref="U1143" ca="1">z_score_diff(OFFSET(T1143,0,0,$I$5*-1,1),OFFSET(E1143,0,0,$I$5*-1,1))</f>
        <v>-8.3549033430038944E-2</v>
      </c>
      <c r="V1143" s="9">
        <f t="shared" ca="1" si="143"/>
        <v>-3.8192959244158053E-2</v>
      </c>
      <c r="W1143" s="17">
        <f t="shared" ca="1" si="140"/>
        <v>4.1906193337110251E-2</v>
      </c>
      <c r="X1143" s="13">
        <f t="shared" ca="1" si="141"/>
        <v>0</v>
      </c>
      <c r="Y1143" s="13">
        <f t="shared" ca="1" si="142"/>
        <v>0</v>
      </c>
      <c r="Z1143">
        <f t="shared" ca="1" si="144"/>
        <v>1</v>
      </c>
      <c r="AA1143">
        <f t="shared" ca="1" si="145"/>
        <v>0</v>
      </c>
      <c r="AB1143" s="24">
        <f t="shared" ca="1" si="146"/>
        <v>4.1906193337110251E-2</v>
      </c>
      <c r="AC1143" s="24">
        <f t="shared" ca="1" si="147"/>
        <v>0</v>
      </c>
    </row>
    <row r="1144" spans="3:29" x14ac:dyDescent="0.25">
      <c r="C1144" s="6">
        <v>1137</v>
      </c>
      <c r="D1144" s="37">
        <v>43626</v>
      </c>
      <c r="E1144" s="39">
        <v>20.024000000000001</v>
      </c>
      <c r="F1144" s="39">
        <v>2.3664954601055821</v>
      </c>
      <c r="G1144" s="39">
        <v>62.033824828713811</v>
      </c>
      <c r="H1144" s="39">
        <v>63.160419810510234</v>
      </c>
      <c r="I1144" s="10">
        <v>0</v>
      </c>
      <c r="J1144" s="40">
        <v>0</v>
      </c>
      <c r="K1144" s="40">
        <v>0</v>
      </c>
      <c r="L1144" s="40">
        <v>0</v>
      </c>
      <c r="M1144" s="40">
        <v>0</v>
      </c>
      <c r="N1144" s="40">
        <v>1</v>
      </c>
      <c r="O1144" s="40">
        <v>0</v>
      </c>
      <c r="P1144" s="40">
        <v>0</v>
      </c>
      <c r="Q1144" s="40">
        <v>0</v>
      </c>
      <c r="R1144" s="40">
        <v>0</v>
      </c>
      <c r="S1144" s="40">
        <v>0</v>
      </c>
      <c r="T1144" s="29">
        <f t="array" aca="1" ref="T1144" ca="1">+fair_value_gap(OFFSET(S1143,0,0,-1*$I$5,-1*$Z$1),OFFSET(E1143,0,0,-1*$I$5,1),F1144:S1144,0)</f>
        <v>19.946395581192888</v>
      </c>
      <c r="U1144" s="9" cm="1">
        <f t="array" aca="1" ref="U1144" ca="1">z_score_diff(OFFSET(T1144,0,0,$I$5*-1,1),OFFSET(E1144,0,0,$I$5*-1,1))</f>
        <v>-2.5118433977855958E-2</v>
      </c>
      <c r="V1144" s="9">
        <f t="shared" ca="1" si="143"/>
        <v>-3.6351950647116993E-2</v>
      </c>
      <c r="W1144" s="17">
        <f t="shared" ca="1" si="140"/>
        <v>2.3200606248053028E-2</v>
      </c>
      <c r="X1144" s="13">
        <f t="shared" ca="1" si="141"/>
        <v>0</v>
      </c>
      <c r="Y1144" s="13">
        <f t="shared" ca="1" si="142"/>
        <v>0</v>
      </c>
      <c r="Z1144">
        <f t="shared" ca="1" si="144"/>
        <v>1</v>
      </c>
      <c r="AA1144">
        <f t="shared" ca="1" si="145"/>
        <v>0</v>
      </c>
      <c r="AB1144" s="24">
        <f t="shared" ca="1" si="146"/>
        <v>2.3200606248053028E-2</v>
      </c>
      <c r="AC1144" s="24">
        <f t="shared" ca="1" si="147"/>
        <v>0</v>
      </c>
    </row>
    <row r="1145" spans="3:29" x14ac:dyDescent="0.25">
      <c r="C1145" s="6">
        <v>1138</v>
      </c>
      <c r="D1145" s="37">
        <v>43627</v>
      </c>
      <c r="E1145" s="39">
        <v>19.274999999999999</v>
      </c>
      <c r="F1145" s="39">
        <v>2.367797947908445</v>
      </c>
      <c r="G1145" s="39">
        <v>59.731828861979288</v>
      </c>
      <c r="H1145" s="39">
        <v>61.637510269378431</v>
      </c>
      <c r="I1145" s="10">
        <v>0</v>
      </c>
      <c r="J1145" s="40">
        <v>0</v>
      </c>
      <c r="K1145" s="40">
        <v>0</v>
      </c>
      <c r="L1145" s="40">
        <v>0</v>
      </c>
      <c r="M1145" s="40">
        <v>0</v>
      </c>
      <c r="N1145" s="40">
        <v>1</v>
      </c>
      <c r="O1145" s="40">
        <v>0</v>
      </c>
      <c r="P1145" s="40">
        <v>0</v>
      </c>
      <c r="Q1145" s="40">
        <v>0</v>
      </c>
      <c r="R1145" s="40">
        <v>0</v>
      </c>
      <c r="S1145" s="40">
        <v>0</v>
      </c>
      <c r="T1145" s="29">
        <f t="array" aca="1" ref="T1145" ca="1">+fair_value_gap(OFFSET(S1144,0,0,-1*$I$5,-1*$Z$1),OFFSET(E1144,0,0,-1*$I$5,1),F1145:S1145,0)</f>
        <v>19.256540096938654</v>
      </c>
      <c r="U1145" s="9" cm="1">
        <f t="array" aca="1" ref="U1145" ca="1">z_score_diff(OFFSET(T1145,0,0,$I$5*-1,1),OFFSET(E1145,0,0,$I$5*-1,1))</f>
        <v>-1.1951715348961223E-3</v>
      </c>
      <c r="V1145" s="9">
        <f t="shared" ca="1" si="143"/>
        <v>-3.4715056691294204E-2</v>
      </c>
      <c r="W1145" s="17">
        <f t="shared" ca="1" si="140"/>
        <v>5.9516202757232475E-2</v>
      </c>
      <c r="X1145" s="13">
        <f t="shared" ca="1" si="141"/>
        <v>0</v>
      </c>
      <c r="Y1145" s="13">
        <f t="shared" ca="1" si="142"/>
        <v>0</v>
      </c>
      <c r="Z1145">
        <f t="shared" ca="1" si="144"/>
        <v>1</v>
      </c>
      <c r="AA1145">
        <f t="shared" ca="1" si="145"/>
        <v>0</v>
      </c>
      <c r="AB1145" s="24">
        <f t="shared" ca="1" si="146"/>
        <v>5.9516202757232475E-2</v>
      </c>
      <c r="AC1145" s="24">
        <f t="shared" ca="1" si="147"/>
        <v>0</v>
      </c>
    </row>
    <row r="1146" spans="3:29" x14ac:dyDescent="0.25">
      <c r="C1146" s="6">
        <v>1139</v>
      </c>
      <c r="D1146" s="37">
        <v>43628</v>
      </c>
      <c r="E1146" s="39">
        <v>19.190999999999999</v>
      </c>
      <c r="F1146" s="39">
        <v>2.3749261034577183</v>
      </c>
      <c r="G1146" s="39">
        <v>59.756762863078542</v>
      </c>
      <c r="H1146" s="39">
        <v>60.140908869888342</v>
      </c>
      <c r="I1146" s="10">
        <v>0</v>
      </c>
      <c r="J1146" s="40">
        <v>0</v>
      </c>
      <c r="K1146" s="40">
        <v>0</v>
      </c>
      <c r="L1146" s="40">
        <v>0</v>
      </c>
      <c r="M1146" s="40">
        <v>0</v>
      </c>
      <c r="N1146" s="40">
        <v>1</v>
      </c>
      <c r="O1146" s="40">
        <v>0</v>
      </c>
      <c r="P1146" s="40">
        <v>0</v>
      </c>
      <c r="Q1146" s="40">
        <v>0</v>
      </c>
      <c r="R1146" s="40">
        <v>0</v>
      </c>
      <c r="S1146" s="40">
        <v>0</v>
      </c>
      <c r="T1146" s="29">
        <f t="array" aca="1" ref="T1146" ca="1">+fair_value_gap(OFFSET(S1145,0,0,-1*$I$5,-1*$Z$1),OFFSET(E1145,0,0,-1*$I$5,1),F1146:S1146,0)</f>
        <v>19.215494039444764</v>
      </c>
      <c r="U1146" s="9" cm="1">
        <f t="array" aca="1" ref="U1146" ca="1">z_score_diff(OFFSET(T1146,0,0,$I$5*-1,1),OFFSET(E1146,0,0,$I$5*-1,1))</f>
        <v>2.1290252480546612E-2</v>
      </c>
      <c r="V1146" s="9">
        <f t="shared" ca="1" si="143"/>
        <v>-3.332084653071142E-2</v>
      </c>
      <c r="W1146" s="17">
        <f t="shared" ca="1" si="140"/>
        <v>5.5341677640540321E-2</v>
      </c>
      <c r="X1146" s="13">
        <f t="shared" ca="1" si="141"/>
        <v>0</v>
      </c>
      <c r="Y1146" s="13">
        <f t="shared" ca="1" si="142"/>
        <v>0</v>
      </c>
      <c r="Z1146">
        <f t="shared" ca="1" si="144"/>
        <v>1</v>
      </c>
      <c r="AA1146">
        <f t="shared" ca="1" si="145"/>
        <v>0</v>
      </c>
      <c r="AB1146" s="24">
        <f t="shared" ca="1" si="146"/>
        <v>5.5341677640540321E-2</v>
      </c>
      <c r="AC1146" s="24">
        <f t="shared" ca="1" si="147"/>
        <v>0</v>
      </c>
    </row>
    <row r="1147" spans="3:29" x14ac:dyDescent="0.25">
      <c r="C1147" s="6">
        <v>1140</v>
      </c>
      <c r="D1147" s="37">
        <v>43629</v>
      </c>
      <c r="E1147" s="39">
        <v>19.417000000000002</v>
      </c>
      <c r="F1147" s="39">
        <v>2.3782269224855201</v>
      </c>
      <c r="G1147" s="39">
        <v>60.024366654255687</v>
      </c>
      <c r="H1147" s="39">
        <v>61.164169414498296</v>
      </c>
      <c r="I1147" s="10">
        <v>0</v>
      </c>
      <c r="J1147" s="40">
        <v>0</v>
      </c>
      <c r="K1147" s="40">
        <v>0</v>
      </c>
      <c r="L1147" s="40">
        <v>0</v>
      </c>
      <c r="M1147" s="40">
        <v>0</v>
      </c>
      <c r="N1147" s="40">
        <v>1</v>
      </c>
      <c r="O1147" s="40">
        <v>0</v>
      </c>
      <c r="P1147" s="40">
        <v>0</v>
      </c>
      <c r="Q1147" s="40">
        <v>0</v>
      </c>
      <c r="R1147" s="40">
        <v>0</v>
      </c>
      <c r="S1147" s="40">
        <v>0</v>
      </c>
      <c r="T1147" s="29">
        <f t="array" aca="1" ref="T1147" ca="1">+fair_value_gap(OFFSET(S1146,0,0,-1*$I$5,-1*$Z$1),OFFSET(E1146,0,0,-1*$I$5,1),F1147:S1147,0)</f>
        <v>19.332009422808152</v>
      </c>
      <c r="U1147" s="9" cm="1">
        <f t="array" aca="1" ref="U1147" ca="1">z_score_diff(OFFSET(T1147,0,0,$I$5*-1,1),OFFSET(E1147,0,0,$I$5*-1,1))</f>
        <v>-3.6905333600351087E-2</v>
      </c>
      <c r="V1147" s="9">
        <f t="shared" ca="1" si="143"/>
        <v>-3.3292921867615094E-2</v>
      </c>
      <c r="W1147" s="17">
        <f t="shared" ca="1" si="140"/>
        <v>5.2860279446167523E-2</v>
      </c>
      <c r="X1147" s="13">
        <f t="shared" ca="1" si="141"/>
        <v>0</v>
      </c>
      <c r="Y1147" s="13">
        <f t="shared" ca="1" si="142"/>
        <v>0</v>
      </c>
      <c r="Z1147">
        <f t="shared" ca="1" si="144"/>
        <v>1</v>
      </c>
      <c r="AA1147">
        <f t="shared" ca="1" si="145"/>
        <v>0</v>
      </c>
      <c r="AB1147" s="24">
        <f t="shared" ca="1" si="146"/>
        <v>5.2860279446167523E-2</v>
      </c>
      <c r="AC1147" s="24">
        <f t="shared" ca="1" si="147"/>
        <v>0</v>
      </c>
    </row>
    <row r="1148" spans="3:29" x14ac:dyDescent="0.25">
      <c r="C1148" s="6">
        <v>1141</v>
      </c>
      <c r="D1148" s="37">
        <v>43630</v>
      </c>
      <c r="E1148" s="39">
        <v>19.204000000000001</v>
      </c>
      <c r="F1148" s="39">
        <v>2.4022319950820448</v>
      </c>
      <c r="G1148" s="39">
        <v>59.16436258688492</v>
      </c>
      <c r="H1148" s="39">
        <v>60.485691071589777</v>
      </c>
      <c r="I1148" s="10">
        <v>0</v>
      </c>
      <c r="J1148" s="40">
        <v>0</v>
      </c>
      <c r="K1148" s="40">
        <v>0</v>
      </c>
      <c r="L1148" s="40">
        <v>0</v>
      </c>
      <c r="M1148" s="40">
        <v>0</v>
      </c>
      <c r="N1148" s="40">
        <v>1</v>
      </c>
      <c r="O1148" s="40">
        <v>0</v>
      </c>
      <c r="P1148" s="40">
        <v>0</v>
      </c>
      <c r="Q1148" s="40">
        <v>0</v>
      </c>
      <c r="R1148" s="40">
        <v>0</v>
      </c>
      <c r="S1148" s="40">
        <v>0</v>
      </c>
      <c r="T1148" s="29">
        <f t="array" aca="1" ref="T1148" ca="1">+fair_value_gap(OFFSET(S1147,0,0,-1*$I$5,-1*$Z$1),OFFSET(E1147,0,0,-1*$I$5,1),F1148:S1148,0)</f>
        <v>19.08939765999019</v>
      </c>
      <c r="U1148" s="9" cm="1">
        <f t="array" aca="1" ref="U1148" ca="1">z_score_diff(OFFSET(T1148,0,0,$I$5*-1,1),OFFSET(E1148,0,0,$I$5*-1,1))</f>
        <v>-5.5826854062676401E-2</v>
      </c>
      <c r="V1148" s="9">
        <f t="shared" ca="1" si="143"/>
        <v>-3.6297306883692072E-2</v>
      </c>
      <c r="W1148" s="17">
        <f t="shared" ca="1" si="140"/>
        <v>3.7258059071934621E-2</v>
      </c>
      <c r="X1148" s="13">
        <f t="shared" ca="1" si="141"/>
        <v>0</v>
      </c>
      <c r="Y1148" s="13">
        <f t="shared" ca="1" si="142"/>
        <v>0</v>
      </c>
      <c r="Z1148">
        <f t="shared" ca="1" si="144"/>
        <v>1</v>
      </c>
      <c r="AA1148">
        <f t="shared" ca="1" si="145"/>
        <v>0</v>
      </c>
      <c r="AB1148" s="24">
        <f t="shared" ca="1" si="146"/>
        <v>3.7258059071934621E-2</v>
      </c>
      <c r="AC1148" s="24">
        <f t="shared" ca="1" si="147"/>
        <v>0</v>
      </c>
    </row>
    <row r="1149" spans="3:29" x14ac:dyDescent="0.25">
      <c r="C1149" s="6">
        <v>1142</v>
      </c>
      <c r="D1149" s="37">
        <v>43633</v>
      </c>
      <c r="E1149" s="39">
        <v>19.216000000000001</v>
      </c>
      <c r="F1149" s="39">
        <v>2.3953812312311022</v>
      </c>
      <c r="G1149" s="39">
        <v>59.030662450347144</v>
      </c>
      <c r="H1149" s="39">
        <v>62.051616989612569</v>
      </c>
      <c r="I1149" s="10">
        <v>0</v>
      </c>
      <c r="J1149" s="40">
        <v>0</v>
      </c>
      <c r="K1149" s="40">
        <v>0</v>
      </c>
      <c r="L1149" s="40">
        <v>0</v>
      </c>
      <c r="M1149" s="40">
        <v>0</v>
      </c>
      <c r="N1149" s="40">
        <v>1</v>
      </c>
      <c r="O1149" s="40">
        <v>0</v>
      </c>
      <c r="P1149" s="40">
        <v>0</v>
      </c>
      <c r="Q1149" s="40">
        <v>0</v>
      </c>
      <c r="R1149" s="40">
        <v>0</v>
      </c>
      <c r="S1149" s="40">
        <v>0</v>
      </c>
      <c r="T1149" s="29">
        <f t="array" aca="1" ref="T1149" ca="1">+fair_value_gap(OFFSET(S1148,0,0,-1*$I$5,-1*$Z$1),OFFSET(E1148,0,0,-1*$I$5,1),F1149:S1149,0)</f>
        <v>19.115349755358679</v>
      </c>
      <c r="U1149" s="9" cm="1">
        <f t="array" aca="1" ref="U1149" ca="1">z_score_diff(OFFSET(T1149,0,0,$I$5*-1,1),OFFSET(E1149,0,0,$I$5*-1,1))</f>
        <v>-4.805786318412264E-2</v>
      </c>
      <c r="V1149" s="9">
        <f t="shared" ca="1" si="143"/>
        <v>-3.6612751142883551E-2</v>
      </c>
      <c r="W1149" s="17">
        <f t="shared" ca="1" si="140"/>
        <v>2.4926130539317568E-2</v>
      </c>
      <c r="X1149" s="13">
        <f t="shared" ca="1" si="141"/>
        <v>0</v>
      </c>
      <c r="Y1149" s="13">
        <f t="shared" ca="1" si="142"/>
        <v>0</v>
      </c>
      <c r="Z1149">
        <f t="shared" ca="1" si="144"/>
        <v>1</v>
      </c>
      <c r="AA1149">
        <f t="shared" ca="1" si="145"/>
        <v>0</v>
      </c>
      <c r="AB1149" s="24">
        <f t="shared" ca="1" si="146"/>
        <v>2.4926130539317568E-2</v>
      </c>
      <c r="AC1149" s="24">
        <f t="shared" ca="1" si="147"/>
        <v>0</v>
      </c>
    </row>
    <row r="1150" spans="3:29" x14ac:dyDescent="0.25">
      <c r="C1150" s="6">
        <v>1143</v>
      </c>
      <c r="D1150" s="37">
        <v>43634</v>
      </c>
      <c r="E1150" s="39">
        <v>19.091000000000001</v>
      </c>
      <c r="F1150" s="39">
        <v>2.387855459963022</v>
      </c>
      <c r="G1150" s="39">
        <v>58.468929384565349</v>
      </c>
      <c r="H1150" s="39">
        <v>62.403997981754998</v>
      </c>
      <c r="I1150" s="10">
        <v>0</v>
      </c>
      <c r="J1150" s="40">
        <v>0</v>
      </c>
      <c r="K1150" s="40">
        <v>0</v>
      </c>
      <c r="L1150" s="40">
        <v>0</v>
      </c>
      <c r="M1150" s="40">
        <v>0</v>
      </c>
      <c r="N1150" s="40">
        <v>1</v>
      </c>
      <c r="O1150" s="40">
        <v>0</v>
      </c>
      <c r="P1150" s="40">
        <v>0</v>
      </c>
      <c r="Q1150" s="40">
        <v>0</v>
      </c>
      <c r="R1150" s="40">
        <v>0</v>
      </c>
      <c r="S1150" s="40">
        <v>0</v>
      </c>
      <c r="T1150" s="29">
        <f t="array" aca="1" ref="T1150" ca="1">+fair_value_gap(OFFSET(S1149,0,0,-1*$I$5,-1*$Z$1),OFFSET(E1149,0,0,-1*$I$5,1),F1150:S1150,0)</f>
        <v>18.972634485515357</v>
      </c>
      <c r="U1150" s="9" cm="1">
        <f t="array" aca="1" ref="U1150" ca="1">z_score_diff(OFFSET(T1150,0,0,$I$5*-1,1),OFFSET(E1150,0,0,$I$5*-1,1))</f>
        <v>-5.8884865480126058E-2</v>
      </c>
      <c r="V1150" s="9">
        <f t="shared" ca="1" si="143"/>
        <v>-4.357262485728914E-2</v>
      </c>
      <c r="W1150" s="17">
        <f t="shared" ca="1" si="140"/>
        <v>3.109700101308804E-2</v>
      </c>
      <c r="X1150" s="13">
        <f t="shared" ca="1" si="141"/>
        <v>0</v>
      </c>
      <c r="Y1150" s="13">
        <f t="shared" ca="1" si="142"/>
        <v>0</v>
      </c>
      <c r="Z1150">
        <f t="shared" ca="1" si="144"/>
        <v>1</v>
      </c>
      <c r="AA1150">
        <f t="shared" ca="1" si="145"/>
        <v>0</v>
      </c>
      <c r="AB1150" s="24">
        <f t="shared" ca="1" si="146"/>
        <v>3.109700101308804E-2</v>
      </c>
      <c r="AC1150" s="24">
        <f t="shared" ca="1" si="147"/>
        <v>0</v>
      </c>
    </row>
    <row r="1151" spans="3:29" x14ac:dyDescent="0.25">
      <c r="C1151" s="6">
        <v>1144</v>
      </c>
      <c r="D1151" s="37">
        <v>43635</v>
      </c>
      <c r="E1151" s="39">
        <v>19.029</v>
      </c>
      <c r="F1151" s="39">
        <v>2.3627448707745113</v>
      </c>
      <c r="G1151" s="39">
        <v>58.218913702784675</v>
      </c>
      <c r="H1151" s="39">
        <v>61.815999526077341</v>
      </c>
      <c r="I1151" s="10">
        <v>0</v>
      </c>
      <c r="J1151" s="40">
        <v>0</v>
      </c>
      <c r="K1151" s="40">
        <v>0</v>
      </c>
      <c r="L1151" s="40">
        <v>0</v>
      </c>
      <c r="M1151" s="40">
        <v>0</v>
      </c>
      <c r="N1151" s="40">
        <v>1</v>
      </c>
      <c r="O1151" s="40">
        <v>0</v>
      </c>
      <c r="P1151" s="40">
        <v>0</v>
      </c>
      <c r="Q1151" s="40">
        <v>0</v>
      </c>
      <c r="R1151" s="40">
        <v>0</v>
      </c>
      <c r="S1151" s="40">
        <v>0</v>
      </c>
      <c r="T1151" s="29">
        <f t="array" aca="1" ref="T1151" ca="1">+fair_value_gap(OFFSET(S1150,0,0,-1*$I$5,-1*$Z$1),OFFSET(E1150,0,0,-1*$I$5,1),F1151:S1151,0)</f>
        <v>18.879518127120665</v>
      </c>
      <c r="U1151" s="9" cm="1">
        <f t="array" aca="1" ref="U1151" ca="1">z_score_diff(OFFSET(T1151,0,0,$I$5*-1,1),OFFSET(E1151,0,0,$I$5*-1,1))</f>
        <v>-7.6101577747749505E-2</v>
      </c>
      <c r="V1151" s="9">
        <f t="shared" ca="1" si="143"/>
        <v>-4.7050878080168355E-2</v>
      </c>
      <c r="W1151" s="17">
        <f t="shared" ca="1" si="140"/>
        <v>1.9102727923236199E-2</v>
      </c>
      <c r="X1151" s="13">
        <f t="shared" ca="1" si="141"/>
        <v>0</v>
      </c>
      <c r="Y1151" s="13">
        <f t="shared" ca="1" si="142"/>
        <v>0</v>
      </c>
      <c r="Z1151">
        <f t="shared" ca="1" si="144"/>
        <v>1</v>
      </c>
      <c r="AA1151">
        <f t="shared" ca="1" si="145"/>
        <v>0</v>
      </c>
      <c r="AB1151" s="24">
        <f t="shared" ca="1" si="146"/>
        <v>1.9102727923236199E-2</v>
      </c>
      <c r="AC1151" s="24">
        <f t="shared" ca="1" si="147"/>
        <v>0</v>
      </c>
    </row>
    <row r="1152" spans="3:29" x14ac:dyDescent="0.25">
      <c r="C1152" s="6">
        <v>1145</v>
      </c>
      <c r="D1152" s="37">
        <v>43636</v>
      </c>
      <c r="E1152" s="39">
        <v>19.347999999999999</v>
      </c>
      <c r="F1152" s="39">
        <v>2.3124269894728213</v>
      </c>
      <c r="G1152" s="39">
        <v>59.312961866616391</v>
      </c>
      <c r="H1152" s="39">
        <v>63.873537227683535</v>
      </c>
      <c r="I1152" s="10">
        <v>0</v>
      </c>
      <c r="J1152" s="40">
        <v>0</v>
      </c>
      <c r="K1152" s="40">
        <v>0</v>
      </c>
      <c r="L1152" s="40">
        <v>0</v>
      </c>
      <c r="M1152" s="40">
        <v>0</v>
      </c>
      <c r="N1152" s="40">
        <v>1</v>
      </c>
      <c r="O1152" s="40">
        <v>0</v>
      </c>
      <c r="P1152" s="40">
        <v>0</v>
      </c>
      <c r="Q1152" s="40">
        <v>0</v>
      </c>
      <c r="R1152" s="40">
        <v>0</v>
      </c>
      <c r="S1152" s="40">
        <v>0</v>
      </c>
      <c r="T1152" s="29">
        <f t="array" aca="1" ref="T1152" ca="1">+fair_value_gap(OFFSET(S1151,0,0,-1*$I$5,-1*$Z$1),OFFSET(E1151,0,0,-1*$I$5,1),F1152:S1152,0)</f>
        <v>19.26085633313139</v>
      </c>
      <c r="U1152" s="9" cm="1">
        <f t="array" aca="1" ref="U1152" ca="1">z_score_diff(OFFSET(T1152,0,0,$I$5*-1,1),OFFSET(E1152,0,0,$I$5*-1,1))</f>
        <v>-3.8123720535218508E-2</v>
      </c>
      <c r="V1152" s="9">
        <f t="shared" ca="1" si="143"/>
        <v>-4.7923541029138948E-2</v>
      </c>
      <c r="W1152" s="17">
        <f t="shared" ca="1" si="140"/>
        <v>-3.0022280430990387E-3</v>
      </c>
      <c r="X1152" s="13">
        <f t="shared" ca="1" si="141"/>
        <v>0</v>
      </c>
      <c r="Y1152" s="13">
        <f t="shared" ca="1" si="142"/>
        <v>0</v>
      </c>
      <c r="Z1152">
        <f t="shared" ca="1" si="144"/>
        <v>1</v>
      </c>
      <c r="AA1152">
        <f t="shared" ca="1" si="145"/>
        <v>0</v>
      </c>
      <c r="AB1152" s="24">
        <f t="shared" ca="1" si="146"/>
        <v>-3.0022280430990387E-3</v>
      </c>
      <c r="AC1152" s="24">
        <f t="shared" ca="1" si="147"/>
        <v>0</v>
      </c>
    </row>
    <row r="1153" spans="3:29" x14ac:dyDescent="0.25">
      <c r="C1153" s="6">
        <v>1146</v>
      </c>
      <c r="D1153" s="37">
        <v>43637</v>
      </c>
      <c r="E1153" s="39">
        <v>19.672999999999998</v>
      </c>
      <c r="F1153" s="39">
        <v>2.3099427602289593</v>
      </c>
      <c r="G1153" s="39">
        <v>60.269156825048064</v>
      </c>
      <c r="H1153" s="39">
        <v>62.45495018019929</v>
      </c>
      <c r="I1153" s="10">
        <v>0</v>
      </c>
      <c r="J1153" s="40">
        <v>0</v>
      </c>
      <c r="K1153" s="40">
        <v>0</v>
      </c>
      <c r="L1153" s="40">
        <v>0</v>
      </c>
      <c r="M1153" s="40">
        <v>0</v>
      </c>
      <c r="N1153" s="40">
        <v>1</v>
      </c>
      <c r="O1153" s="40">
        <v>0</v>
      </c>
      <c r="P1153" s="40">
        <v>0</v>
      </c>
      <c r="Q1153" s="40">
        <v>0</v>
      </c>
      <c r="R1153" s="40">
        <v>0</v>
      </c>
      <c r="S1153" s="40">
        <v>0</v>
      </c>
      <c r="T1153" s="29">
        <f t="array" aca="1" ref="T1153" ca="1">+fair_value_gap(OFFSET(S1152,0,0,-1*$I$5,-1*$Z$1),OFFSET(E1152,0,0,-1*$I$5,1),F1153:S1153,0)</f>
        <v>19.484817967330226</v>
      </c>
      <c r="U1153" s="9" cm="1">
        <f t="array" aca="1" ref="U1153" ca="1">z_score_diff(OFFSET(T1153,0,0,$I$5*-1,1),OFFSET(E1153,0,0,$I$5*-1,1))</f>
        <v>-8.9415301320486029E-2</v>
      </c>
      <c r="V1153" s="9">
        <f t="shared" ca="1" si="143"/>
        <v>-5.1439361815694973E-2</v>
      </c>
      <c r="W1153" s="17">
        <f t="shared" ca="1" si="140"/>
        <v>-1.6916540374167791E-2</v>
      </c>
      <c r="X1153" s="13">
        <f t="shared" ca="1" si="141"/>
        <v>0</v>
      </c>
      <c r="Y1153" s="13">
        <f t="shared" ca="1" si="142"/>
        <v>0</v>
      </c>
      <c r="Z1153">
        <f t="shared" ca="1" si="144"/>
        <v>1</v>
      </c>
      <c r="AA1153">
        <f t="shared" ca="1" si="145"/>
        <v>0</v>
      </c>
      <c r="AB1153" s="24">
        <f t="shared" ca="1" si="146"/>
        <v>-1.6916540374167791E-2</v>
      </c>
      <c r="AC1153" s="24">
        <f t="shared" ca="1" si="147"/>
        <v>0</v>
      </c>
    </row>
    <row r="1154" spans="3:29" x14ac:dyDescent="0.25">
      <c r="C1154" s="6">
        <v>1147</v>
      </c>
      <c r="D1154" s="37">
        <v>43640</v>
      </c>
      <c r="E1154" s="39">
        <v>19.885000000000002</v>
      </c>
      <c r="F1154" s="39">
        <v>2.3445190308079957</v>
      </c>
      <c r="G1154" s="39">
        <v>60.708566020291691</v>
      </c>
      <c r="H1154" s="39">
        <v>63.183518285132457</v>
      </c>
      <c r="I1154" s="10">
        <v>0</v>
      </c>
      <c r="J1154" s="40">
        <v>0</v>
      </c>
      <c r="K1154" s="40">
        <v>0</v>
      </c>
      <c r="L1154" s="40">
        <v>0</v>
      </c>
      <c r="M1154" s="40">
        <v>0</v>
      </c>
      <c r="N1154" s="40">
        <v>1</v>
      </c>
      <c r="O1154" s="40">
        <v>0</v>
      </c>
      <c r="P1154" s="40">
        <v>0</v>
      </c>
      <c r="Q1154" s="40">
        <v>0</v>
      </c>
      <c r="R1154" s="40">
        <v>0</v>
      </c>
      <c r="S1154" s="40">
        <v>0</v>
      </c>
      <c r="T1154" s="29">
        <f t="array" aca="1" ref="T1154" ca="1">+fair_value_gap(OFFSET(S1153,0,0,-1*$I$5,-1*$Z$1),OFFSET(E1153,0,0,-1*$I$5,1),F1154:S1154,0)</f>
        <v>19.724319688406137</v>
      </c>
      <c r="U1154" s="9" cm="1">
        <f t="array" aca="1" ref="U1154" ca="1">z_score_diff(OFFSET(T1154,0,0,$I$5*-1,1),OFFSET(E1154,0,0,$I$5*-1,1))</f>
        <v>-7.1855471521667491E-2</v>
      </c>
      <c r="V1154" s="9">
        <f t="shared" ca="1" si="143"/>
        <v>-5.3704956669541892E-2</v>
      </c>
      <c r="W1154" s="17">
        <f t="shared" ca="1" si="140"/>
        <v>-3.6201889928164546E-2</v>
      </c>
      <c r="X1154" s="13">
        <f t="shared" ca="1" si="141"/>
        <v>0</v>
      </c>
      <c r="Y1154" s="13">
        <f t="shared" ca="1" si="142"/>
        <v>0</v>
      </c>
      <c r="Z1154">
        <f t="shared" ca="1" si="144"/>
        <v>1</v>
      </c>
      <c r="AA1154">
        <f t="shared" ca="1" si="145"/>
        <v>0</v>
      </c>
      <c r="AB1154" s="24">
        <f t="shared" ca="1" si="146"/>
        <v>-3.6201889928164546E-2</v>
      </c>
      <c r="AC1154" s="24">
        <f t="shared" ca="1" si="147"/>
        <v>0</v>
      </c>
    </row>
    <row r="1155" spans="3:29" x14ac:dyDescent="0.25">
      <c r="C1155" s="6">
        <v>1148</v>
      </c>
      <c r="D1155" s="37">
        <v>43641</v>
      </c>
      <c r="E1155" s="39">
        <v>19.664000000000001</v>
      </c>
      <c r="F1155" s="39">
        <v>2.3418447550664911</v>
      </c>
      <c r="G1155" s="39">
        <v>60.07222239857613</v>
      </c>
      <c r="H1155" s="39">
        <v>63.219611675234745</v>
      </c>
      <c r="I1155" s="10">
        <v>0</v>
      </c>
      <c r="J1155" s="40">
        <v>0</v>
      </c>
      <c r="K1155" s="40">
        <v>0</v>
      </c>
      <c r="L1155" s="40">
        <v>0</v>
      </c>
      <c r="M1155" s="40">
        <v>0</v>
      </c>
      <c r="N1155" s="40">
        <v>1</v>
      </c>
      <c r="O1155" s="40">
        <v>0</v>
      </c>
      <c r="P1155" s="40">
        <v>0</v>
      </c>
      <c r="Q1155" s="40">
        <v>0</v>
      </c>
      <c r="R1155" s="40">
        <v>0</v>
      </c>
      <c r="S1155" s="40">
        <v>0</v>
      </c>
      <c r="T1155" s="29">
        <f t="array" aca="1" ref="T1155" ca="1">+fair_value_gap(OFFSET(S1154,0,0,-1*$I$5,-1*$Z$1),OFFSET(E1154,0,0,-1*$I$5,1),F1155:S1155,0)</f>
        <v>19.560798360667441</v>
      </c>
      <c r="U1155" s="9" cm="1">
        <f t="array" aca="1" ref="U1155" ca="1">z_score_diff(OFFSET(T1155,0,0,$I$5*-1,1),OFFSET(E1155,0,0,$I$5*-1,1))</f>
        <v>-4.2241333430755201E-2</v>
      </c>
      <c r="V1155" s="9">
        <f t="shared" ca="1" si="143"/>
        <v>-5.4643121853199382E-2</v>
      </c>
      <c r="W1155" s="17">
        <f t="shared" ca="1" si="140"/>
        <v>-9.8633736901950989E-3</v>
      </c>
      <c r="X1155" s="13">
        <f t="shared" ca="1" si="141"/>
        <v>0</v>
      </c>
      <c r="Y1155" s="13">
        <f t="shared" ca="1" si="142"/>
        <v>0</v>
      </c>
      <c r="Z1155">
        <f t="shared" ca="1" si="144"/>
        <v>1</v>
      </c>
      <c r="AA1155">
        <f t="shared" ca="1" si="145"/>
        <v>0</v>
      </c>
      <c r="AB1155" s="24">
        <f t="shared" ca="1" si="146"/>
        <v>-9.8633736901950989E-3</v>
      </c>
      <c r="AC1155" s="24">
        <f t="shared" ca="1" si="147"/>
        <v>0</v>
      </c>
    </row>
    <row r="1156" spans="3:29" x14ac:dyDescent="0.25">
      <c r="C1156" s="6">
        <v>1149</v>
      </c>
      <c r="D1156" s="37">
        <v>43642</v>
      </c>
      <c r="E1156" s="39">
        <v>19.827000000000002</v>
      </c>
      <c r="F1156" s="39">
        <v>2.3232779401285684</v>
      </c>
      <c r="G1156" s="39">
        <v>60.311241463841711</v>
      </c>
      <c r="H1156" s="39">
        <v>62.784425734327826</v>
      </c>
      <c r="I1156" s="10">
        <v>0</v>
      </c>
      <c r="J1156" s="40">
        <v>0</v>
      </c>
      <c r="K1156" s="40">
        <v>0</v>
      </c>
      <c r="L1156" s="40">
        <v>0</v>
      </c>
      <c r="M1156" s="40">
        <v>0</v>
      </c>
      <c r="N1156" s="40">
        <v>1</v>
      </c>
      <c r="O1156" s="40">
        <v>0</v>
      </c>
      <c r="P1156" s="40">
        <v>0</v>
      </c>
      <c r="Q1156" s="40">
        <v>0</v>
      </c>
      <c r="R1156" s="40">
        <v>0</v>
      </c>
      <c r="S1156" s="40">
        <v>0</v>
      </c>
      <c r="T1156" s="29">
        <f t="array" aca="1" ref="T1156" ca="1">+fair_value_gap(OFFSET(S1155,0,0,-1*$I$5,-1*$Z$1),OFFSET(E1155,0,0,-1*$I$5,1),F1156:S1156,0)</f>
        <v>19.607101958322296</v>
      </c>
      <c r="U1156" s="9" cm="1">
        <f t="array" aca="1" ref="U1156" ca="1">z_score_diff(OFFSET(T1156,0,0,$I$5*-1,1),OFFSET(E1156,0,0,$I$5*-1,1))</f>
        <v>-0.10435064606473932</v>
      </c>
      <c r="V1156" s="9">
        <f t="shared" ca="1" si="143"/>
        <v>-5.8283660501905143E-2</v>
      </c>
      <c r="W1156" s="17">
        <f t="shared" ca="1" si="140"/>
        <v>-2.5696798464265199E-2</v>
      </c>
      <c r="X1156" s="13">
        <f t="shared" ca="1" si="141"/>
        <v>0</v>
      </c>
      <c r="Y1156" s="13">
        <f t="shared" ca="1" si="142"/>
        <v>0</v>
      </c>
      <c r="Z1156">
        <f t="shared" ca="1" si="144"/>
        <v>1</v>
      </c>
      <c r="AA1156">
        <f t="shared" ca="1" si="145"/>
        <v>0</v>
      </c>
      <c r="AB1156" s="24">
        <f t="shared" ca="1" si="146"/>
        <v>-2.5696798464265199E-2</v>
      </c>
      <c r="AC1156" s="24">
        <f t="shared" ca="1" si="147"/>
        <v>0</v>
      </c>
    </row>
    <row r="1157" spans="3:29" x14ac:dyDescent="0.25">
      <c r="C1157" s="6">
        <v>1150</v>
      </c>
      <c r="D1157" s="37">
        <v>43643</v>
      </c>
      <c r="E1157" s="39">
        <v>19.690000000000001</v>
      </c>
      <c r="F1157" s="39">
        <v>2.4139009503887414</v>
      </c>
      <c r="G1157" s="39">
        <v>59.704719916389372</v>
      </c>
      <c r="H1157" s="39">
        <v>62.720740986224328</v>
      </c>
      <c r="I1157" s="10">
        <v>0</v>
      </c>
      <c r="J1157" s="40">
        <v>0</v>
      </c>
      <c r="K1157" s="40">
        <v>0</v>
      </c>
      <c r="L1157" s="40">
        <v>0</v>
      </c>
      <c r="M1157" s="40">
        <v>0</v>
      </c>
      <c r="N1157" s="40">
        <v>1</v>
      </c>
      <c r="O1157" s="40">
        <v>0</v>
      </c>
      <c r="P1157" s="40">
        <v>0</v>
      </c>
      <c r="Q1157" s="40">
        <v>0</v>
      </c>
      <c r="R1157" s="40">
        <v>0</v>
      </c>
      <c r="S1157" s="40">
        <v>0</v>
      </c>
      <c r="T1157" s="29">
        <f t="array" aca="1" ref="T1157" ca="1">+fair_value_gap(OFFSET(S1156,0,0,-1*$I$5,-1*$Z$1),OFFSET(E1156,0,0,-1*$I$5,1),F1157:S1157,0)</f>
        <v>19.469146872829516</v>
      </c>
      <c r="U1157" s="9" cm="1">
        <f t="array" aca="1" ref="U1157" ca="1">z_score_diff(OFFSET(T1157,0,0,$I$5*-1,1),OFFSET(E1157,0,0,$I$5*-1,1))</f>
        <v>-0.10605350955136322</v>
      </c>
      <c r="V1157" s="9">
        <f t="shared" ca="1" si="143"/>
        <v>-6.1160208015044279E-2</v>
      </c>
      <c r="W1157" s="17">
        <f t="shared" ca="1" si="140"/>
        <v>-2.7181741422352659E-2</v>
      </c>
      <c r="X1157" s="13">
        <f t="shared" ca="1" si="141"/>
        <v>0</v>
      </c>
      <c r="Y1157" s="13">
        <f t="shared" ca="1" si="142"/>
        <v>0</v>
      </c>
      <c r="Z1157">
        <f t="shared" ca="1" si="144"/>
        <v>1</v>
      </c>
      <c r="AA1157">
        <f t="shared" ca="1" si="145"/>
        <v>0</v>
      </c>
      <c r="AB1157" s="24">
        <f t="shared" ca="1" si="146"/>
        <v>-2.7181741422352659E-2</v>
      </c>
      <c r="AC1157" s="24">
        <f t="shared" ca="1" si="147"/>
        <v>0</v>
      </c>
    </row>
    <row r="1158" spans="3:29" x14ac:dyDescent="0.25">
      <c r="C1158" s="6">
        <v>1151</v>
      </c>
      <c r="D1158" s="37">
        <v>43644</v>
      </c>
      <c r="E1158" s="39">
        <v>20.152000000000001</v>
      </c>
      <c r="F1158" s="39">
        <v>2.3985427433703297</v>
      </c>
      <c r="G1158" s="39">
        <v>62.680688633733944</v>
      </c>
      <c r="H1158" s="39">
        <v>63.627891214098113</v>
      </c>
      <c r="I1158" s="10">
        <v>0</v>
      </c>
      <c r="J1158" s="40">
        <v>0</v>
      </c>
      <c r="K1158" s="40">
        <v>0</v>
      </c>
      <c r="L1158" s="40">
        <v>0</v>
      </c>
      <c r="M1158" s="40">
        <v>0</v>
      </c>
      <c r="N1158" s="40">
        <v>1</v>
      </c>
      <c r="O1158" s="40">
        <v>0</v>
      </c>
      <c r="P1158" s="40">
        <v>0</v>
      </c>
      <c r="Q1158" s="40">
        <v>0</v>
      </c>
      <c r="R1158" s="40">
        <v>0</v>
      </c>
      <c r="S1158" s="40">
        <v>0</v>
      </c>
      <c r="T1158" s="29">
        <f t="array" aca="1" ref="T1158" ca="1">+fair_value_gap(OFFSET(S1157,0,0,-1*$I$5,-1*$Z$1),OFFSET(E1157,0,0,-1*$I$5,1),F1158:S1158,0)</f>
        <v>20.345314763783158</v>
      </c>
      <c r="U1158" s="9" cm="1">
        <f t="array" aca="1" ref="U1158" ca="1">z_score_diff(OFFSET(T1158,0,0,$I$5*-1,1),OFFSET(E1158,0,0,$I$5*-1,1))</f>
        <v>0.12848781000250459</v>
      </c>
      <c r="V1158" s="9">
        <f t="shared" ca="1" si="143"/>
        <v>-5.8147104035606745E-2</v>
      </c>
      <c r="W1158" s="17">
        <f t="shared" ca="1" si="140"/>
        <v>-4.9904818512396774E-2</v>
      </c>
      <c r="X1158" s="13">
        <f t="shared" ca="1" si="141"/>
        <v>0</v>
      </c>
      <c r="Y1158" s="13">
        <f t="shared" ca="1" si="142"/>
        <v>0</v>
      </c>
      <c r="Z1158">
        <f t="shared" ca="1" si="144"/>
        <v>1</v>
      </c>
      <c r="AA1158">
        <f t="shared" ca="1" si="145"/>
        <v>0</v>
      </c>
      <c r="AB1158" s="24">
        <f t="shared" ca="1" si="146"/>
        <v>-4.9904818512396774E-2</v>
      </c>
      <c r="AC1158" s="24">
        <f t="shared" ca="1" si="147"/>
        <v>0</v>
      </c>
    </row>
    <row r="1159" spans="3:29" x14ac:dyDescent="0.25">
      <c r="C1159" s="6">
        <v>1152</v>
      </c>
      <c r="D1159" s="37">
        <v>43647</v>
      </c>
      <c r="E1159" s="39">
        <v>20.152999999999999</v>
      </c>
      <c r="F1159" s="39">
        <v>2.3891032336452582</v>
      </c>
      <c r="G1159" s="39">
        <v>62.785131304440398</v>
      </c>
      <c r="H1159" s="39">
        <v>63.734998827617076</v>
      </c>
      <c r="I1159" s="10">
        <v>0</v>
      </c>
      <c r="J1159" s="40">
        <v>0</v>
      </c>
      <c r="K1159" s="40">
        <v>0</v>
      </c>
      <c r="L1159" s="40">
        <v>0</v>
      </c>
      <c r="M1159" s="40">
        <v>0</v>
      </c>
      <c r="N1159" s="40">
        <v>0</v>
      </c>
      <c r="O1159" s="40">
        <v>1</v>
      </c>
      <c r="P1159" s="40">
        <v>0</v>
      </c>
      <c r="Q1159" s="40">
        <v>0</v>
      </c>
      <c r="R1159" s="40">
        <v>0</v>
      </c>
      <c r="S1159" s="40">
        <v>0</v>
      </c>
      <c r="T1159" s="29">
        <f t="array" aca="1" ref="T1159" ca="1">+fair_value_gap(OFFSET(S1158,0,0,-1*$I$5,-1*$Z$1),OFFSET(E1158,0,0,-1*$I$5,1),F1159:S1159,0)</f>
        <v>19.665139784470529</v>
      </c>
      <c r="U1159" s="9" cm="1">
        <f t="array" aca="1" ref="U1159" ca="1">z_score_diff(OFFSET(T1159,0,0,$I$5*-1,1),OFFSET(E1159,0,0,$I$5*-1,1))</f>
        <v>-0.24934534127404312</v>
      </c>
      <c r="V1159" s="9">
        <f t="shared" ca="1" si="143"/>
        <v>-6.3780688226535431E-2</v>
      </c>
      <c r="W1159" s="17">
        <f t="shared" ref="W1159:W1222" ca="1" si="148">+LN(OFFSET(E1159,$W$3,0,1,1)/E1159)</f>
        <v>-5.2095377233190548E-2</v>
      </c>
      <c r="X1159" s="13">
        <f t="shared" ca="1" si="141"/>
        <v>0</v>
      </c>
      <c r="Y1159" s="13">
        <f t="shared" ca="1" si="142"/>
        <v>0</v>
      </c>
      <c r="Z1159">
        <f t="shared" ca="1" si="144"/>
        <v>1</v>
      </c>
      <c r="AA1159">
        <f t="shared" ca="1" si="145"/>
        <v>0</v>
      </c>
      <c r="AB1159" s="24">
        <f t="shared" ca="1" si="146"/>
        <v>-5.2095377233190548E-2</v>
      </c>
      <c r="AC1159" s="24">
        <f t="shared" ca="1" si="147"/>
        <v>0</v>
      </c>
    </row>
    <row r="1160" spans="3:29" x14ac:dyDescent="0.25">
      <c r="C1160" s="6">
        <v>1153</v>
      </c>
      <c r="D1160" s="37">
        <v>43648</v>
      </c>
      <c r="E1160" s="39">
        <v>19.786999999999999</v>
      </c>
      <c r="F1160" s="39">
        <v>2.3806515934745054</v>
      </c>
      <c r="G1160" s="39">
        <v>61.570642137599663</v>
      </c>
      <c r="H1160" s="39">
        <v>62.909294528171763</v>
      </c>
      <c r="I1160" s="10">
        <v>0</v>
      </c>
      <c r="J1160" s="40">
        <v>0</v>
      </c>
      <c r="K1160" s="40">
        <v>0</v>
      </c>
      <c r="L1160" s="40">
        <v>0</v>
      </c>
      <c r="M1160" s="40">
        <v>0</v>
      </c>
      <c r="N1160" s="40">
        <v>0</v>
      </c>
      <c r="O1160" s="40">
        <v>1</v>
      </c>
      <c r="P1160" s="40">
        <v>0</v>
      </c>
      <c r="Q1160" s="40">
        <v>0</v>
      </c>
      <c r="R1160" s="40">
        <v>0</v>
      </c>
      <c r="S1160" s="40">
        <v>0</v>
      </c>
      <c r="T1160" s="29">
        <f t="array" aca="1" ref="T1160" ca="1">+fair_value_gap(OFFSET(S1159,0,0,-1*$I$5,-1*$Z$1),OFFSET(E1159,0,0,-1*$I$5,1),F1160:S1160,0)</f>
        <v>19.363868116886362</v>
      </c>
      <c r="U1160" s="9" cm="1">
        <f t="array" aca="1" ref="U1160" ca="1">z_score_diff(OFFSET(T1160,0,0,$I$5*-1,1),OFFSET(E1160,0,0,$I$5*-1,1))</f>
        <v>-0.21690362624205412</v>
      </c>
      <c r="V1160" s="9">
        <f t="shared" ca="1" si="143"/>
        <v>-6.8955204600266051E-2</v>
      </c>
      <c r="W1160" s="17">
        <f t="shared" ca="1" si="148"/>
        <v>-2.6527569466537879E-2</v>
      </c>
      <c r="X1160" s="13">
        <f t="shared" ca="1" si="141"/>
        <v>0</v>
      </c>
      <c r="Y1160" s="13">
        <f t="shared" ca="1" si="142"/>
        <v>0</v>
      </c>
      <c r="Z1160">
        <f t="shared" ca="1" si="144"/>
        <v>1</v>
      </c>
      <c r="AA1160">
        <f t="shared" ca="1" si="145"/>
        <v>0</v>
      </c>
      <c r="AB1160" s="24">
        <f t="shared" ca="1" si="146"/>
        <v>-2.6527569466537879E-2</v>
      </c>
      <c r="AC1160" s="24">
        <f t="shared" ca="1" si="147"/>
        <v>0</v>
      </c>
    </row>
    <row r="1161" spans="3:29" x14ac:dyDescent="0.25">
      <c r="C1161" s="6">
        <v>1154</v>
      </c>
      <c r="D1161" s="37">
        <v>43649</v>
      </c>
      <c r="E1161" s="39">
        <v>19.649999999999999</v>
      </c>
      <c r="F1161" s="39">
        <v>2.3833649322678756</v>
      </c>
      <c r="G1161" s="39">
        <v>61.040699632946449</v>
      </c>
      <c r="H1161" s="39">
        <v>63.596234761445821</v>
      </c>
      <c r="I1161" s="10">
        <v>0</v>
      </c>
      <c r="J1161" s="40">
        <v>0</v>
      </c>
      <c r="K1161" s="40">
        <v>0</v>
      </c>
      <c r="L1161" s="40">
        <v>0</v>
      </c>
      <c r="M1161" s="40">
        <v>0</v>
      </c>
      <c r="N1161" s="40">
        <v>0</v>
      </c>
      <c r="O1161" s="40">
        <v>1</v>
      </c>
      <c r="P1161" s="40">
        <v>0</v>
      </c>
      <c r="Q1161" s="40">
        <v>0</v>
      </c>
      <c r="R1161" s="40">
        <v>0</v>
      </c>
      <c r="S1161" s="40">
        <v>0</v>
      </c>
      <c r="T1161" s="29">
        <f t="array" aca="1" ref="T1161" ca="1">+fair_value_gap(OFFSET(S1160,0,0,-1*$I$5,-1*$Z$1),OFFSET(E1160,0,0,-1*$I$5,1),F1161:S1161,0)</f>
        <v>19.31161958211905</v>
      </c>
      <c r="U1161" s="9" cm="1">
        <f t="array" aca="1" ref="U1161" ca="1">z_score_diff(OFFSET(T1161,0,0,$I$5*-1,1),OFFSET(E1161,0,0,$I$5*-1,1))</f>
        <v>-0.17053983783061022</v>
      </c>
      <c r="V1161" s="9">
        <f t="shared" ca="1" si="143"/>
        <v>-7.2156279375474017E-2</v>
      </c>
      <c r="W1161" s="17">
        <f t="shared" ca="1" si="148"/>
        <v>-2.0618226982771843E-2</v>
      </c>
      <c r="X1161" s="13">
        <f t="shared" ref="X1161:X1224" ca="1" si="149">+X1160</f>
        <v>0</v>
      </c>
      <c r="Y1161" s="13">
        <f t="shared" ref="Y1161:Y1224" ca="1" si="150">+Y1160</f>
        <v>0</v>
      </c>
      <c r="Z1161">
        <f t="shared" ca="1" si="144"/>
        <v>1</v>
      </c>
      <c r="AA1161">
        <f t="shared" ca="1" si="145"/>
        <v>0</v>
      </c>
      <c r="AB1161" s="24">
        <f t="shared" ca="1" si="146"/>
        <v>-2.0618226982771843E-2</v>
      </c>
      <c r="AC1161" s="24">
        <f t="shared" ca="1" si="147"/>
        <v>0</v>
      </c>
    </row>
    <row r="1162" spans="3:29" x14ac:dyDescent="0.25">
      <c r="C1162" s="6">
        <v>1155</v>
      </c>
      <c r="D1162" s="37">
        <v>43650</v>
      </c>
      <c r="E1162" s="39">
        <v>19.8</v>
      </c>
      <c r="F1162" s="39">
        <v>2.3846433070698012</v>
      </c>
      <c r="G1162" s="39">
        <v>61.733052112274116</v>
      </c>
      <c r="H1162" s="39">
        <v>66.149937010227831</v>
      </c>
      <c r="I1162" s="10">
        <v>0</v>
      </c>
      <c r="J1162" s="40">
        <v>0</v>
      </c>
      <c r="K1162" s="40">
        <v>0</v>
      </c>
      <c r="L1162" s="40">
        <v>0</v>
      </c>
      <c r="M1162" s="40">
        <v>0</v>
      </c>
      <c r="N1162" s="40">
        <v>0</v>
      </c>
      <c r="O1162" s="40">
        <v>1</v>
      </c>
      <c r="P1162" s="40">
        <v>0</v>
      </c>
      <c r="Q1162" s="40">
        <v>0</v>
      </c>
      <c r="R1162" s="40">
        <v>0</v>
      </c>
      <c r="S1162" s="40">
        <v>0</v>
      </c>
      <c r="T1162" s="29">
        <f t="array" aca="1" ref="T1162" ca="1">+fair_value_gap(OFFSET(S1161,0,0,-1*$I$5,-1*$Z$1),OFFSET(E1161,0,0,-1*$I$5,1),F1162:S1162,0)</f>
        <v>19.658104250248304</v>
      </c>
      <c r="U1162" s="9" cm="1">
        <f t="array" aca="1" ref="U1162" ca="1">z_score_diff(OFFSET(T1162,0,0,$I$5*-1,1),OFFSET(E1162,0,0,$I$5*-1,1))</f>
        <v>-5.8606480891291002E-2</v>
      </c>
      <c r="V1162" s="9">
        <f t="shared" ca="1" si="143"/>
        <v>-7.4039399829581964E-2</v>
      </c>
      <c r="W1162" s="17">
        <f t="shared" ca="1" si="148"/>
        <v>-4.0716781200151736E-2</v>
      </c>
      <c r="X1162" s="13">
        <f t="shared" ca="1" si="149"/>
        <v>0</v>
      </c>
      <c r="Y1162" s="13">
        <f t="shared" ca="1" si="150"/>
        <v>0</v>
      </c>
      <c r="Z1162">
        <f t="shared" ca="1" si="144"/>
        <v>1</v>
      </c>
      <c r="AA1162">
        <f t="shared" ca="1" si="145"/>
        <v>0</v>
      </c>
      <c r="AB1162" s="24">
        <f t="shared" ca="1" si="146"/>
        <v>-4.0716781200151736E-2</v>
      </c>
      <c r="AC1162" s="24">
        <f t="shared" ca="1" si="147"/>
        <v>0</v>
      </c>
    </row>
    <row r="1163" spans="3:29" x14ac:dyDescent="0.25">
      <c r="C1163" s="6">
        <v>1156</v>
      </c>
      <c r="D1163" s="37">
        <v>43651</v>
      </c>
      <c r="E1163" s="39">
        <v>20.122</v>
      </c>
      <c r="F1163" s="39">
        <v>2.4167849224136675</v>
      </c>
      <c r="G1163" s="39">
        <v>62.330062428616642</v>
      </c>
      <c r="H1163" s="39">
        <v>66.50012375103519</v>
      </c>
      <c r="I1163" s="10">
        <v>0</v>
      </c>
      <c r="J1163" s="40">
        <v>0</v>
      </c>
      <c r="K1163" s="40">
        <v>0</v>
      </c>
      <c r="L1163" s="40">
        <v>0</v>
      </c>
      <c r="M1163" s="40">
        <v>0</v>
      </c>
      <c r="N1163" s="40">
        <v>0</v>
      </c>
      <c r="O1163" s="40">
        <v>1</v>
      </c>
      <c r="P1163" s="40">
        <v>0</v>
      </c>
      <c r="Q1163" s="40">
        <v>0</v>
      </c>
      <c r="R1163" s="40">
        <v>0</v>
      </c>
      <c r="S1163" s="40">
        <v>0</v>
      </c>
      <c r="T1163" s="29">
        <f t="array" aca="1" ref="T1163" ca="1">+fair_value_gap(OFFSET(S1162,0,0,-1*$I$5,-1*$Z$1),OFFSET(E1162,0,0,-1*$I$5,1),F1163:S1163,0)</f>
        <v>19.876994752029134</v>
      </c>
      <c r="U1163" s="9" cm="1">
        <f t="array" aca="1" ref="U1163" ca="1">z_score_diff(OFFSET(T1163,0,0,$I$5*-1,1),OFFSET(E1163,0,0,$I$5*-1,1))</f>
        <v>-0.11254311842818984</v>
      </c>
      <c r="V1163" s="9">
        <f t="shared" ref="V1163:V1226" ca="1" si="151">+IF(ISERROR(AVERAGE(OFFSET(U1163,0,0,$V$5*-1,1))),"",AVERAGE(OFFSET(U1163,0,0,$V$5*-1,1)))</f>
        <v>-7.5262075191916619E-2</v>
      </c>
      <c r="W1163" s="17">
        <f t="shared" ca="1" si="148"/>
        <v>-5.8744122899173808E-2</v>
      </c>
      <c r="X1163" s="13">
        <f t="shared" ca="1" si="149"/>
        <v>0</v>
      </c>
      <c r="Y1163" s="13">
        <f t="shared" ca="1" si="150"/>
        <v>0</v>
      </c>
      <c r="Z1163">
        <f t="shared" ref="Z1163:Z1226" ca="1" si="152">+IF(V1163="","",IF(V1163&lt;X1163,1,0))</f>
        <v>1</v>
      </c>
      <c r="AA1163">
        <f t="shared" ref="AA1163:AA1226" ca="1" si="153">+IF(V1163="","",IF(V1163&gt;Y1163,1,0))</f>
        <v>0</v>
      </c>
      <c r="AB1163" s="24">
        <f t="shared" ref="AB1163:AB1226" ca="1" si="154">+IF(ISERROR(Z1163*W1163),"",Z1163*W1163)</f>
        <v>-5.8744122899173808E-2</v>
      </c>
      <c r="AC1163" s="24">
        <f t="shared" ref="AC1163:AC1226" ca="1" si="155">+IF(ISERROR(AA1163*W1163),"",AA1163*W1163)</f>
        <v>0</v>
      </c>
    </row>
    <row r="1164" spans="3:29" x14ac:dyDescent="0.25">
      <c r="C1164" s="6">
        <v>1157</v>
      </c>
      <c r="D1164" s="37">
        <v>43654</v>
      </c>
      <c r="E1164" s="39">
        <v>20.434999999999999</v>
      </c>
      <c r="F1164" s="39">
        <v>2.4105928926943263</v>
      </c>
      <c r="G1164" s="39">
        <v>63.077563176104761</v>
      </c>
      <c r="H1164" s="39">
        <v>66.737075638781391</v>
      </c>
      <c r="I1164" s="10">
        <v>0</v>
      </c>
      <c r="J1164" s="40">
        <v>0</v>
      </c>
      <c r="K1164" s="40">
        <v>0</v>
      </c>
      <c r="L1164" s="40">
        <v>0</v>
      </c>
      <c r="M1164" s="40">
        <v>0</v>
      </c>
      <c r="N1164" s="40">
        <v>0</v>
      </c>
      <c r="O1164" s="40">
        <v>1</v>
      </c>
      <c r="P1164" s="40">
        <v>0</v>
      </c>
      <c r="Q1164" s="40">
        <v>0</v>
      </c>
      <c r="R1164" s="40">
        <v>0</v>
      </c>
      <c r="S1164" s="40">
        <v>0</v>
      </c>
      <c r="T1164" s="29">
        <f t="array" aca="1" ref="T1164" ca="1">+fair_value_gap(OFFSET(S1163,0,0,-1*$I$5,-1*$Z$1),OFFSET(E1163,0,0,-1*$I$5,1),F1164:S1164,0)</f>
        <v>20.10910829699786</v>
      </c>
      <c r="U1164" s="9" cm="1">
        <f t="array" aca="1" ref="U1164" ca="1">z_score_diff(OFFSET(T1164,0,0,$I$5*-1,1),OFFSET(E1164,0,0,$I$5*-1,1))</f>
        <v>-0.15381842563599735</v>
      </c>
      <c r="V1164" s="9">
        <f t="shared" ca="1" si="151"/>
        <v>-7.7527303689196289E-2</v>
      </c>
      <c r="W1164" s="17">
        <f t="shared" ca="1" si="148"/>
        <v>-7.4653941875378368E-2</v>
      </c>
      <c r="X1164" s="13">
        <f t="shared" ca="1" si="149"/>
        <v>0</v>
      </c>
      <c r="Y1164" s="13">
        <f t="shared" ca="1" si="150"/>
        <v>0</v>
      </c>
      <c r="Z1164">
        <f t="shared" ca="1" si="152"/>
        <v>1</v>
      </c>
      <c r="AA1164">
        <f t="shared" ca="1" si="153"/>
        <v>0</v>
      </c>
      <c r="AB1164" s="24">
        <f t="shared" ca="1" si="154"/>
        <v>-7.4653941875378368E-2</v>
      </c>
      <c r="AC1164" s="24">
        <f t="shared" ca="1" si="155"/>
        <v>0</v>
      </c>
    </row>
    <row r="1165" spans="3:29" x14ac:dyDescent="0.25">
      <c r="C1165" s="6">
        <v>1158</v>
      </c>
      <c r="D1165" s="37">
        <v>43655</v>
      </c>
      <c r="E1165" s="39">
        <v>20.346</v>
      </c>
      <c r="F1165" s="39">
        <v>2.4408651949433096</v>
      </c>
      <c r="G1165" s="39">
        <v>63.134260946217502</v>
      </c>
      <c r="H1165" s="39">
        <v>65.352750475994441</v>
      </c>
      <c r="I1165" s="10">
        <v>0</v>
      </c>
      <c r="J1165" s="40">
        <v>0</v>
      </c>
      <c r="K1165" s="40">
        <v>0</v>
      </c>
      <c r="L1165" s="40">
        <v>0</v>
      </c>
      <c r="M1165" s="40">
        <v>0</v>
      </c>
      <c r="N1165" s="40">
        <v>0</v>
      </c>
      <c r="O1165" s="40">
        <v>1</v>
      </c>
      <c r="P1165" s="40">
        <v>0</v>
      </c>
      <c r="Q1165" s="40">
        <v>0</v>
      </c>
      <c r="R1165" s="40">
        <v>0</v>
      </c>
      <c r="S1165" s="40">
        <v>0</v>
      </c>
      <c r="T1165" s="29">
        <f t="array" aca="1" ref="T1165" ca="1">+fair_value_gap(OFFSET(S1164,0,0,-1*$I$5,-1*$Z$1),OFFSET(E1164,0,0,-1*$I$5,1),F1165:S1165,0)</f>
        <v>20.118121373207984</v>
      </c>
      <c r="U1165" s="9" cm="1">
        <f t="array" aca="1" ref="U1165" ca="1">z_score_diff(OFFSET(T1165,0,0,$I$5*-1,1),OFFSET(E1165,0,0,$I$5*-1,1))</f>
        <v>-9.930660994126797E-2</v>
      </c>
      <c r="V1165" s="9">
        <f t="shared" ca="1" si="151"/>
        <v>-7.7154565158993757E-2</v>
      </c>
      <c r="W1165" s="17">
        <f t="shared" ca="1" si="148"/>
        <v>-7.908065543973225E-2</v>
      </c>
      <c r="X1165" s="13">
        <f t="shared" ca="1" si="149"/>
        <v>0</v>
      </c>
      <c r="Y1165" s="13">
        <f t="shared" ca="1" si="150"/>
        <v>0</v>
      </c>
      <c r="Z1165">
        <f t="shared" ca="1" si="152"/>
        <v>1</v>
      </c>
      <c r="AA1165">
        <f t="shared" ca="1" si="153"/>
        <v>0</v>
      </c>
      <c r="AB1165" s="24">
        <f t="shared" ca="1" si="154"/>
        <v>-7.908065543973225E-2</v>
      </c>
      <c r="AC1165" s="24">
        <f t="shared" ca="1" si="155"/>
        <v>0</v>
      </c>
    </row>
    <row r="1166" spans="3:29" x14ac:dyDescent="0.25">
      <c r="C1166" s="6">
        <v>1159</v>
      </c>
      <c r="D1166" s="37">
        <v>43656</v>
      </c>
      <c r="E1166" s="39">
        <v>20.803999999999998</v>
      </c>
      <c r="F1166" s="39">
        <v>2.4459942778454367</v>
      </c>
      <c r="G1166" s="39">
        <v>64.545371342901106</v>
      </c>
      <c r="H1166" s="39">
        <v>66.584448851075919</v>
      </c>
      <c r="I1166" s="10">
        <v>0</v>
      </c>
      <c r="J1166" s="40">
        <v>0</v>
      </c>
      <c r="K1166" s="40">
        <v>0</v>
      </c>
      <c r="L1166" s="40">
        <v>0</v>
      </c>
      <c r="M1166" s="40">
        <v>0</v>
      </c>
      <c r="N1166" s="40">
        <v>0</v>
      </c>
      <c r="O1166" s="40">
        <v>1</v>
      </c>
      <c r="P1166" s="40">
        <v>0</v>
      </c>
      <c r="Q1166" s="40">
        <v>0</v>
      </c>
      <c r="R1166" s="40">
        <v>0</v>
      </c>
      <c r="S1166" s="40">
        <v>0</v>
      </c>
      <c r="T1166" s="29">
        <f t="array" aca="1" ref="T1166" ca="1">+fair_value_gap(OFFSET(S1165,0,0,-1*$I$5,-1*$Z$1),OFFSET(E1165,0,0,-1*$I$5,1),F1166:S1166,0)</f>
        <v>20.583848632311973</v>
      </c>
      <c r="U1166" s="9" cm="1">
        <f t="array" aca="1" ref="U1166" ca="1">z_score_diff(OFFSET(T1166,0,0,$I$5*-1,1),OFFSET(E1166,0,0,$I$5*-1,1))</f>
        <v>-8.9302347545314936E-2</v>
      </c>
      <c r="V1166" s="9">
        <f t="shared" ca="1" si="151"/>
        <v>-7.8140170370158565E-2</v>
      </c>
      <c r="W1166" s="17">
        <f t="shared" ca="1" si="148"/>
        <v>-0.10160760594995265</v>
      </c>
      <c r="X1166" s="13">
        <f t="shared" ca="1" si="149"/>
        <v>0</v>
      </c>
      <c r="Y1166" s="13">
        <f t="shared" ca="1" si="150"/>
        <v>0</v>
      </c>
      <c r="Z1166">
        <f t="shared" ca="1" si="152"/>
        <v>1</v>
      </c>
      <c r="AA1166">
        <f t="shared" ca="1" si="153"/>
        <v>0</v>
      </c>
      <c r="AB1166" s="24">
        <f t="shared" ca="1" si="154"/>
        <v>-0.10160760594995265</v>
      </c>
      <c r="AC1166" s="24">
        <f t="shared" ca="1" si="155"/>
        <v>0</v>
      </c>
    </row>
    <row r="1167" spans="3:29" x14ac:dyDescent="0.25">
      <c r="C1167" s="6">
        <v>1160</v>
      </c>
      <c r="D1167" s="37">
        <v>43657</v>
      </c>
      <c r="E1167" s="39">
        <v>21.327999999999999</v>
      </c>
      <c r="F1167" s="39">
        <v>2.4455537560562264</v>
      </c>
      <c r="G1167" s="39">
        <v>65.813456505272711</v>
      </c>
      <c r="H1167" s="39">
        <v>66.498903216548101</v>
      </c>
      <c r="I1167" s="10">
        <v>0</v>
      </c>
      <c r="J1167" s="40">
        <v>0</v>
      </c>
      <c r="K1167" s="40">
        <v>0</v>
      </c>
      <c r="L1167" s="40">
        <v>0</v>
      </c>
      <c r="M1167" s="40">
        <v>0</v>
      </c>
      <c r="N1167" s="40">
        <v>0</v>
      </c>
      <c r="O1167" s="40">
        <v>1</v>
      </c>
      <c r="P1167" s="40">
        <v>0</v>
      </c>
      <c r="Q1167" s="40">
        <v>0</v>
      </c>
      <c r="R1167" s="40">
        <v>0</v>
      </c>
      <c r="S1167" s="40">
        <v>0</v>
      </c>
      <c r="T1167" s="29">
        <f t="array" aca="1" ref="T1167" ca="1">+fair_value_gap(OFFSET(S1166,0,0,-1*$I$5,-1*$Z$1),OFFSET(E1166,0,0,-1*$I$5,1),F1167:S1167,0)</f>
        <v>20.947773215241849</v>
      </c>
      <c r="U1167" s="9" cm="1">
        <f t="array" aca="1" ref="U1167" ca="1">z_score_diff(OFFSET(T1167,0,0,$I$5*-1,1),OFFSET(E1167,0,0,$I$5*-1,1))</f>
        <v>-0.1726017383475828</v>
      </c>
      <c r="V1167" s="9">
        <f t="shared" ca="1" si="151"/>
        <v>-7.9258961108652271E-2</v>
      </c>
      <c r="W1167" s="17">
        <f t="shared" ca="1" si="148"/>
        <v>-0.1190087020825947</v>
      </c>
      <c r="X1167" s="13">
        <f t="shared" ca="1" si="149"/>
        <v>0</v>
      </c>
      <c r="Y1167" s="13">
        <f t="shared" ca="1" si="150"/>
        <v>0</v>
      </c>
      <c r="Z1167">
        <f t="shared" ca="1" si="152"/>
        <v>1</v>
      </c>
      <c r="AA1167">
        <f t="shared" ca="1" si="153"/>
        <v>0</v>
      </c>
      <c r="AB1167" s="24">
        <f t="shared" ca="1" si="154"/>
        <v>-0.1190087020825947</v>
      </c>
      <c r="AC1167" s="24">
        <f t="shared" ca="1" si="155"/>
        <v>0</v>
      </c>
    </row>
    <row r="1168" spans="3:29" x14ac:dyDescent="0.25">
      <c r="C1168" s="6">
        <v>1161</v>
      </c>
      <c r="D1168" s="37">
        <v>43658</v>
      </c>
      <c r="E1168" s="39">
        <v>21.762</v>
      </c>
      <c r="F1168" s="39">
        <v>2.4462967421987472</v>
      </c>
      <c r="G1168" s="39">
        <v>66.951319170722584</v>
      </c>
      <c r="H1168" s="39">
        <v>66.515363426625626</v>
      </c>
      <c r="I1168" s="10">
        <v>0</v>
      </c>
      <c r="J1168" s="40">
        <v>0</v>
      </c>
      <c r="K1168" s="40">
        <v>0</v>
      </c>
      <c r="L1168" s="40">
        <v>0</v>
      </c>
      <c r="M1168" s="40">
        <v>0</v>
      </c>
      <c r="N1168" s="40">
        <v>0</v>
      </c>
      <c r="O1168" s="40">
        <v>1</v>
      </c>
      <c r="P1168" s="40">
        <v>0</v>
      </c>
      <c r="Q1168" s="40">
        <v>0</v>
      </c>
      <c r="R1168" s="40">
        <v>0</v>
      </c>
      <c r="S1168" s="40">
        <v>0</v>
      </c>
      <c r="T1168" s="29">
        <f t="array" aca="1" ref="T1168" ca="1">+fair_value_gap(OFFSET(S1167,0,0,-1*$I$5,-1*$Z$1),OFFSET(E1167,0,0,-1*$I$5,1),F1168:S1168,0)</f>
        <v>21.29495836482349</v>
      </c>
      <c r="U1168" s="9" cm="1">
        <f t="array" aca="1" ref="U1168" ca="1">z_score_diff(OFFSET(T1168,0,0,$I$5*-1,1),OFFSET(E1168,0,0,$I$5*-1,1))</f>
        <v>-0.2154714865452334</v>
      </c>
      <c r="V1168" s="9">
        <f t="shared" ca="1" si="151"/>
        <v>-8.4064127401024535E-2</v>
      </c>
      <c r="W1168" s="17">
        <f t="shared" ca="1" si="148"/>
        <v>-0.17781010548012854</v>
      </c>
      <c r="X1168" s="13">
        <f t="shared" ca="1" si="149"/>
        <v>0</v>
      </c>
      <c r="Y1168" s="13">
        <f t="shared" ca="1" si="150"/>
        <v>0</v>
      </c>
      <c r="Z1168">
        <f t="shared" ca="1" si="152"/>
        <v>1</v>
      </c>
      <c r="AA1168">
        <f t="shared" ca="1" si="153"/>
        <v>0</v>
      </c>
      <c r="AB1168" s="24">
        <f t="shared" ca="1" si="154"/>
        <v>-0.17781010548012854</v>
      </c>
      <c r="AC1168" s="24">
        <f t="shared" ca="1" si="155"/>
        <v>0</v>
      </c>
    </row>
    <row r="1169" spans="3:29" x14ac:dyDescent="0.25">
      <c r="C1169" s="6">
        <v>1162</v>
      </c>
      <c r="D1169" s="37">
        <v>43661</v>
      </c>
      <c r="E1169" s="39">
        <v>21.363</v>
      </c>
      <c r="F1169" s="39">
        <v>2.443966095524893</v>
      </c>
      <c r="G1169" s="39">
        <v>65.393247893713905</v>
      </c>
      <c r="H1169" s="39">
        <v>66.952707546984385</v>
      </c>
      <c r="I1169" s="10">
        <v>0</v>
      </c>
      <c r="J1169" s="40">
        <v>0</v>
      </c>
      <c r="K1169" s="40">
        <v>0</v>
      </c>
      <c r="L1169" s="40">
        <v>0</v>
      </c>
      <c r="M1169" s="40">
        <v>0</v>
      </c>
      <c r="N1169" s="40">
        <v>0</v>
      </c>
      <c r="O1169" s="40">
        <v>1</v>
      </c>
      <c r="P1169" s="40">
        <v>0</v>
      </c>
      <c r="Q1169" s="40">
        <v>0</v>
      </c>
      <c r="R1169" s="40">
        <v>0</v>
      </c>
      <c r="S1169" s="40">
        <v>0</v>
      </c>
      <c r="T1169" s="29">
        <f t="array" aca="1" ref="T1169" ca="1">+fair_value_gap(OFFSET(S1168,0,0,-1*$I$5,-1*$Z$1),OFFSET(E1168,0,0,-1*$I$5,1),F1169:S1169,0)</f>
        <v>20.925283717181618</v>
      </c>
      <c r="U1169" s="9" cm="1">
        <f t="array" aca="1" ref="U1169" ca="1">z_score_diff(OFFSET(T1169,0,0,$I$5*-1,1),OFFSET(E1169,0,0,$I$5*-1,1))</f>
        <v>-0.20307917599716818</v>
      </c>
      <c r="V1169" s="9">
        <f t="shared" ca="1" si="151"/>
        <v>-8.997687264701798E-2</v>
      </c>
      <c r="W1169" s="17">
        <f t="shared" ca="1" si="148"/>
        <v>-0.17920886657307272</v>
      </c>
      <c r="X1169" s="13">
        <f t="shared" ca="1" si="149"/>
        <v>0</v>
      </c>
      <c r="Y1169" s="13">
        <f t="shared" ca="1" si="150"/>
        <v>0</v>
      </c>
      <c r="Z1169">
        <f t="shared" ca="1" si="152"/>
        <v>1</v>
      </c>
      <c r="AA1169">
        <f t="shared" ca="1" si="153"/>
        <v>0</v>
      </c>
      <c r="AB1169" s="24">
        <f t="shared" ca="1" si="154"/>
        <v>-0.17920886657307272</v>
      </c>
      <c r="AC1169" s="24">
        <f t="shared" ca="1" si="155"/>
        <v>0</v>
      </c>
    </row>
    <row r="1170" spans="3:29" x14ac:dyDescent="0.25">
      <c r="C1170" s="6">
        <v>1163</v>
      </c>
      <c r="D1170" s="37">
        <v>43662</v>
      </c>
      <c r="E1170" s="39">
        <v>20.713000000000001</v>
      </c>
      <c r="F1170" s="39">
        <v>2.4184937586566209</v>
      </c>
      <c r="G1170" s="39">
        <v>64.162592980419177</v>
      </c>
      <c r="H1170" s="39">
        <v>66.508578363057069</v>
      </c>
      <c r="I1170" s="10">
        <v>0</v>
      </c>
      <c r="J1170" s="40">
        <v>0</v>
      </c>
      <c r="K1170" s="40">
        <v>0</v>
      </c>
      <c r="L1170" s="40">
        <v>0</v>
      </c>
      <c r="M1170" s="40">
        <v>0</v>
      </c>
      <c r="N1170" s="40">
        <v>0</v>
      </c>
      <c r="O1170" s="40">
        <v>1</v>
      </c>
      <c r="P1170" s="40">
        <v>0</v>
      </c>
      <c r="Q1170" s="40">
        <v>0</v>
      </c>
      <c r="R1170" s="40">
        <v>0</v>
      </c>
      <c r="S1170" s="40">
        <v>0</v>
      </c>
      <c r="T1170" s="29">
        <f t="array" aca="1" ref="T1170" ca="1">+fair_value_gap(OFFSET(S1169,0,0,-1*$I$5,-1*$Z$1),OFFSET(E1169,0,0,-1*$I$5,1),F1170:S1170,0)</f>
        <v>20.584991643462025</v>
      </c>
      <c r="U1170" s="9" cm="1">
        <f t="array" aca="1" ref="U1170" ca="1">z_score_diff(OFFSET(T1170,0,0,$I$5*-1,1),OFFSET(E1170,0,0,$I$5*-1,1))</f>
        <v>-3.575032245628601E-2</v>
      </c>
      <c r="V1170" s="9">
        <f t="shared" ca="1" si="151"/>
        <v>-8.787689675087651E-2</v>
      </c>
      <c r="W1170" s="17">
        <f t="shared" ca="1" si="148"/>
        <v>-0.1428372015537003</v>
      </c>
      <c r="X1170" s="13">
        <f t="shared" ca="1" si="149"/>
        <v>0</v>
      </c>
      <c r="Y1170" s="13">
        <f t="shared" ca="1" si="150"/>
        <v>0</v>
      </c>
      <c r="Z1170">
        <f t="shared" ca="1" si="152"/>
        <v>1</v>
      </c>
      <c r="AA1170">
        <f t="shared" ca="1" si="153"/>
        <v>0</v>
      </c>
      <c r="AB1170" s="24">
        <f t="shared" ca="1" si="154"/>
        <v>-0.1428372015537003</v>
      </c>
      <c r="AC1170" s="24">
        <f t="shared" ca="1" si="155"/>
        <v>0</v>
      </c>
    </row>
    <row r="1171" spans="3:29" x14ac:dyDescent="0.25">
      <c r="C1171" s="6">
        <v>1164</v>
      </c>
      <c r="D1171" s="37">
        <v>43663</v>
      </c>
      <c r="E1171" s="39">
        <v>20.78</v>
      </c>
      <c r="F1171" s="39">
        <v>2.4174674884913117</v>
      </c>
      <c r="G1171" s="39">
        <v>64.203382761212509</v>
      </c>
      <c r="H1171" s="39">
        <v>66.566081730975313</v>
      </c>
      <c r="I1171" s="10">
        <v>0</v>
      </c>
      <c r="J1171" s="40">
        <v>0</v>
      </c>
      <c r="K1171" s="40">
        <v>0</v>
      </c>
      <c r="L1171" s="40">
        <v>0</v>
      </c>
      <c r="M1171" s="40">
        <v>0</v>
      </c>
      <c r="N1171" s="40">
        <v>0</v>
      </c>
      <c r="O1171" s="40">
        <v>1</v>
      </c>
      <c r="P1171" s="40">
        <v>0</v>
      </c>
      <c r="Q1171" s="40">
        <v>0</v>
      </c>
      <c r="R1171" s="40">
        <v>0</v>
      </c>
      <c r="S1171" s="40">
        <v>0</v>
      </c>
      <c r="T1171" s="29">
        <f t="array" aca="1" ref="T1171" ca="1">+fair_value_gap(OFFSET(S1170,0,0,-1*$I$5,-1*$Z$1),OFFSET(E1170,0,0,-1*$I$5,1),F1171:S1171,0)</f>
        <v>20.619554259445508</v>
      </c>
      <c r="U1171" s="9" cm="1">
        <f t="array" aca="1" ref="U1171" ca="1">z_score_diff(OFFSET(T1171,0,0,$I$5*-1,1),OFFSET(E1171,0,0,$I$5*-1,1))</f>
        <v>-5.290979827255804E-2</v>
      </c>
      <c r="V1171" s="9">
        <f t="shared" ca="1" si="151"/>
        <v>-8.6508931538050227E-2</v>
      </c>
      <c r="W1171" s="17">
        <f t="shared" ca="1" si="148"/>
        <v>-0.14256422892640436</v>
      </c>
      <c r="X1171" s="13">
        <f t="shared" ca="1" si="149"/>
        <v>0</v>
      </c>
      <c r="Y1171" s="13">
        <f t="shared" ca="1" si="150"/>
        <v>0</v>
      </c>
      <c r="Z1171">
        <f t="shared" ca="1" si="152"/>
        <v>1</v>
      </c>
      <c r="AA1171">
        <f t="shared" ca="1" si="153"/>
        <v>0</v>
      </c>
      <c r="AB1171" s="24">
        <f t="shared" ca="1" si="154"/>
        <v>-0.14256422892640436</v>
      </c>
      <c r="AC1171" s="24">
        <f t="shared" ca="1" si="155"/>
        <v>0</v>
      </c>
    </row>
    <row r="1172" spans="3:29" x14ac:dyDescent="0.25">
      <c r="C1172" s="6">
        <v>1165</v>
      </c>
      <c r="D1172" s="37">
        <v>43664</v>
      </c>
      <c r="E1172" s="39">
        <v>20.611000000000001</v>
      </c>
      <c r="F1172" s="39">
        <v>2.3973488343115328</v>
      </c>
      <c r="G1172" s="39">
        <v>64.085560936952518</v>
      </c>
      <c r="H1172" s="39">
        <v>66.398625599657251</v>
      </c>
      <c r="I1172" s="10">
        <v>0</v>
      </c>
      <c r="J1172" s="40">
        <v>0</v>
      </c>
      <c r="K1172" s="40">
        <v>0</v>
      </c>
      <c r="L1172" s="40">
        <v>0</v>
      </c>
      <c r="M1172" s="40">
        <v>0</v>
      </c>
      <c r="N1172" s="40">
        <v>0</v>
      </c>
      <c r="O1172" s="40">
        <v>1</v>
      </c>
      <c r="P1172" s="40">
        <v>0</v>
      </c>
      <c r="Q1172" s="40">
        <v>0</v>
      </c>
      <c r="R1172" s="40">
        <v>0</v>
      </c>
      <c r="S1172" s="40">
        <v>0</v>
      </c>
      <c r="T1172" s="29">
        <f t="array" aca="1" ref="T1172" ca="1">+fair_value_gap(OFFSET(S1171,0,0,-1*$I$5,-1*$Z$1),OFFSET(E1171,0,0,-1*$I$5,1),F1172:S1172,0)</f>
        <v>20.591492182097163</v>
      </c>
      <c r="U1172" s="9" cm="1">
        <f t="array" aca="1" ref="U1172" ca="1">z_score_diff(OFFSET(T1172,0,0,$I$5*-1,1),OFFSET(E1172,0,0,$I$5*-1,1))</f>
        <v>2.4889689545297466E-2</v>
      </c>
      <c r="V1172" s="9">
        <f t="shared" ca="1" si="151"/>
        <v>-8.3906494914054067E-2</v>
      </c>
      <c r="W1172" s="17">
        <f t="shared" ca="1" si="148"/>
        <v>-0.11586841732857314</v>
      </c>
      <c r="X1172" s="13">
        <f t="shared" ca="1" si="149"/>
        <v>0</v>
      </c>
      <c r="Y1172" s="13">
        <f t="shared" ca="1" si="150"/>
        <v>0</v>
      </c>
      <c r="Z1172">
        <f t="shared" ca="1" si="152"/>
        <v>1</v>
      </c>
      <c r="AA1172">
        <f t="shared" ca="1" si="153"/>
        <v>0</v>
      </c>
      <c r="AB1172" s="24">
        <f t="shared" ca="1" si="154"/>
        <v>-0.11586841732857314</v>
      </c>
      <c r="AC1172" s="24">
        <f t="shared" ca="1" si="155"/>
        <v>0</v>
      </c>
    </row>
    <row r="1173" spans="3:29" x14ac:dyDescent="0.25">
      <c r="C1173" s="6">
        <v>1166</v>
      </c>
      <c r="D1173" s="37">
        <v>43665</v>
      </c>
      <c r="E1173" s="39">
        <v>20.76</v>
      </c>
      <c r="F1173" s="39">
        <v>2.3965563645028514</v>
      </c>
      <c r="G1173" s="39">
        <v>64.318034199436198</v>
      </c>
      <c r="H1173" s="39">
        <v>67.7995738312502</v>
      </c>
      <c r="I1173" s="10">
        <v>0</v>
      </c>
      <c r="J1173" s="40">
        <v>0</v>
      </c>
      <c r="K1173" s="40">
        <v>0</v>
      </c>
      <c r="L1173" s="40">
        <v>0</v>
      </c>
      <c r="M1173" s="40">
        <v>0</v>
      </c>
      <c r="N1173" s="40">
        <v>0</v>
      </c>
      <c r="O1173" s="40">
        <v>1</v>
      </c>
      <c r="P1173" s="40">
        <v>0</v>
      </c>
      <c r="Q1173" s="40">
        <v>0</v>
      </c>
      <c r="R1173" s="40">
        <v>0</v>
      </c>
      <c r="S1173" s="40">
        <v>0</v>
      </c>
      <c r="T1173" s="29">
        <f t="array" aca="1" ref="T1173" ca="1">+fair_value_gap(OFFSET(S1172,0,0,-1*$I$5,-1*$Z$1),OFFSET(E1172,0,0,-1*$I$5,1),F1173:S1173,0)</f>
        <v>20.733629255516504</v>
      </c>
      <c r="U1173" s="9" cm="1">
        <f t="array" aca="1" ref="U1173" ca="1">z_score_diff(OFFSET(T1173,0,0,$I$5*-1,1),OFFSET(E1173,0,0,$I$5*-1,1))</f>
        <v>2.2961099292414522E-2</v>
      </c>
      <c r="V1173" s="9">
        <f t="shared" ca="1" si="151"/>
        <v>-8.747633814697546E-2</v>
      </c>
      <c r="W1173" s="17">
        <f t="shared" ca="1" si="148"/>
        <v>-0.12481638227319222</v>
      </c>
      <c r="X1173" s="13">
        <f t="shared" ca="1" si="149"/>
        <v>0</v>
      </c>
      <c r="Y1173" s="13">
        <f t="shared" ca="1" si="150"/>
        <v>0</v>
      </c>
      <c r="Z1173">
        <f t="shared" ca="1" si="152"/>
        <v>1</v>
      </c>
      <c r="AA1173">
        <f t="shared" ca="1" si="153"/>
        <v>0</v>
      </c>
      <c r="AB1173" s="24">
        <f t="shared" ca="1" si="154"/>
        <v>-0.12481638227319222</v>
      </c>
      <c r="AC1173" s="24">
        <f t="shared" ca="1" si="155"/>
        <v>0</v>
      </c>
    </row>
    <row r="1174" spans="3:29" x14ac:dyDescent="0.25">
      <c r="C1174" s="6">
        <v>1167</v>
      </c>
      <c r="D1174" s="37">
        <v>43668</v>
      </c>
      <c r="E1174" s="39">
        <v>20.614999999999998</v>
      </c>
      <c r="F1174" s="39">
        <v>2.415469307740064</v>
      </c>
      <c r="G1174" s="39">
        <v>64.188761454872491</v>
      </c>
      <c r="H1174" s="39">
        <v>68.866206356471068</v>
      </c>
      <c r="I1174" s="10">
        <v>0</v>
      </c>
      <c r="J1174" s="40">
        <v>0</v>
      </c>
      <c r="K1174" s="40">
        <v>0</v>
      </c>
      <c r="L1174" s="40">
        <v>0</v>
      </c>
      <c r="M1174" s="40">
        <v>0</v>
      </c>
      <c r="N1174" s="40">
        <v>0</v>
      </c>
      <c r="O1174" s="40">
        <v>1</v>
      </c>
      <c r="P1174" s="40">
        <v>0</v>
      </c>
      <c r="Q1174" s="40">
        <v>0</v>
      </c>
      <c r="R1174" s="40">
        <v>0</v>
      </c>
      <c r="S1174" s="40">
        <v>0</v>
      </c>
      <c r="T1174" s="29">
        <f t="array" aca="1" ref="T1174" ca="1">+fair_value_gap(OFFSET(S1173,0,0,-1*$I$5,-1*$Z$1),OFFSET(E1173,0,0,-1*$I$5,1),F1174:S1174,0)</f>
        <v>20.780336151031289</v>
      </c>
      <c r="U1174" s="9" cm="1">
        <f t="array" aca="1" ref="U1174" ca="1">z_score_diff(OFFSET(T1174,0,0,$I$5*-1,1),OFFSET(E1174,0,0,$I$5*-1,1))</f>
        <v>0.12971825848235705</v>
      </c>
      <c r="V1174" s="9">
        <f t="shared" ca="1" si="151"/>
        <v>-7.7680895619340107E-2</v>
      </c>
      <c r="W1174" s="17">
        <f t="shared" ca="1" si="148"/>
        <v>-0.11301634020386833</v>
      </c>
      <c r="X1174" s="13">
        <f t="shared" ca="1" si="149"/>
        <v>0</v>
      </c>
      <c r="Y1174" s="13">
        <f t="shared" ca="1" si="150"/>
        <v>0</v>
      </c>
      <c r="Z1174">
        <f t="shared" ca="1" si="152"/>
        <v>1</v>
      </c>
      <c r="AA1174">
        <f t="shared" ca="1" si="153"/>
        <v>0</v>
      </c>
      <c r="AB1174" s="24">
        <f t="shared" ca="1" si="154"/>
        <v>-0.11301634020386833</v>
      </c>
      <c r="AC1174" s="24">
        <f t="shared" ca="1" si="155"/>
        <v>0</v>
      </c>
    </row>
    <row r="1175" spans="3:29" x14ac:dyDescent="0.25">
      <c r="C1175" s="6">
        <v>1168</v>
      </c>
      <c r="D1175" s="37">
        <v>43669</v>
      </c>
      <c r="E1175" s="39">
        <v>20.847999999999999</v>
      </c>
      <c r="F1175" s="39">
        <v>2.4262696083209061</v>
      </c>
      <c r="G1175" s="39">
        <v>64.86487669218667</v>
      </c>
      <c r="H1175" s="39">
        <v>68.527237959863484</v>
      </c>
      <c r="I1175" s="10">
        <v>0</v>
      </c>
      <c r="J1175" s="40">
        <v>0</v>
      </c>
      <c r="K1175" s="40">
        <v>0</v>
      </c>
      <c r="L1175" s="40">
        <v>0</v>
      </c>
      <c r="M1175" s="40">
        <v>0</v>
      </c>
      <c r="N1175" s="40">
        <v>0</v>
      </c>
      <c r="O1175" s="40">
        <v>1</v>
      </c>
      <c r="P1175" s="40">
        <v>0</v>
      </c>
      <c r="Q1175" s="40">
        <v>0</v>
      </c>
      <c r="R1175" s="40">
        <v>0</v>
      </c>
      <c r="S1175" s="40">
        <v>0</v>
      </c>
      <c r="T1175" s="29">
        <f t="array" aca="1" ref="T1175" ca="1">+fair_value_gap(OFFSET(S1174,0,0,-1*$I$5,-1*$Z$1),OFFSET(E1174,0,0,-1*$I$5,1),F1175:S1175,0)</f>
        <v>20.966997531898407</v>
      </c>
      <c r="U1175" s="9" cm="1">
        <f t="array" aca="1" ref="U1175" ca="1">z_score_diff(OFFSET(T1175,0,0,$I$5*-1,1),OFFSET(E1175,0,0,$I$5*-1,1))</f>
        <v>0.10644789675978006</v>
      </c>
      <c r="V1175" s="9">
        <f t="shared" ca="1" si="151"/>
        <v>-7.0422004085801418E-2</v>
      </c>
      <c r="W1175" s="17">
        <f t="shared" ca="1" si="148"/>
        <v>-7.4617281828697618E-2</v>
      </c>
      <c r="X1175" s="13">
        <f t="shared" ca="1" si="149"/>
        <v>0</v>
      </c>
      <c r="Y1175" s="13">
        <f t="shared" ca="1" si="150"/>
        <v>0</v>
      </c>
      <c r="Z1175">
        <f t="shared" ca="1" si="152"/>
        <v>1</v>
      </c>
      <c r="AA1175">
        <f t="shared" ca="1" si="153"/>
        <v>0</v>
      </c>
      <c r="AB1175" s="24">
        <f t="shared" ca="1" si="154"/>
        <v>-7.4617281828697618E-2</v>
      </c>
      <c r="AC1175" s="24">
        <f t="shared" ca="1" si="155"/>
        <v>0</v>
      </c>
    </row>
    <row r="1176" spans="3:29" x14ac:dyDescent="0.25">
      <c r="C1176" s="6">
        <v>1169</v>
      </c>
      <c r="D1176" s="37">
        <v>43670</v>
      </c>
      <c r="E1176" s="39">
        <v>20.693000000000001</v>
      </c>
      <c r="F1176" s="39">
        <v>2.4049513704686114</v>
      </c>
      <c r="G1176" s="39">
        <v>64.354433940288928</v>
      </c>
      <c r="H1176" s="39">
        <v>68.059778741023493</v>
      </c>
      <c r="I1176" s="10">
        <v>0</v>
      </c>
      <c r="J1176" s="40">
        <v>0</v>
      </c>
      <c r="K1176" s="40">
        <v>0</v>
      </c>
      <c r="L1176" s="40">
        <v>0</v>
      </c>
      <c r="M1176" s="40">
        <v>0</v>
      </c>
      <c r="N1176" s="40">
        <v>0</v>
      </c>
      <c r="O1176" s="40">
        <v>1</v>
      </c>
      <c r="P1176" s="40">
        <v>0</v>
      </c>
      <c r="Q1176" s="40">
        <v>0</v>
      </c>
      <c r="R1176" s="40">
        <v>0</v>
      </c>
      <c r="S1176" s="40">
        <v>0</v>
      </c>
      <c r="T1176" s="29">
        <f t="array" aca="1" ref="T1176" ca="1">+fair_value_gap(OFFSET(S1175,0,0,-1*$I$5,-1*$Z$1),OFFSET(E1175,0,0,-1*$I$5,1),F1176:S1176,0)</f>
        <v>20.830251280857173</v>
      </c>
      <c r="U1176" s="9" cm="1">
        <f t="array" aca="1" ref="U1176" ca="1">z_score_diff(OFFSET(T1176,0,0,$I$5*-1,1),OFFSET(E1176,0,0,$I$5*-1,1))</f>
        <v>0.11403090071754501</v>
      </c>
      <c r="V1176" s="9">
        <f t="shared" ca="1" si="151"/>
        <v>-6.302942972022417E-2</v>
      </c>
      <c r="W1176" s="17">
        <f t="shared" ca="1" si="148"/>
        <v>-6.8344139252575015E-2</v>
      </c>
      <c r="X1176" s="13">
        <f t="shared" ca="1" si="149"/>
        <v>0</v>
      </c>
      <c r="Y1176" s="13">
        <f t="shared" ca="1" si="150"/>
        <v>0</v>
      </c>
      <c r="Z1176">
        <f t="shared" ca="1" si="152"/>
        <v>1</v>
      </c>
      <c r="AA1176">
        <f t="shared" ca="1" si="153"/>
        <v>0</v>
      </c>
      <c r="AB1176" s="24">
        <f t="shared" ca="1" si="154"/>
        <v>-6.8344139252575015E-2</v>
      </c>
      <c r="AC1176" s="24">
        <f t="shared" ca="1" si="155"/>
        <v>0</v>
      </c>
    </row>
    <row r="1177" spans="3:29" x14ac:dyDescent="0.25">
      <c r="C1177" s="6">
        <v>1170</v>
      </c>
      <c r="D1177" s="37">
        <v>43671</v>
      </c>
      <c r="E1177" s="39">
        <v>20.821000000000002</v>
      </c>
      <c r="F1177" s="39">
        <v>2.412163716886611</v>
      </c>
      <c r="G1177" s="39">
        <v>64.37629576735165</v>
      </c>
      <c r="H1177" s="39">
        <v>68.038701482028571</v>
      </c>
      <c r="I1177" s="10">
        <v>0</v>
      </c>
      <c r="J1177" s="40">
        <v>0</v>
      </c>
      <c r="K1177" s="40">
        <v>0</v>
      </c>
      <c r="L1177" s="40">
        <v>0</v>
      </c>
      <c r="M1177" s="40">
        <v>0</v>
      </c>
      <c r="N1177" s="40">
        <v>0</v>
      </c>
      <c r="O1177" s="40">
        <v>1</v>
      </c>
      <c r="P1177" s="40">
        <v>0</v>
      </c>
      <c r="Q1177" s="40">
        <v>0</v>
      </c>
      <c r="R1177" s="40">
        <v>0</v>
      </c>
      <c r="S1177" s="40">
        <v>0</v>
      </c>
      <c r="T1177" s="29">
        <f t="array" aca="1" ref="T1177" ca="1">+fair_value_gap(OFFSET(S1176,0,0,-1*$I$5,-1*$Z$1),OFFSET(E1176,0,0,-1*$I$5,1),F1177:S1177,0)</f>
        <v>20.829464184832325</v>
      </c>
      <c r="U1177" s="9" cm="1">
        <f t="array" aca="1" ref="U1177" ca="1">z_score_diff(OFFSET(T1177,0,0,$I$5*-1,1),OFFSET(E1177,0,0,$I$5*-1,1))</f>
        <v>4.1957953475332488E-2</v>
      </c>
      <c r="V1177" s="9">
        <f t="shared" ca="1" si="151"/>
        <v>-5.9373530402681875E-2</v>
      </c>
      <c r="W1177" s="17">
        <f t="shared" ca="1" si="148"/>
        <v>-0.10056385825876579</v>
      </c>
      <c r="X1177" s="13">
        <f t="shared" ca="1" si="149"/>
        <v>0</v>
      </c>
      <c r="Y1177" s="13">
        <f t="shared" ca="1" si="150"/>
        <v>0</v>
      </c>
      <c r="Z1177">
        <f t="shared" ca="1" si="152"/>
        <v>1</v>
      </c>
      <c r="AA1177">
        <f t="shared" ca="1" si="153"/>
        <v>0</v>
      </c>
      <c r="AB1177" s="24">
        <f t="shared" ca="1" si="154"/>
        <v>-0.10056385825876579</v>
      </c>
      <c r="AC1177" s="24">
        <f t="shared" ca="1" si="155"/>
        <v>0</v>
      </c>
    </row>
    <row r="1178" spans="3:29" x14ac:dyDescent="0.25">
      <c r="C1178" s="6">
        <v>1171</v>
      </c>
      <c r="D1178" s="37">
        <v>43672</v>
      </c>
      <c r="E1178" s="39">
        <v>20.687000000000001</v>
      </c>
      <c r="F1178" s="39">
        <v>2.3961364674867434</v>
      </c>
      <c r="G1178" s="39">
        <v>63.708233743764168</v>
      </c>
      <c r="H1178" s="39">
        <v>68.022980106193586</v>
      </c>
      <c r="I1178" s="10">
        <v>0</v>
      </c>
      <c r="J1178" s="40">
        <v>0</v>
      </c>
      <c r="K1178" s="40">
        <v>0</v>
      </c>
      <c r="L1178" s="40">
        <v>0</v>
      </c>
      <c r="M1178" s="40">
        <v>0</v>
      </c>
      <c r="N1178" s="40">
        <v>0</v>
      </c>
      <c r="O1178" s="40">
        <v>1</v>
      </c>
      <c r="P1178" s="40">
        <v>0</v>
      </c>
      <c r="Q1178" s="40">
        <v>0</v>
      </c>
      <c r="R1178" s="40">
        <v>0</v>
      </c>
      <c r="S1178" s="40">
        <v>0</v>
      </c>
      <c r="T1178" s="29">
        <f t="array" aca="1" ref="T1178" ca="1">+fair_value_gap(OFFSET(S1177,0,0,-1*$I$5,-1*$Z$1),OFFSET(E1177,0,0,-1*$I$5,1),F1178:S1178,0)</f>
        <v>20.639775219293401</v>
      </c>
      <c r="U1178" s="9" cm="1">
        <f t="array" aca="1" ref="U1178" ca="1">z_score_diff(OFFSET(T1178,0,0,$I$5*-1,1),OFFSET(E1178,0,0,$I$5*-1,1))</f>
        <v>8.4869586395712182E-3</v>
      </c>
      <c r="V1178" s="9">
        <f t="shared" ca="1" si="151"/>
        <v>-5.6743930629264416E-2</v>
      </c>
      <c r="W1178" s="17">
        <f t="shared" ca="1" si="148"/>
        <v>-0.10050079215763066</v>
      </c>
      <c r="X1178" s="13">
        <f t="shared" ca="1" si="149"/>
        <v>0</v>
      </c>
      <c r="Y1178" s="13">
        <f t="shared" ca="1" si="150"/>
        <v>0</v>
      </c>
      <c r="Z1178">
        <f t="shared" ca="1" si="152"/>
        <v>1</v>
      </c>
      <c r="AA1178">
        <f t="shared" ca="1" si="153"/>
        <v>0</v>
      </c>
      <c r="AB1178" s="24">
        <f t="shared" ca="1" si="154"/>
        <v>-0.10050079215763066</v>
      </c>
      <c r="AC1178" s="24">
        <f t="shared" ca="1" si="155"/>
        <v>0</v>
      </c>
    </row>
    <row r="1179" spans="3:29" x14ac:dyDescent="0.25">
      <c r="C1179" s="6">
        <v>1172</v>
      </c>
      <c r="D1179" s="37">
        <v>43675</v>
      </c>
      <c r="E1179" s="39">
        <v>20.494</v>
      </c>
      <c r="F1179" s="39">
        <v>2.3853946285532079</v>
      </c>
      <c r="G1179" s="39">
        <v>63.238658178920225</v>
      </c>
      <c r="H1179" s="39">
        <v>65.925826981329635</v>
      </c>
      <c r="I1179" s="10">
        <v>0</v>
      </c>
      <c r="J1179" s="40">
        <v>0</v>
      </c>
      <c r="K1179" s="40">
        <v>0</v>
      </c>
      <c r="L1179" s="40">
        <v>0</v>
      </c>
      <c r="M1179" s="40">
        <v>0</v>
      </c>
      <c r="N1179" s="40">
        <v>0</v>
      </c>
      <c r="O1179" s="40">
        <v>1</v>
      </c>
      <c r="P1179" s="40">
        <v>0</v>
      </c>
      <c r="Q1179" s="40">
        <v>0</v>
      </c>
      <c r="R1179" s="40">
        <v>0</v>
      </c>
      <c r="S1179" s="40">
        <v>0</v>
      </c>
      <c r="T1179" s="29">
        <f t="array" aca="1" ref="T1179" ca="1">+fair_value_gap(OFFSET(S1178,0,0,-1*$I$5,-1*$Z$1),OFFSET(E1178,0,0,-1*$I$5,1),F1179:S1179,0)</f>
        <v>20.402947952423926</v>
      </c>
      <c r="U1179" s="9" cm="1">
        <f t="array" aca="1" ref="U1179" ca="1">z_score_diff(OFFSET(T1179,0,0,$I$5*-1,1),OFFSET(E1179,0,0,$I$5*-1,1))</f>
        <v>-1.9111397978323744E-2</v>
      </c>
      <c r="V1179" s="9">
        <f t="shared" ca="1" si="151"/>
        <v>-5.6572301029277801E-2</v>
      </c>
      <c r="W1179" s="17">
        <f t="shared" ca="1" si="148"/>
        <v>-2.7053404289098578E-2</v>
      </c>
      <c r="X1179" s="13">
        <f t="shared" ca="1" si="149"/>
        <v>0</v>
      </c>
      <c r="Y1179" s="13">
        <f t="shared" ca="1" si="150"/>
        <v>0</v>
      </c>
      <c r="Z1179">
        <f t="shared" ca="1" si="152"/>
        <v>1</v>
      </c>
      <c r="AA1179">
        <f t="shared" ca="1" si="153"/>
        <v>0</v>
      </c>
      <c r="AB1179" s="24">
        <f t="shared" ca="1" si="154"/>
        <v>-2.7053404289098578E-2</v>
      </c>
      <c r="AC1179" s="24">
        <f t="shared" ca="1" si="155"/>
        <v>0</v>
      </c>
    </row>
    <row r="1180" spans="3:29" x14ac:dyDescent="0.25">
      <c r="C1180" s="6">
        <v>1173</v>
      </c>
      <c r="D1180" s="37">
        <v>43676</v>
      </c>
      <c r="E1180" s="39">
        <v>20.457000000000001</v>
      </c>
      <c r="F1180" s="39">
        <v>2.3709355851336396</v>
      </c>
      <c r="G1180" s="39">
        <v>63.1118200751825</v>
      </c>
      <c r="H1180" s="39">
        <v>65.323452282014728</v>
      </c>
      <c r="I1180" s="10">
        <v>0</v>
      </c>
      <c r="J1180" s="40">
        <v>0</v>
      </c>
      <c r="K1180" s="40">
        <v>0</v>
      </c>
      <c r="L1180" s="40">
        <v>0</v>
      </c>
      <c r="M1180" s="40">
        <v>0</v>
      </c>
      <c r="N1180" s="40">
        <v>0</v>
      </c>
      <c r="O1180" s="40">
        <v>1</v>
      </c>
      <c r="P1180" s="40">
        <v>0</v>
      </c>
      <c r="Q1180" s="40">
        <v>0</v>
      </c>
      <c r="R1180" s="40">
        <v>0</v>
      </c>
      <c r="S1180" s="40">
        <v>0</v>
      </c>
      <c r="T1180" s="29">
        <f t="array" aca="1" ref="T1180" ca="1">+fair_value_gap(OFFSET(S1179,0,0,-1*$I$5,-1*$Z$1),OFFSET(E1179,0,0,-1*$I$5,1),F1180:S1180,0)</f>
        <v>20.337637608930816</v>
      </c>
      <c r="U1180" s="9" cm="1">
        <f t="array" aca="1" ref="U1180" ca="1">z_score_diff(OFFSET(T1180,0,0,$I$5*-1,1),OFFSET(E1180,0,0,$I$5*-1,1))</f>
        <v>-3.5716472054537859E-2</v>
      </c>
      <c r="V1180" s="9">
        <f t="shared" ca="1" si="151"/>
        <v>-5.7558623901267557E-2</v>
      </c>
      <c r="W1180" s="17">
        <f t="shared" ca="1" si="148"/>
        <v>-6.1697568533395607E-2</v>
      </c>
      <c r="X1180" s="13">
        <f t="shared" ca="1" si="149"/>
        <v>0</v>
      </c>
      <c r="Y1180" s="13">
        <f t="shared" ca="1" si="150"/>
        <v>0</v>
      </c>
      <c r="Z1180">
        <f t="shared" ca="1" si="152"/>
        <v>1</v>
      </c>
      <c r="AA1180">
        <f t="shared" ca="1" si="153"/>
        <v>0</v>
      </c>
      <c r="AB1180" s="24">
        <f t="shared" ca="1" si="154"/>
        <v>-6.1697568533395607E-2</v>
      </c>
      <c r="AC1180" s="24">
        <f t="shared" ca="1" si="155"/>
        <v>0</v>
      </c>
    </row>
    <row r="1181" spans="3:29" x14ac:dyDescent="0.25">
      <c r="C1181" s="6">
        <v>1174</v>
      </c>
      <c r="D1181" s="37">
        <v>43677</v>
      </c>
      <c r="E1181" s="39">
        <v>20.283000000000001</v>
      </c>
      <c r="F1181" s="39">
        <v>2.4016611272628872</v>
      </c>
      <c r="G1181" s="39">
        <v>64.003067666386968</v>
      </c>
      <c r="H1181" s="39">
        <v>65.831014647617593</v>
      </c>
      <c r="I1181" s="10">
        <v>0</v>
      </c>
      <c r="J1181" s="40">
        <v>0</v>
      </c>
      <c r="K1181" s="40">
        <v>0</v>
      </c>
      <c r="L1181" s="40">
        <v>0</v>
      </c>
      <c r="M1181" s="40">
        <v>0</v>
      </c>
      <c r="N1181" s="40">
        <v>0</v>
      </c>
      <c r="O1181" s="40">
        <v>1</v>
      </c>
      <c r="P1181" s="40">
        <v>0</v>
      </c>
      <c r="Q1181" s="40">
        <v>0</v>
      </c>
      <c r="R1181" s="40">
        <v>0</v>
      </c>
      <c r="S1181" s="40">
        <v>0</v>
      </c>
      <c r="T1181" s="29">
        <f t="array" aca="1" ref="T1181" ca="1">+fair_value_gap(OFFSET(S1180,0,0,-1*$I$5,-1*$Z$1),OFFSET(E1180,0,0,-1*$I$5,1),F1181:S1181,0)</f>
        <v>20.621801755094086</v>
      </c>
      <c r="U1181" s="9" cm="1">
        <f t="array" aca="1" ref="U1181" ca="1">z_score_diff(OFFSET(T1181,0,0,$I$5*-1,1),OFFSET(E1181,0,0,$I$5*-1,1))</f>
        <v>0.22383764756556532</v>
      </c>
      <c r="V1181" s="9">
        <f t="shared" ca="1" si="151"/>
        <v>-5.1771555470267037E-2</v>
      </c>
      <c r="W1181" s="17">
        <f t="shared" ca="1" si="148"/>
        <v>-6.1456945619929829E-2</v>
      </c>
      <c r="X1181" s="13">
        <f t="shared" ca="1" si="149"/>
        <v>0</v>
      </c>
      <c r="Y1181" s="13">
        <f t="shared" ca="1" si="150"/>
        <v>0</v>
      </c>
      <c r="Z1181">
        <f t="shared" ca="1" si="152"/>
        <v>1</v>
      </c>
      <c r="AA1181">
        <f t="shared" ca="1" si="153"/>
        <v>0</v>
      </c>
      <c r="AB1181" s="24">
        <f t="shared" ca="1" si="154"/>
        <v>-6.1456945619929829E-2</v>
      </c>
      <c r="AC1181" s="24">
        <f t="shared" ca="1" si="155"/>
        <v>0</v>
      </c>
    </row>
    <row r="1182" spans="3:29" x14ac:dyDescent="0.25">
      <c r="C1182" s="6">
        <v>1175</v>
      </c>
      <c r="D1182" s="37">
        <v>43678</v>
      </c>
      <c r="E1182" s="39">
        <v>20.471</v>
      </c>
      <c r="F1182" s="39">
        <v>2.4048482574620644</v>
      </c>
      <c r="G1182" s="39">
        <v>64.690142812624245</v>
      </c>
      <c r="H1182" s="39">
        <v>66.569743204935804</v>
      </c>
      <c r="I1182" s="10">
        <v>0</v>
      </c>
      <c r="J1182" s="40">
        <v>0</v>
      </c>
      <c r="K1182" s="40">
        <v>0</v>
      </c>
      <c r="L1182" s="40">
        <v>0</v>
      </c>
      <c r="M1182" s="40">
        <v>0</v>
      </c>
      <c r="N1182" s="40">
        <v>0</v>
      </c>
      <c r="O1182" s="40">
        <v>0</v>
      </c>
      <c r="P1182" s="40">
        <v>1</v>
      </c>
      <c r="Q1182" s="40">
        <v>0</v>
      </c>
      <c r="R1182" s="40">
        <v>0</v>
      </c>
      <c r="S1182" s="40">
        <v>0</v>
      </c>
      <c r="T1182" s="29">
        <f t="array" aca="1" ref="T1182" ca="1">+fair_value_gap(OFFSET(S1181,0,0,-1*$I$5,-1*$Z$1),OFFSET(E1181,0,0,-1*$I$5,1),F1182:S1182,0)</f>
        <v>20.525575063092294</v>
      </c>
      <c r="U1182" s="9" cm="1">
        <f t="array" aca="1" ref="U1182" ca="1">z_score_diff(OFFSET(T1182,0,0,$I$5*-1,1),OFFSET(E1182,0,0,$I$5*-1,1))</f>
        <v>6.3257374286387807E-2</v>
      </c>
      <c r="V1182" s="9">
        <f t="shared" ca="1" si="151"/>
        <v>-4.890976381636019E-2</v>
      </c>
      <c r="W1182" s="17">
        <f t="shared" ca="1" si="148"/>
        <v>-6.4046889447704786E-2</v>
      </c>
      <c r="X1182" s="13">
        <f t="shared" ca="1" si="149"/>
        <v>0</v>
      </c>
      <c r="Y1182" s="13">
        <f t="shared" ca="1" si="150"/>
        <v>0</v>
      </c>
      <c r="Z1182">
        <f t="shared" ca="1" si="152"/>
        <v>1</v>
      </c>
      <c r="AA1182">
        <f t="shared" ca="1" si="153"/>
        <v>0</v>
      </c>
      <c r="AB1182" s="24">
        <f t="shared" ca="1" si="154"/>
        <v>-6.4046889447704786E-2</v>
      </c>
      <c r="AC1182" s="24">
        <f t="shared" ca="1" si="155"/>
        <v>0</v>
      </c>
    </row>
    <row r="1183" spans="3:29" x14ac:dyDescent="0.25">
      <c r="C1183" s="6">
        <v>1176</v>
      </c>
      <c r="D1183" s="37">
        <v>43679</v>
      </c>
      <c r="E1183" s="39">
        <v>19.933</v>
      </c>
      <c r="F1183" s="39">
        <v>2.371233197264762</v>
      </c>
      <c r="G1183" s="39">
        <v>63.358686829209631</v>
      </c>
      <c r="H1183" s="39">
        <v>66.127592452961011</v>
      </c>
      <c r="I1183" s="10">
        <v>0</v>
      </c>
      <c r="J1183" s="40">
        <v>0</v>
      </c>
      <c r="K1183" s="40">
        <v>0</v>
      </c>
      <c r="L1183" s="40">
        <v>0</v>
      </c>
      <c r="M1183" s="40">
        <v>0</v>
      </c>
      <c r="N1183" s="40">
        <v>0</v>
      </c>
      <c r="O1183" s="40">
        <v>0</v>
      </c>
      <c r="P1183" s="40">
        <v>1</v>
      </c>
      <c r="Q1183" s="40">
        <v>0</v>
      </c>
      <c r="R1183" s="40">
        <v>0</v>
      </c>
      <c r="S1183" s="40">
        <v>0</v>
      </c>
      <c r="T1183" s="29">
        <f t="array" aca="1" ref="T1183" ca="1">+fair_value_gap(OFFSET(S1182,0,0,-1*$I$5,-1*$Z$1),OFFSET(E1182,0,0,-1*$I$5,1),F1183:S1183,0)</f>
        <v>20.144611140374099</v>
      </c>
      <c r="U1183" s="9" cm="1">
        <f t="array" aca="1" ref="U1183" ca="1">z_score_diff(OFFSET(T1183,0,0,$I$5*-1,1),OFFSET(E1183,0,0,$I$5*-1,1))</f>
        <v>0.14689653316708473</v>
      </c>
      <c r="V1183" s="9">
        <f t="shared" ca="1" si="151"/>
        <v>-4.3117667038367016E-2</v>
      </c>
      <c r="W1183" s="17">
        <f t="shared" ca="1" si="148"/>
        <v>-2.2013467537178949E-2</v>
      </c>
      <c r="X1183" s="13">
        <f t="shared" ca="1" si="149"/>
        <v>0</v>
      </c>
      <c r="Y1183" s="13">
        <f t="shared" ca="1" si="150"/>
        <v>0</v>
      </c>
      <c r="Z1183">
        <f t="shared" ca="1" si="152"/>
        <v>1</v>
      </c>
      <c r="AA1183">
        <f t="shared" ca="1" si="153"/>
        <v>0</v>
      </c>
      <c r="AB1183" s="24">
        <f t="shared" ca="1" si="154"/>
        <v>-2.2013467537178949E-2</v>
      </c>
      <c r="AC1183" s="24">
        <f t="shared" ca="1" si="155"/>
        <v>0</v>
      </c>
    </row>
    <row r="1184" spans="3:29" x14ac:dyDescent="0.25">
      <c r="C1184" s="6">
        <v>1177</v>
      </c>
      <c r="D1184" s="37">
        <v>43682</v>
      </c>
      <c r="E1184" s="39">
        <v>19.701000000000001</v>
      </c>
      <c r="F1184" s="39">
        <v>2.3366761621968717</v>
      </c>
      <c r="G1184" s="39">
        <v>62.158516450783821</v>
      </c>
      <c r="H1184" s="39">
        <v>64.42882446485288</v>
      </c>
      <c r="I1184" s="10">
        <v>0</v>
      </c>
      <c r="J1184" s="40">
        <v>0</v>
      </c>
      <c r="K1184" s="40">
        <v>0</v>
      </c>
      <c r="L1184" s="40">
        <v>0</v>
      </c>
      <c r="M1184" s="40">
        <v>0</v>
      </c>
      <c r="N1184" s="40">
        <v>0</v>
      </c>
      <c r="O1184" s="40">
        <v>0</v>
      </c>
      <c r="P1184" s="40">
        <v>1</v>
      </c>
      <c r="Q1184" s="40">
        <v>0</v>
      </c>
      <c r="R1184" s="40">
        <v>0</v>
      </c>
      <c r="S1184" s="40">
        <v>0</v>
      </c>
      <c r="T1184" s="29">
        <f t="array" aca="1" ref="T1184" ca="1">+fair_value_gap(OFFSET(S1183,0,0,-1*$I$5,-1*$Z$1),OFFSET(E1183,0,0,-1*$I$5,1),F1184:S1184,0)</f>
        <v>19.721272699160433</v>
      </c>
      <c r="U1184" s="9" cm="1">
        <f t="array" aca="1" ref="U1184" ca="1">z_score_diff(OFFSET(T1184,0,0,$I$5*-1,1),OFFSET(E1184,0,0,$I$5*-1,1))</f>
        <v>3.3687956148103215E-2</v>
      </c>
      <c r="V1184" s="9">
        <f t="shared" ca="1" si="151"/>
        <v>-4.0782072200303422E-2</v>
      </c>
      <c r="W1184" s="17">
        <f t="shared" ca="1" si="148"/>
        <v>-1.7563625150048369E-2</v>
      </c>
      <c r="X1184" s="13">
        <f t="shared" ca="1" si="149"/>
        <v>0</v>
      </c>
      <c r="Y1184" s="13">
        <f t="shared" ca="1" si="150"/>
        <v>0</v>
      </c>
      <c r="Z1184">
        <f t="shared" ca="1" si="152"/>
        <v>1</v>
      </c>
      <c r="AA1184">
        <f t="shared" ca="1" si="153"/>
        <v>0</v>
      </c>
      <c r="AB1184" s="24">
        <f t="shared" ca="1" si="154"/>
        <v>-1.7563625150048369E-2</v>
      </c>
      <c r="AC1184" s="24">
        <f t="shared" ca="1" si="155"/>
        <v>0</v>
      </c>
    </row>
    <row r="1185" spans="3:29" x14ac:dyDescent="0.25">
      <c r="C1185" s="6">
        <v>1178</v>
      </c>
      <c r="D1185" s="37">
        <v>43683</v>
      </c>
      <c r="E1185" s="39">
        <v>19.693999999999999</v>
      </c>
      <c r="F1185" s="39">
        <v>2.3258577515388033</v>
      </c>
      <c r="G1185" s="39">
        <v>62.044682401988162</v>
      </c>
      <c r="H1185" s="39">
        <v>63.592963699052433</v>
      </c>
      <c r="I1185" s="10">
        <v>0</v>
      </c>
      <c r="J1185" s="40">
        <v>0</v>
      </c>
      <c r="K1185" s="40">
        <v>0</v>
      </c>
      <c r="L1185" s="40">
        <v>0</v>
      </c>
      <c r="M1185" s="40">
        <v>0</v>
      </c>
      <c r="N1185" s="40">
        <v>0</v>
      </c>
      <c r="O1185" s="40">
        <v>0</v>
      </c>
      <c r="P1185" s="40">
        <v>1</v>
      </c>
      <c r="Q1185" s="40">
        <v>0</v>
      </c>
      <c r="R1185" s="40">
        <v>0</v>
      </c>
      <c r="S1185" s="40">
        <v>0</v>
      </c>
      <c r="T1185" s="29">
        <f t="array" aca="1" ref="T1185" ca="1">+fair_value_gap(OFFSET(S1184,0,0,-1*$I$5,-1*$Z$1),OFFSET(E1184,0,0,-1*$I$5,1),F1185:S1185,0)</f>
        <v>19.650897251819554</v>
      </c>
      <c r="U1185" s="9" cm="1">
        <f t="array" aca="1" ref="U1185" ca="1">z_score_diff(OFFSET(T1185,0,0,$I$5*-1,1),OFFSET(E1185,0,0,$I$5*-1,1))</f>
        <v>-3.1025781900495542E-3</v>
      </c>
      <c r="V1185" s="9">
        <f t="shared" ca="1" si="151"/>
        <v>-3.9188292563444103E-2</v>
      </c>
      <c r="W1185" s="17">
        <f t="shared" ca="1" si="148"/>
        <v>-1.9328483601454092E-2</v>
      </c>
      <c r="X1185" s="13">
        <f t="shared" ca="1" si="149"/>
        <v>0</v>
      </c>
      <c r="Y1185" s="13">
        <f t="shared" ca="1" si="150"/>
        <v>0</v>
      </c>
      <c r="Z1185">
        <f t="shared" ca="1" si="152"/>
        <v>1</v>
      </c>
      <c r="AA1185">
        <f t="shared" ca="1" si="153"/>
        <v>0</v>
      </c>
      <c r="AB1185" s="24">
        <f t="shared" ca="1" si="154"/>
        <v>-1.9328483601454092E-2</v>
      </c>
      <c r="AC1185" s="24">
        <f t="shared" ca="1" si="155"/>
        <v>0</v>
      </c>
    </row>
    <row r="1186" spans="3:29" x14ac:dyDescent="0.25">
      <c r="C1186" s="6">
        <v>1179</v>
      </c>
      <c r="D1186" s="37">
        <v>43684</v>
      </c>
      <c r="E1186" s="39">
        <v>19.396000000000001</v>
      </c>
      <c r="F1186" s="39">
        <v>2.3184238854543464</v>
      </c>
      <c r="G1186" s="39">
        <v>61.751624315406339</v>
      </c>
      <c r="H1186" s="39">
        <v>63.433456494215569</v>
      </c>
      <c r="I1186" s="10">
        <v>0</v>
      </c>
      <c r="J1186" s="40">
        <v>0</v>
      </c>
      <c r="K1186" s="40">
        <v>0</v>
      </c>
      <c r="L1186" s="40">
        <v>0</v>
      </c>
      <c r="M1186" s="40">
        <v>0</v>
      </c>
      <c r="N1186" s="40">
        <v>0</v>
      </c>
      <c r="O1186" s="40">
        <v>0</v>
      </c>
      <c r="P1186" s="40">
        <v>1</v>
      </c>
      <c r="Q1186" s="40">
        <v>0</v>
      </c>
      <c r="R1186" s="40">
        <v>0</v>
      </c>
      <c r="S1186" s="40">
        <v>0</v>
      </c>
      <c r="T1186" s="29">
        <f t="array" aca="1" ref="T1186" ca="1">+fair_value_gap(OFFSET(S1185,0,0,-1*$I$5,-1*$Z$1),OFFSET(E1185,0,0,-1*$I$5,1),F1186:S1186,0)</f>
        <v>19.573292969258659</v>
      </c>
      <c r="U1186" s="9" cm="1">
        <f t="array" aca="1" ref="U1186" ca="1">z_score_diff(OFFSET(T1186,0,0,$I$5*-1,1),OFFSET(E1186,0,0,$I$5*-1,1))</f>
        <v>0.12048915123696141</v>
      </c>
      <c r="V1186" s="9">
        <f t="shared" ca="1" si="151"/>
        <v>-3.3571414592452352E-2</v>
      </c>
      <c r="W1186" s="17">
        <f t="shared" ca="1" si="148"/>
        <v>-1.7999757670395824E-2</v>
      </c>
      <c r="X1186" s="13">
        <f t="shared" ca="1" si="149"/>
        <v>0</v>
      </c>
      <c r="Y1186" s="13">
        <f t="shared" ca="1" si="150"/>
        <v>0</v>
      </c>
      <c r="Z1186">
        <f t="shared" ca="1" si="152"/>
        <v>1</v>
      </c>
      <c r="AA1186">
        <f t="shared" ca="1" si="153"/>
        <v>0</v>
      </c>
      <c r="AB1186" s="24">
        <f t="shared" ca="1" si="154"/>
        <v>-1.7999757670395824E-2</v>
      </c>
      <c r="AC1186" s="24">
        <f t="shared" ca="1" si="155"/>
        <v>0</v>
      </c>
    </row>
    <row r="1187" spans="3:29" x14ac:dyDescent="0.25">
      <c r="C1187" s="6">
        <v>1180</v>
      </c>
      <c r="D1187" s="37">
        <v>43685</v>
      </c>
      <c r="E1187" s="39">
        <v>19.29</v>
      </c>
      <c r="F1187" s="39">
        <v>2.3191854399986203</v>
      </c>
      <c r="G1187" s="39">
        <v>61.563100849058216</v>
      </c>
      <c r="H1187" s="39">
        <v>63.497400615575614</v>
      </c>
      <c r="I1187" s="10">
        <v>0</v>
      </c>
      <c r="J1187" s="40">
        <v>0</v>
      </c>
      <c r="K1187" s="40">
        <v>0</v>
      </c>
      <c r="L1187" s="40">
        <v>0</v>
      </c>
      <c r="M1187" s="40">
        <v>0</v>
      </c>
      <c r="N1187" s="40">
        <v>0</v>
      </c>
      <c r="O1187" s="40">
        <v>0</v>
      </c>
      <c r="P1187" s="40">
        <v>1</v>
      </c>
      <c r="Q1187" s="40">
        <v>0</v>
      </c>
      <c r="R1187" s="40">
        <v>0</v>
      </c>
      <c r="S1187" s="40">
        <v>0</v>
      </c>
      <c r="T1187" s="29">
        <f t="array" aca="1" ref="T1187" ca="1">+fair_value_gap(OFFSET(S1186,0,0,-1*$I$5,-1*$Z$1),OFFSET(E1186,0,0,-1*$I$5,1),F1187:S1187,0)</f>
        <v>19.510875624827829</v>
      </c>
      <c r="U1187" s="9" cm="1">
        <f t="array" aca="1" ref="U1187" ca="1">z_score_diff(OFFSET(T1187,0,0,$I$5*-1,1),OFFSET(E1187,0,0,$I$5*-1,1))</f>
        <v>0.14415800460777134</v>
      </c>
      <c r="V1187" s="9">
        <f t="shared" ca="1" si="151"/>
        <v>-2.8363365302652634E-2</v>
      </c>
      <c r="W1187" s="17">
        <f t="shared" ca="1" si="148"/>
        <v>-6.0316322628328808E-3</v>
      </c>
      <c r="X1187" s="13">
        <f t="shared" ca="1" si="149"/>
        <v>0</v>
      </c>
      <c r="Y1187" s="13">
        <f t="shared" ca="1" si="150"/>
        <v>0</v>
      </c>
      <c r="Z1187">
        <f t="shared" ca="1" si="152"/>
        <v>1</v>
      </c>
      <c r="AA1187">
        <f t="shared" ca="1" si="153"/>
        <v>0</v>
      </c>
      <c r="AB1187" s="24">
        <f t="shared" ca="1" si="154"/>
        <v>-6.0316322628328808E-3</v>
      </c>
      <c r="AC1187" s="24">
        <f t="shared" ca="1" si="155"/>
        <v>0</v>
      </c>
    </row>
    <row r="1188" spans="3:29" x14ac:dyDescent="0.25">
      <c r="C1188" s="6">
        <v>1181</v>
      </c>
      <c r="D1188" s="37">
        <v>43686</v>
      </c>
      <c r="E1188" s="39">
        <v>19.343</v>
      </c>
      <c r="F1188" s="39">
        <v>2.3127339856517497</v>
      </c>
      <c r="G1188" s="39">
        <v>61.154444205655913</v>
      </c>
      <c r="H1188" s="39">
        <v>63.156752735501058</v>
      </c>
      <c r="I1188" s="10">
        <v>0</v>
      </c>
      <c r="J1188" s="40">
        <v>0</v>
      </c>
      <c r="K1188" s="40">
        <v>0</v>
      </c>
      <c r="L1188" s="40">
        <v>0</v>
      </c>
      <c r="M1188" s="40">
        <v>0</v>
      </c>
      <c r="N1188" s="40">
        <v>0</v>
      </c>
      <c r="O1188" s="40">
        <v>0</v>
      </c>
      <c r="P1188" s="40">
        <v>1</v>
      </c>
      <c r="Q1188" s="40">
        <v>0</v>
      </c>
      <c r="R1188" s="40">
        <v>0</v>
      </c>
      <c r="S1188" s="40">
        <v>0</v>
      </c>
      <c r="T1188" s="29">
        <f t="array" aca="1" ref="T1188" ca="1">+fair_value_gap(OFFSET(S1187,0,0,-1*$I$5,-1*$Z$1),OFFSET(E1187,0,0,-1*$I$5,1),F1188:S1188,0)</f>
        <v>19.365084976021212</v>
      </c>
      <c r="U1188" s="9" cm="1">
        <f t="array" aca="1" ref="U1188" ca="1">z_score_diff(OFFSET(T1188,0,0,$I$5*-1,1),OFFSET(E1188,0,0,$I$5*-1,1))</f>
        <v>2.8877053802514041E-2</v>
      </c>
      <c r="V1188" s="9">
        <f t="shared" ca="1" si="151"/>
        <v>-2.4983583727709795E-2</v>
      </c>
      <c r="W1188" s="17">
        <f t="shared" ca="1" si="148"/>
        <v>-2.1001712245356248E-2</v>
      </c>
      <c r="X1188" s="13">
        <f t="shared" ca="1" si="149"/>
        <v>0</v>
      </c>
      <c r="Y1188" s="13">
        <f t="shared" ca="1" si="150"/>
        <v>0</v>
      </c>
      <c r="Z1188">
        <f t="shared" ca="1" si="152"/>
        <v>1</v>
      </c>
      <c r="AA1188">
        <f t="shared" ca="1" si="153"/>
        <v>0</v>
      </c>
      <c r="AB1188" s="24">
        <f t="shared" ca="1" si="154"/>
        <v>-2.1001712245356248E-2</v>
      </c>
      <c r="AC1188" s="24">
        <f t="shared" ca="1" si="155"/>
        <v>0</v>
      </c>
    </row>
    <row r="1189" spans="3:29" x14ac:dyDescent="0.25">
      <c r="C1189" s="6">
        <v>1182</v>
      </c>
      <c r="D1189" s="37">
        <v>43689</v>
      </c>
      <c r="E1189" s="39">
        <v>19.178000000000001</v>
      </c>
      <c r="F1189" s="39">
        <v>2.2827752356288338</v>
      </c>
      <c r="G1189" s="39">
        <v>61.168217881403379</v>
      </c>
      <c r="H1189" s="39">
        <v>62.851551685298581</v>
      </c>
      <c r="I1189" s="10">
        <v>0</v>
      </c>
      <c r="J1189" s="40">
        <v>0</v>
      </c>
      <c r="K1189" s="40">
        <v>0</v>
      </c>
      <c r="L1189" s="40">
        <v>0</v>
      </c>
      <c r="M1189" s="40">
        <v>0</v>
      </c>
      <c r="N1189" s="40">
        <v>0</v>
      </c>
      <c r="O1189" s="40">
        <v>0</v>
      </c>
      <c r="P1189" s="40">
        <v>1</v>
      </c>
      <c r="Q1189" s="40">
        <v>0</v>
      </c>
      <c r="R1189" s="40">
        <v>0</v>
      </c>
      <c r="S1189" s="40">
        <v>0</v>
      </c>
      <c r="T1189" s="29">
        <f t="array" aca="1" ref="T1189" ca="1">+fair_value_gap(OFFSET(S1188,0,0,-1*$I$5,-1*$Z$1),OFFSET(E1188,0,0,-1*$I$5,1),F1189:S1189,0)</f>
        <v>19.351223563361792</v>
      </c>
      <c r="U1189" s="9" cm="1">
        <f t="array" aca="1" ref="U1189" ca="1">z_score_diff(OFFSET(T1189,0,0,$I$5*-1,1),OFFSET(E1189,0,0,$I$5*-1,1))</f>
        <v>0.11526069700174307</v>
      </c>
      <c r="V1189" s="9">
        <f t="shared" ca="1" si="151"/>
        <v>-1.9637407484183786E-2</v>
      </c>
      <c r="W1189" s="17">
        <f t="shared" ca="1" si="148"/>
        <v>-5.9289347251725313E-2</v>
      </c>
      <c r="X1189" s="13">
        <f t="shared" ca="1" si="149"/>
        <v>0</v>
      </c>
      <c r="Y1189" s="13">
        <f t="shared" ca="1" si="150"/>
        <v>0</v>
      </c>
      <c r="Z1189">
        <f t="shared" ca="1" si="152"/>
        <v>1</v>
      </c>
      <c r="AA1189">
        <f t="shared" ca="1" si="153"/>
        <v>0</v>
      </c>
      <c r="AB1189" s="24">
        <f t="shared" ca="1" si="154"/>
        <v>-5.9289347251725313E-2</v>
      </c>
      <c r="AC1189" s="24">
        <f t="shared" ca="1" si="155"/>
        <v>0</v>
      </c>
    </row>
    <row r="1190" spans="3:29" x14ac:dyDescent="0.25">
      <c r="C1190" s="6">
        <v>1183</v>
      </c>
      <c r="D1190" s="37">
        <v>43690</v>
      </c>
      <c r="E1190" s="39">
        <v>19.471</v>
      </c>
      <c r="F1190" s="39">
        <v>2.2982201513806997</v>
      </c>
      <c r="G1190" s="39">
        <v>61.961292453489335</v>
      </c>
      <c r="H1190" s="39">
        <v>63.513663845849365</v>
      </c>
      <c r="I1190" s="10">
        <v>0</v>
      </c>
      <c r="J1190" s="40">
        <v>0</v>
      </c>
      <c r="K1190" s="40">
        <v>0</v>
      </c>
      <c r="L1190" s="40">
        <v>0</v>
      </c>
      <c r="M1190" s="40">
        <v>0</v>
      </c>
      <c r="N1190" s="40">
        <v>0</v>
      </c>
      <c r="O1190" s="40">
        <v>0</v>
      </c>
      <c r="P1190" s="40">
        <v>1</v>
      </c>
      <c r="Q1190" s="40">
        <v>0</v>
      </c>
      <c r="R1190" s="40">
        <v>0</v>
      </c>
      <c r="S1190" s="40">
        <v>0</v>
      </c>
      <c r="T1190" s="29">
        <f t="array" aca="1" ref="T1190" ca="1">+fair_value_gap(OFFSET(S1189,0,0,-1*$I$5,-1*$Z$1),OFFSET(E1189,0,0,-1*$I$5,1),F1190:S1190,0)</f>
        <v>19.617690219511331</v>
      </c>
      <c r="U1190" s="9" cm="1">
        <f t="array" aca="1" ref="U1190" ca="1">z_score_diff(OFFSET(T1190,0,0,$I$5*-1,1),OFFSET(E1190,0,0,$I$5*-1,1))</f>
        <v>0.10330296346868756</v>
      </c>
      <c r="V1190" s="9">
        <f t="shared" ca="1" si="151"/>
        <v>-1.5478999001342565E-2</v>
      </c>
      <c r="W1190" s="17">
        <f t="shared" ca="1" si="148"/>
        <v>-7.031071635922044E-2</v>
      </c>
      <c r="X1190" s="13">
        <f t="shared" ca="1" si="149"/>
        <v>0</v>
      </c>
      <c r="Y1190" s="13">
        <f t="shared" ca="1" si="150"/>
        <v>0</v>
      </c>
      <c r="Z1190">
        <f t="shared" ca="1" si="152"/>
        <v>1</v>
      </c>
      <c r="AA1190">
        <f t="shared" ca="1" si="153"/>
        <v>0</v>
      </c>
      <c r="AB1190" s="24">
        <f t="shared" ca="1" si="154"/>
        <v>-7.031071635922044E-2</v>
      </c>
      <c r="AC1190" s="24">
        <f t="shared" ca="1" si="155"/>
        <v>0</v>
      </c>
    </row>
    <row r="1191" spans="3:29" x14ac:dyDescent="0.25">
      <c r="C1191" s="6">
        <v>1184</v>
      </c>
      <c r="D1191" s="37">
        <v>43691</v>
      </c>
      <c r="E1191" s="39">
        <v>19.324000000000002</v>
      </c>
      <c r="F1191" s="39">
        <v>2.3058506632782896</v>
      </c>
      <c r="G1191" s="39">
        <v>61.645514938529608</v>
      </c>
      <c r="H1191" s="39">
        <v>63.229125732912557</v>
      </c>
      <c r="I1191" s="10">
        <v>0</v>
      </c>
      <c r="J1191" s="40">
        <v>0</v>
      </c>
      <c r="K1191" s="40">
        <v>0</v>
      </c>
      <c r="L1191" s="40">
        <v>0</v>
      </c>
      <c r="M1191" s="40">
        <v>0</v>
      </c>
      <c r="N1191" s="40">
        <v>0</v>
      </c>
      <c r="O1191" s="40">
        <v>0</v>
      </c>
      <c r="P1191" s="40">
        <v>1</v>
      </c>
      <c r="Q1191" s="40">
        <v>0</v>
      </c>
      <c r="R1191" s="40">
        <v>0</v>
      </c>
      <c r="S1191" s="40">
        <v>0</v>
      </c>
      <c r="T1191" s="29">
        <f t="array" aca="1" ref="T1191" ca="1">+fair_value_gap(OFFSET(S1190,0,0,-1*$I$5,-1*$Z$1),OFFSET(E1190,0,0,-1*$I$5,1),F1191:S1191,0)</f>
        <v>19.502998098401989</v>
      </c>
      <c r="U1191" s="9" cm="1">
        <f t="array" aca="1" ref="U1191" ca="1">z_score_diff(OFFSET(T1191,0,0,$I$5*-1,1),OFFSET(E1191,0,0,$I$5*-1,1))</f>
        <v>0.12019771865463641</v>
      </c>
      <c r="V1191" s="9">
        <f t="shared" ca="1" si="151"/>
        <v>-9.0633314379318184E-3</v>
      </c>
      <c r="W1191" s="17">
        <f t="shared" ca="1" si="148"/>
        <v>-8.2598928623988363E-2</v>
      </c>
      <c r="X1191" s="13">
        <f t="shared" ca="1" si="149"/>
        <v>0</v>
      </c>
      <c r="Y1191" s="13">
        <f t="shared" ca="1" si="150"/>
        <v>0</v>
      </c>
      <c r="Z1191">
        <f t="shared" ca="1" si="152"/>
        <v>1</v>
      </c>
      <c r="AA1191">
        <f t="shared" ca="1" si="153"/>
        <v>0</v>
      </c>
      <c r="AB1191" s="24">
        <f t="shared" ca="1" si="154"/>
        <v>-8.2598928623988363E-2</v>
      </c>
      <c r="AC1191" s="24">
        <f t="shared" ca="1" si="155"/>
        <v>0</v>
      </c>
    </row>
    <row r="1192" spans="3:29" x14ac:dyDescent="0.25">
      <c r="C1192" s="6">
        <v>1185</v>
      </c>
      <c r="D1192" s="37">
        <v>43692</v>
      </c>
      <c r="E1192" s="39">
        <v>19.161999999999999</v>
      </c>
      <c r="F1192" s="39">
        <v>2.3209782532161194</v>
      </c>
      <c r="G1192" s="39">
        <v>60.981723616364476</v>
      </c>
      <c r="H1192" s="39">
        <v>62.544713602584203</v>
      </c>
      <c r="I1192" s="10">
        <v>0</v>
      </c>
      <c r="J1192" s="40">
        <v>0</v>
      </c>
      <c r="K1192" s="40">
        <v>0</v>
      </c>
      <c r="L1192" s="40">
        <v>0</v>
      </c>
      <c r="M1192" s="40">
        <v>0</v>
      </c>
      <c r="N1192" s="40">
        <v>0</v>
      </c>
      <c r="O1192" s="40">
        <v>0</v>
      </c>
      <c r="P1192" s="40">
        <v>1</v>
      </c>
      <c r="Q1192" s="40">
        <v>0</v>
      </c>
      <c r="R1192" s="40">
        <v>0</v>
      </c>
      <c r="S1192" s="40">
        <v>0</v>
      </c>
      <c r="T1192" s="29">
        <f t="array" aca="1" ref="T1192" ca="1">+fair_value_gap(OFFSET(S1191,0,0,-1*$I$5,-1*$Z$1),OFFSET(E1191,0,0,-1*$I$5,1),F1192:S1192,0)</f>
        <v>19.269747585786558</v>
      </c>
      <c r="U1192" s="9" cm="1">
        <f t="array" aca="1" ref="U1192" ca="1">z_score_diff(OFFSET(T1192,0,0,$I$5*-1,1),OFFSET(E1192,0,0,$I$5*-1,1))</f>
        <v>7.5797882829328866E-2</v>
      </c>
      <c r="V1192" s="9">
        <f t="shared" ca="1" si="151"/>
        <v>-3.8675773699120516E-3</v>
      </c>
      <c r="W1192" s="17">
        <f t="shared" ca="1" si="148"/>
        <v>-8.6451713531952953E-2</v>
      </c>
      <c r="X1192" s="13">
        <f t="shared" ca="1" si="149"/>
        <v>0</v>
      </c>
      <c r="Y1192" s="13">
        <f t="shared" ca="1" si="150"/>
        <v>0</v>
      </c>
      <c r="Z1192">
        <f t="shared" ca="1" si="152"/>
        <v>1</v>
      </c>
      <c r="AA1192">
        <f t="shared" ca="1" si="153"/>
        <v>0</v>
      </c>
      <c r="AB1192" s="24">
        <f t="shared" ca="1" si="154"/>
        <v>-8.6451713531952953E-2</v>
      </c>
      <c r="AC1192" s="24">
        <f t="shared" ca="1" si="155"/>
        <v>0</v>
      </c>
    </row>
    <row r="1193" spans="3:29" x14ac:dyDescent="0.25">
      <c r="C1193" s="6">
        <v>1186</v>
      </c>
      <c r="D1193" s="37">
        <v>43693</v>
      </c>
      <c r="E1193" s="39">
        <v>19.170999999999999</v>
      </c>
      <c r="F1193" s="39">
        <v>2.3013498469245759</v>
      </c>
      <c r="G1193" s="39">
        <v>61.329620157566815</v>
      </c>
      <c r="H1193" s="39">
        <v>62.099916504313953</v>
      </c>
      <c r="I1193" s="10">
        <v>0</v>
      </c>
      <c r="J1193" s="40">
        <v>0</v>
      </c>
      <c r="K1193" s="40">
        <v>0</v>
      </c>
      <c r="L1193" s="40">
        <v>0</v>
      </c>
      <c r="M1193" s="40">
        <v>0</v>
      </c>
      <c r="N1193" s="40">
        <v>0</v>
      </c>
      <c r="O1193" s="40">
        <v>0</v>
      </c>
      <c r="P1193" s="40">
        <v>1</v>
      </c>
      <c r="Q1193" s="40">
        <v>0</v>
      </c>
      <c r="R1193" s="40">
        <v>0</v>
      </c>
      <c r="S1193" s="40">
        <v>0</v>
      </c>
      <c r="T1193" s="29">
        <f t="array" aca="1" ref="T1193" ca="1">+fair_value_gap(OFFSET(S1192,0,0,-1*$I$5,-1*$Z$1),OFFSET(E1192,0,0,-1*$I$5,1),F1193:S1193,0)</f>
        <v>19.329329913912449</v>
      </c>
      <c r="U1193" s="9" cm="1">
        <f t="array" aca="1" ref="U1193" ca="1">z_score_diff(OFFSET(T1193,0,0,$I$5*-1,1),OFFSET(E1193,0,0,$I$5*-1,1))</f>
        <v>0.10593110829660518</v>
      </c>
      <c r="V1193" s="9">
        <f t="shared" ca="1" si="151"/>
        <v>-4.5120545615091713E-3</v>
      </c>
      <c r="W1193" s="17">
        <f t="shared" ca="1" si="148"/>
        <v>-8.0851547554299755E-2</v>
      </c>
      <c r="X1193" s="13">
        <f t="shared" ca="1" si="149"/>
        <v>0</v>
      </c>
      <c r="Y1193" s="13">
        <f t="shared" ca="1" si="150"/>
        <v>0</v>
      </c>
      <c r="Z1193">
        <f t="shared" ca="1" si="152"/>
        <v>1</v>
      </c>
      <c r="AA1193">
        <f t="shared" ca="1" si="153"/>
        <v>0</v>
      </c>
      <c r="AB1193" s="24">
        <f t="shared" ca="1" si="154"/>
        <v>-8.0851547554299755E-2</v>
      </c>
      <c r="AC1193" s="24">
        <f t="shared" ca="1" si="155"/>
        <v>0</v>
      </c>
    </row>
    <row r="1194" spans="3:29" x14ac:dyDescent="0.25">
      <c r="C1194" s="6">
        <v>1187</v>
      </c>
      <c r="D1194" s="37">
        <v>43696</v>
      </c>
      <c r="E1194" s="39">
        <v>19.13</v>
      </c>
      <c r="F1194" s="39">
        <v>2.3121105495266967</v>
      </c>
      <c r="G1194" s="39">
        <v>60.963436964020836</v>
      </c>
      <c r="H1194" s="39">
        <v>62.242433844562804</v>
      </c>
      <c r="I1194" s="10">
        <v>0</v>
      </c>
      <c r="J1194" s="40">
        <v>0</v>
      </c>
      <c r="K1194" s="40">
        <v>0</v>
      </c>
      <c r="L1194" s="40">
        <v>0</v>
      </c>
      <c r="M1194" s="40">
        <v>0</v>
      </c>
      <c r="N1194" s="40">
        <v>0</v>
      </c>
      <c r="O1194" s="40">
        <v>0</v>
      </c>
      <c r="P1194" s="40">
        <v>1</v>
      </c>
      <c r="Q1194" s="40">
        <v>0</v>
      </c>
      <c r="R1194" s="40">
        <v>0</v>
      </c>
      <c r="S1194" s="40">
        <v>0</v>
      </c>
      <c r="T1194" s="29">
        <f t="array" aca="1" ref="T1194" ca="1">+fair_value_gap(OFFSET(S1193,0,0,-1*$I$5,-1*$Z$1),OFFSET(E1193,0,0,-1*$I$5,1),F1194:S1194,0)</f>
        <v>19.220109134586799</v>
      </c>
      <c r="U1194" s="9" cm="1">
        <f t="array" aca="1" ref="U1194" ca="1">z_score_diff(OFFSET(T1194,0,0,$I$5*-1,1),OFFSET(E1194,0,0,$I$5*-1,1))</f>
        <v>6.4713021967183648E-2</v>
      </c>
      <c r="V1194" s="9">
        <f t="shared" ca="1" si="151"/>
        <v>4.4610415310973092E-3</v>
      </c>
      <c r="W1194" s="17">
        <f t="shared" ca="1" si="148"/>
        <v>-7.5210352844150299E-2</v>
      </c>
      <c r="X1194" s="13">
        <f t="shared" ca="1" si="149"/>
        <v>0</v>
      </c>
      <c r="Y1194" s="13">
        <f t="shared" ca="1" si="150"/>
        <v>0</v>
      </c>
      <c r="Z1194">
        <f t="shared" ca="1" si="152"/>
        <v>0</v>
      </c>
      <c r="AA1194">
        <f t="shared" ca="1" si="153"/>
        <v>1</v>
      </c>
      <c r="AB1194" s="24">
        <f t="shared" ca="1" si="154"/>
        <v>0</v>
      </c>
      <c r="AC1194" s="24">
        <f t="shared" ca="1" si="155"/>
        <v>-7.5210352844150299E-2</v>
      </c>
    </row>
    <row r="1195" spans="3:29" x14ac:dyDescent="0.25">
      <c r="C1195" s="6">
        <v>1188</v>
      </c>
      <c r="D1195" s="37">
        <v>43697</v>
      </c>
      <c r="E1195" s="39">
        <v>19.268999999999998</v>
      </c>
      <c r="F1195" s="39">
        <v>2.3036365106820385</v>
      </c>
      <c r="G1195" s="39">
        <v>61.304937808686915</v>
      </c>
      <c r="H1195" s="39">
        <v>62.265146910092078</v>
      </c>
      <c r="I1195" s="10">
        <v>0</v>
      </c>
      <c r="J1195" s="40">
        <v>0</v>
      </c>
      <c r="K1195" s="40">
        <v>0</v>
      </c>
      <c r="L1195" s="40">
        <v>0</v>
      </c>
      <c r="M1195" s="40">
        <v>0</v>
      </c>
      <c r="N1195" s="40">
        <v>0</v>
      </c>
      <c r="O1195" s="40">
        <v>0</v>
      </c>
      <c r="P1195" s="40">
        <v>1</v>
      </c>
      <c r="Q1195" s="40">
        <v>0</v>
      </c>
      <c r="R1195" s="40">
        <v>0</v>
      </c>
      <c r="S1195" s="40">
        <v>0</v>
      </c>
      <c r="T1195" s="29">
        <f t="array" aca="1" ref="T1195" ca="1">+fair_value_gap(OFFSET(S1194,0,0,-1*$I$5,-1*$Z$1),OFFSET(E1194,0,0,-1*$I$5,1),F1195:S1195,0)</f>
        <v>19.284047303558104</v>
      </c>
      <c r="U1195" s="9" cm="1">
        <f t="array" aca="1" ref="U1195" ca="1">z_score_diff(OFFSET(T1195,0,0,$I$5*-1,1),OFFSET(E1195,0,0,$I$5*-1,1))</f>
        <v>2.1228045669460793E-2</v>
      </c>
      <c r="V1195" s="9">
        <f t="shared" ca="1" si="151"/>
        <v>1.1264803585712017E-2</v>
      </c>
      <c r="W1195" s="17">
        <f t="shared" ca="1" si="148"/>
        <v>-8.0085955966316666E-2</v>
      </c>
      <c r="X1195" s="13">
        <f t="shared" ca="1" si="149"/>
        <v>0</v>
      </c>
      <c r="Y1195" s="13">
        <f t="shared" ca="1" si="150"/>
        <v>0</v>
      </c>
      <c r="Z1195">
        <f t="shared" ca="1" si="152"/>
        <v>0</v>
      </c>
      <c r="AA1195">
        <f t="shared" ca="1" si="153"/>
        <v>1</v>
      </c>
      <c r="AB1195" s="24">
        <f t="shared" ca="1" si="154"/>
        <v>0</v>
      </c>
      <c r="AC1195" s="24">
        <f t="shared" ca="1" si="155"/>
        <v>-8.0085955966316666E-2</v>
      </c>
    </row>
    <row r="1196" spans="3:29" x14ac:dyDescent="0.25">
      <c r="C1196" s="6">
        <v>1189</v>
      </c>
      <c r="D1196" s="37">
        <v>43698</v>
      </c>
      <c r="E1196" s="39">
        <v>19.248999999999999</v>
      </c>
      <c r="F1196" s="39">
        <v>2.3067699477735446</v>
      </c>
      <c r="G1196" s="39">
        <v>61.162571638847943</v>
      </c>
      <c r="H1196" s="39">
        <v>61.563173823077442</v>
      </c>
      <c r="I1196" s="10">
        <v>0</v>
      </c>
      <c r="J1196" s="40">
        <v>0</v>
      </c>
      <c r="K1196" s="40">
        <v>0</v>
      </c>
      <c r="L1196" s="40">
        <v>0</v>
      </c>
      <c r="M1196" s="40">
        <v>0</v>
      </c>
      <c r="N1196" s="40">
        <v>0</v>
      </c>
      <c r="O1196" s="40">
        <v>0</v>
      </c>
      <c r="P1196" s="40">
        <v>1</v>
      </c>
      <c r="Q1196" s="40">
        <v>0</v>
      </c>
      <c r="R1196" s="40">
        <v>0</v>
      </c>
      <c r="S1196" s="40">
        <v>0</v>
      </c>
      <c r="T1196" s="29">
        <f t="array" aca="1" ref="T1196" ca="1">+fair_value_gap(OFFSET(S1195,0,0,-1*$I$5,-1*$Z$1),OFFSET(E1195,0,0,-1*$I$5,1),F1196:S1196,0)</f>
        <v>19.194140661072787</v>
      </c>
      <c r="U1196" s="9" cm="1">
        <f t="array" aca="1" ref="U1196" ca="1">z_score_diff(OFFSET(T1196,0,0,$I$5*-1,1),OFFSET(E1196,0,0,$I$5*-1,1))</f>
        <v>-2.1268012812783843E-2</v>
      </c>
      <c r="V1196" s="9">
        <f t="shared" ca="1" si="151"/>
        <v>1.5529712871935615E-2</v>
      </c>
      <c r="W1196" s="17">
        <f t="shared" ca="1" si="148"/>
        <v>-7.0203314114591173E-2</v>
      </c>
      <c r="X1196" s="13">
        <f t="shared" ca="1" si="149"/>
        <v>0</v>
      </c>
      <c r="Y1196" s="13">
        <f t="shared" ca="1" si="150"/>
        <v>0</v>
      </c>
      <c r="Z1196">
        <f t="shared" ca="1" si="152"/>
        <v>0</v>
      </c>
      <c r="AA1196">
        <f t="shared" ca="1" si="153"/>
        <v>1</v>
      </c>
      <c r="AB1196" s="24">
        <f t="shared" ca="1" si="154"/>
        <v>0</v>
      </c>
      <c r="AC1196" s="24">
        <f t="shared" ca="1" si="155"/>
        <v>-7.0203314114591173E-2</v>
      </c>
    </row>
    <row r="1197" spans="3:29" x14ac:dyDescent="0.25">
      <c r="C1197" s="6">
        <v>1190</v>
      </c>
      <c r="D1197" s="37">
        <v>43699</v>
      </c>
      <c r="E1197" s="39">
        <v>19.010000000000002</v>
      </c>
      <c r="F1197" s="39">
        <v>2.298324623999485</v>
      </c>
      <c r="G1197" s="39">
        <v>61.18555136377433</v>
      </c>
      <c r="H1197" s="39">
        <v>61.329252835716773</v>
      </c>
      <c r="I1197" s="10">
        <v>0</v>
      </c>
      <c r="J1197" s="40">
        <v>0</v>
      </c>
      <c r="K1197" s="40">
        <v>0</v>
      </c>
      <c r="L1197" s="40">
        <v>0</v>
      </c>
      <c r="M1197" s="40">
        <v>0</v>
      </c>
      <c r="N1197" s="40">
        <v>0</v>
      </c>
      <c r="O1197" s="40">
        <v>0</v>
      </c>
      <c r="P1197" s="40">
        <v>1</v>
      </c>
      <c r="Q1197" s="40">
        <v>0</v>
      </c>
      <c r="R1197" s="40">
        <v>0</v>
      </c>
      <c r="S1197" s="40">
        <v>0</v>
      </c>
      <c r="T1197" s="29">
        <f t="array" aca="1" ref="T1197" ca="1">+fair_value_gap(OFFSET(S1196,0,0,-1*$I$5,-1*$Z$1),OFFSET(E1196,0,0,-1*$I$5,1),F1197:S1197,0)</f>
        <v>19.178459986183945</v>
      </c>
      <c r="U1197" s="9" cm="1">
        <f t="array" aca="1" ref="U1197" ca="1">z_score_diff(OFFSET(T1197,0,0,$I$5*-1,1),OFFSET(E1197,0,0,$I$5*-1,1))</f>
        <v>0.11321244340872827</v>
      </c>
      <c r="V1197" s="9">
        <f t="shared" ca="1" si="151"/>
        <v>2.0438824994793308E-2</v>
      </c>
      <c r="W1197" s="17">
        <f t="shared" ca="1" si="148"/>
        <v>-4.8280036547581041E-2</v>
      </c>
      <c r="X1197" s="13">
        <f t="shared" ca="1" si="149"/>
        <v>0</v>
      </c>
      <c r="Y1197" s="13">
        <f t="shared" ca="1" si="150"/>
        <v>0</v>
      </c>
      <c r="Z1197">
        <f t="shared" ca="1" si="152"/>
        <v>0</v>
      </c>
      <c r="AA1197">
        <f t="shared" ca="1" si="153"/>
        <v>1</v>
      </c>
      <c r="AB1197" s="24">
        <f t="shared" ca="1" si="154"/>
        <v>0</v>
      </c>
      <c r="AC1197" s="24">
        <f t="shared" ca="1" si="155"/>
        <v>-4.8280036547581041E-2</v>
      </c>
    </row>
    <row r="1198" spans="3:29" x14ac:dyDescent="0.25">
      <c r="C1198" s="6">
        <v>1191</v>
      </c>
      <c r="D1198" s="37">
        <v>43700</v>
      </c>
      <c r="E1198" s="39">
        <v>18.974</v>
      </c>
      <c r="F1198" s="39">
        <v>2.2889143597754056</v>
      </c>
      <c r="G1198" s="39">
        <v>60.709003312776247</v>
      </c>
      <c r="H1198" s="39">
        <v>60.471696560304061</v>
      </c>
      <c r="I1198" s="10">
        <v>0</v>
      </c>
      <c r="J1198" s="40">
        <v>0</v>
      </c>
      <c r="K1198" s="40">
        <v>0</v>
      </c>
      <c r="L1198" s="40">
        <v>0</v>
      </c>
      <c r="M1198" s="40">
        <v>0</v>
      </c>
      <c r="N1198" s="40">
        <v>0</v>
      </c>
      <c r="O1198" s="40">
        <v>0</v>
      </c>
      <c r="P1198" s="40">
        <v>1</v>
      </c>
      <c r="Q1198" s="40">
        <v>0</v>
      </c>
      <c r="R1198" s="40">
        <v>0</v>
      </c>
      <c r="S1198" s="40">
        <v>0</v>
      </c>
      <c r="T1198" s="29">
        <f t="array" aca="1" ref="T1198" ca="1">+fair_value_gap(OFFSET(S1197,0,0,-1*$I$5,-1*$Z$1),OFFSET(E1197,0,0,-1*$I$5,1),F1198:S1198,0)</f>
        <v>18.977499700388883</v>
      </c>
      <c r="U1198" s="9" cm="1">
        <f t="array" aca="1" ref="U1198" ca="1">z_score_diff(OFFSET(T1198,0,0,$I$5*-1,1),OFFSET(E1198,0,0,$I$5*-1,1))</f>
        <v>1.126152413084347E-2</v>
      </c>
      <c r="V1198" s="9">
        <f t="shared" ca="1" si="151"/>
        <v>2.3976100496479975E-2</v>
      </c>
      <c r="W1198" s="17">
        <f t="shared" ca="1" si="148"/>
        <v>-2.7409222182252724E-2</v>
      </c>
      <c r="X1198" s="13">
        <f t="shared" ca="1" si="149"/>
        <v>0</v>
      </c>
      <c r="Y1198" s="13">
        <f t="shared" ca="1" si="150"/>
        <v>0</v>
      </c>
      <c r="Z1198">
        <f t="shared" ca="1" si="152"/>
        <v>0</v>
      </c>
      <c r="AA1198">
        <f t="shared" ca="1" si="153"/>
        <v>1</v>
      </c>
      <c r="AB1198" s="24">
        <f t="shared" ca="1" si="154"/>
        <v>0</v>
      </c>
      <c r="AC1198" s="24">
        <f t="shared" ca="1" si="155"/>
        <v>-2.7409222182252724E-2</v>
      </c>
    </row>
    <row r="1199" spans="3:29" x14ac:dyDescent="0.25">
      <c r="C1199" s="6">
        <v>1192</v>
      </c>
      <c r="D1199" s="37">
        <v>43703</v>
      </c>
      <c r="E1199" s="39">
        <v>18.965</v>
      </c>
      <c r="F1199" s="39">
        <v>2.3240729791955039</v>
      </c>
      <c r="G1199" s="39">
        <v>60.601678067481018</v>
      </c>
      <c r="H1199" s="39">
        <v>60.688475102074882</v>
      </c>
      <c r="I1199" s="10">
        <v>0</v>
      </c>
      <c r="J1199" s="40">
        <v>0</v>
      </c>
      <c r="K1199" s="40">
        <v>0</v>
      </c>
      <c r="L1199" s="40">
        <v>0</v>
      </c>
      <c r="M1199" s="40">
        <v>0</v>
      </c>
      <c r="N1199" s="40">
        <v>0</v>
      </c>
      <c r="O1199" s="40">
        <v>0</v>
      </c>
      <c r="P1199" s="40">
        <v>1</v>
      </c>
      <c r="Q1199" s="40">
        <v>0</v>
      </c>
      <c r="R1199" s="40">
        <v>0</v>
      </c>
      <c r="S1199" s="40">
        <v>0</v>
      </c>
      <c r="T1199" s="29">
        <f t="array" aca="1" ref="T1199" ca="1">+fair_value_gap(OFFSET(S1198,0,0,-1*$I$5,-1*$Z$1),OFFSET(E1198,0,0,-1*$I$5,1),F1199:S1199,0)</f>
        <v>18.977319794125719</v>
      </c>
      <c r="U1199" s="9" cm="1">
        <f t="array" aca="1" ref="U1199" ca="1">z_score_diff(OFFSET(T1199,0,0,$I$5*-1,1),OFFSET(E1199,0,0,$I$5*-1,1))</f>
        <v>1.65746702689481E-2</v>
      </c>
      <c r="V1199" s="9">
        <f t="shared" ca="1" si="151"/>
        <v>2.8844474665192708E-2</v>
      </c>
      <c r="W1199" s="17">
        <f t="shared" ca="1" si="148"/>
        <v>-3.7937065986266359E-2</v>
      </c>
      <c r="X1199" s="13">
        <f t="shared" ca="1" si="149"/>
        <v>0</v>
      </c>
      <c r="Y1199" s="13">
        <f t="shared" ca="1" si="150"/>
        <v>0</v>
      </c>
      <c r="Z1199">
        <f t="shared" ca="1" si="152"/>
        <v>0</v>
      </c>
      <c r="AA1199">
        <f t="shared" ca="1" si="153"/>
        <v>1</v>
      </c>
      <c r="AB1199" s="24">
        <f t="shared" ca="1" si="154"/>
        <v>0</v>
      </c>
      <c r="AC1199" s="24">
        <f t="shared" ca="1" si="155"/>
        <v>-3.7937065986266359E-2</v>
      </c>
    </row>
    <row r="1200" spans="3:29" x14ac:dyDescent="0.25">
      <c r="C1200" s="6">
        <v>1193</v>
      </c>
      <c r="D1200" s="37">
        <v>43704</v>
      </c>
      <c r="E1200" s="39">
        <v>18.798999999999999</v>
      </c>
      <c r="F1200" s="39">
        <v>2.3147181628392484</v>
      </c>
      <c r="G1200" s="39">
        <v>60.356989911154685</v>
      </c>
      <c r="H1200" s="39">
        <v>61.021224773834383</v>
      </c>
      <c r="I1200" s="10">
        <v>0</v>
      </c>
      <c r="J1200" s="40">
        <v>0</v>
      </c>
      <c r="K1200" s="40">
        <v>0</v>
      </c>
      <c r="L1200" s="40">
        <v>0</v>
      </c>
      <c r="M1200" s="40">
        <v>0</v>
      </c>
      <c r="N1200" s="40">
        <v>0</v>
      </c>
      <c r="O1200" s="40">
        <v>0</v>
      </c>
      <c r="P1200" s="40">
        <v>1</v>
      </c>
      <c r="Q1200" s="40">
        <v>0</v>
      </c>
      <c r="R1200" s="40">
        <v>0</v>
      </c>
      <c r="S1200" s="40">
        <v>0</v>
      </c>
      <c r="T1200" s="29">
        <f t="array" aca="1" ref="T1200" ca="1">+fair_value_gap(OFFSET(S1199,0,0,-1*$I$5,-1*$Z$1),OFFSET(E1199,0,0,-1*$I$5,1),F1200:S1200,0)</f>
        <v>18.925732356313031</v>
      </c>
      <c r="U1200" s="9" cm="1">
        <f t="array" aca="1" ref="U1200" ca="1">z_score_diff(OFFSET(T1200,0,0,$I$5*-1,1),OFFSET(E1200,0,0,$I$5*-1,1))</f>
        <v>8.5925477735153799E-2</v>
      </c>
      <c r="V1200" s="9">
        <f t="shared" ca="1" si="151"/>
        <v>3.413682002737619E-2</v>
      </c>
      <c r="W1200" s="17">
        <f t="shared" ca="1" si="148"/>
        <v>-3.0241518349963706E-2</v>
      </c>
      <c r="X1200" s="13">
        <f t="shared" ca="1" si="149"/>
        <v>0</v>
      </c>
      <c r="Y1200" s="13">
        <f t="shared" ca="1" si="150"/>
        <v>0</v>
      </c>
      <c r="Z1200">
        <f t="shared" ca="1" si="152"/>
        <v>0</v>
      </c>
      <c r="AA1200">
        <f t="shared" ca="1" si="153"/>
        <v>1</v>
      </c>
      <c r="AB1200" s="24">
        <f t="shared" ca="1" si="154"/>
        <v>0</v>
      </c>
      <c r="AC1200" s="24">
        <f t="shared" ca="1" si="155"/>
        <v>-3.0241518349963706E-2</v>
      </c>
    </row>
    <row r="1201" spans="3:29" x14ac:dyDescent="0.25">
      <c r="C1201" s="6">
        <v>1194</v>
      </c>
      <c r="D1201" s="37">
        <v>43705</v>
      </c>
      <c r="E1201" s="39">
        <v>18.794</v>
      </c>
      <c r="F1201" s="39">
        <v>2.3359354026699393</v>
      </c>
      <c r="G1201" s="39">
        <v>60.32727465400216</v>
      </c>
      <c r="H1201" s="39">
        <v>61.187561666951396</v>
      </c>
      <c r="I1201" s="10">
        <v>0</v>
      </c>
      <c r="J1201" s="40">
        <v>0</v>
      </c>
      <c r="K1201" s="40">
        <v>0</v>
      </c>
      <c r="L1201" s="40">
        <v>0</v>
      </c>
      <c r="M1201" s="40">
        <v>0</v>
      </c>
      <c r="N1201" s="40">
        <v>0</v>
      </c>
      <c r="O1201" s="40">
        <v>0</v>
      </c>
      <c r="P1201" s="40">
        <v>1</v>
      </c>
      <c r="Q1201" s="40">
        <v>0</v>
      </c>
      <c r="R1201" s="40">
        <v>0</v>
      </c>
      <c r="S1201" s="40">
        <v>0</v>
      </c>
      <c r="T1201" s="29">
        <f t="array" aca="1" ref="T1201" ca="1">+fair_value_gap(OFFSET(S1200,0,0,-1*$I$5,-1*$Z$1),OFFSET(E1200,0,0,-1*$I$5,1),F1201:S1201,0)</f>
        <v>18.929989720308708</v>
      </c>
      <c r="U1201" s="9" cm="1">
        <f t="array" aca="1" ref="U1201" ca="1">z_score_diff(OFFSET(T1201,0,0,$I$5*-1,1),OFFSET(E1201,0,0,$I$5*-1,1))</f>
        <v>9.1697799095030397E-2</v>
      </c>
      <c r="V1201" s="9">
        <f t="shared" ca="1" si="151"/>
        <v>3.9308252788528911E-2</v>
      </c>
      <c r="W1201" s="17">
        <f t="shared" ca="1" si="148"/>
        <v>-3.4701833652579187E-2</v>
      </c>
      <c r="X1201" s="13">
        <f t="shared" ca="1" si="149"/>
        <v>0</v>
      </c>
      <c r="Y1201" s="13">
        <f t="shared" ca="1" si="150"/>
        <v>0</v>
      </c>
      <c r="Z1201">
        <f t="shared" ca="1" si="152"/>
        <v>0</v>
      </c>
      <c r="AA1201">
        <f t="shared" ca="1" si="153"/>
        <v>1</v>
      </c>
      <c r="AB1201" s="24">
        <f t="shared" ca="1" si="154"/>
        <v>0</v>
      </c>
      <c r="AC1201" s="24">
        <f t="shared" ca="1" si="155"/>
        <v>-3.4701833652579187E-2</v>
      </c>
    </row>
    <row r="1202" spans="3:29" x14ac:dyDescent="0.25">
      <c r="C1202" s="6">
        <v>1195</v>
      </c>
      <c r="D1202" s="37">
        <v>43706</v>
      </c>
      <c r="E1202" s="39">
        <v>18.934999999999999</v>
      </c>
      <c r="F1202" s="39">
        <v>2.2538159616223288</v>
      </c>
      <c r="G1202" s="39">
        <v>60.402604848836916</v>
      </c>
      <c r="H1202" s="39">
        <v>62.102049716528562</v>
      </c>
      <c r="I1202" s="10">
        <v>0</v>
      </c>
      <c r="J1202" s="40">
        <v>0</v>
      </c>
      <c r="K1202" s="40">
        <v>0</v>
      </c>
      <c r="L1202" s="40">
        <v>0</v>
      </c>
      <c r="M1202" s="40">
        <v>0</v>
      </c>
      <c r="N1202" s="40">
        <v>0</v>
      </c>
      <c r="O1202" s="40">
        <v>0</v>
      </c>
      <c r="P1202" s="40">
        <v>1</v>
      </c>
      <c r="Q1202" s="40">
        <v>0</v>
      </c>
      <c r="R1202" s="40">
        <v>0</v>
      </c>
      <c r="S1202" s="40">
        <v>0</v>
      </c>
      <c r="T1202" s="29">
        <f t="array" aca="1" ref="T1202" ca="1">+fair_value_gap(OFFSET(S1201,0,0,-1*$I$5,-1*$Z$1),OFFSET(E1201,0,0,-1*$I$5,1),F1202:S1202,0)</f>
        <v>18.953254377599002</v>
      </c>
      <c r="U1202" s="9" cm="1">
        <f t="array" aca="1" ref="U1202" ca="1">z_score_diff(OFFSET(T1202,0,0,$I$5*-1,1),OFFSET(E1202,0,0,$I$5*-1,1))</f>
        <v>1.8982380854461467E-2</v>
      </c>
      <c r="V1202" s="9">
        <f t="shared" ca="1" si="151"/>
        <v>4.478208476573018E-2</v>
      </c>
      <c r="W1202" s="17">
        <f t="shared" ca="1" si="148"/>
        <v>-4.6648282188055987E-2</v>
      </c>
      <c r="X1202" s="13">
        <f t="shared" ca="1" si="149"/>
        <v>0</v>
      </c>
      <c r="Y1202" s="13">
        <f t="shared" ca="1" si="150"/>
        <v>0</v>
      </c>
      <c r="Z1202">
        <f t="shared" ca="1" si="152"/>
        <v>0</v>
      </c>
      <c r="AA1202">
        <f t="shared" ca="1" si="153"/>
        <v>1</v>
      </c>
      <c r="AB1202" s="24">
        <f t="shared" ca="1" si="154"/>
        <v>0</v>
      </c>
      <c r="AC1202" s="24">
        <f t="shared" ca="1" si="155"/>
        <v>-4.6648282188055987E-2</v>
      </c>
    </row>
    <row r="1203" spans="3:29" x14ac:dyDescent="0.25">
      <c r="C1203" s="6">
        <v>1196</v>
      </c>
      <c r="D1203" s="37">
        <v>43707</v>
      </c>
      <c r="E1203" s="39">
        <v>18.216999999999999</v>
      </c>
      <c r="F1203" s="39">
        <v>2.2450767170273007</v>
      </c>
      <c r="G1203" s="39">
        <v>56.955287822582214</v>
      </c>
      <c r="H1203" s="39">
        <v>62.007298693502278</v>
      </c>
      <c r="I1203" s="10">
        <v>0</v>
      </c>
      <c r="J1203" s="40">
        <v>0</v>
      </c>
      <c r="K1203" s="40">
        <v>0</v>
      </c>
      <c r="L1203" s="40">
        <v>0</v>
      </c>
      <c r="M1203" s="40">
        <v>0</v>
      </c>
      <c r="N1203" s="40">
        <v>0</v>
      </c>
      <c r="O1203" s="40">
        <v>0</v>
      </c>
      <c r="P1203" s="40">
        <v>1</v>
      </c>
      <c r="Q1203" s="40">
        <v>0</v>
      </c>
      <c r="R1203" s="40">
        <v>0</v>
      </c>
      <c r="S1203" s="40">
        <v>0</v>
      </c>
      <c r="T1203" s="29">
        <f t="array" aca="1" ref="T1203" ca="1">+fair_value_gap(OFFSET(S1202,0,0,-1*$I$5,-1*$Z$1),OFFSET(E1202,0,0,-1*$I$5,1),F1203:S1203,0)</f>
        <v>18.031577194180244</v>
      </c>
      <c r="U1203" s="9" cm="1">
        <f t="array" aca="1" ref="U1203" ca="1">z_score_diff(OFFSET(T1203,0,0,$I$5*-1,1),OFFSET(E1203,0,0,$I$5*-1,1))</f>
        <v>-0.12052884644024209</v>
      </c>
      <c r="V1203" s="9">
        <f t="shared" ca="1" si="151"/>
        <v>4.7494731625872789E-2</v>
      </c>
      <c r="W1203" s="17">
        <f t="shared" ca="1" si="148"/>
        <v>-1.3818482098256885E-2</v>
      </c>
      <c r="X1203" s="13">
        <f t="shared" ca="1" si="149"/>
        <v>0</v>
      </c>
      <c r="Y1203" s="13">
        <f t="shared" ca="1" si="150"/>
        <v>0</v>
      </c>
      <c r="Z1203">
        <f t="shared" ca="1" si="152"/>
        <v>0</v>
      </c>
      <c r="AA1203">
        <f t="shared" ca="1" si="153"/>
        <v>1</v>
      </c>
      <c r="AB1203" s="24">
        <f t="shared" ca="1" si="154"/>
        <v>0</v>
      </c>
      <c r="AC1203" s="24">
        <f t="shared" ca="1" si="155"/>
        <v>-1.3818482098256885E-2</v>
      </c>
    </row>
    <row r="1204" spans="3:29" x14ac:dyDescent="0.25">
      <c r="C1204" s="6">
        <v>1197</v>
      </c>
      <c r="D1204" s="37">
        <v>43710</v>
      </c>
      <c r="E1204" s="39">
        <v>17.858000000000001</v>
      </c>
      <c r="F1204" s="39">
        <v>2.2494695103666422</v>
      </c>
      <c r="G1204" s="39">
        <v>55.871103853380411</v>
      </c>
      <c r="H1204" s="39">
        <v>61.029391719876855</v>
      </c>
      <c r="I1204" s="10">
        <v>0</v>
      </c>
      <c r="J1204" s="40">
        <v>0</v>
      </c>
      <c r="K1204" s="40">
        <v>0</v>
      </c>
      <c r="L1204" s="40">
        <v>0</v>
      </c>
      <c r="M1204" s="40">
        <v>0</v>
      </c>
      <c r="N1204" s="40">
        <v>0</v>
      </c>
      <c r="O1204" s="40">
        <v>0</v>
      </c>
      <c r="P1204" s="40">
        <v>0</v>
      </c>
      <c r="Q1204" s="40">
        <v>1</v>
      </c>
      <c r="R1204" s="40">
        <v>0</v>
      </c>
      <c r="S1204" s="40">
        <v>0</v>
      </c>
      <c r="T1204" s="29">
        <f t="array" aca="1" ref="T1204" ca="1">+fair_value_gap(OFFSET(S1203,0,0,-1*$I$5,-1*$Z$1),OFFSET(E1203,0,0,-1*$I$5,1),F1204:S1204,0)</f>
        <v>17.8688495881159</v>
      </c>
      <c r="U1204" s="9" cm="1">
        <f t="array" aca="1" ref="U1204" ca="1">z_score_diff(OFFSET(T1204,0,0,$I$5*-1,1),OFFSET(E1204,0,0,$I$5*-1,1))</f>
        <v>7.8272923778643921E-4</v>
      </c>
      <c r="V1204" s="9">
        <f t="shared" ca="1" si="151"/>
        <v>5.3319357489728637E-2</v>
      </c>
      <c r="W1204" s="17">
        <f t="shared" ca="1" si="148"/>
        <v>-4.9962211320869936E-3</v>
      </c>
      <c r="X1204" s="13">
        <f t="shared" ca="1" si="149"/>
        <v>0</v>
      </c>
      <c r="Y1204" s="13">
        <f t="shared" ca="1" si="150"/>
        <v>0</v>
      </c>
      <c r="Z1204">
        <f t="shared" ca="1" si="152"/>
        <v>0</v>
      </c>
      <c r="AA1204">
        <f t="shared" ca="1" si="153"/>
        <v>1</v>
      </c>
      <c r="AB1204" s="24">
        <f t="shared" ca="1" si="154"/>
        <v>0</v>
      </c>
      <c r="AC1204" s="24">
        <f t="shared" ca="1" si="155"/>
        <v>-4.9962211320869936E-3</v>
      </c>
    </row>
    <row r="1205" spans="3:29" x14ac:dyDescent="0.25">
      <c r="C1205" s="6">
        <v>1198</v>
      </c>
      <c r="D1205" s="37">
        <v>43711</v>
      </c>
      <c r="E1205" s="39">
        <v>17.956</v>
      </c>
      <c r="F1205" s="39">
        <v>2.2679565614647892</v>
      </c>
      <c r="G1205" s="39">
        <v>56.222079374253873</v>
      </c>
      <c r="H1205" s="39">
        <v>61.777413122489882</v>
      </c>
      <c r="I1205" s="10">
        <v>0</v>
      </c>
      <c r="J1205" s="40">
        <v>0</v>
      </c>
      <c r="K1205" s="40">
        <v>0</v>
      </c>
      <c r="L1205" s="40">
        <v>0</v>
      </c>
      <c r="M1205" s="40">
        <v>0</v>
      </c>
      <c r="N1205" s="40">
        <v>0</v>
      </c>
      <c r="O1205" s="40">
        <v>0</v>
      </c>
      <c r="P1205" s="40">
        <v>0</v>
      </c>
      <c r="Q1205" s="40">
        <v>1</v>
      </c>
      <c r="R1205" s="40">
        <v>0</v>
      </c>
      <c r="S1205" s="40">
        <v>0</v>
      </c>
      <c r="T1205" s="29">
        <f t="array" aca="1" ref="T1205" ca="1">+fair_value_gap(OFFSET(S1204,0,0,-1*$I$5,-1*$Z$1),OFFSET(E1204,0,0,-1*$I$5,1),F1205:S1205,0)</f>
        <v>18.001298218842262</v>
      </c>
      <c r="U1205" s="9" cm="1">
        <f t="array" aca="1" ref="U1205" ca="1">z_score_diff(OFFSET(T1205,0,0,$I$5*-1,1),OFFSET(E1205,0,0,$I$5*-1,1))</f>
        <v>2.2741112733302149E-2</v>
      </c>
      <c r="V1205" s="9">
        <f t="shared" ca="1" si="151"/>
        <v>5.4990541352288293E-2</v>
      </c>
      <c r="W1205" s="17">
        <f t="shared" ca="1" si="148"/>
        <v>-1.1651487403022569E-2</v>
      </c>
      <c r="X1205" s="13">
        <f t="shared" ca="1" si="149"/>
        <v>0</v>
      </c>
      <c r="Y1205" s="13">
        <f t="shared" ca="1" si="150"/>
        <v>0</v>
      </c>
      <c r="Z1205">
        <f t="shared" ca="1" si="152"/>
        <v>0</v>
      </c>
      <c r="AA1205">
        <f t="shared" ca="1" si="153"/>
        <v>1</v>
      </c>
      <c r="AB1205" s="24">
        <f t="shared" ca="1" si="154"/>
        <v>0</v>
      </c>
      <c r="AC1205" s="24">
        <f t="shared" ca="1" si="155"/>
        <v>-1.1651487403022569E-2</v>
      </c>
    </row>
    <row r="1206" spans="3:29" x14ac:dyDescent="0.25">
      <c r="C1206" s="6">
        <v>1199</v>
      </c>
      <c r="D1206" s="37">
        <v>43712</v>
      </c>
      <c r="E1206" s="39">
        <v>18.018999999999998</v>
      </c>
      <c r="F1206" s="39">
        <v>2.2534510894306665</v>
      </c>
      <c r="G1206" s="39">
        <v>56.45044560699737</v>
      </c>
      <c r="H1206" s="39">
        <v>61.632850309214817</v>
      </c>
      <c r="I1206" s="10">
        <v>0</v>
      </c>
      <c r="J1206" s="40">
        <v>0</v>
      </c>
      <c r="K1206" s="40">
        <v>0</v>
      </c>
      <c r="L1206" s="40">
        <v>0</v>
      </c>
      <c r="M1206" s="40">
        <v>0</v>
      </c>
      <c r="N1206" s="40">
        <v>0</v>
      </c>
      <c r="O1206" s="40">
        <v>0</v>
      </c>
      <c r="P1206" s="40">
        <v>0</v>
      </c>
      <c r="Q1206" s="40">
        <v>1</v>
      </c>
      <c r="R1206" s="40">
        <v>0</v>
      </c>
      <c r="S1206" s="40">
        <v>0</v>
      </c>
      <c r="T1206" s="29">
        <f t="array" aca="1" ref="T1206" ca="1">+fair_value_gap(OFFSET(S1205,0,0,-1*$I$5,-1*$Z$1),OFFSET(E1205,0,0,-1*$I$5,1),F1206:S1206,0)</f>
        <v>18.034986712539038</v>
      </c>
      <c r="U1206" s="9" cm="1">
        <f t="array" aca="1" ref="U1206" ca="1">z_score_diff(OFFSET(T1206,0,0,$I$5*-1,1),OFFSET(E1206,0,0,$I$5*-1,1))</f>
        <v>2.1195948127255004E-3</v>
      </c>
      <c r="V1206" s="9">
        <f t="shared" ca="1" si="151"/>
        <v>5.6562809726153546E-2</v>
      </c>
      <c r="W1206" s="17">
        <f t="shared" ca="1" si="148"/>
        <v>-2.1541193056661728E-2</v>
      </c>
      <c r="X1206" s="13">
        <f t="shared" ca="1" si="149"/>
        <v>0</v>
      </c>
      <c r="Y1206" s="13">
        <f t="shared" ca="1" si="150"/>
        <v>0</v>
      </c>
      <c r="Z1206">
        <f t="shared" ca="1" si="152"/>
        <v>0</v>
      </c>
      <c r="AA1206">
        <f t="shared" ca="1" si="153"/>
        <v>1</v>
      </c>
      <c r="AB1206" s="24">
        <f t="shared" ca="1" si="154"/>
        <v>0</v>
      </c>
      <c r="AC1206" s="24">
        <f t="shared" ca="1" si="155"/>
        <v>-2.1541193056661728E-2</v>
      </c>
    </row>
    <row r="1207" spans="3:29" x14ac:dyDescent="0.25">
      <c r="C1207" s="6">
        <v>1200</v>
      </c>
      <c r="D1207" s="37">
        <v>43713</v>
      </c>
      <c r="E1207" s="39">
        <v>18.356000000000002</v>
      </c>
      <c r="F1207" s="39">
        <v>2.2671571843167304</v>
      </c>
      <c r="G1207" s="39">
        <v>57.319856180463958</v>
      </c>
      <c r="H1207" s="39">
        <v>62.145647355595557</v>
      </c>
      <c r="I1207" s="10">
        <v>0</v>
      </c>
      <c r="J1207" s="40">
        <v>0</v>
      </c>
      <c r="K1207" s="40">
        <v>0</v>
      </c>
      <c r="L1207" s="40">
        <v>0</v>
      </c>
      <c r="M1207" s="40">
        <v>0</v>
      </c>
      <c r="N1207" s="40">
        <v>0</v>
      </c>
      <c r="O1207" s="40">
        <v>0</v>
      </c>
      <c r="P1207" s="40">
        <v>0</v>
      </c>
      <c r="Q1207" s="40">
        <v>1</v>
      </c>
      <c r="R1207" s="40">
        <v>0</v>
      </c>
      <c r="S1207" s="40">
        <v>0</v>
      </c>
      <c r="T1207" s="29">
        <f t="array" aca="1" ref="T1207" ca="1">+fair_value_gap(OFFSET(S1206,0,0,-1*$I$5,-1*$Z$1),OFFSET(E1206,0,0,-1*$I$5,1),F1207:S1207,0)</f>
        <v>18.301840961061622</v>
      </c>
      <c r="U1207" s="9" cm="1">
        <f t="array" aca="1" ref="U1207" ca="1">z_score_diff(OFFSET(T1207,0,0,$I$5*-1,1),OFFSET(E1207,0,0,$I$5*-1,1))</f>
        <v>-4.1022482173823316E-2</v>
      </c>
      <c r="V1207" s="9">
        <f t="shared" ca="1" si="151"/>
        <v>5.4679604819892945E-2</v>
      </c>
      <c r="W1207" s="17">
        <f t="shared" ca="1" si="148"/>
        <v>-3.1826025058776422E-2</v>
      </c>
      <c r="X1207" s="13">
        <f t="shared" ca="1" si="149"/>
        <v>0</v>
      </c>
      <c r="Y1207" s="13">
        <f t="shared" ca="1" si="150"/>
        <v>0</v>
      </c>
      <c r="Z1207">
        <f t="shared" ca="1" si="152"/>
        <v>0</v>
      </c>
      <c r="AA1207">
        <f t="shared" ca="1" si="153"/>
        <v>1</v>
      </c>
      <c r="AB1207" s="24">
        <f t="shared" ca="1" si="154"/>
        <v>0</v>
      </c>
      <c r="AC1207" s="24">
        <f t="shared" ca="1" si="155"/>
        <v>-3.1826025058776422E-2</v>
      </c>
    </row>
    <row r="1208" spans="3:29" x14ac:dyDescent="0.25">
      <c r="C1208" s="6">
        <v>1201</v>
      </c>
      <c r="D1208" s="37">
        <v>43714</v>
      </c>
      <c r="E1208" s="39">
        <v>18.324000000000002</v>
      </c>
      <c r="F1208" s="39">
        <v>2.2749485292895248</v>
      </c>
      <c r="G1208" s="39">
        <v>57.448868542187206</v>
      </c>
      <c r="H1208" s="39">
        <v>62.298590494390062</v>
      </c>
      <c r="I1208" s="10">
        <v>0</v>
      </c>
      <c r="J1208" s="40">
        <v>0</v>
      </c>
      <c r="K1208" s="40">
        <v>0</v>
      </c>
      <c r="L1208" s="40">
        <v>0</v>
      </c>
      <c r="M1208" s="40">
        <v>0</v>
      </c>
      <c r="N1208" s="40">
        <v>0</v>
      </c>
      <c r="O1208" s="40">
        <v>0</v>
      </c>
      <c r="P1208" s="40">
        <v>0</v>
      </c>
      <c r="Q1208" s="40">
        <v>1</v>
      </c>
      <c r="R1208" s="40">
        <v>0</v>
      </c>
      <c r="S1208" s="40">
        <v>0</v>
      </c>
      <c r="T1208" s="29">
        <f t="array" aca="1" ref="T1208" ca="1">+fair_value_gap(OFFSET(S1207,0,0,-1*$I$5,-1*$Z$1),OFFSET(E1207,0,0,-1*$I$5,1),F1208:S1208,0)</f>
        <v>18.369254784155075</v>
      </c>
      <c r="U1208" s="9" cm="1">
        <f t="array" aca="1" ref="U1208" ca="1">z_score_diff(OFFSET(T1208,0,0,$I$5*-1,1),OFFSET(E1208,0,0,$I$5*-1,1))</f>
        <v>2.4379765539273901E-2</v>
      </c>
      <c r="V1208" s="9">
        <f t="shared" ca="1" si="151"/>
        <v>5.4720138141231778E-2</v>
      </c>
      <c r="W1208" s="17">
        <f t="shared" ca="1" si="148"/>
        <v>-4.1279149862093946E-2</v>
      </c>
      <c r="X1208" s="13">
        <f t="shared" ca="1" si="149"/>
        <v>0</v>
      </c>
      <c r="Y1208" s="13">
        <f t="shared" ca="1" si="150"/>
        <v>0</v>
      </c>
      <c r="Z1208">
        <f t="shared" ca="1" si="152"/>
        <v>0</v>
      </c>
      <c r="AA1208">
        <f t="shared" ca="1" si="153"/>
        <v>1</v>
      </c>
      <c r="AB1208" s="24">
        <f t="shared" ca="1" si="154"/>
        <v>0</v>
      </c>
      <c r="AC1208" s="24">
        <f t="shared" ca="1" si="155"/>
        <v>-4.1279149862093946E-2</v>
      </c>
    </row>
    <row r="1209" spans="3:29" x14ac:dyDescent="0.25">
      <c r="C1209" s="6">
        <v>1202</v>
      </c>
      <c r="D1209" s="37">
        <v>43717</v>
      </c>
      <c r="E1209" s="39">
        <v>18.411999999999999</v>
      </c>
      <c r="F1209" s="39">
        <v>2.2669501881996386</v>
      </c>
      <c r="G1209" s="39">
        <v>57.797834607083139</v>
      </c>
      <c r="H1209" s="39">
        <v>62.5440820117459</v>
      </c>
      <c r="I1209" s="10">
        <v>0</v>
      </c>
      <c r="J1209" s="40">
        <v>0</v>
      </c>
      <c r="K1209" s="40">
        <v>0</v>
      </c>
      <c r="L1209" s="40">
        <v>0</v>
      </c>
      <c r="M1209" s="40">
        <v>0</v>
      </c>
      <c r="N1209" s="40">
        <v>0</v>
      </c>
      <c r="O1209" s="40">
        <v>0</v>
      </c>
      <c r="P1209" s="40">
        <v>0</v>
      </c>
      <c r="Q1209" s="40">
        <v>1</v>
      </c>
      <c r="R1209" s="40">
        <v>0</v>
      </c>
      <c r="S1209" s="40">
        <v>0</v>
      </c>
      <c r="T1209" s="29">
        <f t="array" aca="1" ref="T1209" ca="1">+fair_value_gap(OFFSET(S1208,0,0,-1*$I$5,-1*$Z$1),OFFSET(E1208,0,0,-1*$I$5,1),F1209:S1209,0)</f>
        <v>18.481975403571504</v>
      </c>
      <c r="U1209" s="9" cm="1">
        <f t="array" aca="1" ref="U1209" ca="1">z_score_diff(OFFSET(T1209,0,0,$I$5*-1,1),OFFSET(E1209,0,0,$I$5*-1,1))</f>
        <v>4.2358778473439163E-2</v>
      </c>
      <c r="V1209" s="9">
        <f t="shared" ca="1" si="151"/>
        <v>5.222415299811984E-2</v>
      </c>
      <c r="W1209" s="17">
        <f t="shared" ca="1" si="148"/>
        <v>-4.880374236285346E-2</v>
      </c>
      <c r="X1209" s="13">
        <f t="shared" ca="1" si="149"/>
        <v>0</v>
      </c>
      <c r="Y1209" s="13">
        <f t="shared" ca="1" si="150"/>
        <v>0</v>
      </c>
      <c r="Z1209">
        <f t="shared" ca="1" si="152"/>
        <v>0</v>
      </c>
      <c r="AA1209">
        <f t="shared" ca="1" si="153"/>
        <v>1</v>
      </c>
      <c r="AB1209" s="24">
        <f t="shared" ca="1" si="154"/>
        <v>0</v>
      </c>
      <c r="AC1209" s="24">
        <f t="shared" ca="1" si="155"/>
        <v>-4.880374236285346E-2</v>
      </c>
    </row>
    <row r="1210" spans="3:29" x14ac:dyDescent="0.25">
      <c r="C1210" s="6">
        <v>1203</v>
      </c>
      <c r="D1210" s="37">
        <v>43718</v>
      </c>
      <c r="E1210" s="39">
        <v>19.349</v>
      </c>
      <c r="F1210" s="39">
        <v>2.2658728843567553</v>
      </c>
      <c r="G1210" s="39">
        <v>60.842592663608286</v>
      </c>
      <c r="H1210" s="39">
        <v>64.234618141984228</v>
      </c>
      <c r="I1210" s="10">
        <v>0</v>
      </c>
      <c r="J1210" s="40">
        <v>0</v>
      </c>
      <c r="K1210" s="40">
        <v>0</v>
      </c>
      <c r="L1210" s="40">
        <v>0</v>
      </c>
      <c r="M1210" s="40">
        <v>0</v>
      </c>
      <c r="N1210" s="40">
        <v>0</v>
      </c>
      <c r="O1210" s="40">
        <v>0</v>
      </c>
      <c r="P1210" s="40">
        <v>0</v>
      </c>
      <c r="Q1210" s="40">
        <v>1</v>
      </c>
      <c r="R1210" s="40">
        <v>0</v>
      </c>
      <c r="S1210" s="40">
        <v>0</v>
      </c>
      <c r="T1210" s="29">
        <f t="array" aca="1" ref="T1210" ca="1">+fair_value_gap(OFFSET(S1209,0,0,-1*$I$5,-1*$Z$1),OFFSET(E1209,0,0,-1*$I$5,1),F1210:S1210,0)</f>
        <v>19.380804225150236</v>
      </c>
      <c r="U1210" s="9" cm="1">
        <f t="array" aca="1" ref="U1210" ca="1">z_score_diff(OFFSET(T1210,0,0,$I$5*-1,1),OFFSET(E1210,0,0,$I$5*-1,1))</f>
        <v>3.7506936343803032E-2</v>
      </c>
      <c r="V1210" s="9">
        <f t="shared" ca="1" si="151"/>
        <v>5.0254411271949073E-2</v>
      </c>
      <c r="W1210" s="17">
        <f t="shared" ca="1" si="148"/>
        <v>-9.8327803866636185E-2</v>
      </c>
      <c r="X1210" s="13">
        <f t="shared" ca="1" si="149"/>
        <v>0</v>
      </c>
      <c r="Y1210" s="13">
        <f t="shared" ca="1" si="150"/>
        <v>0</v>
      </c>
      <c r="Z1210">
        <f t="shared" ca="1" si="152"/>
        <v>0</v>
      </c>
      <c r="AA1210">
        <f t="shared" ca="1" si="153"/>
        <v>1</v>
      </c>
      <c r="AB1210" s="24">
        <f t="shared" ca="1" si="154"/>
        <v>0</v>
      </c>
      <c r="AC1210" s="24">
        <f t="shared" ca="1" si="155"/>
        <v>-9.8327803866636185E-2</v>
      </c>
    </row>
    <row r="1211" spans="3:29" x14ac:dyDescent="0.25">
      <c r="C1211" s="6">
        <v>1204</v>
      </c>
      <c r="D1211" s="37">
        <v>43719</v>
      </c>
      <c r="E1211" s="39">
        <v>19.326000000000001</v>
      </c>
      <c r="F1211" s="39">
        <v>2.2879791413297403</v>
      </c>
      <c r="G1211" s="39">
        <v>60.319843091706979</v>
      </c>
      <c r="H1211" s="39">
        <v>63.827181017210158</v>
      </c>
      <c r="I1211" s="10">
        <v>0</v>
      </c>
      <c r="J1211" s="40">
        <v>0</v>
      </c>
      <c r="K1211" s="40">
        <v>0</v>
      </c>
      <c r="L1211" s="40">
        <v>0</v>
      </c>
      <c r="M1211" s="40">
        <v>0</v>
      </c>
      <c r="N1211" s="40">
        <v>0</v>
      </c>
      <c r="O1211" s="40">
        <v>0</v>
      </c>
      <c r="P1211" s="40">
        <v>0</v>
      </c>
      <c r="Q1211" s="40">
        <v>1</v>
      </c>
      <c r="R1211" s="40">
        <v>0</v>
      </c>
      <c r="S1211" s="40">
        <v>0</v>
      </c>
      <c r="T1211" s="29">
        <f t="array" aca="1" ref="T1211" ca="1">+fair_value_gap(OFFSET(S1210,0,0,-1*$I$5,-1*$Z$1),OFFSET(E1210,0,0,-1*$I$5,1),F1211:S1211,0)</f>
        <v>19.232518087231458</v>
      </c>
      <c r="U1211" s="9" cm="1">
        <f t="array" aca="1" ref="U1211" ca="1">z_score_diff(OFFSET(T1211,0,0,$I$5*-1,1),OFFSET(E1211,0,0,$I$5*-1,1))</f>
        <v>-5.3592429122711283E-2</v>
      </c>
      <c r="V1211" s="9">
        <f t="shared" ca="1" si="151"/>
        <v>4.5465173276513178E-2</v>
      </c>
      <c r="W1211" s="17">
        <f t="shared" ca="1" si="148"/>
        <v>-0.10274226218979363</v>
      </c>
      <c r="X1211" s="13">
        <f t="shared" ca="1" si="149"/>
        <v>0</v>
      </c>
      <c r="Y1211" s="13">
        <f t="shared" ca="1" si="150"/>
        <v>0</v>
      </c>
      <c r="Z1211">
        <f t="shared" ca="1" si="152"/>
        <v>0</v>
      </c>
      <c r="AA1211">
        <f t="shared" ca="1" si="153"/>
        <v>1</v>
      </c>
      <c r="AB1211" s="24">
        <f t="shared" ca="1" si="154"/>
        <v>0</v>
      </c>
      <c r="AC1211" s="24">
        <f t="shared" ca="1" si="155"/>
        <v>-0.10274226218979363</v>
      </c>
    </row>
    <row r="1212" spans="3:29" x14ac:dyDescent="0.25">
      <c r="C1212" s="6">
        <v>1205</v>
      </c>
      <c r="D1212" s="37">
        <v>43720</v>
      </c>
      <c r="E1212" s="39">
        <v>18.829000000000001</v>
      </c>
      <c r="F1212" s="39">
        <v>2.2733671723339586</v>
      </c>
      <c r="G1212" s="39">
        <v>58.907170424537881</v>
      </c>
      <c r="H1212" s="39">
        <v>63.502606788546338</v>
      </c>
      <c r="I1212" s="10">
        <v>0</v>
      </c>
      <c r="J1212" s="40">
        <v>0</v>
      </c>
      <c r="K1212" s="40">
        <v>0</v>
      </c>
      <c r="L1212" s="40">
        <v>0</v>
      </c>
      <c r="M1212" s="40">
        <v>0</v>
      </c>
      <c r="N1212" s="40">
        <v>0</v>
      </c>
      <c r="O1212" s="40">
        <v>0</v>
      </c>
      <c r="P1212" s="40">
        <v>0</v>
      </c>
      <c r="Q1212" s="40">
        <v>1</v>
      </c>
      <c r="R1212" s="40">
        <v>0</v>
      </c>
      <c r="S1212" s="40">
        <v>0</v>
      </c>
      <c r="T1212" s="29">
        <f t="array" aca="1" ref="T1212" ca="1">+fair_value_gap(OFFSET(S1211,0,0,-1*$I$5,-1*$Z$1),OFFSET(E1211,0,0,-1*$I$5,1),F1212:S1212,0)</f>
        <v>18.847194124064572</v>
      </c>
      <c r="U1212" s="9" cm="1">
        <f t="array" aca="1" ref="U1212" ca="1">z_score_diff(OFFSET(T1212,0,0,$I$5*-1,1),OFFSET(E1212,0,0,$I$5*-1,1))</f>
        <v>1.5076894017335918E-2</v>
      </c>
      <c r="V1212" s="9">
        <f t="shared" ca="1" si="151"/>
        <v>4.4697143006284697E-2</v>
      </c>
      <c r="W1212" s="17">
        <f t="shared" ca="1" si="148"/>
        <v>-0.11081021716412986</v>
      </c>
      <c r="X1212" s="13">
        <f t="shared" ca="1" si="149"/>
        <v>0</v>
      </c>
      <c r="Y1212" s="13">
        <f t="shared" ca="1" si="150"/>
        <v>0</v>
      </c>
      <c r="Z1212">
        <f t="shared" ca="1" si="152"/>
        <v>0</v>
      </c>
      <c r="AA1212">
        <f t="shared" ca="1" si="153"/>
        <v>1</v>
      </c>
      <c r="AB1212" s="24">
        <f t="shared" ca="1" si="154"/>
        <v>0</v>
      </c>
      <c r="AC1212" s="24">
        <f t="shared" ca="1" si="155"/>
        <v>-0.11081021716412986</v>
      </c>
    </row>
    <row r="1213" spans="3:29" x14ac:dyDescent="0.25">
      <c r="C1213" s="6">
        <v>1206</v>
      </c>
      <c r="D1213" s="37">
        <v>43721</v>
      </c>
      <c r="E1213" s="39">
        <v>18.709</v>
      </c>
      <c r="F1213" s="39">
        <v>2.2509157668514153</v>
      </c>
      <c r="G1213" s="39">
        <v>58.935449440809322</v>
      </c>
      <c r="H1213" s="39">
        <v>63.907909963369327</v>
      </c>
      <c r="I1213" s="10">
        <v>0</v>
      </c>
      <c r="J1213" s="40">
        <v>0</v>
      </c>
      <c r="K1213" s="40">
        <v>0</v>
      </c>
      <c r="L1213" s="40">
        <v>0</v>
      </c>
      <c r="M1213" s="40">
        <v>0</v>
      </c>
      <c r="N1213" s="40">
        <v>0</v>
      </c>
      <c r="O1213" s="40">
        <v>0</v>
      </c>
      <c r="P1213" s="40">
        <v>0</v>
      </c>
      <c r="Q1213" s="40">
        <v>1</v>
      </c>
      <c r="R1213" s="40">
        <v>0</v>
      </c>
      <c r="S1213" s="40">
        <v>0</v>
      </c>
      <c r="T1213" s="29">
        <f t="array" aca="1" ref="T1213" ca="1">+fair_value_gap(OFFSET(S1212,0,0,-1*$I$5,-1*$Z$1),OFFSET(E1212,0,0,-1*$I$5,1),F1213:S1213,0)</f>
        <v>18.868892386124823</v>
      </c>
      <c r="U1213" s="9" cm="1">
        <f t="array" aca="1" ref="U1213" ca="1">z_score_diff(OFFSET(T1213,0,0,$I$5*-1,1),OFFSET(E1213,0,0,$I$5*-1,1))</f>
        <v>0.12005098367881417</v>
      </c>
      <c r="V1213" s="9">
        <f t="shared" ca="1" si="151"/>
        <v>4.7884686578834497E-2</v>
      </c>
      <c r="W1213" s="17">
        <f t="shared" ca="1" si="148"/>
        <v>-0.10210535656269028</v>
      </c>
      <c r="X1213" s="13">
        <f t="shared" ca="1" si="149"/>
        <v>0</v>
      </c>
      <c r="Y1213" s="13">
        <f t="shared" ca="1" si="150"/>
        <v>0</v>
      </c>
      <c r="Z1213">
        <f t="shared" ca="1" si="152"/>
        <v>0</v>
      </c>
      <c r="AA1213">
        <f t="shared" ca="1" si="153"/>
        <v>1</v>
      </c>
      <c r="AB1213" s="24">
        <f t="shared" ca="1" si="154"/>
        <v>0</v>
      </c>
      <c r="AC1213" s="24">
        <f t="shared" ca="1" si="155"/>
        <v>-0.10210535656269028</v>
      </c>
    </row>
    <row r="1214" spans="3:29" x14ac:dyDescent="0.25">
      <c r="C1214" s="6">
        <v>1207</v>
      </c>
      <c r="D1214" s="37">
        <v>43724</v>
      </c>
      <c r="E1214" s="39">
        <v>19.946999999999999</v>
      </c>
      <c r="F1214" s="39">
        <v>2.2814014924679555</v>
      </c>
      <c r="G1214" s="39">
        <v>62.855359636678315</v>
      </c>
      <c r="H1214" s="39">
        <v>65.67139576704453</v>
      </c>
      <c r="I1214" s="10">
        <v>0</v>
      </c>
      <c r="J1214" s="40">
        <v>0</v>
      </c>
      <c r="K1214" s="40">
        <v>0</v>
      </c>
      <c r="L1214" s="40">
        <v>0</v>
      </c>
      <c r="M1214" s="40">
        <v>0</v>
      </c>
      <c r="N1214" s="40">
        <v>0</v>
      </c>
      <c r="O1214" s="40">
        <v>0</v>
      </c>
      <c r="P1214" s="40">
        <v>0</v>
      </c>
      <c r="Q1214" s="40">
        <v>1</v>
      </c>
      <c r="R1214" s="40">
        <v>0</v>
      </c>
      <c r="S1214" s="40">
        <v>0</v>
      </c>
      <c r="T1214" s="29">
        <f t="array" aca="1" ref="T1214" ca="1">+fair_value_gap(OFFSET(S1213,0,0,-1*$I$5,-1*$Z$1),OFFSET(E1213,0,0,-1*$I$5,1),F1214:S1214,0)</f>
        <v>20.008329163086778</v>
      </c>
      <c r="U1214" s="9" cm="1">
        <f t="array" aca="1" ref="U1214" ca="1">z_score_diff(OFFSET(T1214,0,0,$I$5*-1,1),OFFSET(E1214,0,0,$I$5*-1,1))</f>
        <v>8.3749763110842423E-2</v>
      </c>
      <c r="V1214" s="9">
        <f t="shared" ca="1" si="151"/>
        <v>5.0823576895667813E-2</v>
      </c>
      <c r="W1214" s="17">
        <f t="shared" ca="1" si="148"/>
        <v>-0.15108058247647876</v>
      </c>
      <c r="X1214" s="13">
        <f t="shared" ca="1" si="149"/>
        <v>0</v>
      </c>
      <c r="Y1214" s="13">
        <f t="shared" ca="1" si="150"/>
        <v>0</v>
      </c>
      <c r="Z1214">
        <f t="shared" ca="1" si="152"/>
        <v>0</v>
      </c>
      <c r="AA1214">
        <f t="shared" ca="1" si="153"/>
        <v>1</v>
      </c>
      <c r="AB1214" s="24">
        <f t="shared" ca="1" si="154"/>
        <v>0</v>
      </c>
      <c r="AC1214" s="24">
        <f t="shared" ca="1" si="155"/>
        <v>-0.15108058247647876</v>
      </c>
    </row>
    <row r="1215" spans="3:29" x14ac:dyDescent="0.25">
      <c r="C1215" s="6">
        <v>1208</v>
      </c>
      <c r="D1215" s="37">
        <v>43725</v>
      </c>
      <c r="E1215" s="39">
        <v>19.233000000000001</v>
      </c>
      <c r="F1215" s="39">
        <v>2.2655231501061692</v>
      </c>
      <c r="G1215" s="39">
        <v>60.592464565067004</v>
      </c>
      <c r="H1215" s="39">
        <v>64.922324297692185</v>
      </c>
      <c r="I1215" s="10">
        <v>0</v>
      </c>
      <c r="J1215" s="40">
        <v>0</v>
      </c>
      <c r="K1215" s="40">
        <v>0</v>
      </c>
      <c r="L1215" s="40">
        <v>0</v>
      </c>
      <c r="M1215" s="40">
        <v>0</v>
      </c>
      <c r="N1215" s="40">
        <v>0</v>
      </c>
      <c r="O1215" s="40">
        <v>0</v>
      </c>
      <c r="P1215" s="40">
        <v>0</v>
      </c>
      <c r="Q1215" s="40">
        <v>1</v>
      </c>
      <c r="R1215" s="40">
        <v>0</v>
      </c>
      <c r="S1215" s="40">
        <v>0</v>
      </c>
      <c r="T1215" s="29">
        <f t="array" aca="1" ref="T1215" ca="1">+fair_value_gap(OFFSET(S1214,0,0,-1*$I$5,-1*$Z$1),OFFSET(E1214,0,0,-1*$I$5,1),F1215:S1215,0)</f>
        <v>19.356563432869279</v>
      </c>
      <c r="U1215" s="9" cm="1">
        <f t="array" aca="1" ref="U1215" ca="1">z_score_diff(OFFSET(T1215,0,0,$I$5*-1,1),OFFSET(E1215,0,0,$I$5*-1,1))</f>
        <v>0.11401083594081635</v>
      </c>
      <c r="V1215" s="9">
        <f t="shared" ca="1" si="151"/>
        <v>5.5101499981249365E-2</v>
      </c>
      <c r="W1215" s="17">
        <f t="shared" ca="1" si="148"/>
        <v>-0.1044770085972631</v>
      </c>
      <c r="X1215" s="13">
        <f t="shared" ca="1" si="149"/>
        <v>0</v>
      </c>
      <c r="Y1215" s="13">
        <f t="shared" ca="1" si="150"/>
        <v>0</v>
      </c>
      <c r="Z1215">
        <f t="shared" ca="1" si="152"/>
        <v>0</v>
      </c>
      <c r="AA1215">
        <f t="shared" ca="1" si="153"/>
        <v>1</v>
      </c>
      <c r="AB1215" s="24">
        <f t="shared" ca="1" si="154"/>
        <v>0</v>
      </c>
      <c r="AC1215" s="24">
        <f t="shared" ca="1" si="155"/>
        <v>-0.1044770085972631</v>
      </c>
    </row>
    <row r="1216" spans="3:29" x14ac:dyDescent="0.25">
      <c r="C1216" s="6">
        <v>1209</v>
      </c>
      <c r="D1216" s="37">
        <v>43726</v>
      </c>
      <c r="E1216" s="39">
        <v>19.074000000000002</v>
      </c>
      <c r="F1216" s="39">
        <v>2.2722346903818056</v>
      </c>
      <c r="G1216" s="39">
        <v>60.613996928239771</v>
      </c>
      <c r="H1216" s="39">
        <v>64.714991854912569</v>
      </c>
      <c r="I1216" s="10">
        <v>0</v>
      </c>
      <c r="J1216" s="40">
        <v>0</v>
      </c>
      <c r="K1216" s="40">
        <v>0</v>
      </c>
      <c r="L1216" s="40">
        <v>0</v>
      </c>
      <c r="M1216" s="40">
        <v>0</v>
      </c>
      <c r="N1216" s="40">
        <v>0</v>
      </c>
      <c r="O1216" s="40">
        <v>0</v>
      </c>
      <c r="P1216" s="40">
        <v>0</v>
      </c>
      <c r="Q1216" s="40">
        <v>1</v>
      </c>
      <c r="R1216" s="40">
        <v>0</v>
      </c>
      <c r="S1216" s="40">
        <v>0</v>
      </c>
      <c r="T1216" s="29">
        <f t="array" aca="1" ref="T1216" ca="1">+fair_value_gap(OFFSET(S1215,0,0,-1*$I$5,-1*$Z$1),OFFSET(E1215,0,0,-1*$I$5,1),F1216:S1216,0)</f>
        <v>19.345337410686525</v>
      </c>
      <c r="U1216" s="9" cm="1">
        <f t="array" aca="1" ref="U1216" ca="1">z_score_diff(OFFSET(T1216,0,0,$I$5*-1,1),OFFSET(E1216,0,0,$I$5*-1,1))</f>
        <v>0.23751375171850483</v>
      </c>
      <c r="V1216" s="9">
        <f t="shared" ca="1" si="151"/>
        <v>5.5492245814190495E-2</v>
      </c>
      <c r="W1216" s="17">
        <f t="shared" ca="1" si="148"/>
        <v>-0.10597818450208681</v>
      </c>
      <c r="X1216" s="13">
        <f t="shared" ca="1" si="149"/>
        <v>0</v>
      </c>
      <c r="Y1216" s="13">
        <f t="shared" ca="1" si="150"/>
        <v>0</v>
      </c>
      <c r="Z1216">
        <f t="shared" ca="1" si="152"/>
        <v>0</v>
      </c>
      <c r="AA1216">
        <f t="shared" ca="1" si="153"/>
        <v>1</v>
      </c>
      <c r="AB1216" s="24">
        <f t="shared" ca="1" si="154"/>
        <v>0</v>
      </c>
      <c r="AC1216" s="24">
        <f t="shared" ca="1" si="155"/>
        <v>-0.10597818450208681</v>
      </c>
    </row>
    <row r="1217" spans="3:29" x14ac:dyDescent="0.25">
      <c r="C1217" s="6">
        <v>1210</v>
      </c>
      <c r="D1217" s="37">
        <v>43727</v>
      </c>
      <c r="E1217" s="39">
        <v>19.201000000000001</v>
      </c>
      <c r="F1217" s="39">
        <v>2.2623801742443437</v>
      </c>
      <c r="G1217" s="39">
        <v>60.966387302265169</v>
      </c>
      <c r="H1217" s="39">
        <v>64.140094549839645</v>
      </c>
      <c r="I1217" s="10">
        <v>0</v>
      </c>
      <c r="J1217" s="40">
        <v>0</v>
      </c>
      <c r="K1217" s="40">
        <v>0</v>
      </c>
      <c r="L1217" s="40">
        <v>0</v>
      </c>
      <c r="M1217" s="40">
        <v>0</v>
      </c>
      <c r="N1217" s="40">
        <v>0</v>
      </c>
      <c r="O1217" s="40">
        <v>0</v>
      </c>
      <c r="P1217" s="40">
        <v>0</v>
      </c>
      <c r="Q1217" s="40">
        <v>1</v>
      </c>
      <c r="R1217" s="40">
        <v>0</v>
      </c>
      <c r="S1217" s="40">
        <v>0</v>
      </c>
      <c r="T1217" s="29">
        <f t="array" aca="1" ref="T1217" ca="1">+fair_value_gap(OFFSET(S1216,0,0,-1*$I$5,-1*$Z$1),OFFSET(E1216,0,0,-1*$I$5,1),F1217:S1217,0)</f>
        <v>19.388310347794484</v>
      </c>
      <c r="U1217" s="9" cm="1">
        <f t="array" aca="1" ref="U1217" ca="1">z_score_diff(OFFSET(T1217,0,0,$I$5*-1,1),OFFSET(E1217,0,0,$I$5*-1,1))</f>
        <v>0.17481493813108875</v>
      </c>
      <c r="V1217" s="9">
        <f t="shared" ca="1" si="151"/>
        <v>5.8679604781181956E-2</v>
      </c>
      <c r="W1217" s="17">
        <f t="shared" ca="1" si="148"/>
        <v>-0.12498955595176484</v>
      </c>
      <c r="X1217" s="13">
        <f t="shared" ca="1" si="149"/>
        <v>0</v>
      </c>
      <c r="Y1217" s="13">
        <f t="shared" ca="1" si="150"/>
        <v>0</v>
      </c>
      <c r="Z1217">
        <f t="shared" ca="1" si="152"/>
        <v>0</v>
      </c>
      <c r="AA1217">
        <f t="shared" ca="1" si="153"/>
        <v>1</v>
      </c>
      <c r="AB1217" s="24">
        <f t="shared" ca="1" si="154"/>
        <v>0</v>
      </c>
      <c r="AC1217" s="24">
        <f t="shared" ca="1" si="155"/>
        <v>-0.12498955595176484</v>
      </c>
    </row>
    <row r="1218" spans="3:29" x14ac:dyDescent="0.25">
      <c r="C1218" s="6">
        <v>1211</v>
      </c>
      <c r="D1218" s="37">
        <v>43728</v>
      </c>
      <c r="E1218" s="39">
        <v>19.498999999999999</v>
      </c>
      <c r="F1218" s="39">
        <v>2.27787435816921</v>
      </c>
      <c r="G1218" s="39">
        <v>61.464860738820938</v>
      </c>
      <c r="H1218" s="39">
        <v>65.608395067792415</v>
      </c>
      <c r="I1218" s="10">
        <v>0</v>
      </c>
      <c r="J1218" s="40">
        <v>0</v>
      </c>
      <c r="K1218" s="40">
        <v>0</v>
      </c>
      <c r="L1218" s="40">
        <v>0</v>
      </c>
      <c r="M1218" s="40">
        <v>0</v>
      </c>
      <c r="N1218" s="40">
        <v>0</v>
      </c>
      <c r="O1218" s="40">
        <v>0</v>
      </c>
      <c r="P1218" s="40">
        <v>0</v>
      </c>
      <c r="Q1218" s="40">
        <v>1</v>
      </c>
      <c r="R1218" s="40">
        <v>0</v>
      </c>
      <c r="S1218" s="40">
        <v>0</v>
      </c>
      <c r="T1218" s="29">
        <f t="array" aca="1" ref="T1218" ca="1">+fair_value_gap(OFFSET(S1217,0,0,-1*$I$5,-1*$Z$1),OFFSET(E1217,0,0,-1*$I$5,1),F1218:S1218,0)</f>
        <v>19.617044918323046</v>
      </c>
      <c r="U1218" s="9" cm="1">
        <f t="array" aca="1" ref="U1218" ca="1">z_score_diff(OFFSET(T1218,0,0,$I$5*-1,1),OFFSET(E1218,0,0,$I$5*-1,1))</f>
        <v>0.12325370926494342</v>
      </c>
      <c r="V1218" s="9">
        <f t="shared" ca="1" si="151"/>
        <v>5.8004095526835046E-2</v>
      </c>
      <c r="W1218" s="17">
        <f t="shared" ca="1" si="148"/>
        <v>-0.14346384726285849</v>
      </c>
      <c r="X1218" s="13">
        <f t="shared" ca="1" si="149"/>
        <v>0</v>
      </c>
      <c r="Y1218" s="13">
        <f t="shared" ca="1" si="150"/>
        <v>0</v>
      </c>
      <c r="Z1218">
        <f t="shared" ca="1" si="152"/>
        <v>0</v>
      </c>
      <c r="AA1218">
        <f t="shared" ca="1" si="153"/>
        <v>1</v>
      </c>
      <c r="AB1218" s="24">
        <f t="shared" ca="1" si="154"/>
        <v>0</v>
      </c>
      <c r="AC1218" s="24">
        <f t="shared" ca="1" si="155"/>
        <v>-0.14346384726285849</v>
      </c>
    </row>
    <row r="1219" spans="3:29" x14ac:dyDescent="0.25">
      <c r="C1219" s="6">
        <v>1212</v>
      </c>
      <c r="D1219" s="37">
        <v>43731</v>
      </c>
      <c r="E1219" s="39">
        <v>19.358000000000001</v>
      </c>
      <c r="F1219" s="39">
        <v>2.284001535551802</v>
      </c>
      <c r="G1219" s="39">
        <v>60.771973708720296</v>
      </c>
      <c r="H1219" s="39">
        <v>65.401505508396781</v>
      </c>
      <c r="I1219" s="10">
        <v>0</v>
      </c>
      <c r="J1219" s="40">
        <v>0</v>
      </c>
      <c r="K1219" s="40">
        <v>0</v>
      </c>
      <c r="L1219" s="40">
        <v>0</v>
      </c>
      <c r="M1219" s="40">
        <v>0</v>
      </c>
      <c r="N1219" s="40">
        <v>0</v>
      </c>
      <c r="O1219" s="40">
        <v>0</v>
      </c>
      <c r="P1219" s="40">
        <v>0</v>
      </c>
      <c r="Q1219" s="40">
        <v>1</v>
      </c>
      <c r="R1219" s="40">
        <v>0</v>
      </c>
      <c r="S1219" s="40">
        <v>0</v>
      </c>
      <c r="T1219" s="29">
        <f t="array" aca="1" ref="T1219" ca="1">+fair_value_gap(OFFSET(S1218,0,0,-1*$I$5,-1*$Z$1),OFFSET(E1218,0,0,-1*$I$5,1),F1219:S1219,0)</f>
        <v>19.350837743152333</v>
      </c>
      <c r="U1219" s="9" cm="1">
        <f t="array" aca="1" ref="U1219" ca="1">z_score_diff(OFFSET(T1219,0,0,$I$5*-1,1),OFFSET(E1219,0,0,$I$5*-1,1))</f>
        <v>5.9361290579733605E-3</v>
      </c>
      <c r="V1219" s="9">
        <f t="shared" ca="1" si="151"/>
        <v>5.7211186181402772E-2</v>
      </c>
      <c r="W1219" s="17">
        <f t="shared" ca="1" si="148"/>
        <v>-0.1391112604272155</v>
      </c>
      <c r="X1219" s="13">
        <f t="shared" ca="1" si="149"/>
        <v>0</v>
      </c>
      <c r="Y1219" s="13">
        <f t="shared" ca="1" si="150"/>
        <v>0</v>
      </c>
      <c r="Z1219">
        <f t="shared" ca="1" si="152"/>
        <v>0</v>
      </c>
      <c r="AA1219">
        <f t="shared" ca="1" si="153"/>
        <v>1</v>
      </c>
      <c r="AB1219" s="24">
        <f t="shared" ca="1" si="154"/>
        <v>0</v>
      </c>
      <c r="AC1219" s="24">
        <f t="shared" ca="1" si="155"/>
        <v>-0.1391112604272155</v>
      </c>
    </row>
    <row r="1220" spans="3:29" x14ac:dyDescent="0.25">
      <c r="C1220" s="6">
        <v>1213</v>
      </c>
      <c r="D1220" s="37">
        <v>43732</v>
      </c>
      <c r="E1220" s="39">
        <v>19.317</v>
      </c>
      <c r="F1220" s="39">
        <v>2.2811785210973889</v>
      </c>
      <c r="G1220" s="39">
        <v>60.76473778259826</v>
      </c>
      <c r="H1220" s="39">
        <v>64.273390201820206</v>
      </c>
      <c r="I1220" s="10">
        <v>0</v>
      </c>
      <c r="J1220" s="40">
        <v>0</v>
      </c>
      <c r="K1220" s="40">
        <v>0</v>
      </c>
      <c r="L1220" s="40">
        <v>0</v>
      </c>
      <c r="M1220" s="40">
        <v>0</v>
      </c>
      <c r="N1220" s="40">
        <v>0</v>
      </c>
      <c r="O1220" s="40">
        <v>0</v>
      </c>
      <c r="P1220" s="40">
        <v>0</v>
      </c>
      <c r="Q1220" s="40">
        <v>1</v>
      </c>
      <c r="R1220" s="40">
        <v>0</v>
      </c>
      <c r="S1220" s="40">
        <v>0</v>
      </c>
      <c r="T1220" s="29">
        <f t="array" aca="1" ref="T1220" ca="1">+fair_value_gap(OFFSET(S1219,0,0,-1*$I$5,-1*$Z$1),OFFSET(E1219,0,0,-1*$I$5,1),F1220:S1220,0)</f>
        <v>19.301139442299615</v>
      </c>
      <c r="U1220" s="9" cm="1">
        <f t="array" aca="1" ref="U1220" ca="1">z_score_diff(OFFSET(T1220,0,0,$I$5*-1,1),OFFSET(E1220,0,0,$I$5*-1,1))</f>
        <v>-3.4149618832400863E-3</v>
      </c>
      <c r="V1220" s="9">
        <f t="shared" ca="1" si="151"/>
        <v>5.7202260933025911E-2</v>
      </c>
      <c r="W1220" s="17">
        <f t="shared" ca="1" si="148"/>
        <v>-0.14306500498629149</v>
      </c>
      <c r="X1220" s="13">
        <f t="shared" ca="1" si="149"/>
        <v>0</v>
      </c>
      <c r="Y1220" s="13">
        <f t="shared" ca="1" si="150"/>
        <v>0</v>
      </c>
      <c r="Z1220">
        <f t="shared" ca="1" si="152"/>
        <v>0</v>
      </c>
      <c r="AA1220">
        <f t="shared" ca="1" si="153"/>
        <v>1</v>
      </c>
      <c r="AB1220" s="24">
        <f t="shared" ca="1" si="154"/>
        <v>0</v>
      </c>
      <c r="AC1220" s="24">
        <f t="shared" ca="1" si="155"/>
        <v>-0.14306500498629149</v>
      </c>
    </row>
    <row r="1221" spans="3:29" x14ac:dyDescent="0.25">
      <c r="C1221" s="6">
        <v>1214</v>
      </c>
      <c r="D1221" s="37">
        <v>43733</v>
      </c>
      <c r="E1221" s="39">
        <v>19.05</v>
      </c>
      <c r="F1221" s="39">
        <v>2.2837112027104629</v>
      </c>
      <c r="G1221" s="39">
        <v>59.966994909778336</v>
      </c>
      <c r="H1221" s="39">
        <v>63.201200337661135</v>
      </c>
      <c r="I1221" s="10">
        <v>0</v>
      </c>
      <c r="J1221" s="40">
        <v>0</v>
      </c>
      <c r="K1221" s="40">
        <v>0</v>
      </c>
      <c r="L1221" s="40">
        <v>0</v>
      </c>
      <c r="M1221" s="40">
        <v>0</v>
      </c>
      <c r="N1221" s="40">
        <v>0</v>
      </c>
      <c r="O1221" s="40">
        <v>0</v>
      </c>
      <c r="P1221" s="40">
        <v>0</v>
      </c>
      <c r="Q1221" s="40">
        <v>1</v>
      </c>
      <c r="R1221" s="40">
        <v>0</v>
      </c>
      <c r="S1221" s="40">
        <v>0</v>
      </c>
      <c r="T1221" s="29">
        <f t="array" aca="1" ref="T1221" ca="1">+fair_value_gap(OFFSET(S1220,0,0,-1*$I$5,-1*$Z$1),OFFSET(E1220,0,0,-1*$I$5,1),F1221:S1221,0)</f>
        <v>19.043083915236281</v>
      </c>
      <c r="U1221" s="9" cm="1">
        <f t="array" aca="1" ref="U1221" ca="1">z_score_diff(OFFSET(T1221,0,0,$I$5*-1,1),OFFSET(E1221,0,0,$I$5*-1,1))</f>
        <v>-5.9659272801766416E-3</v>
      </c>
      <c r="V1221" s="9">
        <f t="shared" ca="1" si="151"/>
        <v>5.3589258689679085E-2</v>
      </c>
      <c r="W1221" s="17">
        <f t="shared" ca="1" si="148"/>
        <v>-0.13099991635146449</v>
      </c>
      <c r="X1221" s="13">
        <f t="shared" ca="1" si="149"/>
        <v>0</v>
      </c>
      <c r="Y1221" s="13">
        <f t="shared" ca="1" si="150"/>
        <v>0</v>
      </c>
      <c r="Z1221">
        <f t="shared" ca="1" si="152"/>
        <v>0</v>
      </c>
      <c r="AA1221">
        <f t="shared" ca="1" si="153"/>
        <v>1</v>
      </c>
      <c r="AB1221" s="24">
        <f t="shared" ca="1" si="154"/>
        <v>0</v>
      </c>
      <c r="AC1221" s="24">
        <f t="shared" ca="1" si="155"/>
        <v>-0.13099991635146449</v>
      </c>
    </row>
    <row r="1222" spans="3:29" x14ac:dyDescent="0.25">
      <c r="C1222" s="6">
        <v>1215</v>
      </c>
      <c r="D1222" s="37">
        <v>43734</v>
      </c>
      <c r="E1222" s="39">
        <v>19.173999999999999</v>
      </c>
      <c r="F1222" s="39">
        <v>2.2845548876915296</v>
      </c>
      <c r="G1222" s="39">
        <v>60.457912502643168</v>
      </c>
      <c r="H1222" s="39">
        <v>64.432761737641471</v>
      </c>
      <c r="I1222" s="10">
        <v>0</v>
      </c>
      <c r="J1222" s="40">
        <v>0</v>
      </c>
      <c r="K1222" s="40">
        <v>0</v>
      </c>
      <c r="L1222" s="40">
        <v>0</v>
      </c>
      <c r="M1222" s="40">
        <v>0</v>
      </c>
      <c r="N1222" s="40">
        <v>0</v>
      </c>
      <c r="O1222" s="40">
        <v>0</v>
      </c>
      <c r="P1222" s="40">
        <v>0</v>
      </c>
      <c r="Q1222" s="40">
        <v>1</v>
      </c>
      <c r="R1222" s="40">
        <v>0</v>
      </c>
      <c r="S1222" s="40">
        <v>0</v>
      </c>
      <c r="T1222" s="29">
        <f t="array" aca="1" ref="T1222" ca="1">+fair_value_gap(OFFSET(S1221,0,0,-1*$I$5,-1*$Z$1),OFFSET(E1221,0,0,-1*$I$5,1),F1222:S1222,0)</f>
        <v>19.229844536686215</v>
      </c>
      <c r="U1222" s="9" cm="1">
        <f t="array" aca="1" ref="U1222" ca="1">z_score_diff(OFFSET(T1222,0,0,$I$5*-1,1),OFFSET(E1222,0,0,$I$5*-1,1))</f>
        <v>5.9244626090828256E-2</v>
      </c>
      <c r="V1222" s="9">
        <f t="shared" ca="1" si="151"/>
        <v>5.1163162160623596E-2</v>
      </c>
      <c r="W1222" s="17">
        <f t="shared" ca="1" si="148"/>
        <v>-0.13164073740354759</v>
      </c>
      <c r="X1222" s="13">
        <f t="shared" ca="1" si="149"/>
        <v>0</v>
      </c>
      <c r="Y1222" s="13">
        <f t="shared" ca="1" si="150"/>
        <v>0</v>
      </c>
      <c r="Z1222">
        <f t="shared" ca="1" si="152"/>
        <v>0</v>
      </c>
      <c r="AA1222">
        <f t="shared" ca="1" si="153"/>
        <v>1</v>
      </c>
      <c r="AB1222" s="24">
        <f t="shared" ca="1" si="154"/>
        <v>0</v>
      </c>
      <c r="AC1222" s="24">
        <f t="shared" ca="1" si="155"/>
        <v>-0.13164073740354759</v>
      </c>
    </row>
    <row r="1223" spans="3:29" x14ac:dyDescent="0.25">
      <c r="C1223" s="6">
        <v>1216</v>
      </c>
      <c r="D1223" s="37">
        <v>43735</v>
      </c>
      <c r="E1223" s="39">
        <v>18.940999999999999</v>
      </c>
      <c r="F1223" s="39">
        <v>2.037666382211146</v>
      </c>
      <c r="G1223" s="39">
        <v>59.825431046366091</v>
      </c>
      <c r="H1223" s="39">
        <v>63.84805662753417</v>
      </c>
      <c r="I1223" s="10">
        <v>0</v>
      </c>
      <c r="J1223" s="40">
        <v>0</v>
      </c>
      <c r="K1223" s="40">
        <v>0</v>
      </c>
      <c r="L1223" s="40">
        <v>0</v>
      </c>
      <c r="M1223" s="40">
        <v>0</v>
      </c>
      <c r="N1223" s="40">
        <v>0</v>
      </c>
      <c r="O1223" s="40">
        <v>0</v>
      </c>
      <c r="P1223" s="40">
        <v>0</v>
      </c>
      <c r="Q1223" s="40">
        <v>1</v>
      </c>
      <c r="R1223" s="40">
        <v>0</v>
      </c>
      <c r="S1223" s="40">
        <v>0</v>
      </c>
      <c r="T1223" s="29">
        <f t="array" aca="1" ref="T1223" ca="1">+fair_value_gap(OFFSET(S1222,0,0,-1*$I$5,-1*$Z$1),OFFSET(E1222,0,0,-1*$I$5,1),F1223:S1223,0)</f>
        <v>18.87890039959882</v>
      </c>
      <c r="U1223" s="9" cm="1">
        <f t="array" aca="1" ref="U1223" ca="1">z_score_diff(OFFSET(T1223,0,0,$I$5*-1,1),OFFSET(E1223,0,0,$I$5*-1,1))</f>
        <v>-6.6591500539720183E-2</v>
      </c>
      <c r="V1223" s="9">
        <f t="shared" ca="1" si="151"/>
        <v>4.8435489179416903E-2</v>
      </c>
      <c r="W1223" s="17">
        <f t="shared" ref="W1223:W1286" ca="1" si="156">+LN(OFFSET(E1223,$W$3,0,1,1)/E1223)</f>
        <v>-0.10788027417806063</v>
      </c>
      <c r="X1223" s="13">
        <f t="shared" ca="1" si="149"/>
        <v>0</v>
      </c>
      <c r="Y1223" s="13">
        <f t="shared" ca="1" si="150"/>
        <v>0</v>
      </c>
      <c r="Z1223">
        <f t="shared" ca="1" si="152"/>
        <v>0</v>
      </c>
      <c r="AA1223">
        <f t="shared" ca="1" si="153"/>
        <v>1</v>
      </c>
      <c r="AB1223" s="24">
        <f t="shared" ca="1" si="154"/>
        <v>0</v>
      </c>
      <c r="AC1223" s="24">
        <f t="shared" ca="1" si="155"/>
        <v>-0.10788027417806063</v>
      </c>
    </row>
    <row r="1224" spans="3:29" x14ac:dyDescent="0.25">
      <c r="C1224" s="6">
        <v>1217</v>
      </c>
      <c r="D1224" s="37">
        <v>43738</v>
      </c>
      <c r="E1224" s="39">
        <v>18.074000000000002</v>
      </c>
      <c r="F1224" s="39">
        <v>2.0415176491636422</v>
      </c>
      <c r="G1224" s="39">
        <v>53.062782476890135</v>
      </c>
      <c r="H1224" s="39">
        <v>63.371187764710882</v>
      </c>
      <c r="I1224" s="10">
        <v>0</v>
      </c>
      <c r="J1224" s="40">
        <v>0</v>
      </c>
      <c r="K1224" s="40">
        <v>0</v>
      </c>
      <c r="L1224" s="40">
        <v>0</v>
      </c>
      <c r="M1224" s="40">
        <v>0</v>
      </c>
      <c r="N1224" s="40">
        <v>0</v>
      </c>
      <c r="O1224" s="40">
        <v>0</v>
      </c>
      <c r="P1224" s="40">
        <v>0</v>
      </c>
      <c r="Q1224" s="40">
        <v>1</v>
      </c>
      <c r="R1224" s="40">
        <v>0</v>
      </c>
      <c r="S1224" s="40">
        <v>0</v>
      </c>
      <c r="T1224" s="29">
        <f t="array" aca="1" ref="T1224" ca="1">+fair_value_gap(OFFSET(S1223,0,0,-1*$I$5,-1*$Z$1),OFFSET(E1223,0,0,-1*$I$5,1),F1224:S1224,0)</f>
        <v>16.988984109392739</v>
      </c>
      <c r="U1224" s="9" cm="1">
        <f t="array" aca="1" ref="U1224" ca="1">z_score_diff(OFFSET(T1224,0,0,$I$5*-1,1),OFFSET(E1224,0,0,$I$5*-1,1))</f>
        <v>-1.1139536051887473</v>
      </c>
      <c r="V1224" s="9">
        <f t="shared" ca="1" si="151"/>
        <v>1.3315080545402891E-2</v>
      </c>
      <c r="W1224" s="17">
        <f t="shared" ca="1" si="156"/>
        <v>-6.9767764977876123E-2</v>
      </c>
      <c r="X1224" s="13">
        <f t="shared" ca="1" si="149"/>
        <v>0</v>
      </c>
      <c r="Y1224" s="13">
        <f t="shared" ca="1" si="150"/>
        <v>0</v>
      </c>
      <c r="Z1224">
        <f t="shared" ca="1" si="152"/>
        <v>0</v>
      </c>
      <c r="AA1224">
        <f t="shared" ca="1" si="153"/>
        <v>1</v>
      </c>
      <c r="AB1224" s="24">
        <f t="shared" ca="1" si="154"/>
        <v>0</v>
      </c>
      <c r="AC1224" s="24">
        <f t="shared" ca="1" si="155"/>
        <v>-6.9767764977876123E-2</v>
      </c>
    </row>
    <row r="1225" spans="3:29" x14ac:dyDescent="0.25">
      <c r="C1225" s="6">
        <v>1218</v>
      </c>
      <c r="D1225" s="37">
        <v>43739</v>
      </c>
      <c r="E1225" s="39">
        <v>18.149000000000001</v>
      </c>
      <c r="F1225" s="39">
        <v>2.0434793748172311</v>
      </c>
      <c r="G1225" s="39">
        <v>53.213099696177487</v>
      </c>
      <c r="H1225" s="39">
        <v>63.83112184632293</v>
      </c>
      <c r="I1225" s="10">
        <v>0</v>
      </c>
      <c r="J1225" s="40">
        <v>0</v>
      </c>
      <c r="K1225" s="40">
        <v>0</v>
      </c>
      <c r="L1225" s="40">
        <v>0</v>
      </c>
      <c r="M1225" s="40">
        <v>0</v>
      </c>
      <c r="N1225" s="40">
        <v>0</v>
      </c>
      <c r="O1225" s="40">
        <v>0</v>
      </c>
      <c r="P1225" s="40">
        <v>0</v>
      </c>
      <c r="Q1225" s="40">
        <v>0</v>
      </c>
      <c r="R1225" s="40">
        <v>1</v>
      </c>
      <c r="S1225" s="40">
        <v>0</v>
      </c>
      <c r="T1225" s="29">
        <f t="array" aca="1" ref="T1225" ca="1">+fair_value_gap(OFFSET(S1224,0,0,-1*$I$5,-1*$Z$1),OFFSET(E1224,0,0,-1*$I$5,1),F1225:S1225,0)</f>
        <v>18.039927745776573</v>
      </c>
      <c r="U1225" s="9" cm="1">
        <f t="array" aca="1" ref="U1225" ca="1">z_score_diff(OFFSET(T1225,0,0,$I$5*-1,1),OFFSET(E1225,0,0,$I$5*-1,1))</f>
        <v>-0.13479676889491121</v>
      </c>
      <c r="V1225" s="9">
        <f t="shared" ca="1" si="151"/>
        <v>6.5122310493000643E-3</v>
      </c>
      <c r="W1225" s="17">
        <f t="shared" ca="1" si="156"/>
        <v>-7.6641515353739503E-2</v>
      </c>
      <c r="X1225" s="13">
        <f t="shared" ref="X1225:X1288" ca="1" si="157">+X1224</f>
        <v>0</v>
      </c>
      <c r="Y1225" s="13">
        <f t="shared" ref="Y1225:Y1288" ca="1" si="158">+Y1224</f>
        <v>0</v>
      </c>
      <c r="Z1225">
        <f t="shared" ca="1" si="152"/>
        <v>0</v>
      </c>
      <c r="AA1225">
        <f t="shared" ca="1" si="153"/>
        <v>1</v>
      </c>
      <c r="AB1225" s="24">
        <f t="shared" ca="1" si="154"/>
        <v>0</v>
      </c>
      <c r="AC1225" s="24">
        <f t="shared" ca="1" si="155"/>
        <v>-7.6641515353739503E-2</v>
      </c>
    </row>
    <row r="1226" spans="3:29" x14ac:dyDescent="0.25">
      <c r="C1226" s="6">
        <v>1219</v>
      </c>
      <c r="D1226" s="37">
        <v>43740</v>
      </c>
      <c r="E1226" s="39">
        <v>17.792000000000002</v>
      </c>
      <c r="F1226" s="39">
        <v>2.033567084785461</v>
      </c>
      <c r="G1226" s="39">
        <v>51.807027353053826</v>
      </c>
      <c r="H1226" s="39">
        <v>63.18520452076249</v>
      </c>
      <c r="I1226" s="10">
        <v>0</v>
      </c>
      <c r="J1226" s="40">
        <v>0</v>
      </c>
      <c r="K1226" s="40">
        <v>0</v>
      </c>
      <c r="L1226" s="40">
        <v>0</v>
      </c>
      <c r="M1226" s="40">
        <v>0</v>
      </c>
      <c r="N1226" s="40">
        <v>0</v>
      </c>
      <c r="O1226" s="40">
        <v>0</v>
      </c>
      <c r="P1226" s="40">
        <v>0</v>
      </c>
      <c r="Q1226" s="40">
        <v>0</v>
      </c>
      <c r="R1226" s="40">
        <v>1</v>
      </c>
      <c r="S1226" s="40">
        <v>0</v>
      </c>
      <c r="T1226" s="29">
        <f t="array" aca="1" ref="T1226" ca="1">+fair_value_gap(OFFSET(S1225,0,0,-1*$I$5,-1*$Z$1),OFFSET(E1225,0,0,-1*$I$5,1),F1226:S1226,0)</f>
        <v>17.652175474918749</v>
      </c>
      <c r="U1226" s="9" cm="1">
        <f t="array" aca="1" ref="U1226" ca="1">z_score_diff(OFFSET(T1226,0,0,$I$5*-1,1),OFFSET(E1226,0,0,$I$5*-1,1))</f>
        <v>-0.17636131257320353</v>
      </c>
      <c r="V1226" s="9">
        <f t="shared" ca="1" si="151"/>
        <v>-1.9608841286382185E-3</v>
      </c>
      <c r="W1226" s="17">
        <f t="shared" ca="1" si="156"/>
        <v>-5.4042241566283906E-2</v>
      </c>
      <c r="X1226" s="13">
        <f t="shared" ca="1" si="157"/>
        <v>0</v>
      </c>
      <c r="Y1226" s="13">
        <f t="shared" ca="1" si="158"/>
        <v>0</v>
      </c>
      <c r="Z1226">
        <f t="shared" ca="1" si="152"/>
        <v>1</v>
      </c>
      <c r="AA1226">
        <f t="shared" ca="1" si="153"/>
        <v>0</v>
      </c>
      <c r="AB1226" s="24">
        <f t="shared" ca="1" si="154"/>
        <v>-5.4042241566283906E-2</v>
      </c>
      <c r="AC1226" s="24">
        <f t="shared" ca="1" si="155"/>
        <v>0</v>
      </c>
    </row>
    <row r="1227" spans="3:29" x14ac:dyDescent="0.25">
      <c r="C1227" s="6">
        <v>1220</v>
      </c>
      <c r="D1227" s="37">
        <v>43741</v>
      </c>
      <c r="E1227" s="39">
        <v>17.574999999999999</v>
      </c>
      <c r="F1227" s="39">
        <v>2.0382761603785244</v>
      </c>
      <c r="G1227" s="39">
        <v>51.384319615765371</v>
      </c>
      <c r="H1227" s="39">
        <v>63.028548224784174</v>
      </c>
      <c r="I1227" s="10">
        <v>0</v>
      </c>
      <c r="J1227" s="40">
        <v>0</v>
      </c>
      <c r="K1227" s="40">
        <v>0</v>
      </c>
      <c r="L1227" s="40">
        <v>0</v>
      </c>
      <c r="M1227" s="40">
        <v>0</v>
      </c>
      <c r="N1227" s="40">
        <v>0</v>
      </c>
      <c r="O1227" s="40">
        <v>0</v>
      </c>
      <c r="P1227" s="40">
        <v>0</v>
      </c>
      <c r="Q1227" s="40">
        <v>0</v>
      </c>
      <c r="R1227" s="40">
        <v>1</v>
      </c>
      <c r="S1227" s="40">
        <v>0</v>
      </c>
      <c r="T1227" s="29">
        <f t="array" aca="1" ref="T1227" ca="1">+fair_value_gap(OFFSET(S1226,0,0,-1*$I$5,-1*$Z$1),OFFSET(E1226,0,0,-1*$I$5,1),F1227:S1227,0)</f>
        <v>17.561101139705276</v>
      </c>
      <c r="U1227" s="9" cm="1">
        <f t="array" aca="1" ref="U1227" ca="1">z_score_diff(OFFSET(T1227,0,0,$I$5*-1,1),OFFSET(E1227,0,0,$I$5*-1,1))</f>
        <v>-5.3410700352470197E-2</v>
      </c>
      <c r="V1227" s="9">
        <f t="shared" ref="V1227:V1290" ca="1" si="159">+IF(ISERROR(AVERAGE(OFFSET(U1227,0,0,$V$5*-1,1))),"",AVERAGE(OFFSET(U1227,0,0,$V$5*-1,1)))</f>
        <v>-5.6525579338324774E-3</v>
      </c>
      <c r="W1227" s="17">
        <f t="shared" ca="1" si="156"/>
        <v>-3.5678771335465084E-2</v>
      </c>
      <c r="X1227" s="13">
        <f t="shared" ca="1" si="157"/>
        <v>0</v>
      </c>
      <c r="Y1227" s="13">
        <f t="shared" ca="1" si="158"/>
        <v>0</v>
      </c>
      <c r="Z1227">
        <f t="shared" ref="Z1227:Z1290" ca="1" si="160">+IF(V1227="","",IF(V1227&lt;X1227,1,0))</f>
        <v>1</v>
      </c>
      <c r="AA1227">
        <f t="shared" ref="AA1227:AA1290" ca="1" si="161">+IF(V1227="","",IF(V1227&gt;Y1227,1,0))</f>
        <v>0</v>
      </c>
      <c r="AB1227" s="24">
        <f t="shared" ref="AB1227:AB1290" ca="1" si="162">+IF(ISERROR(Z1227*W1227),"",Z1227*W1227)</f>
        <v>-3.5678771335465084E-2</v>
      </c>
      <c r="AC1227" s="24">
        <f t="shared" ref="AC1227:AC1290" ca="1" si="163">+IF(ISERROR(AA1227*W1227),"",AA1227*W1227)</f>
        <v>0</v>
      </c>
    </row>
    <row r="1228" spans="3:29" x14ac:dyDescent="0.25">
      <c r="C1228" s="6">
        <v>1221</v>
      </c>
      <c r="D1228" s="37">
        <v>43742</v>
      </c>
      <c r="E1228" s="39">
        <v>17.681999999999999</v>
      </c>
      <c r="F1228" s="39">
        <v>2.041717687569589</v>
      </c>
      <c r="G1228" s="39">
        <v>51.618890992983005</v>
      </c>
      <c r="H1228" s="39">
        <v>63.693481401944219</v>
      </c>
      <c r="I1228" s="10">
        <v>0</v>
      </c>
      <c r="J1228" s="40">
        <v>0</v>
      </c>
      <c r="K1228" s="40">
        <v>0</v>
      </c>
      <c r="L1228" s="40">
        <v>0</v>
      </c>
      <c r="M1228" s="40">
        <v>0</v>
      </c>
      <c r="N1228" s="40">
        <v>0</v>
      </c>
      <c r="O1228" s="40">
        <v>0</v>
      </c>
      <c r="P1228" s="40">
        <v>0</v>
      </c>
      <c r="Q1228" s="40">
        <v>0</v>
      </c>
      <c r="R1228" s="40">
        <v>1</v>
      </c>
      <c r="S1228" s="40">
        <v>0</v>
      </c>
      <c r="T1228" s="29">
        <f t="array" aca="1" ref="T1228" ca="1">+fair_value_gap(OFFSET(S1227,0,0,-1*$I$5,-1*$Z$1),OFFSET(E1227,0,0,-1*$I$5,1),F1228:S1228,0)</f>
        <v>17.665511651135077</v>
      </c>
      <c r="U1228" s="9" cm="1">
        <f t="array" aca="1" ref="U1228" ca="1">z_score_diff(OFFSET(T1228,0,0,$I$5*-1,1),OFFSET(E1228,0,0,$I$5*-1,1))</f>
        <v>-5.0023567688614046E-2</v>
      </c>
      <c r="V1228" s="9">
        <f t="shared" ca="1" si="159"/>
        <v>-1.010840581912445E-2</v>
      </c>
      <c r="W1228" s="17">
        <f t="shared" ca="1" si="156"/>
        <v>-2.6359536709639076E-2</v>
      </c>
      <c r="X1228" s="13">
        <f t="shared" ca="1" si="157"/>
        <v>0</v>
      </c>
      <c r="Y1228" s="13">
        <f t="shared" ca="1" si="158"/>
        <v>0</v>
      </c>
      <c r="Z1228">
        <f t="shared" ca="1" si="160"/>
        <v>1</v>
      </c>
      <c r="AA1228">
        <f t="shared" ca="1" si="161"/>
        <v>0</v>
      </c>
      <c r="AB1228" s="24">
        <f t="shared" ca="1" si="162"/>
        <v>-2.6359536709639076E-2</v>
      </c>
      <c r="AC1228" s="24">
        <f t="shared" ca="1" si="163"/>
        <v>0</v>
      </c>
    </row>
    <row r="1229" spans="3:29" x14ac:dyDescent="0.25">
      <c r="C1229" s="6">
        <v>1222</v>
      </c>
      <c r="D1229" s="37">
        <v>43745</v>
      </c>
      <c r="E1229" s="39">
        <v>17.744</v>
      </c>
      <c r="F1229" s="39">
        <v>2.0395008910141161</v>
      </c>
      <c r="G1229" s="39">
        <v>51.525812947551458</v>
      </c>
      <c r="H1229" s="39">
        <v>64.985393717138066</v>
      </c>
      <c r="I1229" s="10">
        <v>0</v>
      </c>
      <c r="J1229" s="40">
        <v>0</v>
      </c>
      <c r="K1229" s="40">
        <v>0</v>
      </c>
      <c r="L1229" s="40">
        <v>0</v>
      </c>
      <c r="M1229" s="40">
        <v>0</v>
      </c>
      <c r="N1229" s="40">
        <v>0</v>
      </c>
      <c r="O1229" s="40">
        <v>0</v>
      </c>
      <c r="P1229" s="40">
        <v>0</v>
      </c>
      <c r="Q1229" s="40">
        <v>0</v>
      </c>
      <c r="R1229" s="40">
        <v>1</v>
      </c>
      <c r="S1229" s="40">
        <v>0</v>
      </c>
      <c r="T1229" s="29">
        <f t="array" aca="1" ref="T1229" ca="1">+fair_value_gap(OFFSET(S1228,0,0,-1*$I$5,-1*$Z$1),OFFSET(E1228,0,0,-1*$I$5,1),F1229:S1229,0)</f>
        <v>17.710117774202118</v>
      </c>
      <c r="U1229" s="9" cm="1">
        <f t="array" aca="1" ref="U1229" ca="1">z_score_diff(OFFSET(T1229,0,0,$I$5*-1,1),OFFSET(E1229,0,0,$I$5*-1,1))</f>
        <v>-6.5114175822886367E-2</v>
      </c>
      <c r="V1229" s="9">
        <f t="shared" ca="1" si="159"/>
        <v>-1.3817754327412172E-2</v>
      </c>
      <c r="W1229" s="17">
        <f t="shared" ca="1" si="156"/>
        <v>-2.4070060699158194E-2</v>
      </c>
      <c r="X1229" s="13">
        <f t="shared" ca="1" si="157"/>
        <v>0</v>
      </c>
      <c r="Y1229" s="13">
        <f t="shared" ca="1" si="158"/>
        <v>0</v>
      </c>
      <c r="Z1229">
        <f t="shared" ca="1" si="160"/>
        <v>1</v>
      </c>
      <c r="AA1229">
        <f t="shared" ca="1" si="161"/>
        <v>0</v>
      </c>
      <c r="AB1229" s="24">
        <f t="shared" ca="1" si="162"/>
        <v>-2.4070060699158194E-2</v>
      </c>
      <c r="AC1229" s="24">
        <f t="shared" ca="1" si="163"/>
        <v>0</v>
      </c>
    </row>
    <row r="1230" spans="3:29" x14ac:dyDescent="0.25">
      <c r="C1230" s="6">
        <v>1223</v>
      </c>
      <c r="D1230" s="37">
        <v>43746</v>
      </c>
      <c r="E1230" s="39">
        <v>17.786000000000001</v>
      </c>
      <c r="F1230" s="39">
        <v>2.0237443245057682</v>
      </c>
      <c r="G1230" s="39">
        <v>51.738816493747407</v>
      </c>
      <c r="H1230" s="39">
        <v>65.720898185608533</v>
      </c>
      <c r="I1230" s="10">
        <v>0</v>
      </c>
      <c r="J1230" s="40">
        <v>0</v>
      </c>
      <c r="K1230" s="40">
        <v>0</v>
      </c>
      <c r="L1230" s="40">
        <v>0</v>
      </c>
      <c r="M1230" s="40">
        <v>0</v>
      </c>
      <c r="N1230" s="40">
        <v>0</v>
      </c>
      <c r="O1230" s="40">
        <v>0</v>
      </c>
      <c r="P1230" s="40">
        <v>0</v>
      </c>
      <c r="Q1230" s="40">
        <v>0</v>
      </c>
      <c r="R1230" s="40">
        <v>1</v>
      </c>
      <c r="S1230" s="40">
        <v>0</v>
      </c>
      <c r="T1230" s="29">
        <f t="array" aca="1" ref="T1230" ca="1">+fair_value_gap(OFFSET(S1229,0,0,-1*$I$5,-1*$Z$1),OFFSET(E1229,0,0,-1*$I$5,1),F1230:S1230,0)</f>
        <v>17.802606078065814</v>
      </c>
      <c r="U1230" s="9" cm="1">
        <f t="array" aca="1" ref="U1230" ca="1">z_score_diff(OFFSET(T1230,0,0,$I$5*-1,1),OFFSET(E1230,0,0,$I$5*-1,1))</f>
        <v>-9.6715045549506939E-3</v>
      </c>
      <c r="V1230" s="9">
        <f t="shared" ca="1" si="159"/>
        <v>-1.4700598619538216E-2</v>
      </c>
      <c r="W1230" s="17">
        <f t="shared" ca="1" si="156"/>
        <v>-3.892389450729361E-2</v>
      </c>
      <c r="X1230" s="13">
        <f t="shared" ca="1" si="157"/>
        <v>0</v>
      </c>
      <c r="Y1230" s="13">
        <f t="shared" ca="1" si="158"/>
        <v>0</v>
      </c>
      <c r="Z1230">
        <f t="shared" ca="1" si="160"/>
        <v>1</v>
      </c>
      <c r="AA1230">
        <f t="shared" ca="1" si="161"/>
        <v>0</v>
      </c>
      <c r="AB1230" s="24">
        <f t="shared" ca="1" si="162"/>
        <v>-3.892389450729361E-2</v>
      </c>
      <c r="AC1230" s="24">
        <f t="shared" ca="1" si="163"/>
        <v>0</v>
      </c>
    </row>
    <row r="1231" spans="3:29" x14ac:dyDescent="0.25">
      <c r="C1231" s="6">
        <v>1224</v>
      </c>
      <c r="D1231" s="37">
        <v>43747</v>
      </c>
      <c r="E1231" s="39">
        <v>17.943999999999999</v>
      </c>
      <c r="F1231" s="39">
        <v>2.0158050417200122</v>
      </c>
      <c r="G1231" s="39">
        <v>52.196445660200922</v>
      </c>
      <c r="H1231" s="39">
        <v>65.206834135358264</v>
      </c>
      <c r="I1231" s="10">
        <v>0</v>
      </c>
      <c r="J1231" s="40">
        <v>0</v>
      </c>
      <c r="K1231" s="40">
        <v>0</v>
      </c>
      <c r="L1231" s="40">
        <v>0</v>
      </c>
      <c r="M1231" s="40">
        <v>0</v>
      </c>
      <c r="N1231" s="40">
        <v>0</v>
      </c>
      <c r="O1231" s="40">
        <v>0</v>
      </c>
      <c r="P1231" s="40">
        <v>0</v>
      </c>
      <c r="Q1231" s="40">
        <v>0</v>
      </c>
      <c r="R1231" s="40">
        <v>1</v>
      </c>
      <c r="S1231" s="40">
        <v>0</v>
      </c>
      <c r="T1231" s="29">
        <f t="array" aca="1" ref="T1231" ca="1">+fair_value_gap(OFFSET(S1230,0,0,-1*$I$5,-1*$Z$1),OFFSET(E1230,0,0,-1*$I$5,1),F1231:S1231,0)</f>
        <v>17.889555611328575</v>
      </c>
      <c r="U1231" s="9" cm="1">
        <f t="array" aca="1" ref="U1231" ca="1">z_score_diff(OFFSET(T1231,0,0,$I$5*-1,1),OFFSET(E1231,0,0,$I$5*-1,1))</f>
        <v>-7.7949853532506719E-2</v>
      </c>
      <c r="V1231" s="9">
        <f t="shared" ca="1" si="159"/>
        <v>-1.6320079782958873E-2</v>
      </c>
      <c r="W1231" s="17">
        <f t="shared" ca="1" si="156"/>
        <v>-3.979154033301896E-2</v>
      </c>
      <c r="X1231" s="13">
        <f t="shared" ca="1" si="157"/>
        <v>0</v>
      </c>
      <c r="Y1231" s="13">
        <f t="shared" ca="1" si="158"/>
        <v>0</v>
      </c>
      <c r="Z1231">
        <f t="shared" ca="1" si="160"/>
        <v>1</v>
      </c>
      <c r="AA1231">
        <f t="shared" ca="1" si="161"/>
        <v>0</v>
      </c>
      <c r="AB1231" s="24">
        <f t="shared" ca="1" si="162"/>
        <v>-3.979154033301896E-2</v>
      </c>
      <c r="AC1231" s="24">
        <f t="shared" ca="1" si="163"/>
        <v>0</v>
      </c>
    </row>
    <row r="1232" spans="3:29" x14ac:dyDescent="0.25">
      <c r="C1232" s="6">
        <v>1225</v>
      </c>
      <c r="D1232" s="37">
        <v>43748</v>
      </c>
      <c r="E1232" s="39">
        <v>18.114000000000001</v>
      </c>
      <c r="F1232" s="39">
        <v>1.9963866543352682</v>
      </c>
      <c r="G1232" s="39">
        <v>53.375081354312307</v>
      </c>
      <c r="H1232" s="39">
        <v>65.170211065409987</v>
      </c>
      <c r="I1232" s="10">
        <v>0</v>
      </c>
      <c r="J1232" s="40">
        <v>0</v>
      </c>
      <c r="K1232" s="40">
        <v>0</v>
      </c>
      <c r="L1232" s="40">
        <v>0</v>
      </c>
      <c r="M1232" s="40">
        <v>0</v>
      </c>
      <c r="N1232" s="40">
        <v>0</v>
      </c>
      <c r="O1232" s="40">
        <v>0</v>
      </c>
      <c r="P1232" s="40">
        <v>0</v>
      </c>
      <c r="Q1232" s="40">
        <v>0</v>
      </c>
      <c r="R1232" s="40">
        <v>1</v>
      </c>
      <c r="S1232" s="40">
        <v>0</v>
      </c>
      <c r="T1232" s="29">
        <f t="array" aca="1" ref="T1232" ca="1">+fair_value_gap(OFFSET(S1231,0,0,-1*$I$5,-1*$Z$1),OFFSET(E1231,0,0,-1*$I$5,1),F1232:S1232,0)</f>
        <v>18.193053750331377</v>
      </c>
      <c r="U1232" s="9" cm="1">
        <f t="array" aca="1" ref="U1232" ca="1">z_score_diff(OFFSET(T1232,0,0,$I$5*-1,1),OFFSET(E1232,0,0,$I$5*-1,1))</f>
        <v>6.9922542138760369E-2</v>
      </c>
      <c r="V1232" s="9">
        <f t="shared" ca="1" si="159"/>
        <v>-1.7556934104957955E-2</v>
      </c>
      <c r="W1232" s="17">
        <f t="shared" ca="1" si="156"/>
        <v>-6.7007430728848336E-2</v>
      </c>
      <c r="X1232" s="13">
        <f t="shared" ca="1" si="157"/>
        <v>0</v>
      </c>
      <c r="Y1232" s="13">
        <f t="shared" ca="1" si="158"/>
        <v>0</v>
      </c>
      <c r="Z1232">
        <f t="shared" ca="1" si="160"/>
        <v>1</v>
      </c>
      <c r="AA1232">
        <f t="shared" ca="1" si="161"/>
        <v>0</v>
      </c>
      <c r="AB1232" s="24">
        <f t="shared" ca="1" si="162"/>
        <v>-6.7007430728848336E-2</v>
      </c>
      <c r="AC1232" s="24">
        <f t="shared" ca="1" si="163"/>
        <v>0</v>
      </c>
    </row>
    <row r="1233" spans="3:29" x14ac:dyDescent="0.25">
      <c r="C1233" s="6">
        <v>1226</v>
      </c>
      <c r="D1233" s="37">
        <v>43749</v>
      </c>
      <c r="E1233" s="39">
        <v>18.460999999999999</v>
      </c>
      <c r="F1233" s="39">
        <v>1.9904712970362635</v>
      </c>
      <c r="G1233" s="39">
        <v>53.746716632621094</v>
      </c>
      <c r="H1233" s="39">
        <v>65.342428462514107</v>
      </c>
      <c r="I1233" s="10">
        <v>0</v>
      </c>
      <c r="J1233" s="40">
        <v>0</v>
      </c>
      <c r="K1233" s="40">
        <v>0</v>
      </c>
      <c r="L1233" s="40">
        <v>0</v>
      </c>
      <c r="M1233" s="40">
        <v>0</v>
      </c>
      <c r="N1233" s="40">
        <v>0</v>
      </c>
      <c r="O1233" s="40">
        <v>0</v>
      </c>
      <c r="P1233" s="40">
        <v>0</v>
      </c>
      <c r="Q1233" s="40">
        <v>0</v>
      </c>
      <c r="R1233" s="40">
        <v>1</v>
      </c>
      <c r="S1233" s="40">
        <v>0</v>
      </c>
      <c r="T1233" s="29">
        <f t="array" aca="1" ref="T1233" ca="1">+fair_value_gap(OFFSET(S1232,0,0,-1*$I$5,-1*$Z$1),OFFSET(E1232,0,0,-1*$I$5,1),F1233:S1233,0)</f>
        <v>18.292219972676786</v>
      </c>
      <c r="U1233" s="9" cm="1">
        <f t="array" aca="1" ref="U1233" ca="1">z_score_diff(OFFSET(T1233,0,0,$I$5*-1,1),OFFSET(E1233,0,0,$I$5*-1,1))</f>
        <v>-0.18663507985930305</v>
      </c>
      <c r="V1233" s="9">
        <f t="shared" ca="1" si="159"/>
        <v>-2.3211122790390715E-2</v>
      </c>
      <c r="W1233" s="17">
        <f t="shared" ca="1" si="156"/>
        <v>-0.13040227344798813</v>
      </c>
      <c r="X1233" s="13">
        <f t="shared" ca="1" si="157"/>
        <v>0</v>
      </c>
      <c r="Y1233" s="13">
        <f t="shared" ca="1" si="158"/>
        <v>0</v>
      </c>
      <c r="Z1233">
        <f t="shared" ca="1" si="160"/>
        <v>1</v>
      </c>
      <c r="AA1233">
        <f t="shared" ca="1" si="161"/>
        <v>0</v>
      </c>
      <c r="AB1233" s="24">
        <f t="shared" ca="1" si="162"/>
        <v>-0.13040227344798813</v>
      </c>
      <c r="AC1233" s="24">
        <f t="shared" ca="1" si="163"/>
        <v>0</v>
      </c>
    </row>
    <row r="1234" spans="3:29" x14ac:dyDescent="0.25">
      <c r="C1234" s="6">
        <v>1227</v>
      </c>
      <c r="D1234" s="37">
        <v>43752</v>
      </c>
      <c r="E1234" s="39">
        <v>18.259</v>
      </c>
      <c r="F1234" s="39">
        <v>1.9968516918867487</v>
      </c>
      <c r="G1234" s="39">
        <v>53.44827973889717</v>
      </c>
      <c r="H1234" s="39">
        <v>66.079391736348924</v>
      </c>
      <c r="I1234" s="10">
        <v>0</v>
      </c>
      <c r="J1234" s="40">
        <v>0</v>
      </c>
      <c r="K1234" s="40">
        <v>0</v>
      </c>
      <c r="L1234" s="40">
        <v>0</v>
      </c>
      <c r="M1234" s="40">
        <v>0</v>
      </c>
      <c r="N1234" s="40">
        <v>0</v>
      </c>
      <c r="O1234" s="40">
        <v>0</v>
      </c>
      <c r="P1234" s="40">
        <v>0</v>
      </c>
      <c r="Q1234" s="40">
        <v>0</v>
      </c>
      <c r="R1234" s="40">
        <v>1</v>
      </c>
      <c r="S1234" s="40">
        <v>0</v>
      </c>
      <c r="T1234" s="29">
        <f t="array" aca="1" ref="T1234" ca="1">+fair_value_gap(OFFSET(S1233,0,0,-1*$I$5,-1*$Z$1),OFFSET(E1233,0,0,-1*$I$5,1),F1234:S1234,0)</f>
        <v>18.26419859304545</v>
      </c>
      <c r="U1234" s="9" cm="1">
        <f t="array" aca="1" ref="U1234" ca="1">z_score_diff(OFFSET(T1234,0,0,$I$5*-1,1),OFFSET(E1234,0,0,$I$5*-1,1))</f>
        <v>-2.9315399013629673E-3</v>
      </c>
      <c r="V1234" s="9">
        <f t="shared" ca="1" si="159"/>
        <v>-2.3768443080971029E-2</v>
      </c>
      <c r="W1234" s="17">
        <f t="shared" ca="1" si="156"/>
        <v>-0.13450986245417454</v>
      </c>
      <c r="X1234" s="13">
        <f t="shared" ca="1" si="157"/>
        <v>0</v>
      </c>
      <c r="Y1234" s="13">
        <f t="shared" ca="1" si="158"/>
        <v>0</v>
      </c>
      <c r="Z1234">
        <f t="shared" ca="1" si="160"/>
        <v>1</v>
      </c>
      <c r="AA1234">
        <f t="shared" ca="1" si="161"/>
        <v>0</v>
      </c>
      <c r="AB1234" s="24">
        <f t="shared" ca="1" si="162"/>
        <v>-0.13450986245417454</v>
      </c>
      <c r="AC1234" s="24">
        <f t="shared" ca="1" si="163"/>
        <v>0</v>
      </c>
    </row>
    <row r="1235" spans="3:29" x14ac:dyDescent="0.25">
      <c r="C1235" s="6">
        <v>1228</v>
      </c>
      <c r="D1235" s="37">
        <v>43753</v>
      </c>
      <c r="E1235" s="39">
        <v>18.239000000000001</v>
      </c>
      <c r="F1235" s="39">
        <v>2.013029407428728</v>
      </c>
      <c r="G1235" s="39">
        <v>53.45855115163792</v>
      </c>
      <c r="H1235" s="39">
        <v>65.111936369316311</v>
      </c>
      <c r="I1235" s="10">
        <v>0</v>
      </c>
      <c r="J1235" s="40">
        <v>0</v>
      </c>
      <c r="K1235" s="40">
        <v>0</v>
      </c>
      <c r="L1235" s="40">
        <v>0</v>
      </c>
      <c r="M1235" s="40">
        <v>0</v>
      </c>
      <c r="N1235" s="40">
        <v>0</v>
      </c>
      <c r="O1235" s="40">
        <v>0</v>
      </c>
      <c r="P1235" s="40">
        <v>0</v>
      </c>
      <c r="Q1235" s="40">
        <v>0</v>
      </c>
      <c r="R1235" s="40">
        <v>1</v>
      </c>
      <c r="S1235" s="40">
        <v>0</v>
      </c>
      <c r="T1235" s="29">
        <f t="array" aca="1" ref="T1235" ca="1">+fair_value_gap(OFFSET(S1234,0,0,-1*$I$5,-1*$Z$1),OFFSET(E1234,0,0,-1*$I$5,1),F1235:S1235,0)</f>
        <v>18.225403271576631</v>
      </c>
      <c r="U1235" s="9" cm="1">
        <f t="array" aca="1" ref="U1235" ca="1">z_score_diff(OFFSET(T1235,0,0,$I$5*-1,1),OFFSET(E1235,0,0,$I$5*-1,1))</f>
        <v>-2.4789269084135812E-2</v>
      </c>
      <c r="V1235" s="9">
        <f t="shared" ca="1" si="159"/>
        <v>-2.6931721561522161E-2</v>
      </c>
      <c r="W1235" s="17">
        <f t="shared" ca="1" si="156"/>
        <v>-0.13799805127904394</v>
      </c>
      <c r="X1235" s="13">
        <f t="shared" ca="1" si="157"/>
        <v>0</v>
      </c>
      <c r="Y1235" s="13">
        <f t="shared" ca="1" si="158"/>
        <v>0</v>
      </c>
      <c r="Z1235">
        <f t="shared" ca="1" si="160"/>
        <v>1</v>
      </c>
      <c r="AA1235">
        <f t="shared" ca="1" si="161"/>
        <v>0</v>
      </c>
      <c r="AB1235" s="24">
        <f t="shared" ca="1" si="162"/>
        <v>-0.13799805127904394</v>
      </c>
      <c r="AC1235" s="24">
        <f t="shared" ca="1" si="163"/>
        <v>0</v>
      </c>
    </row>
    <row r="1236" spans="3:29" x14ac:dyDescent="0.25">
      <c r="C1236" s="6">
        <v>1229</v>
      </c>
      <c r="D1236" s="37">
        <v>43754</v>
      </c>
      <c r="E1236" s="39">
        <v>18.152999999999999</v>
      </c>
      <c r="F1236" s="39">
        <v>1.9947354355492595</v>
      </c>
      <c r="G1236" s="39">
        <v>52.783589556990812</v>
      </c>
      <c r="H1236" s="39">
        <v>64.715365925656798</v>
      </c>
      <c r="I1236" s="10">
        <v>0</v>
      </c>
      <c r="J1236" s="40">
        <v>0</v>
      </c>
      <c r="K1236" s="40">
        <v>0</v>
      </c>
      <c r="L1236" s="40">
        <v>0</v>
      </c>
      <c r="M1236" s="40">
        <v>0</v>
      </c>
      <c r="N1236" s="40">
        <v>0</v>
      </c>
      <c r="O1236" s="40">
        <v>0</v>
      </c>
      <c r="P1236" s="40">
        <v>0</v>
      </c>
      <c r="Q1236" s="40">
        <v>0</v>
      </c>
      <c r="R1236" s="40">
        <v>1</v>
      </c>
      <c r="S1236" s="40">
        <v>0</v>
      </c>
      <c r="T1236" s="29">
        <f t="array" aca="1" ref="T1236" ca="1">+fair_value_gap(OFFSET(S1235,0,0,-1*$I$5,-1*$Z$1),OFFSET(E1235,0,0,-1*$I$5,1),F1236:S1236,0)</f>
        <v>18.018257878413422</v>
      </c>
      <c r="U1236" s="9" cm="1">
        <f t="array" aca="1" ref="U1236" ca="1">z_score_diff(OFFSET(T1236,0,0,$I$5*-1,1),OFFSET(E1236,0,0,$I$5*-1,1))</f>
        <v>-0.166010488232051</v>
      </c>
      <c r="V1236" s="9">
        <f t="shared" ca="1" si="159"/>
        <v>-3.4294815485153056E-2</v>
      </c>
      <c r="W1236" s="17">
        <f t="shared" ca="1" si="156"/>
        <v>-0.1292516230888115</v>
      </c>
      <c r="X1236" s="13">
        <f t="shared" ca="1" si="157"/>
        <v>0</v>
      </c>
      <c r="Y1236" s="13">
        <f t="shared" ca="1" si="158"/>
        <v>0</v>
      </c>
      <c r="Z1236">
        <f t="shared" ca="1" si="160"/>
        <v>1</v>
      </c>
      <c r="AA1236">
        <f t="shared" ca="1" si="161"/>
        <v>0</v>
      </c>
      <c r="AB1236" s="24">
        <f t="shared" ca="1" si="162"/>
        <v>-0.1292516230888115</v>
      </c>
      <c r="AC1236" s="24">
        <f t="shared" ca="1" si="163"/>
        <v>0</v>
      </c>
    </row>
    <row r="1237" spans="3:29" x14ac:dyDescent="0.25">
      <c r="C1237" s="6">
        <v>1230</v>
      </c>
      <c r="D1237" s="37">
        <v>43755</v>
      </c>
      <c r="E1237" s="39">
        <v>18.071999999999999</v>
      </c>
      <c r="F1237" s="39">
        <v>1.9886832795890519</v>
      </c>
      <c r="G1237" s="39">
        <v>52.506551963772296</v>
      </c>
      <c r="H1237" s="39">
        <v>63.84125300953491</v>
      </c>
      <c r="I1237" s="10">
        <v>0</v>
      </c>
      <c r="J1237" s="40">
        <v>0</v>
      </c>
      <c r="K1237" s="40">
        <v>0</v>
      </c>
      <c r="L1237" s="40">
        <v>0</v>
      </c>
      <c r="M1237" s="40">
        <v>0</v>
      </c>
      <c r="N1237" s="40">
        <v>0</v>
      </c>
      <c r="O1237" s="40">
        <v>0</v>
      </c>
      <c r="P1237" s="40">
        <v>0</v>
      </c>
      <c r="Q1237" s="40">
        <v>0</v>
      </c>
      <c r="R1237" s="40">
        <v>1</v>
      </c>
      <c r="S1237" s="40">
        <v>0</v>
      </c>
      <c r="T1237" s="29">
        <f t="array" aca="1" ref="T1237" ca="1">+fair_value_gap(OFFSET(S1236,0,0,-1*$I$5,-1*$Z$1),OFFSET(E1236,0,0,-1*$I$5,1),F1237:S1237,0)</f>
        <v>17.907417123887338</v>
      </c>
      <c r="U1237" s="9" cm="1">
        <f t="array" aca="1" ref="U1237" ca="1">z_score_diff(OFFSET(T1237,0,0,$I$5*-1,1),OFFSET(E1237,0,0,$I$5*-1,1))</f>
        <v>-0.2042247576628653</v>
      </c>
      <c r="V1237" s="9">
        <f t="shared" ca="1" si="159"/>
        <v>-4.0672162299933819E-2</v>
      </c>
      <c r="W1237" s="17">
        <f t="shared" ca="1" si="156"/>
        <v>-0.13955722672171891</v>
      </c>
      <c r="X1237" s="13">
        <f t="shared" ca="1" si="157"/>
        <v>0</v>
      </c>
      <c r="Y1237" s="13">
        <f t="shared" ca="1" si="158"/>
        <v>0</v>
      </c>
      <c r="Z1237">
        <f t="shared" ca="1" si="160"/>
        <v>1</v>
      </c>
      <c r="AA1237">
        <f t="shared" ca="1" si="161"/>
        <v>0</v>
      </c>
      <c r="AB1237" s="24">
        <f t="shared" ca="1" si="162"/>
        <v>-0.13955722672171891</v>
      </c>
      <c r="AC1237" s="24">
        <f t="shared" ca="1" si="163"/>
        <v>0</v>
      </c>
    </row>
    <row r="1238" spans="3:29" x14ac:dyDescent="0.25">
      <c r="C1238" s="6">
        <v>1231</v>
      </c>
      <c r="D1238" s="37">
        <v>43756</v>
      </c>
      <c r="E1238" s="39">
        <v>17.966999999999999</v>
      </c>
      <c r="F1238" s="39">
        <v>1.9821056060322542</v>
      </c>
      <c r="G1238" s="39">
        <v>52.232492094526343</v>
      </c>
      <c r="H1238" s="39">
        <v>64.236508167522587</v>
      </c>
      <c r="I1238" s="10">
        <v>0</v>
      </c>
      <c r="J1238" s="40">
        <v>0</v>
      </c>
      <c r="K1238" s="40">
        <v>0</v>
      </c>
      <c r="L1238" s="40">
        <v>0</v>
      </c>
      <c r="M1238" s="40">
        <v>0</v>
      </c>
      <c r="N1238" s="40">
        <v>0</v>
      </c>
      <c r="O1238" s="40">
        <v>0</v>
      </c>
      <c r="P1238" s="40">
        <v>0</v>
      </c>
      <c r="Q1238" s="40">
        <v>0</v>
      </c>
      <c r="R1238" s="40">
        <v>1</v>
      </c>
      <c r="S1238" s="40">
        <v>0</v>
      </c>
      <c r="T1238" s="29">
        <f t="array" aca="1" ref="T1238" ca="1">+fair_value_gap(OFFSET(S1237,0,0,-1*$I$5,-1*$Z$1),OFFSET(E1237,0,0,-1*$I$5,1),F1238:S1238,0)</f>
        <v>17.865264250945838</v>
      </c>
      <c r="U1238" s="9" cm="1">
        <f t="array" aca="1" ref="U1238" ca="1">z_score_diff(OFFSET(T1238,0,0,$I$5*-1,1),OFFSET(E1238,0,0,$I$5*-1,1))</f>
        <v>-0.1336362646449587</v>
      </c>
      <c r="V1238" s="9">
        <f t="shared" ca="1" si="159"/>
        <v>-4.1046659962925724E-2</v>
      </c>
      <c r="W1238" s="17">
        <f t="shared" ca="1" si="156"/>
        <v>-0.14280547388053635</v>
      </c>
      <c r="X1238" s="13">
        <f t="shared" ca="1" si="157"/>
        <v>0</v>
      </c>
      <c r="Y1238" s="13">
        <f t="shared" ca="1" si="158"/>
        <v>0</v>
      </c>
      <c r="Z1238">
        <f t="shared" ca="1" si="160"/>
        <v>1</v>
      </c>
      <c r="AA1238">
        <f t="shared" ca="1" si="161"/>
        <v>0</v>
      </c>
      <c r="AB1238" s="24">
        <f t="shared" ca="1" si="162"/>
        <v>-0.14280547388053635</v>
      </c>
      <c r="AC1238" s="24">
        <f t="shared" ca="1" si="163"/>
        <v>0</v>
      </c>
    </row>
    <row r="1239" spans="3:29" x14ac:dyDescent="0.25">
      <c r="C1239" s="6">
        <v>1232</v>
      </c>
      <c r="D1239" s="37">
        <v>43759</v>
      </c>
      <c r="E1239" s="39">
        <v>17.768999999999998</v>
      </c>
      <c r="F1239" s="39">
        <v>1.9810791330089939</v>
      </c>
      <c r="G1239" s="39">
        <v>51.315187126338103</v>
      </c>
      <c r="H1239" s="39">
        <v>64.359050643286935</v>
      </c>
      <c r="I1239" s="10">
        <v>0</v>
      </c>
      <c r="J1239" s="40">
        <v>0</v>
      </c>
      <c r="K1239" s="40">
        <v>0</v>
      </c>
      <c r="L1239" s="40">
        <v>0</v>
      </c>
      <c r="M1239" s="40">
        <v>0</v>
      </c>
      <c r="N1239" s="40">
        <v>0</v>
      </c>
      <c r="O1239" s="40">
        <v>0</v>
      </c>
      <c r="P1239" s="40">
        <v>0</v>
      </c>
      <c r="Q1239" s="40">
        <v>0</v>
      </c>
      <c r="R1239" s="40">
        <v>1</v>
      </c>
      <c r="S1239" s="40">
        <v>0</v>
      </c>
      <c r="T1239" s="29">
        <f t="array" aca="1" ref="T1239" ca="1">+fair_value_gap(OFFSET(S1238,0,0,-1*$I$5,-1*$Z$1),OFFSET(E1238,0,0,-1*$I$5,1),F1239:S1239,0)</f>
        <v>17.635634339673359</v>
      </c>
      <c r="U1239" s="9" cm="1">
        <f t="array" aca="1" ref="U1239" ca="1">z_score_diff(OFFSET(T1239,0,0,$I$5*-1,1),OFFSET(E1239,0,0,$I$5*-1,1))</f>
        <v>-0.17773955401324049</v>
      </c>
      <c r="V1239" s="9">
        <f t="shared" ca="1" si="159"/>
        <v>-4.6147296627240784E-2</v>
      </c>
      <c r="W1239" s="17">
        <f t="shared" ca="1" si="156"/>
        <v>-0.14510287233776276</v>
      </c>
      <c r="X1239" s="13">
        <f t="shared" ca="1" si="157"/>
        <v>0</v>
      </c>
      <c r="Y1239" s="13">
        <f t="shared" ca="1" si="158"/>
        <v>0</v>
      </c>
      <c r="Z1239">
        <f t="shared" ca="1" si="160"/>
        <v>1</v>
      </c>
      <c r="AA1239">
        <f t="shared" ca="1" si="161"/>
        <v>0</v>
      </c>
      <c r="AB1239" s="24">
        <f t="shared" ca="1" si="162"/>
        <v>-0.14510287233776276</v>
      </c>
      <c r="AC1239" s="24">
        <f t="shared" ca="1" si="163"/>
        <v>0</v>
      </c>
    </row>
    <row r="1240" spans="3:29" x14ac:dyDescent="0.25">
      <c r="C1240" s="6">
        <v>1233</v>
      </c>
      <c r="D1240" s="37">
        <v>43760</v>
      </c>
      <c r="E1240" s="39">
        <v>17.748000000000001</v>
      </c>
      <c r="F1240" s="39">
        <v>1.9833130540587518</v>
      </c>
      <c r="G1240" s="39">
        <v>51.038884228235538</v>
      </c>
      <c r="H1240" s="39">
        <v>64.270815226838167</v>
      </c>
      <c r="I1240" s="10">
        <v>0</v>
      </c>
      <c r="J1240" s="40">
        <v>0</v>
      </c>
      <c r="K1240" s="40">
        <v>0</v>
      </c>
      <c r="L1240" s="40">
        <v>0</v>
      </c>
      <c r="M1240" s="40">
        <v>0</v>
      </c>
      <c r="N1240" s="40">
        <v>0</v>
      </c>
      <c r="O1240" s="40">
        <v>0</v>
      </c>
      <c r="P1240" s="40">
        <v>0</v>
      </c>
      <c r="Q1240" s="40">
        <v>0</v>
      </c>
      <c r="R1240" s="40">
        <v>1</v>
      </c>
      <c r="S1240" s="40">
        <v>0</v>
      </c>
      <c r="T1240" s="29">
        <f t="array" aca="1" ref="T1240" ca="1">+fair_value_gap(OFFSET(S1239,0,0,-1*$I$5,-1*$Z$1),OFFSET(E1239,0,0,-1*$I$5,1),F1240:S1240,0)</f>
        <v>17.571670518231478</v>
      </c>
      <c r="U1240" s="9" cm="1">
        <f t="array" aca="1" ref="U1240" ca="1">z_score_diff(OFFSET(T1240,0,0,$I$5*-1,1),OFFSET(E1240,0,0,$I$5*-1,1))</f>
        <v>-0.23082035167452064</v>
      </c>
      <c r="V1240" s="9">
        <f t="shared" ca="1" si="159"/>
        <v>-5.3391909896035719E-2</v>
      </c>
      <c r="W1240" s="17">
        <f t="shared" ca="1" si="156"/>
        <v>-0.15682120969001057</v>
      </c>
      <c r="X1240" s="13">
        <f t="shared" ca="1" si="157"/>
        <v>0</v>
      </c>
      <c r="Y1240" s="13">
        <f t="shared" ca="1" si="158"/>
        <v>0</v>
      </c>
      <c r="Z1240">
        <f t="shared" ca="1" si="160"/>
        <v>1</v>
      </c>
      <c r="AA1240">
        <f t="shared" ca="1" si="161"/>
        <v>0</v>
      </c>
      <c r="AB1240" s="24">
        <f t="shared" ca="1" si="162"/>
        <v>-0.15682120969001057</v>
      </c>
      <c r="AC1240" s="24">
        <f t="shared" ca="1" si="163"/>
        <v>0</v>
      </c>
    </row>
    <row r="1241" spans="3:29" x14ac:dyDescent="0.25">
      <c r="C1241" s="6">
        <v>1234</v>
      </c>
      <c r="D1241" s="37">
        <v>43761</v>
      </c>
      <c r="E1241" s="39">
        <v>17.635000000000002</v>
      </c>
      <c r="F1241" s="39">
        <v>1.9794884640004453</v>
      </c>
      <c r="G1241" s="39">
        <v>51.040430800801268</v>
      </c>
      <c r="H1241" s="39">
        <v>63.533230358186529</v>
      </c>
      <c r="I1241" s="10">
        <v>0</v>
      </c>
      <c r="J1241" s="40">
        <v>0</v>
      </c>
      <c r="K1241" s="40">
        <v>0</v>
      </c>
      <c r="L1241" s="40">
        <v>0</v>
      </c>
      <c r="M1241" s="40">
        <v>0</v>
      </c>
      <c r="N1241" s="40">
        <v>0</v>
      </c>
      <c r="O1241" s="40">
        <v>0</v>
      </c>
      <c r="P1241" s="40">
        <v>0</v>
      </c>
      <c r="Q1241" s="40">
        <v>0</v>
      </c>
      <c r="R1241" s="40">
        <v>1</v>
      </c>
      <c r="S1241" s="40">
        <v>0</v>
      </c>
      <c r="T1241" s="29">
        <f t="array" aca="1" ref="T1241" ca="1">+fair_value_gap(OFFSET(S1240,0,0,-1*$I$5,-1*$Z$1),OFFSET(E1240,0,0,-1*$I$5,1),F1241:S1241,0)</f>
        <v>17.554626085096835</v>
      </c>
      <c r="U1241" s="9" cm="1">
        <f t="array" aca="1" ref="U1241" ca="1">z_score_diff(OFFSET(T1241,0,0,$I$5*-1,1),OFFSET(E1241,0,0,$I$5*-1,1))</f>
        <v>-0.11477125239824493</v>
      </c>
      <c r="V1241" s="9">
        <f t="shared" ca="1" si="159"/>
        <v>-5.6731648387777729E-2</v>
      </c>
      <c r="W1241" s="17">
        <f t="shared" ca="1" si="156"/>
        <v>-0.16417142238335314</v>
      </c>
      <c r="X1241" s="13">
        <f t="shared" ca="1" si="157"/>
        <v>0</v>
      </c>
      <c r="Y1241" s="13">
        <f t="shared" ca="1" si="158"/>
        <v>0</v>
      </c>
      <c r="Z1241">
        <f t="shared" ca="1" si="160"/>
        <v>1</v>
      </c>
      <c r="AA1241">
        <f t="shared" ca="1" si="161"/>
        <v>0</v>
      </c>
      <c r="AB1241" s="24">
        <f t="shared" ca="1" si="162"/>
        <v>-0.16417142238335314</v>
      </c>
      <c r="AC1241" s="24">
        <f t="shared" ca="1" si="163"/>
        <v>0</v>
      </c>
    </row>
    <row r="1242" spans="3:29" x14ac:dyDescent="0.25">
      <c r="C1242" s="6">
        <v>1235</v>
      </c>
      <c r="D1242" s="37">
        <v>43762</v>
      </c>
      <c r="E1242" s="39">
        <v>17.780999999999999</v>
      </c>
      <c r="F1242" s="39">
        <v>1.9891598632517968</v>
      </c>
      <c r="G1242" s="39">
        <v>51.706989186267791</v>
      </c>
      <c r="H1242" s="39">
        <v>63.850113927780072</v>
      </c>
      <c r="I1242" s="10">
        <v>0</v>
      </c>
      <c r="J1242" s="40">
        <v>0</v>
      </c>
      <c r="K1242" s="40">
        <v>0</v>
      </c>
      <c r="L1242" s="40">
        <v>0</v>
      </c>
      <c r="M1242" s="40">
        <v>0</v>
      </c>
      <c r="N1242" s="40">
        <v>0</v>
      </c>
      <c r="O1242" s="40">
        <v>0</v>
      </c>
      <c r="P1242" s="40">
        <v>0</v>
      </c>
      <c r="Q1242" s="40">
        <v>0</v>
      </c>
      <c r="R1242" s="40">
        <v>1</v>
      </c>
      <c r="S1242" s="40">
        <v>0</v>
      </c>
      <c r="T1242" s="29">
        <f t="array" aca="1" ref="T1242" ca="1">+fair_value_gap(OFFSET(S1241,0,0,-1*$I$5,-1*$Z$1),OFFSET(E1241,0,0,-1*$I$5,1),F1242:S1242,0)</f>
        <v>17.756840416117626</v>
      </c>
      <c r="U1242" s="9" cm="1">
        <f t="array" aca="1" ref="U1242" ca="1">z_score_diff(OFFSET(T1242,0,0,$I$5*-1,1),OFFSET(E1242,0,0,$I$5*-1,1))</f>
        <v>-4.2737423585813117E-2</v>
      </c>
      <c r="V1242" s="9">
        <f t="shared" ca="1" si="159"/>
        <v>-5.6780646713834579E-2</v>
      </c>
      <c r="W1242" s="17">
        <f t="shared" ca="1" si="156"/>
        <v>-0.14831877859008796</v>
      </c>
      <c r="X1242" s="13">
        <f t="shared" ca="1" si="157"/>
        <v>0</v>
      </c>
      <c r="Y1242" s="13">
        <f t="shared" ca="1" si="158"/>
        <v>0</v>
      </c>
      <c r="Z1242">
        <f t="shared" ca="1" si="160"/>
        <v>1</v>
      </c>
      <c r="AA1242">
        <f t="shared" ca="1" si="161"/>
        <v>0</v>
      </c>
      <c r="AB1242" s="24">
        <f t="shared" ca="1" si="162"/>
        <v>-0.14831877859008796</v>
      </c>
      <c r="AC1242" s="24">
        <f t="shared" ca="1" si="163"/>
        <v>0</v>
      </c>
    </row>
    <row r="1243" spans="3:29" x14ac:dyDescent="0.25">
      <c r="C1243" s="6">
        <v>1236</v>
      </c>
      <c r="D1243" s="37">
        <v>43763</v>
      </c>
      <c r="E1243" s="39">
        <v>17.582999999999998</v>
      </c>
      <c r="F1243" s="39">
        <v>1.9841928010377514</v>
      </c>
      <c r="G1243" s="39">
        <v>51.416246716208896</v>
      </c>
      <c r="H1243" s="39">
        <v>63.06992075449957</v>
      </c>
      <c r="I1243" s="10">
        <v>0</v>
      </c>
      <c r="J1243" s="40">
        <v>0</v>
      </c>
      <c r="K1243" s="40">
        <v>0</v>
      </c>
      <c r="L1243" s="40">
        <v>0</v>
      </c>
      <c r="M1243" s="40">
        <v>0</v>
      </c>
      <c r="N1243" s="40">
        <v>0</v>
      </c>
      <c r="O1243" s="40">
        <v>0</v>
      </c>
      <c r="P1243" s="40">
        <v>0</v>
      </c>
      <c r="Q1243" s="40">
        <v>0</v>
      </c>
      <c r="R1243" s="40">
        <v>1</v>
      </c>
      <c r="S1243" s="40">
        <v>0</v>
      </c>
      <c r="T1243" s="29">
        <f t="array" aca="1" ref="T1243" ca="1">+fair_value_gap(OFFSET(S1242,0,0,-1*$I$5,-1*$Z$1),OFFSET(E1242,0,0,-1*$I$5,1),F1243:S1243,0)</f>
        <v>17.635085701000758</v>
      </c>
      <c r="U1243" s="9" cm="1">
        <f t="array" aca="1" ref="U1243" ca="1">z_score_diff(OFFSET(T1243,0,0,$I$5*-1,1),OFFSET(E1243,0,0,$I$5*-1,1))</f>
        <v>4.1704446771688053E-2</v>
      </c>
      <c r="V1243" s="9">
        <f t="shared" ca="1" si="159"/>
        <v>-5.6285655821479895E-2</v>
      </c>
      <c r="W1243" s="17">
        <f t="shared" ca="1" si="156"/>
        <v>-0.15508952682149543</v>
      </c>
      <c r="X1243" s="13">
        <f t="shared" ca="1" si="157"/>
        <v>0</v>
      </c>
      <c r="Y1243" s="13">
        <f t="shared" ca="1" si="158"/>
        <v>0</v>
      </c>
      <c r="Z1243">
        <f t="shared" ca="1" si="160"/>
        <v>1</v>
      </c>
      <c r="AA1243">
        <f t="shared" ca="1" si="161"/>
        <v>0</v>
      </c>
      <c r="AB1243" s="24">
        <f t="shared" ca="1" si="162"/>
        <v>-0.15508952682149543</v>
      </c>
      <c r="AC1243" s="24">
        <f t="shared" ca="1" si="163"/>
        <v>0</v>
      </c>
    </row>
    <row r="1244" spans="3:29" x14ac:dyDescent="0.25">
      <c r="C1244" s="6">
        <v>1237</v>
      </c>
      <c r="D1244" s="37">
        <v>43766</v>
      </c>
      <c r="E1244" s="39">
        <v>17.535</v>
      </c>
      <c r="F1244" s="39">
        <v>1.9948581637544121</v>
      </c>
      <c r="G1244" s="39">
        <v>51.051139786021629</v>
      </c>
      <c r="H1244" s="39">
        <v>62.573532615800247</v>
      </c>
      <c r="I1244" s="10">
        <v>0</v>
      </c>
      <c r="J1244" s="40">
        <v>0</v>
      </c>
      <c r="K1244" s="40">
        <v>0</v>
      </c>
      <c r="L1244" s="40">
        <v>0</v>
      </c>
      <c r="M1244" s="40">
        <v>0</v>
      </c>
      <c r="N1244" s="40">
        <v>0</v>
      </c>
      <c r="O1244" s="40">
        <v>0</v>
      </c>
      <c r="P1244" s="40">
        <v>0</v>
      </c>
      <c r="Q1244" s="40">
        <v>0</v>
      </c>
      <c r="R1244" s="40">
        <v>1</v>
      </c>
      <c r="S1244" s="40">
        <v>0</v>
      </c>
      <c r="T1244" s="29">
        <f t="array" aca="1" ref="T1244" ca="1">+fair_value_gap(OFFSET(S1243,0,0,-1*$I$5,-1*$Z$1),OFFSET(E1243,0,0,-1*$I$5,1),F1244:S1244,0)</f>
        <v>17.509559968772741</v>
      </c>
      <c r="U1244" s="9" cm="1">
        <f t="array" aca="1" ref="U1244" ca="1">z_score_diff(OFFSET(T1244,0,0,$I$5*-1,1),OFFSET(E1244,0,0,$I$5*-1,1))</f>
        <v>-4.9550506870618571E-2</v>
      </c>
      <c r="V1244" s="9">
        <f t="shared" ca="1" si="159"/>
        <v>-5.8911635402738687E-2</v>
      </c>
      <c r="W1244" s="17">
        <f t="shared" ca="1" si="156"/>
        <v>-0.14652843911294083</v>
      </c>
      <c r="X1244" s="13">
        <f t="shared" ca="1" si="157"/>
        <v>0</v>
      </c>
      <c r="Y1244" s="13">
        <f t="shared" ca="1" si="158"/>
        <v>0</v>
      </c>
      <c r="Z1244">
        <f t="shared" ca="1" si="160"/>
        <v>1</v>
      </c>
      <c r="AA1244">
        <f t="shared" ca="1" si="161"/>
        <v>0</v>
      </c>
      <c r="AB1244" s="24">
        <f t="shared" ca="1" si="162"/>
        <v>-0.14652843911294083</v>
      </c>
      <c r="AC1244" s="24">
        <f t="shared" ca="1" si="163"/>
        <v>0</v>
      </c>
    </row>
    <row r="1245" spans="3:29" x14ac:dyDescent="0.25">
      <c r="C1245" s="6">
        <v>1238</v>
      </c>
      <c r="D1245" s="37">
        <v>43767</v>
      </c>
      <c r="E1245" s="39">
        <v>17.536999999999999</v>
      </c>
      <c r="F1245" s="39">
        <v>2.0062005086436345</v>
      </c>
      <c r="G1245" s="39">
        <v>50.932880092010713</v>
      </c>
      <c r="H1245" s="39">
        <v>62.187863923031529</v>
      </c>
      <c r="I1245" s="10">
        <v>0</v>
      </c>
      <c r="J1245" s="40">
        <v>0</v>
      </c>
      <c r="K1245" s="40">
        <v>0</v>
      </c>
      <c r="L1245" s="40">
        <v>0</v>
      </c>
      <c r="M1245" s="40">
        <v>0</v>
      </c>
      <c r="N1245" s="40">
        <v>0</v>
      </c>
      <c r="O1245" s="40">
        <v>0</v>
      </c>
      <c r="P1245" s="40">
        <v>0</v>
      </c>
      <c r="Q1245" s="40">
        <v>0</v>
      </c>
      <c r="R1245" s="40">
        <v>1</v>
      </c>
      <c r="S1245" s="40">
        <v>0</v>
      </c>
      <c r="T1245" s="29">
        <f t="array" aca="1" ref="T1245" ca="1">+fair_value_gap(OFFSET(S1244,0,0,-1*$I$5,-1*$Z$1),OFFSET(E1244,0,0,-1*$I$5,1),F1245:S1245,0)</f>
        <v>17.460038898694229</v>
      </c>
      <c r="U1245" s="9" cm="1">
        <f t="array" aca="1" ref="U1245" ca="1">z_score_diff(OFFSET(T1245,0,0,$I$5*-1,1),OFFSET(E1245,0,0,$I$5*-1,1))</f>
        <v>-0.106843408318815</v>
      </c>
      <c r="V1245" s="9">
        <f t="shared" ca="1" si="159"/>
        <v>-6.3035930964527767E-2</v>
      </c>
      <c r="W1245" s="17">
        <f t="shared" ca="1" si="156"/>
        <v>-0.12334388682783577</v>
      </c>
      <c r="X1245" s="13">
        <f t="shared" ca="1" si="157"/>
        <v>0</v>
      </c>
      <c r="Y1245" s="13">
        <f t="shared" ca="1" si="158"/>
        <v>0</v>
      </c>
      <c r="Z1245">
        <f t="shared" ca="1" si="160"/>
        <v>1</v>
      </c>
      <c r="AA1245">
        <f t="shared" ca="1" si="161"/>
        <v>0</v>
      </c>
      <c r="AB1245" s="24">
        <f t="shared" ca="1" si="162"/>
        <v>-0.12334388682783577</v>
      </c>
      <c r="AC1245" s="24">
        <f t="shared" ca="1" si="163"/>
        <v>0</v>
      </c>
    </row>
    <row r="1246" spans="3:29" x14ac:dyDescent="0.25">
      <c r="C1246" s="6">
        <v>1239</v>
      </c>
      <c r="D1246" s="37">
        <v>43768</v>
      </c>
      <c r="E1246" s="39">
        <v>17.439</v>
      </c>
      <c r="F1246" s="39">
        <v>1.9915993246107133</v>
      </c>
      <c r="G1246" s="39">
        <v>50.751977784382369</v>
      </c>
      <c r="H1246" s="39">
        <v>61.493777663514386</v>
      </c>
      <c r="I1246" s="10">
        <v>0</v>
      </c>
      <c r="J1246" s="40">
        <v>0</v>
      </c>
      <c r="K1246" s="40">
        <v>0</v>
      </c>
      <c r="L1246" s="40">
        <v>0</v>
      </c>
      <c r="M1246" s="40">
        <v>0</v>
      </c>
      <c r="N1246" s="40">
        <v>0</v>
      </c>
      <c r="O1246" s="40">
        <v>0</v>
      </c>
      <c r="P1246" s="40">
        <v>0</v>
      </c>
      <c r="Q1246" s="40">
        <v>0</v>
      </c>
      <c r="R1246" s="40">
        <v>1</v>
      </c>
      <c r="S1246" s="40">
        <v>0</v>
      </c>
      <c r="T1246" s="29">
        <f t="array" aca="1" ref="T1246" ca="1">+fair_value_gap(OFFSET(S1245,0,0,-1*$I$5,-1*$Z$1),OFFSET(E1245,0,0,-1*$I$5,1),F1246:S1246,0)</f>
        <v>17.371236353886502</v>
      </c>
      <c r="U1246" s="9" cm="1">
        <f t="array" aca="1" ref="U1246" ca="1">z_score_diff(OFFSET(T1246,0,0,$I$5*-1,1),OFFSET(E1246,0,0,$I$5*-1,1))</f>
        <v>-9.5326794075590637E-2</v>
      </c>
      <c r="V1246" s="9">
        <f t="shared" ca="1" si="159"/>
        <v>-6.4228341391752902E-2</v>
      </c>
      <c r="W1246" s="17">
        <f t="shared" ca="1" si="156"/>
        <v>-0.10409340713779225</v>
      </c>
      <c r="X1246" s="13">
        <f t="shared" ca="1" si="157"/>
        <v>0</v>
      </c>
      <c r="Y1246" s="13">
        <f t="shared" ca="1" si="158"/>
        <v>0</v>
      </c>
      <c r="Z1246">
        <f t="shared" ca="1" si="160"/>
        <v>1</v>
      </c>
      <c r="AA1246">
        <f t="shared" ca="1" si="161"/>
        <v>0</v>
      </c>
      <c r="AB1246" s="24">
        <f t="shared" ca="1" si="162"/>
        <v>-0.10409340713779225</v>
      </c>
      <c r="AC1246" s="24">
        <f t="shared" ca="1" si="163"/>
        <v>0</v>
      </c>
    </row>
    <row r="1247" spans="3:29" x14ac:dyDescent="0.25">
      <c r="C1247" s="6">
        <v>1240</v>
      </c>
      <c r="D1247" s="37">
        <v>43769</v>
      </c>
      <c r="E1247" s="39">
        <v>16.853999999999999</v>
      </c>
      <c r="F1247" s="39">
        <v>1.9909301107992112</v>
      </c>
      <c r="G1247" s="39">
        <v>47.818862695133099</v>
      </c>
      <c r="H1247" s="39">
        <v>61.256048546395263</v>
      </c>
      <c r="I1247" s="10">
        <v>0</v>
      </c>
      <c r="J1247" s="40">
        <v>0</v>
      </c>
      <c r="K1247" s="40">
        <v>0</v>
      </c>
      <c r="L1247" s="40">
        <v>0</v>
      </c>
      <c r="M1247" s="40">
        <v>0</v>
      </c>
      <c r="N1247" s="40">
        <v>0</v>
      </c>
      <c r="O1247" s="40">
        <v>0</v>
      </c>
      <c r="P1247" s="40">
        <v>0</v>
      </c>
      <c r="Q1247" s="40">
        <v>0</v>
      </c>
      <c r="R1247" s="40">
        <v>1</v>
      </c>
      <c r="S1247" s="40">
        <v>0</v>
      </c>
      <c r="T1247" s="29">
        <f t="array" aca="1" ref="T1247" ca="1">+fair_value_gap(OFFSET(S1246,0,0,-1*$I$5,-1*$Z$1),OFFSET(E1246,0,0,-1*$I$5,1),F1247:S1247,0)</f>
        <v>16.585851528632137</v>
      </c>
      <c r="U1247" s="9" cm="1">
        <f t="array" aca="1" ref="U1247" ca="1">z_score_diff(OFFSET(T1247,0,0,$I$5*-1,1),OFFSET(E1247,0,0,$I$5*-1,1))</f>
        <v>-0.3230453025308595</v>
      </c>
      <c r="V1247" s="9">
        <f t="shared" ca="1" si="159"/>
        <v>-7.3888975578844177E-2</v>
      </c>
      <c r="W1247" s="17">
        <f t="shared" ca="1" si="156"/>
        <v>-4.8380849587669326E-2</v>
      </c>
      <c r="X1247" s="13">
        <f t="shared" ca="1" si="157"/>
        <v>0</v>
      </c>
      <c r="Y1247" s="13">
        <f t="shared" ca="1" si="158"/>
        <v>0</v>
      </c>
      <c r="Z1247">
        <f t="shared" ca="1" si="160"/>
        <v>1</v>
      </c>
      <c r="AA1247">
        <f t="shared" ca="1" si="161"/>
        <v>0</v>
      </c>
      <c r="AB1247" s="24">
        <f t="shared" ca="1" si="162"/>
        <v>-4.8380849587669326E-2</v>
      </c>
      <c r="AC1247" s="24">
        <f t="shared" ca="1" si="163"/>
        <v>0</v>
      </c>
    </row>
    <row r="1248" spans="3:29" x14ac:dyDescent="0.25">
      <c r="C1248" s="6">
        <v>1241</v>
      </c>
      <c r="D1248" s="37">
        <v>43770</v>
      </c>
      <c r="E1248" s="39">
        <v>16.893000000000001</v>
      </c>
      <c r="F1248" s="39">
        <v>2.0004337453914554</v>
      </c>
      <c r="G1248" s="39">
        <v>48.03500408639016</v>
      </c>
      <c r="H1248" s="39">
        <v>60.507482108002606</v>
      </c>
      <c r="I1248" s="10">
        <v>0</v>
      </c>
      <c r="J1248" s="40">
        <v>0</v>
      </c>
      <c r="K1248" s="40">
        <v>0</v>
      </c>
      <c r="L1248" s="40">
        <v>0</v>
      </c>
      <c r="M1248" s="40">
        <v>0</v>
      </c>
      <c r="N1248" s="40">
        <v>0</v>
      </c>
      <c r="O1248" s="40">
        <v>0</v>
      </c>
      <c r="P1248" s="40">
        <v>0</v>
      </c>
      <c r="Q1248" s="40">
        <v>0</v>
      </c>
      <c r="R1248" s="40">
        <v>0</v>
      </c>
      <c r="S1248" s="40">
        <v>1</v>
      </c>
      <c r="T1248" s="29">
        <f t="array" aca="1" ref="T1248" ca="1">+fair_value_gap(OFFSET(S1247,0,0,-1*$I$5,-1*$Z$1),OFFSET(E1247,0,0,-1*$I$5,1),F1248:S1248,0)</f>
        <v>16.879223172865075</v>
      </c>
      <c r="U1248" s="9" cm="1">
        <f t="array" aca="1" ref="U1248" ca="1">z_score_diff(OFFSET(T1248,0,0,$I$5*-1,1),OFFSET(E1248,0,0,$I$5*-1,1))</f>
        <v>-3.1002487243318555E-2</v>
      </c>
      <c r="V1248" s="9">
        <f t="shared" ca="1" si="159"/>
        <v>-7.8204789033762254E-2</v>
      </c>
      <c r="W1248" s="17">
        <f t="shared" ca="1" si="156"/>
        <v>-4.7086767611490346E-2</v>
      </c>
      <c r="X1248" s="13">
        <f t="shared" ca="1" si="157"/>
        <v>0</v>
      </c>
      <c r="Y1248" s="13">
        <f t="shared" ca="1" si="158"/>
        <v>0</v>
      </c>
      <c r="Z1248">
        <f t="shared" ca="1" si="160"/>
        <v>1</v>
      </c>
      <c r="AA1248">
        <f t="shared" ca="1" si="161"/>
        <v>0</v>
      </c>
      <c r="AB1248" s="24">
        <f t="shared" ca="1" si="162"/>
        <v>-4.7086767611490346E-2</v>
      </c>
      <c r="AC1248" s="24">
        <f t="shared" ca="1" si="163"/>
        <v>0</v>
      </c>
    </row>
    <row r="1249" spans="3:29" x14ac:dyDescent="0.25">
      <c r="C1249" s="6">
        <v>1242</v>
      </c>
      <c r="D1249" s="37">
        <v>43773</v>
      </c>
      <c r="E1249" s="39">
        <v>17.149999999999999</v>
      </c>
      <c r="F1249" s="39">
        <v>2.0131450107918485</v>
      </c>
      <c r="G1249" s="39">
        <v>48.652048722443759</v>
      </c>
      <c r="H1249" s="39">
        <v>61.872685752846671</v>
      </c>
      <c r="I1249" s="10">
        <v>0</v>
      </c>
      <c r="J1249" s="40">
        <v>0</v>
      </c>
      <c r="K1249" s="40">
        <v>0</v>
      </c>
      <c r="L1249" s="40">
        <v>0</v>
      </c>
      <c r="M1249" s="40">
        <v>0</v>
      </c>
      <c r="N1249" s="40">
        <v>0</v>
      </c>
      <c r="O1249" s="40">
        <v>0</v>
      </c>
      <c r="P1249" s="40">
        <v>0</v>
      </c>
      <c r="Q1249" s="40">
        <v>0</v>
      </c>
      <c r="R1249" s="40">
        <v>0</v>
      </c>
      <c r="S1249" s="40">
        <v>1</v>
      </c>
      <c r="T1249" s="29">
        <f t="array" aca="1" ref="T1249" ca="1">+fair_value_gap(OFFSET(S1248,0,0,-1*$I$5,-1*$Z$1),OFFSET(E1248,0,0,-1*$I$5,1),F1249:S1249,0)</f>
        <v>17.131487108904398</v>
      </c>
      <c r="U1249" s="9" cm="1">
        <f t="array" aca="1" ref="U1249" ca="1">z_score_diff(OFFSET(T1249,0,0,$I$5*-1,1),OFFSET(E1249,0,0,$I$5*-1,1))</f>
        <v>-3.0452267782054676E-2</v>
      </c>
      <c r="V1249" s="9">
        <f t="shared" ca="1" si="159"/>
        <v>-8.1467704202130731E-2</v>
      </c>
      <c r="W1249" s="17">
        <f t="shared" ca="1" si="156"/>
        <v>-8.7828036896185624E-2</v>
      </c>
      <c r="X1249" s="13">
        <f t="shared" ca="1" si="157"/>
        <v>0</v>
      </c>
      <c r="Y1249" s="13">
        <f t="shared" ca="1" si="158"/>
        <v>0</v>
      </c>
      <c r="Z1249">
        <f t="shared" ca="1" si="160"/>
        <v>1</v>
      </c>
      <c r="AA1249">
        <f t="shared" ca="1" si="161"/>
        <v>0</v>
      </c>
      <c r="AB1249" s="24">
        <f t="shared" ca="1" si="162"/>
        <v>-8.7828036896185624E-2</v>
      </c>
      <c r="AC1249" s="24">
        <f t="shared" ca="1" si="163"/>
        <v>0</v>
      </c>
    </row>
    <row r="1250" spans="3:29" x14ac:dyDescent="0.25">
      <c r="C1250" s="6">
        <v>1243</v>
      </c>
      <c r="D1250" s="37">
        <v>43774</v>
      </c>
      <c r="E1250" s="39">
        <v>17.324999999999999</v>
      </c>
      <c r="F1250" s="39">
        <v>2.0234443461068357</v>
      </c>
      <c r="G1250" s="39">
        <v>48.924874177688842</v>
      </c>
      <c r="H1250" s="39">
        <v>62.773953483495738</v>
      </c>
      <c r="I1250" s="10">
        <v>0</v>
      </c>
      <c r="J1250" s="40">
        <v>0</v>
      </c>
      <c r="K1250" s="40">
        <v>0</v>
      </c>
      <c r="L1250" s="40">
        <v>0</v>
      </c>
      <c r="M1250" s="40">
        <v>0</v>
      </c>
      <c r="N1250" s="40">
        <v>0</v>
      </c>
      <c r="O1250" s="40">
        <v>0</v>
      </c>
      <c r="P1250" s="40">
        <v>0</v>
      </c>
      <c r="Q1250" s="40">
        <v>0</v>
      </c>
      <c r="R1250" s="40">
        <v>0</v>
      </c>
      <c r="S1250" s="40">
        <v>1</v>
      </c>
      <c r="T1250" s="29">
        <f t="array" aca="1" ref="T1250" ca="1">+fair_value_gap(OFFSET(S1249,0,0,-1*$I$5,-1*$Z$1),OFFSET(E1249,0,0,-1*$I$5,1),F1250:S1250,0)</f>
        <v>17.264914524092177</v>
      </c>
      <c r="U1250" s="9" cm="1">
        <f t="array" aca="1" ref="U1250" ca="1">z_score_diff(OFFSET(T1250,0,0,$I$5*-1,1),OFFSET(E1250,0,0,$I$5*-1,1))</f>
        <v>-7.0866599533757402E-2</v>
      </c>
      <c r="V1250" s="9">
        <f t="shared" ca="1" si="159"/>
        <v>-8.6749916644261418E-2</v>
      </c>
      <c r="W1250" s="17">
        <f t="shared" ca="1" si="156"/>
        <v>-0.11331252382143901</v>
      </c>
      <c r="X1250" s="13">
        <f t="shared" ca="1" si="157"/>
        <v>0</v>
      </c>
      <c r="Y1250" s="13">
        <f t="shared" ca="1" si="158"/>
        <v>0</v>
      </c>
      <c r="Z1250">
        <f t="shared" ca="1" si="160"/>
        <v>1</v>
      </c>
      <c r="AA1250">
        <f t="shared" ca="1" si="161"/>
        <v>0</v>
      </c>
      <c r="AB1250" s="24">
        <f t="shared" ca="1" si="162"/>
        <v>-0.11331252382143901</v>
      </c>
      <c r="AC1250" s="24">
        <f t="shared" ca="1" si="163"/>
        <v>0</v>
      </c>
    </row>
    <row r="1251" spans="3:29" x14ac:dyDescent="0.25">
      <c r="C1251" s="6">
        <v>1244</v>
      </c>
      <c r="D1251" s="37">
        <v>43775</v>
      </c>
      <c r="E1251" s="39">
        <v>17.155999999999999</v>
      </c>
      <c r="F1251" s="39">
        <v>2.0115236439262216</v>
      </c>
      <c r="G1251" s="39">
        <v>48.03982689706028</v>
      </c>
      <c r="H1251" s="39">
        <v>62.592391527647735</v>
      </c>
      <c r="I1251" s="10">
        <v>0</v>
      </c>
      <c r="J1251" s="40">
        <v>0</v>
      </c>
      <c r="K1251" s="40">
        <v>0</v>
      </c>
      <c r="L1251" s="40">
        <v>0</v>
      </c>
      <c r="M1251" s="40">
        <v>0</v>
      </c>
      <c r="N1251" s="40">
        <v>0</v>
      </c>
      <c r="O1251" s="40">
        <v>0</v>
      </c>
      <c r="P1251" s="40">
        <v>0</v>
      </c>
      <c r="Q1251" s="40">
        <v>0</v>
      </c>
      <c r="R1251" s="40">
        <v>0</v>
      </c>
      <c r="S1251" s="40">
        <v>1</v>
      </c>
      <c r="T1251" s="29">
        <f t="array" aca="1" ref="T1251" ca="1">+fair_value_gap(OFFSET(S1250,0,0,-1*$I$5,-1*$Z$1),OFFSET(E1250,0,0,-1*$I$5,1),F1251:S1251,0)</f>
        <v>17.022546630967849</v>
      </c>
      <c r="U1251" s="9" cm="1">
        <f t="array" aca="1" ref="U1251" ca="1">z_score_diff(OFFSET(T1251,0,0,$I$5*-1,1),OFFSET(E1251,0,0,$I$5*-1,1))</f>
        <v>-0.14915371671982181</v>
      </c>
      <c r="V1251" s="9">
        <f t="shared" ca="1" si="159"/>
        <v>-9.779755859964219E-2</v>
      </c>
      <c r="W1251" s="17">
        <f t="shared" ca="1" si="156"/>
        <v>-0.106552905243865</v>
      </c>
      <c r="X1251" s="13">
        <f t="shared" ca="1" si="157"/>
        <v>0</v>
      </c>
      <c r="Y1251" s="13">
        <f t="shared" ca="1" si="158"/>
        <v>0</v>
      </c>
      <c r="Z1251">
        <f t="shared" ca="1" si="160"/>
        <v>1</v>
      </c>
      <c r="AA1251">
        <f t="shared" ca="1" si="161"/>
        <v>0</v>
      </c>
      <c r="AB1251" s="24">
        <f t="shared" ca="1" si="162"/>
        <v>-0.106552905243865</v>
      </c>
      <c r="AC1251" s="24">
        <f t="shared" ca="1" si="163"/>
        <v>0</v>
      </c>
    </row>
    <row r="1252" spans="3:29" x14ac:dyDescent="0.25">
      <c r="C1252" s="6">
        <v>1245</v>
      </c>
      <c r="D1252" s="37">
        <v>43776</v>
      </c>
      <c r="E1252" s="39">
        <v>16.945</v>
      </c>
      <c r="F1252" s="39">
        <v>2.009262745029373</v>
      </c>
      <c r="G1252" s="39">
        <v>47.486580374338125</v>
      </c>
      <c r="H1252" s="39">
        <v>62.685495661918559</v>
      </c>
      <c r="I1252" s="10">
        <v>0</v>
      </c>
      <c r="J1252" s="40">
        <v>0</v>
      </c>
      <c r="K1252" s="40">
        <v>0</v>
      </c>
      <c r="L1252" s="40">
        <v>0</v>
      </c>
      <c r="M1252" s="40">
        <v>0</v>
      </c>
      <c r="N1252" s="40">
        <v>0</v>
      </c>
      <c r="O1252" s="40">
        <v>0</v>
      </c>
      <c r="P1252" s="40">
        <v>0</v>
      </c>
      <c r="Q1252" s="40">
        <v>0</v>
      </c>
      <c r="R1252" s="40">
        <v>0</v>
      </c>
      <c r="S1252" s="40">
        <v>1</v>
      </c>
      <c r="T1252" s="29">
        <f t="array" aca="1" ref="T1252" ca="1">+fair_value_gap(OFFSET(S1251,0,0,-1*$I$5,-1*$Z$1),OFFSET(E1251,0,0,-1*$I$5,1),F1252:S1252,0)</f>
        <v>16.893123205127544</v>
      </c>
      <c r="U1252" s="9" cm="1">
        <f t="array" aca="1" ref="U1252" ca="1">z_score_diff(OFFSET(T1252,0,0,$I$5*-1,1),OFFSET(E1252,0,0,$I$5*-1,1))</f>
        <v>-5.8673255119376932E-2</v>
      </c>
      <c r="V1252" s="9">
        <f t="shared" ca="1" si="159"/>
        <v>-0.10446864983536978</v>
      </c>
      <c r="W1252" s="17">
        <f t="shared" ca="1" si="156"/>
        <v>-0.11210429501946634</v>
      </c>
      <c r="X1252" s="13">
        <f t="shared" ca="1" si="157"/>
        <v>0</v>
      </c>
      <c r="Y1252" s="13">
        <f t="shared" ca="1" si="158"/>
        <v>0</v>
      </c>
      <c r="Z1252">
        <f t="shared" ca="1" si="160"/>
        <v>1</v>
      </c>
      <c r="AA1252">
        <f t="shared" ca="1" si="161"/>
        <v>0</v>
      </c>
      <c r="AB1252" s="24">
        <f t="shared" ca="1" si="162"/>
        <v>-0.11210429501946634</v>
      </c>
      <c r="AC1252" s="24">
        <f t="shared" ca="1" si="163"/>
        <v>0</v>
      </c>
    </row>
    <row r="1253" spans="3:29" x14ac:dyDescent="0.25">
      <c r="C1253" s="6">
        <v>1246</v>
      </c>
      <c r="D1253" s="37">
        <v>43777</v>
      </c>
      <c r="E1253" s="39">
        <v>16.893000000000001</v>
      </c>
      <c r="F1253" s="39">
        <v>2.0190090447393456</v>
      </c>
      <c r="G1253" s="39">
        <v>47.365237469798679</v>
      </c>
      <c r="H1253" s="39">
        <v>62.298844926768155</v>
      </c>
      <c r="I1253" s="10">
        <v>0</v>
      </c>
      <c r="J1253" s="40">
        <v>0</v>
      </c>
      <c r="K1253" s="40">
        <v>0</v>
      </c>
      <c r="L1253" s="40">
        <v>0</v>
      </c>
      <c r="M1253" s="40">
        <v>0</v>
      </c>
      <c r="N1253" s="40">
        <v>0</v>
      </c>
      <c r="O1253" s="40">
        <v>0</v>
      </c>
      <c r="P1253" s="40">
        <v>0</v>
      </c>
      <c r="Q1253" s="40">
        <v>0</v>
      </c>
      <c r="R1253" s="40">
        <v>0</v>
      </c>
      <c r="S1253" s="40">
        <v>1</v>
      </c>
      <c r="T1253" s="29">
        <f t="array" aca="1" ref="T1253" ca="1">+fair_value_gap(OFFSET(S1252,0,0,-1*$I$5,-1*$Z$1),OFFSET(E1252,0,0,-1*$I$5,1),F1253:S1253,0)</f>
        <v>16.847607839885391</v>
      </c>
      <c r="U1253" s="9" cm="1">
        <f t="array" aca="1" ref="U1253" ca="1">z_score_diff(OFFSET(T1253,0,0,$I$5*-1,1),OFFSET(E1253,0,0,$I$5*-1,1))</f>
        <v>-4.9347453596211732E-2</v>
      </c>
      <c r="V1253" s="9">
        <f t="shared" ca="1" si="159"/>
        <v>-0.1094001116314028</v>
      </c>
      <c r="W1253" s="17">
        <f t="shared" ca="1" si="156"/>
        <v>-0.11984963417196472</v>
      </c>
      <c r="X1253" s="13">
        <f t="shared" ca="1" si="157"/>
        <v>0</v>
      </c>
      <c r="Y1253" s="13">
        <f t="shared" ca="1" si="158"/>
        <v>0</v>
      </c>
      <c r="Z1253">
        <f t="shared" ca="1" si="160"/>
        <v>1</v>
      </c>
      <c r="AA1253">
        <f t="shared" ca="1" si="161"/>
        <v>0</v>
      </c>
      <c r="AB1253" s="24">
        <f t="shared" ca="1" si="162"/>
        <v>-0.11984963417196472</v>
      </c>
      <c r="AC1253" s="24">
        <f t="shared" ca="1" si="163"/>
        <v>0</v>
      </c>
    </row>
    <row r="1254" spans="3:29" x14ac:dyDescent="0.25">
      <c r="C1254" s="6">
        <v>1247</v>
      </c>
      <c r="D1254" s="37">
        <v>43780</v>
      </c>
      <c r="E1254" s="39">
        <v>16.844000000000001</v>
      </c>
      <c r="F1254" s="39">
        <v>2.0191043729734464</v>
      </c>
      <c r="G1254" s="39">
        <v>47.248003972035583</v>
      </c>
      <c r="H1254" s="39">
        <v>61.957760056086236</v>
      </c>
      <c r="I1254" s="10">
        <v>0</v>
      </c>
      <c r="J1254" s="40">
        <v>0</v>
      </c>
      <c r="K1254" s="40">
        <v>0</v>
      </c>
      <c r="L1254" s="40">
        <v>0</v>
      </c>
      <c r="M1254" s="40">
        <v>0</v>
      </c>
      <c r="N1254" s="40">
        <v>0</v>
      </c>
      <c r="O1254" s="40">
        <v>0</v>
      </c>
      <c r="P1254" s="40">
        <v>0</v>
      </c>
      <c r="Q1254" s="40">
        <v>0</v>
      </c>
      <c r="R1254" s="40">
        <v>0</v>
      </c>
      <c r="S1254" s="40">
        <v>1</v>
      </c>
      <c r="T1254" s="29">
        <f t="array" aca="1" ref="T1254" ca="1">+fair_value_gap(OFFSET(S1253,0,0,-1*$I$5,-1*$Z$1),OFFSET(E1253,0,0,-1*$I$5,1),F1254:S1254,0)</f>
        <v>16.796198791849704</v>
      </c>
      <c r="U1254" s="9" cm="1">
        <f t="array" aca="1" ref="U1254" ca="1">z_score_diff(OFFSET(T1254,0,0,$I$5*-1,1),OFFSET(E1254,0,0,$I$5*-1,1))</f>
        <v>-5.0375913665897887E-2</v>
      </c>
      <c r="V1254" s="9">
        <f t="shared" ca="1" si="159"/>
        <v>-0.11100902713779912</v>
      </c>
      <c r="W1254" s="17">
        <f t="shared" ca="1" si="156"/>
        <v>-0.12357333636196245</v>
      </c>
      <c r="X1254" s="13">
        <f t="shared" ca="1" si="157"/>
        <v>0</v>
      </c>
      <c r="Y1254" s="13">
        <f t="shared" ca="1" si="158"/>
        <v>0</v>
      </c>
      <c r="Z1254">
        <f t="shared" ca="1" si="160"/>
        <v>1</v>
      </c>
      <c r="AA1254">
        <f t="shared" ca="1" si="161"/>
        <v>0</v>
      </c>
      <c r="AB1254" s="24">
        <f t="shared" ca="1" si="162"/>
        <v>-0.12357333636196245</v>
      </c>
      <c r="AC1254" s="24">
        <f t="shared" ca="1" si="163"/>
        <v>0</v>
      </c>
    </row>
    <row r="1255" spans="3:29" x14ac:dyDescent="0.25">
      <c r="C1255" s="6">
        <v>1248</v>
      </c>
      <c r="D1255" s="37">
        <v>43781</v>
      </c>
      <c r="E1255" s="39">
        <v>16.742000000000001</v>
      </c>
      <c r="F1255" s="39">
        <v>2.0201008820814415</v>
      </c>
      <c r="G1255" s="39">
        <v>47.112742073761886</v>
      </c>
      <c r="H1255" s="39">
        <v>62.754873054225655</v>
      </c>
      <c r="I1255" s="10">
        <v>0</v>
      </c>
      <c r="J1255" s="40">
        <v>0</v>
      </c>
      <c r="K1255" s="40">
        <v>0</v>
      </c>
      <c r="L1255" s="40">
        <v>0</v>
      </c>
      <c r="M1255" s="40">
        <v>0</v>
      </c>
      <c r="N1255" s="40">
        <v>0</v>
      </c>
      <c r="O1255" s="40">
        <v>0</v>
      </c>
      <c r="P1255" s="40">
        <v>0</v>
      </c>
      <c r="Q1255" s="40">
        <v>0</v>
      </c>
      <c r="R1255" s="40">
        <v>0</v>
      </c>
      <c r="S1255" s="40">
        <v>1</v>
      </c>
      <c r="T1255" s="29">
        <f t="array" aca="1" ref="T1255" ca="1">+fair_value_gap(OFFSET(S1254,0,0,-1*$I$5,-1*$Z$1),OFFSET(E1254,0,0,-1*$I$5,1),F1255:S1255,0)</f>
        <v>16.813496443197092</v>
      </c>
      <c r="U1255" s="9" cm="1">
        <f t="array" aca="1" ref="U1255" ca="1">z_score_diff(OFFSET(T1255,0,0,$I$5*-1,1),OFFSET(E1255,0,0,$I$5*-1,1))</f>
        <v>7.3496389086177505E-2</v>
      </c>
      <c r="V1255" s="9">
        <f t="shared" ca="1" si="159"/>
        <v>-0.10881155996724433</v>
      </c>
      <c r="W1255" s="17">
        <f t="shared" ca="1" si="156"/>
        <v>-7.4438839304389839E-2</v>
      </c>
      <c r="X1255" s="13">
        <f t="shared" ca="1" si="157"/>
        <v>0</v>
      </c>
      <c r="Y1255" s="13">
        <f t="shared" ca="1" si="158"/>
        <v>0</v>
      </c>
      <c r="Z1255">
        <f t="shared" ca="1" si="160"/>
        <v>1</v>
      </c>
      <c r="AA1255">
        <f t="shared" ca="1" si="161"/>
        <v>0</v>
      </c>
      <c r="AB1255" s="24">
        <f t="shared" ca="1" si="162"/>
        <v>-7.4438839304389839E-2</v>
      </c>
      <c r="AC1255" s="24">
        <f t="shared" ca="1" si="163"/>
        <v>0</v>
      </c>
    </row>
    <row r="1256" spans="3:29" x14ac:dyDescent="0.25">
      <c r="C1256" s="6">
        <v>1249</v>
      </c>
      <c r="D1256" s="37">
        <v>43782</v>
      </c>
      <c r="E1256" s="39">
        <v>16.710999999999999</v>
      </c>
      <c r="F1256" s="39">
        <v>2.0124119240239806</v>
      </c>
      <c r="G1256" s="39">
        <v>47.173538840005079</v>
      </c>
      <c r="H1256" s="39">
        <v>62.964766094462099</v>
      </c>
      <c r="I1256" s="10">
        <v>0</v>
      </c>
      <c r="J1256" s="40">
        <v>0</v>
      </c>
      <c r="K1256" s="40">
        <v>0</v>
      </c>
      <c r="L1256" s="40">
        <v>0</v>
      </c>
      <c r="M1256" s="40">
        <v>0</v>
      </c>
      <c r="N1256" s="40">
        <v>0</v>
      </c>
      <c r="O1256" s="40">
        <v>0</v>
      </c>
      <c r="P1256" s="40">
        <v>0</v>
      </c>
      <c r="Q1256" s="40">
        <v>0</v>
      </c>
      <c r="R1256" s="40">
        <v>0</v>
      </c>
      <c r="S1256" s="40">
        <v>1</v>
      </c>
      <c r="T1256" s="29">
        <f t="array" aca="1" ref="T1256" ca="1">+fair_value_gap(OFFSET(S1255,0,0,-1*$I$5,-1*$Z$1),OFFSET(E1255,0,0,-1*$I$5,1),F1256:S1256,0)</f>
        <v>16.83319038968947</v>
      </c>
      <c r="U1256" s="9" cm="1">
        <f t="array" aca="1" ref="U1256" ca="1">z_score_diff(OFFSET(T1256,0,0,$I$5*-1,1),OFFSET(E1256,0,0,$I$5*-1,1))</f>
        <v>0.12210351367852779</v>
      </c>
      <c r="V1256" s="9">
        <f t="shared" ca="1" si="159"/>
        <v>-0.10515243308270991</v>
      </c>
      <c r="W1256" s="17">
        <f t="shared" ca="1" si="156"/>
        <v>-9.2078020317532969E-2</v>
      </c>
      <c r="X1256" s="13">
        <f t="shared" ca="1" si="157"/>
        <v>0</v>
      </c>
      <c r="Y1256" s="13">
        <f t="shared" ca="1" si="158"/>
        <v>0</v>
      </c>
      <c r="Z1256">
        <f t="shared" ca="1" si="160"/>
        <v>1</v>
      </c>
      <c r="AA1256">
        <f t="shared" ca="1" si="161"/>
        <v>0</v>
      </c>
      <c r="AB1256" s="24">
        <f t="shared" ca="1" si="162"/>
        <v>-9.2078020317532969E-2</v>
      </c>
      <c r="AC1256" s="24">
        <f t="shared" ca="1" si="163"/>
        <v>0</v>
      </c>
    </row>
    <row r="1257" spans="3:29" x14ac:dyDescent="0.25">
      <c r="C1257" s="6">
        <v>1250</v>
      </c>
      <c r="D1257" s="37">
        <v>43783</v>
      </c>
      <c r="E1257" s="39">
        <v>16.809000000000001</v>
      </c>
      <c r="F1257" s="39">
        <v>2.0258635836525283</v>
      </c>
      <c r="G1257" s="39">
        <v>47.46408627329442</v>
      </c>
      <c r="H1257" s="39">
        <v>62.945848121727529</v>
      </c>
      <c r="I1257" s="10">
        <v>0</v>
      </c>
      <c r="J1257" s="40">
        <v>0</v>
      </c>
      <c r="K1257" s="40">
        <v>0</v>
      </c>
      <c r="L1257" s="40">
        <v>0</v>
      </c>
      <c r="M1257" s="40">
        <v>0</v>
      </c>
      <c r="N1257" s="40">
        <v>0</v>
      </c>
      <c r="O1257" s="40">
        <v>0</v>
      </c>
      <c r="P1257" s="40">
        <v>0</v>
      </c>
      <c r="Q1257" s="40">
        <v>0</v>
      </c>
      <c r="R1257" s="40">
        <v>0</v>
      </c>
      <c r="S1257" s="40">
        <v>1</v>
      </c>
      <c r="T1257" s="29">
        <f t="array" aca="1" ref="T1257" ca="1">+fair_value_gap(OFFSET(S1256,0,0,-1*$I$5,-1*$Z$1),OFFSET(E1256,0,0,-1*$I$5,1),F1257:S1257,0)</f>
        <v>16.900589028112293</v>
      </c>
      <c r="U1257" s="9" cm="1">
        <f t="array" aca="1" ref="U1257" ca="1">z_score_diff(OFFSET(T1257,0,0,$I$5*-1,1),OFFSET(E1257,0,0,$I$5*-1,1))</f>
        <v>8.8087121320191475E-2</v>
      </c>
      <c r="V1257" s="9">
        <f t="shared" ca="1" si="159"/>
        <v>-0.1043283617904424</v>
      </c>
      <c r="W1257" s="17">
        <f t="shared" ca="1" si="156"/>
        <v>-0.11266497557356497</v>
      </c>
      <c r="X1257" s="13">
        <f t="shared" ca="1" si="157"/>
        <v>0</v>
      </c>
      <c r="Y1257" s="13">
        <f t="shared" ca="1" si="158"/>
        <v>0</v>
      </c>
      <c r="Z1257">
        <f t="shared" ca="1" si="160"/>
        <v>1</v>
      </c>
      <c r="AA1257">
        <f t="shared" ca="1" si="161"/>
        <v>0</v>
      </c>
      <c r="AB1257" s="24">
        <f t="shared" ca="1" si="162"/>
        <v>-0.11266497557356497</v>
      </c>
      <c r="AC1257" s="24">
        <f t="shared" ca="1" si="163"/>
        <v>0</v>
      </c>
    </row>
    <row r="1258" spans="3:29" x14ac:dyDescent="0.25">
      <c r="C1258" s="6">
        <v>1251</v>
      </c>
      <c r="D1258" s="37">
        <v>43784</v>
      </c>
      <c r="E1258" s="39">
        <v>17.004000000000001</v>
      </c>
      <c r="F1258" s="39">
        <v>2.0227901018137682</v>
      </c>
      <c r="G1258" s="39">
        <v>47.815209223042942</v>
      </c>
      <c r="H1258" s="39">
        <v>63.004219837879063</v>
      </c>
      <c r="I1258" s="10">
        <v>0</v>
      </c>
      <c r="J1258" s="40">
        <v>0</v>
      </c>
      <c r="K1258" s="40">
        <v>0</v>
      </c>
      <c r="L1258" s="40">
        <v>0</v>
      </c>
      <c r="M1258" s="40">
        <v>0</v>
      </c>
      <c r="N1258" s="40">
        <v>0</v>
      </c>
      <c r="O1258" s="40">
        <v>0</v>
      </c>
      <c r="P1258" s="40">
        <v>0</v>
      </c>
      <c r="Q1258" s="40">
        <v>0</v>
      </c>
      <c r="R1258" s="40">
        <v>0</v>
      </c>
      <c r="S1258" s="40">
        <v>1</v>
      </c>
      <c r="T1258" s="29">
        <f t="array" aca="1" ref="T1258" ca="1">+fair_value_gap(OFFSET(S1257,0,0,-1*$I$5,-1*$Z$1),OFFSET(E1257,0,0,-1*$I$5,1),F1258:S1258,0)</f>
        <v>16.981851015958551</v>
      </c>
      <c r="U1258" s="9" cm="1">
        <f t="array" aca="1" ref="U1258" ca="1">z_score_diff(OFFSET(T1258,0,0,$I$5*-1,1),OFFSET(E1258,0,0,$I$5*-1,1))</f>
        <v>-2.69861251792749E-2</v>
      </c>
      <c r="V1258" s="9">
        <f t="shared" ca="1" si="159"/>
        <v>-0.10319677963728681</v>
      </c>
      <c r="W1258" s="17">
        <f t="shared" ca="1" si="156"/>
        <v>-0.11241637517116461</v>
      </c>
      <c r="X1258" s="13">
        <f t="shared" ca="1" si="157"/>
        <v>0</v>
      </c>
      <c r="Y1258" s="13">
        <f t="shared" ca="1" si="158"/>
        <v>0</v>
      </c>
      <c r="Z1258">
        <f t="shared" ca="1" si="160"/>
        <v>1</v>
      </c>
      <c r="AA1258">
        <f t="shared" ca="1" si="161"/>
        <v>0</v>
      </c>
      <c r="AB1258" s="24">
        <f t="shared" ca="1" si="162"/>
        <v>-0.11241637517116461</v>
      </c>
      <c r="AC1258" s="24">
        <f t="shared" ca="1" si="163"/>
        <v>0</v>
      </c>
    </row>
    <row r="1259" spans="3:29" x14ac:dyDescent="0.25">
      <c r="C1259" s="6">
        <v>1252</v>
      </c>
      <c r="D1259" s="37">
        <v>43787</v>
      </c>
      <c r="E1259" s="39">
        <v>16.856000000000002</v>
      </c>
      <c r="F1259" s="39">
        <v>2.0168411040434733</v>
      </c>
      <c r="G1259" s="39">
        <v>47.328880606526148</v>
      </c>
      <c r="H1259" s="39">
        <v>63.294016442456645</v>
      </c>
      <c r="I1259" s="10">
        <v>0</v>
      </c>
      <c r="J1259" s="40">
        <v>0</v>
      </c>
      <c r="K1259" s="40">
        <v>0</v>
      </c>
      <c r="L1259" s="40">
        <v>0</v>
      </c>
      <c r="M1259" s="40">
        <v>0</v>
      </c>
      <c r="N1259" s="40">
        <v>0</v>
      </c>
      <c r="O1259" s="40">
        <v>0</v>
      </c>
      <c r="P1259" s="40">
        <v>0</v>
      </c>
      <c r="Q1259" s="40">
        <v>0</v>
      </c>
      <c r="R1259" s="40">
        <v>0</v>
      </c>
      <c r="S1259" s="40">
        <v>1</v>
      </c>
      <c r="T1259" s="29">
        <f t="array" aca="1" ref="T1259" ca="1">+fair_value_gap(OFFSET(S1258,0,0,-1*$I$5,-1*$Z$1),OFFSET(E1258,0,0,-1*$I$5,1),F1259:S1259,0)</f>
        <v>16.872092204981364</v>
      </c>
      <c r="U1259" s="9" cm="1">
        <f t="array" aca="1" ref="U1259" ca="1">z_score_diff(OFFSET(T1259,0,0,$I$5*-1,1),OFFSET(E1259,0,0,$I$5*-1,1))</f>
        <v>1.051194642214881E-2</v>
      </c>
      <c r="V1259" s="9">
        <f t="shared" ca="1" si="159"/>
        <v>-7.1069192448404067E-2</v>
      </c>
      <c r="W1259" s="17">
        <f t="shared" ca="1" si="156"/>
        <v>-8.7421350131342945E-2</v>
      </c>
      <c r="X1259" s="13">
        <f t="shared" ca="1" si="157"/>
        <v>0</v>
      </c>
      <c r="Y1259" s="13">
        <f t="shared" ca="1" si="158"/>
        <v>0</v>
      </c>
      <c r="Z1259">
        <f t="shared" ca="1" si="160"/>
        <v>1</v>
      </c>
      <c r="AA1259">
        <f t="shared" ca="1" si="161"/>
        <v>0</v>
      </c>
      <c r="AB1259" s="24">
        <f t="shared" ca="1" si="162"/>
        <v>-8.7421350131342945E-2</v>
      </c>
      <c r="AC1259" s="24">
        <f t="shared" ca="1" si="163"/>
        <v>0</v>
      </c>
    </row>
    <row r="1260" spans="3:29" x14ac:dyDescent="0.25">
      <c r="C1260" s="6">
        <v>1253</v>
      </c>
      <c r="D1260" s="37">
        <v>43788</v>
      </c>
      <c r="E1260" s="39">
        <v>16.809999999999999</v>
      </c>
      <c r="F1260" s="39">
        <v>2.0063731854124867</v>
      </c>
      <c r="G1260" s="39">
        <v>47.158140706971203</v>
      </c>
      <c r="H1260" s="39">
        <v>62.813905608665422</v>
      </c>
      <c r="I1260" s="10">
        <v>0</v>
      </c>
      <c r="J1260" s="40">
        <v>0</v>
      </c>
      <c r="K1260" s="40">
        <v>0</v>
      </c>
      <c r="L1260" s="40">
        <v>0</v>
      </c>
      <c r="M1260" s="40">
        <v>0</v>
      </c>
      <c r="N1260" s="40">
        <v>0</v>
      </c>
      <c r="O1260" s="40">
        <v>0</v>
      </c>
      <c r="P1260" s="40">
        <v>0</v>
      </c>
      <c r="Q1260" s="40">
        <v>0</v>
      </c>
      <c r="R1260" s="40">
        <v>0</v>
      </c>
      <c r="S1260" s="40">
        <v>1</v>
      </c>
      <c r="T1260" s="29">
        <f t="array" aca="1" ref="T1260" ca="1">+fair_value_gap(OFFSET(S1259,0,0,-1*$I$5,-1*$Z$1),OFFSET(E1259,0,0,-1*$I$5,1),F1260:S1260,0)</f>
        <v>16.795985583412495</v>
      </c>
      <c r="U1260" s="9" cm="1">
        <f t="array" aca="1" ref="U1260" ca="1">z_score_diff(OFFSET(T1260,0,0,$I$5*-1,1),OFFSET(E1260,0,0,$I$5*-1,1))</f>
        <v>-2.0207518597085361E-2</v>
      </c>
      <c r="V1260" s="9">
        <f t="shared" ca="1" si="159"/>
        <v>-6.7795213868466195E-2</v>
      </c>
      <c r="W1260" s="17">
        <f t="shared" ca="1" si="156"/>
        <v>-9.3729039032794823E-2</v>
      </c>
      <c r="X1260" s="13">
        <f t="shared" ca="1" si="157"/>
        <v>0</v>
      </c>
      <c r="Y1260" s="13">
        <f t="shared" ca="1" si="158"/>
        <v>0</v>
      </c>
      <c r="Z1260">
        <f t="shared" ca="1" si="160"/>
        <v>1</v>
      </c>
      <c r="AA1260">
        <f t="shared" ca="1" si="161"/>
        <v>0</v>
      </c>
      <c r="AB1260" s="24">
        <f t="shared" ca="1" si="162"/>
        <v>-9.3729039032794823E-2</v>
      </c>
      <c r="AC1260" s="24">
        <f t="shared" ca="1" si="163"/>
        <v>0</v>
      </c>
    </row>
    <row r="1261" spans="3:29" x14ac:dyDescent="0.25">
      <c r="C1261" s="6">
        <v>1254</v>
      </c>
      <c r="D1261" s="37">
        <v>43789</v>
      </c>
      <c r="E1261" s="39">
        <v>16.856000000000002</v>
      </c>
      <c r="F1261" s="39">
        <v>2.0085927510368977</v>
      </c>
      <c r="G1261" s="39">
        <v>47.426638171743754</v>
      </c>
      <c r="H1261" s="39">
        <v>62.620832826444463</v>
      </c>
      <c r="I1261" s="10">
        <v>0</v>
      </c>
      <c r="J1261" s="40">
        <v>0</v>
      </c>
      <c r="K1261" s="40">
        <v>0</v>
      </c>
      <c r="L1261" s="40">
        <v>0</v>
      </c>
      <c r="M1261" s="40">
        <v>0</v>
      </c>
      <c r="N1261" s="40">
        <v>0</v>
      </c>
      <c r="O1261" s="40">
        <v>0</v>
      </c>
      <c r="P1261" s="40">
        <v>0</v>
      </c>
      <c r="Q1261" s="40">
        <v>0</v>
      </c>
      <c r="R1261" s="40">
        <v>0</v>
      </c>
      <c r="S1261" s="40">
        <v>1</v>
      </c>
      <c r="T1261" s="29">
        <f t="array" aca="1" ref="T1261" ca="1">+fair_value_gap(OFFSET(S1260,0,0,-1*$I$5,-1*$Z$1),OFFSET(E1260,0,0,-1*$I$5,1),F1261:S1261,0)</f>
        <v>16.860259778620048</v>
      </c>
      <c r="U1261" s="9" cm="1">
        <f t="array" aca="1" ref="U1261" ca="1">z_score_diff(OFFSET(T1261,0,0,$I$5*-1,1),OFFSET(E1261,0,0,$I$5*-1,1))</f>
        <v>-1.2663086422723957E-3</v>
      </c>
      <c r="V1261" s="9">
        <f t="shared" ca="1" si="159"/>
        <v>-6.2792499470439578E-2</v>
      </c>
      <c r="W1261" s="17">
        <f t="shared" ca="1" si="156"/>
        <v>-9.7573060923411337E-2</v>
      </c>
      <c r="X1261" s="13">
        <f t="shared" ca="1" si="157"/>
        <v>0</v>
      </c>
      <c r="Y1261" s="13">
        <f t="shared" ca="1" si="158"/>
        <v>0</v>
      </c>
      <c r="Z1261">
        <f t="shared" ca="1" si="160"/>
        <v>1</v>
      </c>
      <c r="AA1261">
        <f t="shared" ca="1" si="161"/>
        <v>0</v>
      </c>
      <c r="AB1261" s="24">
        <f t="shared" ca="1" si="162"/>
        <v>-9.7573060923411337E-2</v>
      </c>
      <c r="AC1261" s="24">
        <f t="shared" ca="1" si="163"/>
        <v>0</v>
      </c>
    </row>
    <row r="1262" spans="3:29" x14ac:dyDescent="0.25">
      <c r="C1262" s="6">
        <v>1255</v>
      </c>
      <c r="D1262" s="37">
        <v>43790</v>
      </c>
      <c r="E1262" s="39">
        <v>16.959</v>
      </c>
      <c r="F1262" s="39">
        <v>2.0084171414113028</v>
      </c>
      <c r="G1262" s="39">
        <v>47.88312804354053</v>
      </c>
      <c r="H1262" s="39">
        <v>63.255509357875596</v>
      </c>
      <c r="I1262" s="10">
        <v>0</v>
      </c>
      <c r="J1262" s="40">
        <v>0</v>
      </c>
      <c r="K1262" s="40">
        <v>0</v>
      </c>
      <c r="L1262" s="40">
        <v>0</v>
      </c>
      <c r="M1262" s="40">
        <v>0</v>
      </c>
      <c r="N1262" s="40">
        <v>0</v>
      </c>
      <c r="O1262" s="40">
        <v>0</v>
      </c>
      <c r="P1262" s="40">
        <v>0</v>
      </c>
      <c r="Q1262" s="40">
        <v>0</v>
      </c>
      <c r="R1262" s="40">
        <v>0</v>
      </c>
      <c r="S1262" s="40">
        <v>1</v>
      </c>
      <c r="T1262" s="29">
        <f t="array" aca="1" ref="T1262" ca="1">+fair_value_gap(OFFSET(S1261,0,0,-1*$I$5,-1*$Z$1),OFFSET(E1261,0,0,-1*$I$5,1),F1262:S1262,0)</f>
        <v>17.020054288233581</v>
      </c>
      <c r="U1262" s="9" cm="1">
        <f t="array" aca="1" ref="U1262" ca="1">z_score_diff(OFFSET(T1262,0,0,$I$5*-1,1),OFFSET(E1262,0,0,$I$5*-1,1))</f>
        <v>5.4931317761450993E-2</v>
      </c>
      <c r="V1262" s="9">
        <f t="shared" ca="1" si="159"/>
        <v>-5.9697013238613268E-2</v>
      </c>
      <c r="W1262" s="17">
        <f t="shared" ca="1" si="156"/>
        <v>-0.12903484990176126</v>
      </c>
      <c r="X1262" s="13">
        <f t="shared" ca="1" si="157"/>
        <v>0</v>
      </c>
      <c r="Y1262" s="13">
        <f t="shared" ca="1" si="158"/>
        <v>0</v>
      </c>
      <c r="Z1262">
        <f t="shared" ca="1" si="160"/>
        <v>1</v>
      </c>
      <c r="AA1262">
        <f t="shared" ca="1" si="161"/>
        <v>0</v>
      </c>
      <c r="AB1262" s="24">
        <f t="shared" ca="1" si="162"/>
        <v>-0.12903484990176126</v>
      </c>
      <c r="AC1262" s="24">
        <f t="shared" ca="1" si="163"/>
        <v>0</v>
      </c>
    </row>
    <row r="1263" spans="3:29" x14ac:dyDescent="0.25">
      <c r="C1263" s="6">
        <v>1256</v>
      </c>
      <c r="D1263" s="37">
        <v>43791</v>
      </c>
      <c r="E1263" s="39">
        <v>17.222000000000001</v>
      </c>
      <c r="F1263" s="39">
        <v>2.0225627328319393</v>
      </c>
      <c r="G1263" s="39">
        <v>48.754830890255896</v>
      </c>
      <c r="H1263" s="39">
        <v>63.699304140015457</v>
      </c>
      <c r="I1263" s="10">
        <v>0</v>
      </c>
      <c r="J1263" s="40">
        <v>0</v>
      </c>
      <c r="K1263" s="40">
        <v>0</v>
      </c>
      <c r="L1263" s="40">
        <v>0</v>
      </c>
      <c r="M1263" s="40">
        <v>0</v>
      </c>
      <c r="N1263" s="40">
        <v>0</v>
      </c>
      <c r="O1263" s="40">
        <v>0</v>
      </c>
      <c r="P1263" s="40">
        <v>0</v>
      </c>
      <c r="Q1263" s="40">
        <v>0</v>
      </c>
      <c r="R1263" s="40">
        <v>0</v>
      </c>
      <c r="S1263" s="40">
        <v>1</v>
      </c>
      <c r="T1263" s="29">
        <f t="array" aca="1" ref="T1263" ca="1">+fair_value_gap(OFFSET(S1262,0,0,-1*$I$5,-1*$Z$1),OFFSET(E1262,0,0,-1*$I$5,1),F1263:S1263,0)</f>
        <v>17.285380587616807</v>
      </c>
      <c r="U1263" s="9" cm="1">
        <f t="array" aca="1" ref="U1263" ca="1">z_score_diff(OFFSET(T1263,0,0,$I$5*-1,1),OFFSET(E1263,0,0,$I$5*-1,1))</f>
        <v>5.8394094347038461E-2</v>
      </c>
      <c r="V1263" s="9">
        <f t="shared" ca="1" si="159"/>
        <v>-5.6599365751880321E-2</v>
      </c>
      <c r="W1263" s="17">
        <f t="shared" ca="1" si="156"/>
        <v>-0.15399585110622141</v>
      </c>
      <c r="X1263" s="13">
        <f t="shared" ca="1" si="157"/>
        <v>0</v>
      </c>
      <c r="Y1263" s="13">
        <f t="shared" ca="1" si="158"/>
        <v>0</v>
      </c>
      <c r="Z1263">
        <f t="shared" ca="1" si="160"/>
        <v>1</v>
      </c>
      <c r="AA1263">
        <f t="shared" ca="1" si="161"/>
        <v>0</v>
      </c>
      <c r="AB1263" s="24">
        <f t="shared" ca="1" si="162"/>
        <v>-0.15399585110622141</v>
      </c>
      <c r="AC1263" s="24">
        <f t="shared" ca="1" si="163"/>
        <v>0</v>
      </c>
    </row>
    <row r="1264" spans="3:29" x14ac:dyDescent="0.25">
      <c r="C1264" s="6">
        <v>1257</v>
      </c>
      <c r="D1264" s="37">
        <v>43794</v>
      </c>
      <c r="E1264" s="39">
        <v>17.321999999999999</v>
      </c>
      <c r="F1264" s="39">
        <v>2.0245406323458823</v>
      </c>
      <c r="G1264" s="39">
        <v>49.119623439248713</v>
      </c>
      <c r="H1264" s="39">
        <v>63.162503010877835</v>
      </c>
      <c r="I1264" s="10">
        <v>0</v>
      </c>
      <c r="J1264" s="40">
        <v>0</v>
      </c>
      <c r="K1264" s="40">
        <v>0</v>
      </c>
      <c r="L1264" s="40">
        <v>0</v>
      </c>
      <c r="M1264" s="40">
        <v>0</v>
      </c>
      <c r="N1264" s="40">
        <v>0</v>
      </c>
      <c r="O1264" s="40">
        <v>0</v>
      </c>
      <c r="P1264" s="40">
        <v>0</v>
      </c>
      <c r="Q1264" s="40">
        <v>0</v>
      </c>
      <c r="R1264" s="40">
        <v>0</v>
      </c>
      <c r="S1264" s="40">
        <v>1</v>
      </c>
      <c r="T1264" s="29">
        <f t="array" aca="1" ref="T1264" ca="1">+fair_value_gap(OFFSET(S1263,0,0,-1*$I$5,-1*$Z$1),OFFSET(E1263,0,0,-1*$I$5,1),F1264:S1264,0)</f>
        <v>17.34323376248102</v>
      </c>
      <c r="U1264" s="9" cm="1">
        <f t="array" aca="1" ref="U1264" ca="1">z_score_diff(OFFSET(T1264,0,0,$I$5*-1,1),OFFSET(E1264,0,0,$I$5*-1,1))</f>
        <v>1.7875111557116963E-2</v>
      </c>
      <c r="V1264" s="9">
        <f t="shared" ca="1" si="159"/>
        <v>-5.4228243255308818E-2</v>
      </c>
      <c r="W1264" s="17">
        <f t="shared" ca="1" si="156"/>
        <v>-0.17315002748354613</v>
      </c>
      <c r="X1264" s="13">
        <f t="shared" ca="1" si="157"/>
        <v>0</v>
      </c>
      <c r="Y1264" s="13">
        <f t="shared" ca="1" si="158"/>
        <v>0</v>
      </c>
      <c r="Z1264">
        <f t="shared" ca="1" si="160"/>
        <v>1</v>
      </c>
      <c r="AA1264">
        <f t="shared" ca="1" si="161"/>
        <v>0</v>
      </c>
      <c r="AB1264" s="24">
        <f t="shared" ca="1" si="162"/>
        <v>-0.17315002748354613</v>
      </c>
      <c r="AC1264" s="24">
        <f t="shared" ca="1" si="163"/>
        <v>0</v>
      </c>
    </row>
    <row r="1265" spans="3:29" x14ac:dyDescent="0.25">
      <c r="C1265" s="6">
        <v>1258</v>
      </c>
      <c r="D1265" s="37">
        <v>43795</v>
      </c>
      <c r="E1265" s="39">
        <v>17.106999999999999</v>
      </c>
      <c r="F1265" s="39">
        <v>2.0203226370083422</v>
      </c>
      <c r="G1265" s="39">
        <v>48.522311547415626</v>
      </c>
      <c r="H1265" s="39">
        <v>62.822287995630973</v>
      </c>
      <c r="I1265" s="10">
        <v>0</v>
      </c>
      <c r="J1265" s="40">
        <v>0</v>
      </c>
      <c r="K1265" s="40">
        <v>0</v>
      </c>
      <c r="L1265" s="40">
        <v>0</v>
      </c>
      <c r="M1265" s="40">
        <v>0</v>
      </c>
      <c r="N1265" s="40">
        <v>0</v>
      </c>
      <c r="O1265" s="40">
        <v>0</v>
      </c>
      <c r="P1265" s="40">
        <v>0</v>
      </c>
      <c r="Q1265" s="40">
        <v>0</v>
      </c>
      <c r="R1265" s="40">
        <v>0</v>
      </c>
      <c r="S1265" s="40">
        <v>1</v>
      </c>
      <c r="T1265" s="29">
        <f t="array" aca="1" ref="T1265" ca="1">+fair_value_gap(OFFSET(S1264,0,0,-1*$I$5,-1*$Z$1),OFFSET(E1264,0,0,-1*$I$5,1),F1265:S1265,0)</f>
        <v>17.164262986335473</v>
      </c>
      <c r="U1265" s="9" cm="1">
        <f t="array" aca="1" ref="U1265" ca="1">z_score_diff(OFFSET(T1265,0,0,$I$5*-1,1),OFFSET(E1265,0,0,$I$5*-1,1))</f>
        <v>4.9869244771160837E-2</v>
      </c>
      <c r="V1265" s="9">
        <f t="shared" ca="1" si="159"/>
        <v>-5.2527078988848487E-2</v>
      </c>
      <c r="W1265" s="17">
        <f t="shared" ca="1" si="156"/>
        <v>-0.17087160461335174</v>
      </c>
      <c r="X1265" s="13">
        <f t="shared" ca="1" si="157"/>
        <v>0</v>
      </c>
      <c r="Y1265" s="13">
        <f t="shared" ca="1" si="158"/>
        <v>0</v>
      </c>
      <c r="Z1265">
        <f t="shared" ca="1" si="160"/>
        <v>1</v>
      </c>
      <c r="AA1265">
        <f t="shared" ca="1" si="161"/>
        <v>0</v>
      </c>
      <c r="AB1265" s="24">
        <f t="shared" ca="1" si="162"/>
        <v>-0.17087160461335174</v>
      </c>
      <c r="AC1265" s="24">
        <f t="shared" ca="1" si="163"/>
        <v>0</v>
      </c>
    </row>
    <row r="1266" spans="3:29" x14ac:dyDescent="0.25">
      <c r="C1266" s="6">
        <v>1259</v>
      </c>
      <c r="D1266" s="37">
        <v>43796</v>
      </c>
      <c r="E1266" s="39">
        <v>17.244</v>
      </c>
      <c r="F1266" s="39">
        <v>2.0522086092482215</v>
      </c>
      <c r="G1266" s="39">
        <v>49.003680172924341</v>
      </c>
      <c r="H1266" s="39">
        <v>63.026466717803288</v>
      </c>
      <c r="I1266" s="10">
        <v>0</v>
      </c>
      <c r="J1266" s="40">
        <v>0</v>
      </c>
      <c r="K1266" s="40">
        <v>0</v>
      </c>
      <c r="L1266" s="40">
        <v>0</v>
      </c>
      <c r="M1266" s="40">
        <v>0</v>
      </c>
      <c r="N1266" s="40">
        <v>0</v>
      </c>
      <c r="O1266" s="40">
        <v>0</v>
      </c>
      <c r="P1266" s="40">
        <v>0</v>
      </c>
      <c r="Q1266" s="40">
        <v>0</v>
      </c>
      <c r="R1266" s="40">
        <v>0</v>
      </c>
      <c r="S1266" s="40">
        <v>1</v>
      </c>
      <c r="T1266" s="29">
        <f t="array" aca="1" ref="T1266" ca="1">+fair_value_gap(OFFSET(S1265,0,0,-1*$I$5,-1*$Z$1),OFFSET(E1265,0,0,-1*$I$5,1),F1266:S1266,0)</f>
        <v>17.309040024125913</v>
      </c>
      <c r="U1266" s="9" cm="1">
        <f t="array" aca="1" ref="U1266" ca="1">z_score_diff(OFFSET(T1266,0,0,$I$5*-1,1),OFFSET(E1266,0,0,$I$5*-1,1))</f>
        <v>5.8296608673140682E-2</v>
      </c>
      <c r="V1266" s="9">
        <f t="shared" ca="1" si="159"/>
        <v>-4.8634322925829976E-2</v>
      </c>
      <c r="W1266" s="17">
        <f t="shared" ca="1" si="156"/>
        <v>-0.20762152149579388</v>
      </c>
      <c r="X1266" s="13">
        <f t="shared" ca="1" si="157"/>
        <v>0</v>
      </c>
      <c r="Y1266" s="13">
        <f t="shared" ca="1" si="158"/>
        <v>0</v>
      </c>
      <c r="Z1266">
        <f t="shared" ca="1" si="160"/>
        <v>1</v>
      </c>
      <c r="AA1266">
        <f t="shared" ca="1" si="161"/>
        <v>0</v>
      </c>
      <c r="AB1266" s="24">
        <f t="shared" ca="1" si="162"/>
        <v>-0.20762152149579388</v>
      </c>
      <c r="AC1266" s="24">
        <f t="shared" ca="1" si="163"/>
        <v>0</v>
      </c>
    </row>
    <row r="1267" spans="3:29" x14ac:dyDescent="0.25">
      <c r="C1267" s="6">
        <v>1260</v>
      </c>
      <c r="D1267" s="37">
        <v>43797</v>
      </c>
      <c r="E1267" s="39">
        <v>16.940000000000001</v>
      </c>
      <c r="F1267" s="39">
        <v>2.0511116268928604</v>
      </c>
      <c r="G1267" s="39">
        <v>48.053427019650151</v>
      </c>
      <c r="H1267" s="39">
        <v>63.036735382862453</v>
      </c>
      <c r="I1267" s="10">
        <v>0</v>
      </c>
      <c r="J1267" s="40">
        <v>0</v>
      </c>
      <c r="K1267" s="40">
        <v>0</v>
      </c>
      <c r="L1267" s="40">
        <v>0</v>
      </c>
      <c r="M1267" s="40">
        <v>0</v>
      </c>
      <c r="N1267" s="40">
        <v>0</v>
      </c>
      <c r="O1267" s="40">
        <v>0</v>
      </c>
      <c r="P1267" s="40">
        <v>0</v>
      </c>
      <c r="Q1267" s="40">
        <v>0</v>
      </c>
      <c r="R1267" s="40">
        <v>0</v>
      </c>
      <c r="S1267" s="40">
        <v>1</v>
      </c>
      <c r="T1267" s="29">
        <f t="array" aca="1" ref="T1267" ca="1">+fair_value_gap(OFFSET(S1266,0,0,-1*$I$5,-1*$Z$1),OFFSET(E1266,0,0,-1*$I$5,1),F1267:S1267,0)</f>
        <v>17.058288394336685</v>
      </c>
      <c r="U1267" s="9" cm="1">
        <f t="array" aca="1" ref="U1267" ca="1">z_score_diff(OFFSET(T1267,0,0,$I$5*-1,1),OFFSET(E1267,0,0,$I$5*-1,1))</f>
        <v>0.1040242492464809</v>
      </c>
      <c r="V1267" s="9">
        <f t="shared" ca="1" si="159"/>
        <v>-4.7659988437037969E-2</v>
      </c>
      <c r="W1267" s="17">
        <f t="shared" ca="1" si="156"/>
        <v>-0.18976358388866804</v>
      </c>
      <c r="X1267" s="13">
        <f t="shared" ca="1" si="157"/>
        <v>0</v>
      </c>
      <c r="Y1267" s="13">
        <f t="shared" ca="1" si="158"/>
        <v>0</v>
      </c>
      <c r="Z1267">
        <f t="shared" ca="1" si="160"/>
        <v>1</v>
      </c>
      <c r="AA1267">
        <f t="shared" ca="1" si="161"/>
        <v>0</v>
      </c>
      <c r="AB1267" s="24">
        <f t="shared" ca="1" si="162"/>
        <v>-0.18976358388866804</v>
      </c>
      <c r="AC1267" s="24">
        <f t="shared" ca="1" si="163"/>
        <v>0</v>
      </c>
    </row>
    <row r="1268" spans="3:29" x14ac:dyDescent="0.25">
      <c r="C1268" s="6">
        <v>1261</v>
      </c>
      <c r="D1268" s="37">
        <v>43798</v>
      </c>
      <c r="E1268" s="39">
        <v>16.204000000000001</v>
      </c>
      <c r="F1268" s="39">
        <v>2.0045136724536743</v>
      </c>
      <c r="G1268" s="39">
        <v>46.696967810223519</v>
      </c>
      <c r="H1268" s="39">
        <v>64.663149389898138</v>
      </c>
      <c r="I1268" s="10">
        <v>0</v>
      </c>
      <c r="J1268" s="40">
        <v>0</v>
      </c>
      <c r="K1268" s="40">
        <v>0</v>
      </c>
      <c r="L1268" s="40">
        <v>0</v>
      </c>
      <c r="M1268" s="40">
        <v>0</v>
      </c>
      <c r="N1268" s="40">
        <v>0</v>
      </c>
      <c r="O1268" s="40">
        <v>0</v>
      </c>
      <c r="P1268" s="40">
        <v>0</v>
      </c>
      <c r="Q1268" s="40">
        <v>0</v>
      </c>
      <c r="R1268" s="40">
        <v>0</v>
      </c>
      <c r="S1268" s="40">
        <v>1</v>
      </c>
      <c r="T1268" s="29">
        <f t="array" aca="1" ref="T1268" ca="1">+fair_value_gap(OFFSET(S1267,0,0,-1*$I$5,-1*$Z$1),OFFSET(E1267,0,0,-1*$I$5,1),F1268:S1268,0)</f>
        <v>16.781682247947796</v>
      </c>
      <c r="U1268" s="9" cm="1">
        <f t="array" aca="1" ref="U1268" ca="1">z_score_diff(OFFSET(T1268,0,0,$I$5*-1,1),OFFSET(E1268,0,0,$I$5*-1,1))</f>
        <v>0.51881046924888885</v>
      </c>
      <c r="V1268" s="9">
        <f t="shared" ca="1" si="159"/>
        <v>-2.7504401319661056E-2</v>
      </c>
      <c r="W1268" s="17">
        <f t="shared" ca="1" si="156"/>
        <v>-0.15675630966470225</v>
      </c>
      <c r="X1268" s="13">
        <f t="shared" ca="1" si="157"/>
        <v>0</v>
      </c>
      <c r="Y1268" s="13">
        <f t="shared" ca="1" si="158"/>
        <v>0</v>
      </c>
      <c r="Z1268">
        <f t="shared" ca="1" si="160"/>
        <v>1</v>
      </c>
      <c r="AA1268">
        <f t="shared" ca="1" si="161"/>
        <v>0</v>
      </c>
      <c r="AB1268" s="24">
        <f t="shared" ca="1" si="162"/>
        <v>-0.15675630966470225</v>
      </c>
      <c r="AC1268" s="24">
        <f t="shared" ca="1" si="163"/>
        <v>0</v>
      </c>
    </row>
    <row r="1269" spans="3:29" x14ac:dyDescent="0.25">
      <c r="C1269" s="6">
        <v>1262</v>
      </c>
      <c r="D1269" s="37">
        <v>43801</v>
      </c>
      <c r="E1269" s="39">
        <v>15.961</v>
      </c>
      <c r="F1269" s="39">
        <v>2.0051881513038965</v>
      </c>
      <c r="G1269" s="39">
        <v>45.578851412944395</v>
      </c>
      <c r="H1269" s="39">
        <v>64.830048290522498</v>
      </c>
      <c r="I1269" s="10">
        <v>0</v>
      </c>
      <c r="J1269" s="40">
        <v>0</v>
      </c>
      <c r="K1269" s="40">
        <v>0</v>
      </c>
      <c r="L1269" s="40">
        <v>0</v>
      </c>
      <c r="M1269" s="40">
        <v>0</v>
      </c>
      <c r="N1269" s="40">
        <v>0</v>
      </c>
      <c r="O1269" s="40">
        <v>0</v>
      </c>
      <c r="P1269" s="40">
        <v>0</v>
      </c>
      <c r="Q1269" s="40">
        <v>0</v>
      </c>
      <c r="R1269" s="40">
        <v>0</v>
      </c>
      <c r="S1269" s="40">
        <v>0</v>
      </c>
      <c r="T1269" s="29">
        <f t="array" aca="1" ref="T1269" ca="1">+fair_value_gap(OFFSET(S1268,0,0,-1*$I$5,-1*$Z$1),OFFSET(E1268,0,0,-1*$I$5,1),F1269:S1269,0)</f>
        <v>16.415796507043471</v>
      </c>
      <c r="U1269" s="9" cm="1">
        <f t="array" aca="1" ref="U1269" ca="1">z_score_diff(OFFSET(T1269,0,0,$I$5*-1,1),OFFSET(E1269,0,0,$I$5*-1,1))</f>
        <v>0.37981210561195189</v>
      </c>
      <c r="V1269" s="9">
        <f t="shared" ca="1" si="159"/>
        <v>-1.6568868590709204E-2</v>
      </c>
      <c r="W1269" s="17">
        <f t="shared" ca="1" si="156"/>
        <v>-0.14736548957791495</v>
      </c>
      <c r="X1269" s="13">
        <f t="shared" ca="1" si="157"/>
        <v>0</v>
      </c>
      <c r="Y1269" s="13">
        <f t="shared" ca="1" si="158"/>
        <v>0</v>
      </c>
      <c r="Z1269">
        <f t="shared" ca="1" si="160"/>
        <v>1</v>
      </c>
      <c r="AA1269">
        <f t="shared" ca="1" si="161"/>
        <v>0</v>
      </c>
      <c r="AB1269" s="24">
        <f t="shared" ca="1" si="162"/>
        <v>-0.14736548957791495</v>
      </c>
      <c r="AC1269" s="24">
        <f t="shared" ca="1" si="163"/>
        <v>0</v>
      </c>
    </row>
    <row r="1270" spans="3:29" x14ac:dyDescent="0.25">
      <c r="C1270" s="6">
        <v>1263</v>
      </c>
      <c r="D1270" s="37">
        <v>43802</v>
      </c>
      <c r="E1270" s="39">
        <v>15.888</v>
      </c>
      <c r="F1270" s="39">
        <v>2.0149429216060453</v>
      </c>
      <c r="G1270" s="39">
        <v>45.42229021422088</v>
      </c>
      <c r="H1270" s="39">
        <v>64.294599515889203</v>
      </c>
      <c r="I1270" s="10">
        <v>0</v>
      </c>
      <c r="J1270" s="40">
        <v>0</v>
      </c>
      <c r="K1270" s="40">
        <v>0</v>
      </c>
      <c r="L1270" s="40">
        <v>0</v>
      </c>
      <c r="M1270" s="40">
        <v>0</v>
      </c>
      <c r="N1270" s="40">
        <v>0</v>
      </c>
      <c r="O1270" s="40">
        <v>0</v>
      </c>
      <c r="P1270" s="40">
        <v>0</v>
      </c>
      <c r="Q1270" s="40">
        <v>0</v>
      </c>
      <c r="R1270" s="40">
        <v>0</v>
      </c>
      <c r="S1270" s="40">
        <v>0</v>
      </c>
      <c r="T1270" s="29">
        <f t="array" aca="1" ref="T1270" ca="1">+fair_value_gap(OFFSET(S1269,0,0,-1*$I$5,-1*$Z$1),OFFSET(E1269,0,0,-1*$I$5,1),F1270:S1270,0)</f>
        <v>16.302364863595759</v>
      </c>
      <c r="U1270" s="9" cm="1">
        <f t="array" aca="1" ref="U1270" ca="1">z_score_diff(OFFSET(T1270,0,0,$I$5*-1,1),OFFSET(E1270,0,0,$I$5*-1,1))</f>
        <v>0.32488950820272855</v>
      </c>
      <c r="V1270" s="9">
        <f t="shared" ca="1" si="159"/>
        <v>-6.5780463825130852E-3</v>
      </c>
      <c r="W1270" s="17">
        <f t="shared" ca="1" si="156"/>
        <v>-0.14445255856200914</v>
      </c>
      <c r="X1270" s="13">
        <f t="shared" ca="1" si="157"/>
        <v>0</v>
      </c>
      <c r="Y1270" s="13">
        <f t="shared" ca="1" si="158"/>
        <v>0</v>
      </c>
      <c r="Z1270">
        <f t="shared" ca="1" si="160"/>
        <v>1</v>
      </c>
      <c r="AA1270">
        <f t="shared" ca="1" si="161"/>
        <v>0</v>
      </c>
      <c r="AB1270" s="24">
        <f t="shared" ca="1" si="162"/>
        <v>-0.14445255856200914</v>
      </c>
      <c r="AC1270" s="24">
        <f t="shared" ca="1" si="163"/>
        <v>0</v>
      </c>
    </row>
    <row r="1271" spans="3:29" x14ac:dyDescent="0.25">
      <c r="C1271" s="6">
        <v>1264</v>
      </c>
      <c r="D1271" s="37">
        <v>43803</v>
      </c>
      <c r="E1271" s="39">
        <v>15.952</v>
      </c>
      <c r="F1271" s="39">
        <v>2.0234899651505205</v>
      </c>
      <c r="G1271" s="39">
        <v>45.765580846721299</v>
      </c>
      <c r="H1271" s="39">
        <v>63.326932170693397</v>
      </c>
      <c r="I1271" s="10">
        <v>0</v>
      </c>
      <c r="J1271" s="40">
        <v>0</v>
      </c>
      <c r="K1271" s="40">
        <v>0</v>
      </c>
      <c r="L1271" s="40">
        <v>0</v>
      </c>
      <c r="M1271" s="40">
        <v>0</v>
      </c>
      <c r="N1271" s="40">
        <v>0</v>
      </c>
      <c r="O1271" s="40">
        <v>0</v>
      </c>
      <c r="P1271" s="40">
        <v>0</v>
      </c>
      <c r="Q1271" s="40">
        <v>0</v>
      </c>
      <c r="R1271" s="40">
        <v>0</v>
      </c>
      <c r="S1271" s="40">
        <v>0</v>
      </c>
      <c r="T1271" s="29">
        <f t="array" aca="1" ref="T1271" ca="1">+fair_value_gap(OFFSET(S1270,0,0,-1*$I$5,-1*$Z$1),OFFSET(E1270,0,0,-1*$I$5,1),F1271:S1271,0)</f>
        <v>16.292055472011906</v>
      </c>
      <c r="U1271" s="9" cm="1">
        <f t="array" aca="1" ref="U1271" ca="1">z_score_diff(OFFSET(T1271,0,0,$I$5*-1,1),OFFSET(E1271,0,0,$I$5*-1,1))</f>
        <v>0.2460665233652235</v>
      </c>
      <c r="V1271" s="9">
        <f t="shared" ca="1" si="159"/>
        <v>5.1955825202661919E-3</v>
      </c>
      <c r="W1271" s="17">
        <f t="shared" ca="1" si="156"/>
        <v>-0.15826520107704417</v>
      </c>
      <c r="X1271" s="13">
        <f t="shared" ca="1" si="157"/>
        <v>0</v>
      </c>
      <c r="Y1271" s="13">
        <f t="shared" ca="1" si="158"/>
        <v>0</v>
      </c>
      <c r="Z1271">
        <f t="shared" ca="1" si="160"/>
        <v>0</v>
      </c>
      <c r="AA1271">
        <f t="shared" ca="1" si="161"/>
        <v>1</v>
      </c>
      <c r="AB1271" s="24">
        <f t="shared" ca="1" si="162"/>
        <v>0</v>
      </c>
      <c r="AC1271" s="24">
        <f t="shared" ca="1" si="163"/>
        <v>-0.15826520107704417</v>
      </c>
    </row>
    <row r="1272" spans="3:29" x14ac:dyDescent="0.25">
      <c r="C1272" s="6">
        <v>1265</v>
      </c>
      <c r="D1272" s="37">
        <v>43804</v>
      </c>
      <c r="E1272" s="39">
        <v>15.718</v>
      </c>
      <c r="F1272" s="39">
        <v>2.0311914288952235</v>
      </c>
      <c r="G1272" s="39">
        <v>44.757434946400437</v>
      </c>
      <c r="H1272" s="39">
        <v>63.594598599959895</v>
      </c>
      <c r="I1272" s="10">
        <v>0</v>
      </c>
      <c r="J1272" s="40">
        <v>0</v>
      </c>
      <c r="K1272" s="40">
        <v>0</v>
      </c>
      <c r="L1272" s="40">
        <v>0</v>
      </c>
      <c r="M1272" s="40">
        <v>0</v>
      </c>
      <c r="N1272" s="40">
        <v>0</v>
      </c>
      <c r="O1272" s="40">
        <v>0</v>
      </c>
      <c r="P1272" s="40">
        <v>0</v>
      </c>
      <c r="Q1272" s="40">
        <v>0</v>
      </c>
      <c r="R1272" s="40">
        <v>0</v>
      </c>
      <c r="S1272" s="40">
        <v>0</v>
      </c>
      <c r="T1272" s="29">
        <f t="array" aca="1" ref="T1272" ca="1">+fair_value_gap(OFFSET(S1271,0,0,-1*$I$5,-1*$Z$1),OFFSET(E1271,0,0,-1*$I$5,1),F1272:S1272,0)</f>
        <v>15.992550462115016</v>
      </c>
      <c r="U1272" s="9" cm="1">
        <f t="array" aca="1" ref="U1272" ca="1">z_score_diff(OFFSET(T1272,0,0,$I$5*-1,1),OFFSET(E1272,0,0,$I$5*-1,1))</f>
        <v>0.17099246733699536</v>
      </c>
      <c r="V1272" s="9">
        <f t="shared" ca="1" si="159"/>
        <v>1.5916074663119353E-2</v>
      </c>
      <c r="W1272" s="17">
        <f t="shared" ca="1" si="156"/>
        <v>-0.12840034038228343</v>
      </c>
      <c r="X1272" s="13">
        <f t="shared" ca="1" si="157"/>
        <v>0</v>
      </c>
      <c r="Y1272" s="13">
        <f t="shared" ca="1" si="158"/>
        <v>0</v>
      </c>
      <c r="Z1272">
        <f t="shared" ca="1" si="160"/>
        <v>0</v>
      </c>
      <c r="AA1272">
        <f t="shared" ca="1" si="161"/>
        <v>1</v>
      </c>
      <c r="AB1272" s="24">
        <f t="shared" ca="1" si="162"/>
        <v>0</v>
      </c>
      <c r="AC1272" s="24">
        <f t="shared" ca="1" si="163"/>
        <v>-0.12840034038228343</v>
      </c>
    </row>
    <row r="1273" spans="3:29" x14ac:dyDescent="0.25">
      <c r="C1273" s="6">
        <v>1266</v>
      </c>
      <c r="D1273" s="37">
        <v>43805</v>
      </c>
      <c r="E1273" s="39">
        <v>15.576000000000001</v>
      </c>
      <c r="F1273" s="39">
        <v>2.0254042055583956</v>
      </c>
      <c r="G1273" s="39">
        <v>44.514191376045815</v>
      </c>
      <c r="H1273" s="39">
        <v>63.501761068825232</v>
      </c>
      <c r="I1273" s="10">
        <v>0</v>
      </c>
      <c r="J1273" s="40">
        <v>0</v>
      </c>
      <c r="K1273" s="40">
        <v>0</v>
      </c>
      <c r="L1273" s="40">
        <v>0</v>
      </c>
      <c r="M1273" s="40">
        <v>0</v>
      </c>
      <c r="N1273" s="40">
        <v>0</v>
      </c>
      <c r="O1273" s="40">
        <v>0</v>
      </c>
      <c r="P1273" s="40">
        <v>0</v>
      </c>
      <c r="Q1273" s="40">
        <v>0</v>
      </c>
      <c r="R1273" s="40">
        <v>0</v>
      </c>
      <c r="S1273" s="40">
        <v>0</v>
      </c>
      <c r="T1273" s="29">
        <f t="array" aca="1" ref="T1273" ca="1">+fair_value_gap(OFFSET(S1272,0,0,-1*$I$5,-1*$Z$1),OFFSET(E1272,0,0,-1*$I$5,1),F1273:S1273,0)</f>
        <v>15.87998542877625</v>
      </c>
      <c r="U1273" s="9" cm="1">
        <f t="array" aca="1" ref="U1273" ca="1">z_score_diff(OFFSET(T1273,0,0,$I$5*-1,1),OFFSET(E1273,0,0,$I$5*-1,1))</f>
        <v>0.18482603318250135</v>
      </c>
      <c r="V1273" s="9">
        <f t="shared" ca="1" si="159"/>
        <v>2.501499745818964E-2</v>
      </c>
      <c r="W1273" s="17">
        <f t="shared" ca="1" si="156"/>
        <v>-0.1469752352281658</v>
      </c>
      <c r="X1273" s="13">
        <f t="shared" ca="1" si="157"/>
        <v>0</v>
      </c>
      <c r="Y1273" s="13">
        <f t="shared" ca="1" si="158"/>
        <v>0</v>
      </c>
      <c r="Z1273">
        <f t="shared" ca="1" si="160"/>
        <v>0</v>
      </c>
      <c r="AA1273">
        <f t="shared" ca="1" si="161"/>
        <v>1</v>
      </c>
      <c r="AB1273" s="24">
        <f t="shared" ca="1" si="162"/>
        <v>0</v>
      </c>
      <c r="AC1273" s="24">
        <f t="shared" ca="1" si="163"/>
        <v>-0.1469752352281658</v>
      </c>
    </row>
    <row r="1274" spans="3:29" x14ac:dyDescent="0.25">
      <c r="C1274" s="6">
        <v>1267</v>
      </c>
      <c r="D1274" s="37">
        <v>43808</v>
      </c>
      <c r="E1274" s="39">
        <v>15.369</v>
      </c>
      <c r="F1274" s="39">
        <v>2.0296841304072051</v>
      </c>
      <c r="G1274" s="39">
        <v>44.072540672925534</v>
      </c>
      <c r="H1274" s="39">
        <v>64.477465694401303</v>
      </c>
      <c r="I1274" s="10">
        <v>0</v>
      </c>
      <c r="J1274" s="40">
        <v>0</v>
      </c>
      <c r="K1274" s="40">
        <v>0</v>
      </c>
      <c r="L1274" s="40">
        <v>0</v>
      </c>
      <c r="M1274" s="40">
        <v>0</v>
      </c>
      <c r="N1274" s="40">
        <v>0</v>
      </c>
      <c r="O1274" s="40">
        <v>0</v>
      </c>
      <c r="P1274" s="40">
        <v>0</v>
      </c>
      <c r="Q1274" s="40">
        <v>0</v>
      </c>
      <c r="R1274" s="40">
        <v>0</v>
      </c>
      <c r="S1274" s="40">
        <v>0</v>
      </c>
      <c r="T1274" s="29">
        <f t="array" aca="1" ref="T1274" ca="1">+fair_value_gap(OFFSET(S1273,0,0,-1*$I$5,-1*$Z$1),OFFSET(E1273,0,0,-1*$I$5,1),F1274:S1274,0)</f>
        <v>15.778402366243281</v>
      </c>
      <c r="U1274" s="9" cm="1">
        <f t="array" aca="1" ref="U1274" ca="1">z_score_diff(OFFSET(T1274,0,0,$I$5*-1,1),OFFSET(E1274,0,0,$I$5*-1,1))</f>
        <v>0.26021841421444947</v>
      </c>
      <c r="V1274" s="9">
        <f t="shared" ca="1" si="159"/>
        <v>3.7528082264695069E-2</v>
      </c>
      <c r="W1274" s="17">
        <f t="shared" ca="1" si="156"/>
        <v>-0.16617312370843823</v>
      </c>
      <c r="X1274" s="13">
        <f t="shared" ca="1" si="157"/>
        <v>0</v>
      </c>
      <c r="Y1274" s="13">
        <f t="shared" ca="1" si="158"/>
        <v>0</v>
      </c>
      <c r="Z1274">
        <f t="shared" ca="1" si="160"/>
        <v>0</v>
      </c>
      <c r="AA1274">
        <f t="shared" ca="1" si="161"/>
        <v>1</v>
      </c>
      <c r="AB1274" s="24">
        <f t="shared" ca="1" si="162"/>
        <v>0</v>
      </c>
      <c r="AC1274" s="24">
        <f t="shared" ca="1" si="163"/>
        <v>-0.16617312370843823</v>
      </c>
    </row>
    <row r="1275" spans="3:29" x14ac:dyDescent="0.25">
      <c r="C1275" s="6">
        <v>1268</v>
      </c>
      <c r="D1275" s="37">
        <v>43809</v>
      </c>
      <c r="E1275" s="39">
        <v>15.172000000000001</v>
      </c>
      <c r="F1275" s="39">
        <v>2.0376365508576475</v>
      </c>
      <c r="G1275" s="39">
        <v>43.514710700631149</v>
      </c>
      <c r="H1275" s="39">
        <v>62.253850976138644</v>
      </c>
      <c r="I1275" s="10">
        <v>0</v>
      </c>
      <c r="J1275" s="40">
        <v>0</v>
      </c>
      <c r="K1275" s="40">
        <v>0</v>
      </c>
      <c r="L1275" s="40">
        <v>0</v>
      </c>
      <c r="M1275" s="40">
        <v>0</v>
      </c>
      <c r="N1275" s="40">
        <v>0</v>
      </c>
      <c r="O1275" s="40">
        <v>0</v>
      </c>
      <c r="P1275" s="40">
        <v>0</v>
      </c>
      <c r="Q1275" s="40">
        <v>0</v>
      </c>
      <c r="R1275" s="40">
        <v>0</v>
      </c>
      <c r="S1275" s="40">
        <v>0</v>
      </c>
      <c r="T1275" s="29">
        <f t="array" aca="1" ref="T1275" ca="1">+fair_value_gap(OFFSET(S1274,0,0,-1*$I$5,-1*$Z$1),OFFSET(E1274,0,0,-1*$I$5,1),F1275:S1275,0)</f>
        <v>15.43911631074562</v>
      </c>
      <c r="U1275" s="9" cm="1">
        <f t="array" aca="1" ref="U1275" ca="1">z_score_diff(OFFSET(T1275,0,0,$I$5*-1,1),OFFSET(E1275,0,0,$I$5*-1,1))</f>
        <v>0.12054891007372959</v>
      </c>
      <c r="V1275" s="9">
        <f t="shared" ca="1" si="159"/>
        <v>4.756720402893079E-2</v>
      </c>
      <c r="W1275" s="17">
        <f t="shared" ca="1" si="156"/>
        <v>-0.13704023434640961</v>
      </c>
      <c r="X1275" s="13">
        <f t="shared" ca="1" si="157"/>
        <v>0</v>
      </c>
      <c r="Y1275" s="13">
        <f t="shared" ca="1" si="158"/>
        <v>0</v>
      </c>
      <c r="Z1275">
        <f t="shared" ca="1" si="160"/>
        <v>0</v>
      </c>
      <c r="AA1275">
        <f t="shared" ca="1" si="161"/>
        <v>1</v>
      </c>
      <c r="AB1275" s="24">
        <f t="shared" ca="1" si="162"/>
        <v>0</v>
      </c>
      <c r="AC1275" s="24">
        <f t="shared" ca="1" si="163"/>
        <v>-0.13704023434640961</v>
      </c>
    </row>
    <row r="1276" spans="3:29" x14ac:dyDescent="0.25">
      <c r="C1276" s="6">
        <v>1269</v>
      </c>
      <c r="D1276" s="37">
        <v>43810</v>
      </c>
      <c r="E1276" s="39">
        <v>14.965</v>
      </c>
      <c r="F1276" s="39">
        <v>2.0296605231897846</v>
      </c>
      <c r="G1276" s="39">
        <v>42.717971711572169</v>
      </c>
      <c r="H1276" s="39">
        <v>62.481194769145681</v>
      </c>
      <c r="I1276" s="10">
        <v>0</v>
      </c>
      <c r="J1276" s="40">
        <v>0</v>
      </c>
      <c r="K1276" s="40">
        <v>0</v>
      </c>
      <c r="L1276" s="40">
        <v>0</v>
      </c>
      <c r="M1276" s="40">
        <v>0</v>
      </c>
      <c r="N1276" s="40">
        <v>0</v>
      </c>
      <c r="O1276" s="40">
        <v>0</v>
      </c>
      <c r="P1276" s="40">
        <v>0</v>
      </c>
      <c r="Q1276" s="40">
        <v>0</v>
      </c>
      <c r="R1276" s="40">
        <v>0</v>
      </c>
      <c r="S1276" s="40">
        <v>0</v>
      </c>
      <c r="T1276" s="29">
        <f t="array" aca="1" ref="T1276" ca="1">+fair_value_gap(OFFSET(S1275,0,0,-1*$I$5,-1*$Z$1),OFFSET(E1275,0,0,-1*$I$5,1),F1276:S1276,0)</f>
        <v>15.197031910840501</v>
      </c>
      <c r="U1276" s="9" cm="1">
        <f t="array" aca="1" ref="U1276" ca="1">z_score_diff(OFFSET(T1276,0,0,$I$5*-1,1),OFFSET(E1276,0,0,$I$5*-1,1))</f>
        <v>7.8122619695855988E-2</v>
      </c>
      <c r="V1276" s="9">
        <f t="shared" ca="1" si="159"/>
        <v>5.3078457517333671E-2</v>
      </c>
      <c r="W1276" s="17">
        <f t="shared" ca="1" si="156"/>
        <v>-0.15151466502071245</v>
      </c>
      <c r="X1276" s="13">
        <f t="shared" ca="1" si="157"/>
        <v>0</v>
      </c>
      <c r="Y1276" s="13">
        <f t="shared" ca="1" si="158"/>
        <v>0</v>
      </c>
      <c r="Z1276">
        <f t="shared" ca="1" si="160"/>
        <v>0</v>
      </c>
      <c r="AA1276">
        <f t="shared" ca="1" si="161"/>
        <v>1</v>
      </c>
      <c r="AB1276" s="24">
        <f t="shared" ca="1" si="162"/>
        <v>0</v>
      </c>
      <c r="AC1276" s="24">
        <f t="shared" ca="1" si="163"/>
        <v>-0.15151466502071245</v>
      </c>
    </row>
    <row r="1277" spans="3:29" x14ac:dyDescent="0.25">
      <c r="C1277" s="6">
        <v>1270</v>
      </c>
      <c r="D1277" s="37">
        <v>43811</v>
      </c>
      <c r="E1277" s="39">
        <v>15.33</v>
      </c>
      <c r="F1277" s="39">
        <v>2.0349659171484378</v>
      </c>
      <c r="G1277" s="39">
        <v>44.380744475945704</v>
      </c>
      <c r="H1277" s="39">
        <v>63.380618667919485</v>
      </c>
      <c r="I1277" s="10">
        <v>0</v>
      </c>
      <c r="J1277" s="40">
        <v>0</v>
      </c>
      <c r="K1277" s="40">
        <v>0</v>
      </c>
      <c r="L1277" s="40">
        <v>0</v>
      </c>
      <c r="M1277" s="40">
        <v>0</v>
      </c>
      <c r="N1277" s="40">
        <v>0</v>
      </c>
      <c r="O1277" s="40">
        <v>0</v>
      </c>
      <c r="P1277" s="40">
        <v>0</v>
      </c>
      <c r="Q1277" s="40">
        <v>0</v>
      </c>
      <c r="R1277" s="40">
        <v>0</v>
      </c>
      <c r="S1277" s="40">
        <v>0</v>
      </c>
      <c r="T1277" s="29">
        <f t="array" aca="1" ref="T1277" ca="1">+fair_value_gap(OFFSET(S1276,0,0,-1*$I$5,-1*$Z$1),OFFSET(E1276,0,0,-1*$I$5,1),F1277:S1277,0)</f>
        <v>15.664989175063194</v>
      </c>
      <c r="U1277" s="9" cm="1">
        <f t="array" aca="1" ref="U1277" ca="1">z_score_diff(OFFSET(T1277,0,0,$I$5*-1,1),OFFSET(E1277,0,0,$I$5*-1,1))</f>
        <v>0.16929973851660263</v>
      </c>
      <c r="V1277" s="9">
        <f t="shared" ca="1" si="159"/>
        <v>5.9136662148831273E-2</v>
      </c>
      <c r="W1277" s="17">
        <f t="shared" ca="1" si="156"/>
        <v>-0.1488375743494888</v>
      </c>
      <c r="X1277" s="13">
        <f t="shared" ca="1" si="157"/>
        <v>0</v>
      </c>
      <c r="Y1277" s="13">
        <f t="shared" ca="1" si="158"/>
        <v>0</v>
      </c>
      <c r="Z1277">
        <f t="shared" ca="1" si="160"/>
        <v>0</v>
      </c>
      <c r="AA1277">
        <f t="shared" ca="1" si="161"/>
        <v>1</v>
      </c>
      <c r="AB1277" s="24">
        <f t="shared" ca="1" si="162"/>
        <v>0</v>
      </c>
      <c r="AC1277" s="24">
        <f t="shared" ca="1" si="163"/>
        <v>-0.1488375743494888</v>
      </c>
    </row>
    <row r="1278" spans="3:29" x14ac:dyDescent="0.25">
      <c r="C1278" s="6">
        <v>1271</v>
      </c>
      <c r="D1278" s="37">
        <v>43812</v>
      </c>
      <c r="E1278" s="39">
        <v>15.057</v>
      </c>
      <c r="F1278" s="39">
        <v>2.0224402021395016</v>
      </c>
      <c r="G1278" s="39">
        <v>43.362119653527238</v>
      </c>
      <c r="H1278" s="39">
        <v>61.622585831769904</v>
      </c>
      <c r="I1278" s="10">
        <v>0</v>
      </c>
      <c r="J1278" s="40">
        <v>0</v>
      </c>
      <c r="K1278" s="40">
        <v>0</v>
      </c>
      <c r="L1278" s="40">
        <v>0</v>
      </c>
      <c r="M1278" s="40">
        <v>0</v>
      </c>
      <c r="N1278" s="40">
        <v>0</v>
      </c>
      <c r="O1278" s="40">
        <v>0</v>
      </c>
      <c r="P1278" s="40">
        <v>0</v>
      </c>
      <c r="Q1278" s="40">
        <v>0</v>
      </c>
      <c r="R1278" s="40">
        <v>0</v>
      </c>
      <c r="S1278" s="40">
        <v>0</v>
      </c>
      <c r="T1278" s="29">
        <f t="array" aca="1" ref="T1278" ca="1">+fair_value_gap(OFFSET(S1277,0,0,-1*$I$5,-1*$Z$1),OFFSET(E1277,0,0,-1*$I$5,1),F1278:S1278,0)</f>
        <v>15.243280053941501</v>
      </c>
      <c r="U1278" s="9" cm="1">
        <f t="array" aca="1" ref="U1278" ca="1">z_score_diff(OFFSET(T1278,0,0,$I$5*-1,1),OFFSET(E1278,0,0,$I$5*-1,1))</f>
        <v>3.2756186455412006E-2</v>
      </c>
      <c r="V1278" s="9">
        <f t="shared" ca="1" si="159"/>
        <v>5.8880997568366233E-2</v>
      </c>
      <c r="W1278" s="17">
        <f t="shared" ca="1" si="156"/>
        <v>-0.10243519036769611</v>
      </c>
      <c r="X1278" s="13">
        <f t="shared" ca="1" si="157"/>
        <v>0</v>
      </c>
      <c r="Y1278" s="13">
        <f t="shared" ca="1" si="158"/>
        <v>0</v>
      </c>
      <c r="Z1278">
        <f t="shared" ca="1" si="160"/>
        <v>0</v>
      </c>
      <c r="AA1278">
        <f t="shared" ca="1" si="161"/>
        <v>1</v>
      </c>
      <c r="AB1278" s="24">
        <f t="shared" ca="1" si="162"/>
        <v>0</v>
      </c>
      <c r="AC1278" s="24">
        <f t="shared" ca="1" si="163"/>
        <v>-0.10243519036769611</v>
      </c>
    </row>
    <row r="1279" spans="3:29" x14ac:dyDescent="0.25">
      <c r="C1279" s="6">
        <v>1272</v>
      </c>
      <c r="D1279" s="37">
        <v>43815</v>
      </c>
      <c r="E1279" s="39">
        <v>15.145</v>
      </c>
      <c r="F1279" s="39">
        <v>2.0164285497091772</v>
      </c>
      <c r="G1279" s="39">
        <v>43.244627609832662</v>
      </c>
      <c r="H1279" s="39">
        <v>60.683987159494187</v>
      </c>
      <c r="I1279" s="10">
        <v>0</v>
      </c>
      <c r="J1279" s="40">
        <v>0</v>
      </c>
      <c r="K1279" s="40">
        <v>0</v>
      </c>
      <c r="L1279" s="40">
        <v>0</v>
      </c>
      <c r="M1279" s="40">
        <v>0</v>
      </c>
      <c r="N1279" s="40">
        <v>0</v>
      </c>
      <c r="O1279" s="40">
        <v>0</v>
      </c>
      <c r="P1279" s="40">
        <v>0</v>
      </c>
      <c r="Q1279" s="40">
        <v>0</v>
      </c>
      <c r="R1279" s="40">
        <v>0</v>
      </c>
      <c r="S1279" s="40">
        <v>0</v>
      </c>
      <c r="T1279" s="29">
        <f t="array" aca="1" ref="T1279" ca="1">+fair_value_gap(OFFSET(S1278,0,0,-1*$I$5,-1*$Z$1),OFFSET(E1278,0,0,-1*$I$5,1),F1279:S1279,0)</f>
        <v>15.124721492760628</v>
      </c>
      <c r="U1279" s="9" cm="1">
        <f t="array" aca="1" ref="U1279" ca="1">z_score_diff(OFFSET(T1279,0,0,$I$5*-1,1),OFFSET(E1279,0,0,$I$5*-1,1))</f>
        <v>-0.12771950726609838</v>
      </c>
      <c r="V1279" s="9">
        <f t="shared" ca="1" si="159"/>
        <v>5.6647597557066803E-2</v>
      </c>
      <c r="W1279" s="17">
        <f t="shared" ca="1" si="156"/>
        <v>-0.11802241722762208</v>
      </c>
      <c r="X1279" s="13">
        <f t="shared" ca="1" si="157"/>
        <v>0</v>
      </c>
      <c r="Y1279" s="13">
        <f t="shared" ca="1" si="158"/>
        <v>0</v>
      </c>
      <c r="Z1279">
        <f t="shared" ca="1" si="160"/>
        <v>0</v>
      </c>
      <c r="AA1279">
        <f t="shared" ca="1" si="161"/>
        <v>1</v>
      </c>
      <c r="AB1279" s="24">
        <f t="shared" ca="1" si="162"/>
        <v>0</v>
      </c>
      <c r="AC1279" s="24">
        <f t="shared" ca="1" si="163"/>
        <v>-0.11802241722762208</v>
      </c>
    </row>
    <row r="1280" spans="3:29" x14ac:dyDescent="0.25">
      <c r="C1280" s="6">
        <v>1273</v>
      </c>
      <c r="D1280" s="37">
        <v>43816</v>
      </c>
      <c r="E1280" s="39">
        <v>15.502000000000001</v>
      </c>
      <c r="F1280" s="39">
        <v>2.0118507465276272</v>
      </c>
      <c r="G1280" s="39">
        <v>44.136038492641489</v>
      </c>
      <c r="H1280" s="39">
        <v>60.598436673115451</v>
      </c>
      <c r="I1280" s="10">
        <v>0</v>
      </c>
      <c r="J1280" s="40">
        <v>0</v>
      </c>
      <c r="K1280" s="40">
        <v>0</v>
      </c>
      <c r="L1280" s="40">
        <v>0</v>
      </c>
      <c r="M1280" s="40">
        <v>0</v>
      </c>
      <c r="N1280" s="40">
        <v>0</v>
      </c>
      <c r="O1280" s="40">
        <v>0</v>
      </c>
      <c r="P1280" s="40">
        <v>0</v>
      </c>
      <c r="Q1280" s="40">
        <v>0</v>
      </c>
      <c r="R1280" s="40">
        <v>0</v>
      </c>
      <c r="S1280" s="40">
        <v>0</v>
      </c>
      <c r="T1280" s="29">
        <f t="array" aca="1" ref="T1280" ca="1">+fair_value_gap(OFFSET(S1279,0,0,-1*$I$5,-1*$Z$1),OFFSET(E1279,0,0,-1*$I$5,1),F1280:S1280,0)</f>
        <v>15.344758424632305</v>
      </c>
      <c r="U1280" s="9" cm="1">
        <f t="array" aca="1" ref="U1280" ca="1">z_score_diff(OFFSET(T1280,0,0,$I$5*-1,1),OFFSET(E1280,0,0,$I$5*-1,1))</f>
        <v>-0.21741916712215437</v>
      </c>
      <c r="V1280" s="9">
        <f t="shared" ca="1" si="159"/>
        <v>5.3488290162685685E-2</v>
      </c>
      <c r="W1280" s="17">
        <f t="shared" ca="1" si="156"/>
        <v>-0.13332867435614812</v>
      </c>
      <c r="X1280" s="13">
        <f t="shared" ca="1" si="157"/>
        <v>0</v>
      </c>
      <c r="Y1280" s="13">
        <f t="shared" ca="1" si="158"/>
        <v>0</v>
      </c>
      <c r="Z1280">
        <f t="shared" ca="1" si="160"/>
        <v>0</v>
      </c>
      <c r="AA1280">
        <f t="shared" ca="1" si="161"/>
        <v>1</v>
      </c>
      <c r="AB1280" s="24">
        <f t="shared" ca="1" si="162"/>
        <v>0</v>
      </c>
      <c r="AC1280" s="24">
        <f t="shared" ca="1" si="163"/>
        <v>-0.13332867435614812</v>
      </c>
    </row>
    <row r="1281" spans="3:29" x14ac:dyDescent="0.25">
      <c r="C1281" s="6">
        <v>1274</v>
      </c>
      <c r="D1281" s="37">
        <v>43817</v>
      </c>
      <c r="E1281" s="39">
        <v>15.715</v>
      </c>
      <c r="F1281" s="39">
        <v>1.998881391875565</v>
      </c>
      <c r="G1281" s="39">
        <v>45.30630600427051</v>
      </c>
      <c r="H1281" s="39">
        <v>60.584024779866454</v>
      </c>
      <c r="I1281" s="10">
        <v>0</v>
      </c>
      <c r="J1281" s="40">
        <v>0</v>
      </c>
      <c r="K1281" s="40">
        <v>0</v>
      </c>
      <c r="L1281" s="40">
        <v>0</v>
      </c>
      <c r="M1281" s="40">
        <v>0</v>
      </c>
      <c r="N1281" s="40">
        <v>0</v>
      </c>
      <c r="O1281" s="40">
        <v>0</v>
      </c>
      <c r="P1281" s="40">
        <v>0</v>
      </c>
      <c r="Q1281" s="40">
        <v>0</v>
      </c>
      <c r="R1281" s="40">
        <v>0</v>
      </c>
      <c r="S1281" s="40">
        <v>0</v>
      </c>
      <c r="T1281" s="29">
        <f t="array" aca="1" ref="T1281" ca="1">+fair_value_gap(OFFSET(S1280,0,0,-1*$I$5,-1*$Z$1),OFFSET(E1280,0,0,-1*$I$5,1),F1281:S1281,0)</f>
        <v>15.641483904799605</v>
      </c>
      <c r="U1281" s="9" cm="1">
        <f t="array" aca="1" ref="U1281" ca="1">z_score_diff(OFFSET(T1281,0,0,$I$5*-1,1),OFFSET(E1281,0,0,$I$5*-1,1))</f>
        <v>-0.13698618394023176</v>
      </c>
      <c r="V1281" s="9">
        <f t="shared" ca="1" si="159"/>
        <v>5.2298021880838798E-2</v>
      </c>
      <c r="W1281" s="17">
        <f t="shared" ca="1" si="156"/>
        <v>-0.16489865610918542</v>
      </c>
      <c r="X1281" s="13">
        <f t="shared" ca="1" si="157"/>
        <v>0</v>
      </c>
      <c r="Y1281" s="13">
        <f t="shared" ca="1" si="158"/>
        <v>0</v>
      </c>
      <c r="Z1281">
        <f t="shared" ca="1" si="160"/>
        <v>0</v>
      </c>
      <c r="AA1281">
        <f t="shared" ca="1" si="161"/>
        <v>1</v>
      </c>
      <c r="AB1281" s="24">
        <f t="shared" ca="1" si="162"/>
        <v>0</v>
      </c>
      <c r="AC1281" s="24">
        <f t="shared" ca="1" si="163"/>
        <v>-0.16489865610918542</v>
      </c>
    </row>
    <row r="1282" spans="3:29" x14ac:dyDescent="0.25">
      <c r="C1282" s="6">
        <v>1275</v>
      </c>
      <c r="D1282" s="37">
        <v>43818</v>
      </c>
      <c r="E1282" s="39">
        <v>16.058</v>
      </c>
      <c r="F1282" s="39">
        <v>1.9852104862243956</v>
      </c>
      <c r="G1282" s="39">
        <v>45.674214339199665</v>
      </c>
      <c r="H1282" s="39">
        <v>60.434572401487294</v>
      </c>
      <c r="I1282" s="10">
        <v>0</v>
      </c>
      <c r="J1282" s="40">
        <v>0</v>
      </c>
      <c r="K1282" s="40">
        <v>0</v>
      </c>
      <c r="L1282" s="40">
        <v>0</v>
      </c>
      <c r="M1282" s="40">
        <v>0</v>
      </c>
      <c r="N1282" s="40">
        <v>0</v>
      </c>
      <c r="O1282" s="40">
        <v>0</v>
      </c>
      <c r="P1282" s="40">
        <v>0</v>
      </c>
      <c r="Q1282" s="40">
        <v>0</v>
      </c>
      <c r="R1282" s="40">
        <v>0</v>
      </c>
      <c r="S1282" s="40">
        <v>0</v>
      </c>
      <c r="T1282" s="29">
        <f t="array" aca="1" ref="T1282" ca="1">+fair_value_gap(OFFSET(S1281,0,0,-1*$I$5,-1*$Z$1),OFFSET(E1281,0,0,-1*$I$5,1),F1282:S1282,0)</f>
        <v>15.7202144006802</v>
      </c>
      <c r="U1282" s="9" cm="1">
        <f t="array" aca="1" ref="U1282" ca="1">z_score_diff(OFFSET(T1282,0,0,$I$5*-1,1),OFFSET(E1282,0,0,$I$5*-1,1))</f>
        <v>-0.32616460468797559</v>
      </c>
      <c r="V1282" s="9">
        <f t="shared" ca="1" si="159"/>
        <v>5.220889896206405E-2</v>
      </c>
      <c r="W1282" s="17">
        <f t="shared" ca="1" si="156"/>
        <v>-0.17566794104606129</v>
      </c>
      <c r="X1282" s="13">
        <f t="shared" ca="1" si="157"/>
        <v>0</v>
      </c>
      <c r="Y1282" s="13">
        <f t="shared" ca="1" si="158"/>
        <v>0</v>
      </c>
      <c r="Z1282">
        <f t="shared" ca="1" si="160"/>
        <v>0</v>
      </c>
      <c r="AA1282">
        <f t="shared" ca="1" si="161"/>
        <v>1</v>
      </c>
      <c r="AB1282" s="24">
        <f t="shared" ca="1" si="162"/>
        <v>0</v>
      </c>
      <c r="AC1282" s="24">
        <f t="shared" ca="1" si="163"/>
        <v>-0.17566794104606129</v>
      </c>
    </row>
    <row r="1283" spans="3:29" x14ac:dyDescent="0.25">
      <c r="C1283" s="6">
        <v>1276</v>
      </c>
      <c r="D1283" s="37">
        <v>43819</v>
      </c>
      <c r="E1283" s="39">
        <v>16.116</v>
      </c>
      <c r="F1283" s="39">
        <v>2.0015306336403915</v>
      </c>
      <c r="G1283" s="39">
        <v>46.336632295919124</v>
      </c>
      <c r="H1283" s="39">
        <v>59.976027062161897</v>
      </c>
      <c r="I1283" s="10">
        <v>0</v>
      </c>
      <c r="J1283" s="40">
        <v>0</v>
      </c>
      <c r="K1283" s="40">
        <v>0</v>
      </c>
      <c r="L1283" s="40">
        <v>0</v>
      </c>
      <c r="M1283" s="40">
        <v>0</v>
      </c>
      <c r="N1283" s="40">
        <v>0</v>
      </c>
      <c r="O1283" s="40">
        <v>0</v>
      </c>
      <c r="P1283" s="40">
        <v>0</v>
      </c>
      <c r="Q1283" s="40">
        <v>0</v>
      </c>
      <c r="R1283" s="40">
        <v>0</v>
      </c>
      <c r="S1283" s="40">
        <v>0</v>
      </c>
      <c r="T1283" s="29">
        <f t="array" aca="1" ref="T1283" ca="1">+fair_value_gap(OFFSET(S1282,0,0,-1*$I$5,-1*$Z$1),OFFSET(E1282,0,0,-1*$I$5,1),F1283:S1283,0)</f>
        <v>15.881059670513</v>
      </c>
      <c r="U1283" s="9" cm="1">
        <f t="array" aca="1" ref="U1283" ca="1">z_score_diff(OFFSET(T1283,0,0,$I$5*-1,1),OFFSET(E1283,0,0,$I$5*-1,1))</f>
        <v>-0.23716263986225439</v>
      </c>
      <c r="V1283" s="9">
        <f t="shared" ca="1" si="159"/>
        <v>4.6318608887237316E-2</v>
      </c>
      <c r="W1283" s="17">
        <f t="shared" ca="1" si="156"/>
        <v>-0.15485416209334374</v>
      </c>
      <c r="X1283" s="13">
        <f t="shared" ca="1" si="157"/>
        <v>0</v>
      </c>
      <c r="Y1283" s="13">
        <f t="shared" ca="1" si="158"/>
        <v>0</v>
      </c>
      <c r="Z1283">
        <f t="shared" ca="1" si="160"/>
        <v>0</v>
      </c>
      <c r="AA1283">
        <f t="shared" ca="1" si="161"/>
        <v>1</v>
      </c>
      <c r="AB1283" s="24">
        <f t="shared" ca="1" si="162"/>
        <v>0</v>
      </c>
      <c r="AC1283" s="24">
        <f t="shared" ca="1" si="163"/>
        <v>-0.15485416209334374</v>
      </c>
    </row>
    <row r="1284" spans="3:29" x14ac:dyDescent="0.25">
      <c r="C1284" s="6">
        <v>1277</v>
      </c>
      <c r="D1284" s="37">
        <v>43822</v>
      </c>
      <c r="E1284" s="39">
        <v>15.708</v>
      </c>
      <c r="F1284" s="39">
        <v>1.9927629405370348</v>
      </c>
      <c r="G1284" s="39">
        <v>45.499654889410081</v>
      </c>
      <c r="H1284" s="39">
        <v>60.672047533411025</v>
      </c>
      <c r="I1284" s="10">
        <v>0</v>
      </c>
      <c r="J1284" s="40">
        <v>0</v>
      </c>
      <c r="K1284" s="40">
        <v>0</v>
      </c>
      <c r="L1284" s="40">
        <v>0</v>
      </c>
      <c r="M1284" s="40">
        <v>0</v>
      </c>
      <c r="N1284" s="40">
        <v>0</v>
      </c>
      <c r="O1284" s="40">
        <v>0</v>
      </c>
      <c r="P1284" s="40">
        <v>0</v>
      </c>
      <c r="Q1284" s="40">
        <v>0</v>
      </c>
      <c r="R1284" s="40">
        <v>0</v>
      </c>
      <c r="S1284" s="40">
        <v>0</v>
      </c>
      <c r="T1284" s="29">
        <f t="array" aca="1" ref="T1284" ca="1">+fair_value_gap(OFFSET(S1283,0,0,-1*$I$5,-1*$Z$1),OFFSET(E1283,0,0,-1*$I$5,1),F1284:S1284,0)</f>
        <v>15.711862051808076</v>
      </c>
      <c r="U1284" s="9" cm="1">
        <f t="array" aca="1" ref="U1284" ca="1">z_score_diff(OFFSET(T1284,0,0,$I$5*-1,1),OFFSET(E1284,0,0,$I$5*-1,1))</f>
        <v>-5.9759951443790538E-2</v>
      </c>
      <c r="V1284" s="9">
        <f t="shared" ca="1" si="159"/>
        <v>4.5481246496902002E-2</v>
      </c>
      <c r="W1284" s="17">
        <f t="shared" ca="1" si="156"/>
        <v>-0.11048069477394305</v>
      </c>
      <c r="X1284" s="13">
        <f t="shared" ca="1" si="157"/>
        <v>0</v>
      </c>
      <c r="Y1284" s="13">
        <f t="shared" ca="1" si="158"/>
        <v>0</v>
      </c>
      <c r="Z1284">
        <f t="shared" ca="1" si="160"/>
        <v>0</v>
      </c>
      <c r="AA1284">
        <f t="shared" ca="1" si="161"/>
        <v>1</v>
      </c>
      <c r="AB1284" s="24">
        <f t="shared" ca="1" si="162"/>
        <v>0</v>
      </c>
      <c r="AC1284" s="24">
        <f t="shared" ca="1" si="163"/>
        <v>-0.11048069477394305</v>
      </c>
    </row>
    <row r="1285" spans="3:29" x14ac:dyDescent="0.25">
      <c r="C1285" s="6">
        <v>1278</v>
      </c>
      <c r="D1285" s="37">
        <v>43823</v>
      </c>
      <c r="E1285" s="39">
        <v>15.468999999999999</v>
      </c>
      <c r="F1285" s="39">
        <v>1.9901070729976511</v>
      </c>
      <c r="G1285" s="39">
        <v>44.617409717850393</v>
      </c>
      <c r="H1285" s="39">
        <v>60.837922363129955</v>
      </c>
      <c r="I1285" s="10">
        <v>0</v>
      </c>
      <c r="J1285" s="40">
        <v>0</v>
      </c>
      <c r="K1285" s="40">
        <v>0</v>
      </c>
      <c r="L1285" s="40">
        <v>0</v>
      </c>
      <c r="M1285" s="40">
        <v>0</v>
      </c>
      <c r="N1285" s="40">
        <v>0</v>
      </c>
      <c r="O1285" s="40">
        <v>0</v>
      </c>
      <c r="P1285" s="40">
        <v>0</v>
      </c>
      <c r="Q1285" s="40">
        <v>0</v>
      </c>
      <c r="R1285" s="40">
        <v>0</v>
      </c>
      <c r="S1285" s="40">
        <v>0</v>
      </c>
      <c r="T1285" s="29">
        <f t="array" aca="1" ref="T1285" ca="1">+fair_value_gap(OFFSET(S1284,0,0,-1*$I$5,-1*$Z$1),OFFSET(E1284,0,0,-1*$I$5,1),F1285:S1285,0)</f>
        <v>15.48339535917477</v>
      </c>
      <c r="U1285" s="9" cm="1">
        <f t="array" aca="1" ref="U1285" ca="1">z_score_diff(OFFSET(T1285,0,0,$I$5*-1,1),OFFSET(E1285,0,0,$I$5*-1,1))</f>
        <v>-5.5733413400161247E-2</v>
      </c>
      <c r="V1285" s="9">
        <f t="shared" ca="1" si="159"/>
        <v>4.5913623243576181E-2</v>
      </c>
      <c r="W1285" s="17">
        <f t="shared" ca="1" si="156"/>
        <v>-8.6230060402127301E-2</v>
      </c>
      <c r="X1285" s="13">
        <f t="shared" ca="1" si="157"/>
        <v>0</v>
      </c>
      <c r="Y1285" s="13">
        <f t="shared" ca="1" si="158"/>
        <v>0</v>
      </c>
      <c r="Z1285">
        <f t="shared" ca="1" si="160"/>
        <v>0</v>
      </c>
      <c r="AA1285">
        <f t="shared" ca="1" si="161"/>
        <v>1</v>
      </c>
      <c r="AB1285" s="24">
        <f t="shared" ca="1" si="162"/>
        <v>0</v>
      </c>
      <c r="AC1285" s="24">
        <f t="shared" ca="1" si="163"/>
        <v>-8.6230060402127301E-2</v>
      </c>
    </row>
    <row r="1286" spans="3:29" x14ac:dyDescent="0.25">
      <c r="C1286" s="6">
        <v>1279</v>
      </c>
      <c r="D1286" s="37">
        <v>43826</v>
      </c>
      <c r="E1286" s="39">
        <v>15.422000000000001</v>
      </c>
      <c r="F1286" s="39">
        <v>1.9765276514659391</v>
      </c>
      <c r="G1286" s="39">
        <v>44.324337976234069</v>
      </c>
      <c r="H1286" s="39">
        <v>60.932830973106405</v>
      </c>
      <c r="I1286" s="10">
        <v>0</v>
      </c>
      <c r="J1286" s="40">
        <v>0</v>
      </c>
      <c r="K1286" s="40">
        <v>0</v>
      </c>
      <c r="L1286" s="40">
        <v>0</v>
      </c>
      <c r="M1286" s="40">
        <v>0</v>
      </c>
      <c r="N1286" s="40">
        <v>0</v>
      </c>
      <c r="O1286" s="40">
        <v>0</v>
      </c>
      <c r="P1286" s="40">
        <v>0</v>
      </c>
      <c r="Q1286" s="40">
        <v>0</v>
      </c>
      <c r="R1286" s="40">
        <v>0</v>
      </c>
      <c r="S1286" s="40">
        <v>0</v>
      </c>
      <c r="T1286" s="29">
        <f t="array" aca="1" ref="T1286" ca="1">+fair_value_gap(OFFSET(S1285,0,0,-1*$I$5,-1*$Z$1),OFFSET(E1285,0,0,-1*$I$5,1),F1286:S1286,0)</f>
        <v>15.404894292383453</v>
      </c>
      <c r="U1286" s="9" cm="1">
        <f t="array" aca="1" ref="U1286" ca="1">z_score_diff(OFFSET(T1286,0,0,$I$5*-1,1),OFFSET(E1286,0,0,$I$5*-1,1))</f>
        <v>-7.8867093791771925E-2</v>
      </c>
      <c r="V1286" s="9">
        <f t="shared" ca="1" si="159"/>
        <v>4.792181247009189E-2</v>
      </c>
      <c r="W1286" s="17">
        <f t="shared" ca="1" si="156"/>
        <v>-5.813534163262734E-2</v>
      </c>
      <c r="X1286" s="13">
        <f t="shared" ca="1" si="157"/>
        <v>0</v>
      </c>
      <c r="Y1286" s="13">
        <f t="shared" ca="1" si="158"/>
        <v>0</v>
      </c>
      <c r="Z1286">
        <f t="shared" ca="1" si="160"/>
        <v>0</v>
      </c>
      <c r="AA1286">
        <f t="shared" ca="1" si="161"/>
        <v>1</v>
      </c>
      <c r="AB1286" s="24">
        <f t="shared" ca="1" si="162"/>
        <v>0</v>
      </c>
      <c r="AC1286" s="24">
        <f t="shared" ca="1" si="163"/>
        <v>-5.813534163262734E-2</v>
      </c>
    </row>
    <row r="1287" spans="3:29" x14ac:dyDescent="0.25">
      <c r="C1287" s="6">
        <v>1280</v>
      </c>
      <c r="D1287" s="37">
        <v>43829</v>
      </c>
      <c r="E1287" s="39">
        <v>15.148</v>
      </c>
      <c r="F1287" s="39">
        <v>2.0054313405457438</v>
      </c>
      <c r="G1287" s="39">
        <v>43.569229920755021</v>
      </c>
      <c r="H1287" s="39">
        <v>59.834605916756885</v>
      </c>
      <c r="I1287" s="10">
        <v>0</v>
      </c>
      <c r="J1287" s="40">
        <v>0</v>
      </c>
      <c r="K1287" s="40">
        <v>0</v>
      </c>
      <c r="L1287" s="40">
        <v>0</v>
      </c>
      <c r="M1287" s="40">
        <v>0</v>
      </c>
      <c r="N1287" s="40">
        <v>0</v>
      </c>
      <c r="O1287" s="40">
        <v>0</v>
      </c>
      <c r="P1287" s="40">
        <v>0</v>
      </c>
      <c r="Q1287" s="40">
        <v>0</v>
      </c>
      <c r="R1287" s="40">
        <v>0</v>
      </c>
      <c r="S1287" s="40">
        <v>0</v>
      </c>
      <c r="T1287" s="29">
        <f t="array" aca="1" ref="T1287" ca="1">+fair_value_gap(OFFSET(S1286,0,0,-1*$I$5,-1*$Z$1),OFFSET(E1286,0,0,-1*$I$5,1),F1287:S1287,0)</f>
        <v>15.15916635143512</v>
      </c>
      <c r="U1287" s="9" cm="1">
        <f t="array" aca="1" ref="U1287" ca="1">z_score_diff(OFFSET(T1287,0,0,$I$5*-1,1),OFFSET(E1287,0,0,$I$5*-1,1))</f>
        <v>-6.1516879378693545E-2</v>
      </c>
      <c r="V1287" s="9">
        <f t="shared" ca="1" si="159"/>
        <v>4.7840566062682846E-2</v>
      </c>
      <c r="W1287" s="17">
        <f t="shared" ref="W1287:W1350" ca="1" si="164">+LN(OFFSET(E1287,$W$3,0,1,1)/E1287)</f>
        <v>-6.9851439052817835E-2</v>
      </c>
      <c r="X1287" s="13">
        <f t="shared" ca="1" si="157"/>
        <v>0</v>
      </c>
      <c r="Y1287" s="13">
        <f t="shared" ca="1" si="158"/>
        <v>0</v>
      </c>
      <c r="Z1287">
        <f t="shared" ca="1" si="160"/>
        <v>0</v>
      </c>
      <c r="AA1287">
        <f t="shared" ca="1" si="161"/>
        <v>1</v>
      </c>
      <c r="AB1287" s="24">
        <f t="shared" ca="1" si="162"/>
        <v>0</v>
      </c>
      <c r="AC1287" s="24">
        <f t="shared" ca="1" si="163"/>
        <v>-6.9851439052817835E-2</v>
      </c>
    </row>
    <row r="1288" spans="3:29" x14ac:dyDescent="0.25">
      <c r="C1288" s="6">
        <v>1281</v>
      </c>
      <c r="D1288" s="37">
        <v>43830</v>
      </c>
      <c r="E1288" s="39">
        <v>14.984999999999999</v>
      </c>
      <c r="F1288" s="39">
        <v>2.0089023640645611</v>
      </c>
      <c r="G1288" s="39">
        <v>41.892366524591189</v>
      </c>
      <c r="H1288" s="39">
        <v>60.560593398852156</v>
      </c>
      <c r="I1288" s="10">
        <v>0</v>
      </c>
      <c r="J1288" s="40">
        <v>0</v>
      </c>
      <c r="K1288" s="40">
        <v>0</v>
      </c>
      <c r="L1288" s="40">
        <v>0</v>
      </c>
      <c r="M1288" s="40">
        <v>0</v>
      </c>
      <c r="N1288" s="40">
        <v>0</v>
      </c>
      <c r="O1288" s="40">
        <v>0</v>
      </c>
      <c r="P1288" s="40">
        <v>0</v>
      </c>
      <c r="Q1288" s="40">
        <v>0</v>
      </c>
      <c r="R1288" s="40">
        <v>0</v>
      </c>
      <c r="S1288" s="40">
        <v>0</v>
      </c>
      <c r="T1288" s="29">
        <f t="array" aca="1" ref="T1288" ca="1">+fair_value_gap(OFFSET(S1287,0,0,-1*$I$5,-1*$Z$1),OFFSET(E1287,0,0,-1*$I$5,1),F1288:S1288,0)</f>
        <v>14.748593552945165</v>
      </c>
      <c r="U1288" s="9" cm="1">
        <f t="array" aca="1" ref="U1288" ca="1">z_score_diff(OFFSET(T1288,0,0,$I$5*-1,1),OFFSET(E1288,0,0,$I$5*-1,1))</f>
        <v>-0.23721411384127844</v>
      </c>
      <c r="V1288" s="9">
        <f t="shared" ca="1" si="159"/>
        <v>4.2472947198538079E-2</v>
      </c>
      <c r="W1288" s="17">
        <f t="shared" ca="1" si="164"/>
        <v>-7.0137527499755992E-2</v>
      </c>
      <c r="X1288" s="13">
        <f t="shared" ca="1" si="157"/>
        <v>0</v>
      </c>
      <c r="Y1288" s="13">
        <f t="shared" ca="1" si="158"/>
        <v>0</v>
      </c>
      <c r="Z1288">
        <f t="shared" ca="1" si="160"/>
        <v>0</v>
      </c>
      <c r="AA1288">
        <f t="shared" ca="1" si="161"/>
        <v>1</v>
      </c>
      <c r="AB1288" s="24">
        <f t="shared" ca="1" si="162"/>
        <v>0</v>
      </c>
      <c r="AC1288" s="24">
        <f t="shared" ca="1" si="163"/>
        <v>-7.0137527499755992E-2</v>
      </c>
    </row>
    <row r="1289" spans="3:29" x14ac:dyDescent="0.25">
      <c r="C1289" s="6">
        <v>1282</v>
      </c>
      <c r="D1289" s="37">
        <v>43832</v>
      </c>
      <c r="E1289" s="39">
        <v>14.885999999999999</v>
      </c>
      <c r="F1289" s="39">
        <v>2.017182896161458</v>
      </c>
      <c r="G1289" s="39">
        <v>41.664355831623318</v>
      </c>
      <c r="H1289" s="39">
        <v>60.463475293193675</v>
      </c>
      <c r="I1289" s="10">
        <v>1</v>
      </c>
      <c r="J1289" s="40">
        <v>0</v>
      </c>
      <c r="K1289" s="40">
        <v>0</v>
      </c>
      <c r="L1289" s="40">
        <v>0</v>
      </c>
      <c r="M1289" s="40">
        <v>0</v>
      </c>
      <c r="N1289" s="40">
        <v>0</v>
      </c>
      <c r="O1289" s="40">
        <v>0</v>
      </c>
      <c r="P1289" s="40">
        <v>0</v>
      </c>
      <c r="Q1289" s="40">
        <v>0</v>
      </c>
      <c r="R1289" s="40">
        <v>0</v>
      </c>
      <c r="S1289" s="40">
        <v>0</v>
      </c>
      <c r="T1289" s="29">
        <f t="array" aca="1" ref="T1289" ca="1">+fair_value_gap(OFFSET(S1288,0,0,-1*$I$5,-1*$Z$1),OFFSET(E1288,0,0,-1*$I$5,1),F1289:S1289,0)</f>
        <v>15.187815851959749</v>
      </c>
      <c r="U1289" s="9" cm="1">
        <f t="array" aca="1" ref="U1289" ca="1">z_score_diff(OFFSET(T1289,0,0,$I$5*-1,1),OFFSET(E1289,0,0,$I$5*-1,1))</f>
        <v>0.14610227295288647</v>
      </c>
      <c r="V1289" s="9">
        <f t="shared" ca="1" si="159"/>
        <v>4.8086609673360495E-2</v>
      </c>
      <c r="W1289" s="17">
        <f t="shared" ca="1" si="164"/>
        <v>-6.8316529750312591E-2</v>
      </c>
      <c r="X1289" s="13">
        <f t="shared" ref="X1289:X1352" ca="1" si="165">+X1288</f>
        <v>0</v>
      </c>
      <c r="Y1289" s="13">
        <f t="shared" ref="Y1289:Y1352" ca="1" si="166">+Y1288</f>
        <v>0</v>
      </c>
      <c r="Z1289">
        <f t="shared" ca="1" si="160"/>
        <v>0</v>
      </c>
      <c r="AA1289">
        <f t="shared" ca="1" si="161"/>
        <v>1</v>
      </c>
      <c r="AB1289" s="24">
        <f t="shared" ca="1" si="162"/>
        <v>0</v>
      </c>
      <c r="AC1289" s="24">
        <f t="shared" ca="1" si="163"/>
        <v>-6.8316529750312591E-2</v>
      </c>
    </row>
    <row r="1290" spans="3:29" x14ac:dyDescent="0.25">
      <c r="C1290" s="6">
        <v>1283</v>
      </c>
      <c r="D1290" s="37">
        <v>43833</v>
      </c>
      <c r="E1290" s="39">
        <v>15.541</v>
      </c>
      <c r="F1290" s="39">
        <v>2.0283535343799848</v>
      </c>
      <c r="G1290" s="39">
        <v>43.742830812348778</v>
      </c>
      <c r="H1290" s="39">
        <v>61.128462679944747</v>
      </c>
      <c r="I1290" s="10">
        <v>1</v>
      </c>
      <c r="J1290" s="40">
        <v>0</v>
      </c>
      <c r="K1290" s="40">
        <v>0</v>
      </c>
      <c r="L1290" s="40">
        <v>0</v>
      </c>
      <c r="M1290" s="40">
        <v>0</v>
      </c>
      <c r="N1290" s="40">
        <v>0</v>
      </c>
      <c r="O1290" s="40">
        <v>0</v>
      </c>
      <c r="P1290" s="40">
        <v>0</v>
      </c>
      <c r="Q1290" s="40">
        <v>0</v>
      </c>
      <c r="R1290" s="40">
        <v>0</v>
      </c>
      <c r="S1290" s="40">
        <v>0</v>
      </c>
      <c r="T1290" s="29">
        <f t="array" aca="1" ref="T1290" ca="1">+fair_value_gap(OFFSET(S1289,0,0,-1*$I$5,-1*$Z$1),OFFSET(E1289,0,0,-1*$I$5,1),F1290:S1290,0)</f>
        <v>15.717431948121941</v>
      </c>
      <c r="U1290" s="9" cm="1">
        <f t="array" aca="1" ref="U1290" ca="1">z_score_diff(OFFSET(T1290,0,0,$I$5*-1,1),OFFSET(E1290,0,0,$I$5*-1,1))</f>
        <v>6.6340979023976399E-2</v>
      </c>
      <c r="V1290" s="9">
        <f t="shared" ca="1" si="159"/>
        <v>4.7882169385869033E-2</v>
      </c>
      <c r="W1290" s="17">
        <f t="shared" ca="1" si="164"/>
        <v>-0.12879024357712401</v>
      </c>
      <c r="X1290" s="13">
        <f t="shared" ca="1" si="165"/>
        <v>0</v>
      </c>
      <c r="Y1290" s="13">
        <f t="shared" ca="1" si="166"/>
        <v>0</v>
      </c>
      <c r="Z1290">
        <f t="shared" ca="1" si="160"/>
        <v>0</v>
      </c>
      <c r="AA1290">
        <f t="shared" ca="1" si="161"/>
        <v>1</v>
      </c>
      <c r="AB1290" s="24">
        <f t="shared" ca="1" si="162"/>
        <v>0</v>
      </c>
      <c r="AC1290" s="24">
        <f t="shared" ca="1" si="163"/>
        <v>-0.12879024357712401</v>
      </c>
    </row>
    <row r="1291" spans="3:29" x14ac:dyDescent="0.25">
      <c r="C1291" s="6">
        <v>1284</v>
      </c>
      <c r="D1291" s="37">
        <v>43836</v>
      </c>
      <c r="E1291" s="39">
        <v>15.241</v>
      </c>
      <c r="F1291" s="39">
        <v>2.0206443216000385</v>
      </c>
      <c r="G1291" s="39">
        <v>42.527984406790623</v>
      </c>
      <c r="H1291" s="39">
        <v>61.095284413260266</v>
      </c>
      <c r="I1291" s="10">
        <v>1</v>
      </c>
      <c r="J1291" s="40">
        <v>0</v>
      </c>
      <c r="K1291" s="40">
        <v>0</v>
      </c>
      <c r="L1291" s="40">
        <v>0</v>
      </c>
      <c r="M1291" s="40">
        <v>0</v>
      </c>
      <c r="N1291" s="40">
        <v>0</v>
      </c>
      <c r="O1291" s="40">
        <v>0</v>
      </c>
      <c r="P1291" s="40">
        <v>0</v>
      </c>
      <c r="Q1291" s="40">
        <v>0</v>
      </c>
      <c r="R1291" s="40">
        <v>0</v>
      </c>
      <c r="S1291" s="40">
        <v>0</v>
      </c>
      <c r="T1291" s="29">
        <f t="array" aca="1" ref="T1291" ca="1">+fair_value_gap(OFFSET(S1290,0,0,-1*$I$5,-1*$Z$1),OFFSET(E1290,0,0,-1*$I$5,1),F1291:S1291,0)</f>
        <v>15.359557081157469</v>
      </c>
      <c r="U1291" s="9" cm="1">
        <f t="array" aca="1" ref="U1291" ca="1">z_score_diff(OFFSET(T1291,0,0,$I$5*-1,1),OFFSET(E1291,0,0,$I$5*-1,1))</f>
        <v>1.818305409180887E-2</v>
      </c>
      <c r="V1291" s="9">
        <f t="shared" ref="V1291:V1354" ca="1" si="167">+IF(ISERROR(AVERAGE(OFFSET(U1291,0,0,$V$5*-1,1))),"",AVERAGE(OFFSET(U1291,0,0,$V$5*-1,1)))</f>
        <v>4.491301339767706E-2</v>
      </c>
      <c r="W1291" s="17">
        <f t="shared" ca="1" si="164"/>
        <v>-0.14840425824402748</v>
      </c>
      <c r="X1291" s="13">
        <f t="shared" ca="1" si="165"/>
        <v>0</v>
      </c>
      <c r="Y1291" s="13">
        <f t="shared" ca="1" si="166"/>
        <v>0</v>
      </c>
      <c r="Z1291">
        <f t="shared" ref="Z1291:Z1354" ca="1" si="168">+IF(V1291="","",IF(V1291&lt;X1291,1,0))</f>
        <v>0</v>
      </c>
      <c r="AA1291">
        <f t="shared" ref="AA1291:AA1354" ca="1" si="169">+IF(V1291="","",IF(V1291&gt;Y1291,1,0))</f>
        <v>1</v>
      </c>
      <c r="AB1291" s="24">
        <f t="shared" ref="AB1291:AB1354" ca="1" si="170">+IF(ISERROR(Z1291*W1291),"",Z1291*W1291)</f>
        <v>0</v>
      </c>
      <c r="AC1291" s="24">
        <f t="shared" ref="AC1291:AC1354" ca="1" si="171">+IF(ISERROR(AA1291*W1291),"",AA1291*W1291)</f>
        <v>-0.14840425824402748</v>
      </c>
    </row>
    <row r="1292" spans="3:29" x14ac:dyDescent="0.25">
      <c r="C1292" s="6">
        <v>1285</v>
      </c>
      <c r="D1292" s="37">
        <v>43837</v>
      </c>
      <c r="E1292" s="39">
        <v>15.018000000000001</v>
      </c>
      <c r="F1292" s="39">
        <v>2.0290232881473758</v>
      </c>
      <c r="G1292" s="39">
        <v>41.944273046818125</v>
      </c>
      <c r="H1292" s="39">
        <v>65.302398331595413</v>
      </c>
      <c r="I1292" s="10">
        <v>1</v>
      </c>
      <c r="J1292" s="40">
        <v>0</v>
      </c>
      <c r="K1292" s="40">
        <v>0</v>
      </c>
      <c r="L1292" s="40">
        <v>0</v>
      </c>
      <c r="M1292" s="40">
        <v>0</v>
      </c>
      <c r="N1292" s="40">
        <v>0</v>
      </c>
      <c r="O1292" s="40">
        <v>0</v>
      </c>
      <c r="P1292" s="40">
        <v>0</v>
      </c>
      <c r="Q1292" s="40">
        <v>0</v>
      </c>
      <c r="R1292" s="40">
        <v>0</v>
      </c>
      <c r="S1292" s="40">
        <v>0</v>
      </c>
      <c r="T1292" s="29">
        <f t="array" aca="1" ref="T1292" ca="1">+fair_value_gap(OFFSET(S1291,0,0,-1*$I$5,-1*$Z$1),OFFSET(E1291,0,0,-1*$I$5,1),F1292:S1292,0)</f>
        <v>15.410440353411444</v>
      </c>
      <c r="U1292" s="9" cm="1">
        <f t="array" aca="1" ref="U1292" ca="1">z_score_diff(OFFSET(T1292,0,0,$I$5*-1,1),OFFSET(E1292,0,0,$I$5*-1,1))</f>
        <v>0.19948387812750168</v>
      </c>
      <c r="V1292" s="9">
        <f t="shared" ca="1" si="167"/>
        <v>4.8095777877885923E-2</v>
      </c>
      <c r="W1292" s="17">
        <f t="shared" ca="1" si="164"/>
        <v>-0.14207183945689772</v>
      </c>
      <c r="X1292" s="13">
        <f t="shared" ca="1" si="165"/>
        <v>0</v>
      </c>
      <c r="Y1292" s="13">
        <f t="shared" ca="1" si="166"/>
        <v>0</v>
      </c>
      <c r="Z1292">
        <f t="shared" ca="1" si="168"/>
        <v>0</v>
      </c>
      <c r="AA1292">
        <f t="shared" ca="1" si="169"/>
        <v>1</v>
      </c>
      <c r="AB1292" s="24">
        <f t="shared" ca="1" si="170"/>
        <v>0</v>
      </c>
      <c r="AC1292" s="24">
        <f t="shared" ca="1" si="171"/>
        <v>-0.14207183945689772</v>
      </c>
    </row>
    <row r="1293" spans="3:29" x14ac:dyDescent="0.25">
      <c r="C1293" s="6">
        <v>1286</v>
      </c>
      <c r="D1293" s="37">
        <v>43838</v>
      </c>
      <c r="E1293" s="39">
        <v>15.196</v>
      </c>
      <c r="F1293" s="39">
        <v>2.0347139282881033</v>
      </c>
      <c r="G1293" s="39">
        <v>42.478867631450107</v>
      </c>
      <c r="H1293" s="39">
        <v>65.252072635974514</v>
      </c>
      <c r="I1293" s="10">
        <v>1</v>
      </c>
      <c r="J1293" s="40">
        <v>0</v>
      </c>
      <c r="K1293" s="40">
        <v>0</v>
      </c>
      <c r="L1293" s="40">
        <v>0</v>
      </c>
      <c r="M1293" s="40">
        <v>0</v>
      </c>
      <c r="N1293" s="40">
        <v>0</v>
      </c>
      <c r="O1293" s="40">
        <v>0</v>
      </c>
      <c r="P1293" s="40">
        <v>0</v>
      </c>
      <c r="Q1293" s="40">
        <v>0</v>
      </c>
      <c r="R1293" s="40">
        <v>0</v>
      </c>
      <c r="S1293" s="40">
        <v>0</v>
      </c>
      <c r="T1293" s="29">
        <f t="array" aca="1" ref="T1293" ca="1">+fair_value_gap(OFFSET(S1292,0,0,-1*$I$5,-1*$Z$1),OFFSET(E1292,0,0,-1*$I$5,1),F1293:S1293,0)</f>
        <v>15.498898868155653</v>
      </c>
      <c r="U1293" s="9" cm="1">
        <f t="array" aca="1" ref="U1293" ca="1">z_score_diff(OFFSET(T1293,0,0,$I$5*-1,1),OFFSET(E1293,0,0,$I$5*-1,1))</f>
        <v>0.13570228509483195</v>
      </c>
      <c r="V1293" s="9">
        <f t="shared" ca="1" si="167"/>
        <v>5.2744018171431838E-2</v>
      </c>
      <c r="W1293" s="17">
        <f t="shared" ca="1" si="164"/>
        <v>-0.15078922171048012</v>
      </c>
      <c r="X1293" s="13">
        <f t="shared" ca="1" si="165"/>
        <v>0</v>
      </c>
      <c r="Y1293" s="13">
        <f t="shared" ca="1" si="166"/>
        <v>0</v>
      </c>
      <c r="Z1293">
        <f t="shared" ca="1" si="168"/>
        <v>0</v>
      </c>
      <c r="AA1293">
        <f t="shared" ca="1" si="169"/>
        <v>1</v>
      </c>
      <c r="AB1293" s="24">
        <f t="shared" ca="1" si="170"/>
        <v>0</v>
      </c>
      <c r="AC1293" s="24">
        <f t="shared" ca="1" si="171"/>
        <v>-0.15078922171048012</v>
      </c>
    </row>
    <row r="1294" spans="3:29" x14ac:dyDescent="0.25">
      <c r="C1294" s="6">
        <v>1287</v>
      </c>
      <c r="D1294" s="37">
        <v>43839</v>
      </c>
      <c r="E1294" s="39">
        <v>15.445</v>
      </c>
      <c r="F1294" s="39">
        <v>2.0396435550664522</v>
      </c>
      <c r="G1294" s="39">
        <v>43.074945318171935</v>
      </c>
      <c r="H1294" s="39">
        <v>66.665562114078782</v>
      </c>
      <c r="I1294" s="10">
        <v>1</v>
      </c>
      <c r="J1294" s="40">
        <v>0</v>
      </c>
      <c r="K1294" s="40">
        <v>0</v>
      </c>
      <c r="L1294" s="40">
        <v>0</v>
      </c>
      <c r="M1294" s="40">
        <v>0</v>
      </c>
      <c r="N1294" s="40">
        <v>0</v>
      </c>
      <c r="O1294" s="40">
        <v>0</v>
      </c>
      <c r="P1294" s="40">
        <v>0</v>
      </c>
      <c r="Q1294" s="40">
        <v>0</v>
      </c>
      <c r="R1294" s="40">
        <v>0</v>
      </c>
      <c r="S1294" s="40">
        <v>0</v>
      </c>
      <c r="T1294" s="29">
        <f t="array" aca="1" ref="T1294" ca="1">+fair_value_gap(OFFSET(S1293,0,0,-1*$I$5,-1*$Z$1),OFFSET(E1293,0,0,-1*$I$5,1),F1294:S1294,0)</f>
        <v>15.69475673015363</v>
      </c>
      <c r="U1294" s="9" cm="1">
        <f t="array" aca="1" ref="U1294" ca="1">z_score_diff(OFFSET(T1294,0,0,$I$5*-1,1),OFFSET(E1294,0,0,$I$5*-1,1))</f>
        <v>0.10119997944783909</v>
      </c>
      <c r="V1294" s="9">
        <f t="shared" ca="1" si="167"/>
        <v>5.5335104829308701E-2</v>
      </c>
      <c r="W1294" s="17">
        <f t="shared" ca="1" si="164"/>
        <v>-0.18940387742115633</v>
      </c>
      <c r="X1294" s="13">
        <f t="shared" ca="1" si="165"/>
        <v>0</v>
      </c>
      <c r="Y1294" s="13">
        <f t="shared" ca="1" si="166"/>
        <v>0</v>
      </c>
      <c r="Z1294">
        <f t="shared" ca="1" si="168"/>
        <v>0</v>
      </c>
      <c r="AA1294">
        <f t="shared" ca="1" si="169"/>
        <v>1</v>
      </c>
      <c r="AB1294" s="24">
        <f t="shared" ca="1" si="170"/>
        <v>0</v>
      </c>
      <c r="AC1294" s="24">
        <f t="shared" ca="1" si="171"/>
        <v>-0.18940387742115633</v>
      </c>
    </row>
    <row r="1295" spans="3:29" x14ac:dyDescent="0.25">
      <c r="C1295" s="6">
        <v>1288</v>
      </c>
      <c r="D1295" s="37">
        <v>43840</v>
      </c>
      <c r="E1295" s="39">
        <v>15.305999999999999</v>
      </c>
      <c r="F1295" s="39">
        <v>2.035290562330665</v>
      </c>
      <c r="G1295" s="39">
        <v>42.459192062890878</v>
      </c>
      <c r="H1295" s="39">
        <v>68.583282748626374</v>
      </c>
      <c r="I1295" s="10">
        <v>1</v>
      </c>
      <c r="J1295" s="40">
        <v>0</v>
      </c>
      <c r="K1295" s="40">
        <v>0</v>
      </c>
      <c r="L1295" s="40">
        <v>0</v>
      </c>
      <c r="M1295" s="40">
        <v>0</v>
      </c>
      <c r="N1295" s="40">
        <v>0</v>
      </c>
      <c r="O1295" s="40">
        <v>0</v>
      </c>
      <c r="P1295" s="40">
        <v>0</v>
      </c>
      <c r="Q1295" s="40">
        <v>0</v>
      </c>
      <c r="R1295" s="40">
        <v>0</v>
      </c>
      <c r="S1295" s="40">
        <v>0</v>
      </c>
      <c r="T1295" s="29">
        <f t="array" aca="1" ref="T1295" ca="1">+fair_value_gap(OFFSET(S1294,0,0,-1*$I$5,-1*$Z$1),OFFSET(E1294,0,0,-1*$I$5,1),F1295:S1295,0)</f>
        <v>15.599147992571085</v>
      </c>
      <c r="U1295" s="9" cm="1">
        <f t="array" aca="1" ref="U1295" ca="1">z_score_diff(OFFSET(T1295,0,0,$I$5*-1,1),OFFSET(E1295,0,0,$I$5*-1,1))</f>
        <v>0.12424140054107369</v>
      </c>
      <c r="V1295" s="9">
        <f t="shared" ca="1" si="167"/>
        <v>5.9462216804684671E-2</v>
      </c>
      <c r="W1295" s="17">
        <f t="shared" ca="1" si="164"/>
        <v>-0.11128712768885807</v>
      </c>
      <c r="X1295" s="13">
        <f t="shared" ca="1" si="165"/>
        <v>0</v>
      </c>
      <c r="Y1295" s="13">
        <f t="shared" ca="1" si="166"/>
        <v>0</v>
      </c>
      <c r="Z1295">
        <f t="shared" ca="1" si="168"/>
        <v>0</v>
      </c>
      <c r="AA1295">
        <f t="shared" ca="1" si="169"/>
        <v>1</v>
      </c>
      <c r="AB1295" s="24">
        <f t="shared" ca="1" si="170"/>
        <v>0</v>
      </c>
      <c r="AC1295" s="24">
        <f t="shared" ca="1" si="171"/>
        <v>-0.11128712768885807</v>
      </c>
    </row>
    <row r="1296" spans="3:29" x14ac:dyDescent="0.25">
      <c r="C1296" s="6">
        <v>1289</v>
      </c>
      <c r="D1296" s="37">
        <v>43843</v>
      </c>
      <c r="E1296" s="39">
        <v>15.289</v>
      </c>
      <c r="F1296" s="39">
        <v>2.0412937993200324</v>
      </c>
      <c r="G1296" s="39">
        <v>42.726945993645501</v>
      </c>
      <c r="H1296" s="39">
        <v>67.666236722240527</v>
      </c>
      <c r="I1296" s="10">
        <v>1</v>
      </c>
      <c r="J1296" s="40">
        <v>0</v>
      </c>
      <c r="K1296" s="40">
        <v>0</v>
      </c>
      <c r="L1296" s="40">
        <v>0</v>
      </c>
      <c r="M1296" s="40">
        <v>0</v>
      </c>
      <c r="N1296" s="40">
        <v>0</v>
      </c>
      <c r="O1296" s="40">
        <v>0</v>
      </c>
      <c r="P1296" s="40">
        <v>0</v>
      </c>
      <c r="Q1296" s="40">
        <v>0</v>
      </c>
      <c r="R1296" s="40">
        <v>0</v>
      </c>
      <c r="S1296" s="40">
        <v>0</v>
      </c>
      <c r="T1296" s="29">
        <f t="array" aca="1" ref="T1296" ca="1">+fair_value_gap(OFFSET(S1295,0,0,-1*$I$5,-1*$Z$1),OFFSET(E1295,0,0,-1*$I$5,1),F1296:S1296,0)</f>
        <v>15.58567496162998</v>
      </c>
      <c r="U1296" s="9" cm="1">
        <f t="array" aca="1" ref="U1296" ca="1">z_score_diff(OFFSET(T1296,0,0,$I$5*-1,1),OFFSET(E1296,0,0,$I$5*-1,1))</f>
        <v>0.12255693143053215</v>
      </c>
      <c r="V1296" s="9">
        <f t="shared" ca="1" si="167"/>
        <v>6.3000023663907667E-2</v>
      </c>
      <c r="W1296" s="17">
        <f t="shared" ca="1" si="164"/>
        <v>-0.10653125033657704</v>
      </c>
      <c r="X1296" s="13">
        <f t="shared" ca="1" si="165"/>
        <v>0</v>
      </c>
      <c r="Y1296" s="13">
        <f t="shared" ca="1" si="166"/>
        <v>0</v>
      </c>
      <c r="Z1296">
        <f t="shared" ca="1" si="168"/>
        <v>0</v>
      </c>
      <c r="AA1296">
        <f t="shared" ca="1" si="169"/>
        <v>1</v>
      </c>
      <c r="AB1296" s="24">
        <f t="shared" ca="1" si="170"/>
        <v>0</v>
      </c>
      <c r="AC1296" s="24">
        <f t="shared" ca="1" si="171"/>
        <v>-0.10653125033657704</v>
      </c>
    </row>
    <row r="1297" spans="3:29" x14ac:dyDescent="0.25">
      <c r="C1297" s="6">
        <v>1290</v>
      </c>
      <c r="D1297" s="37">
        <v>43844</v>
      </c>
      <c r="E1297" s="39">
        <v>14.906000000000001</v>
      </c>
      <c r="F1297" s="39">
        <v>2.0434627468386375</v>
      </c>
      <c r="G1297" s="39">
        <v>41.399112563415073</v>
      </c>
      <c r="H1297" s="39">
        <v>65.402992088979403</v>
      </c>
      <c r="I1297" s="10">
        <v>1</v>
      </c>
      <c r="J1297" s="40">
        <v>0</v>
      </c>
      <c r="K1297" s="40">
        <v>0</v>
      </c>
      <c r="L1297" s="40">
        <v>0</v>
      </c>
      <c r="M1297" s="40">
        <v>0</v>
      </c>
      <c r="N1297" s="40">
        <v>0</v>
      </c>
      <c r="O1297" s="40">
        <v>0</v>
      </c>
      <c r="P1297" s="40">
        <v>0</v>
      </c>
      <c r="Q1297" s="40">
        <v>0</v>
      </c>
      <c r="R1297" s="40">
        <v>0</v>
      </c>
      <c r="S1297" s="40">
        <v>0</v>
      </c>
      <c r="T1297" s="29">
        <f t="array" aca="1" ref="T1297" ca="1">+fair_value_gap(OFFSET(S1296,0,0,-1*$I$5,-1*$Z$1),OFFSET(E1296,0,0,-1*$I$5,1),F1297:S1297,0)</f>
        <v>15.066125413228139</v>
      </c>
      <c r="U1297" s="9" cm="1">
        <f t="array" aca="1" ref="U1297" ca="1">z_score_diff(OFFSET(T1297,0,0,$I$5*-1,1),OFFSET(E1297,0,0,$I$5*-1,1))</f>
        <v>2.0663060882062378E-2</v>
      </c>
      <c r="V1297" s="9">
        <f t="shared" ca="1" si="167"/>
        <v>6.2020930610210849E-2</v>
      </c>
      <c r="W1297" s="17">
        <f t="shared" ca="1" si="164"/>
        <v>-5.2685437133862728E-2</v>
      </c>
      <c r="X1297" s="13">
        <f t="shared" ca="1" si="165"/>
        <v>0</v>
      </c>
      <c r="Y1297" s="13">
        <f t="shared" ca="1" si="166"/>
        <v>0</v>
      </c>
      <c r="Z1297">
        <f t="shared" ca="1" si="168"/>
        <v>0</v>
      </c>
      <c r="AA1297">
        <f t="shared" ca="1" si="169"/>
        <v>1</v>
      </c>
      <c r="AB1297" s="24">
        <f t="shared" ca="1" si="170"/>
        <v>0</v>
      </c>
      <c r="AC1297" s="24">
        <f t="shared" ca="1" si="171"/>
        <v>-5.2685437133862728E-2</v>
      </c>
    </row>
    <row r="1298" spans="3:29" x14ac:dyDescent="0.25">
      <c r="C1298" s="6">
        <v>1291</v>
      </c>
      <c r="D1298" s="37">
        <v>43845</v>
      </c>
      <c r="E1298" s="39">
        <v>14.763999999999999</v>
      </c>
      <c r="F1298" s="39">
        <v>2.0313164910939929</v>
      </c>
      <c r="G1298" s="39">
        <v>41.127340470362292</v>
      </c>
      <c r="H1298" s="39">
        <v>63.831450233180199</v>
      </c>
      <c r="I1298" s="10">
        <v>1</v>
      </c>
      <c r="J1298" s="40">
        <v>0</v>
      </c>
      <c r="K1298" s="40">
        <v>0</v>
      </c>
      <c r="L1298" s="40">
        <v>0</v>
      </c>
      <c r="M1298" s="40">
        <v>0</v>
      </c>
      <c r="N1298" s="40">
        <v>0</v>
      </c>
      <c r="O1298" s="40">
        <v>0</v>
      </c>
      <c r="P1298" s="40">
        <v>0</v>
      </c>
      <c r="Q1298" s="40">
        <v>0</v>
      </c>
      <c r="R1298" s="40">
        <v>0</v>
      </c>
      <c r="S1298" s="40">
        <v>0</v>
      </c>
      <c r="T1298" s="29">
        <f t="array" aca="1" ref="T1298" ca="1">+fair_value_gap(OFFSET(S1297,0,0,-1*$I$5,-1*$Z$1),OFFSET(E1297,0,0,-1*$I$5,1),F1298:S1298,0)</f>
        <v>14.893409508849178</v>
      </c>
      <c r="U1298" s="9" cm="1">
        <f t="array" aca="1" ref="U1298" ca="1">z_score_diff(OFFSET(T1298,0,0,$I$5*-1,1),OFFSET(E1298,0,0,$I$5*-1,1))</f>
        <v>-3.1711222108281589E-3</v>
      </c>
      <c r="V1298" s="9">
        <f t="shared" ca="1" si="167"/>
        <v>6.0261924422843234E-2</v>
      </c>
      <c r="W1298" s="17">
        <f t="shared" ca="1" si="164"/>
        <v>-4.6371660601676142E-2</v>
      </c>
      <c r="X1298" s="13">
        <f t="shared" ca="1" si="165"/>
        <v>0</v>
      </c>
      <c r="Y1298" s="13">
        <f t="shared" ca="1" si="166"/>
        <v>0</v>
      </c>
      <c r="Z1298">
        <f t="shared" ca="1" si="168"/>
        <v>0</v>
      </c>
      <c r="AA1298">
        <f t="shared" ca="1" si="169"/>
        <v>1</v>
      </c>
      <c r="AB1298" s="24">
        <f t="shared" ca="1" si="170"/>
        <v>0</v>
      </c>
      <c r="AC1298" s="24">
        <f t="shared" ca="1" si="171"/>
        <v>-4.6371660601676142E-2</v>
      </c>
    </row>
    <row r="1299" spans="3:29" x14ac:dyDescent="0.25">
      <c r="C1299" s="6">
        <v>1292</v>
      </c>
      <c r="D1299" s="37">
        <v>43846</v>
      </c>
      <c r="E1299" s="39">
        <v>14.568</v>
      </c>
      <c r="F1299" s="39">
        <v>2.0411073986012283</v>
      </c>
      <c r="G1299" s="39">
        <v>40.71536938703769</v>
      </c>
      <c r="H1299" s="39">
        <v>62.963858397413269</v>
      </c>
      <c r="I1299" s="10">
        <v>1</v>
      </c>
      <c r="J1299" s="40">
        <v>0</v>
      </c>
      <c r="K1299" s="40">
        <v>0</v>
      </c>
      <c r="L1299" s="40">
        <v>0</v>
      </c>
      <c r="M1299" s="40">
        <v>0</v>
      </c>
      <c r="N1299" s="40">
        <v>0</v>
      </c>
      <c r="O1299" s="40">
        <v>0</v>
      </c>
      <c r="P1299" s="40">
        <v>0</v>
      </c>
      <c r="Q1299" s="40">
        <v>0</v>
      </c>
      <c r="R1299" s="40">
        <v>0</v>
      </c>
      <c r="S1299" s="40">
        <v>0</v>
      </c>
      <c r="T1299" s="29">
        <f t="array" aca="1" ref="T1299" ca="1">+fair_value_gap(OFFSET(S1298,0,0,-1*$I$5,-1*$Z$1),OFFSET(E1298,0,0,-1*$I$5,1),F1299:S1299,0)</f>
        <v>14.72043041073994</v>
      </c>
      <c r="U1299" s="9" cm="1">
        <f t="array" aca="1" ref="U1299" ca="1">z_score_diff(OFFSET(T1299,0,0,$I$5*-1,1),OFFSET(E1299,0,0,$I$5*-1,1))</f>
        <v>7.3403110283081219E-3</v>
      </c>
      <c r="V1299" s="9">
        <f t="shared" ca="1" si="167"/>
        <v>5.9960930122020112E-2</v>
      </c>
      <c r="W1299" s="17">
        <f t="shared" ca="1" si="164"/>
        <v>-3.9698586789518556E-2</v>
      </c>
      <c r="X1299" s="13">
        <f t="shared" ca="1" si="165"/>
        <v>0</v>
      </c>
      <c r="Y1299" s="13">
        <f t="shared" ca="1" si="166"/>
        <v>0</v>
      </c>
      <c r="Z1299">
        <f t="shared" ca="1" si="168"/>
        <v>0</v>
      </c>
      <c r="AA1299">
        <f t="shared" ca="1" si="169"/>
        <v>1</v>
      </c>
      <c r="AB1299" s="24">
        <f t="shared" ca="1" si="170"/>
        <v>0</v>
      </c>
      <c r="AC1299" s="24">
        <f t="shared" ca="1" si="171"/>
        <v>-3.9698586789518556E-2</v>
      </c>
    </row>
    <row r="1300" spans="3:29" x14ac:dyDescent="0.25">
      <c r="C1300" s="6">
        <v>1293</v>
      </c>
      <c r="D1300" s="37">
        <v>43847</v>
      </c>
      <c r="E1300" s="39">
        <v>14.42</v>
      </c>
      <c r="F1300" s="39">
        <v>2.0315674324113142</v>
      </c>
      <c r="G1300" s="39">
        <v>40.078399176693004</v>
      </c>
      <c r="H1300" s="39">
        <v>61.985942286722519</v>
      </c>
      <c r="I1300" s="10">
        <v>1</v>
      </c>
      <c r="J1300" s="40">
        <v>0</v>
      </c>
      <c r="K1300" s="40">
        <v>0</v>
      </c>
      <c r="L1300" s="40">
        <v>0</v>
      </c>
      <c r="M1300" s="40">
        <v>0</v>
      </c>
      <c r="N1300" s="40">
        <v>0</v>
      </c>
      <c r="O1300" s="40">
        <v>0</v>
      </c>
      <c r="P1300" s="40">
        <v>0</v>
      </c>
      <c r="Q1300" s="40">
        <v>0</v>
      </c>
      <c r="R1300" s="40">
        <v>0</v>
      </c>
      <c r="S1300" s="40">
        <v>0</v>
      </c>
      <c r="T1300" s="29">
        <f t="array" aca="1" ref="T1300" ca="1">+fair_value_gap(OFFSET(S1299,0,0,-1*$I$5,-1*$Z$1),OFFSET(E1299,0,0,-1*$I$5,1),F1300:S1300,0)</f>
        <v>14.480204634741984</v>
      </c>
      <c r="U1300" s="9" cm="1">
        <f t="array" aca="1" ref="U1300" ca="1">z_score_diff(OFFSET(T1300,0,0,$I$5*-1,1),OFFSET(E1300,0,0,$I$5*-1,1))</f>
        <v>-5.3882178822468152E-2</v>
      </c>
      <c r="V1300" s="9">
        <f t="shared" ca="1" si="167"/>
        <v>5.6996603733630712E-2</v>
      </c>
      <c r="W1300" s="17">
        <f t="shared" ca="1" si="164"/>
        <v>-6.3263328992935575E-2</v>
      </c>
      <c r="X1300" s="13">
        <f t="shared" ca="1" si="165"/>
        <v>0</v>
      </c>
      <c r="Y1300" s="13">
        <f t="shared" ca="1" si="166"/>
        <v>0</v>
      </c>
      <c r="Z1300">
        <f t="shared" ca="1" si="168"/>
        <v>0</v>
      </c>
      <c r="AA1300">
        <f t="shared" ca="1" si="169"/>
        <v>1</v>
      </c>
      <c r="AB1300" s="24">
        <f t="shared" ca="1" si="170"/>
        <v>0</v>
      </c>
      <c r="AC1300" s="24">
        <f t="shared" ca="1" si="171"/>
        <v>-6.3263328992935575E-2</v>
      </c>
    </row>
    <row r="1301" spans="3:29" x14ac:dyDescent="0.25">
      <c r="C1301" s="6">
        <v>1294</v>
      </c>
      <c r="D1301" s="37">
        <v>43850</v>
      </c>
      <c r="E1301" s="39">
        <v>14.010999999999999</v>
      </c>
      <c r="F1301" s="39">
        <v>2.0314024970449949</v>
      </c>
      <c r="G1301" s="39">
        <v>39.270735849710583</v>
      </c>
      <c r="H1301" s="39">
        <v>61.980909879757036</v>
      </c>
      <c r="I1301" s="10">
        <v>1</v>
      </c>
      <c r="J1301" s="40">
        <v>0</v>
      </c>
      <c r="K1301" s="40">
        <v>0</v>
      </c>
      <c r="L1301" s="40">
        <v>0</v>
      </c>
      <c r="M1301" s="40">
        <v>0</v>
      </c>
      <c r="N1301" s="40">
        <v>0</v>
      </c>
      <c r="O1301" s="40">
        <v>0</v>
      </c>
      <c r="P1301" s="40">
        <v>0</v>
      </c>
      <c r="Q1301" s="40">
        <v>0</v>
      </c>
      <c r="R1301" s="40">
        <v>0</v>
      </c>
      <c r="S1301" s="40">
        <v>0</v>
      </c>
      <c r="T1301" s="29">
        <f t="array" aca="1" ref="T1301" ca="1">+fair_value_gap(OFFSET(S1300,0,0,-1*$I$5,-1*$Z$1),OFFSET(E1300,0,0,-1*$I$5,1),F1301:S1301,0)</f>
        <v>14.24284272776473</v>
      </c>
      <c r="U1301" s="9" cm="1">
        <f t="array" aca="1" ref="U1301" ca="1">z_score_diff(OFFSET(T1301,0,0,$I$5*-1,1),OFFSET(E1301,0,0,$I$5*-1,1))</f>
        <v>4.568700369441947E-2</v>
      </c>
      <c r="V1301" s="9">
        <f t="shared" ca="1" si="167"/>
        <v>5.6636329305667248E-2</v>
      </c>
      <c r="W1301" s="17">
        <f t="shared" ca="1" si="164"/>
        <v>-8.6421106064090161E-2</v>
      </c>
      <c r="X1301" s="13">
        <f t="shared" ca="1" si="165"/>
        <v>0</v>
      </c>
      <c r="Y1301" s="13">
        <f t="shared" ca="1" si="166"/>
        <v>0</v>
      </c>
      <c r="Z1301">
        <f t="shared" ca="1" si="168"/>
        <v>0</v>
      </c>
      <c r="AA1301">
        <f t="shared" ca="1" si="169"/>
        <v>1</v>
      </c>
      <c r="AB1301" s="24">
        <f t="shared" ca="1" si="170"/>
        <v>0</v>
      </c>
      <c r="AC1301" s="24">
        <f t="shared" ca="1" si="171"/>
        <v>-8.6421106064090161E-2</v>
      </c>
    </row>
    <row r="1302" spans="3:29" x14ac:dyDescent="0.25">
      <c r="C1302" s="6">
        <v>1295</v>
      </c>
      <c r="D1302" s="37">
        <v>43851</v>
      </c>
      <c r="E1302" s="39">
        <v>14.012</v>
      </c>
      <c r="F1302" s="39">
        <v>2.0268569470762214</v>
      </c>
      <c r="G1302" s="39">
        <v>39.037507533960778</v>
      </c>
      <c r="H1302" s="39">
        <v>62.31776641937671</v>
      </c>
      <c r="I1302" s="10">
        <v>1</v>
      </c>
      <c r="J1302" s="40">
        <v>0</v>
      </c>
      <c r="K1302" s="40">
        <v>0</v>
      </c>
      <c r="L1302" s="40">
        <v>0</v>
      </c>
      <c r="M1302" s="40">
        <v>0</v>
      </c>
      <c r="N1302" s="40">
        <v>0</v>
      </c>
      <c r="O1302" s="40">
        <v>0</v>
      </c>
      <c r="P1302" s="40">
        <v>0</v>
      </c>
      <c r="Q1302" s="40">
        <v>0</v>
      </c>
      <c r="R1302" s="40">
        <v>0</v>
      </c>
      <c r="S1302" s="40">
        <v>0</v>
      </c>
      <c r="T1302" s="29">
        <f t="array" aca="1" ref="T1302" ca="1">+fair_value_gap(OFFSET(S1301,0,0,-1*$I$5,-1*$Z$1),OFFSET(E1301,0,0,-1*$I$5,1),F1302:S1302,0)</f>
        <v>14.167197766376045</v>
      </c>
      <c r="U1302" s="9" cm="1">
        <f t="array" aca="1" ref="U1302" ca="1">z_score_diff(OFFSET(T1302,0,0,$I$5*-1,1),OFFSET(E1302,0,0,$I$5*-1,1))</f>
        <v>-2.917014451992106E-3</v>
      </c>
      <c r="V1302" s="9">
        <f t="shared" ca="1" si="167"/>
        <v>5.3580864628568023E-2</v>
      </c>
      <c r="W1302" s="17">
        <f t="shared" ca="1" si="164"/>
        <v>-6.2048522607157368E-2</v>
      </c>
      <c r="X1302" s="13">
        <f t="shared" ca="1" si="165"/>
        <v>0</v>
      </c>
      <c r="Y1302" s="13">
        <f t="shared" ca="1" si="166"/>
        <v>0</v>
      </c>
      <c r="Z1302">
        <f t="shared" ca="1" si="168"/>
        <v>0</v>
      </c>
      <c r="AA1302">
        <f t="shared" ca="1" si="169"/>
        <v>1</v>
      </c>
      <c r="AB1302" s="24">
        <f t="shared" ca="1" si="170"/>
        <v>0</v>
      </c>
      <c r="AC1302" s="24">
        <f t="shared" ca="1" si="171"/>
        <v>-6.2048522607157368E-2</v>
      </c>
    </row>
    <row r="1303" spans="3:29" x14ac:dyDescent="0.25">
      <c r="C1303" s="6">
        <v>1296</v>
      </c>
      <c r="D1303" s="37">
        <v>43852</v>
      </c>
      <c r="E1303" s="39">
        <v>13.853</v>
      </c>
      <c r="F1303" s="39">
        <v>2.0238653644748301</v>
      </c>
      <c r="G1303" s="39">
        <v>38.430567063848656</v>
      </c>
      <c r="H1303" s="39">
        <v>61.973779719244369</v>
      </c>
      <c r="I1303" s="10">
        <v>1</v>
      </c>
      <c r="J1303" s="40">
        <v>0</v>
      </c>
      <c r="K1303" s="40">
        <v>0</v>
      </c>
      <c r="L1303" s="40">
        <v>0</v>
      </c>
      <c r="M1303" s="40">
        <v>0</v>
      </c>
      <c r="N1303" s="40">
        <v>0</v>
      </c>
      <c r="O1303" s="40">
        <v>0</v>
      </c>
      <c r="P1303" s="40">
        <v>0</v>
      </c>
      <c r="Q1303" s="40">
        <v>0</v>
      </c>
      <c r="R1303" s="40">
        <v>0</v>
      </c>
      <c r="S1303" s="40">
        <v>0</v>
      </c>
      <c r="T1303" s="29">
        <f t="array" aca="1" ref="T1303" ca="1">+fair_value_gap(OFFSET(S1302,0,0,-1*$I$5,-1*$Z$1),OFFSET(E1302,0,0,-1*$I$5,1),F1303:S1303,0)</f>
        <v>13.958089519590093</v>
      </c>
      <c r="U1303" s="9" cm="1">
        <f t="array" aca="1" ref="U1303" ca="1">z_score_diff(OFFSET(T1303,0,0,$I$5*-1,1),OFFSET(E1303,0,0,$I$5*-1,1))</f>
        <v>-3.5886980238095223E-2</v>
      </c>
      <c r="V1303" s="9">
        <f t="shared" ca="1" si="167"/>
        <v>3.7732366071797051E-2</v>
      </c>
      <c r="W1303" s="17">
        <f t="shared" ca="1" si="164"/>
        <v>-5.6576844477779983E-2</v>
      </c>
      <c r="X1303" s="13">
        <f t="shared" ca="1" si="165"/>
        <v>0</v>
      </c>
      <c r="Y1303" s="13">
        <f t="shared" ca="1" si="166"/>
        <v>0</v>
      </c>
      <c r="Z1303">
        <f t="shared" ca="1" si="168"/>
        <v>0</v>
      </c>
      <c r="AA1303">
        <f t="shared" ca="1" si="169"/>
        <v>1</v>
      </c>
      <c r="AB1303" s="24">
        <f t="shared" ca="1" si="170"/>
        <v>0</v>
      </c>
      <c r="AC1303" s="24">
        <f t="shared" ca="1" si="171"/>
        <v>-5.6576844477779983E-2</v>
      </c>
    </row>
    <row r="1304" spans="3:29" x14ac:dyDescent="0.25">
      <c r="C1304" s="6">
        <v>1297</v>
      </c>
      <c r="D1304" s="37">
        <v>43853</v>
      </c>
      <c r="E1304" s="39">
        <v>13.773999999999999</v>
      </c>
      <c r="F1304" s="39">
        <v>2.0214062184977077</v>
      </c>
      <c r="G1304" s="39">
        <v>38.191281489389816</v>
      </c>
      <c r="H1304" s="39">
        <v>61.404815960869222</v>
      </c>
      <c r="I1304" s="10">
        <v>1</v>
      </c>
      <c r="J1304" s="40">
        <v>0</v>
      </c>
      <c r="K1304" s="40">
        <v>0</v>
      </c>
      <c r="L1304" s="40">
        <v>0</v>
      </c>
      <c r="M1304" s="40">
        <v>0</v>
      </c>
      <c r="N1304" s="40">
        <v>0</v>
      </c>
      <c r="O1304" s="40">
        <v>0</v>
      </c>
      <c r="P1304" s="40">
        <v>0</v>
      </c>
      <c r="Q1304" s="40">
        <v>0</v>
      </c>
      <c r="R1304" s="40">
        <v>0</v>
      </c>
      <c r="S1304" s="40">
        <v>0</v>
      </c>
      <c r="T1304" s="29">
        <f t="array" aca="1" ref="T1304" ca="1">+fair_value_gap(OFFSET(S1303,0,0,-1*$I$5,-1*$Z$1),OFFSET(E1303,0,0,-1*$I$5,1),F1304:S1304,0)</f>
        <v>13.850345489913355</v>
      </c>
      <c r="U1304" s="9" cm="1">
        <f t="array" aca="1" ref="U1304" ca="1">z_score_diff(OFFSET(T1304,0,0,$I$5*-1,1),OFFSET(E1304,0,0,$I$5*-1,1))</f>
        <v>-5.2722435262439582E-2</v>
      </c>
      <c r="V1304" s="9">
        <f t="shared" ca="1" si="167"/>
        <v>2.5374236332528721E-2</v>
      </c>
      <c r="W1304" s="17">
        <f t="shared" ca="1" si="164"/>
        <v>-8.291454926053167E-2</v>
      </c>
      <c r="X1304" s="13">
        <f t="shared" ca="1" si="165"/>
        <v>0</v>
      </c>
      <c r="Y1304" s="13">
        <f t="shared" ca="1" si="166"/>
        <v>0</v>
      </c>
      <c r="Z1304">
        <f t="shared" ca="1" si="168"/>
        <v>0</v>
      </c>
      <c r="AA1304">
        <f t="shared" ca="1" si="169"/>
        <v>1</v>
      </c>
      <c r="AB1304" s="24">
        <f t="shared" ca="1" si="170"/>
        <v>0</v>
      </c>
      <c r="AC1304" s="24">
        <f t="shared" ca="1" si="171"/>
        <v>-8.291454926053167E-2</v>
      </c>
    </row>
    <row r="1305" spans="3:29" x14ac:dyDescent="0.25">
      <c r="C1305" s="6">
        <v>1298</v>
      </c>
      <c r="D1305" s="37">
        <v>43854</v>
      </c>
      <c r="E1305" s="39">
        <v>13.750999999999999</v>
      </c>
      <c r="F1305" s="39">
        <v>2.0069570996437056</v>
      </c>
      <c r="G1305" s="39">
        <v>38.172443164889302</v>
      </c>
      <c r="H1305" s="39">
        <v>60.876819601544732</v>
      </c>
      <c r="I1305" s="10">
        <v>1</v>
      </c>
      <c r="J1305" s="40">
        <v>0</v>
      </c>
      <c r="K1305" s="40">
        <v>0</v>
      </c>
      <c r="L1305" s="40">
        <v>0</v>
      </c>
      <c r="M1305" s="40">
        <v>0</v>
      </c>
      <c r="N1305" s="40">
        <v>0</v>
      </c>
      <c r="O1305" s="40">
        <v>0</v>
      </c>
      <c r="P1305" s="40">
        <v>0</v>
      </c>
      <c r="Q1305" s="40">
        <v>0</v>
      </c>
      <c r="R1305" s="40">
        <v>0</v>
      </c>
      <c r="S1305" s="40">
        <v>0</v>
      </c>
      <c r="T1305" s="29">
        <f t="array" aca="1" ref="T1305" ca="1">+fair_value_gap(OFFSET(S1304,0,0,-1*$I$5,-1*$Z$1),OFFSET(E1304,0,0,-1*$I$5,1),F1305:S1305,0)</f>
        <v>13.809783872921479</v>
      </c>
      <c r="U1305" s="9" cm="1">
        <f t="array" aca="1" ref="U1305" ca="1">z_score_diff(OFFSET(T1305,0,0,$I$5*-1,1),OFFSET(E1305,0,0,$I$5*-1,1))</f>
        <v>-6.0783036871754792E-2</v>
      </c>
      <c r="V1305" s="9">
        <f t="shared" ca="1" si="167"/>
        <v>1.4355020758972057E-2</v>
      </c>
      <c r="W1305" s="17">
        <f t="shared" ca="1" si="164"/>
        <v>-7.8801144840874332E-2</v>
      </c>
      <c r="X1305" s="13">
        <f t="shared" ca="1" si="165"/>
        <v>0</v>
      </c>
      <c r="Y1305" s="13">
        <f t="shared" ca="1" si="166"/>
        <v>0</v>
      </c>
      <c r="Z1305">
        <f t="shared" ca="1" si="168"/>
        <v>0</v>
      </c>
      <c r="AA1305">
        <f t="shared" ca="1" si="169"/>
        <v>1</v>
      </c>
      <c r="AB1305" s="24">
        <f t="shared" ca="1" si="170"/>
        <v>0</v>
      </c>
      <c r="AC1305" s="24">
        <f t="shared" ca="1" si="171"/>
        <v>-7.8801144840874332E-2</v>
      </c>
    </row>
    <row r="1306" spans="3:29" x14ac:dyDescent="0.25">
      <c r="C1306" s="6">
        <v>1299</v>
      </c>
      <c r="D1306" s="37">
        <v>43857</v>
      </c>
      <c r="E1306" s="39">
        <v>13.617000000000001</v>
      </c>
      <c r="F1306" s="39">
        <v>2.0017253217372932</v>
      </c>
      <c r="G1306" s="39">
        <v>37.970708977218749</v>
      </c>
      <c r="H1306" s="39">
        <v>60.606327353391656</v>
      </c>
      <c r="I1306" s="10">
        <v>1</v>
      </c>
      <c r="J1306" s="40">
        <v>0</v>
      </c>
      <c r="K1306" s="40">
        <v>0</v>
      </c>
      <c r="L1306" s="40">
        <v>0</v>
      </c>
      <c r="M1306" s="40">
        <v>0</v>
      </c>
      <c r="N1306" s="40">
        <v>0</v>
      </c>
      <c r="O1306" s="40">
        <v>0</v>
      </c>
      <c r="P1306" s="40">
        <v>0</v>
      </c>
      <c r="Q1306" s="40">
        <v>0</v>
      </c>
      <c r="R1306" s="40">
        <v>0</v>
      </c>
      <c r="S1306" s="40">
        <v>0</v>
      </c>
      <c r="T1306" s="29">
        <f t="array" aca="1" ref="T1306" ca="1">+fair_value_gap(OFFSET(S1305,0,0,-1*$I$5,-1*$Z$1),OFFSET(E1305,0,0,-1*$I$5,1),F1306:S1306,0)</f>
        <v>13.735237155400529</v>
      </c>
      <c r="U1306" s="9" cm="1">
        <f t="array" aca="1" ref="U1306" ca="1">z_score_diff(OFFSET(T1306,0,0,$I$5*-1,1),OFFSET(E1306,0,0,$I$5*-1,1))</f>
        <v>-2.646325946434569E-2</v>
      </c>
      <c r="V1306" s="9">
        <f t="shared" ca="1" si="167"/>
        <v>6.5684555352700791E-3</v>
      </c>
      <c r="W1306" s="17">
        <f t="shared" ca="1" si="164"/>
        <v>-8.7832880386963019E-2</v>
      </c>
      <c r="X1306" s="13">
        <f t="shared" ca="1" si="165"/>
        <v>0</v>
      </c>
      <c r="Y1306" s="13">
        <f t="shared" ca="1" si="166"/>
        <v>0</v>
      </c>
      <c r="Z1306">
        <f t="shared" ca="1" si="168"/>
        <v>0</v>
      </c>
      <c r="AA1306">
        <f t="shared" ca="1" si="169"/>
        <v>1</v>
      </c>
      <c r="AB1306" s="24">
        <f t="shared" ca="1" si="170"/>
        <v>0</v>
      </c>
      <c r="AC1306" s="24">
        <f t="shared" ca="1" si="171"/>
        <v>-8.7832880386963019E-2</v>
      </c>
    </row>
    <row r="1307" spans="3:29" x14ac:dyDescent="0.25">
      <c r="C1307" s="6">
        <v>1300</v>
      </c>
      <c r="D1307" s="37">
        <v>43858</v>
      </c>
      <c r="E1307" s="39">
        <v>13.824</v>
      </c>
      <c r="F1307" s="39">
        <v>2.0113642962600591</v>
      </c>
      <c r="G1307" s="39">
        <v>38.64400389581828</v>
      </c>
      <c r="H1307" s="39">
        <v>61.898284445273468</v>
      </c>
      <c r="I1307" s="10">
        <v>1</v>
      </c>
      <c r="J1307" s="40">
        <v>0</v>
      </c>
      <c r="K1307" s="40">
        <v>0</v>
      </c>
      <c r="L1307" s="40">
        <v>0</v>
      </c>
      <c r="M1307" s="40">
        <v>0</v>
      </c>
      <c r="N1307" s="40">
        <v>0</v>
      </c>
      <c r="O1307" s="40">
        <v>0</v>
      </c>
      <c r="P1307" s="40">
        <v>0</v>
      </c>
      <c r="Q1307" s="40">
        <v>0</v>
      </c>
      <c r="R1307" s="40">
        <v>0</v>
      </c>
      <c r="S1307" s="40">
        <v>0</v>
      </c>
      <c r="T1307" s="29">
        <f t="array" aca="1" ref="T1307" ca="1">+fair_value_gap(OFFSET(S1306,0,0,-1*$I$5,-1*$Z$1),OFFSET(E1306,0,0,-1*$I$5,1),F1307:S1307,0)</f>
        <v>13.974378789362971</v>
      </c>
      <c r="U1307" s="9" cm="1">
        <f t="array" aca="1" ref="U1307" ca="1">z_score_diff(OFFSET(T1307,0,0,$I$5*-1,1),OFFSET(E1307,0,0,$I$5*-1,1))</f>
        <v>-3.259166758641463E-3</v>
      </c>
      <c r="V1307" s="9">
        <f t="shared" ca="1" si="167"/>
        <v>1.5898374182518843E-3</v>
      </c>
      <c r="W1307" s="17">
        <f t="shared" ca="1" si="164"/>
        <v>-0.11640052821868058</v>
      </c>
      <c r="X1307" s="13">
        <f t="shared" ca="1" si="165"/>
        <v>0</v>
      </c>
      <c r="Y1307" s="13">
        <f t="shared" ca="1" si="166"/>
        <v>0</v>
      </c>
      <c r="Z1307">
        <f t="shared" ca="1" si="168"/>
        <v>0</v>
      </c>
      <c r="AA1307">
        <f t="shared" ca="1" si="169"/>
        <v>1</v>
      </c>
      <c r="AB1307" s="24">
        <f t="shared" ca="1" si="170"/>
        <v>0</v>
      </c>
      <c r="AC1307" s="24">
        <f t="shared" ca="1" si="171"/>
        <v>-0.11640052821868058</v>
      </c>
    </row>
    <row r="1308" spans="3:29" x14ac:dyDescent="0.25">
      <c r="C1308" s="6">
        <v>1301</v>
      </c>
      <c r="D1308" s="37">
        <v>43859</v>
      </c>
      <c r="E1308" s="39">
        <v>13.446999999999999</v>
      </c>
      <c r="F1308" s="39">
        <v>2.0089667440634544</v>
      </c>
      <c r="G1308" s="39">
        <v>37.682316426720234</v>
      </c>
      <c r="H1308" s="39">
        <v>61.794018762109772</v>
      </c>
      <c r="I1308" s="10">
        <v>1</v>
      </c>
      <c r="J1308" s="40">
        <v>0</v>
      </c>
      <c r="K1308" s="40">
        <v>0</v>
      </c>
      <c r="L1308" s="40">
        <v>0</v>
      </c>
      <c r="M1308" s="40">
        <v>0</v>
      </c>
      <c r="N1308" s="40">
        <v>0</v>
      </c>
      <c r="O1308" s="40">
        <v>0</v>
      </c>
      <c r="P1308" s="40">
        <v>0</v>
      </c>
      <c r="Q1308" s="40">
        <v>0</v>
      </c>
      <c r="R1308" s="40">
        <v>0</v>
      </c>
      <c r="S1308" s="40">
        <v>0</v>
      </c>
      <c r="T1308" s="29">
        <f t="array" aca="1" ref="T1308" ca="1">+fair_value_gap(OFFSET(S1307,0,0,-1*$I$5,-1*$Z$1),OFFSET(E1307,0,0,-1*$I$5,1),F1308:S1308,0)</f>
        <v>13.695687020026023</v>
      </c>
      <c r="U1308" s="9" cm="1">
        <f t="array" aca="1" ref="U1308" ca="1">z_score_diff(OFFSET(T1308,0,0,$I$5*-1,1),OFFSET(E1308,0,0,$I$5*-1,1))</f>
        <v>4.4674193155635145E-2</v>
      </c>
      <c r="V1308" s="9">
        <f t="shared" ca="1" si="167"/>
        <v>-2.4145008682300074E-3</v>
      </c>
      <c r="W1308" s="17">
        <f t="shared" ca="1" si="164"/>
        <v>-0.12037060004399805</v>
      </c>
      <c r="X1308" s="13">
        <f t="shared" ca="1" si="165"/>
        <v>0</v>
      </c>
      <c r="Y1308" s="13">
        <f t="shared" ca="1" si="166"/>
        <v>0</v>
      </c>
      <c r="Z1308">
        <f t="shared" ca="1" si="168"/>
        <v>1</v>
      </c>
      <c r="AA1308">
        <f t="shared" ca="1" si="169"/>
        <v>0</v>
      </c>
      <c r="AB1308" s="24">
        <f t="shared" ca="1" si="170"/>
        <v>-0.12037060004399805</v>
      </c>
      <c r="AC1308" s="24">
        <f t="shared" ca="1" si="171"/>
        <v>0</v>
      </c>
    </row>
    <row r="1309" spans="3:29" x14ac:dyDescent="0.25">
      <c r="C1309" s="6">
        <v>1302</v>
      </c>
      <c r="D1309" s="37">
        <v>43860</v>
      </c>
      <c r="E1309" s="39">
        <v>13.016</v>
      </c>
      <c r="F1309" s="39">
        <v>2.0014309748032413</v>
      </c>
      <c r="G1309" s="39">
        <v>36.526324385492131</v>
      </c>
      <c r="H1309" s="39">
        <v>61.352605200380417</v>
      </c>
      <c r="I1309" s="10">
        <v>1</v>
      </c>
      <c r="J1309" s="40">
        <v>0</v>
      </c>
      <c r="K1309" s="40">
        <v>0</v>
      </c>
      <c r="L1309" s="40">
        <v>0</v>
      </c>
      <c r="M1309" s="40">
        <v>0</v>
      </c>
      <c r="N1309" s="40">
        <v>0</v>
      </c>
      <c r="O1309" s="40">
        <v>0</v>
      </c>
      <c r="P1309" s="40">
        <v>0</v>
      </c>
      <c r="Q1309" s="40">
        <v>0</v>
      </c>
      <c r="R1309" s="40">
        <v>0</v>
      </c>
      <c r="S1309" s="40">
        <v>0</v>
      </c>
      <c r="T1309" s="29">
        <f t="array" aca="1" ref="T1309" ca="1">+fair_value_gap(OFFSET(S1308,0,0,-1*$I$5,-1*$Z$1),OFFSET(E1308,0,0,-1*$I$5,1),F1309:S1309,0)</f>
        <v>13.338627470816405</v>
      </c>
      <c r="U1309" s="9" cm="1">
        <f t="array" aca="1" ref="U1309" ca="1">z_score_diff(OFFSET(T1309,0,0,$I$5*-1,1),OFFSET(E1309,0,0,$I$5*-1,1))</f>
        <v>7.4779482252801177E-2</v>
      </c>
      <c r="V1309" s="9">
        <f t="shared" ca="1" si="167"/>
        <v>-7.7127560671342438E-3</v>
      </c>
      <c r="W1309" s="17">
        <f t="shared" ca="1" si="164"/>
        <v>-9.1828234068253009E-2</v>
      </c>
      <c r="X1309" s="13">
        <f t="shared" ca="1" si="165"/>
        <v>0</v>
      </c>
      <c r="Y1309" s="13">
        <f t="shared" ca="1" si="166"/>
        <v>0</v>
      </c>
      <c r="Z1309">
        <f t="shared" ca="1" si="168"/>
        <v>1</v>
      </c>
      <c r="AA1309">
        <f t="shared" ca="1" si="169"/>
        <v>0</v>
      </c>
      <c r="AB1309" s="24">
        <f t="shared" ca="1" si="170"/>
        <v>-9.1828234068253009E-2</v>
      </c>
      <c r="AC1309" s="24">
        <f t="shared" ca="1" si="171"/>
        <v>0</v>
      </c>
    </row>
    <row r="1310" spans="3:29" x14ac:dyDescent="0.25">
      <c r="C1310" s="6">
        <v>1303</v>
      </c>
      <c r="D1310" s="37">
        <v>43861</v>
      </c>
      <c r="E1310" s="39">
        <v>13.228999999999999</v>
      </c>
      <c r="F1310" s="39">
        <v>1.9949749051773891</v>
      </c>
      <c r="G1310" s="39">
        <v>37.072654202914507</v>
      </c>
      <c r="H1310" s="39">
        <v>61.084064809535946</v>
      </c>
      <c r="I1310" s="10">
        <v>1</v>
      </c>
      <c r="J1310" s="40">
        <v>0</v>
      </c>
      <c r="K1310" s="40">
        <v>0</v>
      </c>
      <c r="L1310" s="40">
        <v>0</v>
      </c>
      <c r="M1310" s="40">
        <v>0</v>
      </c>
      <c r="N1310" s="40">
        <v>0</v>
      </c>
      <c r="O1310" s="40">
        <v>0</v>
      </c>
      <c r="P1310" s="40">
        <v>0</v>
      </c>
      <c r="Q1310" s="40">
        <v>0</v>
      </c>
      <c r="R1310" s="40">
        <v>0</v>
      </c>
      <c r="S1310" s="40">
        <v>0</v>
      </c>
      <c r="T1310" s="29">
        <f t="array" aca="1" ref="T1310" ca="1">+fair_value_gap(OFFSET(S1309,0,0,-1*$I$5,-1*$Z$1),OFFSET(E1309,0,0,-1*$I$5,1),F1310:S1310,0)</f>
        <v>13.453656057601178</v>
      </c>
      <c r="U1310" s="9" cm="1">
        <f t="array" aca="1" ref="U1310" ca="1">z_score_diff(OFFSET(T1310,0,0,$I$5*-1,1),OFFSET(E1310,0,0,$I$5*-1,1))</f>
        <v>2.2655883852305436E-2</v>
      </c>
      <c r="V1310" s="9">
        <f t="shared" ca="1" si="167"/>
        <v>-1.0509699673460649E-2</v>
      </c>
      <c r="W1310" s="17">
        <f t="shared" ca="1" si="164"/>
        <v>-9.3678734858713683E-2</v>
      </c>
      <c r="X1310" s="13">
        <f t="shared" ca="1" si="165"/>
        <v>0</v>
      </c>
      <c r="Y1310" s="13">
        <f t="shared" ca="1" si="166"/>
        <v>0</v>
      </c>
      <c r="Z1310">
        <f t="shared" ca="1" si="168"/>
        <v>1</v>
      </c>
      <c r="AA1310">
        <f t="shared" ca="1" si="169"/>
        <v>0</v>
      </c>
      <c r="AB1310" s="24">
        <f t="shared" ca="1" si="170"/>
        <v>-9.3678734858713683E-2</v>
      </c>
      <c r="AC1310" s="24">
        <f t="shared" ca="1" si="171"/>
        <v>0</v>
      </c>
    </row>
    <row r="1311" spans="3:29" x14ac:dyDescent="0.25">
      <c r="C1311" s="6">
        <v>1304</v>
      </c>
      <c r="D1311" s="37">
        <v>43864</v>
      </c>
      <c r="E1311" s="39">
        <v>12.861000000000001</v>
      </c>
      <c r="F1311" s="39">
        <v>1.9875586724687586</v>
      </c>
      <c r="G1311" s="39">
        <v>35.811446955738205</v>
      </c>
      <c r="H1311" s="39">
        <v>61.250152467249158</v>
      </c>
      <c r="I1311" s="10">
        <v>0</v>
      </c>
      <c r="J1311" s="40">
        <v>1</v>
      </c>
      <c r="K1311" s="40">
        <v>0</v>
      </c>
      <c r="L1311" s="40">
        <v>0</v>
      </c>
      <c r="M1311" s="40">
        <v>0</v>
      </c>
      <c r="N1311" s="40">
        <v>0</v>
      </c>
      <c r="O1311" s="40">
        <v>0</v>
      </c>
      <c r="P1311" s="40">
        <v>0</v>
      </c>
      <c r="Q1311" s="40">
        <v>0</v>
      </c>
      <c r="R1311" s="40">
        <v>0</v>
      </c>
      <c r="S1311" s="40">
        <v>0</v>
      </c>
      <c r="T1311" s="29">
        <f t="array" aca="1" ref="T1311" ca="1">+fair_value_gap(OFFSET(S1310,0,0,-1*$I$5,-1*$Z$1),OFFSET(E1310,0,0,-1*$I$5,1),F1311:S1311,0)</f>
        <v>13.54404544927125</v>
      </c>
      <c r="U1311" s="9" cm="1">
        <f t="array" aca="1" ref="U1311" ca="1">z_score_diff(OFFSET(T1311,0,0,$I$5*-1,1),OFFSET(E1311,0,0,$I$5*-1,1))</f>
        <v>0.25769936411177596</v>
      </c>
      <c r="V1311" s="9">
        <f t="shared" ca="1" si="167"/>
        <v>-5.378935547291506E-3</v>
      </c>
      <c r="W1311" s="17">
        <f t="shared" ca="1" si="164"/>
        <v>-8.5252846074678826E-2</v>
      </c>
      <c r="X1311" s="13">
        <f t="shared" ca="1" si="165"/>
        <v>0</v>
      </c>
      <c r="Y1311" s="13">
        <f t="shared" ca="1" si="166"/>
        <v>0</v>
      </c>
      <c r="Z1311">
        <f t="shared" ca="1" si="168"/>
        <v>1</v>
      </c>
      <c r="AA1311">
        <f t="shared" ca="1" si="169"/>
        <v>0</v>
      </c>
      <c r="AB1311" s="24">
        <f t="shared" ca="1" si="170"/>
        <v>-8.5252846074678826E-2</v>
      </c>
      <c r="AC1311" s="24">
        <f t="shared" ca="1" si="171"/>
        <v>0</v>
      </c>
    </row>
    <row r="1312" spans="3:29" x14ac:dyDescent="0.25">
      <c r="C1312" s="6">
        <v>1305</v>
      </c>
      <c r="D1312" s="37">
        <v>43865</v>
      </c>
      <c r="E1312" s="39">
        <v>13.21</v>
      </c>
      <c r="F1312" s="39">
        <v>1.9910958404804628</v>
      </c>
      <c r="G1312" s="39">
        <v>36.735740533816951</v>
      </c>
      <c r="H1312" s="39">
        <v>61.788086624526045</v>
      </c>
      <c r="I1312" s="10">
        <v>0</v>
      </c>
      <c r="J1312" s="40">
        <v>1</v>
      </c>
      <c r="K1312" s="40">
        <v>0</v>
      </c>
      <c r="L1312" s="40">
        <v>0</v>
      </c>
      <c r="M1312" s="40">
        <v>0</v>
      </c>
      <c r="N1312" s="40">
        <v>0</v>
      </c>
      <c r="O1312" s="40">
        <v>0</v>
      </c>
      <c r="P1312" s="40">
        <v>0</v>
      </c>
      <c r="Q1312" s="40">
        <v>0</v>
      </c>
      <c r="R1312" s="40">
        <v>0</v>
      </c>
      <c r="S1312" s="40">
        <v>0</v>
      </c>
      <c r="T1312" s="29">
        <f t="array" aca="1" ref="T1312" ca="1">+fair_value_gap(OFFSET(S1311,0,0,-1*$I$5,-1*$Z$1),OFFSET(E1311,0,0,-1*$I$5,1),F1312:S1312,0)</f>
        <v>13.663330625849728</v>
      </c>
      <c r="U1312" s="9" cm="1">
        <f t="array" aca="1" ref="U1312" ca="1">z_score_diff(OFFSET(T1312,0,0,$I$5*-1,1),OFFSET(E1312,0,0,$I$5*-1,1))</f>
        <v>0.13267312775579354</v>
      </c>
      <c r="V1312" s="9">
        <f t="shared" ca="1" si="167"/>
        <v>-6.4254101404574802E-3</v>
      </c>
      <c r="W1312" s="17">
        <f t="shared" ca="1" si="164"/>
        <v>-8.2986729207703266E-2</v>
      </c>
      <c r="X1312" s="13">
        <f t="shared" ca="1" si="165"/>
        <v>0</v>
      </c>
      <c r="Y1312" s="13">
        <f t="shared" ca="1" si="166"/>
        <v>0</v>
      </c>
      <c r="Z1312">
        <f t="shared" ca="1" si="168"/>
        <v>1</v>
      </c>
      <c r="AA1312">
        <f t="shared" ca="1" si="169"/>
        <v>0</v>
      </c>
      <c r="AB1312" s="24">
        <f t="shared" ca="1" si="170"/>
        <v>-8.2986729207703266E-2</v>
      </c>
      <c r="AC1312" s="24">
        <f t="shared" ca="1" si="171"/>
        <v>0</v>
      </c>
    </row>
    <row r="1313" spans="3:29" x14ac:dyDescent="0.25">
      <c r="C1313" s="6">
        <v>1306</v>
      </c>
      <c r="D1313" s="37">
        <v>43866</v>
      </c>
      <c r="E1313" s="39">
        <v>13.590999999999999</v>
      </c>
      <c r="F1313" s="39">
        <v>1.9892092452379333</v>
      </c>
      <c r="G1313" s="39">
        <v>38.033329421156658</v>
      </c>
      <c r="H1313" s="39">
        <v>62.691833925716779</v>
      </c>
      <c r="I1313" s="10">
        <v>0</v>
      </c>
      <c r="J1313" s="40">
        <v>1</v>
      </c>
      <c r="K1313" s="40">
        <v>0</v>
      </c>
      <c r="L1313" s="40">
        <v>0</v>
      </c>
      <c r="M1313" s="40">
        <v>0</v>
      </c>
      <c r="N1313" s="40">
        <v>0</v>
      </c>
      <c r="O1313" s="40">
        <v>0</v>
      </c>
      <c r="P1313" s="40">
        <v>0</v>
      </c>
      <c r="Q1313" s="40">
        <v>0</v>
      </c>
      <c r="R1313" s="40">
        <v>0</v>
      </c>
      <c r="S1313" s="40">
        <v>0</v>
      </c>
      <c r="T1313" s="29">
        <f t="array" aca="1" ref="T1313" ca="1">+fair_value_gap(OFFSET(S1312,0,0,-1*$I$5,-1*$Z$1),OFFSET(E1312,0,0,-1*$I$5,1),F1313:S1313,0)</f>
        <v>14.001283388390013</v>
      </c>
      <c r="U1313" s="9" cm="1">
        <f t="array" aca="1" ref="U1313" ca="1">z_score_diff(OFFSET(T1313,0,0,$I$5*-1,1),OFFSET(E1313,0,0,$I$5*-1,1))</f>
        <v>0.11289695590643412</v>
      </c>
      <c r="V1313" s="9">
        <f t="shared" ca="1" si="167"/>
        <v>-4.1356738704282775E-3</v>
      </c>
      <c r="W1313" s="17">
        <f t="shared" ca="1" si="164"/>
        <v>-9.8427387013863041E-2</v>
      </c>
      <c r="X1313" s="13">
        <f t="shared" ca="1" si="165"/>
        <v>0</v>
      </c>
      <c r="Y1313" s="13">
        <f t="shared" ca="1" si="166"/>
        <v>0</v>
      </c>
      <c r="Z1313">
        <f t="shared" ca="1" si="168"/>
        <v>1</v>
      </c>
      <c r="AA1313">
        <f t="shared" ca="1" si="169"/>
        <v>0</v>
      </c>
      <c r="AB1313" s="24">
        <f t="shared" ca="1" si="170"/>
        <v>-9.8427387013863041E-2</v>
      </c>
      <c r="AC1313" s="24">
        <f t="shared" ca="1" si="171"/>
        <v>0</v>
      </c>
    </row>
    <row r="1314" spans="3:29" x14ac:dyDescent="0.25">
      <c r="C1314" s="6">
        <v>1307</v>
      </c>
      <c r="D1314" s="37">
        <v>43867</v>
      </c>
      <c r="E1314" s="39">
        <v>13.459</v>
      </c>
      <c r="F1314" s="39">
        <v>1.9959903556572192</v>
      </c>
      <c r="G1314" s="39">
        <v>37.206384916543129</v>
      </c>
      <c r="H1314" s="39">
        <v>62.131823681630692</v>
      </c>
      <c r="I1314" s="10">
        <v>0</v>
      </c>
      <c r="J1314" s="40">
        <v>1</v>
      </c>
      <c r="K1314" s="40">
        <v>0</v>
      </c>
      <c r="L1314" s="40">
        <v>0</v>
      </c>
      <c r="M1314" s="40">
        <v>0</v>
      </c>
      <c r="N1314" s="40">
        <v>0</v>
      </c>
      <c r="O1314" s="40">
        <v>0</v>
      </c>
      <c r="P1314" s="40">
        <v>0</v>
      </c>
      <c r="Q1314" s="40">
        <v>0</v>
      </c>
      <c r="R1314" s="40">
        <v>0</v>
      </c>
      <c r="S1314" s="40">
        <v>0</v>
      </c>
      <c r="T1314" s="29">
        <f t="array" aca="1" ref="T1314" ca="1">+fair_value_gap(OFFSET(S1313,0,0,-1*$I$5,-1*$Z$1),OFFSET(E1313,0,0,-1*$I$5,1),F1314:S1314,0)</f>
        <v>13.663576347220769</v>
      </c>
      <c r="U1314" s="9" cm="1">
        <f t="array" aca="1" ref="U1314" ca="1">z_score_diff(OFFSET(T1314,0,0,$I$5*-1,1),OFFSET(E1314,0,0,$I$5*-1,1))</f>
        <v>-3.9511619097565287E-4</v>
      </c>
      <c r="V1314" s="9">
        <f t="shared" ca="1" si="167"/>
        <v>-4.9783412542477078E-4</v>
      </c>
      <c r="W1314" s="17">
        <f t="shared" ca="1" si="164"/>
        <v>-9.346924218803862E-2</v>
      </c>
      <c r="X1314" s="13">
        <f t="shared" ca="1" si="165"/>
        <v>0</v>
      </c>
      <c r="Y1314" s="13">
        <f t="shared" ca="1" si="166"/>
        <v>0</v>
      </c>
      <c r="Z1314">
        <f t="shared" ca="1" si="168"/>
        <v>1</v>
      </c>
      <c r="AA1314">
        <f t="shared" ca="1" si="169"/>
        <v>0</v>
      </c>
      <c r="AB1314" s="24">
        <f t="shared" ca="1" si="170"/>
        <v>-9.346924218803862E-2</v>
      </c>
      <c r="AC1314" s="24">
        <f t="shared" ca="1" si="171"/>
        <v>0</v>
      </c>
    </row>
    <row r="1315" spans="3:29" x14ac:dyDescent="0.25">
      <c r="C1315" s="6">
        <v>1308</v>
      </c>
      <c r="D1315" s="37">
        <v>43868</v>
      </c>
      <c r="E1315" s="39">
        <v>13.567</v>
      </c>
      <c r="F1315" s="39">
        <v>2.0259696503539906</v>
      </c>
      <c r="G1315" s="39">
        <v>37.678757052467809</v>
      </c>
      <c r="H1315" s="39">
        <v>61.133745029281243</v>
      </c>
      <c r="I1315" s="10">
        <v>0</v>
      </c>
      <c r="J1315" s="40">
        <v>1</v>
      </c>
      <c r="K1315" s="40">
        <v>0</v>
      </c>
      <c r="L1315" s="40">
        <v>0</v>
      </c>
      <c r="M1315" s="40">
        <v>0</v>
      </c>
      <c r="N1315" s="40">
        <v>0</v>
      </c>
      <c r="O1315" s="40">
        <v>0</v>
      </c>
      <c r="P1315" s="40">
        <v>0</v>
      </c>
      <c r="Q1315" s="40">
        <v>0</v>
      </c>
      <c r="R1315" s="40">
        <v>0</v>
      </c>
      <c r="S1315" s="40">
        <v>0</v>
      </c>
      <c r="T1315" s="29">
        <f t="array" aca="1" ref="T1315" ca="1">+fair_value_gap(OFFSET(S1314,0,0,-1*$I$5,-1*$Z$1),OFFSET(E1314,0,0,-1*$I$5,1),F1315:S1315,0)</f>
        <v>13.735655052347775</v>
      </c>
      <c r="U1315" s="9" cm="1">
        <f t="array" aca="1" ref="U1315" ca="1">z_score_diff(OFFSET(T1315,0,0,$I$5*-1,1),OFFSET(E1315,0,0,$I$5*-1,1))</f>
        <v>-1.6656740368338863E-2</v>
      </c>
      <c r="V1315" s="9">
        <f t="shared" ca="1" si="167"/>
        <v>5.2382352103985293E-3</v>
      </c>
      <c r="W1315" s="17">
        <f t="shared" ca="1" si="164"/>
        <v>-0.12365081077765497</v>
      </c>
      <c r="X1315" s="13">
        <f t="shared" ca="1" si="165"/>
        <v>0</v>
      </c>
      <c r="Y1315" s="13">
        <f t="shared" ca="1" si="166"/>
        <v>0</v>
      </c>
      <c r="Z1315">
        <f t="shared" ca="1" si="168"/>
        <v>0</v>
      </c>
      <c r="AA1315">
        <f t="shared" ca="1" si="169"/>
        <v>1</v>
      </c>
      <c r="AB1315" s="24">
        <f t="shared" ca="1" si="170"/>
        <v>0</v>
      </c>
      <c r="AC1315" s="24">
        <f t="shared" ca="1" si="171"/>
        <v>-0.12365081077765497</v>
      </c>
    </row>
    <row r="1316" spans="3:29" x14ac:dyDescent="0.25">
      <c r="C1316" s="6">
        <v>1309</v>
      </c>
      <c r="D1316" s="37">
        <v>43871</v>
      </c>
      <c r="E1316" s="39">
        <v>13.326000000000001</v>
      </c>
      <c r="F1316" s="39">
        <v>2.0267571085525056</v>
      </c>
      <c r="G1316" s="39">
        <v>37.067252915045579</v>
      </c>
      <c r="H1316" s="39">
        <v>61.211979397898325</v>
      </c>
      <c r="I1316" s="10">
        <v>0</v>
      </c>
      <c r="J1316" s="40">
        <v>1</v>
      </c>
      <c r="K1316" s="40">
        <v>0</v>
      </c>
      <c r="L1316" s="40">
        <v>0</v>
      </c>
      <c r="M1316" s="40">
        <v>0</v>
      </c>
      <c r="N1316" s="40">
        <v>0</v>
      </c>
      <c r="O1316" s="40">
        <v>0</v>
      </c>
      <c r="P1316" s="40">
        <v>0</v>
      </c>
      <c r="Q1316" s="40">
        <v>0</v>
      </c>
      <c r="R1316" s="40">
        <v>0</v>
      </c>
      <c r="S1316" s="40">
        <v>0</v>
      </c>
      <c r="T1316" s="29">
        <f t="array" aca="1" ref="T1316" ca="1">+fair_value_gap(OFFSET(S1315,0,0,-1*$I$5,-1*$Z$1),OFFSET(E1315,0,0,-1*$I$5,1),F1316:S1316,0)</f>
        <v>13.526062658907872</v>
      </c>
      <c r="U1316" s="9" cm="1">
        <f t="array" aca="1" ref="U1316" ca="1">z_score_diff(OFFSET(T1316,0,0,$I$5*-1,1),OFFSET(E1316,0,0,$I$5*-1,1))</f>
        <v>-5.0837876851308472E-3</v>
      </c>
      <c r="V1316" s="9">
        <f t="shared" ca="1" si="167"/>
        <v>9.0068751034014134E-3</v>
      </c>
      <c r="W1316" s="17">
        <f t="shared" ca="1" si="164"/>
        <v>-0.1274821036167621</v>
      </c>
      <c r="X1316" s="13">
        <f t="shared" ca="1" si="165"/>
        <v>0</v>
      </c>
      <c r="Y1316" s="13">
        <f t="shared" ca="1" si="166"/>
        <v>0</v>
      </c>
      <c r="Z1316">
        <f t="shared" ca="1" si="168"/>
        <v>0</v>
      </c>
      <c r="AA1316">
        <f t="shared" ca="1" si="169"/>
        <v>1</v>
      </c>
      <c r="AB1316" s="24">
        <f t="shared" ca="1" si="170"/>
        <v>0</v>
      </c>
      <c r="AC1316" s="24">
        <f t="shared" ca="1" si="171"/>
        <v>-0.1274821036167621</v>
      </c>
    </row>
    <row r="1317" spans="3:29" x14ac:dyDescent="0.25">
      <c r="C1317" s="6">
        <v>1310</v>
      </c>
      <c r="D1317" s="37">
        <v>43872</v>
      </c>
      <c r="E1317" s="39">
        <v>13.471</v>
      </c>
      <c r="F1317" s="39">
        <v>2.0378074152017058</v>
      </c>
      <c r="G1317" s="39">
        <v>37.345158133768443</v>
      </c>
      <c r="H1317" s="39">
        <v>62.47617151708674</v>
      </c>
      <c r="I1317" s="10">
        <v>0</v>
      </c>
      <c r="J1317" s="40">
        <v>1</v>
      </c>
      <c r="K1317" s="40">
        <v>0</v>
      </c>
      <c r="L1317" s="40">
        <v>0</v>
      </c>
      <c r="M1317" s="40">
        <v>0</v>
      </c>
      <c r="N1317" s="40">
        <v>0</v>
      </c>
      <c r="O1317" s="40">
        <v>0</v>
      </c>
      <c r="P1317" s="40">
        <v>0</v>
      </c>
      <c r="Q1317" s="40">
        <v>0</v>
      </c>
      <c r="R1317" s="40">
        <v>0</v>
      </c>
      <c r="S1317" s="40">
        <v>0</v>
      </c>
      <c r="T1317" s="29">
        <f t="array" aca="1" ref="T1317" ca="1">+fair_value_gap(OFFSET(S1316,0,0,-1*$I$5,-1*$Z$1),OFFSET(E1316,0,0,-1*$I$5,1),F1317:S1317,0)</f>
        <v>13.629327440633972</v>
      </c>
      <c r="U1317" s="9" cm="1">
        <f t="array" aca="1" ref="U1317" ca="1">z_score_diff(OFFSET(T1317,0,0,$I$5*-1,1),OFFSET(E1317,0,0,$I$5*-1,1))</f>
        <v>-2.312990366430645E-2</v>
      </c>
      <c r="V1317" s="9">
        <f t="shared" ca="1" si="167"/>
        <v>1.7665009418363388E-2</v>
      </c>
      <c r="W1317" s="17">
        <f t="shared" ca="1" si="164"/>
        <v>-7.0818561138637937E-2</v>
      </c>
      <c r="X1317" s="13">
        <f t="shared" ca="1" si="165"/>
        <v>0</v>
      </c>
      <c r="Y1317" s="13">
        <f t="shared" ca="1" si="166"/>
        <v>0</v>
      </c>
      <c r="Z1317">
        <f t="shared" ca="1" si="168"/>
        <v>0</v>
      </c>
      <c r="AA1317">
        <f t="shared" ca="1" si="169"/>
        <v>1</v>
      </c>
      <c r="AB1317" s="24">
        <f t="shared" ca="1" si="170"/>
        <v>0</v>
      </c>
      <c r="AC1317" s="24">
        <f t="shared" ca="1" si="171"/>
        <v>-7.0818561138637937E-2</v>
      </c>
    </row>
    <row r="1318" spans="3:29" x14ac:dyDescent="0.25">
      <c r="C1318" s="6">
        <v>1311</v>
      </c>
      <c r="D1318" s="37">
        <v>43873</v>
      </c>
      <c r="E1318" s="39">
        <v>13.804</v>
      </c>
      <c r="F1318" s="39">
        <v>2.0492333209975078</v>
      </c>
      <c r="G1318" s="39">
        <v>38.482032544603904</v>
      </c>
      <c r="H1318" s="39">
        <v>62.957298721681475</v>
      </c>
      <c r="I1318" s="10">
        <v>0</v>
      </c>
      <c r="J1318" s="40">
        <v>1</v>
      </c>
      <c r="K1318" s="40">
        <v>0</v>
      </c>
      <c r="L1318" s="40">
        <v>0</v>
      </c>
      <c r="M1318" s="40">
        <v>0</v>
      </c>
      <c r="N1318" s="40">
        <v>0</v>
      </c>
      <c r="O1318" s="40">
        <v>0</v>
      </c>
      <c r="P1318" s="40">
        <v>0</v>
      </c>
      <c r="Q1318" s="40">
        <v>0</v>
      </c>
      <c r="R1318" s="40">
        <v>0</v>
      </c>
      <c r="S1318" s="40">
        <v>0</v>
      </c>
      <c r="T1318" s="29">
        <f t="array" aca="1" ref="T1318" ca="1">+fair_value_gap(OFFSET(S1317,0,0,-1*$I$5,-1*$Z$1),OFFSET(E1317,0,0,-1*$I$5,1),F1318:S1318,0)</f>
        <v>13.969016992663224</v>
      </c>
      <c r="U1318" s="9" cm="1">
        <f t="array" aca="1" ref="U1318" ca="1">z_score_diff(OFFSET(T1318,0,0,$I$5*-1,1),OFFSET(E1318,0,0,$I$5*-1,1))</f>
        <v>-1.2757237894844398E-2</v>
      </c>
      <c r="V1318" s="9">
        <f t="shared" ca="1" si="167"/>
        <v>2.4076592331717959E-2</v>
      </c>
      <c r="W1318" s="17">
        <f t="shared" ca="1" si="164"/>
        <v>-9.9229760927501492E-2</v>
      </c>
      <c r="X1318" s="13">
        <f t="shared" ca="1" si="165"/>
        <v>0</v>
      </c>
      <c r="Y1318" s="13">
        <f t="shared" ca="1" si="166"/>
        <v>0</v>
      </c>
      <c r="Z1318">
        <f t="shared" ca="1" si="168"/>
        <v>0</v>
      </c>
      <c r="AA1318">
        <f t="shared" ca="1" si="169"/>
        <v>1</v>
      </c>
      <c r="AB1318" s="24">
        <f t="shared" ca="1" si="170"/>
        <v>0</v>
      </c>
      <c r="AC1318" s="24">
        <f t="shared" ca="1" si="171"/>
        <v>-9.9229760927501492E-2</v>
      </c>
    </row>
    <row r="1319" spans="3:29" x14ac:dyDescent="0.25">
      <c r="C1319" s="6">
        <v>1312</v>
      </c>
      <c r="D1319" s="37">
        <v>43874</v>
      </c>
      <c r="E1319" s="39">
        <v>14.065</v>
      </c>
      <c r="F1319" s="39">
        <v>2.052244984171848</v>
      </c>
      <c r="G1319" s="39">
        <v>39.271722467210481</v>
      </c>
      <c r="H1319" s="39">
        <v>64.216562413576142</v>
      </c>
      <c r="I1319" s="10">
        <v>0</v>
      </c>
      <c r="J1319" s="40">
        <v>1</v>
      </c>
      <c r="K1319" s="40">
        <v>0</v>
      </c>
      <c r="L1319" s="40">
        <v>0</v>
      </c>
      <c r="M1319" s="40">
        <v>0</v>
      </c>
      <c r="N1319" s="40">
        <v>0</v>
      </c>
      <c r="O1319" s="40">
        <v>0</v>
      </c>
      <c r="P1319" s="40">
        <v>0</v>
      </c>
      <c r="Q1319" s="40">
        <v>0</v>
      </c>
      <c r="R1319" s="40">
        <v>0</v>
      </c>
      <c r="S1319" s="40">
        <v>0</v>
      </c>
      <c r="T1319" s="29">
        <f t="array" aca="1" ref="T1319" ca="1">+fair_value_gap(OFFSET(S1318,0,0,-1*$I$5,-1*$Z$1),OFFSET(E1318,0,0,-1*$I$5,1),F1319:S1319,0)</f>
        <v>14.232643310468601</v>
      </c>
      <c r="U1319" s="9" cm="1">
        <f t="array" aca="1" ref="U1319" ca="1">z_score_diff(OFFSET(T1319,0,0,$I$5*-1,1),OFFSET(E1319,0,0,$I$5*-1,1))</f>
        <v>-6.3748098213374238E-3</v>
      </c>
      <c r="V1319" s="9">
        <f t="shared" ca="1" si="167"/>
        <v>2.5601882092359477E-2</v>
      </c>
      <c r="W1319" s="17">
        <f t="shared" ca="1" si="164"/>
        <v>-9.4556819854548585E-2</v>
      </c>
      <c r="X1319" s="13">
        <f t="shared" ca="1" si="165"/>
        <v>0</v>
      </c>
      <c r="Y1319" s="13">
        <f t="shared" ca="1" si="166"/>
        <v>0</v>
      </c>
      <c r="Z1319">
        <f t="shared" ca="1" si="168"/>
        <v>0</v>
      </c>
      <c r="AA1319">
        <f t="shared" ca="1" si="169"/>
        <v>1</v>
      </c>
      <c r="AB1319" s="24">
        <f t="shared" ca="1" si="170"/>
        <v>0</v>
      </c>
      <c r="AC1319" s="24">
        <f t="shared" ca="1" si="171"/>
        <v>-9.4556819854548585E-2</v>
      </c>
    </row>
    <row r="1320" spans="3:29" x14ac:dyDescent="0.25">
      <c r="C1320" s="6">
        <v>1313</v>
      </c>
      <c r="D1320" s="37">
        <v>43875</v>
      </c>
      <c r="E1320" s="39">
        <v>14.191000000000001</v>
      </c>
      <c r="F1320" s="39">
        <v>2.0445760548275804</v>
      </c>
      <c r="G1320" s="39">
        <v>39.742213945387888</v>
      </c>
      <c r="H1320" s="39">
        <v>64.228691739876936</v>
      </c>
      <c r="I1320" s="10">
        <v>0</v>
      </c>
      <c r="J1320" s="40">
        <v>1</v>
      </c>
      <c r="K1320" s="40">
        <v>0</v>
      </c>
      <c r="L1320" s="40">
        <v>0</v>
      </c>
      <c r="M1320" s="40">
        <v>0</v>
      </c>
      <c r="N1320" s="40">
        <v>0</v>
      </c>
      <c r="O1320" s="40">
        <v>0</v>
      </c>
      <c r="P1320" s="40">
        <v>0</v>
      </c>
      <c r="Q1320" s="40">
        <v>0</v>
      </c>
      <c r="R1320" s="40">
        <v>0</v>
      </c>
      <c r="S1320" s="40">
        <v>0</v>
      </c>
      <c r="T1320" s="29">
        <f t="array" aca="1" ref="T1320" ca="1">+fair_value_gap(OFFSET(S1319,0,0,-1*$I$5,-1*$Z$1),OFFSET(E1319,0,0,-1*$I$5,1),F1320:S1320,0)</f>
        <v>14.3492140563242</v>
      </c>
      <c r="U1320" s="9" cm="1">
        <f t="array" aca="1" ref="U1320" ca="1">z_score_diff(OFFSET(T1320,0,0,$I$5*-1,1),OFFSET(E1320,0,0,$I$5*-1,1))</f>
        <v>-8.658859683277953E-3</v>
      </c>
      <c r="V1320" s="9">
        <f t="shared" ca="1" si="167"/>
        <v>2.6946869341413285E-2</v>
      </c>
      <c r="W1320" s="17">
        <f t="shared" ca="1" si="164"/>
        <v>-0.10058798259007648</v>
      </c>
      <c r="X1320" s="13">
        <f t="shared" ca="1" si="165"/>
        <v>0</v>
      </c>
      <c r="Y1320" s="13">
        <f t="shared" ca="1" si="166"/>
        <v>0</v>
      </c>
      <c r="Z1320">
        <f t="shared" ca="1" si="168"/>
        <v>0</v>
      </c>
      <c r="AA1320">
        <f t="shared" ca="1" si="169"/>
        <v>1</v>
      </c>
      <c r="AB1320" s="24">
        <f t="shared" ca="1" si="170"/>
        <v>0</v>
      </c>
      <c r="AC1320" s="24">
        <f t="shared" ca="1" si="171"/>
        <v>-0.10058798259007648</v>
      </c>
    </row>
    <row r="1321" spans="3:29" x14ac:dyDescent="0.25">
      <c r="C1321" s="6">
        <v>1314</v>
      </c>
      <c r="D1321" s="37">
        <v>43878</v>
      </c>
      <c r="E1321" s="39">
        <v>14.551</v>
      </c>
      <c r="F1321" s="39">
        <v>2.045198529319586</v>
      </c>
      <c r="G1321" s="39">
        <v>40.867948391237455</v>
      </c>
      <c r="H1321" s="39">
        <v>65.278009101312549</v>
      </c>
      <c r="I1321" s="10">
        <v>0</v>
      </c>
      <c r="J1321" s="40">
        <v>1</v>
      </c>
      <c r="K1321" s="40">
        <v>0</v>
      </c>
      <c r="L1321" s="40">
        <v>0</v>
      </c>
      <c r="M1321" s="40">
        <v>0</v>
      </c>
      <c r="N1321" s="40">
        <v>0</v>
      </c>
      <c r="O1321" s="40">
        <v>0</v>
      </c>
      <c r="P1321" s="40">
        <v>0</v>
      </c>
      <c r="Q1321" s="40">
        <v>0</v>
      </c>
      <c r="R1321" s="40">
        <v>0</v>
      </c>
      <c r="S1321" s="40">
        <v>0</v>
      </c>
      <c r="T1321" s="29">
        <f t="array" aca="1" ref="T1321" ca="1">+fair_value_gap(OFFSET(S1320,0,0,-1*$I$5,-1*$Z$1),OFFSET(E1320,0,0,-1*$I$5,1),F1321:S1321,0)</f>
        <v>14.702066078121659</v>
      </c>
      <c r="U1321" s="9" cm="1">
        <f t="array" aca="1" ref="U1321" ca="1">z_score_diff(OFFSET(T1321,0,0,$I$5*-1,1),OFFSET(E1321,0,0,$I$5*-1,1))</f>
        <v>-5.3875038190909219E-3</v>
      </c>
      <c r="V1321" s="9">
        <f t="shared" ca="1" si="167"/>
        <v>2.9046286197775599E-2</v>
      </c>
      <c r="W1321" s="17">
        <f t="shared" ca="1" si="164"/>
        <v>-8.1435333858188269E-2</v>
      </c>
      <c r="X1321" s="13">
        <f t="shared" ca="1" si="165"/>
        <v>0</v>
      </c>
      <c r="Y1321" s="13">
        <f t="shared" ca="1" si="166"/>
        <v>0</v>
      </c>
      <c r="Z1321">
        <f t="shared" ca="1" si="168"/>
        <v>0</v>
      </c>
      <c r="AA1321">
        <f t="shared" ca="1" si="169"/>
        <v>1</v>
      </c>
      <c r="AB1321" s="24">
        <f t="shared" ca="1" si="170"/>
        <v>0</v>
      </c>
      <c r="AC1321" s="24">
        <f t="shared" ca="1" si="171"/>
        <v>-8.1435333858188269E-2</v>
      </c>
    </row>
    <row r="1322" spans="3:29" x14ac:dyDescent="0.25">
      <c r="C1322" s="6">
        <v>1315</v>
      </c>
      <c r="D1322" s="37">
        <v>43879</v>
      </c>
      <c r="E1322" s="39">
        <v>14.125999999999999</v>
      </c>
      <c r="F1322" s="39">
        <v>2.0578997739904836</v>
      </c>
      <c r="G1322" s="39">
        <v>40.511959376724512</v>
      </c>
      <c r="H1322" s="39">
        <v>63.848811765075915</v>
      </c>
      <c r="I1322" s="10">
        <v>0</v>
      </c>
      <c r="J1322" s="40">
        <v>1</v>
      </c>
      <c r="K1322" s="40">
        <v>0</v>
      </c>
      <c r="L1322" s="40">
        <v>0</v>
      </c>
      <c r="M1322" s="40">
        <v>0</v>
      </c>
      <c r="N1322" s="40">
        <v>0</v>
      </c>
      <c r="O1322" s="40">
        <v>0</v>
      </c>
      <c r="P1322" s="40">
        <v>0</v>
      </c>
      <c r="Q1322" s="40">
        <v>0</v>
      </c>
      <c r="R1322" s="40">
        <v>0</v>
      </c>
      <c r="S1322" s="40">
        <v>0</v>
      </c>
      <c r="T1322" s="29">
        <f t="array" aca="1" ref="T1322" ca="1">+fair_value_gap(OFFSET(S1321,0,0,-1*$I$5,-1*$Z$1),OFFSET(E1321,0,0,-1*$I$5,1),F1322:S1322,0)</f>
        <v>14.501628209759605</v>
      </c>
      <c r="U1322" s="9" cm="1">
        <f t="array" aca="1" ref="U1322" ca="1">z_score_diff(OFFSET(T1322,0,0,$I$5*-1,1),OFFSET(E1322,0,0,$I$5*-1,1))</f>
        <v>9.5628034077983148E-2</v>
      </c>
      <c r="V1322" s="9">
        <f t="shared" ca="1" si="167"/>
        <v>3.3536140867966364E-2</v>
      </c>
      <c r="W1322" s="17">
        <f t="shared" ca="1" si="164"/>
        <v>-5.1345457867909651E-2</v>
      </c>
      <c r="X1322" s="13">
        <f t="shared" ca="1" si="165"/>
        <v>0</v>
      </c>
      <c r="Y1322" s="13">
        <f t="shared" ca="1" si="166"/>
        <v>0</v>
      </c>
      <c r="Z1322">
        <f t="shared" ca="1" si="168"/>
        <v>0</v>
      </c>
      <c r="AA1322">
        <f t="shared" ca="1" si="169"/>
        <v>1</v>
      </c>
      <c r="AB1322" s="24">
        <f t="shared" ca="1" si="170"/>
        <v>0</v>
      </c>
      <c r="AC1322" s="24">
        <f t="shared" ca="1" si="171"/>
        <v>-5.1345457867909651E-2</v>
      </c>
    </row>
    <row r="1323" spans="3:29" x14ac:dyDescent="0.25">
      <c r="C1323" s="6">
        <v>1316</v>
      </c>
      <c r="D1323" s="37">
        <v>43880</v>
      </c>
      <c r="E1323" s="39">
        <v>13.97</v>
      </c>
      <c r="F1323" s="39">
        <v>2.0452118351266706</v>
      </c>
      <c r="G1323" s="39">
        <v>39.912721048287928</v>
      </c>
      <c r="H1323" s="39">
        <v>63.671689206773706</v>
      </c>
      <c r="I1323" s="10">
        <v>0</v>
      </c>
      <c r="J1323" s="40">
        <v>1</v>
      </c>
      <c r="K1323" s="40">
        <v>0</v>
      </c>
      <c r="L1323" s="40">
        <v>0</v>
      </c>
      <c r="M1323" s="40">
        <v>0</v>
      </c>
      <c r="N1323" s="40">
        <v>0</v>
      </c>
      <c r="O1323" s="40">
        <v>0</v>
      </c>
      <c r="P1323" s="40">
        <v>0</v>
      </c>
      <c r="Q1323" s="40">
        <v>0</v>
      </c>
      <c r="R1323" s="40">
        <v>0</v>
      </c>
      <c r="S1323" s="40">
        <v>0</v>
      </c>
      <c r="T1323" s="29">
        <f t="array" aca="1" ref="T1323" ca="1">+fair_value_gap(OFFSET(S1322,0,0,-1*$I$5,-1*$Z$1),OFFSET(E1322,0,0,-1*$I$5,1),F1323:S1323,0)</f>
        <v>14.26259436970169</v>
      </c>
      <c r="U1323" s="9" cm="1">
        <f t="array" aca="1" ref="U1323" ca="1">z_score_diff(OFFSET(T1323,0,0,$I$5*-1,1),OFFSET(E1323,0,0,$I$5*-1,1))</f>
        <v>5.0162769651081129E-2</v>
      </c>
      <c r="V1323" s="9">
        <f t="shared" ca="1" si="167"/>
        <v>4.1746908967748061E-2</v>
      </c>
      <c r="W1323" s="17">
        <f t="shared" ca="1" si="164"/>
        <v>-5.1557052184064409E-2</v>
      </c>
      <c r="X1323" s="13">
        <f t="shared" ca="1" si="165"/>
        <v>0</v>
      </c>
      <c r="Y1323" s="13">
        <f t="shared" ca="1" si="166"/>
        <v>0</v>
      </c>
      <c r="Z1323">
        <f t="shared" ca="1" si="168"/>
        <v>0</v>
      </c>
      <c r="AA1323">
        <f t="shared" ca="1" si="169"/>
        <v>1</v>
      </c>
      <c r="AB1323" s="24">
        <f t="shared" ca="1" si="170"/>
        <v>0</v>
      </c>
      <c r="AC1323" s="24">
        <f t="shared" ca="1" si="171"/>
        <v>-5.1557052184064409E-2</v>
      </c>
    </row>
    <row r="1324" spans="3:29" x14ac:dyDescent="0.25">
      <c r="C1324" s="6">
        <v>1317</v>
      </c>
      <c r="D1324" s="37">
        <v>43881</v>
      </c>
      <c r="E1324" s="39">
        <v>13.903</v>
      </c>
      <c r="F1324" s="39">
        <v>2.0374480063787241</v>
      </c>
      <c r="G1324" s="39">
        <v>39.455997933872169</v>
      </c>
      <c r="H1324" s="39">
        <v>63.400270339832652</v>
      </c>
      <c r="I1324" s="10">
        <v>0</v>
      </c>
      <c r="J1324" s="40">
        <v>1</v>
      </c>
      <c r="K1324" s="40">
        <v>0</v>
      </c>
      <c r="L1324" s="40">
        <v>0</v>
      </c>
      <c r="M1324" s="40">
        <v>0</v>
      </c>
      <c r="N1324" s="40">
        <v>0</v>
      </c>
      <c r="O1324" s="40">
        <v>0</v>
      </c>
      <c r="P1324" s="40">
        <v>0</v>
      </c>
      <c r="Q1324" s="40">
        <v>0</v>
      </c>
      <c r="R1324" s="40">
        <v>0</v>
      </c>
      <c r="S1324" s="40">
        <v>0</v>
      </c>
      <c r="T1324" s="29">
        <f t="array" aca="1" ref="T1324" ca="1">+fair_value_gap(OFFSET(S1323,0,0,-1*$I$5,-1*$Z$1),OFFSET(E1323,0,0,-1*$I$5,1),F1324:S1324,0)</f>
        <v>14.061513694962386</v>
      </c>
      <c r="U1324" s="9" cm="1">
        <f t="array" aca="1" ref="U1324" ca="1">z_score_diff(OFFSET(T1324,0,0,$I$5*-1,1),OFFSET(E1324,0,0,$I$5*-1,1))</f>
        <v>-1.6819673799914447E-2</v>
      </c>
      <c r="V1324" s="9">
        <f t="shared" ca="1" si="167"/>
        <v>3.7091996203382327E-2</v>
      </c>
      <c r="W1324" s="17">
        <f t="shared" ca="1" si="164"/>
        <v>-3.9914329179731249E-2</v>
      </c>
      <c r="X1324" s="13">
        <f t="shared" ca="1" si="165"/>
        <v>0</v>
      </c>
      <c r="Y1324" s="13">
        <f t="shared" ca="1" si="166"/>
        <v>0</v>
      </c>
      <c r="Z1324">
        <f t="shared" ca="1" si="168"/>
        <v>0</v>
      </c>
      <c r="AA1324">
        <f t="shared" ca="1" si="169"/>
        <v>1</v>
      </c>
      <c r="AB1324" s="24">
        <f t="shared" ca="1" si="170"/>
        <v>0</v>
      </c>
      <c r="AC1324" s="24">
        <f t="shared" ca="1" si="171"/>
        <v>-3.9914329179731249E-2</v>
      </c>
    </row>
    <row r="1325" spans="3:29" x14ac:dyDescent="0.25">
      <c r="C1325" s="6">
        <v>1318</v>
      </c>
      <c r="D1325" s="37">
        <v>43882</v>
      </c>
      <c r="E1325" s="39">
        <v>13.663</v>
      </c>
      <c r="F1325" s="39">
        <v>2.0175872020165131</v>
      </c>
      <c r="G1325" s="39">
        <v>38.804633999344446</v>
      </c>
      <c r="H1325" s="39">
        <v>63.105544694837704</v>
      </c>
      <c r="I1325" s="10">
        <v>0</v>
      </c>
      <c r="J1325" s="40">
        <v>1</v>
      </c>
      <c r="K1325" s="40">
        <v>0</v>
      </c>
      <c r="L1325" s="40">
        <v>0</v>
      </c>
      <c r="M1325" s="40">
        <v>0</v>
      </c>
      <c r="N1325" s="40">
        <v>0</v>
      </c>
      <c r="O1325" s="40">
        <v>0</v>
      </c>
      <c r="P1325" s="40">
        <v>0</v>
      </c>
      <c r="Q1325" s="40">
        <v>0</v>
      </c>
      <c r="R1325" s="40">
        <v>0</v>
      </c>
      <c r="S1325" s="40">
        <v>0</v>
      </c>
      <c r="T1325" s="29">
        <f t="array" aca="1" ref="T1325" ca="1">+fair_value_gap(OFFSET(S1324,0,0,-1*$I$5,-1*$Z$1),OFFSET(E1324,0,0,-1*$I$5,1),F1325:S1325,0)</f>
        <v>13.834041800539049</v>
      </c>
      <c r="U1325" s="9" cm="1">
        <f t="array" aca="1" ref="U1325" ca="1">z_score_diff(OFFSET(T1325,0,0,$I$5*-1,1),OFFSET(E1325,0,0,$I$5*-1,1))</f>
        <v>-1.5250833949697284E-2</v>
      </c>
      <c r="V1325" s="9">
        <f t="shared" ca="1" si="167"/>
        <v>3.4760801546991647E-2</v>
      </c>
      <c r="W1325" s="17">
        <f t="shared" ca="1" si="164"/>
        <v>-3.4550380209533278E-2</v>
      </c>
      <c r="X1325" s="13">
        <f t="shared" ca="1" si="165"/>
        <v>0</v>
      </c>
      <c r="Y1325" s="13">
        <f t="shared" ca="1" si="166"/>
        <v>0</v>
      </c>
      <c r="Z1325">
        <f t="shared" ca="1" si="168"/>
        <v>0</v>
      </c>
      <c r="AA1325">
        <f t="shared" ca="1" si="169"/>
        <v>1</v>
      </c>
      <c r="AB1325" s="24">
        <f t="shared" ca="1" si="170"/>
        <v>0</v>
      </c>
      <c r="AC1325" s="24">
        <f t="shared" ca="1" si="171"/>
        <v>-3.4550380209533278E-2</v>
      </c>
    </row>
    <row r="1326" spans="3:29" x14ac:dyDescent="0.25">
      <c r="C1326" s="6">
        <v>1319</v>
      </c>
      <c r="D1326" s="37">
        <v>43885</v>
      </c>
      <c r="E1326" s="39">
        <v>13.138999999999999</v>
      </c>
      <c r="F1326" s="39">
        <v>2.0128327038754192</v>
      </c>
      <c r="G1326" s="39">
        <v>37.101298603989008</v>
      </c>
      <c r="H1326" s="39">
        <v>62.274250246679443</v>
      </c>
      <c r="I1326" s="10">
        <v>0</v>
      </c>
      <c r="J1326" s="40">
        <v>1</v>
      </c>
      <c r="K1326" s="40">
        <v>0</v>
      </c>
      <c r="L1326" s="40">
        <v>0</v>
      </c>
      <c r="M1326" s="40">
        <v>0</v>
      </c>
      <c r="N1326" s="40">
        <v>0</v>
      </c>
      <c r="O1326" s="40">
        <v>0</v>
      </c>
      <c r="P1326" s="40">
        <v>0</v>
      </c>
      <c r="Q1326" s="40">
        <v>0</v>
      </c>
      <c r="R1326" s="40">
        <v>0</v>
      </c>
      <c r="S1326" s="40">
        <v>0</v>
      </c>
      <c r="T1326" s="29">
        <f t="array" aca="1" ref="T1326" ca="1">+fair_value_gap(OFFSET(S1325,0,0,-1*$I$5,-1*$Z$1),OFFSET(E1325,0,0,-1*$I$5,1),F1326:S1326,0)</f>
        <v>13.305931009805569</v>
      </c>
      <c r="U1326" s="9" cm="1">
        <f t="array" aca="1" ref="U1326" ca="1">z_score_diff(OFFSET(T1326,0,0,$I$5*-1,1),OFFSET(E1326,0,0,$I$5*-1,1))</f>
        <v>-2.6955689409790207E-2</v>
      </c>
      <c r="V1326" s="9">
        <f t="shared" ca="1" si="167"/>
        <v>3.3471123161231672E-2</v>
      </c>
      <c r="W1326" s="17">
        <f t="shared" ca="1" si="164"/>
        <v>-7.2566487326122782E-3</v>
      </c>
      <c r="X1326" s="13">
        <f t="shared" ca="1" si="165"/>
        <v>0</v>
      </c>
      <c r="Y1326" s="13">
        <f t="shared" ca="1" si="166"/>
        <v>0</v>
      </c>
      <c r="Z1326">
        <f t="shared" ca="1" si="168"/>
        <v>0</v>
      </c>
      <c r="AA1326">
        <f t="shared" ca="1" si="169"/>
        <v>1</v>
      </c>
      <c r="AB1326" s="24">
        <f t="shared" ca="1" si="170"/>
        <v>0</v>
      </c>
      <c r="AC1326" s="24">
        <f t="shared" ca="1" si="171"/>
        <v>-7.2566487326122782E-3</v>
      </c>
    </row>
    <row r="1327" spans="3:29" x14ac:dyDescent="0.25">
      <c r="C1327" s="6">
        <v>1320</v>
      </c>
      <c r="D1327" s="37">
        <v>43886</v>
      </c>
      <c r="E1327" s="39">
        <v>13.029</v>
      </c>
      <c r="F1327" s="39">
        <v>2.0217794696916229</v>
      </c>
      <c r="G1327" s="39">
        <v>36.747990784806916</v>
      </c>
      <c r="H1327" s="39">
        <v>61.600395243145122</v>
      </c>
      <c r="I1327" s="10">
        <v>0</v>
      </c>
      <c r="J1327" s="40">
        <v>1</v>
      </c>
      <c r="K1327" s="40">
        <v>0</v>
      </c>
      <c r="L1327" s="40">
        <v>0</v>
      </c>
      <c r="M1327" s="40">
        <v>0</v>
      </c>
      <c r="N1327" s="40">
        <v>0</v>
      </c>
      <c r="O1327" s="40">
        <v>0</v>
      </c>
      <c r="P1327" s="40">
        <v>0</v>
      </c>
      <c r="Q1327" s="40">
        <v>0</v>
      </c>
      <c r="R1327" s="40">
        <v>0</v>
      </c>
      <c r="S1327" s="40">
        <v>0</v>
      </c>
      <c r="T1327" s="29">
        <f t="array" aca="1" ref="T1327" ca="1">+fair_value_gap(OFFSET(S1326,0,0,-1*$I$5,-1*$Z$1),OFFSET(E1326,0,0,-1*$I$5,1),F1327:S1327,0)</f>
        <v>13.166831994897096</v>
      </c>
      <c r="U1327" s="9" cm="1">
        <f t="array" aca="1" ref="U1327" ca="1">z_score_diff(OFFSET(T1327,0,0,$I$5*-1,1),OFFSET(E1327,0,0,$I$5*-1,1))</f>
        <v>-4.1986628287341343E-2</v>
      </c>
      <c r="V1327" s="9">
        <f t="shared" ca="1" si="167"/>
        <v>2.6571965835093303E-2</v>
      </c>
      <c r="W1327" s="17">
        <f t="shared" ca="1" si="164"/>
        <v>3.202448728261123E-2</v>
      </c>
      <c r="X1327" s="13">
        <f t="shared" ca="1" si="165"/>
        <v>0</v>
      </c>
      <c r="Y1327" s="13">
        <f t="shared" ca="1" si="166"/>
        <v>0</v>
      </c>
      <c r="Z1327">
        <f t="shared" ca="1" si="168"/>
        <v>0</v>
      </c>
      <c r="AA1327">
        <f t="shared" ca="1" si="169"/>
        <v>1</v>
      </c>
      <c r="AB1327" s="24">
        <f t="shared" ca="1" si="170"/>
        <v>0</v>
      </c>
      <c r="AC1327" s="24">
        <f t="shared" ca="1" si="171"/>
        <v>3.202448728261123E-2</v>
      </c>
    </row>
    <row r="1328" spans="3:29" x14ac:dyDescent="0.25">
      <c r="C1328" s="6">
        <v>1321</v>
      </c>
      <c r="D1328" s="37">
        <v>43887</v>
      </c>
      <c r="E1328" s="39">
        <v>13.069000000000001</v>
      </c>
      <c r="F1328" s="39">
        <v>2.0264248662979711</v>
      </c>
      <c r="G1328" s="39">
        <v>36.887505931263796</v>
      </c>
      <c r="H1328" s="39">
        <v>61.72238068719669</v>
      </c>
      <c r="I1328" s="10">
        <v>0</v>
      </c>
      <c r="J1328" s="40">
        <v>1</v>
      </c>
      <c r="K1328" s="40">
        <v>0</v>
      </c>
      <c r="L1328" s="40">
        <v>0</v>
      </c>
      <c r="M1328" s="40">
        <v>0</v>
      </c>
      <c r="N1328" s="40">
        <v>0</v>
      </c>
      <c r="O1328" s="40">
        <v>0</v>
      </c>
      <c r="P1328" s="40">
        <v>0</v>
      </c>
      <c r="Q1328" s="40">
        <v>0</v>
      </c>
      <c r="R1328" s="40">
        <v>0</v>
      </c>
      <c r="S1328" s="40">
        <v>0</v>
      </c>
      <c r="T1328" s="29">
        <f t="array" aca="1" ref="T1328" ca="1">+fair_value_gap(OFFSET(S1327,0,0,-1*$I$5,-1*$Z$1),OFFSET(E1327,0,0,-1*$I$5,1),F1328:S1328,0)</f>
        <v>13.203314808435575</v>
      </c>
      <c r="U1328" s="9" cm="1">
        <f t="array" aca="1" ref="U1328" ca="1">z_score_diff(OFFSET(T1328,0,0,$I$5*-1,1),OFFSET(E1328,0,0,$I$5*-1,1))</f>
        <v>-4.1603077025433866E-2</v>
      </c>
      <c r="V1328" s="9">
        <f t="shared" ca="1" si="167"/>
        <v>2.1506098345942849E-2</v>
      </c>
      <c r="W1328" s="17">
        <f t="shared" ca="1" si="164"/>
        <v>3.3261154862923151E-2</v>
      </c>
      <c r="X1328" s="13">
        <f t="shared" ca="1" si="165"/>
        <v>0</v>
      </c>
      <c r="Y1328" s="13">
        <f t="shared" ca="1" si="166"/>
        <v>0</v>
      </c>
      <c r="Z1328">
        <f t="shared" ca="1" si="168"/>
        <v>0</v>
      </c>
      <c r="AA1328">
        <f t="shared" ca="1" si="169"/>
        <v>1</v>
      </c>
      <c r="AB1328" s="24">
        <f t="shared" ca="1" si="170"/>
        <v>0</v>
      </c>
      <c r="AC1328" s="24">
        <f t="shared" ca="1" si="171"/>
        <v>3.3261154862923151E-2</v>
      </c>
    </row>
    <row r="1329" spans="3:29" x14ac:dyDescent="0.25">
      <c r="C1329" s="6">
        <v>1322</v>
      </c>
      <c r="D1329" s="37">
        <v>43888</v>
      </c>
      <c r="E1329" s="39">
        <v>12.78</v>
      </c>
      <c r="F1329" s="39">
        <v>1.9856670459016048</v>
      </c>
      <c r="G1329" s="39">
        <v>35.826129082488912</v>
      </c>
      <c r="H1329" s="39">
        <v>60.872523897117468</v>
      </c>
      <c r="I1329" s="10">
        <v>0</v>
      </c>
      <c r="J1329" s="40">
        <v>1</v>
      </c>
      <c r="K1329" s="40">
        <v>0</v>
      </c>
      <c r="L1329" s="40">
        <v>0</v>
      </c>
      <c r="M1329" s="40">
        <v>0</v>
      </c>
      <c r="N1329" s="40">
        <v>0</v>
      </c>
      <c r="O1329" s="40">
        <v>0</v>
      </c>
      <c r="P1329" s="40">
        <v>0</v>
      </c>
      <c r="Q1329" s="40">
        <v>0</v>
      </c>
      <c r="R1329" s="40">
        <v>0</v>
      </c>
      <c r="S1329" s="40">
        <v>0</v>
      </c>
      <c r="T1329" s="29">
        <f t="array" aca="1" ref="T1329" ca="1">+fair_value_gap(OFFSET(S1328,0,0,-1*$I$5,-1*$Z$1),OFFSET(E1328,0,0,-1*$I$5,1),F1329:S1329,0)</f>
        <v>12.853710900701094</v>
      </c>
      <c r="U1329" s="9" cm="1">
        <f t="array" aca="1" ref="U1329" ca="1">z_score_diff(OFFSET(T1329,0,0,$I$5*-1,1),OFFSET(E1329,0,0,$I$5*-1,1))</f>
        <v>-7.3231823024946241E-2</v>
      </c>
      <c r="V1329" s="9">
        <f t="shared" ca="1" si="167"/>
        <v>1.6522332561006124E-2</v>
      </c>
      <c r="W1329" s="17">
        <f t="shared" ca="1" si="164"/>
        <v>4.4458566657368234E-2</v>
      </c>
      <c r="X1329" s="13">
        <f t="shared" ca="1" si="165"/>
        <v>0</v>
      </c>
      <c r="Y1329" s="13">
        <f t="shared" ca="1" si="166"/>
        <v>0</v>
      </c>
      <c r="Z1329">
        <f t="shared" ca="1" si="168"/>
        <v>0</v>
      </c>
      <c r="AA1329">
        <f t="shared" ca="1" si="169"/>
        <v>1</v>
      </c>
      <c r="AB1329" s="24">
        <f t="shared" ca="1" si="170"/>
        <v>0</v>
      </c>
      <c r="AC1329" s="24">
        <f t="shared" ca="1" si="171"/>
        <v>4.4458566657368234E-2</v>
      </c>
    </row>
    <row r="1330" spans="3:29" x14ac:dyDescent="0.25">
      <c r="C1330" s="6">
        <v>1323</v>
      </c>
      <c r="D1330" s="37">
        <v>43889</v>
      </c>
      <c r="E1330" s="39">
        <v>13.694000000000001</v>
      </c>
      <c r="F1330" s="39">
        <v>1.9561500775303384</v>
      </c>
      <c r="G1330" s="39">
        <v>37.71017591602682</v>
      </c>
      <c r="H1330" s="39">
        <v>61.096557299558675</v>
      </c>
      <c r="I1330" s="10">
        <v>0</v>
      </c>
      <c r="J1330" s="40">
        <v>1</v>
      </c>
      <c r="K1330" s="40">
        <v>0</v>
      </c>
      <c r="L1330" s="40">
        <v>0</v>
      </c>
      <c r="M1330" s="40">
        <v>0</v>
      </c>
      <c r="N1330" s="40">
        <v>0</v>
      </c>
      <c r="O1330" s="40">
        <v>0</v>
      </c>
      <c r="P1330" s="40">
        <v>0</v>
      </c>
      <c r="Q1330" s="40">
        <v>0</v>
      </c>
      <c r="R1330" s="40">
        <v>0</v>
      </c>
      <c r="S1330" s="40">
        <v>0</v>
      </c>
      <c r="T1330" s="29">
        <f t="array" aca="1" ref="T1330" ca="1">+fair_value_gap(OFFSET(S1329,0,0,-1*$I$5,-1*$Z$1),OFFSET(E1329,0,0,-1*$I$5,1),F1330:S1330,0)</f>
        <v>13.3883062895225</v>
      </c>
      <c r="U1330" s="9" cm="1">
        <f t="array" aca="1" ref="U1330" ca="1">z_score_diff(OFFSET(T1330,0,0,$I$5*-1,1),OFFSET(E1330,0,0,$I$5*-1,1))</f>
        <v>-0.2266293944169917</v>
      </c>
      <c r="V1330" s="9">
        <f t="shared" ca="1" si="167"/>
        <v>6.4974527050613998E-3</v>
      </c>
      <c r="W1330" s="17">
        <f t="shared" ca="1" si="164"/>
        <v>-5.0240755713305052E-2</v>
      </c>
      <c r="X1330" s="13">
        <f t="shared" ca="1" si="165"/>
        <v>0</v>
      </c>
      <c r="Y1330" s="13">
        <f t="shared" ca="1" si="166"/>
        <v>0</v>
      </c>
      <c r="Z1330">
        <f t="shared" ca="1" si="168"/>
        <v>0</v>
      </c>
      <c r="AA1330">
        <f t="shared" ca="1" si="169"/>
        <v>1</v>
      </c>
      <c r="AB1330" s="24">
        <f t="shared" ca="1" si="170"/>
        <v>0</v>
      </c>
      <c r="AC1330" s="24">
        <f t="shared" ca="1" si="171"/>
        <v>-5.0240755713305052E-2</v>
      </c>
    </row>
    <row r="1331" spans="3:29" x14ac:dyDescent="0.25">
      <c r="C1331" s="6">
        <v>1324</v>
      </c>
      <c r="D1331" s="37">
        <v>43892</v>
      </c>
      <c r="E1331" s="39">
        <v>13.744</v>
      </c>
      <c r="F1331" s="39">
        <v>1.9629151131307443</v>
      </c>
      <c r="G1331" s="39">
        <v>38.044593585866444</v>
      </c>
      <c r="H1331" s="39">
        <v>59.247058039312677</v>
      </c>
      <c r="I1331" s="10">
        <v>0</v>
      </c>
      <c r="J1331" s="40">
        <v>0</v>
      </c>
      <c r="K1331" s="40">
        <v>1</v>
      </c>
      <c r="L1331" s="40">
        <v>0</v>
      </c>
      <c r="M1331" s="40">
        <v>0</v>
      </c>
      <c r="N1331" s="40">
        <v>0</v>
      </c>
      <c r="O1331" s="40">
        <v>0</v>
      </c>
      <c r="P1331" s="40">
        <v>0</v>
      </c>
      <c r="Q1331" s="40">
        <v>0</v>
      </c>
      <c r="R1331" s="40">
        <v>0</v>
      </c>
      <c r="S1331" s="40">
        <v>0</v>
      </c>
      <c r="T1331" s="29">
        <f t="array" aca="1" ref="T1331" ca="1">+fair_value_gap(OFFSET(S1330,0,0,-1*$I$5,-1*$Z$1),OFFSET(E1330,0,0,-1*$I$5,1),F1331:S1331,0)</f>
        <v>13.499442040732752</v>
      </c>
      <c r="U1331" s="9" cm="1">
        <f t="array" aca="1" ref="U1331" ca="1">z_score_diff(OFFSET(T1331,0,0,$I$5*-1,1),OFFSET(E1331,0,0,$I$5*-1,1))</f>
        <v>-0.19236311331432576</v>
      </c>
      <c r="V1331" s="9">
        <f t="shared" ca="1" si="167"/>
        <v>-2.5002628590773974E-3</v>
      </c>
      <c r="W1331" s="17">
        <f t="shared" ca="1" si="164"/>
        <v>-7.0688554145289212E-2</v>
      </c>
      <c r="X1331" s="13">
        <f t="shared" ca="1" si="165"/>
        <v>0</v>
      </c>
      <c r="Y1331" s="13">
        <f t="shared" ca="1" si="166"/>
        <v>0</v>
      </c>
      <c r="Z1331">
        <f t="shared" ca="1" si="168"/>
        <v>1</v>
      </c>
      <c r="AA1331">
        <f t="shared" ca="1" si="169"/>
        <v>0</v>
      </c>
      <c r="AB1331" s="24">
        <f t="shared" ca="1" si="170"/>
        <v>-7.0688554145289212E-2</v>
      </c>
      <c r="AC1331" s="24">
        <f t="shared" ca="1" si="171"/>
        <v>0</v>
      </c>
    </row>
    <row r="1332" spans="3:29" x14ac:dyDescent="0.25">
      <c r="C1332" s="6">
        <v>1325</v>
      </c>
      <c r="D1332" s="37">
        <v>43893</v>
      </c>
      <c r="E1332" s="39">
        <v>14.141</v>
      </c>
      <c r="F1332" s="39">
        <v>1.9604581115158306</v>
      </c>
      <c r="G1332" s="39">
        <v>39.275118654159066</v>
      </c>
      <c r="H1332" s="39">
        <v>59.277808910058845</v>
      </c>
      <c r="I1332" s="10">
        <v>0</v>
      </c>
      <c r="J1332" s="40">
        <v>0</v>
      </c>
      <c r="K1332" s="40">
        <v>1</v>
      </c>
      <c r="L1332" s="40">
        <v>0</v>
      </c>
      <c r="M1332" s="40">
        <v>0</v>
      </c>
      <c r="N1332" s="40">
        <v>0</v>
      </c>
      <c r="O1332" s="40">
        <v>0</v>
      </c>
      <c r="P1332" s="40">
        <v>0</v>
      </c>
      <c r="Q1332" s="40">
        <v>0</v>
      </c>
      <c r="R1332" s="40">
        <v>0</v>
      </c>
      <c r="S1332" s="40">
        <v>0</v>
      </c>
      <c r="T1332" s="29">
        <f t="array" aca="1" ref="T1332" ca="1">+fair_value_gap(OFFSET(S1331,0,0,-1*$I$5,-1*$Z$1),OFFSET(E1331,0,0,-1*$I$5,1),F1332:S1332,0)</f>
        <v>13.895457113611094</v>
      </c>
      <c r="U1332" s="9" cm="1">
        <f t="array" aca="1" ref="U1332" ca="1">z_score_diff(OFFSET(T1332,0,0,$I$5*-1,1),OFFSET(E1332,0,0,$I$5*-1,1))</f>
        <v>-0.18173800545049623</v>
      </c>
      <c r="V1332" s="9">
        <f t="shared" ca="1" si="167"/>
        <v>-8.2831504685790727E-3</v>
      </c>
      <c r="W1332" s="17">
        <f t="shared" ca="1" si="164"/>
        <v>-9.6668856436053066E-2</v>
      </c>
      <c r="X1332" s="13">
        <f t="shared" ca="1" si="165"/>
        <v>0</v>
      </c>
      <c r="Y1332" s="13">
        <f t="shared" ca="1" si="166"/>
        <v>0</v>
      </c>
      <c r="Z1332">
        <f t="shared" ca="1" si="168"/>
        <v>1</v>
      </c>
      <c r="AA1332">
        <f t="shared" ca="1" si="169"/>
        <v>0</v>
      </c>
      <c r="AB1332" s="24">
        <f t="shared" ca="1" si="170"/>
        <v>-9.6668856436053066E-2</v>
      </c>
      <c r="AC1332" s="24">
        <f t="shared" ca="1" si="171"/>
        <v>0</v>
      </c>
    </row>
    <row r="1333" spans="3:29" x14ac:dyDescent="0.25">
      <c r="C1333" s="6">
        <v>1326</v>
      </c>
      <c r="D1333" s="37">
        <v>43894</v>
      </c>
      <c r="E1333" s="39">
        <v>14.095000000000001</v>
      </c>
      <c r="F1333" s="39">
        <v>1.9749250496150437</v>
      </c>
      <c r="G1333" s="39">
        <v>39.643752410884055</v>
      </c>
      <c r="H1333" s="39">
        <v>59.643616197728264</v>
      </c>
      <c r="I1333" s="10">
        <v>0</v>
      </c>
      <c r="J1333" s="40">
        <v>0</v>
      </c>
      <c r="K1333" s="40">
        <v>1</v>
      </c>
      <c r="L1333" s="40">
        <v>0</v>
      </c>
      <c r="M1333" s="40">
        <v>0</v>
      </c>
      <c r="N1333" s="40">
        <v>0</v>
      </c>
      <c r="O1333" s="40">
        <v>0</v>
      </c>
      <c r="P1333" s="40">
        <v>0</v>
      </c>
      <c r="Q1333" s="40">
        <v>0</v>
      </c>
      <c r="R1333" s="40">
        <v>0</v>
      </c>
      <c r="S1333" s="40">
        <v>0</v>
      </c>
      <c r="T1333" s="29">
        <f t="array" aca="1" ref="T1333" ca="1">+fair_value_gap(OFFSET(S1332,0,0,-1*$I$5,-1*$Z$1),OFFSET(E1332,0,0,-1*$I$5,1),F1333:S1333,0)</f>
        <v>14.050542574170503</v>
      </c>
      <c r="U1333" s="9" cm="1">
        <f t="array" aca="1" ref="U1333" ca="1">z_score_diff(OFFSET(T1333,0,0,$I$5*-1,1),OFFSET(E1333,0,0,$I$5*-1,1))</f>
        <v>-8.8541508119994727E-2</v>
      </c>
      <c r="V1333" s="9">
        <f t="shared" ca="1" si="167"/>
        <v>-1.0722304351698117E-2</v>
      </c>
      <c r="W1333" s="17">
        <f t="shared" ca="1" si="164"/>
        <v>-0.10618857508882899</v>
      </c>
      <c r="X1333" s="13">
        <f t="shared" ca="1" si="165"/>
        <v>0</v>
      </c>
      <c r="Y1333" s="13">
        <f t="shared" ca="1" si="166"/>
        <v>0</v>
      </c>
      <c r="Z1333">
        <f t="shared" ca="1" si="168"/>
        <v>1</v>
      </c>
      <c r="AA1333">
        <f t="shared" ca="1" si="169"/>
        <v>0</v>
      </c>
      <c r="AB1333" s="24">
        <f t="shared" ca="1" si="170"/>
        <v>-0.10618857508882899</v>
      </c>
      <c r="AC1333" s="24">
        <f t="shared" ca="1" si="171"/>
        <v>0</v>
      </c>
    </row>
    <row r="1334" spans="3:29" x14ac:dyDescent="0.25">
      <c r="C1334" s="6">
        <v>1327</v>
      </c>
      <c r="D1334" s="37">
        <v>43895</v>
      </c>
      <c r="E1334" s="39">
        <v>14.000999999999999</v>
      </c>
      <c r="F1334" s="39">
        <v>1.9515761354604961</v>
      </c>
      <c r="G1334" s="39">
        <v>39.151516254190341</v>
      </c>
      <c r="H1334" s="39">
        <v>58.931143473561249</v>
      </c>
      <c r="I1334" s="10">
        <v>0</v>
      </c>
      <c r="J1334" s="40">
        <v>0</v>
      </c>
      <c r="K1334" s="40">
        <v>1</v>
      </c>
      <c r="L1334" s="40">
        <v>0</v>
      </c>
      <c r="M1334" s="40">
        <v>0</v>
      </c>
      <c r="N1334" s="40">
        <v>0</v>
      </c>
      <c r="O1334" s="40">
        <v>0</v>
      </c>
      <c r="P1334" s="40">
        <v>0</v>
      </c>
      <c r="Q1334" s="40">
        <v>0</v>
      </c>
      <c r="R1334" s="40">
        <v>0</v>
      </c>
      <c r="S1334" s="40">
        <v>0</v>
      </c>
      <c r="T1334" s="29">
        <f t="array" aca="1" ref="T1334" ca="1">+fair_value_gap(OFFSET(S1333,0,0,-1*$I$5,-1*$Z$1),OFFSET(E1333,0,0,-1*$I$5,1),F1334:S1334,0)</f>
        <v>13.88563807786889</v>
      </c>
      <c r="U1334" s="9" cm="1">
        <f t="array" aca="1" ref="U1334" ca="1">z_score_diff(OFFSET(T1334,0,0,$I$5*-1,1),OFFSET(E1334,0,0,$I$5*-1,1))</f>
        <v>-0.11927802677995025</v>
      </c>
      <c r="V1334" s="9">
        <f t="shared" ca="1" si="167"/>
        <v>-1.4339971146219785E-2</v>
      </c>
      <c r="W1334" s="17">
        <f t="shared" ca="1" si="164"/>
        <v>-9.6503663667802816E-2</v>
      </c>
      <c r="X1334" s="13">
        <f t="shared" ca="1" si="165"/>
        <v>0</v>
      </c>
      <c r="Y1334" s="13">
        <f t="shared" ca="1" si="166"/>
        <v>0</v>
      </c>
      <c r="Z1334">
        <f t="shared" ca="1" si="168"/>
        <v>1</v>
      </c>
      <c r="AA1334">
        <f t="shared" ca="1" si="169"/>
        <v>0</v>
      </c>
      <c r="AB1334" s="24">
        <f t="shared" ca="1" si="170"/>
        <v>-9.6503663667802816E-2</v>
      </c>
      <c r="AC1334" s="24">
        <f t="shared" ca="1" si="171"/>
        <v>0</v>
      </c>
    </row>
    <row r="1335" spans="3:29" x14ac:dyDescent="0.25">
      <c r="C1335" s="6">
        <v>1328</v>
      </c>
      <c r="D1335" s="37">
        <v>43896</v>
      </c>
      <c r="E1335" s="39">
        <v>13.536</v>
      </c>
      <c r="F1335" s="39">
        <v>1.9193007839605509</v>
      </c>
      <c r="G1335" s="39">
        <v>37.965564686562168</v>
      </c>
      <c r="H1335" s="39">
        <v>58.925139453268493</v>
      </c>
      <c r="I1335" s="10">
        <v>0</v>
      </c>
      <c r="J1335" s="40">
        <v>0</v>
      </c>
      <c r="K1335" s="40">
        <v>1</v>
      </c>
      <c r="L1335" s="40">
        <v>0</v>
      </c>
      <c r="M1335" s="40">
        <v>0</v>
      </c>
      <c r="N1335" s="40">
        <v>0</v>
      </c>
      <c r="O1335" s="40">
        <v>0</v>
      </c>
      <c r="P1335" s="40">
        <v>0</v>
      </c>
      <c r="Q1335" s="40">
        <v>0</v>
      </c>
      <c r="R1335" s="40">
        <v>0</v>
      </c>
      <c r="S1335" s="40">
        <v>0</v>
      </c>
      <c r="T1335" s="29">
        <f t="array" aca="1" ref="T1335" ca="1">+fair_value_gap(OFFSET(S1334,0,0,-1*$I$5,-1*$Z$1),OFFSET(E1334,0,0,-1*$I$5,1),F1335:S1335,0)</f>
        <v>13.570784081327723</v>
      </c>
      <c r="U1335" s="9" cm="1">
        <f t="array" aca="1" ref="U1335" ca="1">z_score_diff(OFFSET(T1335,0,0,$I$5*-1,1),OFFSET(E1335,0,0,$I$5*-1,1))</f>
        <v>-5.7110735498658194E-2</v>
      </c>
      <c r="V1335" s="9">
        <f t="shared" ca="1" si="167"/>
        <v>-1.4432215622682357E-2</v>
      </c>
      <c r="W1335" s="17">
        <f t="shared" ca="1" si="164"/>
        <v>-6.7932769966028053E-2</v>
      </c>
      <c r="X1335" s="13">
        <f t="shared" ca="1" si="165"/>
        <v>0</v>
      </c>
      <c r="Y1335" s="13">
        <f t="shared" ca="1" si="166"/>
        <v>0</v>
      </c>
      <c r="Z1335">
        <f t="shared" ca="1" si="168"/>
        <v>1</v>
      </c>
      <c r="AA1335">
        <f t="shared" ca="1" si="169"/>
        <v>0</v>
      </c>
      <c r="AB1335" s="24">
        <f t="shared" ca="1" si="170"/>
        <v>-6.7932769966028053E-2</v>
      </c>
      <c r="AC1335" s="24">
        <f t="shared" ca="1" si="171"/>
        <v>0</v>
      </c>
    </row>
    <row r="1336" spans="3:29" x14ac:dyDescent="0.25">
      <c r="C1336" s="6">
        <v>1329</v>
      </c>
      <c r="D1336" s="37">
        <v>43899</v>
      </c>
      <c r="E1336" s="39">
        <v>12.851000000000001</v>
      </c>
      <c r="F1336" s="39">
        <v>1.9512463242366775</v>
      </c>
      <c r="G1336" s="39">
        <v>35.913991346814143</v>
      </c>
      <c r="H1336" s="39">
        <v>56.167037678291699</v>
      </c>
      <c r="I1336" s="10">
        <v>0</v>
      </c>
      <c r="J1336" s="40">
        <v>0</v>
      </c>
      <c r="K1336" s="40">
        <v>1</v>
      </c>
      <c r="L1336" s="40">
        <v>0</v>
      </c>
      <c r="M1336" s="40">
        <v>0</v>
      </c>
      <c r="N1336" s="40">
        <v>0</v>
      </c>
      <c r="O1336" s="40">
        <v>0</v>
      </c>
      <c r="P1336" s="40">
        <v>0</v>
      </c>
      <c r="Q1336" s="40">
        <v>0</v>
      </c>
      <c r="R1336" s="40">
        <v>0</v>
      </c>
      <c r="S1336" s="40">
        <v>0</v>
      </c>
      <c r="T1336" s="29">
        <f t="array" aca="1" ref="T1336" ca="1">+fair_value_gap(OFFSET(S1335,0,0,-1*$I$5,-1*$Z$1),OFFSET(E1335,0,0,-1*$I$5,1),F1336:S1336,0)</f>
        <v>12.875173288090703</v>
      </c>
      <c r="U1336" s="9" cm="1">
        <f t="array" aca="1" ref="U1336" ca="1">z_score_diff(OFFSET(T1336,0,0,$I$5*-1,1),OFFSET(E1336,0,0,$I$5*-1,1))</f>
        <v>-6.9693396863871104E-2</v>
      </c>
      <c r="V1336" s="9">
        <f t="shared" ca="1" si="167"/>
        <v>-1.7728798495776372E-2</v>
      </c>
      <c r="W1336" s="17">
        <f t="shared" ca="1" si="164"/>
        <v>-2.5854675743108825E-2</v>
      </c>
      <c r="X1336" s="13">
        <f t="shared" ca="1" si="165"/>
        <v>0</v>
      </c>
      <c r="Y1336" s="13">
        <f t="shared" ca="1" si="166"/>
        <v>0</v>
      </c>
      <c r="Z1336">
        <f t="shared" ca="1" si="168"/>
        <v>1</v>
      </c>
      <c r="AA1336">
        <f t="shared" ca="1" si="169"/>
        <v>0</v>
      </c>
      <c r="AB1336" s="24">
        <f t="shared" ca="1" si="170"/>
        <v>-2.5854675743108825E-2</v>
      </c>
      <c r="AC1336" s="24">
        <f t="shared" ca="1" si="171"/>
        <v>0</v>
      </c>
    </row>
    <row r="1337" spans="3:29" x14ac:dyDescent="0.25">
      <c r="C1337" s="6">
        <v>1330</v>
      </c>
      <c r="D1337" s="37">
        <v>43900</v>
      </c>
      <c r="E1337" s="39">
        <v>13.169</v>
      </c>
      <c r="F1337" s="39">
        <v>2.0107623661885521</v>
      </c>
      <c r="G1337" s="39">
        <v>36.794753178367422</v>
      </c>
      <c r="H1337" s="39">
        <v>57.145692355098902</v>
      </c>
      <c r="I1337" s="10">
        <v>0</v>
      </c>
      <c r="J1337" s="40">
        <v>0</v>
      </c>
      <c r="K1337" s="40">
        <v>1</v>
      </c>
      <c r="L1337" s="40">
        <v>0</v>
      </c>
      <c r="M1337" s="40">
        <v>0</v>
      </c>
      <c r="N1337" s="40">
        <v>0</v>
      </c>
      <c r="O1337" s="40">
        <v>0</v>
      </c>
      <c r="P1337" s="40">
        <v>0</v>
      </c>
      <c r="Q1337" s="40">
        <v>0</v>
      </c>
      <c r="R1337" s="40">
        <v>0</v>
      </c>
      <c r="S1337" s="40">
        <v>0</v>
      </c>
      <c r="T1337" s="29">
        <f t="array" aca="1" ref="T1337" ca="1">+fair_value_gap(OFFSET(S1336,0,0,-1*$I$5,-1*$Z$1),OFFSET(E1336,0,0,-1*$I$5,1),F1337:S1337,0)</f>
        <v>13.177728132555204</v>
      </c>
      <c r="U1337" s="9" cm="1">
        <f t="array" aca="1" ref="U1337" ca="1">z_score_diff(OFFSET(T1337,0,0,$I$5*-1,1),OFFSET(E1337,0,0,$I$5*-1,1))</f>
        <v>-6.9198097146721205E-2</v>
      </c>
      <c r="V1337" s="9">
        <f t="shared" ca="1" si="167"/>
        <v>-1.9622543715625777E-2</v>
      </c>
      <c r="W1337" s="17">
        <f t="shared" ca="1" si="164"/>
        <v>9.8984524996249702E-3</v>
      </c>
      <c r="X1337" s="13">
        <f t="shared" ca="1" si="165"/>
        <v>0</v>
      </c>
      <c r="Y1337" s="13">
        <f t="shared" ca="1" si="166"/>
        <v>0</v>
      </c>
      <c r="Z1337">
        <f t="shared" ca="1" si="168"/>
        <v>1</v>
      </c>
      <c r="AA1337">
        <f t="shared" ca="1" si="169"/>
        <v>0</v>
      </c>
      <c r="AB1337" s="24">
        <f t="shared" ca="1" si="170"/>
        <v>9.8984524996249702E-3</v>
      </c>
      <c r="AC1337" s="24">
        <f t="shared" ca="1" si="171"/>
        <v>0</v>
      </c>
    </row>
    <row r="1338" spans="3:29" x14ac:dyDescent="0.25">
      <c r="C1338" s="6">
        <v>1331</v>
      </c>
      <c r="D1338" s="37">
        <v>43901</v>
      </c>
      <c r="E1338" s="39">
        <v>13.090999999999999</v>
      </c>
      <c r="F1338" s="39">
        <v>1.9795930836439173</v>
      </c>
      <c r="G1338" s="39">
        <v>36.736020806241875</v>
      </c>
      <c r="H1338" s="39">
        <v>59.352879051052199</v>
      </c>
      <c r="I1338" s="10">
        <v>0</v>
      </c>
      <c r="J1338" s="40">
        <v>0</v>
      </c>
      <c r="K1338" s="40">
        <v>1</v>
      </c>
      <c r="L1338" s="40">
        <v>0</v>
      </c>
      <c r="M1338" s="40">
        <v>0</v>
      </c>
      <c r="N1338" s="40">
        <v>0</v>
      </c>
      <c r="O1338" s="40">
        <v>0</v>
      </c>
      <c r="P1338" s="40">
        <v>0</v>
      </c>
      <c r="Q1338" s="40">
        <v>0</v>
      </c>
      <c r="R1338" s="40">
        <v>0</v>
      </c>
      <c r="S1338" s="40">
        <v>0</v>
      </c>
      <c r="T1338" s="29">
        <f t="array" aca="1" ref="T1338" ca="1">+fair_value_gap(OFFSET(S1337,0,0,-1*$I$5,-1*$Z$1),OFFSET(E1337,0,0,-1*$I$5,1),F1338:S1338,0)</f>
        <v>13.27145098749706</v>
      </c>
      <c r="U1338" s="9" cm="1">
        <f t="array" aca="1" ref="U1338" ca="1">z_score_diff(OFFSET(T1338,0,0,$I$5*-1,1),OFFSET(E1338,0,0,$I$5*-1,1))</f>
        <v>4.8334830684835239E-3</v>
      </c>
      <c r="V1338" s="9">
        <f t="shared" ca="1" si="167"/>
        <v>-1.8459101906866383E-2</v>
      </c>
      <c r="W1338" s="17">
        <f t="shared" ca="1" si="164"/>
        <v>1.8316421208750548E-3</v>
      </c>
      <c r="X1338" s="13">
        <f t="shared" ca="1" si="165"/>
        <v>0</v>
      </c>
      <c r="Y1338" s="13">
        <f t="shared" ca="1" si="166"/>
        <v>0</v>
      </c>
      <c r="Z1338">
        <f t="shared" ca="1" si="168"/>
        <v>1</v>
      </c>
      <c r="AA1338">
        <f t="shared" ca="1" si="169"/>
        <v>0</v>
      </c>
      <c r="AB1338" s="24">
        <f t="shared" ca="1" si="170"/>
        <v>1.8316421208750548E-3</v>
      </c>
      <c r="AC1338" s="24">
        <f t="shared" ca="1" si="171"/>
        <v>0</v>
      </c>
    </row>
    <row r="1339" spans="3:29" x14ac:dyDescent="0.25">
      <c r="C1339" s="6">
        <v>1332</v>
      </c>
      <c r="D1339" s="37">
        <v>43902</v>
      </c>
      <c r="E1339" s="39">
        <v>12.678000000000001</v>
      </c>
      <c r="F1339" s="39">
        <v>1.980668046892514</v>
      </c>
      <c r="G1339" s="39">
        <v>35.262938142560174</v>
      </c>
      <c r="H1339" s="39">
        <v>58.417839199293191</v>
      </c>
      <c r="I1339" s="10">
        <v>0</v>
      </c>
      <c r="J1339" s="40">
        <v>0</v>
      </c>
      <c r="K1339" s="40">
        <v>1</v>
      </c>
      <c r="L1339" s="40">
        <v>0</v>
      </c>
      <c r="M1339" s="40">
        <v>0</v>
      </c>
      <c r="N1339" s="40">
        <v>0</v>
      </c>
      <c r="O1339" s="40">
        <v>0</v>
      </c>
      <c r="P1339" s="40">
        <v>0</v>
      </c>
      <c r="Q1339" s="40">
        <v>0</v>
      </c>
      <c r="R1339" s="40">
        <v>0</v>
      </c>
      <c r="S1339" s="40">
        <v>0</v>
      </c>
      <c r="T1339" s="29">
        <f t="array" aca="1" ref="T1339" ca="1">+fair_value_gap(OFFSET(S1338,0,0,-1*$I$5,-1*$Z$1),OFFSET(E1338,0,0,-1*$I$5,1),F1339:S1339,0)</f>
        <v>12.794476568870715</v>
      </c>
      <c r="U1339" s="9" cm="1">
        <f t="array" aca="1" ref="U1339" ca="1">z_score_diff(OFFSET(T1339,0,0,$I$5*-1,1),OFFSET(E1339,0,0,$I$5*-1,1))</f>
        <v>-2.8126889272523492E-2</v>
      </c>
      <c r="V1339" s="9">
        <f t="shared" ca="1" si="167"/>
        <v>-1.775637202144021E-2</v>
      </c>
      <c r="W1339" s="17">
        <f t="shared" ca="1" si="164"/>
        <v>2.6772026952695691E-2</v>
      </c>
      <c r="X1339" s="13">
        <f t="shared" ca="1" si="165"/>
        <v>0</v>
      </c>
      <c r="Y1339" s="13">
        <f t="shared" ca="1" si="166"/>
        <v>0</v>
      </c>
      <c r="Z1339">
        <f t="shared" ca="1" si="168"/>
        <v>1</v>
      </c>
      <c r="AA1339">
        <f t="shared" ca="1" si="169"/>
        <v>0</v>
      </c>
      <c r="AB1339" s="24">
        <f t="shared" ca="1" si="170"/>
        <v>2.6772026952695691E-2</v>
      </c>
      <c r="AC1339" s="24">
        <f t="shared" ca="1" si="171"/>
        <v>0</v>
      </c>
    </row>
    <row r="1340" spans="3:29" x14ac:dyDescent="0.25">
      <c r="C1340" s="6">
        <v>1333</v>
      </c>
      <c r="D1340" s="37">
        <v>43903</v>
      </c>
      <c r="E1340" s="39">
        <v>12.709</v>
      </c>
      <c r="F1340" s="39">
        <v>1.9960556454679721</v>
      </c>
      <c r="G1340" s="39">
        <v>35.550543598942845</v>
      </c>
      <c r="H1340" s="39">
        <v>58.192495113776054</v>
      </c>
      <c r="I1340" s="10">
        <v>0</v>
      </c>
      <c r="J1340" s="40">
        <v>0</v>
      </c>
      <c r="K1340" s="40">
        <v>1</v>
      </c>
      <c r="L1340" s="40">
        <v>0</v>
      </c>
      <c r="M1340" s="40">
        <v>0</v>
      </c>
      <c r="N1340" s="40">
        <v>0</v>
      </c>
      <c r="O1340" s="40">
        <v>0</v>
      </c>
      <c r="P1340" s="40">
        <v>0</v>
      </c>
      <c r="Q1340" s="40">
        <v>0</v>
      </c>
      <c r="R1340" s="40">
        <v>0</v>
      </c>
      <c r="S1340" s="40">
        <v>0</v>
      </c>
      <c r="T1340" s="29">
        <f t="array" aca="1" ref="T1340" ca="1">+fair_value_gap(OFFSET(S1339,0,0,-1*$I$5,-1*$Z$1),OFFSET(E1339,0,0,-1*$I$5,1),F1340:S1340,0)</f>
        <v>12.854584224881856</v>
      </c>
      <c r="U1340" s="9" cm="1">
        <f t="array" aca="1" ref="U1340" ca="1">z_score_diff(OFFSET(T1340,0,0,$I$5*-1,1),OFFSET(E1340,0,0,$I$5*-1,1))</f>
        <v>-1.4814522691671161E-2</v>
      </c>
      <c r="V1340" s="9">
        <f t="shared" ca="1" si="167"/>
        <v>-1.6442985902009249E-2</v>
      </c>
      <c r="W1340" s="17">
        <f t="shared" ca="1" si="164"/>
        <v>3.4719534763872809E-2</v>
      </c>
      <c r="X1340" s="13">
        <f t="shared" ca="1" si="165"/>
        <v>0</v>
      </c>
      <c r="Y1340" s="13">
        <f t="shared" ca="1" si="166"/>
        <v>0</v>
      </c>
      <c r="Z1340">
        <f t="shared" ca="1" si="168"/>
        <v>1</v>
      </c>
      <c r="AA1340">
        <f t="shared" ca="1" si="169"/>
        <v>0</v>
      </c>
      <c r="AB1340" s="24">
        <f t="shared" ca="1" si="170"/>
        <v>3.4719534763872809E-2</v>
      </c>
      <c r="AC1340" s="24">
        <f t="shared" ca="1" si="171"/>
        <v>0</v>
      </c>
    </row>
    <row r="1341" spans="3:29" x14ac:dyDescent="0.25">
      <c r="C1341" s="6">
        <v>1334</v>
      </c>
      <c r="D1341" s="37">
        <v>43906</v>
      </c>
      <c r="E1341" s="39">
        <v>12.472</v>
      </c>
      <c r="F1341" s="39">
        <v>1.9810348926279089</v>
      </c>
      <c r="G1341" s="39">
        <v>34.614782294079845</v>
      </c>
      <c r="H1341" s="39">
        <v>58.198402845646562</v>
      </c>
      <c r="I1341" s="10">
        <v>0</v>
      </c>
      <c r="J1341" s="40">
        <v>0</v>
      </c>
      <c r="K1341" s="40">
        <v>1</v>
      </c>
      <c r="L1341" s="40">
        <v>0</v>
      </c>
      <c r="M1341" s="40">
        <v>0</v>
      </c>
      <c r="N1341" s="40">
        <v>0</v>
      </c>
      <c r="O1341" s="40">
        <v>0</v>
      </c>
      <c r="P1341" s="40">
        <v>0</v>
      </c>
      <c r="Q1341" s="40">
        <v>0</v>
      </c>
      <c r="R1341" s="40">
        <v>0</v>
      </c>
      <c r="S1341" s="40">
        <v>0</v>
      </c>
      <c r="T1341" s="29">
        <f t="array" aca="1" ref="T1341" ca="1">+fair_value_gap(OFFSET(S1340,0,0,-1*$I$5,-1*$Z$1),OFFSET(E1340,0,0,-1*$I$5,1),F1341:S1341,0)</f>
        <v>12.575408949649248</v>
      </c>
      <c r="U1341" s="9" cm="1">
        <f t="array" aca="1" ref="U1341" ca="1">z_score_diff(OFFSET(T1341,0,0,$I$5*-1,1),OFFSET(E1341,0,0,$I$5*-1,1))</f>
        <v>-3.5172458406662166E-2</v>
      </c>
      <c r="V1341" s="9">
        <f t="shared" ca="1" si="167"/>
        <v>-1.6691820157504006E-2</v>
      </c>
      <c r="W1341" s="17">
        <f t="shared" ca="1" si="164"/>
        <v>5.7336574862351539E-2</v>
      </c>
      <c r="X1341" s="13">
        <f t="shared" ca="1" si="165"/>
        <v>0</v>
      </c>
      <c r="Y1341" s="13">
        <f t="shared" ca="1" si="166"/>
        <v>0</v>
      </c>
      <c r="Z1341">
        <f t="shared" ca="1" si="168"/>
        <v>1</v>
      </c>
      <c r="AA1341">
        <f t="shared" ca="1" si="169"/>
        <v>0</v>
      </c>
      <c r="AB1341" s="24">
        <f t="shared" ca="1" si="170"/>
        <v>5.7336574862351539E-2</v>
      </c>
      <c r="AC1341" s="24">
        <f t="shared" ca="1" si="171"/>
        <v>0</v>
      </c>
    </row>
    <row r="1342" spans="3:29" x14ac:dyDescent="0.25">
      <c r="C1342" s="6">
        <v>1335</v>
      </c>
      <c r="D1342" s="37">
        <v>43907</v>
      </c>
      <c r="E1342" s="39">
        <v>12.305</v>
      </c>
      <c r="F1342" s="39">
        <v>2.0436613391887271</v>
      </c>
      <c r="G1342" s="39">
        <v>34.214376954682699</v>
      </c>
      <c r="H1342" s="39">
        <v>59.010273782616714</v>
      </c>
      <c r="I1342" s="10">
        <v>0</v>
      </c>
      <c r="J1342" s="40">
        <v>0</v>
      </c>
      <c r="K1342" s="40">
        <v>1</v>
      </c>
      <c r="L1342" s="40">
        <v>0</v>
      </c>
      <c r="M1342" s="40">
        <v>0</v>
      </c>
      <c r="N1342" s="40">
        <v>0</v>
      </c>
      <c r="O1342" s="40">
        <v>0</v>
      </c>
      <c r="P1342" s="40">
        <v>0</v>
      </c>
      <c r="Q1342" s="40">
        <v>0</v>
      </c>
      <c r="R1342" s="40">
        <v>0</v>
      </c>
      <c r="S1342" s="40">
        <v>0</v>
      </c>
      <c r="T1342" s="29">
        <f t="array" aca="1" ref="T1342" ca="1">+fair_value_gap(OFFSET(S1341,0,0,-1*$I$5,-1*$Z$1),OFFSET(E1341,0,0,-1*$I$5,1),F1342:S1342,0)</f>
        <v>12.493130273504377</v>
      </c>
      <c r="U1342" s="9" cm="1">
        <f t="array" aca="1" ref="U1342" ca="1">z_score_diff(OFFSET(T1342,0,0,$I$5*-1,1),OFFSET(E1342,0,0,$I$5*-1,1))</f>
        <v>-1.6593085871763336E-3</v>
      </c>
      <c r="V1342" s="9">
        <f t="shared" ca="1" si="167"/>
        <v>-1.6646109924033575E-2</v>
      </c>
      <c r="W1342" s="17">
        <f t="shared" ca="1" si="164"/>
        <v>8.2184631164655894E-2</v>
      </c>
      <c r="X1342" s="13">
        <f t="shared" ca="1" si="165"/>
        <v>0</v>
      </c>
      <c r="Y1342" s="13">
        <f t="shared" ca="1" si="166"/>
        <v>0</v>
      </c>
      <c r="Z1342">
        <f t="shared" ca="1" si="168"/>
        <v>1</v>
      </c>
      <c r="AA1342">
        <f t="shared" ca="1" si="169"/>
        <v>0</v>
      </c>
      <c r="AB1342" s="24">
        <f t="shared" ca="1" si="170"/>
        <v>8.2184631164655894E-2</v>
      </c>
      <c r="AC1342" s="24">
        <f t="shared" ca="1" si="171"/>
        <v>0</v>
      </c>
    </row>
    <row r="1343" spans="3:29" x14ac:dyDescent="0.25">
      <c r="C1343" s="6">
        <v>1336</v>
      </c>
      <c r="D1343" s="37">
        <v>43908</v>
      </c>
      <c r="E1343" s="39">
        <v>11.922000000000001</v>
      </c>
      <c r="F1343" s="39">
        <v>2.0455568560367334</v>
      </c>
      <c r="G1343" s="39">
        <v>32.349496197230209</v>
      </c>
      <c r="H1343" s="39">
        <v>59.782119384172148</v>
      </c>
      <c r="I1343" s="10">
        <v>0</v>
      </c>
      <c r="J1343" s="40">
        <v>0</v>
      </c>
      <c r="K1343" s="40">
        <v>1</v>
      </c>
      <c r="L1343" s="40">
        <v>0</v>
      </c>
      <c r="M1343" s="40">
        <v>0</v>
      </c>
      <c r="N1343" s="40">
        <v>0</v>
      </c>
      <c r="O1343" s="40">
        <v>0</v>
      </c>
      <c r="P1343" s="40">
        <v>0</v>
      </c>
      <c r="Q1343" s="40">
        <v>0</v>
      </c>
      <c r="R1343" s="40">
        <v>0</v>
      </c>
      <c r="S1343" s="40">
        <v>0</v>
      </c>
      <c r="T1343" s="29">
        <f t="array" aca="1" ref="T1343" ca="1">+fair_value_gap(OFFSET(S1342,0,0,-1*$I$5,-1*$Z$1),OFFSET(E1342,0,0,-1*$I$5,1),F1343:S1343,0)</f>
        <v>11.975049908888284</v>
      </c>
      <c r="U1343" s="9" cm="1">
        <f t="array" aca="1" ref="U1343" ca="1">z_score_diff(OFFSET(T1343,0,0,$I$5*-1,1),OFFSET(E1343,0,0,$I$5*-1,1))</f>
        <v>-6.1675654344306885E-2</v>
      </c>
      <c r="V1343" s="9">
        <f t="shared" ca="1" si="167"/>
        <v>-1.9684676995460487E-2</v>
      </c>
      <c r="W1343" s="17">
        <f t="shared" ca="1" si="164"/>
        <v>0.11619740671569419</v>
      </c>
      <c r="X1343" s="13">
        <f t="shared" ca="1" si="165"/>
        <v>0</v>
      </c>
      <c r="Y1343" s="13">
        <f t="shared" ca="1" si="166"/>
        <v>0</v>
      </c>
      <c r="Z1343">
        <f t="shared" ca="1" si="168"/>
        <v>1</v>
      </c>
      <c r="AA1343">
        <f t="shared" ca="1" si="169"/>
        <v>0</v>
      </c>
      <c r="AB1343" s="24">
        <f t="shared" ca="1" si="170"/>
        <v>0.11619740671569419</v>
      </c>
      <c r="AC1343" s="24">
        <f t="shared" ca="1" si="171"/>
        <v>0</v>
      </c>
    </row>
    <row r="1344" spans="3:29" x14ac:dyDescent="0.25">
      <c r="C1344" s="6">
        <v>1337</v>
      </c>
      <c r="D1344" s="37">
        <v>43909</v>
      </c>
      <c r="E1344" s="39">
        <v>11.874000000000001</v>
      </c>
      <c r="F1344" s="39">
        <v>2.1074641040884803</v>
      </c>
      <c r="G1344" s="39">
        <v>32.913420695984605</v>
      </c>
      <c r="H1344" s="39">
        <v>59.772835615959302</v>
      </c>
      <c r="I1344" s="10">
        <v>0</v>
      </c>
      <c r="J1344" s="40">
        <v>0</v>
      </c>
      <c r="K1344" s="40">
        <v>1</v>
      </c>
      <c r="L1344" s="40">
        <v>0</v>
      </c>
      <c r="M1344" s="40">
        <v>0</v>
      </c>
      <c r="N1344" s="40">
        <v>0</v>
      </c>
      <c r="O1344" s="40">
        <v>0</v>
      </c>
      <c r="P1344" s="40">
        <v>0</v>
      </c>
      <c r="Q1344" s="40">
        <v>0</v>
      </c>
      <c r="R1344" s="40">
        <v>0</v>
      </c>
      <c r="S1344" s="40">
        <v>0</v>
      </c>
      <c r="T1344" s="29">
        <f t="array" aca="1" ref="T1344" ca="1">+fair_value_gap(OFFSET(S1343,0,0,-1*$I$5,-1*$Z$1),OFFSET(E1343,0,0,-1*$I$5,1),F1344:S1344,0)</f>
        <v>12.129116067224164</v>
      </c>
      <c r="U1344" s="9" cm="1">
        <f t="array" aca="1" ref="U1344" ca="1">z_score_diff(OFFSET(T1344,0,0,$I$5*-1,1),OFFSET(E1344,0,0,$I$5*-1,1))</f>
        <v>2.069438009748259E-2</v>
      </c>
      <c r="V1344" s="9">
        <f t="shared" ca="1" si="167"/>
        <v>-2.1229965628469589E-2</v>
      </c>
      <c r="W1344" s="17">
        <f t="shared" ca="1" si="164"/>
        <v>0.12893096667483744</v>
      </c>
      <c r="X1344" s="13">
        <f t="shared" ca="1" si="165"/>
        <v>0</v>
      </c>
      <c r="Y1344" s="13">
        <f t="shared" ca="1" si="166"/>
        <v>0</v>
      </c>
      <c r="Z1344">
        <f t="shared" ca="1" si="168"/>
        <v>1</v>
      </c>
      <c r="AA1344">
        <f t="shared" ca="1" si="169"/>
        <v>0</v>
      </c>
      <c r="AB1344" s="24">
        <f t="shared" ca="1" si="170"/>
        <v>0.12893096667483744</v>
      </c>
      <c r="AC1344" s="24">
        <f t="shared" ca="1" si="171"/>
        <v>0</v>
      </c>
    </row>
    <row r="1345" spans="3:29" x14ac:dyDescent="0.25">
      <c r="C1345" s="6">
        <v>1338</v>
      </c>
      <c r="D1345" s="37">
        <v>43910</v>
      </c>
      <c r="E1345" s="39">
        <v>12.045999999999999</v>
      </c>
      <c r="F1345" s="39">
        <v>2.1116372522700795</v>
      </c>
      <c r="G1345" s="39">
        <v>33.71117487262849</v>
      </c>
      <c r="H1345" s="39">
        <v>60.932127790493112</v>
      </c>
      <c r="I1345" s="10">
        <v>0</v>
      </c>
      <c r="J1345" s="40">
        <v>0</v>
      </c>
      <c r="K1345" s="40">
        <v>1</v>
      </c>
      <c r="L1345" s="40">
        <v>0</v>
      </c>
      <c r="M1345" s="40">
        <v>0</v>
      </c>
      <c r="N1345" s="40">
        <v>0</v>
      </c>
      <c r="O1345" s="40">
        <v>0</v>
      </c>
      <c r="P1345" s="40">
        <v>0</v>
      </c>
      <c r="Q1345" s="40">
        <v>0</v>
      </c>
      <c r="R1345" s="40">
        <v>0</v>
      </c>
      <c r="S1345" s="40">
        <v>0</v>
      </c>
      <c r="T1345" s="29">
        <f t="array" aca="1" ref="T1345" ca="1">+fair_value_gap(OFFSET(S1344,0,0,-1*$I$5,-1*$Z$1),OFFSET(E1344,0,0,-1*$I$5,1),F1345:S1345,0)</f>
        <v>12.378211902109992</v>
      </c>
      <c r="U1345" s="9" cm="1">
        <f t="array" aca="1" ref="U1345" ca="1">z_score_diff(OFFSET(T1345,0,0,$I$5*-1,1),OFFSET(E1345,0,0,$I$5*-1,1))</f>
        <v>5.3024960069524507E-2</v>
      </c>
      <c r="V1345" s="9">
        <f t="shared" ca="1" si="167"/>
        <v>-2.0362277736549046E-2</v>
      </c>
      <c r="W1345" s="17">
        <f t="shared" ca="1" si="164"/>
        <v>9.7902924590247575E-2</v>
      </c>
      <c r="X1345" s="13">
        <f t="shared" ca="1" si="165"/>
        <v>0</v>
      </c>
      <c r="Y1345" s="13">
        <f t="shared" ca="1" si="166"/>
        <v>0</v>
      </c>
      <c r="Z1345">
        <f t="shared" ca="1" si="168"/>
        <v>1</v>
      </c>
      <c r="AA1345">
        <f t="shared" ca="1" si="169"/>
        <v>0</v>
      </c>
      <c r="AB1345" s="24">
        <f t="shared" ca="1" si="170"/>
        <v>9.7902924590247575E-2</v>
      </c>
      <c r="AC1345" s="24">
        <f t="shared" ca="1" si="171"/>
        <v>0</v>
      </c>
    </row>
    <row r="1346" spans="3:29" x14ac:dyDescent="0.25">
      <c r="C1346" s="6">
        <v>1339</v>
      </c>
      <c r="D1346" s="37">
        <v>43913</v>
      </c>
      <c r="E1346" s="39">
        <v>11.81</v>
      </c>
      <c r="F1346" s="39">
        <v>2.1311353063610659</v>
      </c>
      <c r="G1346" s="39">
        <v>33.057354832412514</v>
      </c>
      <c r="H1346" s="39">
        <v>58.138624224549609</v>
      </c>
      <c r="I1346" s="10">
        <v>0</v>
      </c>
      <c r="J1346" s="40">
        <v>0</v>
      </c>
      <c r="K1346" s="40">
        <v>1</v>
      </c>
      <c r="L1346" s="40">
        <v>0</v>
      </c>
      <c r="M1346" s="40">
        <v>0</v>
      </c>
      <c r="N1346" s="40">
        <v>0</v>
      </c>
      <c r="O1346" s="40">
        <v>0</v>
      </c>
      <c r="P1346" s="40">
        <v>0</v>
      </c>
      <c r="Q1346" s="40">
        <v>0</v>
      </c>
      <c r="R1346" s="40">
        <v>0</v>
      </c>
      <c r="S1346" s="40">
        <v>0</v>
      </c>
      <c r="T1346" s="29">
        <f t="array" aca="1" ref="T1346" ca="1">+fair_value_gap(OFFSET(S1345,0,0,-1*$I$5,-1*$Z$1),OFFSET(E1345,0,0,-1*$I$5,1),F1346:S1346,0)</f>
        <v>12.014516417968398</v>
      </c>
      <c r="U1346" s="9" cm="1">
        <f t="array" aca="1" ref="U1346" ca="1">z_score_diff(OFFSET(T1346,0,0,$I$5*-1,1),OFFSET(E1346,0,0,$I$5*-1,1))</f>
        <v>-2.2306342598059636E-3</v>
      </c>
      <c r="V1346" s="9">
        <f t="shared" ca="1" si="167"/>
        <v>-2.7788849118594243E-2</v>
      </c>
      <c r="W1346" s="17">
        <f t="shared" ca="1" si="164"/>
        <v>0.11036069500021377</v>
      </c>
      <c r="X1346" s="13">
        <f t="shared" ca="1" si="165"/>
        <v>0</v>
      </c>
      <c r="Y1346" s="13">
        <f t="shared" ca="1" si="166"/>
        <v>0</v>
      </c>
      <c r="Z1346">
        <f t="shared" ca="1" si="168"/>
        <v>1</v>
      </c>
      <c r="AA1346">
        <f t="shared" ca="1" si="169"/>
        <v>0</v>
      </c>
      <c r="AB1346" s="24">
        <f t="shared" ca="1" si="170"/>
        <v>0.11036069500021377</v>
      </c>
      <c r="AC1346" s="24">
        <f t="shared" ca="1" si="171"/>
        <v>0</v>
      </c>
    </row>
    <row r="1347" spans="3:29" x14ac:dyDescent="0.25">
      <c r="C1347" s="6">
        <v>1340</v>
      </c>
      <c r="D1347" s="37">
        <v>43914</v>
      </c>
      <c r="E1347" s="39">
        <v>12.157999999999999</v>
      </c>
      <c r="F1347" s="39">
        <v>2.1378181304123784</v>
      </c>
      <c r="G1347" s="39">
        <v>33.980850701985666</v>
      </c>
      <c r="H1347" s="39">
        <v>62.520235853143575</v>
      </c>
      <c r="I1347" s="10">
        <v>0</v>
      </c>
      <c r="J1347" s="40">
        <v>0</v>
      </c>
      <c r="K1347" s="40">
        <v>1</v>
      </c>
      <c r="L1347" s="40">
        <v>0</v>
      </c>
      <c r="M1347" s="40">
        <v>0</v>
      </c>
      <c r="N1347" s="40">
        <v>0</v>
      </c>
      <c r="O1347" s="40">
        <v>0</v>
      </c>
      <c r="P1347" s="40">
        <v>0</v>
      </c>
      <c r="Q1347" s="40">
        <v>0</v>
      </c>
      <c r="R1347" s="40">
        <v>0</v>
      </c>
      <c r="S1347" s="40">
        <v>0</v>
      </c>
      <c r="T1347" s="29">
        <f t="array" aca="1" ref="T1347" ca="1">+fair_value_gap(OFFSET(S1346,0,0,-1*$I$5,-1*$Z$1),OFFSET(E1346,0,0,-1*$I$5,1),F1347:S1347,0)</f>
        <v>12.449085791319837</v>
      </c>
      <c r="U1347" s="9" cm="1">
        <f t="array" aca="1" ref="U1347" ca="1">z_score_diff(OFFSET(T1347,0,0,$I$5*-1,1),OFFSET(E1347,0,0,$I$5*-1,1))</f>
        <v>3.6420965780314951E-2</v>
      </c>
      <c r="V1347" s="9">
        <f t="shared" ca="1" si="167"/>
        <v>-3.0538910889322202E-2</v>
      </c>
      <c r="W1347" s="17">
        <f t="shared" ca="1" si="164"/>
        <v>0.10106606339991382</v>
      </c>
      <c r="X1347" s="13">
        <f t="shared" ca="1" si="165"/>
        <v>0</v>
      </c>
      <c r="Y1347" s="13">
        <f t="shared" ca="1" si="166"/>
        <v>0</v>
      </c>
      <c r="Z1347">
        <f t="shared" ca="1" si="168"/>
        <v>1</v>
      </c>
      <c r="AA1347">
        <f t="shared" ca="1" si="169"/>
        <v>0</v>
      </c>
      <c r="AB1347" s="24">
        <f t="shared" ca="1" si="170"/>
        <v>0.10106606339991382</v>
      </c>
      <c r="AC1347" s="24">
        <f t="shared" ca="1" si="171"/>
        <v>0</v>
      </c>
    </row>
    <row r="1348" spans="3:29" x14ac:dyDescent="0.25">
      <c r="C1348" s="6">
        <v>1341</v>
      </c>
      <c r="D1348" s="37">
        <v>43915</v>
      </c>
      <c r="E1348" s="39">
        <v>12.317</v>
      </c>
      <c r="F1348" s="39">
        <v>2.1259342254594427</v>
      </c>
      <c r="G1348" s="39">
        <v>34.816931726698485</v>
      </c>
      <c r="H1348" s="39">
        <v>61.452079143761665</v>
      </c>
      <c r="I1348" s="10">
        <v>0</v>
      </c>
      <c r="J1348" s="40">
        <v>0</v>
      </c>
      <c r="K1348" s="40">
        <v>1</v>
      </c>
      <c r="L1348" s="40">
        <v>0</v>
      </c>
      <c r="M1348" s="40">
        <v>0</v>
      </c>
      <c r="N1348" s="40">
        <v>0</v>
      </c>
      <c r="O1348" s="40">
        <v>0</v>
      </c>
      <c r="P1348" s="40">
        <v>0</v>
      </c>
      <c r="Q1348" s="40">
        <v>0</v>
      </c>
      <c r="R1348" s="40">
        <v>0</v>
      </c>
      <c r="S1348" s="40">
        <v>0</v>
      </c>
      <c r="T1348" s="29">
        <f t="array" aca="1" ref="T1348" ca="1">+fair_value_gap(OFFSET(S1347,0,0,-1*$I$5,-1*$Z$1),OFFSET(E1347,0,0,-1*$I$5,1),F1348:S1348,0)</f>
        <v>12.633568471880888</v>
      </c>
      <c r="U1348" s="9" cm="1">
        <f t="array" aca="1" ref="U1348" ca="1">z_score_diff(OFFSET(T1348,0,0,$I$5*-1,1),OFFSET(E1348,0,0,$I$5*-1,1))</f>
        <v>4.7517710360888143E-2</v>
      </c>
      <c r="V1348" s="9">
        <f t="shared" ca="1" si="167"/>
        <v>-3.2406889333480661E-2</v>
      </c>
      <c r="W1348" s="17">
        <f t="shared" ca="1" si="164"/>
        <v>0.10436952385394267</v>
      </c>
      <c r="X1348" s="13">
        <f t="shared" ca="1" si="165"/>
        <v>0</v>
      </c>
      <c r="Y1348" s="13">
        <f t="shared" ca="1" si="166"/>
        <v>0</v>
      </c>
      <c r="Z1348">
        <f t="shared" ca="1" si="168"/>
        <v>1</v>
      </c>
      <c r="AA1348">
        <f t="shared" ca="1" si="169"/>
        <v>0</v>
      </c>
      <c r="AB1348" s="24">
        <f t="shared" ca="1" si="170"/>
        <v>0.10436952385394267</v>
      </c>
      <c r="AC1348" s="24">
        <f t="shared" ca="1" si="171"/>
        <v>0</v>
      </c>
    </row>
    <row r="1349" spans="3:29" x14ac:dyDescent="0.25">
      <c r="C1349" s="6">
        <v>1342</v>
      </c>
      <c r="D1349" s="37">
        <v>43916</v>
      </c>
      <c r="E1349" s="39">
        <v>12.257999999999999</v>
      </c>
      <c r="F1349" s="39">
        <v>2.0924386551261174</v>
      </c>
      <c r="G1349" s="39">
        <v>34.464309745522101</v>
      </c>
      <c r="H1349" s="39">
        <v>62.844573942354387</v>
      </c>
      <c r="I1349" s="10">
        <v>0</v>
      </c>
      <c r="J1349" s="40">
        <v>0</v>
      </c>
      <c r="K1349" s="40">
        <v>1</v>
      </c>
      <c r="L1349" s="40">
        <v>0</v>
      </c>
      <c r="M1349" s="40">
        <v>0</v>
      </c>
      <c r="N1349" s="40">
        <v>0</v>
      </c>
      <c r="O1349" s="40">
        <v>0</v>
      </c>
      <c r="P1349" s="40">
        <v>0</v>
      </c>
      <c r="Q1349" s="40">
        <v>0</v>
      </c>
      <c r="R1349" s="40">
        <v>0</v>
      </c>
      <c r="S1349" s="40">
        <v>0</v>
      </c>
      <c r="T1349" s="29">
        <f t="array" aca="1" ref="T1349" ca="1">+fair_value_gap(OFFSET(S1348,0,0,-1*$I$5,-1*$Z$1),OFFSET(E1348,0,0,-1*$I$5,1),F1349:S1349,0)</f>
        <v>12.56277591689461</v>
      </c>
      <c r="U1349" s="9" cm="1">
        <f t="array" aca="1" ref="U1349" ca="1">z_score_diff(OFFSET(T1349,0,0,$I$5*-1,1),OFFSET(E1349,0,0,$I$5*-1,1))</f>
        <v>4.0921194099170943E-2</v>
      </c>
      <c r="V1349" s="9">
        <f t="shared" ca="1" si="167"/>
        <v>-3.1226423325190756E-2</v>
      </c>
      <c r="W1349" s="17">
        <f t="shared" ca="1" si="164"/>
        <v>0.11536900041531858</v>
      </c>
      <c r="X1349" s="13">
        <f t="shared" ca="1" si="165"/>
        <v>0</v>
      </c>
      <c r="Y1349" s="13">
        <f t="shared" ca="1" si="166"/>
        <v>0</v>
      </c>
      <c r="Z1349">
        <f t="shared" ca="1" si="168"/>
        <v>1</v>
      </c>
      <c r="AA1349">
        <f t="shared" ca="1" si="169"/>
        <v>0</v>
      </c>
      <c r="AB1349" s="24">
        <f t="shared" ca="1" si="170"/>
        <v>0.11536900041531858</v>
      </c>
      <c r="AC1349" s="24">
        <f t="shared" ca="1" si="171"/>
        <v>0</v>
      </c>
    </row>
    <row r="1350" spans="3:29" x14ac:dyDescent="0.25">
      <c r="C1350" s="6">
        <v>1343</v>
      </c>
      <c r="D1350" s="37">
        <v>43917</v>
      </c>
      <c r="E1350" s="39">
        <v>11.989000000000001</v>
      </c>
      <c r="F1350" s="39">
        <v>2.0918117104338716</v>
      </c>
      <c r="G1350" s="39">
        <v>33.71868978805395</v>
      </c>
      <c r="H1350" s="39">
        <v>63.894375439108124</v>
      </c>
      <c r="I1350" s="10">
        <v>0</v>
      </c>
      <c r="J1350" s="40">
        <v>0</v>
      </c>
      <c r="K1350" s="40">
        <v>1</v>
      </c>
      <c r="L1350" s="40">
        <v>0</v>
      </c>
      <c r="M1350" s="40">
        <v>0</v>
      </c>
      <c r="N1350" s="40">
        <v>0</v>
      </c>
      <c r="O1350" s="40">
        <v>0</v>
      </c>
      <c r="P1350" s="40">
        <v>0</v>
      </c>
      <c r="Q1350" s="40">
        <v>0</v>
      </c>
      <c r="R1350" s="40">
        <v>0</v>
      </c>
      <c r="S1350" s="40">
        <v>0</v>
      </c>
      <c r="T1350" s="29">
        <f t="array" aca="1" ref="T1350" ca="1">+fair_value_gap(OFFSET(S1349,0,0,-1*$I$5,-1*$Z$1),OFFSET(E1349,0,0,-1*$I$5,1),F1350:S1350,0)</f>
        <v>12.349634267244966</v>
      </c>
      <c r="U1350" s="9" cm="1">
        <f t="array" aca="1" ref="U1350" ca="1">z_score_diff(OFFSET(T1350,0,0,$I$5*-1,1),OFFSET(E1350,0,0,$I$5*-1,1))</f>
        <v>5.7496876797910712E-2</v>
      </c>
      <c r="V1350" s="9">
        <f t="shared" ca="1" si="167"/>
        <v>-2.9107748549012196E-2</v>
      </c>
      <c r="W1350" s="17">
        <f t="shared" ca="1" si="164"/>
        <v>0.14566657094868143</v>
      </c>
      <c r="X1350" s="13">
        <f t="shared" ca="1" si="165"/>
        <v>0</v>
      </c>
      <c r="Y1350" s="13">
        <f t="shared" ca="1" si="166"/>
        <v>0</v>
      </c>
      <c r="Z1350">
        <f t="shared" ca="1" si="168"/>
        <v>1</v>
      </c>
      <c r="AA1350">
        <f t="shared" ca="1" si="169"/>
        <v>0</v>
      </c>
      <c r="AB1350" s="24">
        <f t="shared" ca="1" si="170"/>
        <v>0.14566657094868143</v>
      </c>
      <c r="AC1350" s="24">
        <f t="shared" ca="1" si="171"/>
        <v>0</v>
      </c>
    </row>
    <row r="1351" spans="3:29" x14ac:dyDescent="0.25">
      <c r="C1351" s="6">
        <v>1344</v>
      </c>
      <c r="D1351" s="37">
        <v>43920</v>
      </c>
      <c r="E1351" s="39">
        <v>11.731</v>
      </c>
      <c r="F1351" s="39">
        <v>2.1551724137931036</v>
      </c>
      <c r="G1351" s="39">
        <v>32.820993877045197</v>
      </c>
      <c r="H1351" s="39">
        <v>63.896623117012915</v>
      </c>
      <c r="I1351" s="10">
        <v>0</v>
      </c>
      <c r="J1351" s="40">
        <v>0</v>
      </c>
      <c r="K1351" s="40">
        <v>1</v>
      </c>
      <c r="L1351" s="40">
        <v>0</v>
      </c>
      <c r="M1351" s="40">
        <v>0</v>
      </c>
      <c r="N1351" s="40">
        <v>0</v>
      </c>
      <c r="O1351" s="40">
        <v>0</v>
      </c>
      <c r="P1351" s="40">
        <v>0</v>
      </c>
      <c r="Q1351" s="40">
        <v>0</v>
      </c>
      <c r="R1351" s="40">
        <v>0</v>
      </c>
      <c r="S1351" s="40">
        <v>0</v>
      </c>
      <c r="T1351" s="29">
        <f t="array" aca="1" ref="T1351" ca="1">+fair_value_gap(OFFSET(S1350,0,0,-1*$I$5,-1*$Z$1),OFFSET(E1350,0,0,-1*$I$5,1),F1351:S1351,0)</f>
        <v>12.024837892640342</v>
      </c>
      <c r="U1351" s="9" cm="1">
        <f t="array" aca="1" ref="U1351" ca="1">z_score_diff(OFFSET(T1351,0,0,$I$5*-1,1),OFFSET(E1351,0,0,$I$5*-1,1))</f>
        <v>2.6291565806411121E-2</v>
      </c>
      <c r="V1351" s="9">
        <f t="shared" ca="1" si="167"/>
        <v>-2.8211309877825285E-2</v>
      </c>
      <c r="W1351" s="17">
        <f t="shared" ref="W1351:W1414" ca="1" si="172">+LN(OFFSET(E1351,$W$3,0,1,1)/E1351)</f>
        <v>0.17431928887355688</v>
      </c>
      <c r="X1351" s="13">
        <f t="shared" ca="1" si="165"/>
        <v>0</v>
      </c>
      <c r="Y1351" s="13">
        <f t="shared" ca="1" si="166"/>
        <v>0</v>
      </c>
      <c r="Z1351">
        <f t="shared" ca="1" si="168"/>
        <v>1</v>
      </c>
      <c r="AA1351">
        <f t="shared" ca="1" si="169"/>
        <v>0</v>
      </c>
      <c r="AB1351" s="24">
        <f t="shared" ca="1" si="170"/>
        <v>0.17431928887355688</v>
      </c>
      <c r="AC1351" s="24">
        <f t="shared" ca="1" si="171"/>
        <v>0</v>
      </c>
    </row>
    <row r="1352" spans="3:29" x14ac:dyDescent="0.25">
      <c r="C1352" s="6">
        <v>1345</v>
      </c>
      <c r="D1352" s="37">
        <v>43921</v>
      </c>
      <c r="E1352" s="39">
        <v>12.55</v>
      </c>
      <c r="F1352" s="39">
        <v>2.1535413394259604</v>
      </c>
      <c r="G1352" s="39">
        <v>37.385676250738022</v>
      </c>
      <c r="H1352" s="39">
        <v>63.588819077538204</v>
      </c>
      <c r="I1352" s="10">
        <v>0</v>
      </c>
      <c r="J1352" s="40">
        <v>0</v>
      </c>
      <c r="K1352" s="40">
        <v>1</v>
      </c>
      <c r="L1352" s="40">
        <v>0</v>
      </c>
      <c r="M1352" s="40">
        <v>0</v>
      </c>
      <c r="N1352" s="40">
        <v>0</v>
      </c>
      <c r="O1352" s="40">
        <v>0</v>
      </c>
      <c r="P1352" s="40">
        <v>0</v>
      </c>
      <c r="Q1352" s="40">
        <v>0</v>
      </c>
      <c r="R1352" s="40">
        <v>0</v>
      </c>
      <c r="S1352" s="40">
        <v>0</v>
      </c>
      <c r="T1352" s="29">
        <f t="array" aca="1" ref="T1352" ca="1">+fair_value_gap(OFFSET(S1351,0,0,-1*$I$5,-1*$Z$1),OFFSET(E1351,0,0,-1*$I$5,1),F1352:S1352,0)</f>
        <v>13.406222163192467</v>
      </c>
      <c r="U1352" s="9" cm="1">
        <f t="array" aca="1" ref="U1352" ca="1">z_score_diff(OFFSET(T1352,0,0,$I$5*-1,1),OFFSET(E1352,0,0,$I$5*-1,1))</f>
        <v>0.25259052909965818</v>
      </c>
      <c r="V1352" s="9">
        <f t="shared" ca="1" si="167"/>
        <v>-2.0333583227426295E-2</v>
      </c>
      <c r="W1352" s="17">
        <f t="shared" ca="1" si="172"/>
        <v>0.10123248513945017</v>
      </c>
      <c r="X1352" s="13">
        <f t="shared" ca="1" si="165"/>
        <v>0</v>
      </c>
      <c r="Y1352" s="13">
        <f t="shared" ca="1" si="166"/>
        <v>0</v>
      </c>
      <c r="Z1352">
        <f t="shared" ca="1" si="168"/>
        <v>1</v>
      </c>
      <c r="AA1352">
        <f t="shared" ca="1" si="169"/>
        <v>0</v>
      </c>
      <c r="AB1352" s="24">
        <f t="shared" ca="1" si="170"/>
        <v>0.10123248513945017</v>
      </c>
      <c r="AC1352" s="24">
        <f t="shared" ca="1" si="171"/>
        <v>0</v>
      </c>
    </row>
    <row r="1353" spans="3:29" x14ac:dyDescent="0.25">
      <c r="C1353" s="6">
        <v>1346</v>
      </c>
      <c r="D1353" s="37">
        <v>43922</v>
      </c>
      <c r="E1353" s="39">
        <v>12.5</v>
      </c>
      <c r="F1353" s="39">
        <v>2.175147435644027</v>
      </c>
      <c r="G1353" s="39">
        <v>37.297501503300552</v>
      </c>
      <c r="H1353" s="39">
        <v>63.385647081654731</v>
      </c>
      <c r="I1353" s="10">
        <v>0</v>
      </c>
      <c r="J1353" s="40">
        <v>0</v>
      </c>
      <c r="K1353" s="40">
        <v>0</v>
      </c>
      <c r="L1353" s="40">
        <v>1</v>
      </c>
      <c r="M1353" s="40">
        <v>0</v>
      </c>
      <c r="N1353" s="40">
        <v>0</v>
      </c>
      <c r="O1353" s="40">
        <v>0</v>
      </c>
      <c r="P1353" s="40">
        <v>0</v>
      </c>
      <c r="Q1353" s="40">
        <v>0</v>
      </c>
      <c r="R1353" s="40">
        <v>0</v>
      </c>
      <c r="S1353" s="40">
        <v>0</v>
      </c>
      <c r="T1353" s="29">
        <f t="array" aca="1" ref="T1353" ca="1">+fair_value_gap(OFFSET(S1352,0,0,-1*$I$5,-1*$Z$1),OFFSET(E1352,0,0,-1*$I$5,1),F1353:S1353,0)</f>
        <v>12.928636861305673</v>
      </c>
      <c r="U1353" s="9" cm="1">
        <f t="array" aca="1" ref="U1353" ca="1">z_score_diff(OFFSET(T1353,0,0,$I$5*-1,1),OFFSET(E1353,0,0,$I$5*-1,1))</f>
        <v>8.3807563745353253E-2</v>
      </c>
      <c r="V1353" s="9">
        <f t="shared" ca="1" si="167"/>
        <v>-1.7574588894849218E-2</v>
      </c>
      <c r="W1353" s="17">
        <f t="shared" ca="1" si="172"/>
        <v>9.973673178753624E-2</v>
      </c>
      <c r="X1353" s="13">
        <f t="shared" ref="X1353:X1416" ca="1" si="173">+X1352</f>
        <v>0</v>
      </c>
      <c r="Y1353" s="13">
        <f t="shared" ref="Y1353:Y1416" ca="1" si="174">+Y1352</f>
        <v>0</v>
      </c>
      <c r="Z1353">
        <f t="shared" ca="1" si="168"/>
        <v>1</v>
      </c>
      <c r="AA1353">
        <f t="shared" ca="1" si="169"/>
        <v>0</v>
      </c>
      <c r="AB1353" s="24">
        <f t="shared" ca="1" si="170"/>
        <v>9.973673178753624E-2</v>
      </c>
      <c r="AC1353" s="24">
        <f t="shared" ca="1" si="171"/>
        <v>0</v>
      </c>
    </row>
    <row r="1354" spans="3:29" x14ac:dyDescent="0.25">
      <c r="C1354" s="6">
        <v>1347</v>
      </c>
      <c r="D1354" s="37">
        <v>43923</v>
      </c>
      <c r="E1354" s="39">
        <v>12.795999999999999</v>
      </c>
      <c r="F1354" s="39">
        <v>2.2066906277930278</v>
      </c>
      <c r="G1354" s="39">
        <v>38.059508145345688</v>
      </c>
      <c r="H1354" s="39">
        <v>61.463653250436195</v>
      </c>
      <c r="I1354" s="10">
        <v>0</v>
      </c>
      <c r="J1354" s="40">
        <v>0</v>
      </c>
      <c r="K1354" s="40">
        <v>0</v>
      </c>
      <c r="L1354" s="40">
        <v>1</v>
      </c>
      <c r="M1354" s="40">
        <v>0</v>
      </c>
      <c r="N1354" s="40">
        <v>0</v>
      </c>
      <c r="O1354" s="40">
        <v>0</v>
      </c>
      <c r="P1354" s="40">
        <v>0</v>
      </c>
      <c r="Q1354" s="40">
        <v>0</v>
      </c>
      <c r="R1354" s="40">
        <v>0</v>
      </c>
      <c r="S1354" s="40">
        <v>0</v>
      </c>
      <c r="T1354" s="29">
        <f t="array" aca="1" ref="T1354" ca="1">+fair_value_gap(OFFSET(S1353,0,0,-1*$I$5,-1*$Z$1),OFFSET(E1353,0,0,-1*$I$5,1),F1354:S1354,0)</f>
        <v>12.906519301649102</v>
      </c>
      <c r="U1354" s="9" cm="1">
        <f t="array" aca="1" ref="U1354" ca="1">z_score_diff(OFFSET(T1354,0,0,$I$5*-1,1),OFFSET(E1354,0,0,$I$5*-1,1))</f>
        <v>-3.4304051860967189E-2</v>
      </c>
      <c r="V1354" s="9">
        <f t="shared" ca="1" si="167"/>
        <v>-1.8372567238838639E-2</v>
      </c>
      <c r="W1354" s="17">
        <f t="shared" ca="1" si="172"/>
        <v>9.6261728983868117E-2</v>
      </c>
      <c r="X1354" s="13">
        <f t="shared" ca="1" si="173"/>
        <v>0</v>
      </c>
      <c r="Y1354" s="13">
        <f t="shared" ca="1" si="174"/>
        <v>0</v>
      </c>
      <c r="Z1354">
        <f t="shared" ca="1" si="168"/>
        <v>1</v>
      </c>
      <c r="AA1354">
        <f t="shared" ca="1" si="169"/>
        <v>0</v>
      </c>
      <c r="AB1354" s="24">
        <f t="shared" ca="1" si="170"/>
        <v>9.6261728983868117E-2</v>
      </c>
      <c r="AC1354" s="24">
        <f t="shared" ca="1" si="171"/>
        <v>0</v>
      </c>
    </row>
    <row r="1355" spans="3:29" x14ac:dyDescent="0.25">
      <c r="C1355" s="6">
        <v>1348</v>
      </c>
      <c r="D1355" s="37">
        <v>43924</v>
      </c>
      <c r="E1355" s="39">
        <v>12.833</v>
      </c>
      <c r="F1355" s="39">
        <v>2.2192291828637543</v>
      </c>
      <c r="G1355" s="39">
        <v>38.711563983174756</v>
      </c>
      <c r="H1355" s="39">
        <v>60.088915169234468</v>
      </c>
      <c r="I1355" s="10">
        <v>0</v>
      </c>
      <c r="J1355" s="40">
        <v>0</v>
      </c>
      <c r="K1355" s="40">
        <v>0</v>
      </c>
      <c r="L1355" s="40">
        <v>1</v>
      </c>
      <c r="M1355" s="40">
        <v>0</v>
      </c>
      <c r="N1355" s="40">
        <v>0</v>
      </c>
      <c r="O1355" s="40">
        <v>0</v>
      </c>
      <c r="P1355" s="40">
        <v>0</v>
      </c>
      <c r="Q1355" s="40">
        <v>0</v>
      </c>
      <c r="R1355" s="40">
        <v>0</v>
      </c>
      <c r="S1355" s="40">
        <v>0</v>
      </c>
      <c r="T1355" s="29">
        <f t="array" aca="1" ref="T1355" ca="1">+fair_value_gap(OFFSET(S1354,0,0,-1*$I$5,-1*$Z$1),OFFSET(E1354,0,0,-1*$I$5,1),F1355:S1355,0)</f>
        <v>13.036986309876601</v>
      </c>
      <c r="U1355" s="9" cm="1">
        <f t="array" aca="1" ref="U1355" ca="1">z_score_diff(OFFSET(T1355,0,0,$I$5*-1,1),OFFSET(E1355,0,0,$I$5*-1,1))</f>
        <v>2.3032873280239841E-3</v>
      </c>
      <c r="V1355" s="9">
        <f t="shared" ref="V1355:V1418" ca="1" si="175">+IF(ISERROR(AVERAGE(OFFSET(U1355,0,0,$V$5*-1,1))),"",AVERAGE(OFFSET(U1355,0,0,$V$5*-1,1)))</f>
        <v>-1.8059363038515727E-2</v>
      </c>
      <c r="W1355" s="17">
        <f t="shared" ca="1" si="172"/>
        <v>8.4319375285885775E-2</v>
      </c>
      <c r="X1355" s="13">
        <f t="shared" ca="1" si="173"/>
        <v>0</v>
      </c>
      <c r="Y1355" s="13">
        <f t="shared" ca="1" si="174"/>
        <v>0</v>
      </c>
      <c r="Z1355">
        <f t="shared" ref="Z1355:Z1418" ca="1" si="176">+IF(V1355="","",IF(V1355&lt;X1355,1,0))</f>
        <v>1</v>
      </c>
      <c r="AA1355">
        <f t="shared" ref="AA1355:AA1418" ca="1" si="177">+IF(V1355="","",IF(V1355&gt;Y1355,1,0))</f>
        <v>0</v>
      </c>
      <c r="AB1355" s="24">
        <f t="shared" ref="AB1355:AB1418" ca="1" si="178">+IF(ISERROR(Z1355*W1355),"",Z1355*W1355)</f>
        <v>8.4319375285885775E-2</v>
      </c>
      <c r="AC1355" s="24">
        <f t="shared" ref="AC1355:AC1418" ca="1" si="179">+IF(ISERROR(AA1355*W1355),"",AA1355*W1355)</f>
        <v>0</v>
      </c>
    </row>
    <row r="1356" spans="3:29" x14ac:dyDescent="0.25">
      <c r="C1356" s="6">
        <v>1349</v>
      </c>
      <c r="D1356" s="37">
        <v>43927</v>
      </c>
      <c r="E1356" s="39">
        <v>13.413</v>
      </c>
      <c r="F1356" s="39">
        <v>2.2465871617323403</v>
      </c>
      <c r="G1356" s="39">
        <v>39.743461785607344</v>
      </c>
      <c r="H1356" s="39">
        <v>61.557219423382051</v>
      </c>
      <c r="I1356" s="10">
        <v>0</v>
      </c>
      <c r="J1356" s="40">
        <v>0</v>
      </c>
      <c r="K1356" s="40">
        <v>0</v>
      </c>
      <c r="L1356" s="40">
        <v>1</v>
      </c>
      <c r="M1356" s="40">
        <v>0</v>
      </c>
      <c r="N1356" s="40">
        <v>0</v>
      </c>
      <c r="O1356" s="40">
        <v>0</v>
      </c>
      <c r="P1356" s="40">
        <v>0</v>
      </c>
      <c r="Q1356" s="40">
        <v>0</v>
      </c>
      <c r="R1356" s="40">
        <v>0</v>
      </c>
      <c r="S1356" s="40">
        <v>0</v>
      </c>
      <c r="T1356" s="29">
        <f t="array" aca="1" ref="T1356" ca="1">+fair_value_gap(OFFSET(S1355,0,0,-1*$I$5,-1*$Z$1),OFFSET(E1355,0,0,-1*$I$5,1),F1356:S1356,0)</f>
        <v>13.356878420885225</v>
      </c>
      <c r="U1356" s="9" cm="1">
        <f t="array" aca="1" ref="U1356" ca="1">z_score_diff(OFFSET(T1356,0,0,$I$5*-1,1),OFFSET(E1356,0,0,$I$5*-1,1))</f>
        <v>-8.8038358566262742E-2</v>
      </c>
      <c r="V1356" s="9">
        <f t="shared" ca="1" si="175"/>
        <v>-2.0420816031292068E-2</v>
      </c>
      <c r="W1356" s="17">
        <f t="shared" ca="1" si="172"/>
        <v>2.6267926820610105E-2</v>
      </c>
      <c r="X1356" s="13">
        <f t="shared" ca="1" si="173"/>
        <v>0</v>
      </c>
      <c r="Y1356" s="13">
        <f t="shared" ca="1" si="174"/>
        <v>0</v>
      </c>
      <c r="Z1356">
        <f t="shared" ca="1" si="176"/>
        <v>1</v>
      </c>
      <c r="AA1356">
        <f t="shared" ca="1" si="177"/>
        <v>0</v>
      </c>
      <c r="AB1356" s="24">
        <f t="shared" ca="1" si="178"/>
        <v>2.6267926820610105E-2</v>
      </c>
      <c r="AC1356" s="24">
        <f t="shared" ca="1" si="179"/>
        <v>0</v>
      </c>
    </row>
    <row r="1357" spans="3:29" x14ac:dyDescent="0.25">
      <c r="C1357" s="6">
        <v>1350</v>
      </c>
      <c r="D1357" s="37">
        <v>43928</v>
      </c>
      <c r="E1357" s="39">
        <v>13.419</v>
      </c>
      <c r="F1357" s="39">
        <v>2.2309100555735633</v>
      </c>
      <c r="G1357" s="39">
        <v>39.924565765721347</v>
      </c>
      <c r="H1357" s="39">
        <v>60.888271606056051</v>
      </c>
      <c r="I1357" s="10">
        <v>0</v>
      </c>
      <c r="J1357" s="40">
        <v>0</v>
      </c>
      <c r="K1357" s="40">
        <v>0</v>
      </c>
      <c r="L1357" s="40">
        <v>1</v>
      </c>
      <c r="M1357" s="40">
        <v>0</v>
      </c>
      <c r="N1357" s="40">
        <v>0</v>
      </c>
      <c r="O1357" s="40">
        <v>0</v>
      </c>
      <c r="P1357" s="40">
        <v>0</v>
      </c>
      <c r="Q1357" s="40">
        <v>0</v>
      </c>
      <c r="R1357" s="40">
        <v>0</v>
      </c>
      <c r="S1357" s="40">
        <v>0</v>
      </c>
      <c r="T1357" s="29">
        <f t="array" aca="1" ref="T1357" ca="1">+fair_value_gap(OFFSET(S1356,0,0,-1*$I$5,-1*$Z$1),OFFSET(E1356,0,0,-1*$I$5,1),F1357:S1357,0)</f>
        <v>13.411440935831402</v>
      </c>
      <c r="U1357" s="9" cm="1">
        <f t="array" aca="1" ref="U1357" ca="1">z_score_diff(OFFSET(T1357,0,0,$I$5*-1,1),OFFSET(E1357,0,0,$I$5*-1,1))</f>
        <v>-6.8286797426651891E-2</v>
      </c>
      <c r="V1357" s="9">
        <f t="shared" ca="1" si="175"/>
        <v>-2.5104096931424496E-2</v>
      </c>
      <c r="W1357" s="17">
        <f t="shared" ca="1" si="172"/>
        <v>1.5748356968139112E-2</v>
      </c>
      <c r="X1357" s="13">
        <f t="shared" ca="1" si="173"/>
        <v>0</v>
      </c>
      <c r="Y1357" s="13">
        <f t="shared" ca="1" si="174"/>
        <v>0</v>
      </c>
      <c r="Z1357">
        <f t="shared" ca="1" si="176"/>
        <v>1</v>
      </c>
      <c r="AA1357">
        <f t="shared" ca="1" si="177"/>
        <v>0</v>
      </c>
      <c r="AB1357" s="24">
        <f t="shared" ca="1" si="178"/>
        <v>1.5748356968139112E-2</v>
      </c>
      <c r="AC1357" s="24">
        <f t="shared" ca="1" si="179"/>
        <v>0</v>
      </c>
    </row>
    <row r="1358" spans="3:29" x14ac:dyDescent="0.25">
      <c r="C1358" s="6">
        <v>1351</v>
      </c>
      <c r="D1358" s="37">
        <v>43929</v>
      </c>
      <c r="E1358" s="39">
        <v>13.268000000000001</v>
      </c>
      <c r="F1358" s="39">
        <v>2.2627867900506446</v>
      </c>
      <c r="G1358" s="39">
        <v>39.927367852036262</v>
      </c>
      <c r="H1358" s="39">
        <v>58.47804415251364</v>
      </c>
      <c r="I1358" s="10">
        <v>0</v>
      </c>
      <c r="J1358" s="40">
        <v>0</v>
      </c>
      <c r="K1358" s="40">
        <v>0</v>
      </c>
      <c r="L1358" s="40">
        <v>1</v>
      </c>
      <c r="M1358" s="40">
        <v>0</v>
      </c>
      <c r="N1358" s="40">
        <v>0</v>
      </c>
      <c r="O1358" s="40">
        <v>0</v>
      </c>
      <c r="P1358" s="40">
        <v>0</v>
      </c>
      <c r="Q1358" s="40">
        <v>0</v>
      </c>
      <c r="R1358" s="40">
        <v>0</v>
      </c>
      <c r="S1358" s="40">
        <v>0</v>
      </c>
      <c r="T1358" s="29">
        <f t="array" aca="1" ref="T1358" ca="1">+fair_value_gap(OFFSET(S1357,0,0,-1*$I$5,-1*$Z$1),OFFSET(E1357,0,0,-1*$I$5,1),F1358:S1358,0)</f>
        <v>13.332388093385967</v>
      </c>
      <c r="U1358" s="9" cm="1">
        <f t="array" aca="1" ref="U1358" ca="1">z_score_diff(OFFSET(T1358,0,0,$I$5*-1,1),OFFSET(E1358,0,0,$I$5*-1,1))</f>
        <v>-4.215210715500417E-2</v>
      </c>
      <c r="V1358" s="9">
        <f t="shared" ca="1" si="175"/>
        <v>-2.7741664840169791E-2</v>
      </c>
      <c r="W1358" s="17">
        <f t="shared" ca="1" si="172"/>
        <v>9.3678130946911367E-2</v>
      </c>
      <c r="X1358" s="13">
        <f t="shared" ca="1" si="173"/>
        <v>0</v>
      </c>
      <c r="Y1358" s="13">
        <f t="shared" ca="1" si="174"/>
        <v>0</v>
      </c>
      <c r="Z1358">
        <f t="shared" ca="1" si="176"/>
        <v>1</v>
      </c>
      <c r="AA1358">
        <f t="shared" ca="1" si="177"/>
        <v>0</v>
      </c>
      <c r="AB1358" s="24">
        <f t="shared" ca="1" si="178"/>
        <v>9.3678130946911367E-2</v>
      </c>
      <c r="AC1358" s="24">
        <f t="shared" ca="1" si="179"/>
        <v>0</v>
      </c>
    </row>
    <row r="1359" spans="3:29" x14ac:dyDescent="0.25">
      <c r="C1359" s="6">
        <v>1352</v>
      </c>
      <c r="D1359" s="37">
        <v>43930</v>
      </c>
      <c r="E1359" s="39">
        <v>13.359</v>
      </c>
      <c r="F1359" s="39">
        <v>2.2572793653655459</v>
      </c>
      <c r="G1359" s="39">
        <v>40.330816512840073</v>
      </c>
      <c r="H1359" s="39">
        <v>57.648967817542598</v>
      </c>
      <c r="I1359" s="10">
        <v>0</v>
      </c>
      <c r="J1359" s="40">
        <v>0</v>
      </c>
      <c r="K1359" s="40">
        <v>0</v>
      </c>
      <c r="L1359" s="40">
        <v>1</v>
      </c>
      <c r="M1359" s="40">
        <v>0</v>
      </c>
      <c r="N1359" s="40">
        <v>0</v>
      </c>
      <c r="O1359" s="40">
        <v>0</v>
      </c>
      <c r="P1359" s="40">
        <v>0</v>
      </c>
      <c r="Q1359" s="40">
        <v>0</v>
      </c>
      <c r="R1359" s="40">
        <v>0</v>
      </c>
      <c r="S1359" s="40">
        <v>0</v>
      </c>
      <c r="T1359" s="29">
        <f t="array" aca="1" ref="T1359" ca="1">+fair_value_gap(OFFSET(S1358,0,0,-1*$I$5,-1*$Z$1),OFFSET(E1358,0,0,-1*$I$5,1),F1359:S1359,0)</f>
        <v>13.426943551220008</v>
      </c>
      <c r="U1359" s="9" cm="1">
        <f t="array" aca="1" ref="U1359" ca="1">z_score_diff(OFFSET(T1359,0,0,$I$5*-1,1),OFFSET(E1359,0,0,$I$5*-1,1))</f>
        <v>-3.8893718023339519E-2</v>
      </c>
      <c r="V1359" s="9">
        <f t="shared" ca="1" si="175"/>
        <v>-2.8372351817981936E-2</v>
      </c>
      <c r="W1359" s="17">
        <f t="shared" ca="1" si="172"/>
        <v>8.6019044083513782E-2</v>
      </c>
      <c r="X1359" s="13">
        <f t="shared" ca="1" si="173"/>
        <v>0</v>
      </c>
      <c r="Y1359" s="13">
        <f t="shared" ca="1" si="174"/>
        <v>0</v>
      </c>
      <c r="Z1359">
        <f t="shared" ca="1" si="176"/>
        <v>1</v>
      </c>
      <c r="AA1359">
        <f t="shared" ca="1" si="177"/>
        <v>0</v>
      </c>
      <c r="AB1359" s="24">
        <f t="shared" ca="1" si="178"/>
        <v>8.6019044083513782E-2</v>
      </c>
      <c r="AC1359" s="24">
        <f t="shared" ca="1" si="179"/>
        <v>0</v>
      </c>
    </row>
    <row r="1360" spans="3:29" x14ac:dyDescent="0.25">
      <c r="C1360" s="6">
        <v>1353</v>
      </c>
      <c r="D1360" s="37">
        <v>43935</v>
      </c>
      <c r="E1360" s="39">
        <v>13.199</v>
      </c>
      <c r="F1360" s="39">
        <v>2.2727231911152779</v>
      </c>
      <c r="G1360" s="39">
        <v>39.572318924251171</v>
      </c>
      <c r="H1360" s="39">
        <v>56.167062664662431</v>
      </c>
      <c r="I1360" s="10">
        <v>0</v>
      </c>
      <c r="J1360" s="40">
        <v>0</v>
      </c>
      <c r="K1360" s="40">
        <v>0</v>
      </c>
      <c r="L1360" s="40">
        <v>1</v>
      </c>
      <c r="M1360" s="40">
        <v>0</v>
      </c>
      <c r="N1360" s="40">
        <v>0</v>
      </c>
      <c r="O1360" s="40">
        <v>0</v>
      </c>
      <c r="P1360" s="40">
        <v>0</v>
      </c>
      <c r="Q1360" s="40">
        <v>0</v>
      </c>
      <c r="R1360" s="40">
        <v>0</v>
      </c>
      <c r="S1360" s="40">
        <v>0</v>
      </c>
      <c r="T1360" s="29">
        <f t="array" aca="1" ref="T1360" ca="1">+fair_value_gap(OFFSET(S1359,0,0,-1*$I$5,-1*$Z$1),OFFSET(E1359,0,0,-1*$I$5,1),F1360:S1360,0)</f>
        <v>13.118356364483763</v>
      </c>
      <c r="U1360" s="9" cm="1">
        <f t="array" aca="1" ref="U1360" ca="1">z_score_diff(OFFSET(T1360,0,0,$I$5*-1,1),OFFSET(E1360,0,0,$I$5*-1,1))</f>
        <v>-9.6161306212098951E-2</v>
      </c>
      <c r="V1360" s="9">
        <f t="shared" ca="1" si="175"/>
        <v>-3.0684079596907696E-2</v>
      </c>
      <c r="W1360" s="17">
        <f t="shared" ca="1" si="172"/>
        <v>0.1152965939045488</v>
      </c>
      <c r="X1360" s="13">
        <f t="shared" ca="1" si="173"/>
        <v>0</v>
      </c>
      <c r="Y1360" s="13">
        <f t="shared" ca="1" si="174"/>
        <v>0</v>
      </c>
      <c r="Z1360">
        <f t="shared" ca="1" si="176"/>
        <v>1</v>
      </c>
      <c r="AA1360">
        <f t="shared" ca="1" si="177"/>
        <v>0</v>
      </c>
      <c r="AB1360" s="24">
        <f t="shared" ca="1" si="178"/>
        <v>0.1152965939045488</v>
      </c>
      <c r="AC1360" s="24">
        <f t="shared" ca="1" si="179"/>
        <v>0</v>
      </c>
    </row>
    <row r="1361" spans="3:29" x14ac:dyDescent="0.25">
      <c r="C1361" s="6">
        <v>1354</v>
      </c>
      <c r="D1361" s="37">
        <v>43936</v>
      </c>
      <c r="E1361" s="39">
        <v>13.044</v>
      </c>
      <c r="F1361" s="39">
        <v>2.2722048984068324</v>
      </c>
      <c r="G1361" s="39">
        <v>38.857882574703765</v>
      </c>
      <c r="H1361" s="39">
        <v>57.325440188798417</v>
      </c>
      <c r="I1361" s="10">
        <v>0</v>
      </c>
      <c r="J1361" s="40">
        <v>0</v>
      </c>
      <c r="K1361" s="40">
        <v>0</v>
      </c>
      <c r="L1361" s="40">
        <v>1</v>
      </c>
      <c r="M1361" s="40">
        <v>0</v>
      </c>
      <c r="N1361" s="40">
        <v>0</v>
      </c>
      <c r="O1361" s="40">
        <v>0</v>
      </c>
      <c r="P1361" s="40">
        <v>0</v>
      </c>
      <c r="Q1361" s="40">
        <v>0</v>
      </c>
      <c r="R1361" s="40">
        <v>0</v>
      </c>
      <c r="S1361" s="40">
        <v>0</v>
      </c>
      <c r="T1361" s="29">
        <f t="array" aca="1" ref="T1361" ca="1">+fair_value_gap(OFFSET(S1360,0,0,-1*$I$5,-1*$Z$1),OFFSET(E1360,0,0,-1*$I$5,1),F1361:S1361,0)</f>
        <v>12.930999113721036</v>
      </c>
      <c r="U1361" s="9" cm="1">
        <f t="array" aca="1" ref="U1361" ca="1">z_score_diff(OFFSET(T1361,0,0,$I$5*-1,1),OFFSET(E1361,0,0,$I$5*-1,1))</f>
        <v>-0.10877992895798849</v>
      </c>
      <c r="V1361" s="9">
        <f t="shared" ca="1" si="175"/>
        <v>-3.3021915012570506E-2</v>
      </c>
      <c r="W1361" s="17">
        <f t="shared" ca="1" si="172"/>
        <v>0.12920011571555517</v>
      </c>
      <c r="X1361" s="13">
        <f t="shared" ca="1" si="173"/>
        <v>0</v>
      </c>
      <c r="Y1361" s="13">
        <f t="shared" ca="1" si="174"/>
        <v>0</v>
      </c>
      <c r="Z1361">
        <f t="shared" ca="1" si="176"/>
        <v>1</v>
      </c>
      <c r="AA1361">
        <f t="shared" ca="1" si="177"/>
        <v>0</v>
      </c>
      <c r="AB1361" s="24">
        <f t="shared" ca="1" si="178"/>
        <v>0.12920011571555517</v>
      </c>
      <c r="AC1361" s="24">
        <f t="shared" ca="1" si="179"/>
        <v>0</v>
      </c>
    </row>
    <row r="1362" spans="3:29" x14ac:dyDescent="0.25">
      <c r="C1362" s="6">
        <v>1355</v>
      </c>
      <c r="D1362" s="37">
        <v>43937</v>
      </c>
      <c r="E1362" s="39">
        <v>13.452999999999999</v>
      </c>
      <c r="F1362" s="39">
        <v>2.2901284273450613</v>
      </c>
      <c r="G1362" s="39">
        <v>39.680556186667879</v>
      </c>
      <c r="H1362" s="39">
        <v>57.685396223153319</v>
      </c>
      <c r="I1362" s="10">
        <v>0</v>
      </c>
      <c r="J1362" s="40">
        <v>0</v>
      </c>
      <c r="K1362" s="40">
        <v>0</v>
      </c>
      <c r="L1362" s="40">
        <v>1</v>
      </c>
      <c r="M1362" s="40">
        <v>0</v>
      </c>
      <c r="N1362" s="40">
        <v>0</v>
      </c>
      <c r="O1362" s="40">
        <v>0</v>
      </c>
      <c r="P1362" s="40">
        <v>0</v>
      </c>
      <c r="Q1362" s="40">
        <v>0</v>
      </c>
      <c r="R1362" s="40">
        <v>0</v>
      </c>
      <c r="S1362" s="40">
        <v>0</v>
      </c>
      <c r="T1362" s="29">
        <f t="array" aca="1" ref="T1362" ca="1">+fair_value_gap(OFFSET(S1361,0,0,-1*$I$5,-1*$Z$1),OFFSET(E1361,0,0,-1*$I$5,1),F1362:S1362,0)</f>
        <v>13.211722559549184</v>
      </c>
      <c r="U1362" s="9" cm="1">
        <f t="array" aca="1" ref="U1362" ca="1">z_score_diff(OFFSET(T1362,0,0,$I$5*-1,1),OFFSET(E1362,0,0,$I$5*-1,1))</f>
        <v>-0.14997468961042726</v>
      </c>
      <c r="V1362" s="9">
        <f t="shared" ca="1" si="175"/>
        <v>-3.61072881932301E-2</v>
      </c>
      <c r="W1362" s="17">
        <f t="shared" ca="1" si="172"/>
        <v>9.8797735745302748E-2</v>
      </c>
      <c r="X1362" s="13">
        <f t="shared" ca="1" si="173"/>
        <v>0</v>
      </c>
      <c r="Y1362" s="13">
        <f t="shared" ca="1" si="174"/>
        <v>0</v>
      </c>
      <c r="Z1362">
        <f t="shared" ca="1" si="176"/>
        <v>1</v>
      </c>
      <c r="AA1362">
        <f t="shared" ca="1" si="177"/>
        <v>0</v>
      </c>
      <c r="AB1362" s="24">
        <f t="shared" ca="1" si="178"/>
        <v>9.8797735745302748E-2</v>
      </c>
      <c r="AC1362" s="24">
        <f t="shared" ca="1" si="179"/>
        <v>0</v>
      </c>
    </row>
    <row r="1363" spans="3:29" x14ac:dyDescent="0.25">
      <c r="C1363" s="6">
        <v>1356</v>
      </c>
      <c r="D1363" s="37">
        <v>43938</v>
      </c>
      <c r="E1363" s="39">
        <v>13.510999999999999</v>
      </c>
      <c r="F1363" s="39">
        <v>2.3017912087712844</v>
      </c>
      <c r="G1363" s="39">
        <v>40.531880079268404</v>
      </c>
      <c r="H1363" s="39">
        <v>58.428689801224607</v>
      </c>
      <c r="I1363" s="10">
        <v>0</v>
      </c>
      <c r="J1363" s="40">
        <v>0</v>
      </c>
      <c r="K1363" s="40">
        <v>0</v>
      </c>
      <c r="L1363" s="40">
        <v>1</v>
      </c>
      <c r="M1363" s="40">
        <v>0</v>
      </c>
      <c r="N1363" s="40">
        <v>0</v>
      </c>
      <c r="O1363" s="40">
        <v>0</v>
      </c>
      <c r="P1363" s="40">
        <v>0</v>
      </c>
      <c r="Q1363" s="40">
        <v>0</v>
      </c>
      <c r="R1363" s="40">
        <v>0</v>
      </c>
      <c r="S1363" s="40">
        <v>0</v>
      </c>
      <c r="T1363" s="29">
        <f t="array" aca="1" ref="T1363" ca="1">+fair_value_gap(OFFSET(S1362,0,0,-1*$I$5,-1*$Z$1),OFFSET(E1362,0,0,-1*$I$5,1),F1363:S1363,0)</f>
        <v>13.521944569021514</v>
      </c>
      <c r="U1363" s="9" cm="1">
        <f t="array" aca="1" ref="U1363" ca="1">z_score_diff(OFFSET(T1363,0,0,$I$5*-1,1),OFFSET(E1363,0,0,$I$5*-1,1))</f>
        <v>-5.3267707305214795E-2</v>
      </c>
      <c r="V1363" s="9">
        <f t="shared" ca="1" si="175"/>
        <v>-3.6440563344080988E-2</v>
      </c>
      <c r="W1363" s="17">
        <f t="shared" ca="1" si="172"/>
        <v>0.10661056667326713</v>
      </c>
      <c r="X1363" s="13">
        <f t="shared" ca="1" si="173"/>
        <v>0</v>
      </c>
      <c r="Y1363" s="13">
        <f t="shared" ca="1" si="174"/>
        <v>0</v>
      </c>
      <c r="Z1363">
        <f t="shared" ca="1" si="176"/>
        <v>1</v>
      </c>
      <c r="AA1363">
        <f t="shared" ca="1" si="177"/>
        <v>0</v>
      </c>
      <c r="AB1363" s="24">
        <f t="shared" ca="1" si="178"/>
        <v>0.10661056667326713</v>
      </c>
      <c r="AC1363" s="24">
        <f t="shared" ca="1" si="179"/>
        <v>0</v>
      </c>
    </row>
    <row r="1364" spans="3:29" x14ac:dyDescent="0.25">
      <c r="C1364" s="6">
        <v>1357</v>
      </c>
      <c r="D1364" s="37">
        <v>43941</v>
      </c>
      <c r="E1364" s="39">
        <v>13.361000000000001</v>
      </c>
      <c r="F1364" s="39">
        <v>2.3671359744694613</v>
      </c>
      <c r="G1364" s="39">
        <v>39.882910478606249</v>
      </c>
      <c r="H1364" s="39">
        <v>59.29198554093373</v>
      </c>
      <c r="I1364" s="10">
        <v>0</v>
      </c>
      <c r="J1364" s="40">
        <v>0</v>
      </c>
      <c r="K1364" s="40">
        <v>0</v>
      </c>
      <c r="L1364" s="40">
        <v>1</v>
      </c>
      <c r="M1364" s="40">
        <v>0</v>
      </c>
      <c r="N1364" s="40">
        <v>0</v>
      </c>
      <c r="O1364" s="40">
        <v>0</v>
      </c>
      <c r="P1364" s="40">
        <v>0</v>
      </c>
      <c r="Q1364" s="40">
        <v>0</v>
      </c>
      <c r="R1364" s="40">
        <v>0</v>
      </c>
      <c r="S1364" s="40">
        <v>0</v>
      </c>
      <c r="T1364" s="29">
        <f t="array" aca="1" ref="T1364" ca="1">+fair_value_gap(OFFSET(S1363,0,0,-1*$I$5,-1*$Z$1),OFFSET(E1363,0,0,-1*$I$5,1),F1364:S1364,0)</f>
        <v>13.327643802602816</v>
      </c>
      <c r="U1364" s="9" cm="1">
        <f t="array" aca="1" ref="U1364" ca="1">z_score_diff(OFFSET(T1364,0,0,$I$5*-1,1),OFFSET(E1364,0,0,$I$5*-1,1))</f>
        <v>-7.0969279559105258E-2</v>
      </c>
      <c r="V1364" s="9">
        <f t="shared" ca="1" si="175"/>
        <v>-3.637591924505696E-2</v>
      </c>
      <c r="W1364" s="17">
        <f t="shared" ca="1" si="172"/>
        <v>0.11544348326690869</v>
      </c>
      <c r="X1364" s="13">
        <f t="shared" ca="1" si="173"/>
        <v>0</v>
      </c>
      <c r="Y1364" s="13">
        <f t="shared" ca="1" si="174"/>
        <v>0</v>
      </c>
      <c r="Z1364">
        <f t="shared" ca="1" si="176"/>
        <v>1</v>
      </c>
      <c r="AA1364">
        <f t="shared" ca="1" si="177"/>
        <v>0</v>
      </c>
      <c r="AB1364" s="24">
        <f t="shared" ca="1" si="178"/>
        <v>0.11544348326690869</v>
      </c>
      <c r="AC1364" s="24">
        <f t="shared" ca="1" si="179"/>
        <v>0</v>
      </c>
    </row>
    <row r="1365" spans="3:29" x14ac:dyDescent="0.25">
      <c r="C1365" s="6">
        <v>1358</v>
      </c>
      <c r="D1365" s="37">
        <v>43942</v>
      </c>
      <c r="E1365" s="39">
        <v>13.023</v>
      </c>
      <c r="F1365" s="39">
        <v>2.3951551303968279</v>
      </c>
      <c r="G1365" s="39">
        <v>38.874694052127026</v>
      </c>
      <c r="H1365" s="39">
        <v>57.378241734259632</v>
      </c>
      <c r="I1365" s="10">
        <v>0</v>
      </c>
      <c r="J1365" s="40">
        <v>0</v>
      </c>
      <c r="K1365" s="40">
        <v>0</v>
      </c>
      <c r="L1365" s="40">
        <v>1</v>
      </c>
      <c r="M1365" s="40">
        <v>0</v>
      </c>
      <c r="N1365" s="40">
        <v>0</v>
      </c>
      <c r="O1365" s="40">
        <v>0</v>
      </c>
      <c r="P1365" s="40">
        <v>0</v>
      </c>
      <c r="Q1365" s="40">
        <v>0</v>
      </c>
      <c r="R1365" s="40">
        <v>0</v>
      </c>
      <c r="S1365" s="40">
        <v>0</v>
      </c>
      <c r="T1365" s="29">
        <f t="array" aca="1" ref="T1365" ca="1">+fair_value_gap(OFFSET(S1364,0,0,-1*$I$5,-1*$Z$1),OFFSET(E1364,0,0,-1*$I$5,1),F1365:S1365,0)</f>
        <v>12.956616229344677</v>
      </c>
      <c r="U1365" s="9" cm="1">
        <f t="array" aca="1" ref="U1365" ca="1">z_score_diff(OFFSET(T1365,0,0,$I$5*-1,1),OFFSET(E1365,0,0,$I$5*-1,1))</f>
        <v>-8.6930958167151129E-2</v>
      </c>
      <c r="V1365" s="9">
        <f t="shared" ca="1" si="175"/>
        <v>-3.2384535352204369E-2</v>
      </c>
      <c r="W1365" s="17">
        <f t="shared" ca="1" si="172"/>
        <v>0.12723425173714226</v>
      </c>
      <c r="X1365" s="13">
        <f t="shared" ca="1" si="173"/>
        <v>0</v>
      </c>
      <c r="Y1365" s="13">
        <f t="shared" ca="1" si="174"/>
        <v>0</v>
      </c>
      <c r="Z1365">
        <f t="shared" ca="1" si="176"/>
        <v>1</v>
      </c>
      <c r="AA1365">
        <f t="shared" ca="1" si="177"/>
        <v>0</v>
      </c>
      <c r="AB1365" s="24">
        <f t="shared" ca="1" si="178"/>
        <v>0.12723425173714226</v>
      </c>
      <c r="AC1365" s="24">
        <f t="shared" ca="1" si="179"/>
        <v>0</v>
      </c>
    </row>
    <row r="1366" spans="3:29" x14ac:dyDescent="0.25">
      <c r="C1366" s="6">
        <v>1359</v>
      </c>
      <c r="D1366" s="37">
        <v>43943</v>
      </c>
      <c r="E1366" s="39">
        <v>12.805999999999999</v>
      </c>
      <c r="F1366" s="39">
        <v>2.4174274040886132</v>
      </c>
      <c r="G1366" s="39">
        <v>38.361614029390282</v>
      </c>
      <c r="H1366" s="39">
        <v>57.192349015853061</v>
      </c>
      <c r="I1366" s="10">
        <v>0</v>
      </c>
      <c r="J1366" s="40">
        <v>0</v>
      </c>
      <c r="K1366" s="40">
        <v>0</v>
      </c>
      <c r="L1366" s="40">
        <v>1</v>
      </c>
      <c r="M1366" s="40">
        <v>0</v>
      </c>
      <c r="N1366" s="40">
        <v>0</v>
      </c>
      <c r="O1366" s="40">
        <v>0</v>
      </c>
      <c r="P1366" s="40">
        <v>0</v>
      </c>
      <c r="Q1366" s="40">
        <v>0</v>
      </c>
      <c r="R1366" s="40">
        <v>0</v>
      </c>
      <c r="S1366" s="40">
        <v>0</v>
      </c>
      <c r="T1366" s="29">
        <f t="array" aca="1" ref="T1366" ca="1">+fair_value_gap(OFFSET(S1365,0,0,-1*$I$5,-1*$Z$1),OFFSET(E1365,0,0,-1*$I$5,1),F1366:S1366,0)</f>
        <v>12.79543770052098</v>
      </c>
      <c r="U1366" s="9" cm="1">
        <f t="array" aca="1" ref="U1366" ca="1">z_score_diff(OFFSET(T1366,0,0,$I$5*-1,1),OFFSET(E1366,0,0,$I$5*-1,1))</f>
        <v>-6.7673670325162805E-2</v>
      </c>
      <c r="V1366" s="9">
        <f t="shared" ca="1" si="175"/>
        <v>-2.8821979838228286E-2</v>
      </c>
      <c r="W1366" s="17">
        <f t="shared" ca="1" si="172"/>
        <v>0.14491605183474476</v>
      </c>
      <c r="X1366" s="13">
        <f t="shared" ca="1" si="173"/>
        <v>0</v>
      </c>
      <c r="Y1366" s="13">
        <f t="shared" ca="1" si="174"/>
        <v>0</v>
      </c>
      <c r="Z1366">
        <f t="shared" ca="1" si="176"/>
        <v>1</v>
      </c>
      <c r="AA1366">
        <f t="shared" ca="1" si="177"/>
        <v>0</v>
      </c>
      <c r="AB1366" s="24">
        <f t="shared" ca="1" si="178"/>
        <v>0.14491605183474476</v>
      </c>
      <c r="AC1366" s="24">
        <f t="shared" ca="1" si="179"/>
        <v>0</v>
      </c>
    </row>
    <row r="1367" spans="3:29" x14ac:dyDescent="0.25">
      <c r="C1367" s="6">
        <v>1360</v>
      </c>
      <c r="D1367" s="37">
        <v>43944</v>
      </c>
      <c r="E1367" s="39">
        <v>12.837999999999999</v>
      </c>
      <c r="F1367" s="39">
        <v>2.4023302878763437</v>
      </c>
      <c r="G1367" s="39">
        <v>38.296057898831279</v>
      </c>
      <c r="H1367" s="39">
        <v>57.927231664931298</v>
      </c>
      <c r="I1367" s="10">
        <v>0</v>
      </c>
      <c r="J1367" s="40">
        <v>0</v>
      </c>
      <c r="K1367" s="40">
        <v>0</v>
      </c>
      <c r="L1367" s="40">
        <v>1</v>
      </c>
      <c r="M1367" s="40">
        <v>0</v>
      </c>
      <c r="N1367" s="40">
        <v>0</v>
      </c>
      <c r="O1367" s="40">
        <v>0</v>
      </c>
      <c r="P1367" s="40">
        <v>0</v>
      </c>
      <c r="Q1367" s="40">
        <v>0</v>
      </c>
      <c r="R1367" s="40">
        <v>0</v>
      </c>
      <c r="S1367" s="40">
        <v>0</v>
      </c>
      <c r="T1367" s="29">
        <f t="array" aca="1" ref="T1367" ca="1">+fair_value_gap(OFFSET(S1366,0,0,-1*$I$5,-1*$Z$1),OFFSET(E1366,0,0,-1*$I$5,1),F1367:S1367,0)</f>
        <v>12.794493561584401</v>
      </c>
      <c r="U1367" s="9" cm="1">
        <f t="array" aca="1" ref="U1367" ca="1">z_score_diff(OFFSET(T1367,0,0,$I$5*-1,1),OFFSET(E1367,0,0,$I$5*-1,1))</f>
        <v>-7.838304330817536E-2</v>
      </c>
      <c r="V1367" s="9">
        <f t="shared" ca="1" si="175"/>
        <v>-2.5868980919876262E-2</v>
      </c>
      <c r="W1367" s="17">
        <f t="shared" ca="1" si="172"/>
        <v>0.13203081257348998</v>
      </c>
      <c r="X1367" s="13">
        <f t="shared" ca="1" si="173"/>
        <v>0</v>
      </c>
      <c r="Y1367" s="13">
        <f t="shared" ca="1" si="174"/>
        <v>0</v>
      </c>
      <c r="Z1367">
        <f t="shared" ca="1" si="176"/>
        <v>1</v>
      </c>
      <c r="AA1367">
        <f t="shared" ca="1" si="177"/>
        <v>0</v>
      </c>
      <c r="AB1367" s="24">
        <f t="shared" ca="1" si="178"/>
        <v>0.13203081257348998</v>
      </c>
      <c r="AC1367" s="24">
        <f t="shared" ca="1" si="179"/>
        <v>0</v>
      </c>
    </row>
    <row r="1368" spans="3:29" x14ac:dyDescent="0.25">
      <c r="C1368" s="6">
        <v>1361</v>
      </c>
      <c r="D1368" s="37">
        <v>43945</v>
      </c>
      <c r="E1368" s="39">
        <v>12.675000000000001</v>
      </c>
      <c r="F1368" s="39">
        <v>2.3797562071974401</v>
      </c>
      <c r="G1368" s="39">
        <v>38.144435895089238</v>
      </c>
      <c r="H1368" s="39">
        <v>57.396802008842485</v>
      </c>
      <c r="I1368" s="10">
        <v>0</v>
      </c>
      <c r="J1368" s="40">
        <v>0</v>
      </c>
      <c r="K1368" s="40">
        <v>0</v>
      </c>
      <c r="L1368" s="40">
        <v>1</v>
      </c>
      <c r="M1368" s="40">
        <v>0</v>
      </c>
      <c r="N1368" s="40">
        <v>0</v>
      </c>
      <c r="O1368" s="40">
        <v>0</v>
      </c>
      <c r="P1368" s="40">
        <v>0</v>
      </c>
      <c r="Q1368" s="40">
        <v>0</v>
      </c>
      <c r="R1368" s="40">
        <v>0</v>
      </c>
      <c r="S1368" s="40">
        <v>0</v>
      </c>
      <c r="T1368" s="29">
        <f t="array" aca="1" ref="T1368" ca="1">+fair_value_gap(OFFSET(S1367,0,0,-1*$I$5,-1*$Z$1),OFFSET(E1367,0,0,-1*$I$5,1),F1368:S1368,0)</f>
        <v>12.738356213689878</v>
      </c>
      <c r="U1368" s="9" cm="1">
        <f t="array" aca="1" ref="U1368" ca="1">z_score_diff(OFFSET(T1368,0,0,$I$5*-1,1),OFFSET(E1368,0,0,$I$5*-1,1))</f>
        <v>-3.9901144779249442E-2</v>
      </c>
      <c r="V1368" s="9">
        <f t="shared" ca="1" si="175"/>
        <v>-2.4479256252997825E-2</v>
      </c>
      <c r="W1368" s="17">
        <f t="shared" ca="1" si="172"/>
        <v>0.14412595905591871</v>
      </c>
      <c r="X1368" s="13">
        <f t="shared" ca="1" si="173"/>
        <v>0</v>
      </c>
      <c r="Y1368" s="13">
        <f t="shared" ca="1" si="174"/>
        <v>0</v>
      </c>
      <c r="Z1368">
        <f t="shared" ca="1" si="176"/>
        <v>1</v>
      </c>
      <c r="AA1368">
        <f t="shared" ca="1" si="177"/>
        <v>0</v>
      </c>
      <c r="AB1368" s="24">
        <f t="shared" ca="1" si="178"/>
        <v>0.14412595905591871</v>
      </c>
      <c r="AC1368" s="24">
        <f t="shared" ca="1" si="179"/>
        <v>0</v>
      </c>
    </row>
    <row r="1369" spans="3:29" x14ac:dyDescent="0.25">
      <c r="C1369" s="6">
        <v>1362</v>
      </c>
      <c r="D1369" s="37">
        <v>43948</v>
      </c>
      <c r="E1369" s="39">
        <v>12.712999999999999</v>
      </c>
      <c r="F1369" s="39">
        <v>2.4059032116073893</v>
      </c>
      <c r="G1369" s="39">
        <v>38.044484003946359</v>
      </c>
      <c r="H1369" s="39">
        <v>56.183307952877101</v>
      </c>
      <c r="I1369" s="10">
        <v>0</v>
      </c>
      <c r="J1369" s="40">
        <v>0</v>
      </c>
      <c r="K1369" s="40">
        <v>0</v>
      </c>
      <c r="L1369" s="40">
        <v>1</v>
      </c>
      <c r="M1369" s="40">
        <v>0</v>
      </c>
      <c r="N1369" s="40">
        <v>0</v>
      </c>
      <c r="O1369" s="40">
        <v>0</v>
      </c>
      <c r="P1369" s="40">
        <v>0</v>
      </c>
      <c r="Q1369" s="40">
        <v>0</v>
      </c>
      <c r="R1369" s="40">
        <v>0</v>
      </c>
      <c r="S1369" s="40">
        <v>0</v>
      </c>
      <c r="T1369" s="29">
        <f t="array" aca="1" ref="T1369" ca="1">+fair_value_gap(OFFSET(S1368,0,0,-1*$I$5,-1*$Z$1),OFFSET(E1368,0,0,-1*$I$5,1),F1369:S1369,0)</f>
        <v>12.664011183810306</v>
      </c>
      <c r="U1369" s="9" cm="1">
        <f t="array" aca="1" ref="U1369" ca="1">z_score_diff(OFFSET(T1369,0,0,$I$5*-1,1),OFFSET(E1369,0,0,$I$5*-1,1))</f>
        <v>-8.0210272551040518E-2</v>
      </c>
      <c r="V1369" s="9">
        <f t="shared" ca="1" si="175"/>
        <v>-2.3363034703600405E-2</v>
      </c>
      <c r="W1369" s="17">
        <f t="shared" ca="1" si="172"/>
        <v>0.13372802239097015</v>
      </c>
      <c r="X1369" s="13">
        <f t="shared" ca="1" si="173"/>
        <v>0</v>
      </c>
      <c r="Y1369" s="13">
        <f t="shared" ca="1" si="174"/>
        <v>0</v>
      </c>
      <c r="Z1369">
        <f t="shared" ca="1" si="176"/>
        <v>1</v>
      </c>
      <c r="AA1369">
        <f t="shared" ca="1" si="177"/>
        <v>0</v>
      </c>
      <c r="AB1369" s="24">
        <f t="shared" ca="1" si="178"/>
        <v>0.13372802239097015</v>
      </c>
      <c r="AC1369" s="24">
        <f t="shared" ca="1" si="179"/>
        <v>0</v>
      </c>
    </row>
    <row r="1370" spans="3:29" x14ac:dyDescent="0.25">
      <c r="C1370" s="6">
        <v>1363</v>
      </c>
      <c r="D1370" s="37">
        <v>43949</v>
      </c>
      <c r="E1370" s="39">
        <v>12.647</v>
      </c>
      <c r="F1370" s="39">
        <v>2.4202030854168393</v>
      </c>
      <c r="G1370" s="39">
        <v>37.811753995434437</v>
      </c>
      <c r="H1370" s="39">
        <v>56.559589632809669</v>
      </c>
      <c r="I1370" s="10">
        <v>0</v>
      </c>
      <c r="J1370" s="40">
        <v>0</v>
      </c>
      <c r="K1370" s="40">
        <v>0</v>
      </c>
      <c r="L1370" s="40">
        <v>1</v>
      </c>
      <c r="M1370" s="40">
        <v>0</v>
      </c>
      <c r="N1370" s="40">
        <v>0</v>
      </c>
      <c r="O1370" s="40">
        <v>0</v>
      </c>
      <c r="P1370" s="40">
        <v>0</v>
      </c>
      <c r="Q1370" s="40">
        <v>0</v>
      </c>
      <c r="R1370" s="40">
        <v>0</v>
      </c>
      <c r="S1370" s="40">
        <v>0</v>
      </c>
      <c r="T1370" s="29">
        <f t="array" aca="1" ref="T1370" ca="1">+fair_value_gap(OFFSET(S1369,0,0,-1*$I$5,-1*$Z$1),OFFSET(E1369,0,0,-1*$I$5,1),F1370:S1370,0)</f>
        <v>12.60101552415137</v>
      </c>
      <c r="U1370" s="9" cm="1">
        <f t="array" aca="1" ref="U1370" ca="1">z_score_diff(OFFSET(T1370,0,0,$I$5*-1,1),OFFSET(E1370,0,0,$I$5*-1,1))</f>
        <v>-7.8714408098153887E-2</v>
      </c>
      <c r="V1370" s="9">
        <f t="shared" ca="1" si="175"/>
        <v>-2.3980282492157425E-2</v>
      </c>
      <c r="W1370" s="17">
        <f t="shared" ca="1" si="172"/>
        <v>0.16098379115256528</v>
      </c>
      <c r="X1370" s="13">
        <f t="shared" ca="1" si="173"/>
        <v>0</v>
      </c>
      <c r="Y1370" s="13">
        <f t="shared" ca="1" si="174"/>
        <v>0</v>
      </c>
      <c r="Z1370">
        <f t="shared" ca="1" si="176"/>
        <v>1</v>
      </c>
      <c r="AA1370">
        <f t="shared" ca="1" si="177"/>
        <v>0</v>
      </c>
      <c r="AB1370" s="24">
        <f t="shared" ca="1" si="178"/>
        <v>0.16098379115256528</v>
      </c>
      <c r="AC1370" s="24">
        <f t="shared" ca="1" si="179"/>
        <v>0</v>
      </c>
    </row>
    <row r="1371" spans="3:29" x14ac:dyDescent="0.25">
      <c r="C1371" s="6">
        <v>1364</v>
      </c>
      <c r="D1371" s="37">
        <v>43950</v>
      </c>
      <c r="E1371" s="39">
        <v>12.523</v>
      </c>
      <c r="F1371" s="39">
        <v>2.4462527855058385</v>
      </c>
      <c r="G1371" s="39">
        <v>37.460869604654036</v>
      </c>
      <c r="H1371" s="39">
        <v>57.865905408533294</v>
      </c>
      <c r="I1371" s="10">
        <v>0</v>
      </c>
      <c r="J1371" s="40">
        <v>0</v>
      </c>
      <c r="K1371" s="40">
        <v>0</v>
      </c>
      <c r="L1371" s="40">
        <v>1</v>
      </c>
      <c r="M1371" s="40">
        <v>0</v>
      </c>
      <c r="N1371" s="40">
        <v>0</v>
      </c>
      <c r="O1371" s="40">
        <v>0</v>
      </c>
      <c r="P1371" s="40">
        <v>0</v>
      </c>
      <c r="Q1371" s="40">
        <v>0</v>
      </c>
      <c r="R1371" s="40">
        <v>0</v>
      </c>
      <c r="S1371" s="40">
        <v>0</v>
      </c>
      <c r="T1371" s="29">
        <f t="array" aca="1" ref="T1371" ca="1">+fair_value_gap(OFFSET(S1370,0,0,-1*$I$5,-1*$Z$1),OFFSET(E1370,0,0,-1*$I$5,1),F1371:S1371,0)</f>
        <v>12.524093627688297</v>
      </c>
      <c r="U1371" s="9" cm="1">
        <f t="array" aca="1" ref="U1371" ca="1">z_score_diff(OFFSET(T1371,0,0,$I$5*-1,1),OFFSET(E1371,0,0,$I$5*-1,1))</f>
        <v>-6.1829368114594052E-2</v>
      </c>
      <c r="V1371" s="9">
        <f t="shared" ca="1" si="175"/>
        <v>-2.3755595956463794E-2</v>
      </c>
      <c r="W1371" s="17">
        <f t="shared" ca="1" si="172"/>
        <v>0.1721822224809281</v>
      </c>
      <c r="X1371" s="13">
        <f t="shared" ca="1" si="173"/>
        <v>0</v>
      </c>
      <c r="Y1371" s="13">
        <f t="shared" ca="1" si="174"/>
        <v>0</v>
      </c>
      <c r="Z1371">
        <f t="shared" ca="1" si="176"/>
        <v>1</v>
      </c>
      <c r="AA1371">
        <f t="shared" ca="1" si="177"/>
        <v>0</v>
      </c>
      <c r="AB1371" s="24">
        <f t="shared" ca="1" si="178"/>
        <v>0.1721822224809281</v>
      </c>
      <c r="AC1371" s="24">
        <f t="shared" ca="1" si="179"/>
        <v>0</v>
      </c>
    </row>
    <row r="1372" spans="3:29" x14ac:dyDescent="0.25">
      <c r="C1372" s="6">
        <v>1365</v>
      </c>
      <c r="D1372" s="37">
        <v>43951</v>
      </c>
      <c r="E1372" s="39">
        <v>13.3</v>
      </c>
      <c r="F1372" s="39">
        <v>2.4308452457964758</v>
      </c>
      <c r="G1372" s="39">
        <v>40.407485731177658</v>
      </c>
      <c r="H1372" s="39">
        <v>57.752846647722052</v>
      </c>
      <c r="I1372" s="10">
        <v>0</v>
      </c>
      <c r="J1372" s="40">
        <v>0</v>
      </c>
      <c r="K1372" s="40">
        <v>0</v>
      </c>
      <c r="L1372" s="40">
        <v>1</v>
      </c>
      <c r="M1372" s="40">
        <v>0</v>
      </c>
      <c r="N1372" s="40">
        <v>0</v>
      </c>
      <c r="O1372" s="40">
        <v>0</v>
      </c>
      <c r="P1372" s="40">
        <v>0</v>
      </c>
      <c r="Q1372" s="40">
        <v>0</v>
      </c>
      <c r="R1372" s="40">
        <v>0</v>
      </c>
      <c r="S1372" s="40">
        <v>0</v>
      </c>
      <c r="T1372" s="29">
        <f t="array" aca="1" ref="T1372" ca="1">+fair_value_gap(OFFSET(S1371,0,0,-1*$I$5,-1*$Z$1),OFFSET(E1371,0,0,-1*$I$5,1),F1372:S1372,0)</f>
        <v>13.452640856948925</v>
      </c>
      <c r="U1372" s="9" cm="1">
        <f t="array" aca="1" ref="U1372" ca="1">z_score_diff(OFFSET(T1372,0,0,$I$5*-1,1),OFFSET(E1372,0,0,$I$5*-1,1))</f>
        <v>3.6005683204278771E-3</v>
      </c>
      <c r="V1372" s="9">
        <f t="shared" ca="1" si="175"/>
        <v>-2.1675634085973821E-2</v>
      </c>
      <c r="W1372" s="17">
        <f t="shared" ca="1" si="172"/>
        <v>0.12553901215595045</v>
      </c>
      <c r="X1372" s="13">
        <f t="shared" ca="1" si="173"/>
        <v>0</v>
      </c>
      <c r="Y1372" s="13">
        <f t="shared" ca="1" si="174"/>
        <v>0</v>
      </c>
      <c r="Z1372">
        <f t="shared" ca="1" si="176"/>
        <v>1</v>
      </c>
      <c r="AA1372">
        <f t="shared" ca="1" si="177"/>
        <v>0</v>
      </c>
      <c r="AB1372" s="24">
        <f t="shared" ca="1" si="178"/>
        <v>0.12553901215595045</v>
      </c>
      <c r="AC1372" s="24">
        <f t="shared" ca="1" si="179"/>
        <v>0</v>
      </c>
    </row>
    <row r="1373" spans="3:29" x14ac:dyDescent="0.25">
      <c r="C1373" s="6">
        <v>1366</v>
      </c>
      <c r="D1373" s="37">
        <v>43952</v>
      </c>
      <c r="E1373" s="39">
        <v>13.115</v>
      </c>
      <c r="F1373" s="39">
        <v>2.4107540123054521</v>
      </c>
      <c r="G1373" s="39">
        <v>39.778295988374062</v>
      </c>
      <c r="H1373" s="39">
        <v>56.448677096488588</v>
      </c>
      <c r="I1373" s="10">
        <v>0</v>
      </c>
      <c r="J1373" s="40">
        <v>0</v>
      </c>
      <c r="K1373" s="40">
        <v>0</v>
      </c>
      <c r="L1373" s="40">
        <v>0</v>
      </c>
      <c r="M1373" s="40">
        <v>1</v>
      </c>
      <c r="N1373" s="40">
        <v>0</v>
      </c>
      <c r="O1373" s="40">
        <v>0</v>
      </c>
      <c r="P1373" s="40">
        <v>0</v>
      </c>
      <c r="Q1373" s="40">
        <v>0</v>
      </c>
      <c r="R1373" s="40">
        <v>0</v>
      </c>
      <c r="S1373" s="40">
        <v>0</v>
      </c>
      <c r="T1373" s="29">
        <f t="array" aca="1" ref="T1373" ca="1">+fair_value_gap(OFFSET(S1372,0,0,-1*$I$5,-1*$Z$1),OFFSET(E1372,0,0,-1*$I$5,1),F1373:S1373,0)</f>
        <v>13.109137430945976</v>
      </c>
      <c r="U1373" s="9" cm="1">
        <f t="array" aca="1" ref="U1373" ca="1">z_score_diff(OFFSET(T1373,0,0,$I$5*-1,1),OFFSET(E1373,0,0,$I$5*-1,1))</f>
        <v>-5.6746435977697463E-2</v>
      </c>
      <c r="V1373" s="9">
        <f t="shared" ca="1" si="175"/>
        <v>-2.3435060344436133E-2</v>
      </c>
      <c r="W1373" s="17">
        <f t="shared" ca="1" si="172"/>
        <v>0.14780193780816539</v>
      </c>
      <c r="X1373" s="13">
        <f t="shared" ca="1" si="173"/>
        <v>0</v>
      </c>
      <c r="Y1373" s="13">
        <f t="shared" ca="1" si="174"/>
        <v>0</v>
      </c>
      <c r="Z1373">
        <f t="shared" ca="1" si="176"/>
        <v>1</v>
      </c>
      <c r="AA1373">
        <f t="shared" ca="1" si="177"/>
        <v>0</v>
      </c>
      <c r="AB1373" s="24">
        <f t="shared" ca="1" si="178"/>
        <v>0.14780193780816539</v>
      </c>
      <c r="AC1373" s="24">
        <f t="shared" ca="1" si="179"/>
        <v>0</v>
      </c>
    </row>
    <row r="1374" spans="3:29" x14ac:dyDescent="0.25">
      <c r="C1374" s="6">
        <v>1367</v>
      </c>
      <c r="D1374" s="37">
        <v>43955</v>
      </c>
      <c r="E1374" s="39">
        <v>13.022</v>
      </c>
      <c r="F1374" s="39">
        <v>2.4476790498949965</v>
      </c>
      <c r="G1374" s="39">
        <v>39.922862439898488</v>
      </c>
      <c r="H1374" s="39">
        <v>56.439640813961915</v>
      </c>
      <c r="I1374" s="10">
        <v>0</v>
      </c>
      <c r="J1374" s="40">
        <v>0</v>
      </c>
      <c r="K1374" s="40">
        <v>0</v>
      </c>
      <c r="L1374" s="40">
        <v>0</v>
      </c>
      <c r="M1374" s="40">
        <v>1</v>
      </c>
      <c r="N1374" s="40">
        <v>0</v>
      </c>
      <c r="O1374" s="40">
        <v>0</v>
      </c>
      <c r="P1374" s="40">
        <v>0</v>
      </c>
      <c r="Q1374" s="40">
        <v>0</v>
      </c>
      <c r="R1374" s="40">
        <v>0</v>
      </c>
      <c r="S1374" s="40">
        <v>0</v>
      </c>
      <c r="T1374" s="29">
        <f t="array" aca="1" ref="T1374" ca="1">+fair_value_gap(OFFSET(S1373,0,0,-1*$I$5,-1*$Z$1),OFFSET(E1373,0,0,-1*$I$5,1),F1374:S1374,0)</f>
        <v>13.15551349169251</v>
      </c>
      <c r="U1374" s="9" cm="1">
        <f t="array" aca="1" ref="U1374" ca="1">z_score_diff(OFFSET(T1374,0,0,$I$5*-1,1),OFFSET(E1374,0,0,$I$5*-1,1))</f>
        <v>-6.115688666719743E-3</v>
      </c>
      <c r="V1374" s="9">
        <f t="shared" ca="1" si="175"/>
        <v>-2.2806168898556026E-2</v>
      </c>
      <c r="W1374" s="17">
        <f t="shared" ca="1" si="172"/>
        <v>0.14692804697144485</v>
      </c>
      <c r="X1374" s="13">
        <f t="shared" ca="1" si="173"/>
        <v>0</v>
      </c>
      <c r="Y1374" s="13">
        <f t="shared" ca="1" si="174"/>
        <v>0</v>
      </c>
      <c r="Z1374">
        <f t="shared" ca="1" si="176"/>
        <v>1</v>
      </c>
      <c r="AA1374">
        <f t="shared" ca="1" si="177"/>
        <v>0</v>
      </c>
      <c r="AB1374" s="24">
        <f t="shared" ca="1" si="178"/>
        <v>0.14692804697144485</v>
      </c>
      <c r="AC1374" s="24">
        <f t="shared" ca="1" si="179"/>
        <v>0</v>
      </c>
    </row>
    <row r="1375" spans="3:29" x14ac:dyDescent="0.25">
      <c r="C1375" s="6">
        <v>1368</v>
      </c>
      <c r="D1375" s="37">
        <v>43956</v>
      </c>
      <c r="E1375" s="39">
        <v>13.157999999999999</v>
      </c>
      <c r="F1375" s="39">
        <v>2.4438724269456058</v>
      </c>
      <c r="G1375" s="39">
        <v>39.972670587514266</v>
      </c>
      <c r="H1375" s="39">
        <v>57.40914922463503</v>
      </c>
      <c r="I1375" s="10">
        <v>0</v>
      </c>
      <c r="J1375" s="40">
        <v>0</v>
      </c>
      <c r="K1375" s="40">
        <v>0</v>
      </c>
      <c r="L1375" s="40">
        <v>0</v>
      </c>
      <c r="M1375" s="40">
        <v>1</v>
      </c>
      <c r="N1375" s="40">
        <v>0</v>
      </c>
      <c r="O1375" s="40">
        <v>0</v>
      </c>
      <c r="P1375" s="40">
        <v>0</v>
      </c>
      <c r="Q1375" s="40">
        <v>0</v>
      </c>
      <c r="R1375" s="40">
        <v>0</v>
      </c>
      <c r="S1375" s="40">
        <v>0</v>
      </c>
      <c r="T1375" s="29">
        <f t="array" aca="1" ref="T1375" ca="1">+fair_value_gap(OFFSET(S1374,0,0,-1*$I$5,-1*$Z$1),OFFSET(E1374,0,0,-1*$I$5,1),F1375:S1375,0)</f>
        <v>13.160359233614624</v>
      </c>
      <c r="U1375" s="9" cm="1">
        <f t="array" aca="1" ref="U1375" ca="1">z_score_diff(OFFSET(T1375,0,0,$I$5*-1,1),OFFSET(E1375,0,0,$I$5*-1,1))</f>
        <v>-5.2399654318197042E-2</v>
      </c>
      <c r="V1375" s="9">
        <f t="shared" ca="1" si="175"/>
        <v>-2.3880029802171052E-2</v>
      </c>
      <c r="W1375" s="17">
        <f t="shared" ca="1" si="172"/>
        <v>0.14097059329157216</v>
      </c>
      <c r="X1375" s="13">
        <f t="shared" ca="1" si="173"/>
        <v>0</v>
      </c>
      <c r="Y1375" s="13">
        <f t="shared" ca="1" si="174"/>
        <v>0</v>
      </c>
      <c r="Z1375">
        <f t="shared" ca="1" si="176"/>
        <v>1</v>
      </c>
      <c r="AA1375">
        <f t="shared" ca="1" si="177"/>
        <v>0</v>
      </c>
      <c r="AB1375" s="24">
        <f t="shared" ca="1" si="178"/>
        <v>0.14097059329157216</v>
      </c>
      <c r="AC1375" s="24">
        <f t="shared" ca="1" si="179"/>
        <v>0</v>
      </c>
    </row>
    <row r="1376" spans="3:29" x14ac:dyDescent="0.25">
      <c r="C1376" s="6">
        <v>1369</v>
      </c>
      <c r="D1376" s="37">
        <v>43957</v>
      </c>
      <c r="E1376" s="39">
        <v>13.208</v>
      </c>
      <c r="F1376" s="39">
        <v>2.4388905152224822</v>
      </c>
      <c r="G1376" s="39">
        <v>40.474017580583329</v>
      </c>
      <c r="H1376" s="39">
        <v>57.678937353629969</v>
      </c>
      <c r="I1376" s="10">
        <v>0</v>
      </c>
      <c r="J1376" s="40">
        <v>0</v>
      </c>
      <c r="K1376" s="40">
        <v>0</v>
      </c>
      <c r="L1376" s="40">
        <v>0</v>
      </c>
      <c r="M1376" s="40">
        <v>1</v>
      </c>
      <c r="N1376" s="40">
        <v>0</v>
      </c>
      <c r="O1376" s="40">
        <v>0</v>
      </c>
      <c r="P1376" s="40">
        <v>0</v>
      </c>
      <c r="Q1376" s="40">
        <v>0</v>
      </c>
      <c r="R1376" s="40">
        <v>0</v>
      </c>
      <c r="S1376" s="40">
        <v>0</v>
      </c>
      <c r="T1376" s="29">
        <f t="array" aca="1" ref="T1376" ca="1">+fair_value_gap(OFFSET(S1375,0,0,-1*$I$5,-1*$Z$1),OFFSET(E1375,0,0,-1*$I$5,1),F1376:S1376,0)</f>
        <v>13.329350279918891</v>
      </c>
      <c r="U1376" s="9" cm="1">
        <f t="array" aca="1" ref="U1376" ca="1">z_score_diff(OFFSET(T1376,0,0,$I$5*-1,1),OFFSET(E1376,0,0,$I$5*-1,1))</f>
        <v>-7.7268059967088298E-3</v>
      </c>
      <c r="V1376" s="9">
        <f t="shared" ca="1" si="175"/>
        <v>-2.3095868304743812E-2</v>
      </c>
      <c r="W1376" s="17">
        <f t="shared" ca="1" si="172"/>
        <v>0.12261688192669989</v>
      </c>
      <c r="X1376" s="13">
        <f t="shared" ca="1" si="173"/>
        <v>0</v>
      </c>
      <c r="Y1376" s="13">
        <f t="shared" ca="1" si="174"/>
        <v>0</v>
      </c>
      <c r="Z1376">
        <f t="shared" ca="1" si="176"/>
        <v>1</v>
      </c>
      <c r="AA1376">
        <f t="shared" ca="1" si="177"/>
        <v>0</v>
      </c>
      <c r="AB1376" s="24">
        <f t="shared" ca="1" si="178"/>
        <v>0.12261688192669989</v>
      </c>
      <c r="AC1376" s="24">
        <f t="shared" ca="1" si="179"/>
        <v>0</v>
      </c>
    </row>
    <row r="1377" spans="3:29" x14ac:dyDescent="0.25">
      <c r="C1377" s="6">
        <v>1370</v>
      </c>
      <c r="D1377" s="37">
        <v>43958</v>
      </c>
      <c r="E1377" s="39">
        <v>13.359</v>
      </c>
      <c r="F1377" s="39">
        <v>2.4206626449980568</v>
      </c>
      <c r="G1377" s="39">
        <v>40.915680279635644</v>
      </c>
      <c r="H1377" s="39">
        <v>57.597907321638019</v>
      </c>
      <c r="I1377" s="10">
        <v>0</v>
      </c>
      <c r="J1377" s="40">
        <v>0</v>
      </c>
      <c r="K1377" s="40">
        <v>0</v>
      </c>
      <c r="L1377" s="40">
        <v>0</v>
      </c>
      <c r="M1377" s="40">
        <v>1</v>
      </c>
      <c r="N1377" s="40">
        <v>0</v>
      </c>
      <c r="O1377" s="40">
        <v>0</v>
      </c>
      <c r="P1377" s="40">
        <v>0</v>
      </c>
      <c r="Q1377" s="40">
        <v>0</v>
      </c>
      <c r="R1377" s="40">
        <v>0</v>
      </c>
      <c r="S1377" s="40">
        <v>0</v>
      </c>
      <c r="T1377" s="29">
        <f t="array" aca="1" ref="T1377" ca="1">+fair_value_gap(OFFSET(S1376,0,0,-1*$I$5,-1*$Z$1),OFFSET(E1376,0,0,-1*$I$5,1),F1377:S1377,0)</f>
        <v>13.45038546321679</v>
      </c>
      <c r="U1377" s="9" cm="1">
        <f t="array" aca="1" ref="U1377" ca="1">z_score_diff(OFFSET(T1377,0,0,$I$5*-1,1),OFFSET(E1377,0,0,$I$5*-1,1))</f>
        <v>-1.6901582804829118E-2</v>
      </c>
      <c r="V1377" s="9">
        <f t="shared" ca="1" si="175"/>
        <v>-2.3531361853819606E-2</v>
      </c>
      <c r="W1377" s="17">
        <f t="shared" ca="1" si="172"/>
        <v>0.10047548405078779</v>
      </c>
      <c r="X1377" s="13">
        <f t="shared" ca="1" si="173"/>
        <v>0</v>
      </c>
      <c r="Y1377" s="13">
        <f t="shared" ca="1" si="174"/>
        <v>0</v>
      </c>
      <c r="Z1377">
        <f t="shared" ca="1" si="176"/>
        <v>1</v>
      </c>
      <c r="AA1377">
        <f t="shared" ca="1" si="177"/>
        <v>0</v>
      </c>
      <c r="AB1377" s="24">
        <f t="shared" ca="1" si="178"/>
        <v>0.10047548405078779</v>
      </c>
      <c r="AC1377" s="24">
        <f t="shared" ca="1" si="179"/>
        <v>0</v>
      </c>
    </row>
    <row r="1378" spans="3:29" x14ac:dyDescent="0.25">
      <c r="C1378" s="6">
        <v>1371</v>
      </c>
      <c r="D1378" s="37">
        <v>43959</v>
      </c>
      <c r="E1378" s="39">
        <v>13.391</v>
      </c>
      <c r="F1378" s="39">
        <v>2.4218568480325828</v>
      </c>
      <c r="G1378" s="39">
        <v>41.043575955531601</v>
      </c>
      <c r="H1378" s="39">
        <v>57.539601186327168</v>
      </c>
      <c r="I1378" s="10">
        <v>0</v>
      </c>
      <c r="J1378" s="40">
        <v>0</v>
      </c>
      <c r="K1378" s="40">
        <v>0</v>
      </c>
      <c r="L1378" s="40">
        <v>0</v>
      </c>
      <c r="M1378" s="40">
        <v>1</v>
      </c>
      <c r="N1378" s="40">
        <v>0</v>
      </c>
      <c r="O1378" s="40">
        <v>0</v>
      </c>
      <c r="P1378" s="40">
        <v>0</v>
      </c>
      <c r="Q1378" s="40">
        <v>0</v>
      </c>
      <c r="R1378" s="40">
        <v>0</v>
      </c>
      <c r="S1378" s="40">
        <v>0</v>
      </c>
      <c r="T1378" s="29">
        <f t="array" aca="1" ref="T1378" ca="1">+fair_value_gap(OFFSET(S1377,0,0,-1*$I$5,-1*$Z$1),OFFSET(E1377,0,0,-1*$I$5,1),F1378:S1378,0)</f>
        <v>13.478908827205743</v>
      </c>
      <c r="U1378" s="9" cm="1">
        <f t="array" aca="1" ref="U1378" ca="1">z_score_diff(OFFSET(T1378,0,0,$I$5*-1,1),OFFSET(E1378,0,0,$I$5*-1,1))</f>
        <v>-1.7606939946203104E-2</v>
      </c>
      <c r="V1378" s="9">
        <f t="shared" ca="1" si="175"/>
        <v>-2.2272255728159499E-2</v>
      </c>
      <c r="W1378" s="17">
        <f t="shared" ca="1" si="172"/>
        <v>0.10590550938149099</v>
      </c>
      <c r="X1378" s="13">
        <f t="shared" ca="1" si="173"/>
        <v>0</v>
      </c>
      <c r="Y1378" s="13">
        <f t="shared" ca="1" si="174"/>
        <v>0</v>
      </c>
      <c r="Z1378">
        <f t="shared" ca="1" si="176"/>
        <v>1</v>
      </c>
      <c r="AA1378">
        <f t="shared" ca="1" si="177"/>
        <v>0</v>
      </c>
      <c r="AB1378" s="24">
        <f t="shared" ca="1" si="178"/>
        <v>0.10590550938149099</v>
      </c>
      <c r="AC1378" s="24">
        <f t="shared" ca="1" si="179"/>
        <v>0</v>
      </c>
    </row>
    <row r="1379" spans="3:29" x14ac:dyDescent="0.25">
      <c r="C1379" s="6">
        <v>1372</v>
      </c>
      <c r="D1379" s="37">
        <v>43962</v>
      </c>
      <c r="E1379" s="39">
        <v>13.507999999999999</v>
      </c>
      <c r="F1379" s="39">
        <v>2.4357162833802808</v>
      </c>
      <c r="G1379" s="39">
        <v>41.118848265690325</v>
      </c>
      <c r="H1379" s="39">
        <v>58.082465219068233</v>
      </c>
      <c r="I1379" s="10">
        <v>0</v>
      </c>
      <c r="J1379" s="40">
        <v>0</v>
      </c>
      <c r="K1379" s="40">
        <v>0</v>
      </c>
      <c r="L1379" s="40">
        <v>0</v>
      </c>
      <c r="M1379" s="40">
        <v>1</v>
      </c>
      <c r="N1379" s="40">
        <v>0</v>
      </c>
      <c r="O1379" s="40">
        <v>0</v>
      </c>
      <c r="P1379" s="40">
        <v>0</v>
      </c>
      <c r="Q1379" s="40">
        <v>0</v>
      </c>
      <c r="R1379" s="40">
        <v>0</v>
      </c>
      <c r="S1379" s="40">
        <v>0</v>
      </c>
      <c r="T1379" s="29">
        <f t="array" aca="1" ref="T1379" ca="1">+fair_value_gap(OFFSET(S1378,0,0,-1*$I$5,-1*$Z$1),OFFSET(E1378,0,0,-1*$I$5,1),F1379:S1379,0)</f>
        <v>13.503813462236838</v>
      </c>
      <c r="U1379" s="9" cm="1">
        <f t="array" aca="1" ref="U1379" ca="1">z_score_diff(OFFSET(T1379,0,0,$I$5*-1,1),OFFSET(E1379,0,0,$I$5*-1,1))</f>
        <v>-4.9733178367544761E-2</v>
      </c>
      <c r="V1379" s="9">
        <f t="shared" ca="1" si="175"/>
        <v>-2.4284471684303137E-2</v>
      </c>
      <c r="W1379" s="17">
        <f t="shared" ca="1" si="172"/>
        <v>0.10929118730647336</v>
      </c>
      <c r="X1379" s="13">
        <f t="shared" ca="1" si="173"/>
        <v>0</v>
      </c>
      <c r="Y1379" s="13">
        <f t="shared" ca="1" si="174"/>
        <v>0</v>
      </c>
      <c r="Z1379">
        <f t="shared" ca="1" si="176"/>
        <v>1</v>
      </c>
      <c r="AA1379">
        <f t="shared" ca="1" si="177"/>
        <v>0</v>
      </c>
      <c r="AB1379" s="24">
        <f t="shared" ca="1" si="178"/>
        <v>0.10929118730647336</v>
      </c>
      <c r="AC1379" s="24">
        <f t="shared" ca="1" si="179"/>
        <v>0</v>
      </c>
    </row>
    <row r="1380" spans="3:29" x14ac:dyDescent="0.25">
      <c r="C1380" s="6">
        <v>1373</v>
      </c>
      <c r="D1380" s="37">
        <v>43963</v>
      </c>
      <c r="E1380" s="39">
        <v>13.285</v>
      </c>
      <c r="F1380" s="39">
        <v>2.4079465880289357</v>
      </c>
      <c r="G1380" s="39">
        <v>40.285108393589312</v>
      </c>
      <c r="H1380" s="39">
        <v>57.967398006067221</v>
      </c>
      <c r="I1380" s="10">
        <v>0</v>
      </c>
      <c r="J1380" s="40">
        <v>0</v>
      </c>
      <c r="K1380" s="40">
        <v>0</v>
      </c>
      <c r="L1380" s="40">
        <v>0</v>
      </c>
      <c r="M1380" s="40">
        <v>1</v>
      </c>
      <c r="N1380" s="40">
        <v>0</v>
      </c>
      <c r="O1380" s="40">
        <v>0</v>
      </c>
      <c r="P1380" s="40">
        <v>0</v>
      </c>
      <c r="Q1380" s="40">
        <v>0</v>
      </c>
      <c r="R1380" s="40">
        <v>0</v>
      </c>
      <c r="S1380" s="40">
        <v>0</v>
      </c>
      <c r="T1380" s="29">
        <f t="array" aca="1" ref="T1380" ca="1">+fair_value_gap(OFFSET(S1379,0,0,-1*$I$5,-1*$Z$1),OFFSET(E1379,0,0,-1*$I$5,1),F1380:S1380,0)</f>
        <v>13.241206604809243</v>
      </c>
      <c r="U1380" s="9" cm="1">
        <f t="array" aca="1" ref="U1380" ca="1">z_score_diff(OFFSET(T1380,0,0,$I$5*-1,1),OFFSET(E1380,0,0,$I$5*-1,1))</f>
        <v>-6.6112370641128848E-2</v>
      </c>
      <c r="V1380" s="9">
        <f t="shared" ca="1" si="175"/>
        <v>-2.7688395418893234E-2</v>
      </c>
      <c r="W1380" s="17">
        <f t="shared" ca="1" si="172"/>
        <v>0.13604047408575284</v>
      </c>
      <c r="X1380" s="13">
        <f t="shared" ca="1" si="173"/>
        <v>0</v>
      </c>
      <c r="Y1380" s="13">
        <f t="shared" ca="1" si="174"/>
        <v>0</v>
      </c>
      <c r="Z1380">
        <f t="shared" ca="1" si="176"/>
        <v>1</v>
      </c>
      <c r="AA1380">
        <f t="shared" ca="1" si="177"/>
        <v>0</v>
      </c>
      <c r="AB1380" s="24">
        <f t="shared" ca="1" si="178"/>
        <v>0.13604047408575284</v>
      </c>
      <c r="AC1380" s="24">
        <f t="shared" ca="1" si="179"/>
        <v>0</v>
      </c>
    </row>
    <row r="1381" spans="3:29" x14ac:dyDescent="0.25">
      <c r="C1381" s="6">
        <v>1374</v>
      </c>
      <c r="D1381" s="37">
        <v>43964</v>
      </c>
      <c r="E1381" s="39">
        <v>13.188000000000001</v>
      </c>
      <c r="F1381" s="39">
        <v>2.3959676859501111</v>
      </c>
      <c r="G1381" s="39">
        <v>40.350126661097015</v>
      </c>
      <c r="H1381" s="39">
        <v>58.414843124860695</v>
      </c>
      <c r="I1381" s="10">
        <v>0</v>
      </c>
      <c r="J1381" s="40">
        <v>0</v>
      </c>
      <c r="K1381" s="40">
        <v>0</v>
      </c>
      <c r="L1381" s="40">
        <v>0</v>
      </c>
      <c r="M1381" s="40">
        <v>1</v>
      </c>
      <c r="N1381" s="40">
        <v>0</v>
      </c>
      <c r="O1381" s="40">
        <v>0</v>
      </c>
      <c r="P1381" s="40">
        <v>0</v>
      </c>
      <c r="Q1381" s="40">
        <v>0</v>
      </c>
      <c r="R1381" s="40">
        <v>0</v>
      </c>
      <c r="S1381" s="40">
        <v>0</v>
      </c>
      <c r="T1381" s="29">
        <f t="array" aca="1" ref="T1381" ca="1">+fair_value_gap(OFFSET(S1380,0,0,-1*$I$5,-1*$Z$1),OFFSET(E1380,0,0,-1*$I$5,1),F1381:S1381,0)</f>
        <v>13.279836043273058</v>
      </c>
      <c r="U1381" s="9" cm="1">
        <f t="array" aca="1" ref="U1381" ca="1">z_score_diff(OFFSET(T1381,0,0,$I$5*-1,1),OFFSET(E1381,0,0,$I$5*-1,1))</f>
        <v>-1.7015952348639063E-2</v>
      </c>
      <c r="V1381" s="9">
        <f t="shared" ca="1" si="175"/>
        <v>-2.811083307857418E-2</v>
      </c>
      <c r="W1381" s="17">
        <f t="shared" ca="1" si="172"/>
        <v>0.13757046449540436</v>
      </c>
      <c r="X1381" s="13">
        <f t="shared" ca="1" si="173"/>
        <v>0</v>
      </c>
      <c r="Y1381" s="13">
        <f t="shared" ca="1" si="174"/>
        <v>0</v>
      </c>
      <c r="Z1381">
        <f t="shared" ca="1" si="176"/>
        <v>1</v>
      </c>
      <c r="AA1381">
        <f t="shared" ca="1" si="177"/>
        <v>0</v>
      </c>
      <c r="AB1381" s="24">
        <f t="shared" ca="1" si="178"/>
        <v>0.13757046449540436</v>
      </c>
      <c r="AC1381" s="24">
        <f t="shared" ca="1" si="179"/>
        <v>0</v>
      </c>
    </row>
    <row r="1382" spans="3:29" x14ac:dyDescent="0.25">
      <c r="C1382" s="6">
        <v>1375</v>
      </c>
      <c r="D1382" s="37">
        <v>43965</v>
      </c>
      <c r="E1382" s="39">
        <v>13.451000000000001</v>
      </c>
      <c r="F1382" s="39">
        <v>2.4141226173112713</v>
      </c>
      <c r="G1382" s="39">
        <v>40.889368988175818</v>
      </c>
      <c r="H1382" s="39">
        <v>58.569906681358681</v>
      </c>
      <c r="I1382" s="10">
        <v>0</v>
      </c>
      <c r="J1382" s="40">
        <v>0</v>
      </c>
      <c r="K1382" s="40">
        <v>0</v>
      </c>
      <c r="L1382" s="40">
        <v>0</v>
      </c>
      <c r="M1382" s="40">
        <v>1</v>
      </c>
      <c r="N1382" s="40">
        <v>0</v>
      </c>
      <c r="O1382" s="40">
        <v>0</v>
      </c>
      <c r="P1382" s="40">
        <v>0</v>
      </c>
      <c r="Q1382" s="40">
        <v>0</v>
      </c>
      <c r="R1382" s="40">
        <v>0</v>
      </c>
      <c r="S1382" s="40">
        <v>0</v>
      </c>
      <c r="T1382" s="29">
        <f t="array" aca="1" ref="T1382" ca="1">+fair_value_gap(OFFSET(S1381,0,0,-1*$I$5,-1*$Z$1),OFFSET(E1381,0,0,-1*$I$5,1),F1382:S1382,0)</f>
        <v>13.443689398071962</v>
      </c>
      <c r="U1382" s="9" cm="1">
        <f t="array" aca="1" ref="U1382" ca="1">z_score_diff(OFFSET(T1382,0,0,$I$5*-1,1),OFFSET(E1382,0,0,$I$5*-1,1))</f>
        <v>-5.0053150637287658E-2</v>
      </c>
      <c r="V1382" s="9">
        <f t="shared" ca="1" si="175"/>
        <v>-3.0581522119077109E-2</v>
      </c>
      <c r="W1382" s="17">
        <f t="shared" ca="1" si="172"/>
        <v>0.12565718926887287</v>
      </c>
      <c r="X1382" s="13">
        <f t="shared" ca="1" si="173"/>
        <v>0</v>
      </c>
      <c r="Y1382" s="13">
        <f t="shared" ca="1" si="174"/>
        <v>0</v>
      </c>
      <c r="Z1382">
        <f t="shared" ca="1" si="176"/>
        <v>1</v>
      </c>
      <c r="AA1382">
        <f t="shared" ca="1" si="177"/>
        <v>0</v>
      </c>
      <c r="AB1382" s="24">
        <f t="shared" ca="1" si="178"/>
        <v>0.12565718926887287</v>
      </c>
      <c r="AC1382" s="24">
        <f t="shared" ca="1" si="179"/>
        <v>0</v>
      </c>
    </row>
    <row r="1383" spans="3:29" x14ac:dyDescent="0.25">
      <c r="C1383" s="6">
        <v>1376</v>
      </c>
      <c r="D1383" s="37">
        <v>43966</v>
      </c>
      <c r="E1383" s="39">
        <v>13.672000000000001</v>
      </c>
      <c r="F1383" s="39">
        <v>2.4088656490823741</v>
      </c>
      <c r="G1383" s="39">
        <v>41.434840746958081</v>
      </c>
      <c r="H1383" s="39">
        <v>58.439665500310255</v>
      </c>
      <c r="I1383" s="10">
        <v>0</v>
      </c>
      <c r="J1383" s="40">
        <v>0</v>
      </c>
      <c r="K1383" s="40">
        <v>0</v>
      </c>
      <c r="L1383" s="40">
        <v>0</v>
      </c>
      <c r="M1383" s="40">
        <v>1</v>
      </c>
      <c r="N1383" s="40">
        <v>0</v>
      </c>
      <c r="O1383" s="40">
        <v>0</v>
      </c>
      <c r="P1383" s="40">
        <v>0</v>
      </c>
      <c r="Q1383" s="40">
        <v>0</v>
      </c>
      <c r="R1383" s="40">
        <v>0</v>
      </c>
      <c r="S1383" s="40">
        <v>0</v>
      </c>
      <c r="T1383" s="29">
        <f t="array" aca="1" ref="T1383" ca="1">+fair_value_gap(OFFSET(S1382,0,0,-1*$I$5,-1*$Z$1),OFFSET(E1382,0,0,-1*$I$5,1),F1383:S1383,0)</f>
        <v>13.613041607389846</v>
      </c>
      <c r="U1383" s="9" cm="1">
        <f t="array" aca="1" ref="U1383" ca="1">z_score_diff(OFFSET(T1383,0,0,$I$5*-1,1),OFFSET(E1383,0,0,$I$5*-1,1))</f>
        <v>-6.6081188481161179E-2</v>
      </c>
      <c r="V1383" s="9">
        <f t="shared" ca="1" si="175"/>
        <v>-3.3827204943135659E-2</v>
      </c>
      <c r="W1383" s="17">
        <f t="shared" ca="1" si="172"/>
        <v>0.11882273943449184</v>
      </c>
      <c r="X1383" s="13">
        <f t="shared" ca="1" si="173"/>
        <v>0</v>
      </c>
      <c r="Y1383" s="13">
        <f t="shared" ca="1" si="174"/>
        <v>0</v>
      </c>
      <c r="Z1383">
        <f t="shared" ca="1" si="176"/>
        <v>1</v>
      </c>
      <c r="AA1383">
        <f t="shared" ca="1" si="177"/>
        <v>0</v>
      </c>
      <c r="AB1383" s="24">
        <f t="shared" ca="1" si="178"/>
        <v>0.11882273943449184</v>
      </c>
      <c r="AC1383" s="24">
        <f t="shared" ca="1" si="179"/>
        <v>0</v>
      </c>
    </row>
    <row r="1384" spans="3:29" x14ac:dyDescent="0.25">
      <c r="C1384" s="6">
        <v>1377</v>
      </c>
      <c r="D1384" s="37">
        <v>43969</v>
      </c>
      <c r="E1384" s="39">
        <v>13.757</v>
      </c>
      <c r="F1384" s="39">
        <v>2.3913535024646135</v>
      </c>
      <c r="G1384" s="39">
        <v>41.516037823510935</v>
      </c>
      <c r="H1384" s="39">
        <v>57.522724189390857</v>
      </c>
      <c r="I1384" s="10">
        <v>0</v>
      </c>
      <c r="J1384" s="40">
        <v>0</v>
      </c>
      <c r="K1384" s="40">
        <v>0</v>
      </c>
      <c r="L1384" s="40">
        <v>0</v>
      </c>
      <c r="M1384" s="40">
        <v>1</v>
      </c>
      <c r="N1384" s="40">
        <v>0</v>
      </c>
      <c r="O1384" s="40">
        <v>0</v>
      </c>
      <c r="P1384" s="40">
        <v>0</v>
      </c>
      <c r="Q1384" s="40">
        <v>0</v>
      </c>
      <c r="R1384" s="40">
        <v>0</v>
      </c>
      <c r="S1384" s="40">
        <v>0</v>
      </c>
      <c r="T1384" s="29">
        <f t="array" aca="1" ref="T1384" ca="1">+fair_value_gap(OFFSET(S1383,0,0,-1*$I$5,-1*$Z$1),OFFSET(E1383,0,0,-1*$I$5,1),F1384:S1384,0)</f>
        <v>13.619815115295387</v>
      </c>
      <c r="U1384" s="9" cm="1">
        <f t="array" aca="1" ref="U1384" ca="1">z_score_diff(OFFSET(T1384,0,0,$I$5*-1,1),OFFSET(E1384,0,0,$I$5*-1,1))</f>
        <v>-9.3208677595985945E-2</v>
      </c>
      <c r="V1384" s="9">
        <f t="shared" ca="1" si="175"/>
        <v>-3.7659486991568715E-2</v>
      </c>
      <c r="W1384" s="17">
        <f t="shared" ca="1" si="172"/>
        <v>0.1316032428684476</v>
      </c>
      <c r="X1384" s="13">
        <f t="shared" ca="1" si="173"/>
        <v>0</v>
      </c>
      <c r="Y1384" s="13">
        <f t="shared" ca="1" si="174"/>
        <v>0</v>
      </c>
      <c r="Z1384">
        <f t="shared" ca="1" si="176"/>
        <v>1</v>
      </c>
      <c r="AA1384">
        <f t="shared" ca="1" si="177"/>
        <v>0</v>
      </c>
      <c r="AB1384" s="24">
        <f t="shared" ca="1" si="178"/>
        <v>0.1316032428684476</v>
      </c>
      <c r="AC1384" s="24">
        <f t="shared" ca="1" si="179"/>
        <v>0</v>
      </c>
    </row>
    <row r="1385" spans="3:29" x14ac:dyDescent="0.25">
      <c r="C1385" s="6">
        <v>1378</v>
      </c>
      <c r="D1385" s="37">
        <v>43970</v>
      </c>
      <c r="E1385" s="39">
        <v>13.869</v>
      </c>
      <c r="F1385" s="39">
        <v>2.3902652986475061</v>
      </c>
      <c r="G1385" s="39">
        <v>41.773468574429046</v>
      </c>
      <c r="H1385" s="39">
        <v>57.608739887947841</v>
      </c>
      <c r="I1385" s="10">
        <v>0</v>
      </c>
      <c r="J1385" s="40">
        <v>0</v>
      </c>
      <c r="K1385" s="40">
        <v>0</v>
      </c>
      <c r="L1385" s="40">
        <v>0</v>
      </c>
      <c r="M1385" s="40">
        <v>1</v>
      </c>
      <c r="N1385" s="40">
        <v>0</v>
      </c>
      <c r="O1385" s="40">
        <v>0</v>
      </c>
      <c r="P1385" s="40">
        <v>0</v>
      </c>
      <c r="Q1385" s="40">
        <v>0</v>
      </c>
      <c r="R1385" s="40">
        <v>0</v>
      </c>
      <c r="S1385" s="40">
        <v>0</v>
      </c>
      <c r="T1385" s="29">
        <f t="array" aca="1" ref="T1385" ca="1">+fair_value_gap(OFFSET(S1384,0,0,-1*$I$5,-1*$Z$1),OFFSET(E1384,0,0,-1*$I$5,1),F1385:S1385,0)</f>
        <v>13.715062830289185</v>
      </c>
      <c r="U1385" s="9" cm="1">
        <f t="array" aca="1" ref="U1385" ca="1">z_score_diff(OFFSET(T1385,0,0,$I$5*-1,1),OFFSET(E1385,0,0,$I$5*-1,1))</f>
        <v>-9.7450310273698548E-2</v>
      </c>
      <c r="V1385" s="9">
        <f t="shared" ca="1" si="175"/>
        <v>-4.208654947932898E-2</v>
      </c>
      <c r="W1385" s="17">
        <f t="shared" ca="1" si="172"/>
        <v>0.13244023584509904</v>
      </c>
      <c r="X1385" s="13">
        <f t="shared" ca="1" si="173"/>
        <v>0</v>
      </c>
      <c r="Y1385" s="13">
        <f t="shared" ca="1" si="174"/>
        <v>0</v>
      </c>
      <c r="Z1385">
        <f t="shared" ca="1" si="176"/>
        <v>1</v>
      </c>
      <c r="AA1385">
        <f t="shared" ca="1" si="177"/>
        <v>0</v>
      </c>
      <c r="AB1385" s="24">
        <f t="shared" ca="1" si="178"/>
        <v>0.13244023584509904</v>
      </c>
      <c r="AC1385" s="24">
        <f t="shared" ca="1" si="179"/>
        <v>0</v>
      </c>
    </row>
    <row r="1386" spans="3:29" x14ac:dyDescent="0.25">
      <c r="C1386" s="6">
        <v>1379</v>
      </c>
      <c r="D1386" s="37">
        <v>43971</v>
      </c>
      <c r="E1386" s="39">
        <v>13.965</v>
      </c>
      <c r="F1386" s="39">
        <v>2.3584587323711736</v>
      </c>
      <c r="G1386" s="39">
        <v>41.728180490115648</v>
      </c>
      <c r="H1386" s="39">
        <v>58.174115622966951</v>
      </c>
      <c r="I1386" s="10">
        <v>0</v>
      </c>
      <c r="J1386" s="40">
        <v>0</v>
      </c>
      <c r="K1386" s="40">
        <v>0</v>
      </c>
      <c r="L1386" s="40">
        <v>0</v>
      </c>
      <c r="M1386" s="40">
        <v>1</v>
      </c>
      <c r="N1386" s="40">
        <v>0</v>
      </c>
      <c r="O1386" s="40">
        <v>0</v>
      </c>
      <c r="P1386" s="40">
        <v>0</v>
      </c>
      <c r="Q1386" s="40">
        <v>0</v>
      </c>
      <c r="R1386" s="40">
        <v>0</v>
      </c>
      <c r="S1386" s="40">
        <v>0</v>
      </c>
      <c r="T1386" s="29">
        <f t="array" aca="1" ref="T1386" ca="1">+fair_value_gap(OFFSET(S1385,0,0,-1*$I$5,-1*$Z$1),OFFSET(E1385,0,0,-1*$I$5,1),F1386:S1386,0)</f>
        <v>13.728369052132393</v>
      </c>
      <c r="U1386" s="9" cm="1">
        <f t="array" aca="1" ref="U1386" ca="1">z_score_diff(OFFSET(T1386,0,0,$I$5*-1,1),OFFSET(E1386,0,0,$I$5*-1,1))</f>
        <v>-0.12603998110780978</v>
      </c>
      <c r="V1386" s="9">
        <f t="shared" ca="1" si="175"/>
        <v>-4.6438879391163861E-2</v>
      </c>
      <c r="W1386" s="17">
        <f t="shared" ca="1" si="172"/>
        <v>0.12554217012215704</v>
      </c>
      <c r="X1386" s="13">
        <f t="shared" ca="1" si="173"/>
        <v>0</v>
      </c>
      <c r="Y1386" s="13">
        <f t="shared" ca="1" si="174"/>
        <v>0</v>
      </c>
      <c r="Z1386">
        <f t="shared" ca="1" si="176"/>
        <v>1</v>
      </c>
      <c r="AA1386">
        <f t="shared" ca="1" si="177"/>
        <v>0</v>
      </c>
      <c r="AB1386" s="24">
        <f t="shared" ca="1" si="178"/>
        <v>0.12554217012215704</v>
      </c>
      <c r="AC1386" s="24">
        <f t="shared" ca="1" si="179"/>
        <v>0</v>
      </c>
    </row>
    <row r="1387" spans="3:29" x14ac:dyDescent="0.25">
      <c r="C1387" s="6">
        <v>1380</v>
      </c>
      <c r="D1387" s="37">
        <v>43972</v>
      </c>
      <c r="E1387" s="39">
        <v>13.887</v>
      </c>
      <c r="F1387" s="39">
        <v>2.3623184481093329</v>
      </c>
      <c r="G1387" s="39">
        <v>41.976966882009755</v>
      </c>
      <c r="H1387" s="39">
        <v>57.230030420378945</v>
      </c>
      <c r="I1387" s="10">
        <v>0</v>
      </c>
      <c r="J1387" s="40">
        <v>0</v>
      </c>
      <c r="K1387" s="40">
        <v>0</v>
      </c>
      <c r="L1387" s="40">
        <v>0</v>
      </c>
      <c r="M1387" s="40">
        <v>1</v>
      </c>
      <c r="N1387" s="40">
        <v>0</v>
      </c>
      <c r="O1387" s="40">
        <v>0</v>
      </c>
      <c r="P1387" s="40">
        <v>0</v>
      </c>
      <c r="Q1387" s="40">
        <v>0</v>
      </c>
      <c r="R1387" s="40">
        <v>0</v>
      </c>
      <c r="S1387" s="40">
        <v>0</v>
      </c>
      <c r="T1387" s="29">
        <f t="array" aca="1" ref="T1387" ca="1">+fair_value_gap(OFFSET(S1386,0,0,-1*$I$5,-1*$Z$1),OFFSET(E1386,0,0,-1*$I$5,1),F1387:S1387,0)</f>
        <v>13.786948486374415</v>
      </c>
      <c r="U1387" s="9" cm="1">
        <f t="array" aca="1" ref="U1387" ca="1">z_score_diff(OFFSET(T1387,0,0,$I$5*-1,1),OFFSET(E1387,0,0,$I$5*-1,1))</f>
        <v>-7.5955164707512068E-2</v>
      </c>
      <c r="V1387" s="9">
        <f t="shared" ca="1" si="175"/>
        <v>-5.5825899214225871E-2</v>
      </c>
      <c r="W1387" s="17">
        <f t="shared" ca="1" si="172"/>
        <v>0.1273464667880938</v>
      </c>
      <c r="X1387" s="13">
        <f t="shared" ca="1" si="173"/>
        <v>0</v>
      </c>
      <c r="Y1387" s="13">
        <f t="shared" ca="1" si="174"/>
        <v>0</v>
      </c>
      <c r="Z1387">
        <f t="shared" ca="1" si="176"/>
        <v>1</v>
      </c>
      <c r="AA1387">
        <f t="shared" ca="1" si="177"/>
        <v>0</v>
      </c>
      <c r="AB1387" s="24">
        <f t="shared" ca="1" si="178"/>
        <v>0.1273464667880938</v>
      </c>
      <c r="AC1387" s="24">
        <f t="shared" ca="1" si="179"/>
        <v>0</v>
      </c>
    </row>
    <row r="1388" spans="3:29" x14ac:dyDescent="0.25">
      <c r="C1388" s="6">
        <v>1381</v>
      </c>
      <c r="D1388" s="37">
        <v>43973</v>
      </c>
      <c r="E1388" s="39">
        <v>13.811</v>
      </c>
      <c r="F1388" s="39">
        <v>2.3767616011084902</v>
      </c>
      <c r="G1388" s="39">
        <v>41.441357655634832</v>
      </c>
      <c r="H1388" s="39">
        <v>57.90012523112442</v>
      </c>
      <c r="I1388" s="10">
        <v>0</v>
      </c>
      <c r="J1388" s="40">
        <v>0</v>
      </c>
      <c r="K1388" s="40">
        <v>0</v>
      </c>
      <c r="L1388" s="40">
        <v>0</v>
      </c>
      <c r="M1388" s="40">
        <v>1</v>
      </c>
      <c r="N1388" s="40">
        <v>0</v>
      </c>
      <c r="O1388" s="40">
        <v>0</v>
      </c>
      <c r="P1388" s="40">
        <v>0</v>
      </c>
      <c r="Q1388" s="40">
        <v>0</v>
      </c>
      <c r="R1388" s="40">
        <v>0</v>
      </c>
      <c r="S1388" s="40">
        <v>0</v>
      </c>
      <c r="T1388" s="29">
        <f t="array" aca="1" ref="T1388" ca="1">+fair_value_gap(OFFSET(S1387,0,0,-1*$I$5,-1*$Z$1),OFFSET(E1387,0,0,-1*$I$5,1),F1388:S1388,0)</f>
        <v>13.630346518380511</v>
      </c>
      <c r="U1388" s="9" cm="1">
        <f t="array" aca="1" ref="U1388" ca="1">z_score_diff(OFFSET(T1388,0,0,$I$5*-1,1),OFFSET(E1388,0,0,$I$5*-1,1))</f>
        <v>-0.1057721435618626</v>
      </c>
      <c r="V1388" s="9">
        <f t="shared" ca="1" si="175"/>
        <v>-6.124246228014632E-2</v>
      </c>
      <c r="W1388" s="17">
        <f t="shared" ca="1" si="172"/>
        <v>0.12653791253488134</v>
      </c>
      <c r="X1388" s="13">
        <f t="shared" ca="1" si="173"/>
        <v>0</v>
      </c>
      <c r="Y1388" s="13">
        <f t="shared" ca="1" si="174"/>
        <v>0</v>
      </c>
      <c r="Z1388">
        <f t="shared" ca="1" si="176"/>
        <v>1</v>
      </c>
      <c r="AA1388">
        <f t="shared" ca="1" si="177"/>
        <v>0</v>
      </c>
      <c r="AB1388" s="24">
        <f t="shared" ca="1" si="178"/>
        <v>0.12653791253488134</v>
      </c>
      <c r="AC1388" s="24">
        <f t="shared" ca="1" si="179"/>
        <v>0</v>
      </c>
    </row>
    <row r="1389" spans="3:29" x14ac:dyDescent="0.25">
      <c r="C1389" s="6">
        <v>1382</v>
      </c>
      <c r="D1389" s="37">
        <v>43976</v>
      </c>
      <c r="E1389" s="39">
        <v>14.089</v>
      </c>
      <c r="F1389" s="39">
        <v>2.376289687936318</v>
      </c>
      <c r="G1389" s="39">
        <v>41.492625996576834</v>
      </c>
      <c r="H1389" s="39">
        <v>57.888628986926321</v>
      </c>
      <c r="I1389" s="10">
        <v>0</v>
      </c>
      <c r="J1389" s="40">
        <v>0</v>
      </c>
      <c r="K1389" s="40">
        <v>0</v>
      </c>
      <c r="L1389" s="40">
        <v>0</v>
      </c>
      <c r="M1389" s="40">
        <v>1</v>
      </c>
      <c r="N1389" s="40">
        <v>0</v>
      </c>
      <c r="O1389" s="40">
        <v>0</v>
      </c>
      <c r="P1389" s="40">
        <v>0</v>
      </c>
      <c r="Q1389" s="40">
        <v>0</v>
      </c>
      <c r="R1389" s="40">
        <v>0</v>
      </c>
      <c r="S1389" s="40">
        <v>0</v>
      </c>
      <c r="T1389" s="29">
        <f t="array" aca="1" ref="T1389" ca="1">+fair_value_gap(OFFSET(S1388,0,0,-1*$I$5,-1*$Z$1),OFFSET(E1388,0,0,-1*$I$5,1),F1389:S1389,0)</f>
        <v>13.673810505659604</v>
      </c>
      <c r="U1389" s="9" cm="1">
        <f t="array" aca="1" ref="U1389" ca="1">z_score_diff(OFFSET(T1389,0,0,$I$5*-1,1),OFFSET(E1389,0,0,$I$5*-1,1))</f>
        <v>-0.18825351294561998</v>
      </c>
      <c r="V1389" s="9">
        <f t="shared" ca="1" si="175"/>
        <v>-6.5641018311136404E-2</v>
      </c>
      <c r="W1389" s="17">
        <f t="shared" ca="1" si="172"/>
        <v>0.11303205735613715</v>
      </c>
      <c r="X1389" s="13">
        <f t="shared" ca="1" si="173"/>
        <v>0</v>
      </c>
      <c r="Y1389" s="13">
        <f t="shared" ca="1" si="174"/>
        <v>0</v>
      </c>
      <c r="Z1389">
        <f t="shared" ca="1" si="176"/>
        <v>1</v>
      </c>
      <c r="AA1389">
        <f t="shared" ca="1" si="177"/>
        <v>0</v>
      </c>
      <c r="AB1389" s="24">
        <f t="shared" ca="1" si="178"/>
        <v>0.11303205735613715</v>
      </c>
      <c r="AC1389" s="24">
        <f t="shared" ca="1" si="179"/>
        <v>0</v>
      </c>
    </row>
    <row r="1390" spans="3:29" x14ac:dyDescent="0.25">
      <c r="C1390" s="6">
        <v>1383</v>
      </c>
      <c r="D1390" s="37">
        <v>43977</v>
      </c>
      <c r="E1390" s="39">
        <v>13.962</v>
      </c>
      <c r="F1390" s="39">
        <v>2.3632492246994645</v>
      </c>
      <c r="G1390" s="39">
        <v>41.962585215642299</v>
      </c>
      <c r="H1390" s="39">
        <v>57.641322483625551</v>
      </c>
      <c r="I1390" s="10">
        <v>0</v>
      </c>
      <c r="J1390" s="40">
        <v>0</v>
      </c>
      <c r="K1390" s="40">
        <v>0</v>
      </c>
      <c r="L1390" s="40">
        <v>0</v>
      </c>
      <c r="M1390" s="40">
        <v>1</v>
      </c>
      <c r="N1390" s="40">
        <v>0</v>
      </c>
      <c r="O1390" s="40">
        <v>0</v>
      </c>
      <c r="P1390" s="40">
        <v>0</v>
      </c>
      <c r="Q1390" s="40">
        <v>0</v>
      </c>
      <c r="R1390" s="40">
        <v>0</v>
      </c>
      <c r="S1390" s="40">
        <v>0</v>
      </c>
      <c r="T1390" s="29">
        <f t="array" aca="1" ref="T1390" ca="1">+fair_value_gap(OFFSET(S1389,0,0,-1*$I$5,-1*$Z$1),OFFSET(E1389,0,0,-1*$I$5,1),F1390:S1390,0)</f>
        <v>13.844734713327892</v>
      </c>
      <c r="U1390" s="9" cm="1">
        <f t="array" aca="1" ref="U1390" ca="1">z_score_diff(OFFSET(T1390,0,0,$I$5*-1,1),OFFSET(E1390,0,0,$I$5*-1,1))</f>
        <v>-7.8980116181767257E-2</v>
      </c>
      <c r="V1390" s="9">
        <f t="shared" ca="1" si="175"/>
        <v>-6.7963401268559015E-2</v>
      </c>
      <c r="W1390" s="17">
        <f t="shared" ca="1" si="172"/>
        <v>0.11105975761791177</v>
      </c>
      <c r="X1390" s="13">
        <f t="shared" ca="1" si="173"/>
        <v>0</v>
      </c>
      <c r="Y1390" s="13">
        <f t="shared" ca="1" si="174"/>
        <v>0</v>
      </c>
      <c r="Z1390">
        <f t="shared" ca="1" si="176"/>
        <v>1</v>
      </c>
      <c r="AA1390">
        <f t="shared" ca="1" si="177"/>
        <v>0</v>
      </c>
      <c r="AB1390" s="24">
        <f t="shared" ca="1" si="178"/>
        <v>0.11105975761791177</v>
      </c>
      <c r="AC1390" s="24">
        <f t="shared" ca="1" si="179"/>
        <v>0</v>
      </c>
    </row>
    <row r="1391" spans="3:29" x14ac:dyDescent="0.25">
      <c r="C1391" s="6">
        <v>1384</v>
      </c>
      <c r="D1391" s="37">
        <v>43978</v>
      </c>
      <c r="E1391" s="39">
        <v>13.77</v>
      </c>
      <c r="F1391" s="39">
        <v>2.3566209377466039</v>
      </c>
      <c r="G1391" s="39">
        <v>41.530044995480587</v>
      </c>
      <c r="H1391" s="39">
        <v>56.873118630951367</v>
      </c>
      <c r="I1391" s="10">
        <v>0</v>
      </c>
      <c r="J1391" s="40">
        <v>0</v>
      </c>
      <c r="K1391" s="40">
        <v>0</v>
      </c>
      <c r="L1391" s="40">
        <v>0</v>
      </c>
      <c r="M1391" s="40">
        <v>1</v>
      </c>
      <c r="N1391" s="40">
        <v>0</v>
      </c>
      <c r="O1391" s="40">
        <v>0</v>
      </c>
      <c r="P1391" s="40">
        <v>0</v>
      </c>
      <c r="Q1391" s="40">
        <v>0</v>
      </c>
      <c r="R1391" s="40">
        <v>0</v>
      </c>
      <c r="S1391" s="40">
        <v>0</v>
      </c>
      <c r="T1391" s="29">
        <f t="array" aca="1" ref="T1391" ca="1">+fair_value_gap(OFFSET(S1390,0,0,-1*$I$5,-1*$Z$1),OFFSET(E1390,0,0,-1*$I$5,1),F1391:S1391,0)</f>
        <v>13.693436948798205</v>
      </c>
      <c r="U1391" s="9" cm="1">
        <f t="array" aca="1" ref="U1391" ca="1">z_score_diff(OFFSET(T1391,0,0,$I$5*-1,1),OFFSET(E1391,0,0,$I$5*-1,1))</f>
        <v>-6.5274928804917254E-2</v>
      </c>
      <c r="V1391" s="9">
        <f t="shared" ca="1" si="175"/>
        <v>-6.7313017561092009E-2</v>
      </c>
      <c r="W1391" s="17">
        <f t="shared" ca="1" si="172"/>
        <v>0.12919192538170804</v>
      </c>
      <c r="X1391" s="13">
        <f t="shared" ca="1" si="173"/>
        <v>0</v>
      </c>
      <c r="Y1391" s="13">
        <f t="shared" ca="1" si="174"/>
        <v>0</v>
      </c>
      <c r="Z1391">
        <f t="shared" ca="1" si="176"/>
        <v>1</v>
      </c>
      <c r="AA1391">
        <f t="shared" ca="1" si="177"/>
        <v>0</v>
      </c>
      <c r="AB1391" s="24">
        <f t="shared" ca="1" si="178"/>
        <v>0.12919192538170804</v>
      </c>
      <c r="AC1391" s="24">
        <f t="shared" ca="1" si="179"/>
        <v>0</v>
      </c>
    </row>
    <row r="1392" spans="3:29" x14ac:dyDescent="0.25">
      <c r="C1392" s="6">
        <v>1385</v>
      </c>
      <c r="D1392" s="37">
        <v>43979</v>
      </c>
      <c r="E1392" s="39">
        <v>13.632</v>
      </c>
      <c r="F1392" s="39">
        <v>2.4549553166018137</v>
      </c>
      <c r="G1392" s="39">
        <v>40.868677007429966</v>
      </c>
      <c r="H1392" s="39">
        <v>56.333731193097584</v>
      </c>
      <c r="I1392" s="10">
        <v>0</v>
      </c>
      <c r="J1392" s="40">
        <v>0</v>
      </c>
      <c r="K1392" s="40">
        <v>0</v>
      </c>
      <c r="L1392" s="40">
        <v>0</v>
      </c>
      <c r="M1392" s="40">
        <v>1</v>
      </c>
      <c r="N1392" s="40">
        <v>0</v>
      </c>
      <c r="O1392" s="40">
        <v>0</v>
      </c>
      <c r="P1392" s="40">
        <v>0</v>
      </c>
      <c r="Q1392" s="40">
        <v>0</v>
      </c>
      <c r="R1392" s="40">
        <v>0</v>
      </c>
      <c r="S1392" s="40">
        <v>0</v>
      </c>
      <c r="T1392" s="29">
        <f t="array" aca="1" ref="T1392" ca="1">+fair_value_gap(OFFSET(S1391,0,0,-1*$I$5,-1*$Z$1),OFFSET(E1391,0,0,-1*$I$5,1),F1392:S1392,0)</f>
        <v>13.449894369625484</v>
      </c>
      <c r="U1392" s="9" cm="1">
        <f t="array" aca="1" ref="U1392" ca="1">z_score_diff(OFFSET(T1392,0,0,$I$5*-1,1),OFFSET(E1392,0,0,$I$5*-1,1))</f>
        <v>-0.10466283518869313</v>
      </c>
      <c r="V1392" s="9">
        <f t="shared" ca="1" si="175"/>
        <v>-6.8352332925721737E-2</v>
      </c>
      <c r="W1392" s="17">
        <f t="shared" ca="1" si="172"/>
        <v>0.13619619276191194</v>
      </c>
      <c r="X1392" s="13">
        <f t="shared" ca="1" si="173"/>
        <v>0</v>
      </c>
      <c r="Y1392" s="13">
        <f t="shared" ca="1" si="174"/>
        <v>0</v>
      </c>
      <c r="Z1392">
        <f t="shared" ca="1" si="176"/>
        <v>1</v>
      </c>
      <c r="AA1392">
        <f t="shared" ca="1" si="177"/>
        <v>0</v>
      </c>
      <c r="AB1392" s="24">
        <f t="shared" ca="1" si="178"/>
        <v>0.13619619276191194</v>
      </c>
      <c r="AC1392" s="24">
        <f t="shared" ca="1" si="179"/>
        <v>0</v>
      </c>
    </row>
    <row r="1393" spans="3:29" x14ac:dyDescent="0.25">
      <c r="C1393" s="6">
        <v>1386</v>
      </c>
      <c r="D1393" s="37">
        <v>43980</v>
      </c>
      <c r="E1393" s="39">
        <v>14.571</v>
      </c>
      <c r="F1393" s="39">
        <v>2.4459431433929719</v>
      </c>
      <c r="G1393" s="39">
        <v>43.627528188273544</v>
      </c>
      <c r="H1393" s="39">
        <v>56.742676634389355</v>
      </c>
      <c r="I1393" s="10">
        <v>0</v>
      </c>
      <c r="J1393" s="40">
        <v>0</v>
      </c>
      <c r="K1393" s="40">
        <v>0</v>
      </c>
      <c r="L1393" s="40">
        <v>0</v>
      </c>
      <c r="M1393" s="40">
        <v>1</v>
      </c>
      <c r="N1393" s="40">
        <v>0</v>
      </c>
      <c r="O1393" s="40">
        <v>0</v>
      </c>
      <c r="P1393" s="40">
        <v>0</v>
      </c>
      <c r="Q1393" s="40">
        <v>0</v>
      </c>
      <c r="R1393" s="40">
        <v>0</v>
      </c>
      <c r="S1393" s="40">
        <v>0</v>
      </c>
      <c r="T1393" s="29">
        <f t="array" aca="1" ref="T1393" ca="1">+fair_value_gap(OFFSET(S1392,0,0,-1*$I$5,-1*$Z$1),OFFSET(E1392,0,0,-1*$I$5,1),F1393:S1393,0)</f>
        <v>14.35537974758768</v>
      </c>
      <c r="U1393" s="9" cm="1">
        <f t="array" aca="1" ref="U1393" ca="1">z_score_diff(OFFSET(T1393,0,0,$I$5*-1,1),OFFSET(E1393,0,0,$I$5*-1,1))</f>
        <v>-0.10822467386128065</v>
      </c>
      <c r="V1393" s="9">
        <f t="shared" ca="1" si="175"/>
        <v>-7.0240120545901091E-2</v>
      </c>
      <c r="W1393" s="17">
        <f t="shared" ca="1" si="172"/>
        <v>7.2395672372437589E-2</v>
      </c>
      <c r="X1393" s="13">
        <f t="shared" ca="1" si="173"/>
        <v>0</v>
      </c>
      <c r="Y1393" s="13">
        <f t="shared" ca="1" si="174"/>
        <v>0</v>
      </c>
      <c r="Z1393">
        <f t="shared" ca="1" si="176"/>
        <v>1</v>
      </c>
      <c r="AA1393">
        <f t="shared" ca="1" si="177"/>
        <v>0</v>
      </c>
      <c r="AB1393" s="24">
        <f t="shared" ca="1" si="178"/>
        <v>7.2395672372437589E-2</v>
      </c>
      <c r="AC1393" s="24">
        <f t="shared" ca="1" si="179"/>
        <v>0</v>
      </c>
    </row>
    <row r="1394" spans="3:29" x14ac:dyDescent="0.25">
      <c r="C1394" s="6">
        <v>1387</v>
      </c>
      <c r="D1394" s="37">
        <v>43983</v>
      </c>
      <c r="E1394" s="39">
        <v>14.558999999999999</v>
      </c>
      <c r="F1394" s="39">
        <v>2.4302263392187977</v>
      </c>
      <c r="G1394" s="39">
        <v>43.591020005422486</v>
      </c>
      <c r="H1394" s="39">
        <v>57.607007566518583</v>
      </c>
      <c r="I1394" s="10">
        <v>0</v>
      </c>
      <c r="J1394" s="40">
        <v>0</v>
      </c>
      <c r="K1394" s="40">
        <v>0</v>
      </c>
      <c r="L1394" s="40">
        <v>0</v>
      </c>
      <c r="M1394" s="40">
        <v>0</v>
      </c>
      <c r="N1394" s="40">
        <v>1</v>
      </c>
      <c r="O1394" s="40">
        <v>0</v>
      </c>
      <c r="P1394" s="40">
        <v>0</v>
      </c>
      <c r="Q1394" s="40">
        <v>0</v>
      </c>
      <c r="R1394" s="40">
        <v>0</v>
      </c>
      <c r="S1394" s="40">
        <v>0</v>
      </c>
      <c r="T1394" s="29">
        <f t="array" aca="1" ref="T1394" ca="1">+fair_value_gap(OFFSET(S1393,0,0,-1*$I$5,-1*$Z$1),OFFSET(E1393,0,0,-1*$I$5,1),F1394:S1394,0)</f>
        <v>14.124543605845886</v>
      </c>
      <c r="U1394" s="9" cm="1">
        <f t="array" aca="1" ref="U1394" ca="1">z_score_diff(OFFSET(T1394,0,0,$I$5*-1,1),OFFSET(E1394,0,0,$I$5*-1,1))</f>
        <v>-0.18862864627392573</v>
      </c>
      <c r="V1394" s="9">
        <f t="shared" ca="1" si="175"/>
        <v>-7.4518261353060694E-2</v>
      </c>
      <c r="W1394" s="17">
        <f t="shared" ca="1" si="172"/>
        <v>4.8531740454510537E-2</v>
      </c>
      <c r="X1394" s="13">
        <f t="shared" ca="1" si="173"/>
        <v>0</v>
      </c>
      <c r="Y1394" s="13">
        <f t="shared" ca="1" si="174"/>
        <v>0</v>
      </c>
      <c r="Z1394">
        <f t="shared" ca="1" si="176"/>
        <v>1</v>
      </c>
      <c r="AA1394">
        <f t="shared" ca="1" si="177"/>
        <v>0</v>
      </c>
      <c r="AB1394" s="24">
        <f t="shared" ca="1" si="178"/>
        <v>4.8531740454510537E-2</v>
      </c>
      <c r="AC1394" s="24">
        <f t="shared" ca="1" si="179"/>
        <v>0</v>
      </c>
    </row>
    <row r="1395" spans="3:29" x14ac:dyDescent="0.25">
      <c r="C1395" s="6">
        <v>1388</v>
      </c>
      <c r="D1395" s="37">
        <v>43984</v>
      </c>
      <c r="E1395" s="39">
        <v>14.811999999999999</v>
      </c>
      <c r="F1395" s="39">
        <v>2.4338563485077036</v>
      </c>
      <c r="G1395" s="39">
        <v>44.109236011118554</v>
      </c>
      <c r="H1395" s="39">
        <v>60.204988918920115</v>
      </c>
      <c r="I1395" s="10">
        <v>0</v>
      </c>
      <c r="J1395" s="40">
        <v>0</v>
      </c>
      <c r="K1395" s="40">
        <v>0</v>
      </c>
      <c r="L1395" s="40">
        <v>0</v>
      </c>
      <c r="M1395" s="40">
        <v>0</v>
      </c>
      <c r="N1395" s="40">
        <v>1</v>
      </c>
      <c r="O1395" s="40">
        <v>0</v>
      </c>
      <c r="P1395" s="40">
        <v>0</v>
      </c>
      <c r="Q1395" s="40">
        <v>0</v>
      </c>
      <c r="R1395" s="40">
        <v>0</v>
      </c>
      <c r="S1395" s="40">
        <v>0</v>
      </c>
      <c r="T1395" s="29">
        <f t="array" aca="1" ref="T1395" ca="1">+fair_value_gap(OFFSET(S1394,0,0,-1*$I$5,-1*$Z$1),OFFSET(E1394,0,0,-1*$I$5,1),F1395:S1395,0)</f>
        <v>14.507670221958689</v>
      </c>
      <c r="U1395" s="9" cm="1">
        <f t="array" aca="1" ref="U1395" ca="1">z_score_diff(OFFSET(T1395,0,0,$I$5*-1,1),OFFSET(E1395,0,0,$I$5*-1,1))</f>
        <v>-0.13766627655110042</v>
      </c>
      <c r="V1395" s="9">
        <f t="shared" ca="1" si="175"/>
        <v>-7.5704117648460717E-2</v>
      </c>
      <c r="W1395" s="17">
        <f t="shared" ca="1" si="172"/>
        <v>3.6459264525123991E-2</v>
      </c>
      <c r="X1395" s="13">
        <f t="shared" ca="1" si="173"/>
        <v>0</v>
      </c>
      <c r="Y1395" s="13">
        <f t="shared" ca="1" si="174"/>
        <v>0</v>
      </c>
      <c r="Z1395">
        <f t="shared" ca="1" si="176"/>
        <v>1</v>
      </c>
      <c r="AA1395">
        <f t="shared" ca="1" si="177"/>
        <v>0</v>
      </c>
      <c r="AB1395" s="24">
        <f t="shared" ca="1" si="178"/>
        <v>3.6459264525123991E-2</v>
      </c>
      <c r="AC1395" s="24">
        <f t="shared" ca="1" si="179"/>
        <v>0</v>
      </c>
    </row>
    <row r="1396" spans="3:29" x14ac:dyDescent="0.25">
      <c r="C1396" s="6">
        <v>1389</v>
      </c>
      <c r="D1396" s="37">
        <v>43985</v>
      </c>
      <c r="E1396" s="39">
        <v>14.843</v>
      </c>
      <c r="F1396" s="39">
        <v>2.4105664039835006</v>
      </c>
      <c r="G1396" s="39">
        <v>44.222433297829774</v>
      </c>
      <c r="H1396" s="39">
        <v>58.461949622502843</v>
      </c>
      <c r="I1396" s="10">
        <v>0</v>
      </c>
      <c r="J1396" s="40">
        <v>0</v>
      </c>
      <c r="K1396" s="40">
        <v>0</v>
      </c>
      <c r="L1396" s="40">
        <v>0</v>
      </c>
      <c r="M1396" s="40">
        <v>0</v>
      </c>
      <c r="N1396" s="40">
        <v>1</v>
      </c>
      <c r="O1396" s="40">
        <v>0</v>
      </c>
      <c r="P1396" s="40">
        <v>0</v>
      </c>
      <c r="Q1396" s="40">
        <v>0</v>
      </c>
      <c r="R1396" s="40">
        <v>0</v>
      </c>
      <c r="S1396" s="40">
        <v>0</v>
      </c>
      <c r="T1396" s="29">
        <f t="array" aca="1" ref="T1396" ca="1">+fair_value_gap(OFFSET(S1395,0,0,-1*$I$5,-1*$Z$1),OFFSET(E1395,0,0,-1*$I$5,1),F1396:S1396,0)</f>
        <v>14.57776434139614</v>
      </c>
      <c r="U1396" s="9" cm="1">
        <f t="array" aca="1" ref="U1396" ca="1">z_score_diff(OFFSET(T1396,0,0,$I$5*-1,1),OFFSET(E1396,0,0,$I$5*-1,1))</f>
        <v>-0.12240077684047845</v>
      </c>
      <c r="V1396" s="9">
        <f t="shared" ca="1" si="175"/>
        <v>-7.6093284730817584E-2</v>
      </c>
      <c r="W1396" s="17">
        <f t="shared" ca="1" si="172"/>
        <v>2.4687682932481466E-2</v>
      </c>
      <c r="X1396" s="13">
        <f t="shared" ca="1" si="173"/>
        <v>0</v>
      </c>
      <c r="Y1396" s="13">
        <f t="shared" ca="1" si="174"/>
        <v>0</v>
      </c>
      <c r="Z1396">
        <f t="shared" ca="1" si="176"/>
        <v>1</v>
      </c>
      <c r="AA1396">
        <f t="shared" ca="1" si="177"/>
        <v>0</v>
      </c>
      <c r="AB1396" s="24">
        <f t="shared" ca="1" si="178"/>
        <v>2.4687682932481466E-2</v>
      </c>
      <c r="AC1396" s="24">
        <f t="shared" ca="1" si="179"/>
        <v>0</v>
      </c>
    </row>
    <row r="1397" spans="3:29" x14ac:dyDescent="0.25">
      <c r="C1397" s="6">
        <v>1390</v>
      </c>
      <c r="D1397" s="37">
        <v>43986</v>
      </c>
      <c r="E1397" s="39">
        <v>14.85</v>
      </c>
      <c r="F1397" s="39">
        <v>2.3736871767756704</v>
      </c>
      <c r="G1397" s="39">
        <v>44.295411325538808</v>
      </c>
      <c r="H1397" s="39">
        <v>57.273369494679017</v>
      </c>
      <c r="I1397" s="10">
        <v>0</v>
      </c>
      <c r="J1397" s="40">
        <v>0</v>
      </c>
      <c r="K1397" s="40">
        <v>0</v>
      </c>
      <c r="L1397" s="40">
        <v>0</v>
      </c>
      <c r="M1397" s="40">
        <v>0</v>
      </c>
      <c r="N1397" s="40">
        <v>1</v>
      </c>
      <c r="O1397" s="40">
        <v>0</v>
      </c>
      <c r="P1397" s="40">
        <v>0</v>
      </c>
      <c r="Q1397" s="40">
        <v>0</v>
      </c>
      <c r="R1397" s="40">
        <v>0</v>
      </c>
      <c r="S1397" s="40">
        <v>0</v>
      </c>
      <c r="T1397" s="29">
        <f t="array" aca="1" ref="T1397" ca="1">+fair_value_gap(OFFSET(S1396,0,0,-1*$I$5,-1*$Z$1),OFFSET(E1396,0,0,-1*$I$5,1),F1397:S1397,0)</f>
        <v>14.623253991472932</v>
      </c>
      <c r="U1397" s="9" cm="1">
        <f t="array" aca="1" ref="U1397" ca="1">z_score_diff(OFFSET(T1397,0,0,$I$5*-1,1),OFFSET(E1397,0,0,$I$5*-1,1))</f>
        <v>-0.10769971408805401</v>
      </c>
      <c r="V1397" s="9">
        <f t="shared" ca="1" si="175"/>
        <v>-7.4885428287321198E-2</v>
      </c>
      <c r="W1397" s="17">
        <f t="shared" ca="1" si="172"/>
        <v>2.5595547188963723E-2</v>
      </c>
      <c r="X1397" s="13">
        <f t="shared" ca="1" si="173"/>
        <v>0</v>
      </c>
      <c r="Y1397" s="13">
        <f t="shared" ca="1" si="174"/>
        <v>0</v>
      </c>
      <c r="Z1397">
        <f t="shared" ca="1" si="176"/>
        <v>1</v>
      </c>
      <c r="AA1397">
        <f t="shared" ca="1" si="177"/>
        <v>0</v>
      </c>
      <c r="AB1397" s="24">
        <f t="shared" ca="1" si="178"/>
        <v>2.5595547188963723E-2</v>
      </c>
      <c r="AC1397" s="24">
        <f t="shared" ca="1" si="179"/>
        <v>0</v>
      </c>
    </row>
    <row r="1398" spans="3:29" x14ac:dyDescent="0.25">
      <c r="C1398" s="6">
        <v>1391</v>
      </c>
      <c r="D1398" s="37">
        <v>43987</v>
      </c>
      <c r="E1398" s="39">
        <v>15.031000000000001</v>
      </c>
      <c r="F1398" s="39">
        <v>2.3759828824216647</v>
      </c>
      <c r="G1398" s="39">
        <v>44.791837931754657</v>
      </c>
      <c r="H1398" s="39">
        <v>57.058594450789158</v>
      </c>
      <c r="I1398" s="10">
        <v>0</v>
      </c>
      <c r="J1398" s="40">
        <v>0</v>
      </c>
      <c r="K1398" s="40">
        <v>0</v>
      </c>
      <c r="L1398" s="40">
        <v>0</v>
      </c>
      <c r="M1398" s="40">
        <v>0</v>
      </c>
      <c r="N1398" s="40">
        <v>1</v>
      </c>
      <c r="O1398" s="40">
        <v>0</v>
      </c>
      <c r="P1398" s="40">
        <v>0</v>
      </c>
      <c r="Q1398" s="40">
        <v>0</v>
      </c>
      <c r="R1398" s="40">
        <v>0</v>
      </c>
      <c r="S1398" s="40">
        <v>0</v>
      </c>
      <c r="T1398" s="29">
        <f t="array" aca="1" ref="T1398" ca="1">+fair_value_gap(OFFSET(S1397,0,0,-1*$I$5,-1*$Z$1),OFFSET(E1397,0,0,-1*$I$5,1),F1398:S1398,0)</f>
        <v>14.808223037620238</v>
      </c>
      <c r="U1398" s="9" cm="1">
        <f t="array" aca="1" ref="U1398" ca="1">z_score_diff(OFFSET(T1398,0,0,$I$5*-1,1),OFFSET(E1398,0,0,$I$5*-1,1))</f>
        <v>-0.10443675476205433</v>
      </c>
      <c r="V1398" s="9">
        <f t="shared" ca="1" si="175"/>
        <v>-7.6347401071802351E-2</v>
      </c>
      <c r="W1398" s="17">
        <f t="shared" ca="1" si="172"/>
        <v>6.6507052198710689E-4</v>
      </c>
      <c r="X1398" s="13">
        <f t="shared" ca="1" si="173"/>
        <v>0</v>
      </c>
      <c r="Y1398" s="13">
        <f t="shared" ca="1" si="174"/>
        <v>0</v>
      </c>
      <c r="Z1398">
        <f t="shared" ca="1" si="176"/>
        <v>1</v>
      </c>
      <c r="AA1398">
        <f t="shared" ca="1" si="177"/>
        <v>0</v>
      </c>
      <c r="AB1398" s="24">
        <f t="shared" ca="1" si="178"/>
        <v>6.6507052198710689E-4</v>
      </c>
      <c r="AC1398" s="24">
        <f t="shared" ca="1" si="179"/>
        <v>0</v>
      </c>
    </row>
    <row r="1399" spans="3:29" x14ac:dyDescent="0.25">
      <c r="C1399" s="6">
        <v>1392</v>
      </c>
      <c r="D1399" s="37">
        <v>43990</v>
      </c>
      <c r="E1399" s="39">
        <v>14.996</v>
      </c>
      <c r="F1399" s="39">
        <v>2.3703084548579079</v>
      </c>
      <c r="G1399" s="39">
        <v>44.824394106690754</v>
      </c>
      <c r="H1399" s="39">
        <v>57.006311787803618</v>
      </c>
      <c r="I1399" s="10">
        <v>0</v>
      </c>
      <c r="J1399" s="40">
        <v>0</v>
      </c>
      <c r="K1399" s="40">
        <v>0</v>
      </c>
      <c r="L1399" s="40">
        <v>0</v>
      </c>
      <c r="M1399" s="40">
        <v>0</v>
      </c>
      <c r="N1399" s="40">
        <v>1</v>
      </c>
      <c r="O1399" s="40">
        <v>0</v>
      </c>
      <c r="P1399" s="40">
        <v>0</v>
      </c>
      <c r="Q1399" s="40">
        <v>0</v>
      </c>
      <c r="R1399" s="40">
        <v>0</v>
      </c>
      <c r="S1399" s="40">
        <v>0</v>
      </c>
      <c r="T1399" s="29">
        <f t="array" aca="1" ref="T1399" ca="1">+fair_value_gap(OFFSET(S1398,0,0,-1*$I$5,-1*$Z$1),OFFSET(E1398,0,0,-1*$I$5,1),F1399:S1399,0)</f>
        <v>14.848922869645811</v>
      </c>
      <c r="U1399" s="9" cm="1">
        <f t="array" aca="1" ref="U1399" ca="1">z_score_diff(OFFSET(T1399,0,0,$I$5*-1,1),OFFSET(E1399,0,0,$I$5*-1,1))</f>
        <v>-7.6287127353010076E-2</v>
      </c>
      <c r="V1399" s="9">
        <f t="shared" ca="1" si="175"/>
        <v>-7.6499339580199624E-2</v>
      </c>
      <c r="W1399" s="17">
        <f t="shared" ca="1" si="172"/>
        <v>-1.8508453097789562E-2</v>
      </c>
      <c r="X1399" s="13">
        <f t="shared" ca="1" si="173"/>
        <v>0</v>
      </c>
      <c r="Y1399" s="13">
        <f t="shared" ca="1" si="174"/>
        <v>0</v>
      </c>
      <c r="Z1399">
        <f t="shared" ca="1" si="176"/>
        <v>1</v>
      </c>
      <c r="AA1399">
        <f t="shared" ca="1" si="177"/>
        <v>0</v>
      </c>
      <c r="AB1399" s="24">
        <f t="shared" ca="1" si="178"/>
        <v>-1.8508453097789562E-2</v>
      </c>
      <c r="AC1399" s="24">
        <f t="shared" ca="1" si="179"/>
        <v>0</v>
      </c>
    </row>
    <row r="1400" spans="3:29" x14ac:dyDescent="0.25">
      <c r="C1400" s="6">
        <v>1393</v>
      </c>
      <c r="D1400" s="37">
        <v>43991</v>
      </c>
      <c r="E1400" s="39">
        <v>14.79</v>
      </c>
      <c r="F1400" s="39">
        <v>2.363887118513023</v>
      </c>
      <c r="G1400" s="39">
        <v>43.79550679008296</v>
      </c>
      <c r="H1400" s="39">
        <v>56.115110419213394</v>
      </c>
      <c r="I1400" s="10">
        <v>0</v>
      </c>
      <c r="J1400" s="40">
        <v>0</v>
      </c>
      <c r="K1400" s="40">
        <v>0</v>
      </c>
      <c r="L1400" s="40">
        <v>0</v>
      </c>
      <c r="M1400" s="40">
        <v>0</v>
      </c>
      <c r="N1400" s="40">
        <v>1</v>
      </c>
      <c r="O1400" s="40">
        <v>0</v>
      </c>
      <c r="P1400" s="40">
        <v>0</v>
      </c>
      <c r="Q1400" s="40">
        <v>0</v>
      </c>
      <c r="R1400" s="40">
        <v>0</v>
      </c>
      <c r="S1400" s="40">
        <v>0</v>
      </c>
      <c r="T1400" s="29">
        <f t="array" aca="1" ref="T1400" ca="1">+fair_value_gap(OFFSET(S1399,0,0,-1*$I$5,-1*$Z$1),OFFSET(E1399,0,0,-1*$I$5,1),F1400:S1400,0)</f>
        <v>14.530265220495139</v>
      </c>
      <c r="U1400" s="9" cm="1">
        <f t="array" aca="1" ref="U1400" ca="1">z_score_diff(OFFSET(T1400,0,0,$I$5*-1,1),OFFSET(E1400,0,0,$I$5*-1,1))</f>
        <v>-0.11969764286245876</v>
      </c>
      <c r="V1400" s="9">
        <f t="shared" ca="1" si="175"/>
        <v>-7.7435530571494146E-2</v>
      </c>
      <c r="W1400" s="17">
        <f t="shared" ca="1" si="172"/>
        <v>8.8183399355761406E-3</v>
      </c>
      <c r="X1400" s="13">
        <f t="shared" ca="1" si="173"/>
        <v>0</v>
      </c>
      <c r="Y1400" s="13">
        <f t="shared" ca="1" si="174"/>
        <v>0</v>
      </c>
      <c r="Z1400">
        <f t="shared" ca="1" si="176"/>
        <v>1</v>
      </c>
      <c r="AA1400">
        <f t="shared" ca="1" si="177"/>
        <v>0</v>
      </c>
      <c r="AB1400" s="24">
        <f t="shared" ca="1" si="178"/>
        <v>8.8183399355761406E-3</v>
      </c>
      <c r="AC1400" s="24">
        <f t="shared" ca="1" si="179"/>
        <v>0</v>
      </c>
    </row>
    <row r="1401" spans="3:29" x14ac:dyDescent="0.25">
      <c r="C1401" s="6">
        <v>1394</v>
      </c>
      <c r="D1401" s="37">
        <v>43992</v>
      </c>
      <c r="E1401" s="39">
        <v>14.803000000000001</v>
      </c>
      <c r="F1401" s="39">
        <v>2.3713822527523578</v>
      </c>
      <c r="G1401" s="39">
        <v>43.752261421426844</v>
      </c>
      <c r="H1401" s="39">
        <v>55.746151822300028</v>
      </c>
      <c r="I1401" s="10">
        <v>0</v>
      </c>
      <c r="J1401" s="40">
        <v>0</v>
      </c>
      <c r="K1401" s="40">
        <v>0</v>
      </c>
      <c r="L1401" s="40">
        <v>0</v>
      </c>
      <c r="M1401" s="40">
        <v>0</v>
      </c>
      <c r="N1401" s="40">
        <v>1</v>
      </c>
      <c r="O1401" s="40">
        <v>0</v>
      </c>
      <c r="P1401" s="40">
        <v>0</v>
      </c>
      <c r="Q1401" s="40">
        <v>0</v>
      </c>
      <c r="R1401" s="40">
        <v>0</v>
      </c>
      <c r="S1401" s="40">
        <v>0</v>
      </c>
      <c r="T1401" s="29">
        <f t="array" aca="1" ref="T1401" ca="1">+fair_value_gap(OFFSET(S1400,0,0,-1*$I$5,-1*$Z$1),OFFSET(E1400,0,0,-1*$I$5,1),F1401:S1401,0)</f>
        <v>14.540205068385541</v>
      </c>
      <c r="U1401" s="9" cm="1">
        <f t="array" aca="1" ref="U1401" ca="1">z_score_diff(OFFSET(T1401,0,0,$I$5*-1,1),OFFSET(E1401,0,0,$I$5*-1,1))</f>
        <v>-0.12035745936813547</v>
      </c>
      <c r="V1401" s="9">
        <f t="shared" ca="1" si="175"/>
        <v>-7.8940781687007619E-2</v>
      </c>
      <c r="W1401" s="17">
        <f t="shared" ca="1" si="172"/>
        <v>1.1418716224226818E-2</v>
      </c>
      <c r="X1401" s="13">
        <f t="shared" ca="1" si="173"/>
        <v>0</v>
      </c>
      <c r="Y1401" s="13">
        <f t="shared" ca="1" si="174"/>
        <v>0</v>
      </c>
      <c r="Z1401">
        <f t="shared" ca="1" si="176"/>
        <v>1</v>
      </c>
      <c r="AA1401">
        <f t="shared" ca="1" si="177"/>
        <v>0</v>
      </c>
      <c r="AB1401" s="24">
        <f t="shared" ca="1" si="178"/>
        <v>1.1418716224226818E-2</v>
      </c>
      <c r="AC1401" s="24">
        <f t="shared" ca="1" si="179"/>
        <v>0</v>
      </c>
    </row>
    <row r="1402" spans="3:29" x14ac:dyDescent="0.25">
      <c r="C1402" s="6">
        <v>1395</v>
      </c>
      <c r="D1402" s="37">
        <v>43993</v>
      </c>
      <c r="E1402" s="39">
        <v>14.65</v>
      </c>
      <c r="F1402" s="39">
        <v>2.4050923962885866</v>
      </c>
      <c r="G1402" s="39">
        <v>43.605566922110185</v>
      </c>
      <c r="H1402" s="39">
        <v>56.127565191467561</v>
      </c>
      <c r="I1402" s="10">
        <v>0</v>
      </c>
      <c r="J1402" s="40">
        <v>0</v>
      </c>
      <c r="K1402" s="40">
        <v>0</v>
      </c>
      <c r="L1402" s="40">
        <v>0</v>
      </c>
      <c r="M1402" s="40">
        <v>0</v>
      </c>
      <c r="N1402" s="40">
        <v>1</v>
      </c>
      <c r="O1402" s="40">
        <v>0</v>
      </c>
      <c r="P1402" s="40">
        <v>0</v>
      </c>
      <c r="Q1402" s="40">
        <v>0</v>
      </c>
      <c r="R1402" s="40">
        <v>0</v>
      </c>
      <c r="S1402" s="40">
        <v>0</v>
      </c>
      <c r="T1402" s="29">
        <f t="array" aca="1" ref="T1402" ca="1">+fair_value_gap(OFFSET(S1401,0,0,-1*$I$5,-1*$Z$1),OFFSET(E1401,0,0,-1*$I$5,1),F1402:S1402,0)</f>
        <v>14.540826215667893</v>
      </c>
      <c r="U1402" s="9" cm="1">
        <f t="array" aca="1" ref="U1402" ca="1">z_score_diff(OFFSET(T1402,0,0,$I$5*-1,1),OFFSET(E1402,0,0,$I$5*-1,1))</f>
        <v>-6.378537132153661E-2</v>
      </c>
      <c r="V1402" s="9">
        <f t="shared" ca="1" si="175"/>
        <v>-7.8523705344532221E-2</v>
      </c>
      <c r="W1402" s="17">
        <f t="shared" ca="1" si="172"/>
        <v>4.3590860469963338E-3</v>
      </c>
      <c r="X1402" s="13">
        <f t="shared" ca="1" si="173"/>
        <v>0</v>
      </c>
      <c r="Y1402" s="13">
        <f t="shared" ca="1" si="174"/>
        <v>0</v>
      </c>
      <c r="Z1402">
        <f t="shared" ca="1" si="176"/>
        <v>1</v>
      </c>
      <c r="AA1402">
        <f t="shared" ca="1" si="177"/>
        <v>0</v>
      </c>
      <c r="AB1402" s="24">
        <f t="shared" ca="1" si="178"/>
        <v>4.3590860469963338E-3</v>
      </c>
      <c r="AC1402" s="24">
        <f t="shared" ca="1" si="179"/>
        <v>0</v>
      </c>
    </row>
    <row r="1403" spans="3:29" x14ac:dyDescent="0.25">
      <c r="C1403" s="6">
        <v>1396</v>
      </c>
      <c r="D1403" s="37">
        <v>43994</v>
      </c>
      <c r="E1403" s="39">
        <v>14.64</v>
      </c>
      <c r="F1403" s="39">
        <v>2.4035003385953035</v>
      </c>
      <c r="G1403" s="39">
        <v>43.545065003013384</v>
      </c>
      <c r="H1403" s="39">
        <v>55.789277932358132</v>
      </c>
      <c r="I1403" s="10">
        <v>0</v>
      </c>
      <c r="J1403" s="40">
        <v>0</v>
      </c>
      <c r="K1403" s="40">
        <v>0</v>
      </c>
      <c r="L1403" s="40">
        <v>0</v>
      </c>
      <c r="M1403" s="40">
        <v>0</v>
      </c>
      <c r="N1403" s="40">
        <v>1</v>
      </c>
      <c r="O1403" s="40">
        <v>0</v>
      </c>
      <c r="P1403" s="40">
        <v>0</v>
      </c>
      <c r="Q1403" s="40">
        <v>0</v>
      </c>
      <c r="R1403" s="40">
        <v>0</v>
      </c>
      <c r="S1403" s="40">
        <v>0</v>
      </c>
      <c r="T1403" s="29">
        <f t="array" aca="1" ref="T1403" ca="1">+fair_value_gap(OFFSET(S1402,0,0,-1*$I$5,-1*$Z$1),OFFSET(E1402,0,0,-1*$I$5,1),F1403:S1403,0)</f>
        <v>14.527673702064876</v>
      </c>
      <c r="U1403" s="9" cm="1">
        <f t="array" aca="1" ref="U1403" ca="1">z_score_diff(OFFSET(T1403,0,0,$I$5*-1,1),OFFSET(E1403,0,0,$I$5*-1,1))</f>
        <v>-6.4923579196069725E-2</v>
      </c>
      <c r="V1403" s="9">
        <f t="shared" ca="1" si="175"/>
        <v>-7.9238632042155657E-2</v>
      </c>
      <c r="W1403" s="17">
        <f t="shared" ca="1" si="172"/>
        <v>4.4300634727927578E-3</v>
      </c>
      <c r="X1403" s="13">
        <f t="shared" ca="1" si="173"/>
        <v>0</v>
      </c>
      <c r="Y1403" s="13">
        <f t="shared" ca="1" si="174"/>
        <v>0</v>
      </c>
      <c r="Z1403">
        <f t="shared" ca="1" si="176"/>
        <v>1</v>
      </c>
      <c r="AA1403">
        <f t="shared" ca="1" si="177"/>
        <v>0</v>
      </c>
      <c r="AB1403" s="24">
        <f t="shared" ca="1" si="178"/>
        <v>4.4300634727927578E-3</v>
      </c>
      <c r="AC1403" s="24">
        <f t="shared" ca="1" si="179"/>
        <v>0</v>
      </c>
    </row>
    <row r="1404" spans="3:29" x14ac:dyDescent="0.25">
      <c r="C1404" s="6">
        <v>1397</v>
      </c>
      <c r="D1404" s="37">
        <v>43997</v>
      </c>
      <c r="E1404" s="39">
        <v>14.532</v>
      </c>
      <c r="F1404" s="39">
        <v>2.3788367244255433</v>
      </c>
      <c r="G1404" s="39">
        <v>43.278008527632061</v>
      </c>
      <c r="H1404" s="39">
        <v>55.198080885680675</v>
      </c>
      <c r="I1404" s="10">
        <v>0</v>
      </c>
      <c r="J1404" s="40">
        <v>0</v>
      </c>
      <c r="K1404" s="40">
        <v>0</v>
      </c>
      <c r="L1404" s="40">
        <v>0</v>
      </c>
      <c r="M1404" s="40">
        <v>0</v>
      </c>
      <c r="N1404" s="40">
        <v>1</v>
      </c>
      <c r="O1404" s="40">
        <v>0</v>
      </c>
      <c r="P1404" s="40">
        <v>0</v>
      </c>
      <c r="Q1404" s="40">
        <v>0</v>
      </c>
      <c r="R1404" s="40">
        <v>0</v>
      </c>
      <c r="S1404" s="40">
        <v>0</v>
      </c>
      <c r="T1404" s="29">
        <f t="array" aca="1" ref="T1404" ca="1">+fair_value_gap(OFFSET(S1403,0,0,-1*$I$5,-1*$Z$1),OFFSET(E1403,0,0,-1*$I$5,1),F1404:S1404,0)</f>
        <v>14.440117035715176</v>
      </c>
      <c r="U1404" s="9" cm="1">
        <f t="array" aca="1" ref="U1404" ca="1">z_score_diff(OFFSET(T1404,0,0,$I$5*-1,1),OFFSET(E1404,0,0,$I$5*-1,1))</f>
        <v>-5.7939452799906643E-2</v>
      </c>
      <c r="V1404" s="9">
        <f t="shared" ca="1" si="175"/>
        <v>-7.8602322906408978E-2</v>
      </c>
      <c r="W1404" s="17">
        <f t="shared" ca="1" si="172"/>
        <v>2.2858138076050184E-2</v>
      </c>
      <c r="X1404" s="13">
        <f t="shared" ca="1" si="173"/>
        <v>0</v>
      </c>
      <c r="Y1404" s="13">
        <f t="shared" ca="1" si="174"/>
        <v>0</v>
      </c>
      <c r="Z1404">
        <f t="shared" ca="1" si="176"/>
        <v>1</v>
      </c>
      <c r="AA1404">
        <f t="shared" ca="1" si="177"/>
        <v>0</v>
      </c>
      <c r="AB1404" s="24">
        <f t="shared" ca="1" si="178"/>
        <v>2.2858138076050184E-2</v>
      </c>
      <c r="AC1404" s="24">
        <f t="shared" ca="1" si="179"/>
        <v>0</v>
      </c>
    </row>
    <row r="1405" spans="3:29" x14ac:dyDescent="0.25">
      <c r="C1405" s="6">
        <v>1398</v>
      </c>
      <c r="D1405" s="37">
        <v>43998</v>
      </c>
      <c r="E1405" s="39">
        <v>14.856</v>
      </c>
      <c r="F1405" s="39">
        <v>2.3916334909344994</v>
      </c>
      <c r="G1405" s="39">
        <v>43.506264659059148</v>
      </c>
      <c r="H1405" s="39">
        <v>55.714189277451396</v>
      </c>
      <c r="I1405" s="10">
        <v>0</v>
      </c>
      <c r="J1405" s="40">
        <v>0</v>
      </c>
      <c r="K1405" s="40">
        <v>0</v>
      </c>
      <c r="L1405" s="40">
        <v>0</v>
      </c>
      <c r="M1405" s="40">
        <v>0</v>
      </c>
      <c r="N1405" s="40">
        <v>1</v>
      </c>
      <c r="O1405" s="40">
        <v>0</v>
      </c>
      <c r="P1405" s="40">
        <v>0</v>
      </c>
      <c r="Q1405" s="40">
        <v>0</v>
      </c>
      <c r="R1405" s="40">
        <v>0</v>
      </c>
      <c r="S1405" s="40">
        <v>0</v>
      </c>
      <c r="T1405" s="29">
        <f t="array" aca="1" ref="T1405" ca="1">+fair_value_gap(OFFSET(S1404,0,0,-1*$I$5,-1*$Z$1),OFFSET(E1404,0,0,-1*$I$5,1),F1405:S1405,0)</f>
        <v>14.535514271499292</v>
      </c>
      <c r="U1405" s="9" cm="1">
        <f t="array" aca="1" ref="U1405" ca="1">z_score_diff(OFFSET(T1405,0,0,$I$5*-1,1),OFFSET(E1405,0,0,$I$5*-1,1))</f>
        <v>-0.14151339412422065</v>
      </c>
      <c r="V1405" s="9">
        <f t="shared" ca="1" si="175"/>
        <v>-8.0396579650010874E-2</v>
      </c>
      <c r="W1405" s="17">
        <f t="shared" ca="1" si="172"/>
        <v>1.0046297073132397E-2</v>
      </c>
      <c r="X1405" s="13">
        <f t="shared" ca="1" si="173"/>
        <v>0</v>
      </c>
      <c r="Y1405" s="13">
        <f t="shared" ca="1" si="174"/>
        <v>0</v>
      </c>
      <c r="Z1405">
        <f t="shared" ca="1" si="176"/>
        <v>1</v>
      </c>
      <c r="AA1405">
        <f t="shared" ca="1" si="177"/>
        <v>0</v>
      </c>
      <c r="AB1405" s="24">
        <f t="shared" ca="1" si="178"/>
        <v>1.0046297073132397E-2</v>
      </c>
      <c r="AC1405" s="24">
        <f t="shared" ca="1" si="179"/>
        <v>0</v>
      </c>
    </row>
    <row r="1406" spans="3:29" x14ac:dyDescent="0.25">
      <c r="C1406" s="6">
        <v>1399</v>
      </c>
      <c r="D1406" s="37">
        <v>43999</v>
      </c>
      <c r="E1406" s="39">
        <v>14.875999999999999</v>
      </c>
      <c r="F1406" s="39">
        <v>2.3972437402620201</v>
      </c>
      <c r="G1406" s="39">
        <v>43.890107751375638</v>
      </c>
      <c r="H1406" s="39">
        <v>55.520200136057412</v>
      </c>
      <c r="I1406" s="10">
        <v>0</v>
      </c>
      <c r="J1406" s="40">
        <v>0</v>
      </c>
      <c r="K1406" s="40">
        <v>0</v>
      </c>
      <c r="L1406" s="40">
        <v>0</v>
      </c>
      <c r="M1406" s="40">
        <v>0</v>
      </c>
      <c r="N1406" s="40">
        <v>1</v>
      </c>
      <c r="O1406" s="40">
        <v>0</v>
      </c>
      <c r="P1406" s="40">
        <v>0</v>
      </c>
      <c r="Q1406" s="40">
        <v>0</v>
      </c>
      <c r="R1406" s="40">
        <v>0</v>
      </c>
      <c r="S1406" s="40">
        <v>0</v>
      </c>
      <c r="T1406" s="29">
        <f t="array" aca="1" ref="T1406" ca="1">+fair_value_gap(OFFSET(S1405,0,0,-1*$I$5,-1*$Z$1),OFFSET(E1405,0,0,-1*$I$5,1),F1406:S1406,0)</f>
        <v>14.677474748114509</v>
      </c>
      <c r="U1406" s="9" cm="1">
        <f t="array" aca="1" ref="U1406" ca="1">z_score_diff(OFFSET(T1406,0,0,$I$5*-1,1),OFFSET(E1406,0,0,$I$5*-1,1))</f>
        <v>-9.5117406673318361E-2</v>
      </c>
      <c r="V1406" s="9">
        <f t="shared" ca="1" si="175"/>
        <v>-8.1347666465974411E-2</v>
      </c>
      <c r="W1406" s="17">
        <f t="shared" ca="1" si="172"/>
        <v>2.0361339531752953E-2</v>
      </c>
      <c r="X1406" s="13">
        <f t="shared" ca="1" si="173"/>
        <v>0</v>
      </c>
      <c r="Y1406" s="13">
        <f t="shared" ca="1" si="174"/>
        <v>0</v>
      </c>
      <c r="Z1406">
        <f t="shared" ca="1" si="176"/>
        <v>1</v>
      </c>
      <c r="AA1406">
        <f t="shared" ca="1" si="177"/>
        <v>0</v>
      </c>
      <c r="AB1406" s="24">
        <f t="shared" ca="1" si="178"/>
        <v>2.0361339531752953E-2</v>
      </c>
      <c r="AC1406" s="24">
        <f t="shared" ca="1" si="179"/>
        <v>0</v>
      </c>
    </row>
    <row r="1407" spans="3:29" x14ac:dyDescent="0.25">
      <c r="C1407" s="6">
        <v>1400</v>
      </c>
      <c r="D1407" s="37">
        <v>44000</v>
      </c>
      <c r="E1407" s="39">
        <v>15.079000000000001</v>
      </c>
      <c r="F1407" s="39">
        <v>2.4123804386530865</v>
      </c>
      <c r="G1407" s="39">
        <v>44.666538535460312</v>
      </c>
      <c r="H1407" s="39">
        <v>55.483868693172006</v>
      </c>
      <c r="I1407" s="10">
        <v>0</v>
      </c>
      <c r="J1407" s="40">
        <v>0</v>
      </c>
      <c r="K1407" s="40">
        <v>0</v>
      </c>
      <c r="L1407" s="40">
        <v>0</v>
      </c>
      <c r="M1407" s="40">
        <v>0</v>
      </c>
      <c r="N1407" s="40">
        <v>1</v>
      </c>
      <c r="O1407" s="40">
        <v>0</v>
      </c>
      <c r="P1407" s="40">
        <v>0</v>
      </c>
      <c r="Q1407" s="40">
        <v>0</v>
      </c>
      <c r="R1407" s="40">
        <v>0</v>
      </c>
      <c r="S1407" s="40">
        <v>0</v>
      </c>
      <c r="T1407" s="29">
        <f t="array" aca="1" ref="T1407" ca="1">+fair_value_gap(OFFSET(S1406,0,0,-1*$I$5,-1*$Z$1),OFFSET(E1406,0,0,-1*$I$5,1),F1407:S1407,0)</f>
        <v>14.933605530594726</v>
      </c>
      <c r="U1407" s="9" cm="1">
        <f t="array" aca="1" ref="U1407" ca="1">z_score_diff(OFFSET(T1407,0,0,$I$5*-1,1),OFFSET(E1407,0,0,$I$5*-1,1))</f>
        <v>-7.349809965705717E-2</v>
      </c>
      <c r="V1407" s="9">
        <f t="shared" ca="1" si="175"/>
        <v>-8.3550485551045439E-2</v>
      </c>
      <c r="W1407" s="17">
        <f t="shared" ca="1" si="172"/>
        <v>2.1843379380252589E-2</v>
      </c>
      <c r="X1407" s="13">
        <f t="shared" ca="1" si="173"/>
        <v>0</v>
      </c>
      <c r="Y1407" s="13">
        <f t="shared" ca="1" si="174"/>
        <v>0</v>
      </c>
      <c r="Z1407">
        <f t="shared" ca="1" si="176"/>
        <v>1</v>
      </c>
      <c r="AA1407">
        <f t="shared" ca="1" si="177"/>
        <v>0</v>
      </c>
      <c r="AB1407" s="24">
        <f t="shared" ca="1" si="178"/>
        <v>2.1843379380252589E-2</v>
      </c>
      <c r="AC1407" s="24">
        <f t="shared" ca="1" si="179"/>
        <v>0</v>
      </c>
    </row>
    <row r="1408" spans="3:29" x14ac:dyDescent="0.25">
      <c r="C1408" s="6">
        <v>1401</v>
      </c>
      <c r="D1408" s="37">
        <v>44001</v>
      </c>
      <c r="E1408" s="39">
        <v>15.204000000000001</v>
      </c>
      <c r="F1408" s="39">
        <v>2.4154269271511128</v>
      </c>
      <c r="G1408" s="39">
        <v>45.150432135376882</v>
      </c>
      <c r="H1408" s="39">
        <v>56.100808293378073</v>
      </c>
      <c r="I1408" s="10">
        <v>0</v>
      </c>
      <c r="J1408" s="40">
        <v>0</v>
      </c>
      <c r="K1408" s="40">
        <v>0</v>
      </c>
      <c r="L1408" s="40">
        <v>0</v>
      </c>
      <c r="M1408" s="40">
        <v>0</v>
      </c>
      <c r="N1408" s="40">
        <v>1</v>
      </c>
      <c r="O1408" s="40">
        <v>0</v>
      </c>
      <c r="P1408" s="40">
        <v>0</v>
      </c>
      <c r="Q1408" s="40">
        <v>0</v>
      </c>
      <c r="R1408" s="40">
        <v>0</v>
      </c>
      <c r="S1408" s="40">
        <v>0</v>
      </c>
      <c r="T1408" s="29">
        <f t="array" aca="1" ref="T1408" ca="1">+fair_value_gap(OFFSET(S1407,0,0,-1*$I$5,-1*$Z$1),OFFSET(E1407,0,0,-1*$I$5,1),F1408:S1408,0)</f>
        <v>15.113027851993479</v>
      </c>
      <c r="U1408" s="9" cm="1">
        <f t="array" aca="1" ref="U1408" ca="1">z_score_diff(OFFSET(T1408,0,0,$I$5*-1,1),OFFSET(E1408,0,0,$I$5*-1,1))</f>
        <v>-5.1736555541801899E-2</v>
      </c>
      <c r="V1408" s="9">
        <f t="shared" ca="1" si="175"/>
        <v>-8.3407346110019834E-2</v>
      </c>
      <c r="W1408" s="17">
        <f t="shared" ca="1" si="172"/>
        <v>4.4625352964440899E-3</v>
      </c>
      <c r="X1408" s="13">
        <f t="shared" ca="1" si="173"/>
        <v>0</v>
      </c>
      <c r="Y1408" s="13">
        <f t="shared" ca="1" si="174"/>
        <v>0</v>
      </c>
      <c r="Z1408">
        <f t="shared" ca="1" si="176"/>
        <v>1</v>
      </c>
      <c r="AA1408">
        <f t="shared" ca="1" si="177"/>
        <v>0</v>
      </c>
      <c r="AB1408" s="24">
        <f t="shared" ca="1" si="178"/>
        <v>4.4625352964440899E-3</v>
      </c>
      <c r="AC1408" s="24">
        <f t="shared" ca="1" si="179"/>
        <v>0</v>
      </c>
    </row>
    <row r="1409" spans="3:29" x14ac:dyDescent="0.25">
      <c r="C1409" s="6">
        <v>1402</v>
      </c>
      <c r="D1409" s="37">
        <v>44004</v>
      </c>
      <c r="E1409" s="39">
        <v>15.083</v>
      </c>
      <c r="F1409" s="39">
        <v>2.3897439134292036</v>
      </c>
      <c r="G1409" s="39">
        <v>44.926131704386492</v>
      </c>
      <c r="H1409" s="39">
        <v>56.368500966066684</v>
      </c>
      <c r="I1409" s="10">
        <v>0</v>
      </c>
      <c r="J1409" s="40">
        <v>0</v>
      </c>
      <c r="K1409" s="40">
        <v>0</v>
      </c>
      <c r="L1409" s="40">
        <v>0</v>
      </c>
      <c r="M1409" s="40">
        <v>0</v>
      </c>
      <c r="N1409" s="40">
        <v>1</v>
      </c>
      <c r="O1409" s="40">
        <v>0</v>
      </c>
      <c r="P1409" s="40">
        <v>0</v>
      </c>
      <c r="Q1409" s="40">
        <v>0</v>
      </c>
      <c r="R1409" s="40">
        <v>0</v>
      </c>
      <c r="S1409" s="40">
        <v>0</v>
      </c>
      <c r="T1409" s="29">
        <f t="array" aca="1" ref="T1409" ca="1">+fair_value_gap(OFFSET(S1408,0,0,-1*$I$5,-1*$Z$1),OFFSET(E1408,0,0,-1*$I$5,1),F1409:S1409,0)</f>
        <v>15.108075194326949</v>
      </c>
      <c r="U1409" s="9" cm="1">
        <f t="array" aca="1" ref="U1409" ca="1">z_score_diff(OFFSET(T1409,0,0,$I$5*-1,1),OFFSET(E1409,0,0,$I$5*-1,1))</f>
        <v>-8.5240422056145349E-3</v>
      </c>
      <c r="V1409" s="9">
        <f t="shared" ca="1" si="175"/>
        <v>-8.3476156211131122E-2</v>
      </c>
      <c r="W1409" s="17">
        <f t="shared" ca="1" si="172"/>
        <v>1.2059851590163468E-2</v>
      </c>
      <c r="X1409" s="13">
        <f t="shared" ca="1" si="173"/>
        <v>0</v>
      </c>
      <c r="Y1409" s="13">
        <f t="shared" ca="1" si="174"/>
        <v>0</v>
      </c>
      <c r="Z1409">
        <f t="shared" ca="1" si="176"/>
        <v>1</v>
      </c>
      <c r="AA1409">
        <f t="shared" ca="1" si="177"/>
        <v>0</v>
      </c>
      <c r="AB1409" s="24">
        <f t="shared" ca="1" si="178"/>
        <v>1.2059851590163468E-2</v>
      </c>
      <c r="AC1409" s="24">
        <f t="shared" ca="1" si="179"/>
        <v>0</v>
      </c>
    </row>
    <row r="1410" spans="3:29" x14ac:dyDescent="0.25">
      <c r="C1410" s="6">
        <v>1403</v>
      </c>
      <c r="D1410" s="37">
        <v>44005</v>
      </c>
      <c r="E1410" s="39">
        <v>15.15</v>
      </c>
      <c r="F1410" s="39">
        <v>2.3695461803945808</v>
      </c>
      <c r="G1410" s="39">
        <v>45.22858192062526</v>
      </c>
      <c r="H1410" s="39">
        <v>56.794023225743359</v>
      </c>
      <c r="I1410" s="10">
        <v>0</v>
      </c>
      <c r="J1410" s="40">
        <v>0</v>
      </c>
      <c r="K1410" s="40">
        <v>0</v>
      </c>
      <c r="L1410" s="40">
        <v>0</v>
      </c>
      <c r="M1410" s="40">
        <v>0</v>
      </c>
      <c r="N1410" s="40">
        <v>1</v>
      </c>
      <c r="O1410" s="40">
        <v>0</v>
      </c>
      <c r="P1410" s="40">
        <v>0</v>
      </c>
      <c r="Q1410" s="40">
        <v>0</v>
      </c>
      <c r="R1410" s="40">
        <v>0</v>
      </c>
      <c r="S1410" s="40">
        <v>0</v>
      </c>
      <c r="T1410" s="29">
        <f t="array" aca="1" ref="T1410" ca="1">+fair_value_gap(OFFSET(S1409,0,0,-1*$I$5,-1*$Z$1),OFFSET(E1409,0,0,-1*$I$5,1),F1410:S1410,0)</f>
        <v>15.216849391635904</v>
      </c>
      <c r="U1410" s="9" cm="1">
        <f t="array" aca="1" ref="U1410" ca="1">z_score_diff(OFFSET(T1410,0,0,$I$5*-1,1),OFFSET(E1410,0,0,$I$5*-1,1))</f>
        <v>7.640434433674459E-3</v>
      </c>
      <c r="V1410" s="9">
        <f t="shared" ca="1" si="175"/>
        <v>-8.1760725103934798E-2</v>
      </c>
      <c r="W1410" s="17">
        <f t="shared" ca="1" si="172"/>
        <v>1.0701608877692573E-2</v>
      </c>
      <c r="X1410" s="13">
        <f t="shared" ca="1" si="173"/>
        <v>0</v>
      </c>
      <c r="Y1410" s="13">
        <f t="shared" ca="1" si="174"/>
        <v>0</v>
      </c>
      <c r="Z1410">
        <f t="shared" ca="1" si="176"/>
        <v>1</v>
      </c>
      <c r="AA1410">
        <f t="shared" ca="1" si="177"/>
        <v>0</v>
      </c>
      <c r="AB1410" s="24">
        <f t="shared" ca="1" si="178"/>
        <v>1.0701608877692573E-2</v>
      </c>
      <c r="AC1410" s="24">
        <f t="shared" ca="1" si="179"/>
        <v>0</v>
      </c>
    </row>
    <row r="1411" spans="3:29" x14ac:dyDescent="0.25">
      <c r="C1411" s="6">
        <v>1404</v>
      </c>
      <c r="D1411" s="37">
        <v>44006</v>
      </c>
      <c r="E1411" s="39">
        <v>14.930999999999999</v>
      </c>
      <c r="F1411" s="39">
        <v>2.3738049830605417</v>
      </c>
      <c r="G1411" s="39">
        <v>44.712126729191475</v>
      </c>
      <c r="H1411" s="39">
        <v>57.327478064673457</v>
      </c>
      <c r="I1411" s="10">
        <v>0</v>
      </c>
      <c r="J1411" s="40">
        <v>0</v>
      </c>
      <c r="K1411" s="40">
        <v>0</v>
      </c>
      <c r="L1411" s="40">
        <v>0</v>
      </c>
      <c r="M1411" s="40">
        <v>0</v>
      </c>
      <c r="N1411" s="40">
        <v>1</v>
      </c>
      <c r="O1411" s="40">
        <v>0</v>
      </c>
      <c r="P1411" s="40">
        <v>0</v>
      </c>
      <c r="Q1411" s="40">
        <v>0</v>
      </c>
      <c r="R1411" s="40">
        <v>0</v>
      </c>
      <c r="S1411" s="40">
        <v>0</v>
      </c>
      <c r="T1411" s="29">
        <f t="array" aca="1" ref="T1411" ca="1">+fair_value_gap(OFFSET(S1410,0,0,-1*$I$5,-1*$Z$1),OFFSET(E1410,0,0,-1*$I$5,1),F1411:S1411,0)</f>
        <v>15.05644790331163</v>
      </c>
      <c r="U1411" s="9" cm="1">
        <f t="array" aca="1" ref="U1411" ca="1">z_score_diff(OFFSET(T1411,0,0,$I$5*-1,1),OFFSET(E1411,0,0,$I$5*-1,1))</f>
        <v>2.8486437250844876E-2</v>
      </c>
      <c r="V1411" s="9">
        <f t="shared" ca="1" si="175"/>
        <v>-8.0726061011147557E-2</v>
      </c>
      <c r="W1411" s="17">
        <f t="shared" ca="1" si="172"/>
        <v>1.811896258247556E-2</v>
      </c>
      <c r="X1411" s="13">
        <f t="shared" ca="1" si="173"/>
        <v>0</v>
      </c>
      <c r="Y1411" s="13">
        <f t="shared" ca="1" si="174"/>
        <v>0</v>
      </c>
      <c r="Z1411">
        <f t="shared" ca="1" si="176"/>
        <v>1</v>
      </c>
      <c r="AA1411">
        <f t="shared" ca="1" si="177"/>
        <v>0</v>
      </c>
      <c r="AB1411" s="24">
        <f t="shared" ca="1" si="178"/>
        <v>1.811896258247556E-2</v>
      </c>
      <c r="AC1411" s="24">
        <f t="shared" ca="1" si="179"/>
        <v>0</v>
      </c>
    </row>
    <row r="1412" spans="3:29" x14ac:dyDescent="0.25">
      <c r="C1412" s="6">
        <v>1405</v>
      </c>
      <c r="D1412" s="37">
        <v>44007</v>
      </c>
      <c r="E1412" s="39">
        <v>14.771000000000001</v>
      </c>
      <c r="F1412" s="39">
        <v>2.3767940393526668</v>
      </c>
      <c r="G1412" s="39">
        <v>44.00643921781927</v>
      </c>
      <c r="H1412" s="39">
        <v>57.967365737545592</v>
      </c>
      <c r="I1412" s="10">
        <v>0</v>
      </c>
      <c r="J1412" s="40">
        <v>0</v>
      </c>
      <c r="K1412" s="40">
        <v>0</v>
      </c>
      <c r="L1412" s="40">
        <v>0</v>
      </c>
      <c r="M1412" s="40">
        <v>0</v>
      </c>
      <c r="N1412" s="40">
        <v>1</v>
      </c>
      <c r="O1412" s="40">
        <v>0</v>
      </c>
      <c r="P1412" s="40">
        <v>0</v>
      </c>
      <c r="Q1412" s="40">
        <v>0</v>
      </c>
      <c r="R1412" s="40">
        <v>0</v>
      </c>
      <c r="S1412" s="40">
        <v>0</v>
      </c>
      <c r="T1412" s="29">
        <f t="array" aca="1" ref="T1412" ca="1">+fair_value_gap(OFFSET(S1411,0,0,-1*$I$5,-1*$Z$1),OFFSET(E1411,0,0,-1*$I$5,1),F1412:S1412,0)</f>
        <v>14.834190250699447</v>
      </c>
      <c r="U1412" s="9" cm="1">
        <f t="array" aca="1" ref="U1412" ca="1">z_score_diff(OFFSET(T1412,0,0,$I$5*-1,1),OFFSET(E1412,0,0,$I$5*-1,1))</f>
        <v>3.3255299206307321E-3</v>
      </c>
      <c r="V1412" s="9">
        <f t="shared" ca="1" si="175"/>
        <v>-8.0148143504705852E-2</v>
      </c>
      <c r="W1412" s="17">
        <f t="shared" ca="1" si="172"/>
        <v>3.230706923965513E-2</v>
      </c>
      <c r="X1412" s="13">
        <f t="shared" ca="1" si="173"/>
        <v>0</v>
      </c>
      <c r="Y1412" s="13">
        <f t="shared" ca="1" si="174"/>
        <v>0</v>
      </c>
      <c r="Z1412">
        <f t="shared" ca="1" si="176"/>
        <v>1</v>
      </c>
      <c r="AA1412">
        <f t="shared" ca="1" si="177"/>
        <v>0</v>
      </c>
      <c r="AB1412" s="24">
        <f t="shared" ca="1" si="178"/>
        <v>3.230706923965513E-2</v>
      </c>
      <c r="AC1412" s="24">
        <f t="shared" ca="1" si="179"/>
        <v>0</v>
      </c>
    </row>
    <row r="1413" spans="3:29" x14ac:dyDescent="0.25">
      <c r="C1413" s="6">
        <v>1406</v>
      </c>
      <c r="D1413" s="37">
        <v>44008</v>
      </c>
      <c r="E1413" s="39">
        <v>14.887</v>
      </c>
      <c r="F1413" s="39">
        <v>2.3830539170348755</v>
      </c>
      <c r="G1413" s="39">
        <v>44.129848240359053</v>
      </c>
      <c r="H1413" s="39">
        <v>57.992338675257862</v>
      </c>
      <c r="I1413" s="10">
        <v>0</v>
      </c>
      <c r="J1413" s="40">
        <v>0</v>
      </c>
      <c r="K1413" s="40">
        <v>0</v>
      </c>
      <c r="L1413" s="40">
        <v>0</v>
      </c>
      <c r="M1413" s="40">
        <v>0</v>
      </c>
      <c r="N1413" s="40">
        <v>1</v>
      </c>
      <c r="O1413" s="40">
        <v>0</v>
      </c>
      <c r="P1413" s="40">
        <v>0</v>
      </c>
      <c r="Q1413" s="40">
        <v>0</v>
      </c>
      <c r="R1413" s="40">
        <v>0</v>
      </c>
      <c r="S1413" s="40">
        <v>0</v>
      </c>
      <c r="T1413" s="29">
        <f t="array" aca="1" ref="T1413" ca="1">+fair_value_gap(OFFSET(S1412,0,0,-1*$I$5,-1*$Z$1),OFFSET(E1412,0,0,-1*$I$5,1),F1413:S1413,0)</f>
        <v>14.870654640022481</v>
      </c>
      <c r="U1413" s="9" cm="1">
        <f t="array" aca="1" ref="U1413" ca="1">z_score_diff(OFFSET(T1413,0,0,$I$5*-1,1),OFFSET(E1413,0,0,$I$5*-1,1))</f>
        <v>-2.6895322937092958E-2</v>
      </c>
      <c r="V1413" s="9">
        <f t="shared" ca="1" si="175"/>
        <v>-8.0413525875874109E-2</v>
      </c>
      <c r="W1413" s="17">
        <f t="shared" ca="1" si="172"/>
        <v>3.3619386526579573E-2</v>
      </c>
      <c r="X1413" s="13">
        <f t="shared" ca="1" si="173"/>
        <v>0</v>
      </c>
      <c r="Y1413" s="13">
        <f t="shared" ca="1" si="174"/>
        <v>0</v>
      </c>
      <c r="Z1413">
        <f t="shared" ca="1" si="176"/>
        <v>1</v>
      </c>
      <c r="AA1413">
        <f t="shared" ca="1" si="177"/>
        <v>0</v>
      </c>
      <c r="AB1413" s="24">
        <f t="shared" ca="1" si="178"/>
        <v>3.3619386526579573E-2</v>
      </c>
      <c r="AC1413" s="24">
        <f t="shared" ca="1" si="179"/>
        <v>0</v>
      </c>
    </row>
    <row r="1414" spans="3:29" x14ac:dyDescent="0.25">
      <c r="C1414" s="6">
        <v>1407</v>
      </c>
      <c r="D1414" s="37">
        <v>44011</v>
      </c>
      <c r="E1414" s="39">
        <v>15.068</v>
      </c>
      <c r="F1414" s="39">
        <v>2.4775817957941753</v>
      </c>
      <c r="G1414" s="39">
        <v>45.194629534094311</v>
      </c>
      <c r="H1414" s="39">
        <v>60.379520883667922</v>
      </c>
      <c r="I1414" s="10">
        <v>0</v>
      </c>
      <c r="J1414" s="40">
        <v>0</v>
      </c>
      <c r="K1414" s="40">
        <v>0</v>
      </c>
      <c r="L1414" s="40">
        <v>0</v>
      </c>
      <c r="M1414" s="40">
        <v>0</v>
      </c>
      <c r="N1414" s="40">
        <v>1</v>
      </c>
      <c r="O1414" s="40">
        <v>0</v>
      </c>
      <c r="P1414" s="40">
        <v>0</v>
      </c>
      <c r="Q1414" s="40">
        <v>0</v>
      </c>
      <c r="R1414" s="40">
        <v>0</v>
      </c>
      <c r="S1414" s="40">
        <v>0</v>
      </c>
      <c r="T1414" s="29">
        <f t="array" aca="1" ref="T1414" ca="1">+fair_value_gap(OFFSET(S1413,0,0,-1*$I$5,-1*$Z$1),OFFSET(E1413,0,0,-1*$I$5,1),F1414:S1414,0)</f>
        <v>15.256929964770006</v>
      </c>
      <c r="U1414" s="9" cm="1">
        <f t="array" aca="1" ref="U1414" ca="1">z_score_diff(OFFSET(T1414,0,0,$I$5*-1,1),OFFSET(E1414,0,0,$I$5*-1,1))</f>
        <v>5.4022314185568798E-2</v>
      </c>
      <c r="V1414" s="9">
        <f t="shared" ca="1" si="175"/>
        <v>-7.7449083231499447E-2</v>
      </c>
      <c r="W1414" s="17">
        <f t="shared" ca="1" si="172"/>
        <v>2.12096331680224E-2</v>
      </c>
      <c r="X1414" s="13">
        <f t="shared" ca="1" si="173"/>
        <v>0</v>
      </c>
      <c r="Y1414" s="13">
        <f t="shared" ca="1" si="174"/>
        <v>0</v>
      </c>
      <c r="Z1414">
        <f t="shared" ca="1" si="176"/>
        <v>1</v>
      </c>
      <c r="AA1414">
        <f t="shared" ca="1" si="177"/>
        <v>0</v>
      </c>
      <c r="AB1414" s="24">
        <f t="shared" ca="1" si="178"/>
        <v>2.12096331680224E-2</v>
      </c>
      <c r="AC1414" s="24">
        <f t="shared" ca="1" si="179"/>
        <v>0</v>
      </c>
    </row>
    <row r="1415" spans="3:29" x14ac:dyDescent="0.25">
      <c r="C1415" s="6">
        <v>1408</v>
      </c>
      <c r="D1415" s="37">
        <v>44012</v>
      </c>
      <c r="E1415" s="39">
        <v>15.221</v>
      </c>
      <c r="F1415" s="39">
        <v>2.4870329670329672</v>
      </c>
      <c r="G1415" s="39">
        <v>49.045380366763695</v>
      </c>
      <c r="H1415" s="39">
        <v>59.956043956043963</v>
      </c>
      <c r="I1415" s="10">
        <v>0</v>
      </c>
      <c r="J1415" s="40">
        <v>0</v>
      </c>
      <c r="K1415" s="40">
        <v>0</v>
      </c>
      <c r="L1415" s="40">
        <v>0</v>
      </c>
      <c r="M1415" s="40">
        <v>0</v>
      </c>
      <c r="N1415" s="40">
        <v>1</v>
      </c>
      <c r="O1415" s="40">
        <v>0</v>
      </c>
      <c r="P1415" s="40">
        <v>0</v>
      </c>
      <c r="Q1415" s="40">
        <v>0</v>
      </c>
      <c r="R1415" s="40">
        <v>0</v>
      </c>
      <c r="S1415" s="40">
        <v>0</v>
      </c>
      <c r="T1415" s="29">
        <f t="array" aca="1" ref="T1415" ca="1">+fair_value_gap(OFFSET(S1414,0,0,-1*$I$5,-1*$Z$1),OFFSET(E1414,0,0,-1*$I$5,1),F1415:S1415,0)</f>
        <v>16.486102385632808</v>
      </c>
      <c r="U1415" s="9" cm="1">
        <f t="array" aca="1" ref="U1415" ca="1">z_score_diff(OFFSET(T1415,0,0,$I$5*-1,1),OFFSET(E1415,0,0,$I$5*-1,1))</f>
        <v>0.47672278316706251</v>
      </c>
      <c r="V1415" s="9">
        <f t="shared" ca="1" si="175"/>
        <v>-6.1939507408408263E-2</v>
      </c>
      <c r="W1415" s="17">
        <f t="shared" ref="W1415:W1478" ca="1" si="180">+LN(OFFSET(E1415,$W$3,0,1,1)/E1415)</f>
        <v>1.7647708354976133E-2</v>
      </c>
      <c r="X1415" s="13">
        <f t="shared" ca="1" si="173"/>
        <v>0</v>
      </c>
      <c r="Y1415" s="13">
        <f t="shared" ca="1" si="174"/>
        <v>0</v>
      </c>
      <c r="Z1415">
        <f t="shared" ca="1" si="176"/>
        <v>1</v>
      </c>
      <c r="AA1415">
        <f t="shared" ca="1" si="177"/>
        <v>0</v>
      </c>
      <c r="AB1415" s="24">
        <f t="shared" ca="1" si="178"/>
        <v>1.7647708354976133E-2</v>
      </c>
      <c r="AC1415" s="24">
        <f t="shared" ca="1" si="179"/>
        <v>0</v>
      </c>
    </row>
    <row r="1416" spans="3:29" x14ac:dyDescent="0.25">
      <c r="C1416" s="6">
        <v>1409</v>
      </c>
      <c r="D1416" s="37">
        <v>44013</v>
      </c>
      <c r="E1416" s="39">
        <v>15.132999999999999</v>
      </c>
      <c r="F1416" s="39">
        <v>2.49582200099587</v>
      </c>
      <c r="G1416" s="39">
        <v>49.167773628274055</v>
      </c>
      <c r="H1416" s="39">
        <v>59.058419974304094</v>
      </c>
      <c r="I1416" s="10">
        <v>0</v>
      </c>
      <c r="J1416" s="40">
        <v>0</v>
      </c>
      <c r="K1416" s="40">
        <v>0</v>
      </c>
      <c r="L1416" s="40">
        <v>0</v>
      </c>
      <c r="M1416" s="40">
        <v>0</v>
      </c>
      <c r="N1416" s="40">
        <v>0</v>
      </c>
      <c r="O1416" s="40">
        <v>1</v>
      </c>
      <c r="P1416" s="40">
        <v>0</v>
      </c>
      <c r="Q1416" s="40">
        <v>0</v>
      </c>
      <c r="R1416" s="40">
        <v>0</v>
      </c>
      <c r="S1416" s="40">
        <v>0</v>
      </c>
      <c r="T1416" s="29">
        <f t="array" aca="1" ref="T1416" ca="1">+fair_value_gap(OFFSET(S1415,0,0,-1*$I$5,-1*$Z$1),OFFSET(E1415,0,0,-1*$I$5,1),F1416:S1416,0)</f>
        <v>15.746215368334891</v>
      </c>
      <c r="U1416" s="9" cm="1">
        <f t="array" aca="1" ref="U1416" ca="1">z_score_diff(OFFSET(T1416,0,0,$I$5*-1,1),OFFSET(E1416,0,0,$I$5*-1,1))</f>
        <v>0.22004657869390215</v>
      </c>
      <c r="V1416" s="9">
        <f t="shared" ca="1" si="175"/>
        <v>-5.516629223576424E-2</v>
      </c>
      <c r="W1416" s="17">
        <f t="shared" ca="1" si="180"/>
        <v>2.2929443010512696E-2</v>
      </c>
      <c r="X1416" s="13">
        <f t="shared" ca="1" si="173"/>
        <v>0</v>
      </c>
      <c r="Y1416" s="13">
        <f t="shared" ca="1" si="174"/>
        <v>0</v>
      </c>
      <c r="Z1416">
        <f t="shared" ca="1" si="176"/>
        <v>1</v>
      </c>
      <c r="AA1416">
        <f t="shared" ca="1" si="177"/>
        <v>0</v>
      </c>
      <c r="AB1416" s="24">
        <f t="shared" ca="1" si="178"/>
        <v>2.2929443010512696E-2</v>
      </c>
      <c r="AC1416" s="24">
        <f t="shared" ca="1" si="179"/>
        <v>0</v>
      </c>
    </row>
    <row r="1417" spans="3:29" x14ac:dyDescent="0.25">
      <c r="C1417" s="6">
        <v>1410</v>
      </c>
      <c r="D1417" s="37">
        <v>44014</v>
      </c>
      <c r="E1417" s="39">
        <v>15.252000000000001</v>
      </c>
      <c r="F1417" s="39">
        <v>2.4963982423246738</v>
      </c>
      <c r="G1417" s="39">
        <v>49.41616087815742</v>
      </c>
      <c r="H1417" s="39">
        <v>58.849951522407373</v>
      </c>
      <c r="I1417" s="10">
        <v>0</v>
      </c>
      <c r="J1417" s="40">
        <v>0</v>
      </c>
      <c r="K1417" s="40">
        <v>0</v>
      </c>
      <c r="L1417" s="40">
        <v>0</v>
      </c>
      <c r="M1417" s="40">
        <v>0</v>
      </c>
      <c r="N1417" s="40">
        <v>0</v>
      </c>
      <c r="O1417" s="40">
        <v>1</v>
      </c>
      <c r="P1417" s="40">
        <v>0</v>
      </c>
      <c r="Q1417" s="40">
        <v>0</v>
      </c>
      <c r="R1417" s="40">
        <v>0</v>
      </c>
      <c r="S1417" s="40">
        <v>0</v>
      </c>
      <c r="T1417" s="29">
        <f t="array" aca="1" ref="T1417" ca="1">+fair_value_gap(OFFSET(S1416,0,0,-1*$I$5,-1*$Z$1),OFFSET(E1416,0,0,-1*$I$5,1),F1417:S1417,0)</f>
        <v>15.629092317147283</v>
      </c>
      <c r="U1417" s="9" cm="1">
        <f t="array" aca="1" ref="U1417" ca="1">z_score_diff(OFFSET(T1417,0,0,$I$5*-1,1),OFFSET(E1417,0,0,$I$5*-1,1))</f>
        <v>0.12735603640708132</v>
      </c>
      <c r="V1417" s="9">
        <f t="shared" ca="1" si="175"/>
        <v>-5.0097458320210841E-2</v>
      </c>
      <c r="W1417" s="17">
        <f t="shared" ca="1" si="180"/>
        <v>1.9349996629925828E-2</v>
      </c>
      <c r="X1417" s="13">
        <f t="shared" ref="X1417:X1480" ca="1" si="181">+X1416</f>
        <v>0</v>
      </c>
      <c r="Y1417" s="13">
        <f t="shared" ref="Y1417:Y1480" ca="1" si="182">+Y1416</f>
        <v>0</v>
      </c>
      <c r="Z1417">
        <f t="shared" ca="1" si="176"/>
        <v>1</v>
      </c>
      <c r="AA1417">
        <f t="shared" ca="1" si="177"/>
        <v>0</v>
      </c>
      <c r="AB1417" s="24">
        <f t="shared" ca="1" si="178"/>
        <v>1.9349996629925828E-2</v>
      </c>
      <c r="AC1417" s="24">
        <f t="shared" ca="1" si="179"/>
        <v>0</v>
      </c>
    </row>
    <row r="1418" spans="3:29" x14ac:dyDescent="0.25">
      <c r="C1418" s="6">
        <v>1411</v>
      </c>
      <c r="D1418" s="37">
        <v>44015</v>
      </c>
      <c r="E1418" s="39">
        <v>15.397</v>
      </c>
      <c r="F1418" s="39">
        <v>2.4935575779126991</v>
      </c>
      <c r="G1418" s="39">
        <v>49.63761897846836</v>
      </c>
      <c r="H1418" s="39">
        <v>58.87078718276284</v>
      </c>
      <c r="I1418" s="10">
        <v>0</v>
      </c>
      <c r="J1418" s="40">
        <v>0</v>
      </c>
      <c r="K1418" s="40">
        <v>0</v>
      </c>
      <c r="L1418" s="40">
        <v>0</v>
      </c>
      <c r="M1418" s="40">
        <v>0</v>
      </c>
      <c r="N1418" s="40">
        <v>0</v>
      </c>
      <c r="O1418" s="40">
        <v>1</v>
      </c>
      <c r="P1418" s="40">
        <v>0</v>
      </c>
      <c r="Q1418" s="40">
        <v>0</v>
      </c>
      <c r="R1418" s="40">
        <v>0</v>
      </c>
      <c r="S1418" s="40">
        <v>0</v>
      </c>
      <c r="T1418" s="29">
        <f t="array" aca="1" ref="T1418" ca="1">+fair_value_gap(OFFSET(S1417,0,0,-1*$I$5,-1*$Z$1),OFFSET(E1417,0,0,-1*$I$5,1),F1418:S1418,0)</f>
        <v>15.610650382618196</v>
      </c>
      <c r="U1418" s="9" cm="1">
        <f t="array" aca="1" ref="U1418" ca="1">z_score_diff(OFFSET(T1418,0,0,$I$5*-1,1),OFFSET(E1418,0,0,$I$5*-1,1))</f>
        <v>6.2725257399675133E-2</v>
      </c>
      <c r="V1418" s="9">
        <f t="shared" ca="1" si="175"/>
        <v>-4.6417274152186952E-2</v>
      </c>
      <c r="W1418" s="17">
        <f t="shared" ca="1" si="180"/>
        <v>-5.8470035773307305E-4</v>
      </c>
      <c r="X1418" s="13">
        <f t="shared" ca="1" si="181"/>
        <v>0</v>
      </c>
      <c r="Y1418" s="13">
        <f t="shared" ca="1" si="182"/>
        <v>0</v>
      </c>
      <c r="Z1418">
        <f t="shared" ca="1" si="176"/>
        <v>1</v>
      </c>
      <c r="AA1418">
        <f t="shared" ca="1" si="177"/>
        <v>0</v>
      </c>
      <c r="AB1418" s="24">
        <f t="shared" ca="1" si="178"/>
        <v>-5.8470035773307305E-4</v>
      </c>
      <c r="AC1418" s="24">
        <f t="shared" ca="1" si="179"/>
        <v>0</v>
      </c>
    </row>
    <row r="1419" spans="3:29" x14ac:dyDescent="0.25">
      <c r="C1419" s="6">
        <v>1412</v>
      </c>
      <c r="D1419" s="37">
        <v>44018</v>
      </c>
      <c r="E1419" s="39">
        <v>15.692</v>
      </c>
      <c r="F1419" s="39">
        <v>2.4676546017043059</v>
      </c>
      <c r="G1419" s="39">
        <v>50.688018201308218</v>
      </c>
      <c r="H1419" s="39">
        <v>58.722495387337077</v>
      </c>
      <c r="I1419" s="10">
        <v>0</v>
      </c>
      <c r="J1419" s="40">
        <v>0</v>
      </c>
      <c r="K1419" s="40">
        <v>0</v>
      </c>
      <c r="L1419" s="40">
        <v>0</v>
      </c>
      <c r="M1419" s="40">
        <v>0</v>
      </c>
      <c r="N1419" s="40">
        <v>0</v>
      </c>
      <c r="O1419" s="40">
        <v>1</v>
      </c>
      <c r="P1419" s="40">
        <v>0</v>
      </c>
      <c r="Q1419" s="40">
        <v>0</v>
      </c>
      <c r="R1419" s="40">
        <v>0</v>
      </c>
      <c r="S1419" s="40">
        <v>0</v>
      </c>
      <c r="T1419" s="29">
        <f t="array" aca="1" ref="T1419" ca="1">+fair_value_gap(OFFSET(S1418,0,0,-1*$I$5,-1*$Z$1),OFFSET(E1418,0,0,-1*$I$5,1),F1419:S1419,0)</f>
        <v>15.923438267094522</v>
      </c>
      <c r="U1419" s="9" cm="1">
        <f t="array" aca="1" ref="U1419" ca="1">z_score_diff(OFFSET(T1419,0,0,$I$5*-1,1),OFFSET(E1419,0,0,$I$5*-1,1))</f>
        <v>7.0973873874986548E-2</v>
      </c>
      <c r="V1419" s="9">
        <f t="shared" ref="V1419:V1482" ca="1" si="183">+IF(ISERROR(AVERAGE(OFFSET(U1419,0,0,$V$5*-1,1))),"",AVERAGE(OFFSET(U1419,0,0,$V$5*-1,1)))</f>
        <v>-4.1726344110159158E-2</v>
      </c>
      <c r="W1419" s="17">
        <f t="shared" ca="1" si="180"/>
        <v>6.3706442875772541E-4</v>
      </c>
      <c r="X1419" s="13">
        <f t="shared" ca="1" si="181"/>
        <v>0</v>
      </c>
      <c r="Y1419" s="13">
        <f t="shared" ca="1" si="182"/>
        <v>0</v>
      </c>
      <c r="Z1419">
        <f t="shared" ref="Z1419:Z1482" ca="1" si="184">+IF(V1419="","",IF(V1419&lt;X1419,1,0))</f>
        <v>1</v>
      </c>
      <c r="AA1419">
        <f t="shared" ref="AA1419:AA1482" ca="1" si="185">+IF(V1419="","",IF(V1419&gt;Y1419,1,0))</f>
        <v>0</v>
      </c>
      <c r="AB1419" s="24">
        <f t="shared" ref="AB1419:AB1482" ca="1" si="186">+IF(ISERROR(Z1419*W1419),"",Z1419*W1419)</f>
        <v>6.3706442875772541E-4</v>
      </c>
      <c r="AC1419" s="24">
        <f t="shared" ref="AC1419:AC1482" ca="1" si="187">+IF(ISERROR(AA1419*W1419),"",AA1419*W1419)</f>
        <v>0</v>
      </c>
    </row>
    <row r="1420" spans="3:29" x14ac:dyDescent="0.25">
      <c r="C1420" s="6">
        <v>1413</v>
      </c>
      <c r="D1420" s="37">
        <v>44019</v>
      </c>
      <c r="E1420" s="39">
        <v>15.833</v>
      </c>
      <c r="F1420" s="39">
        <v>2.4908902457508986</v>
      </c>
      <c r="G1420" s="39">
        <v>51.466463592711818</v>
      </c>
      <c r="H1420" s="39">
        <v>59.096217754448865</v>
      </c>
      <c r="I1420" s="10">
        <v>0</v>
      </c>
      <c r="J1420" s="40">
        <v>0</v>
      </c>
      <c r="K1420" s="40">
        <v>0</v>
      </c>
      <c r="L1420" s="40">
        <v>0</v>
      </c>
      <c r="M1420" s="40">
        <v>0</v>
      </c>
      <c r="N1420" s="40">
        <v>0</v>
      </c>
      <c r="O1420" s="40">
        <v>1</v>
      </c>
      <c r="P1420" s="40">
        <v>0</v>
      </c>
      <c r="Q1420" s="40">
        <v>0</v>
      </c>
      <c r="R1420" s="40">
        <v>0</v>
      </c>
      <c r="S1420" s="40">
        <v>0</v>
      </c>
      <c r="T1420" s="29">
        <f t="array" aca="1" ref="T1420" ca="1">+fair_value_gap(OFFSET(S1419,0,0,-1*$I$5,-1*$Z$1),OFFSET(E1419,0,0,-1*$I$5,1),F1420:S1420,0)</f>
        <v>16.137781593600078</v>
      </c>
      <c r="U1420" s="9" cm="1">
        <f t="array" aca="1" ref="U1420" ca="1">z_score_diff(OFFSET(T1420,0,0,$I$5*-1,1),OFFSET(E1420,0,0,$I$5*-1,1))</f>
        <v>0.1015130887348972</v>
      </c>
      <c r="V1420" s="9">
        <f t="shared" ca="1" si="183"/>
        <v>-3.6041675567056425E-2</v>
      </c>
      <c r="W1420" s="17">
        <f t="shared" ca="1" si="180"/>
        <v>7.1743542465379732E-3</v>
      </c>
      <c r="X1420" s="13">
        <f t="shared" ca="1" si="181"/>
        <v>0</v>
      </c>
      <c r="Y1420" s="13">
        <f t="shared" ca="1" si="182"/>
        <v>0</v>
      </c>
      <c r="Z1420">
        <f t="shared" ca="1" si="184"/>
        <v>1</v>
      </c>
      <c r="AA1420">
        <f t="shared" ca="1" si="185"/>
        <v>0</v>
      </c>
      <c r="AB1420" s="24">
        <f t="shared" ca="1" si="186"/>
        <v>7.1743542465379732E-3</v>
      </c>
      <c r="AC1420" s="24">
        <f t="shared" ca="1" si="187"/>
        <v>0</v>
      </c>
    </row>
    <row r="1421" spans="3:29" x14ac:dyDescent="0.25">
      <c r="C1421" s="6">
        <v>1414</v>
      </c>
      <c r="D1421" s="37">
        <v>44020</v>
      </c>
      <c r="E1421" s="39">
        <v>15.833</v>
      </c>
      <c r="F1421" s="39">
        <v>2.4889587870270762</v>
      </c>
      <c r="G1421" s="39">
        <v>51.567481607855541</v>
      </c>
      <c r="H1421" s="39">
        <v>58.627838328396102</v>
      </c>
      <c r="I1421" s="10">
        <v>0</v>
      </c>
      <c r="J1421" s="40">
        <v>0</v>
      </c>
      <c r="K1421" s="40">
        <v>0</v>
      </c>
      <c r="L1421" s="40">
        <v>0</v>
      </c>
      <c r="M1421" s="40">
        <v>0</v>
      </c>
      <c r="N1421" s="40">
        <v>0</v>
      </c>
      <c r="O1421" s="40">
        <v>1</v>
      </c>
      <c r="P1421" s="40">
        <v>0</v>
      </c>
      <c r="Q1421" s="40">
        <v>0</v>
      </c>
      <c r="R1421" s="40">
        <v>0</v>
      </c>
      <c r="S1421" s="40">
        <v>0</v>
      </c>
      <c r="T1421" s="29">
        <f t="array" aca="1" ref="T1421" ca="1">+fair_value_gap(OFFSET(S1420,0,0,-1*$I$5,-1*$Z$1),OFFSET(E1420,0,0,-1*$I$5,1),F1421:S1421,0)</f>
        <v>16.117387478160989</v>
      </c>
      <c r="U1421" s="9" cm="1">
        <f t="array" aca="1" ref="U1421" ca="1">z_score_diff(OFFSET(T1421,0,0,$I$5*-1,1),OFFSET(E1421,0,0,$I$5*-1,1))</f>
        <v>9.3207979958958409E-2</v>
      </c>
      <c r="V1421" s="9">
        <f t="shared" ca="1" si="183"/>
        <v>-2.9777448108005908E-2</v>
      </c>
      <c r="W1421" s="17">
        <f t="shared" ca="1" si="180"/>
        <v>1.8150454462305704E-2</v>
      </c>
      <c r="X1421" s="13">
        <f t="shared" ca="1" si="181"/>
        <v>0</v>
      </c>
      <c r="Y1421" s="13">
        <f t="shared" ca="1" si="182"/>
        <v>0</v>
      </c>
      <c r="Z1421">
        <f t="shared" ca="1" si="184"/>
        <v>1</v>
      </c>
      <c r="AA1421">
        <f t="shared" ca="1" si="185"/>
        <v>0</v>
      </c>
      <c r="AB1421" s="24">
        <f t="shared" ca="1" si="186"/>
        <v>1.8150454462305704E-2</v>
      </c>
      <c r="AC1421" s="24">
        <f t="shared" ca="1" si="187"/>
        <v>0</v>
      </c>
    </row>
    <row r="1422" spans="3:29" x14ac:dyDescent="0.25">
      <c r="C1422" s="6">
        <v>1415</v>
      </c>
      <c r="D1422" s="37">
        <v>44021</v>
      </c>
      <c r="E1422" s="39">
        <v>15.773</v>
      </c>
      <c r="F1422" s="39">
        <v>2.4812700880877148</v>
      </c>
      <c r="G1422" s="39">
        <v>51.28284598210579</v>
      </c>
      <c r="H1422" s="39">
        <v>58.22316896888956</v>
      </c>
      <c r="I1422" s="10">
        <v>0</v>
      </c>
      <c r="J1422" s="40">
        <v>0</v>
      </c>
      <c r="K1422" s="40">
        <v>0</v>
      </c>
      <c r="L1422" s="40">
        <v>0</v>
      </c>
      <c r="M1422" s="40">
        <v>0</v>
      </c>
      <c r="N1422" s="40">
        <v>0</v>
      </c>
      <c r="O1422" s="40">
        <v>1</v>
      </c>
      <c r="P1422" s="40">
        <v>0</v>
      </c>
      <c r="Q1422" s="40">
        <v>0</v>
      </c>
      <c r="R1422" s="40">
        <v>0</v>
      </c>
      <c r="S1422" s="40">
        <v>0</v>
      </c>
      <c r="T1422" s="29">
        <f t="array" aca="1" ref="T1422" ca="1">+fair_value_gap(OFFSET(S1421,0,0,-1*$I$5,-1*$Z$1),OFFSET(E1421,0,0,-1*$I$5,1),F1422:S1422,0)</f>
        <v>15.976697676783086</v>
      </c>
      <c r="U1422" s="9" cm="1">
        <f t="array" aca="1" ref="U1422" ca="1">z_score_diff(OFFSET(T1422,0,0,$I$5*-1,1),OFFSET(E1422,0,0,$I$5*-1,1))</f>
        <v>5.9830716912124521E-2</v>
      </c>
      <c r="V1422" s="9">
        <f t="shared" ca="1" si="183"/>
        <v>-2.5897851490302007E-2</v>
      </c>
      <c r="W1422" s="17">
        <f t="shared" ca="1" si="180"/>
        <v>1.6287107397117404E-2</v>
      </c>
      <c r="X1422" s="13">
        <f t="shared" ca="1" si="181"/>
        <v>0</v>
      </c>
      <c r="Y1422" s="13">
        <f t="shared" ca="1" si="182"/>
        <v>0</v>
      </c>
      <c r="Z1422">
        <f t="shared" ca="1" si="184"/>
        <v>1</v>
      </c>
      <c r="AA1422">
        <f t="shared" ca="1" si="185"/>
        <v>0</v>
      </c>
      <c r="AB1422" s="24">
        <f t="shared" ca="1" si="186"/>
        <v>1.6287107397117404E-2</v>
      </c>
      <c r="AC1422" s="24">
        <f t="shared" ca="1" si="187"/>
        <v>0</v>
      </c>
    </row>
    <row r="1423" spans="3:29" x14ac:dyDescent="0.25">
      <c r="C1423" s="6">
        <v>1416</v>
      </c>
      <c r="D1423" s="37">
        <v>44022</v>
      </c>
      <c r="E1423" s="39">
        <v>15.673999999999999</v>
      </c>
      <c r="F1423" s="39">
        <v>2.464848152588003</v>
      </c>
      <c r="G1423" s="39">
        <v>51.008660845539403</v>
      </c>
      <c r="H1423" s="39">
        <v>58.320458239666486</v>
      </c>
      <c r="I1423" s="10">
        <v>0</v>
      </c>
      <c r="J1423" s="40">
        <v>0</v>
      </c>
      <c r="K1423" s="40">
        <v>0</v>
      </c>
      <c r="L1423" s="40">
        <v>0</v>
      </c>
      <c r="M1423" s="40">
        <v>0</v>
      </c>
      <c r="N1423" s="40">
        <v>0</v>
      </c>
      <c r="O1423" s="40">
        <v>1</v>
      </c>
      <c r="P1423" s="40">
        <v>0</v>
      </c>
      <c r="Q1423" s="40">
        <v>0</v>
      </c>
      <c r="R1423" s="40">
        <v>0</v>
      </c>
      <c r="S1423" s="40">
        <v>0</v>
      </c>
      <c r="T1423" s="29">
        <f t="array" aca="1" ref="T1423" ca="1">+fair_value_gap(OFFSET(S1422,0,0,-1*$I$5,-1*$Z$1),OFFSET(E1422,0,0,-1*$I$5,1),F1423:S1423,0)</f>
        <v>15.874808670414081</v>
      </c>
      <c r="U1423" s="9" cm="1">
        <f t="array" aca="1" ref="U1423" ca="1">z_score_diff(OFFSET(T1423,0,0,$I$5*-1,1),OFFSET(E1423,0,0,$I$5*-1,1))</f>
        <v>5.8454388829639992E-2</v>
      </c>
      <c r="V1423" s="9">
        <f t="shared" ca="1" si="183"/>
        <v>-2.1205664850544783E-2</v>
      </c>
      <c r="W1423" s="17">
        <f t="shared" ca="1" si="180"/>
        <v>6.8667614681704207E-3</v>
      </c>
      <c r="X1423" s="13">
        <f t="shared" ca="1" si="181"/>
        <v>0</v>
      </c>
      <c r="Y1423" s="13">
        <f t="shared" ca="1" si="182"/>
        <v>0</v>
      </c>
      <c r="Z1423">
        <f t="shared" ca="1" si="184"/>
        <v>1</v>
      </c>
      <c r="AA1423">
        <f t="shared" ca="1" si="185"/>
        <v>0</v>
      </c>
      <c r="AB1423" s="24">
        <f t="shared" ca="1" si="186"/>
        <v>6.8667614681704207E-3</v>
      </c>
      <c r="AC1423" s="24">
        <f t="shared" ca="1" si="187"/>
        <v>0</v>
      </c>
    </row>
    <row r="1424" spans="3:29" x14ac:dyDescent="0.25">
      <c r="C1424" s="6">
        <v>1417</v>
      </c>
      <c r="D1424" s="37">
        <v>44025</v>
      </c>
      <c r="E1424" s="39">
        <v>15.775</v>
      </c>
      <c r="F1424" s="39">
        <v>2.4412442245805335</v>
      </c>
      <c r="G1424" s="39">
        <v>50.672983385636797</v>
      </c>
      <c r="H1424" s="39">
        <v>58.614247703984979</v>
      </c>
      <c r="I1424" s="10">
        <v>0</v>
      </c>
      <c r="J1424" s="40">
        <v>0</v>
      </c>
      <c r="K1424" s="40">
        <v>0</v>
      </c>
      <c r="L1424" s="40">
        <v>0</v>
      </c>
      <c r="M1424" s="40">
        <v>0</v>
      </c>
      <c r="N1424" s="40">
        <v>0</v>
      </c>
      <c r="O1424" s="40">
        <v>1</v>
      </c>
      <c r="P1424" s="40">
        <v>0</v>
      </c>
      <c r="Q1424" s="40">
        <v>0</v>
      </c>
      <c r="R1424" s="40">
        <v>0</v>
      </c>
      <c r="S1424" s="40">
        <v>0</v>
      </c>
      <c r="T1424" s="29">
        <f t="array" aca="1" ref="T1424" ca="1">+fair_value_gap(OFFSET(S1423,0,0,-1*$I$5,-1*$Z$1),OFFSET(E1423,0,0,-1*$I$5,1),F1424:S1424,0)</f>
        <v>15.764501676879426</v>
      </c>
      <c r="U1424" s="9" cm="1">
        <f t="array" aca="1" ref="U1424" ca="1">z_score_diff(OFFSET(T1424,0,0,$I$5*-1,1),OFFSET(E1424,0,0,$I$5*-1,1))</f>
        <v>-2.9757279900116659E-2</v>
      </c>
      <c r="V1424" s="9">
        <f t="shared" ca="1" si="183"/>
        <v>-1.6677201049244694E-2</v>
      </c>
      <c r="W1424" s="17">
        <f t="shared" ca="1" si="180"/>
        <v>-2.7295538577138635E-3</v>
      </c>
      <c r="X1424" s="13">
        <f t="shared" ca="1" si="181"/>
        <v>0</v>
      </c>
      <c r="Y1424" s="13">
        <f t="shared" ca="1" si="182"/>
        <v>0</v>
      </c>
      <c r="Z1424">
        <f t="shared" ca="1" si="184"/>
        <v>1</v>
      </c>
      <c r="AA1424">
        <f t="shared" ca="1" si="185"/>
        <v>0</v>
      </c>
      <c r="AB1424" s="24">
        <f t="shared" ca="1" si="186"/>
        <v>-2.7295538577138635E-3</v>
      </c>
      <c r="AC1424" s="24">
        <f t="shared" ca="1" si="187"/>
        <v>0</v>
      </c>
    </row>
    <row r="1425" spans="3:29" x14ac:dyDescent="0.25">
      <c r="C1425" s="6">
        <v>1418</v>
      </c>
      <c r="D1425" s="37">
        <v>44026</v>
      </c>
      <c r="E1425" s="39">
        <v>15.602</v>
      </c>
      <c r="F1425" s="39">
        <v>2.435492820975238</v>
      </c>
      <c r="G1425" s="39">
        <v>50.439527262066761</v>
      </c>
      <c r="H1425" s="39">
        <v>58.611361587015324</v>
      </c>
      <c r="I1425" s="10">
        <v>0</v>
      </c>
      <c r="J1425" s="40">
        <v>0</v>
      </c>
      <c r="K1425" s="40">
        <v>0</v>
      </c>
      <c r="L1425" s="40">
        <v>0</v>
      </c>
      <c r="M1425" s="40">
        <v>0</v>
      </c>
      <c r="N1425" s="40">
        <v>0</v>
      </c>
      <c r="O1425" s="40">
        <v>1</v>
      </c>
      <c r="P1425" s="40">
        <v>0</v>
      </c>
      <c r="Q1425" s="40">
        <v>0</v>
      </c>
      <c r="R1425" s="40">
        <v>0</v>
      </c>
      <c r="S1425" s="40">
        <v>0</v>
      </c>
      <c r="T1425" s="29">
        <f t="array" aca="1" ref="T1425" ca="1">+fair_value_gap(OFFSET(S1424,0,0,-1*$I$5,-1*$Z$1),OFFSET(E1424,0,0,-1*$I$5,1),F1425:S1425,0)</f>
        <v>15.690430392316076</v>
      </c>
      <c r="U1425" s="9" cm="1">
        <f t="array" aca="1" ref="U1425" ca="1">z_score_diff(OFFSET(T1425,0,0,$I$5*-1,1),OFFSET(E1425,0,0,$I$5*-1,1))</f>
        <v>1.1696859047436912E-2</v>
      </c>
      <c r="V1425" s="9">
        <f t="shared" ca="1" si="183"/>
        <v>-1.4086430328410286E-2</v>
      </c>
      <c r="W1425" s="17">
        <f t="shared" ca="1" si="180"/>
        <v>9.6317121577104564E-3</v>
      </c>
      <c r="X1425" s="13">
        <f t="shared" ca="1" si="181"/>
        <v>0</v>
      </c>
      <c r="Y1425" s="13">
        <f t="shared" ca="1" si="182"/>
        <v>0</v>
      </c>
      <c r="Z1425">
        <f t="shared" ca="1" si="184"/>
        <v>1</v>
      </c>
      <c r="AA1425">
        <f t="shared" ca="1" si="185"/>
        <v>0</v>
      </c>
      <c r="AB1425" s="24">
        <f t="shared" ca="1" si="186"/>
        <v>9.6317121577104564E-3</v>
      </c>
      <c r="AC1425" s="24">
        <f t="shared" ca="1" si="187"/>
        <v>0</v>
      </c>
    </row>
    <row r="1426" spans="3:29" x14ac:dyDescent="0.25">
      <c r="C1426" s="6">
        <v>1419</v>
      </c>
      <c r="D1426" s="37">
        <v>44027</v>
      </c>
      <c r="E1426" s="39">
        <v>15.669</v>
      </c>
      <c r="F1426" s="39">
        <v>2.4421705104231597</v>
      </c>
      <c r="G1426" s="39">
        <v>50.608174425126194</v>
      </c>
      <c r="H1426" s="39">
        <v>58.175773945564103</v>
      </c>
      <c r="I1426" s="10">
        <v>0</v>
      </c>
      <c r="J1426" s="40">
        <v>0</v>
      </c>
      <c r="K1426" s="40">
        <v>0</v>
      </c>
      <c r="L1426" s="40">
        <v>0</v>
      </c>
      <c r="M1426" s="40">
        <v>0</v>
      </c>
      <c r="N1426" s="40">
        <v>0</v>
      </c>
      <c r="O1426" s="40">
        <v>1</v>
      </c>
      <c r="P1426" s="40">
        <v>0</v>
      </c>
      <c r="Q1426" s="40">
        <v>0</v>
      </c>
      <c r="R1426" s="40">
        <v>0</v>
      </c>
      <c r="S1426" s="40">
        <v>0</v>
      </c>
      <c r="T1426" s="29">
        <f t="array" aca="1" ref="T1426" ca="1">+fair_value_gap(OFFSET(S1425,0,0,-1*$I$5,-1*$Z$1),OFFSET(E1425,0,0,-1*$I$5,1),F1426:S1426,0)</f>
        <v>15.721157243425978</v>
      </c>
      <c r="U1426" s="9" cm="1">
        <f t="array" aca="1" ref="U1426" ca="1">z_score_diff(OFFSET(T1426,0,0,$I$5*-1,1),OFFSET(E1426,0,0,$I$5*-1,1))</f>
        <v>-3.3367557353098376E-3</v>
      </c>
      <c r="V1426" s="9">
        <f t="shared" ca="1" si="183"/>
        <v>-1.2316768240707212E-2</v>
      </c>
      <c r="W1426" s="17">
        <f t="shared" ca="1" si="180"/>
        <v>1.0206035203701911E-3</v>
      </c>
      <c r="X1426" s="13">
        <f t="shared" ca="1" si="181"/>
        <v>0</v>
      </c>
      <c r="Y1426" s="13">
        <f t="shared" ca="1" si="182"/>
        <v>0</v>
      </c>
      <c r="Z1426">
        <f t="shared" ca="1" si="184"/>
        <v>1</v>
      </c>
      <c r="AA1426">
        <f t="shared" ca="1" si="185"/>
        <v>0</v>
      </c>
      <c r="AB1426" s="24">
        <f t="shared" ca="1" si="186"/>
        <v>1.0206035203701911E-3</v>
      </c>
      <c r="AC1426" s="24">
        <f t="shared" ca="1" si="187"/>
        <v>0</v>
      </c>
    </row>
    <row r="1427" spans="3:29" x14ac:dyDescent="0.25">
      <c r="C1427" s="6">
        <v>1420</v>
      </c>
      <c r="D1427" s="37">
        <v>44028</v>
      </c>
      <c r="E1427" s="39">
        <v>15.621</v>
      </c>
      <c r="F1427" s="39">
        <v>2.4563839944449271</v>
      </c>
      <c r="G1427" s="39">
        <v>50.390609201696883</v>
      </c>
      <c r="H1427" s="39">
        <v>57.199895842374801</v>
      </c>
      <c r="I1427" s="10">
        <v>0</v>
      </c>
      <c r="J1427" s="40">
        <v>0</v>
      </c>
      <c r="K1427" s="40">
        <v>0</v>
      </c>
      <c r="L1427" s="40">
        <v>0</v>
      </c>
      <c r="M1427" s="40">
        <v>0</v>
      </c>
      <c r="N1427" s="40">
        <v>0</v>
      </c>
      <c r="O1427" s="40">
        <v>1</v>
      </c>
      <c r="P1427" s="40">
        <v>0</v>
      </c>
      <c r="Q1427" s="40">
        <v>0</v>
      </c>
      <c r="R1427" s="40">
        <v>0</v>
      </c>
      <c r="S1427" s="40">
        <v>0</v>
      </c>
      <c r="T1427" s="29">
        <f t="array" aca="1" ref="T1427" ca="1">+fair_value_gap(OFFSET(S1426,0,0,-1*$I$5,-1*$Z$1),OFFSET(E1426,0,0,-1*$I$5,1),F1427:S1427,0)</f>
        <v>15.604595388266969</v>
      </c>
      <c r="U1427" s="9" cm="1">
        <f t="array" aca="1" ref="U1427" ca="1">z_score_diff(OFFSET(T1427,0,0,$I$5*-1,1),OFFSET(E1427,0,0,$I$5*-1,1))</f>
        <v>-3.3361181507650585E-2</v>
      </c>
      <c r="V1427" s="9">
        <f t="shared" ca="1" si="183"/>
        <v>-1.0279578135534565E-2</v>
      </c>
      <c r="W1427" s="17">
        <f t="shared" ca="1" si="180"/>
        <v>-1.3452485933803542E-3</v>
      </c>
      <c r="X1427" s="13">
        <f t="shared" ca="1" si="181"/>
        <v>0</v>
      </c>
      <c r="Y1427" s="13">
        <f t="shared" ca="1" si="182"/>
        <v>0</v>
      </c>
      <c r="Z1427">
        <f t="shared" ca="1" si="184"/>
        <v>1</v>
      </c>
      <c r="AA1427">
        <f t="shared" ca="1" si="185"/>
        <v>0</v>
      </c>
      <c r="AB1427" s="24">
        <f t="shared" ca="1" si="186"/>
        <v>-1.3452485933803542E-3</v>
      </c>
      <c r="AC1427" s="24">
        <f t="shared" ca="1" si="187"/>
        <v>0</v>
      </c>
    </row>
    <row r="1428" spans="3:29" x14ac:dyDescent="0.25">
      <c r="C1428" s="6">
        <v>1421</v>
      </c>
      <c r="D1428" s="37">
        <v>44029</v>
      </c>
      <c r="E1428" s="39">
        <v>15.664999999999999</v>
      </c>
      <c r="F1428" s="39">
        <v>2.4477528833076394</v>
      </c>
      <c r="G1428" s="39">
        <v>50.390636503544251</v>
      </c>
      <c r="H1428" s="39">
        <v>57.324625984915755</v>
      </c>
      <c r="I1428" s="10">
        <v>0</v>
      </c>
      <c r="J1428" s="40">
        <v>0</v>
      </c>
      <c r="K1428" s="40">
        <v>0</v>
      </c>
      <c r="L1428" s="40">
        <v>0</v>
      </c>
      <c r="M1428" s="40">
        <v>0</v>
      </c>
      <c r="N1428" s="40">
        <v>0</v>
      </c>
      <c r="O1428" s="40">
        <v>1</v>
      </c>
      <c r="P1428" s="40">
        <v>0</v>
      </c>
      <c r="Q1428" s="40">
        <v>0</v>
      </c>
      <c r="R1428" s="40">
        <v>0</v>
      </c>
      <c r="S1428" s="40">
        <v>0</v>
      </c>
      <c r="T1428" s="29">
        <f t="array" aca="1" ref="T1428" ca="1">+fair_value_gap(OFFSET(S1427,0,0,-1*$I$5,-1*$Z$1),OFFSET(E1427,0,0,-1*$I$5,1),F1428:S1428,0)</f>
        <v>15.608040191105864</v>
      </c>
      <c r="U1428" s="9" cm="1">
        <f t="array" aca="1" ref="U1428" ca="1">z_score_diff(OFFSET(T1428,0,0,$I$5*-1,1),OFFSET(E1428,0,0,$I$5*-1,1))</f>
        <v>-5.1236919146398843E-2</v>
      </c>
      <c r="V1428" s="9">
        <f t="shared" ca="1" si="183"/>
        <v>-8.6513565722522133E-3</v>
      </c>
      <c r="W1428" s="17">
        <f t="shared" ca="1" si="180"/>
        <v>-1.6087863066041427E-2</v>
      </c>
      <c r="X1428" s="13">
        <f t="shared" ca="1" si="181"/>
        <v>0</v>
      </c>
      <c r="Y1428" s="13">
        <f t="shared" ca="1" si="182"/>
        <v>0</v>
      </c>
      <c r="Z1428">
        <f t="shared" ca="1" si="184"/>
        <v>1</v>
      </c>
      <c r="AA1428">
        <f t="shared" ca="1" si="185"/>
        <v>0</v>
      </c>
      <c r="AB1428" s="24">
        <f t="shared" ca="1" si="186"/>
        <v>-1.6087863066041427E-2</v>
      </c>
      <c r="AC1428" s="24">
        <f t="shared" ca="1" si="187"/>
        <v>0</v>
      </c>
    </row>
    <row r="1429" spans="3:29" x14ac:dyDescent="0.25">
      <c r="C1429" s="6">
        <v>1422</v>
      </c>
      <c r="D1429" s="37">
        <v>44032</v>
      </c>
      <c r="E1429" s="39">
        <v>15.282999999999999</v>
      </c>
      <c r="F1429" s="39">
        <v>2.4313128225849616</v>
      </c>
      <c r="G1429" s="39">
        <v>49.258058041369743</v>
      </c>
      <c r="H1429" s="39">
        <v>57.545099298752746</v>
      </c>
      <c r="I1429" s="10">
        <v>0</v>
      </c>
      <c r="J1429" s="40">
        <v>0</v>
      </c>
      <c r="K1429" s="40">
        <v>0</v>
      </c>
      <c r="L1429" s="40">
        <v>0</v>
      </c>
      <c r="M1429" s="40">
        <v>0</v>
      </c>
      <c r="N1429" s="40">
        <v>0</v>
      </c>
      <c r="O1429" s="40">
        <v>1</v>
      </c>
      <c r="P1429" s="40">
        <v>0</v>
      </c>
      <c r="Q1429" s="40">
        <v>0</v>
      </c>
      <c r="R1429" s="40">
        <v>0</v>
      </c>
      <c r="S1429" s="40">
        <v>0</v>
      </c>
      <c r="T1429" s="29">
        <f t="array" aca="1" ref="T1429" ca="1">+fair_value_gap(OFFSET(S1428,0,0,-1*$I$5,-1*$Z$1),OFFSET(E1428,0,0,-1*$I$5,1),F1429:S1429,0)</f>
        <v>15.240968559808351</v>
      </c>
      <c r="U1429" s="9" cm="1">
        <f t="array" aca="1" ref="U1429" ca="1">z_score_diff(OFFSET(T1429,0,0,$I$5*-1,1),OFFSET(E1429,0,0,$I$5*-1,1))</f>
        <v>-4.6708669586221746E-2</v>
      </c>
      <c r="V1429" s="9">
        <f t="shared" ca="1" si="183"/>
        <v>-4.5965000954606809E-3</v>
      </c>
      <c r="W1429" s="17">
        <f t="shared" ca="1" si="180"/>
        <v>-1.2112583083366621E-2</v>
      </c>
      <c r="X1429" s="13">
        <f t="shared" ca="1" si="181"/>
        <v>0</v>
      </c>
      <c r="Y1429" s="13">
        <f t="shared" ca="1" si="182"/>
        <v>0</v>
      </c>
      <c r="Z1429">
        <f t="shared" ca="1" si="184"/>
        <v>1</v>
      </c>
      <c r="AA1429">
        <f t="shared" ca="1" si="185"/>
        <v>0</v>
      </c>
      <c r="AB1429" s="24">
        <f t="shared" ca="1" si="186"/>
        <v>-1.2112583083366621E-2</v>
      </c>
      <c r="AC1429" s="24">
        <f t="shared" ca="1" si="187"/>
        <v>0</v>
      </c>
    </row>
    <row r="1430" spans="3:29" x14ac:dyDescent="0.25">
      <c r="C1430" s="6">
        <v>1423</v>
      </c>
      <c r="D1430" s="37">
        <v>44033</v>
      </c>
      <c r="E1430" s="39">
        <v>15.362</v>
      </c>
      <c r="F1430" s="39">
        <v>2.4178687442681683</v>
      </c>
      <c r="G1430" s="39">
        <v>48.944159213565555</v>
      </c>
      <c r="H1430" s="39">
        <v>58.06827629357263</v>
      </c>
      <c r="I1430" s="10">
        <v>0</v>
      </c>
      <c r="J1430" s="40">
        <v>0</v>
      </c>
      <c r="K1430" s="40">
        <v>0</v>
      </c>
      <c r="L1430" s="40">
        <v>0</v>
      </c>
      <c r="M1430" s="40">
        <v>0</v>
      </c>
      <c r="N1430" s="40">
        <v>0</v>
      </c>
      <c r="O1430" s="40">
        <v>1</v>
      </c>
      <c r="P1430" s="40">
        <v>0</v>
      </c>
      <c r="Q1430" s="40">
        <v>0</v>
      </c>
      <c r="R1430" s="40">
        <v>0</v>
      </c>
      <c r="S1430" s="40">
        <v>0</v>
      </c>
      <c r="T1430" s="29">
        <f t="array" aca="1" ref="T1430" ca="1">+fair_value_gap(OFFSET(S1429,0,0,-1*$I$5,-1*$Z$1),OFFSET(E1429,0,0,-1*$I$5,1),F1430:S1430,0)</f>
        <v>15.14598117037721</v>
      </c>
      <c r="U1430" s="9" cm="1">
        <f t="array" aca="1" ref="U1430" ca="1">z_score_diff(OFFSET(T1430,0,0,$I$5*-1,1),OFFSET(E1430,0,0,$I$5*-1,1))</f>
        <v>-0.12443740765627311</v>
      </c>
      <c r="V1430" s="9">
        <f t="shared" ca="1" si="183"/>
        <v>-4.218532412751338E-3</v>
      </c>
      <c r="W1430" s="17">
        <f t="shared" ca="1" si="180"/>
        <v>-4.0721643699124919E-2</v>
      </c>
      <c r="X1430" s="13">
        <f t="shared" ca="1" si="181"/>
        <v>0</v>
      </c>
      <c r="Y1430" s="13">
        <f t="shared" ca="1" si="182"/>
        <v>0</v>
      </c>
      <c r="Z1430">
        <f t="shared" ca="1" si="184"/>
        <v>1</v>
      </c>
      <c r="AA1430">
        <f t="shared" ca="1" si="185"/>
        <v>0</v>
      </c>
      <c r="AB1430" s="24">
        <f t="shared" ca="1" si="186"/>
        <v>-4.0721643699124919E-2</v>
      </c>
      <c r="AC1430" s="24">
        <f t="shared" ca="1" si="187"/>
        <v>0</v>
      </c>
    </row>
    <row r="1431" spans="3:29" x14ac:dyDescent="0.25">
      <c r="C1431" s="6">
        <v>1424</v>
      </c>
      <c r="D1431" s="37">
        <v>44034</v>
      </c>
      <c r="E1431" s="39">
        <v>15.214</v>
      </c>
      <c r="F1431" s="39">
        <v>2.4128677167694734</v>
      </c>
      <c r="G1431" s="39">
        <v>48.553863350565877</v>
      </c>
      <c r="H1431" s="39">
        <v>57.225535229576892</v>
      </c>
      <c r="I1431" s="10">
        <v>0</v>
      </c>
      <c r="J1431" s="40">
        <v>0</v>
      </c>
      <c r="K1431" s="40">
        <v>0</v>
      </c>
      <c r="L1431" s="40">
        <v>0</v>
      </c>
      <c r="M1431" s="40">
        <v>0</v>
      </c>
      <c r="N1431" s="40">
        <v>0</v>
      </c>
      <c r="O1431" s="40">
        <v>1</v>
      </c>
      <c r="P1431" s="40">
        <v>0</v>
      </c>
      <c r="Q1431" s="40">
        <v>0</v>
      </c>
      <c r="R1431" s="40">
        <v>0</v>
      </c>
      <c r="S1431" s="40">
        <v>0</v>
      </c>
      <c r="T1431" s="29">
        <f t="array" aca="1" ref="T1431" ca="1">+fair_value_gap(OFFSET(S1430,0,0,-1*$I$5,-1*$Z$1),OFFSET(E1430,0,0,-1*$I$5,1),F1431:S1431,0)</f>
        <v>14.992077351482308</v>
      </c>
      <c r="U1431" s="9" cm="1">
        <f t="array" aca="1" ref="U1431" ca="1">z_score_diff(OFFSET(T1431,0,0,$I$5*-1,1),OFFSET(E1431,0,0,$I$5*-1,1))</f>
        <v>-0.12804896388079848</v>
      </c>
      <c r="V1431" s="9">
        <f t="shared" ca="1" si="183"/>
        <v>-4.3799091853319108E-3</v>
      </c>
      <c r="W1431" s="17">
        <f t="shared" ca="1" si="180"/>
        <v>-3.3892485656932779E-2</v>
      </c>
      <c r="X1431" s="13">
        <f t="shared" ca="1" si="181"/>
        <v>0</v>
      </c>
      <c r="Y1431" s="13">
        <f t="shared" ca="1" si="182"/>
        <v>0</v>
      </c>
      <c r="Z1431">
        <f t="shared" ca="1" si="184"/>
        <v>1</v>
      </c>
      <c r="AA1431">
        <f t="shared" ca="1" si="185"/>
        <v>0</v>
      </c>
      <c r="AB1431" s="24">
        <f t="shared" ca="1" si="186"/>
        <v>-3.3892485656932779E-2</v>
      </c>
      <c r="AC1431" s="24">
        <f t="shared" ca="1" si="187"/>
        <v>0</v>
      </c>
    </row>
    <row r="1432" spans="3:29" x14ac:dyDescent="0.25">
      <c r="C1432" s="6">
        <v>1425</v>
      </c>
      <c r="D1432" s="37">
        <v>44035</v>
      </c>
      <c r="E1432" s="39">
        <v>15.234999999999999</v>
      </c>
      <c r="F1432" s="39">
        <v>2.4152757240926737</v>
      </c>
      <c r="G1432" s="39">
        <v>48.787609385350208</v>
      </c>
      <c r="H1432" s="39">
        <v>56.845056738525528</v>
      </c>
      <c r="I1432" s="10">
        <v>0</v>
      </c>
      <c r="J1432" s="40">
        <v>0</v>
      </c>
      <c r="K1432" s="40">
        <v>0</v>
      </c>
      <c r="L1432" s="40">
        <v>0</v>
      </c>
      <c r="M1432" s="40">
        <v>0</v>
      </c>
      <c r="N1432" s="40">
        <v>0</v>
      </c>
      <c r="O1432" s="40">
        <v>1</v>
      </c>
      <c r="P1432" s="40">
        <v>0</v>
      </c>
      <c r="Q1432" s="40">
        <v>0</v>
      </c>
      <c r="R1432" s="40">
        <v>0</v>
      </c>
      <c r="S1432" s="40">
        <v>0</v>
      </c>
      <c r="T1432" s="29">
        <f t="array" aca="1" ref="T1432" ca="1">+fair_value_gap(OFFSET(S1431,0,0,-1*$I$5,-1*$Z$1),OFFSET(E1431,0,0,-1*$I$5,1),F1432:S1432,0)</f>
        <v>15.062690875305469</v>
      </c>
      <c r="U1432" s="9" cm="1">
        <f t="array" aca="1" ref="U1432" ca="1">z_score_diff(OFFSET(T1432,0,0,$I$5*-1,1),OFFSET(E1432,0,0,$I$5*-1,1))</f>
        <v>-0.10604934983536124</v>
      </c>
      <c r="V1432" s="9">
        <f t="shared" ca="1" si="183"/>
        <v>-4.3327559209692633E-3</v>
      </c>
      <c r="W1432" s="17">
        <f t="shared" ca="1" si="180"/>
        <v>-4.017949229382322E-2</v>
      </c>
      <c r="X1432" s="13">
        <f t="shared" ca="1" si="181"/>
        <v>0</v>
      </c>
      <c r="Y1432" s="13">
        <f t="shared" ca="1" si="182"/>
        <v>0</v>
      </c>
      <c r="Z1432">
        <f t="shared" ca="1" si="184"/>
        <v>1</v>
      </c>
      <c r="AA1432">
        <f t="shared" ca="1" si="185"/>
        <v>0</v>
      </c>
      <c r="AB1432" s="24">
        <f t="shared" ca="1" si="186"/>
        <v>-4.017949229382322E-2</v>
      </c>
      <c r="AC1432" s="24">
        <f t="shared" ca="1" si="187"/>
        <v>0</v>
      </c>
    </row>
    <row r="1433" spans="3:29" x14ac:dyDescent="0.25">
      <c r="C1433" s="6">
        <v>1426</v>
      </c>
      <c r="D1433" s="37">
        <v>44036</v>
      </c>
      <c r="E1433" s="39">
        <v>15.041</v>
      </c>
      <c r="F1433" s="39">
        <v>2.4188461434113786</v>
      </c>
      <c r="G1433" s="39">
        <v>48.231808823481373</v>
      </c>
      <c r="H1433" s="39">
        <v>56.33800428660571</v>
      </c>
      <c r="I1433" s="10">
        <v>0</v>
      </c>
      <c r="J1433" s="40">
        <v>0</v>
      </c>
      <c r="K1433" s="40">
        <v>0</v>
      </c>
      <c r="L1433" s="40">
        <v>0</v>
      </c>
      <c r="M1433" s="40">
        <v>0</v>
      </c>
      <c r="N1433" s="40">
        <v>0</v>
      </c>
      <c r="O1433" s="40">
        <v>1</v>
      </c>
      <c r="P1433" s="40">
        <v>0</v>
      </c>
      <c r="Q1433" s="40">
        <v>0</v>
      </c>
      <c r="R1433" s="40">
        <v>0</v>
      </c>
      <c r="S1433" s="40">
        <v>0</v>
      </c>
      <c r="T1433" s="29">
        <f t="array" aca="1" ref="T1433" ca="1">+fair_value_gap(OFFSET(S1432,0,0,-1*$I$5,-1*$Z$1),OFFSET(E1432,0,0,-1*$I$5,1),F1433:S1433,0)</f>
        <v>14.883241149528784</v>
      </c>
      <c r="U1433" s="9" cm="1">
        <f t="array" aca="1" ref="U1433" ca="1">z_score_diff(OFFSET(T1433,0,0,$I$5*-1,1),OFFSET(E1433,0,0,$I$5*-1,1))</f>
        <v>-0.10055209426005532</v>
      </c>
      <c r="V1433" s="9">
        <f t="shared" ca="1" si="183"/>
        <v>-4.2217656209121469E-3</v>
      </c>
      <c r="W1433" s="17">
        <f t="shared" ca="1" si="180"/>
        <v>-1.8520290477190279E-2</v>
      </c>
      <c r="X1433" s="13">
        <f t="shared" ca="1" si="181"/>
        <v>0</v>
      </c>
      <c r="Y1433" s="13">
        <f t="shared" ca="1" si="182"/>
        <v>0</v>
      </c>
      <c r="Z1433">
        <f t="shared" ca="1" si="184"/>
        <v>1</v>
      </c>
      <c r="AA1433">
        <f t="shared" ca="1" si="185"/>
        <v>0</v>
      </c>
      <c r="AB1433" s="24">
        <f t="shared" ca="1" si="186"/>
        <v>-1.8520290477190279E-2</v>
      </c>
      <c r="AC1433" s="24">
        <f t="shared" ca="1" si="187"/>
        <v>0</v>
      </c>
    </row>
    <row r="1434" spans="3:29" x14ac:dyDescent="0.25">
      <c r="C1434" s="6">
        <v>1427</v>
      </c>
      <c r="D1434" s="37">
        <v>44039</v>
      </c>
      <c r="E1434" s="39">
        <v>14.721</v>
      </c>
      <c r="F1434" s="39">
        <v>2.4124488752556239</v>
      </c>
      <c r="G1434" s="39">
        <v>47.696309571450939</v>
      </c>
      <c r="H1434" s="39">
        <v>55.62338553438812</v>
      </c>
      <c r="I1434" s="10">
        <v>0</v>
      </c>
      <c r="J1434" s="40">
        <v>0</v>
      </c>
      <c r="K1434" s="40">
        <v>0</v>
      </c>
      <c r="L1434" s="40">
        <v>0</v>
      </c>
      <c r="M1434" s="40">
        <v>0</v>
      </c>
      <c r="N1434" s="40">
        <v>0</v>
      </c>
      <c r="O1434" s="40">
        <v>1</v>
      </c>
      <c r="P1434" s="40">
        <v>0</v>
      </c>
      <c r="Q1434" s="40">
        <v>0</v>
      </c>
      <c r="R1434" s="40">
        <v>0</v>
      </c>
      <c r="S1434" s="40">
        <v>0</v>
      </c>
      <c r="T1434" s="29">
        <f t="array" aca="1" ref="T1434" ca="1">+fair_value_gap(OFFSET(S1433,0,0,-1*$I$5,-1*$Z$1),OFFSET(E1433,0,0,-1*$I$5,1),F1434:S1434,0)</f>
        <v>14.704298987651882</v>
      </c>
      <c r="U1434" s="9" cm="1">
        <f t="array" aca="1" ref="U1434" ca="1">z_score_diff(OFFSET(T1434,0,0,$I$5*-1,1),OFFSET(E1434,0,0,$I$5*-1,1))</f>
        <v>-3.721913797655535E-2</v>
      </c>
      <c r="V1434" s="9">
        <f t="shared" ca="1" si="183"/>
        <v>-3.1055373530134386E-3</v>
      </c>
      <c r="W1434" s="17">
        <f t="shared" ca="1" si="180"/>
        <v>1.3561588273446553E-2</v>
      </c>
      <c r="X1434" s="13">
        <f t="shared" ca="1" si="181"/>
        <v>0</v>
      </c>
      <c r="Y1434" s="13">
        <f t="shared" ca="1" si="182"/>
        <v>0</v>
      </c>
      <c r="Z1434">
        <f t="shared" ca="1" si="184"/>
        <v>1</v>
      </c>
      <c r="AA1434">
        <f t="shared" ca="1" si="185"/>
        <v>0</v>
      </c>
      <c r="AB1434" s="24">
        <f t="shared" ca="1" si="186"/>
        <v>1.3561588273446553E-2</v>
      </c>
      <c r="AC1434" s="24">
        <f t="shared" ca="1" si="187"/>
        <v>0</v>
      </c>
    </row>
    <row r="1435" spans="3:29" x14ac:dyDescent="0.25">
      <c r="C1435" s="6">
        <v>1428</v>
      </c>
      <c r="D1435" s="37">
        <v>44040</v>
      </c>
      <c r="E1435" s="39">
        <v>14.920999999999999</v>
      </c>
      <c r="F1435" s="39">
        <v>2.4522763246550747</v>
      </c>
      <c r="G1435" s="39">
        <v>48.384237811483104</v>
      </c>
      <c r="H1435" s="39">
        <v>56.626669601302709</v>
      </c>
      <c r="I1435" s="10">
        <v>0</v>
      </c>
      <c r="J1435" s="40">
        <v>0</v>
      </c>
      <c r="K1435" s="40">
        <v>0</v>
      </c>
      <c r="L1435" s="40">
        <v>0</v>
      </c>
      <c r="M1435" s="40">
        <v>0</v>
      </c>
      <c r="N1435" s="40">
        <v>0</v>
      </c>
      <c r="O1435" s="40">
        <v>1</v>
      </c>
      <c r="P1435" s="40">
        <v>0</v>
      </c>
      <c r="Q1435" s="40">
        <v>0</v>
      </c>
      <c r="R1435" s="40">
        <v>0</v>
      </c>
      <c r="S1435" s="40">
        <v>0</v>
      </c>
      <c r="T1435" s="29">
        <f t="array" aca="1" ref="T1435" ca="1">+fair_value_gap(OFFSET(S1434,0,0,-1*$I$5,-1*$Z$1),OFFSET(E1434,0,0,-1*$I$5,1),F1435:S1435,0)</f>
        <v>14.945575062233731</v>
      </c>
      <c r="U1435" s="9" cm="1">
        <f t="array" aca="1" ref="U1435" ca="1">z_score_diff(OFFSET(T1435,0,0,$I$5*-1,1),OFFSET(E1435,0,0,$I$5*-1,1))</f>
        <v>-1.7121004311887067E-2</v>
      </c>
      <c r="V1435" s="9">
        <f t="shared" ca="1" si="183"/>
        <v>-1.7477625156853851E-4</v>
      </c>
      <c r="W1435" s="17">
        <f t="shared" ca="1" si="180"/>
        <v>-9.3871536999128122E-4</v>
      </c>
      <c r="X1435" s="13">
        <f t="shared" ca="1" si="181"/>
        <v>0</v>
      </c>
      <c r="Y1435" s="13">
        <f t="shared" ca="1" si="182"/>
        <v>0</v>
      </c>
      <c r="Z1435">
        <f t="shared" ca="1" si="184"/>
        <v>1</v>
      </c>
      <c r="AA1435">
        <f t="shared" ca="1" si="185"/>
        <v>0</v>
      </c>
      <c r="AB1435" s="24">
        <f t="shared" ca="1" si="186"/>
        <v>-9.3871536999128122E-4</v>
      </c>
      <c r="AC1435" s="24">
        <f t="shared" ca="1" si="187"/>
        <v>0</v>
      </c>
    </row>
    <row r="1436" spans="3:29" x14ac:dyDescent="0.25">
      <c r="C1436" s="6">
        <v>1429</v>
      </c>
      <c r="D1436" s="37">
        <v>44041</v>
      </c>
      <c r="E1436" s="39">
        <v>14.973000000000001</v>
      </c>
      <c r="F1436" s="39">
        <v>2.4641635305474923</v>
      </c>
      <c r="G1436" s="39">
        <v>48.645158047594023</v>
      </c>
      <c r="H1436" s="39">
        <v>55.984654752908476</v>
      </c>
      <c r="I1436" s="10">
        <v>0</v>
      </c>
      <c r="J1436" s="40">
        <v>0</v>
      </c>
      <c r="K1436" s="40">
        <v>0</v>
      </c>
      <c r="L1436" s="40">
        <v>0</v>
      </c>
      <c r="M1436" s="40">
        <v>0</v>
      </c>
      <c r="N1436" s="40">
        <v>0</v>
      </c>
      <c r="O1436" s="40">
        <v>1</v>
      </c>
      <c r="P1436" s="40">
        <v>0</v>
      </c>
      <c r="Q1436" s="40">
        <v>0</v>
      </c>
      <c r="R1436" s="40">
        <v>0</v>
      </c>
      <c r="S1436" s="40">
        <v>0</v>
      </c>
      <c r="T1436" s="29">
        <f t="array" aca="1" ref="T1436" ca="1">+fair_value_gap(OFFSET(S1435,0,0,-1*$I$5,-1*$Z$1),OFFSET(E1435,0,0,-1*$I$5,1),F1436:S1436,0)</f>
        <v>15.008072519166253</v>
      </c>
      <c r="U1436" s="9" cm="1">
        <f t="array" aca="1" ref="U1436" ca="1">z_score_diff(OFFSET(T1436,0,0,$I$5*-1,1),OFFSET(E1436,0,0,$I$5*-1,1))</f>
        <v>-1.1800109272073922E-2</v>
      </c>
      <c r="V1436" s="9">
        <f t="shared" ca="1" si="183"/>
        <v>2.9268623226046515E-3</v>
      </c>
      <c r="W1436" s="17">
        <f t="shared" ca="1" si="180"/>
        <v>8.1812289106671515E-3</v>
      </c>
      <c r="X1436" s="13">
        <f t="shared" ca="1" si="181"/>
        <v>0</v>
      </c>
      <c r="Y1436" s="13">
        <f t="shared" ca="1" si="182"/>
        <v>0</v>
      </c>
      <c r="Z1436">
        <f t="shared" ca="1" si="184"/>
        <v>0</v>
      </c>
      <c r="AA1436">
        <f t="shared" ca="1" si="185"/>
        <v>1</v>
      </c>
      <c r="AB1436" s="24">
        <f t="shared" ca="1" si="186"/>
        <v>0</v>
      </c>
      <c r="AC1436" s="24">
        <f t="shared" ca="1" si="187"/>
        <v>8.1812289106671515E-3</v>
      </c>
    </row>
    <row r="1437" spans="3:29" x14ac:dyDescent="0.25">
      <c r="C1437" s="6">
        <v>1430</v>
      </c>
      <c r="D1437" s="37">
        <v>44042</v>
      </c>
      <c r="E1437" s="39">
        <v>14.714</v>
      </c>
      <c r="F1437" s="39">
        <v>2.402291107933654</v>
      </c>
      <c r="G1437" s="39">
        <v>48.130042090494555</v>
      </c>
      <c r="H1437" s="39">
        <v>56.426295655425641</v>
      </c>
      <c r="I1437" s="10">
        <v>0</v>
      </c>
      <c r="J1437" s="40">
        <v>0</v>
      </c>
      <c r="K1437" s="40">
        <v>0</v>
      </c>
      <c r="L1437" s="40">
        <v>0</v>
      </c>
      <c r="M1437" s="40">
        <v>0</v>
      </c>
      <c r="N1437" s="40">
        <v>0</v>
      </c>
      <c r="O1437" s="40">
        <v>1</v>
      </c>
      <c r="P1437" s="40">
        <v>0</v>
      </c>
      <c r="Q1437" s="40">
        <v>0</v>
      </c>
      <c r="R1437" s="40">
        <v>0</v>
      </c>
      <c r="S1437" s="40">
        <v>0</v>
      </c>
      <c r="T1437" s="29">
        <f t="array" aca="1" ref="T1437" ca="1">+fair_value_gap(OFFSET(S1436,0,0,-1*$I$5,-1*$Z$1),OFFSET(E1436,0,0,-1*$I$5,1),F1437:S1437,0)</f>
        <v>14.862339567990574</v>
      </c>
      <c r="U1437" s="9" cm="1">
        <f t="array" aca="1" ref="U1437" ca="1">z_score_diff(OFFSET(T1437,0,0,$I$5*-1,1),OFFSET(E1437,0,0,$I$5*-1,1))</f>
        <v>4.0438310589876514E-2</v>
      </c>
      <c r="V1437" s="9">
        <f t="shared" ca="1" si="183"/>
        <v>5.9046818057878836E-3</v>
      </c>
      <c r="W1437" s="17">
        <f t="shared" ca="1" si="180"/>
        <v>2.5829094952259848E-2</v>
      </c>
      <c r="X1437" s="13">
        <f t="shared" ca="1" si="181"/>
        <v>0</v>
      </c>
      <c r="Y1437" s="13">
        <f t="shared" ca="1" si="182"/>
        <v>0</v>
      </c>
      <c r="Z1437">
        <f t="shared" ca="1" si="184"/>
        <v>0</v>
      </c>
      <c r="AA1437">
        <f t="shared" ca="1" si="185"/>
        <v>1</v>
      </c>
      <c r="AB1437" s="24">
        <f t="shared" ca="1" si="186"/>
        <v>0</v>
      </c>
      <c r="AC1437" s="24">
        <f t="shared" ca="1" si="187"/>
        <v>2.5829094952259848E-2</v>
      </c>
    </row>
    <row r="1438" spans="3:29" x14ac:dyDescent="0.25">
      <c r="C1438" s="6">
        <v>1431</v>
      </c>
      <c r="D1438" s="37">
        <v>44043</v>
      </c>
      <c r="E1438" s="39">
        <v>14.705</v>
      </c>
      <c r="F1438" s="39">
        <v>2.4170345949095351</v>
      </c>
      <c r="G1438" s="39">
        <v>47.895126530396382</v>
      </c>
      <c r="H1438" s="39">
        <v>56.626948046769073</v>
      </c>
      <c r="I1438" s="10">
        <v>0</v>
      </c>
      <c r="J1438" s="40">
        <v>0</v>
      </c>
      <c r="K1438" s="40">
        <v>0</v>
      </c>
      <c r="L1438" s="40">
        <v>0</v>
      </c>
      <c r="M1438" s="40">
        <v>0</v>
      </c>
      <c r="N1438" s="40">
        <v>0</v>
      </c>
      <c r="O1438" s="40">
        <v>1</v>
      </c>
      <c r="P1438" s="40">
        <v>0</v>
      </c>
      <c r="Q1438" s="40">
        <v>0</v>
      </c>
      <c r="R1438" s="40">
        <v>0</v>
      </c>
      <c r="S1438" s="40">
        <v>0</v>
      </c>
      <c r="T1438" s="29">
        <f t="array" aca="1" ref="T1438" ca="1">+fair_value_gap(OFFSET(S1437,0,0,-1*$I$5,-1*$Z$1),OFFSET(E1437,0,0,-1*$I$5,1),F1438:S1438,0)</f>
        <v>14.785329401221123</v>
      </c>
      <c r="U1438" s="9" cm="1">
        <f t="array" aca="1" ref="U1438" ca="1">z_score_diff(OFFSET(T1438,0,0,$I$5*-1,1),OFFSET(E1438,0,0,$I$5*-1,1))</f>
        <v>8.1404323465248951E-3</v>
      </c>
      <c r="V1438" s="9">
        <f t="shared" ca="1" si="183"/>
        <v>7.9922249927191543E-3</v>
      </c>
      <c r="W1438" s="17">
        <f t="shared" ca="1" si="180"/>
        <v>4.40998534602971E-2</v>
      </c>
      <c r="X1438" s="13">
        <f t="shared" ca="1" si="181"/>
        <v>0</v>
      </c>
      <c r="Y1438" s="13">
        <f t="shared" ca="1" si="182"/>
        <v>0</v>
      </c>
      <c r="Z1438">
        <f t="shared" ca="1" si="184"/>
        <v>0</v>
      </c>
      <c r="AA1438">
        <f t="shared" ca="1" si="185"/>
        <v>1</v>
      </c>
      <c r="AB1438" s="24">
        <f t="shared" ca="1" si="186"/>
        <v>0</v>
      </c>
      <c r="AC1438" s="24">
        <f t="shared" ca="1" si="187"/>
        <v>4.40998534602971E-2</v>
      </c>
    </row>
    <row r="1439" spans="3:29" x14ac:dyDescent="0.25">
      <c r="C1439" s="6">
        <v>1432</v>
      </c>
      <c r="D1439" s="37">
        <v>44046</v>
      </c>
      <c r="E1439" s="39">
        <v>14.868</v>
      </c>
      <c r="F1439" s="39">
        <v>2.4457072331223921</v>
      </c>
      <c r="G1439" s="39">
        <v>48.19861266453259</v>
      </c>
      <c r="H1439" s="39">
        <v>58.179078904114661</v>
      </c>
      <c r="I1439" s="10">
        <v>0</v>
      </c>
      <c r="J1439" s="40">
        <v>0</v>
      </c>
      <c r="K1439" s="40">
        <v>0</v>
      </c>
      <c r="L1439" s="40">
        <v>0</v>
      </c>
      <c r="M1439" s="40">
        <v>0</v>
      </c>
      <c r="N1439" s="40">
        <v>0</v>
      </c>
      <c r="O1439" s="40">
        <v>0</v>
      </c>
      <c r="P1439" s="40">
        <v>1</v>
      </c>
      <c r="Q1439" s="40">
        <v>0</v>
      </c>
      <c r="R1439" s="40">
        <v>0</v>
      </c>
      <c r="S1439" s="40">
        <v>0</v>
      </c>
      <c r="T1439" s="29">
        <f t="array" aca="1" ref="T1439" ca="1">+fair_value_gap(OFFSET(S1438,0,0,-1*$I$5,-1*$Z$1),OFFSET(E1438,0,0,-1*$I$5,1),F1439:S1439,0)</f>
        <v>14.968577003102357</v>
      </c>
      <c r="U1439" s="9" cm="1">
        <f t="array" aca="1" ref="U1439" ca="1">z_score_diff(OFFSET(T1439,0,0,$I$5*-1,1),OFFSET(E1439,0,0,$I$5*-1,1))</f>
        <v>1.8987216150738756E-2</v>
      </c>
      <c r="V1439" s="9">
        <f t="shared" ca="1" si="183"/>
        <v>1.0190129819880453E-2</v>
      </c>
      <c r="W1439" s="17">
        <f t="shared" ca="1" si="180"/>
        <v>1.3428401001011623E-2</v>
      </c>
      <c r="X1439" s="13">
        <f t="shared" ca="1" si="181"/>
        <v>0</v>
      </c>
      <c r="Y1439" s="13">
        <f t="shared" ca="1" si="182"/>
        <v>0</v>
      </c>
      <c r="Z1439">
        <f t="shared" ca="1" si="184"/>
        <v>0</v>
      </c>
      <c r="AA1439">
        <f t="shared" ca="1" si="185"/>
        <v>1</v>
      </c>
      <c r="AB1439" s="24">
        <f t="shared" ca="1" si="186"/>
        <v>0</v>
      </c>
      <c r="AC1439" s="24">
        <f t="shared" ca="1" si="187"/>
        <v>1.3428401001011623E-2</v>
      </c>
    </row>
    <row r="1440" spans="3:29" x14ac:dyDescent="0.25">
      <c r="C1440" s="6">
        <v>1433</v>
      </c>
      <c r="D1440" s="37">
        <v>44047</v>
      </c>
      <c r="E1440" s="39">
        <v>15.006</v>
      </c>
      <c r="F1440" s="39">
        <v>2.4457460112045006</v>
      </c>
      <c r="G1440" s="39">
        <v>48.453719177044384</v>
      </c>
      <c r="H1440" s="39">
        <v>57.749109037693657</v>
      </c>
      <c r="I1440" s="10">
        <v>0</v>
      </c>
      <c r="J1440" s="40">
        <v>0</v>
      </c>
      <c r="K1440" s="40">
        <v>0</v>
      </c>
      <c r="L1440" s="40">
        <v>0</v>
      </c>
      <c r="M1440" s="40">
        <v>0</v>
      </c>
      <c r="N1440" s="40">
        <v>0</v>
      </c>
      <c r="O1440" s="40">
        <v>0</v>
      </c>
      <c r="P1440" s="40">
        <v>1</v>
      </c>
      <c r="Q1440" s="40">
        <v>0</v>
      </c>
      <c r="R1440" s="40">
        <v>0</v>
      </c>
      <c r="S1440" s="40">
        <v>0</v>
      </c>
      <c r="T1440" s="29">
        <f t="array" aca="1" ref="T1440" ca="1">+fair_value_gap(OFFSET(S1439,0,0,-1*$I$5,-1*$Z$1),OFFSET(E1439,0,0,-1*$I$5,1),F1440:S1440,0)</f>
        <v>15.010149362976883</v>
      </c>
      <c r="U1440" s="9" cm="1">
        <f t="array" aca="1" ref="U1440" ca="1">z_score_diff(OFFSET(T1440,0,0,$I$5*-1,1),OFFSET(E1440,0,0,$I$5*-1,1))</f>
        <v>-2.6466074788664418E-2</v>
      </c>
      <c r="V1440" s="9">
        <f t="shared" ca="1" si="183"/>
        <v>1.3477196086610636E-2</v>
      </c>
      <c r="W1440" s="17">
        <f t="shared" ca="1" si="180"/>
        <v>9.3523714213512698E-3</v>
      </c>
      <c r="X1440" s="13">
        <f t="shared" ca="1" si="181"/>
        <v>0</v>
      </c>
      <c r="Y1440" s="13">
        <f t="shared" ca="1" si="182"/>
        <v>0</v>
      </c>
      <c r="Z1440">
        <f t="shared" ca="1" si="184"/>
        <v>0</v>
      </c>
      <c r="AA1440">
        <f t="shared" ca="1" si="185"/>
        <v>1</v>
      </c>
      <c r="AB1440" s="24">
        <f t="shared" ca="1" si="186"/>
        <v>0</v>
      </c>
      <c r="AC1440" s="24">
        <f t="shared" ca="1" si="187"/>
        <v>9.3523714213512698E-3</v>
      </c>
    </row>
    <row r="1441" spans="3:29" x14ac:dyDescent="0.25">
      <c r="C1441" s="6">
        <v>1434</v>
      </c>
      <c r="D1441" s="37">
        <v>44048</v>
      </c>
      <c r="E1441" s="39">
        <v>15.182</v>
      </c>
      <c r="F1441" s="39">
        <v>2.4388048356015499</v>
      </c>
      <c r="G1441" s="39">
        <v>49.080441230204052</v>
      </c>
      <c r="H1441" s="39">
        <v>57.386094644964693</v>
      </c>
      <c r="I1441" s="10">
        <v>0</v>
      </c>
      <c r="J1441" s="40">
        <v>0</v>
      </c>
      <c r="K1441" s="40">
        <v>0</v>
      </c>
      <c r="L1441" s="40">
        <v>0</v>
      </c>
      <c r="M1441" s="40">
        <v>0</v>
      </c>
      <c r="N1441" s="40">
        <v>0</v>
      </c>
      <c r="O1441" s="40">
        <v>0</v>
      </c>
      <c r="P1441" s="40">
        <v>1</v>
      </c>
      <c r="Q1441" s="40">
        <v>0</v>
      </c>
      <c r="R1441" s="40">
        <v>0</v>
      </c>
      <c r="S1441" s="40">
        <v>0</v>
      </c>
      <c r="T1441" s="29">
        <f t="array" aca="1" ref="T1441" ca="1">+fair_value_gap(OFFSET(S1440,0,0,-1*$I$5,-1*$Z$1),OFFSET(E1440,0,0,-1*$I$5,1),F1441:S1441,0)</f>
        <v>15.199230946131051</v>
      </c>
      <c r="U1441" s="9" cm="1">
        <f t="array" aca="1" ref="U1441" ca="1">z_score_diff(OFFSET(T1441,0,0,$I$5*-1,1),OFFSET(E1441,0,0,$I$5*-1,1))</f>
        <v>-1.8764877944349778E-2</v>
      </c>
      <c r="V1441" s="9">
        <f t="shared" ca="1" si="183"/>
        <v>1.5658696907438308E-2</v>
      </c>
      <c r="W1441" s="17">
        <f t="shared" ca="1" si="180"/>
        <v>5.2555632728648709E-3</v>
      </c>
      <c r="X1441" s="13">
        <f t="shared" ca="1" si="181"/>
        <v>0</v>
      </c>
      <c r="Y1441" s="13">
        <f t="shared" ca="1" si="182"/>
        <v>0</v>
      </c>
      <c r="Z1441">
        <f t="shared" ca="1" si="184"/>
        <v>0</v>
      </c>
      <c r="AA1441">
        <f t="shared" ca="1" si="185"/>
        <v>1</v>
      </c>
      <c r="AB1441" s="24">
        <f t="shared" ca="1" si="186"/>
        <v>0</v>
      </c>
      <c r="AC1441" s="24">
        <f t="shared" ca="1" si="187"/>
        <v>5.2555632728648709E-3</v>
      </c>
    </row>
    <row r="1442" spans="3:29" x14ac:dyDescent="0.25">
      <c r="C1442" s="6">
        <v>1435</v>
      </c>
      <c r="D1442" s="37">
        <v>44049</v>
      </c>
      <c r="E1442" s="39">
        <v>15.412000000000001</v>
      </c>
      <c r="F1442" s="39">
        <v>2.4409404868718227</v>
      </c>
      <c r="G1442" s="39">
        <v>49.532721566164938</v>
      </c>
      <c r="H1442" s="39">
        <v>57.191318915955847</v>
      </c>
      <c r="I1442" s="10">
        <v>0</v>
      </c>
      <c r="J1442" s="40">
        <v>0</v>
      </c>
      <c r="K1442" s="40">
        <v>0</v>
      </c>
      <c r="L1442" s="40">
        <v>0</v>
      </c>
      <c r="M1442" s="40">
        <v>0</v>
      </c>
      <c r="N1442" s="40">
        <v>0</v>
      </c>
      <c r="O1442" s="40">
        <v>0</v>
      </c>
      <c r="P1442" s="40">
        <v>1</v>
      </c>
      <c r="Q1442" s="40">
        <v>0</v>
      </c>
      <c r="R1442" s="40">
        <v>0</v>
      </c>
      <c r="S1442" s="40">
        <v>0</v>
      </c>
      <c r="T1442" s="29">
        <f t="array" aca="1" ref="T1442" ca="1">+fair_value_gap(OFFSET(S1441,0,0,-1*$I$5,-1*$Z$1),OFFSET(E1441,0,0,-1*$I$5,1),F1442:S1442,0)</f>
        <v>15.335497821247879</v>
      </c>
      <c r="U1442" s="9" cm="1">
        <f t="array" aca="1" ref="U1442" ca="1">z_score_diff(OFFSET(T1442,0,0,$I$5*-1,1),OFFSET(E1442,0,0,$I$5*-1,1))</f>
        <v>-6.297295599994851E-2</v>
      </c>
      <c r="V1442" s="9">
        <f t="shared" ca="1" si="183"/>
        <v>1.595941529764142E-2</v>
      </c>
      <c r="W1442" s="17">
        <f t="shared" ca="1" si="180"/>
        <v>-1.7013890320188883E-2</v>
      </c>
      <c r="X1442" s="13">
        <f t="shared" ca="1" si="181"/>
        <v>0</v>
      </c>
      <c r="Y1442" s="13">
        <f t="shared" ca="1" si="182"/>
        <v>0</v>
      </c>
      <c r="Z1442">
        <f t="shared" ca="1" si="184"/>
        <v>0</v>
      </c>
      <c r="AA1442">
        <f t="shared" ca="1" si="185"/>
        <v>1</v>
      </c>
      <c r="AB1442" s="24">
        <f t="shared" ca="1" si="186"/>
        <v>0</v>
      </c>
      <c r="AC1442" s="24">
        <f t="shared" ca="1" si="187"/>
        <v>-1.7013890320188883E-2</v>
      </c>
    </row>
    <row r="1443" spans="3:29" x14ac:dyDescent="0.25">
      <c r="C1443" s="6">
        <v>1436</v>
      </c>
      <c r="D1443" s="37">
        <v>44050</v>
      </c>
      <c r="E1443" s="39">
        <v>15.272</v>
      </c>
      <c r="F1443" s="39">
        <v>2.4679634519946716</v>
      </c>
      <c r="G1443" s="39">
        <v>49.092055014724323</v>
      </c>
      <c r="H1443" s="39">
        <v>57.630553756639685</v>
      </c>
      <c r="I1443" s="10">
        <v>0</v>
      </c>
      <c r="J1443" s="40">
        <v>0</v>
      </c>
      <c r="K1443" s="40">
        <v>0</v>
      </c>
      <c r="L1443" s="40">
        <v>0</v>
      </c>
      <c r="M1443" s="40">
        <v>0</v>
      </c>
      <c r="N1443" s="40">
        <v>0</v>
      </c>
      <c r="O1443" s="40">
        <v>0</v>
      </c>
      <c r="P1443" s="40">
        <v>1</v>
      </c>
      <c r="Q1443" s="40">
        <v>0</v>
      </c>
      <c r="R1443" s="40">
        <v>0</v>
      </c>
      <c r="S1443" s="40">
        <v>0</v>
      </c>
      <c r="T1443" s="29">
        <f t="array" aca="1" ref="T1443" ca="1">+fair_value_gap(OFFSET(S1442,0,0,-1*$I$5,-1*$Z$1),OFFSET(E1442,0,0,-1*$I$5,1),F1443:S1443,0)</f>
        <v>15.213915869431315</v>
      </c>
      <c r="U1443" s="9" cm="1">
        <f t="array" aca="1" ref="U1443" ca="1">z_score_diff(OFFSET(T1443,0,0,$I$5*-1,1),OFFSET(E1443,0,0,$I$5*-1,1))</f>
        <v>-5.4793573991680833E-2</v>
      </c>
      <c r="V1443" s="9">
        <f t="shared" ca="1" si="183"/>
        <v>1.5872071913359157E-2</v>
      </c>
      <c r="W1443" s="17">
        <f t="shared" ca="1" si="180"/>
        <v>-4.7914502091224226E-3</v>
      </c>
      <c r="X1443" s="13">
        <f t="shared" ca="1" si="181"/>
        <v>0</v>
      </c>
      <c r="Y1443" s="13">
        <f t="shared" ca="1" si="182"/>
        <v>0</v>
      </c>
      <c r="Z1443">
        <f t="shared" ca="1" si="184"/>
        <v>0</v>
      </c>
      <c r="AA1443">
        <f t="shared" ca="1" si="185"/>
        <v>1</v>
      </c>
      <c r="AB1443" s="24">
        <f t="shared" ca="1" si="186"/>
        <v>0</v>
      </c>
      <c r="AC1443" s="24">
        <f t="shared" ca="1" si="187"/>
        <v>-4.7914502091224226E-3</v>
      </c>
    </row>
    <row r="1444" spans="3:29" x14ac:dyDescent="0.25">
      <c r="C1444" s="6">
        <v>1437</v>
      </c>
      <c r="D1444" s="37">
        <v>44053</v>
      </c>
      <c r="E1444" s="39">
        <v>15.266</v>
      </c>
      <c r="F1444" s="39">
        <v>2.4741295041628746</v>
      </c>
      <c r="G1444" s="39">
        <v>49.197886917664142</v>
      </c>
      <c r="H1444" s="39">
        <v>57.302726935652409</v>
      </c>
      <c r="I1444" s="10">
        <v>0</v>
      </c>
      <c r="J1444" s="40">
        <v>0</v>
      </c>
      <c r="K1444" s="40">
        <v>0</v>
      </c>
      <c r="L1444" s="40">
        <v>0</v>
      </c>
      <c r="M1444" s="40">
        <v>0</v>
      </c>
      <c r="N1444" s="40">
        <v>0</v>
      </c>
      <c r="O1444" s="40">
        <v>0</v>
      </c>
      <c r="P1444" s="40">
        <v>1</v>
      </c>
      <c r="Q1444" s="40">
        <v>0</v>
      </c>
      <c r="R1444" s="40">
        <v>0</v>
      </c>
      <c r="S1444" s="40">
        <v>0</v>
      </c>
      <c r="T1444" s="29">
        <f t="array" aca="1" ref="T1444" ca="1">+fair_value_gap(OFFSET(S1443,0,0,-1*$I$5,-1*$Z$1),OFFSET(E1443,0,0,-1*$I$5,1),F1444:S1444,0)</f>
        <v>15.247458230341513</v>
      </c>
      <c r="U1444" s="9" cm="1">
        <f t="array" aca="1" ref="U1444" ca="1">z_score_diff(OFFSET(T1444,0,0,$I$5*-1,1),OFFSET(E1444,0,0,$I$5*-1,1))</f>
        <v>-3.5159641861424874E-2</v>
      </c>
      <c r="V1444" s="9">
        <f t="shared" ca="1" si="183"/>
        <v>1.5111054780336005E-2</v>
      </c>
      <c r="W1444" s="17">
        <f t="shared" ca="1" si="180"/>
        <v>1.1851411749934685E-2</v>
      </c>
      <c r="X1444" s="13">
        <f t="shared" ca="1" si="181"/>
        <v>0</v>
      </c>
      <c r="Y1444" s="13">
        <f t="shared" ca="1" si="182"/>
        <v>0</v>
      </c>
      <c r="Z1444">
        <f t="shared" ca="1" si="184"/>
        <v>0</v>
      </c>
      <c r="AA1444">
        <f t="shared" ca="1" si="185"/>
        <v>1</v>
      </c>
      <c r="AB1444" s="24">
        <f t="shared" ca="1" si="186"/>
        <v>0</v>
      </c>
      <c r="AC1444" s="24">
        <f t="shared" ca="1" si="187"/>
        <v>1.1851411749934685E-2</v>
      </c>
    </row>
    <row r="1445" spans="3:29" x14ac:dyDescent="0.25">
      <c r="C1445" s="6">
        <v>1438</v>
      </c>
      <c r="D1445" s="37">
        <v>44054</v>
      </c>
      <c r="E1445" s="39">
        <v>15.313000000000001</v>
      </c>
      <c r="F1445" s="39">
        <v>2.4862641062242452</v>
      </c>
      <c r="G1445" s="39">
        <v>49.401276805869074</v>
      </c>
      <c r="H1445" s="39">
        <v>57.022475692854641</v>
      </c>
      <c r="I1445" s="10">
        <v>0</v>
      </c>
      <c r="J1445" s="40">
        <v>0</v>
      </c>
      <c r="K1445" s="40">
        <v>0</v>
      </c>
      <c r="L1445" s="40">
        <v>0</v>
      </c>
      <c r="M1445" s="40">
        <v>0</v>
      </c>
      <c r="N1445" s="40">
        <v>0</v>
      </c>
      <c r="O1445" s="40">
        <v>0</v>
      </c>
      <c r="P1445" s="40">
        <v>1</v>
      </c>
      <c r="Q1445" s="40">
        <v>0</v>
      </c>
      <c r="R1445" s="40">
        <v>0</v>
      </c>
      <c r="S1445" s="40">
        <v>0</v>
      </c>
      <c r="T1445" s="29">
        <f t="array" aca="1" ref="T1445" ca="1">+fair_value_gap(OFFSET(S1444,0,0,-1*$I$5,-1*$Z$1),OFFSET(E1444,0,0,-1*$I$5,1),F1445:S1445,0)</f>
        <v>15.305057672970339</v>
      </c>
      <c r="U1445" s="9" cm="1">
        <f t="array" aca="1" ref="U1445" ca="1">z_score_diff(OFFSET(T1445,0,0,$I$5*-1,1),OFFSET(E1445,0,0,$I$5*-1,1))</f>
        <v>-2.9562971683736113E-2</v>
      </c>
      <c r="V1445" s="9">
        <f t="shared" ca="1" si="183"/>
        <v>1.4048100319838566E-2</v>
      </c>
      <c r="W1445" s="17">
        <f t="shared" ca="1" si="180"/>
        <v>-2.9430059500873493E-3</v>
      </c>
      <c r="X1445" s="13">
        <f t="shared" ca="1" si="181"/>
        <v>0</v>
      </c>
      <c r="Y1445" s="13">
        <f t="shared" ca="1" si="182"/>
        <v>0</v>
      </c>
      <c r="Z1445">
        <f t="shared" ca="1" si="184"/>
        <v>0</v>
      </c>
      <c r="AA1445">
        <f t="shared" ca="1" si="185"/>
        <v>1</v>
      </c>
      <c r="AB1445" s="24">
        <f t="shared" ca="1" si="186"/>
        <v>0</v>
      </c>
      <c r="AC1445" s="24">
        <f t="shared" ca="1" si="187"/>
        <v>-2.9430059500873493E-3</v>
      </c>
    </row>
    <row r="1446" spans="3:29" x14ac:dyDescent="0.25">
      <c r="C1446" s="6">
        <v>1439</v>
      </c>
      <c r="D1446" s="37">
        <v>44055</v>
      </c>
      <c r="E1446" s="39">
        <v>15.204000000000001</v>
      </c>
      <c r="F1446" s="39">
        <v>2.4743278006245375</v>
      </c>
      <c r="G1446" s="39">
        <v>49.184983120757579</v>
      </c>
      <c r="H1446" s="39">
        <v>56.783726136366504</v>
      </c>
      <c r="I1446" s="10">
        <v>0</v>
      </c>
      <c r="J1446" s="40">
        <v>0</v>
      </c>
      <c r="K1446" s="40">
        <v>0</v>
      </c>
      <c r="L1446" s="40">
        <v>0</v>
      </c>
      <c r="M1446" s="40">
        <v>0</v>
      </c>
      <c r="N1446" s="40">
        <v>0</v>
      </c>
      <c r="O1446" s="40">
        <v>0</v>
      </c>
      <c r="P1446" s="40">
        <v>1</v>
      </c>
      <c r="Q1446" s="40">
        <v>0</v>
      </c>
      <c r="R1446" s="40">
        <v>0</v>
      </c>
      <c r="S1446" s="40">
        <v>0</v>
      </c>
      <c r="T1446" s="29">
        <f t="array" aca="1" ref="T1446" ca="1">+fair_value_gap(OFFSET(S1445,0,0,-1*$I$5,-1*$Z$1),OFFSET(E1445,0,0,-1*$I$5,1),F1446:S1446,0)</f>
        <v>15.231682070257646</v>
      </c>
      <c r="U1446" s="9" cm="1">
        <f t="array" aca="1" ref="U1446" ca="1">z_score_diff(OFFSET(T1446,0,0,$I$5*-1,1),OFFSET(E1446,0,0,$I$5*-1,1))</f>
        <v>-1.2602027984416224E-2</v>
      </c>
      <c r="V1446" s="9">
        <f t="shared" ca="1" si="183"/>
        <v>1.2874144170259677E-2</v>
      </c>
      <c r="W1446" s="17">
        <f t="shared" ca="1" si="180"/>
        <v>-6.5995339038514039E-2</v>
      </c>
      <c r="X1446" s="13">
        <f t="shared" ca="1" si="181"/>
        <v>0</v>
      </c>
      <c r="Y1446" s="13">
        <f t="shared" ca="1" si="182"/>
        <v>0</v>
      </c>
      <c r="Z1446">
        <f t="shared" ca="1" si="184"/>
        <v>0</v>
      </c>
      <c r="AA1446">
        <f t="shared" ca="1" si="185"/>
        <v>1</v>
      </c>
      <c r="AB1446" s="24">
        <f t="shared" ca="1" si="186"/>
        <v>0</v>
      </c>
      <c r="AC1446" s="24">
        <f t="shared" ca="1" si="187"/>
        <v>-6.5995339038514039E-2</v>
      </c>
    </row>
    <row r="1447" spans="3:29" x14ac:dyDescent="0.25">
      <c r="C1447" s="6">
        <v>1440</v>
      </c>
      <c r="D1447" s="37">
        <v>44056</v>
      </c>
      <c r="E1447" s="39">
        <v>15.256</v>
      </c>
      <c r="F1447" s="39">
        <v>2.4745269286754001</v>
      </c>
      <c r="G1447" s="39">
        <v>49.224999588786481</v>
      </c>
      <c r="H1447" s="39">
        <v>57.052987334571434</v>
      </c>
      <c r="I1447" s="10">
        <v>0</v>
      </c>
      <c r="J1447" s="40">
        <v>0</v>
      </c>
      <c r="K1447" s="40">
        <v>0</v>
      </c>
      <c r="L1447" s="40">
        <v>0</v>
      </c>
      <c r="M1447" s="40">
        <v>0</v>
      </c>
      <c r="N1447" s="40">
        <v>0</v>
      </c>
      <c r="O1447" s="40">
        <v>0</v>
      </c>
      <c r="P1447" s="40">
        <v>1</v>
      </c>
      <c r="Q1447" s="40">
        <v>0</v>
      </c>
      <c r="R1447" s="40">
        <v>0</v>
      </c>
      <c r="S1447" s="40">
        <v>0</v>
      </c>
      <c r="T1447" s="29">
        <f t="array" aca="1" ref="T1447" ca="1">+fair_value_gap(OFFSET(S1446,0,0,-1*$I$5,-1*$Z$1),OFFSET(E1446,0,0,-1*$I$5,1),F1447:S1447,0)</f>
        <v>15.246587810683213</v>
      </c>
      <c r="U1447" s="9" cm="1">
        <f t="array" aca="1" ref="U1447" ca="1">z_score_diff(OFFSET(T1447,0,0,$I$5*-1,1),OFFSET(E1447,0,0,$I$5*-1,1))</f>
        <v>-3.0781512399179235E-2</v>
      </c>
      <c r="V1447" s="9">
        <f t="shared" ca="1" si="183"/>
        <v>1.1899657246836533E-2</v>
      </c>
      <c r="W1447" s="17">
        <f t="shared" ca="1" si="180"/>
        <v>-8.1710108200347645E-2</v>
      </c>
      <c r="X1447" s="13">
        <f t="shared" ca="1" si="181"/>
        <v>0</v>
      </c>
      <c r="Y1447" s="13">
        <f t="shared" ca="1" si="182"/>
        <v>0</v>
      </c>
      <c r="Z1447">
        <f t="shared" ca="1" si="184"/>
        <v>0</v>
      </c>
      <c r="AA1447">
        <f t="shared" ca="1" si="185"/>
        <v>1</v>
      </c>
      <c r="AB1447" s="24">
        <f t="shared" ca="1" si="186"/>
        <v>0</v>
      </c>
      <c r="AC1447" s="24">
        <f t="shared" ca="1" si="187"/>
        <v>-8.1710108200347645E-2</v>
      </c>
    </row>
    <row r="1448" spans="3:29" x14ac:dyDescent="0.25">
      <c r="C1448" s="6">
        <v>1441</v>
      </c>
      <c r="D1448" s="37">
        <v>44057</v>
      </c>
      <c r="E1448" s="39">
        <v>15.396000000000001</v>
      </c>
      <c r="F1448" s="39">
        <v>2.49801569251288</v>
      </c>
      <c r="G1448" s="39">
        <v>49.337584068286276</v>
      </c>
      <c r="H1448" s="39">
        <v>57.254886904905973</v>
      </c>
      <c r="I1448" s="10">
        <v>0</v>
      </c>
      <c r="J1448" s="40">
        <v>0</v>
      </c>
      <c r="K1448" s="40">
        <v>0</v>
      </c>
      <c r="L1448" s="40">
        <v>0</v>
      </c>
      <c r="M1448" s="40">
        <v>0</v>
      </c>
      <c r="N1448" s="40">
        <v>0</v>
      </c>
      <c r="O1448" s="40">
        <v>0</v>
      </c>
      <c r="P1448" s="40">
        <v>1</v>
      </c>
      <c r="Q1448" s="40">
        <v>0</v>
      </c>
      <c r="R1448" s="40">
        <v>0</v>
      </c>
      <c r="S1448" s="40">
        <v>0</v>
      </c>
      <c r="T1448" s="29">
        <f t="array" aca="1" ref="T1448" ca="1">+fair_value_gap(OFFSET(S1447,0,0,-1*$I$5,-1*$Z$1),OFFSET(E1447,0,0,-1*$I$5,1),F1448:S1448,0)</f>
        <v>15.289856541717695</v>
      </c>
      <c r="U1448" s="9" cm="1">
        <f t="array" aca="1" ref="U1448" ca="1">z_score_diff(OFFSET(T1448,0,0,$I$5*-1,1),OFFSET(E1448,0,0,$I$5*-1,1))</f>
        <v>-7.9311647843816044E-2</v>
      </c>
      <c r="V1448" s="9">
        <f t="shared" ca="1" si="183"/>
        <v>1.0402047963787298E-2</v>
      </c>
      <c r="W1448" s="17">
        <f t="shared" ca="1" si="180"/>
        <v>-0.10835277704611986</v>
      </c>
      <c r="X1448" s="13">
        <f t="shared" ca="1" si="181"/>
        <v>0</v>
      </c>
      <c r="Y1448" s="13">
        <f t="shared" ca="1" si="182"/>
        <v>0</v>
      </c>
      <c r="Z1448">
        <f t="shared" ca="1" si="184"/>
        <v>0</v>
      </c>
      <c r="AA1448">
        <f t="shared" ca="1" si="185"/>
        <v>1</v>
      </c>
      <c r="AB1448" s="24">
        <f t="shared" ca="1" si="186"/>
        <v>0</v>
      </c>
      <c r="AC1448" s="24">
        <f t="shared" ca="1" si="187"/>
        <v>-0.10835277704611986</v>
      </c>
    </row>
    <row r="1449" spans="3:29" x14ac:dyDescent="0.25">
      <c r="C1449" s="6">
        <v>1442</v>
      </c>
      <c r="D1449" s="37">
        <v>44060</v>
      </c>
      <c r="E1449" s="39">
        <v>15.391</v>
      </c>
      <c r="F1449" s="39">
        <v>2.4968840984533305</v>
      </c>
      <c r="G1449" s="39">
        <v>49.232507026960761</v>
      </c>
      <c r="H1449" s="39">
        <v>57.197711758500766</v>
      </c>
      <c r="I1449" s="10">
        <v>0</v>
      </c>
      <c r="J1449" s="40">
        <v>0</v>
      </c>
      <c r="K1449" s="40">
        <v>0</v>
      </c>
      <c r="L1449" s="40">
        <v>0</v>
      </c>
      <c r="M1449" s="40">
        <v>0</v>
      </c>
      <c r="N1449" s="40">
        <v>0</v>
      </c>
      <c r="O1449" s="40">
        <v>0</v>
      </c>
      <c r="P1449" s="40">
        <v>1</v>
      </c>
      <c r="Q1449" s="40">
        <v>0</v>
      </c>
      <c r="R1449" s="40">
        <v>0</v>
      </c>
      <c r="S1449" s="40">
        <v>0</v>
      </c>
      <c r="T1449" s="29">
        <f t="array" aca="1" ref="T1449" ca="1">+fair_value_gap(OFFSET(S1448,0,0,-1*$I$5,-1*$Z$1),OFFSET(E1448,0,0,-1*$I$5,1),F1449:S1449,0)</f>
        <v>15.265529541167712</v>
      </c>
      <c r="U1449" s="9" cm="1">
        <f t="array" aca="1" ref="U1449" ca="1">z_score_diff(OFFSET(T1449,0,0,$I$5*-1,1),OFFSET(E1449,0,0,$I$5*-1,1))</f>
        <v>-8.9541783900980748E-2</v>
      </c>
      <c r="V1449" s="9">
        <f t="shared" ca="1" si="183"/>
        <v>6.3002165898858901E-3</v>
      </c>
      <c r="W1449" s="17">
        <f t="shared" ca="1" si="180"/>
        <v>-9.0733572113021022E-2</v>
      </c>
      <c r="X1449" s="13">
        <f t="shared" ca="1" si="181"/>
        <v>0</v>
      </c>
      <c r="Y1449" s="13">
        <f t="shared" ca="1" si="182"/>
        <v>0</v>
      </c>
      <c r="Z1449">
        <f t="shared" ca="1" si="184"/>
        <v>0</v>
      </c>
      <c r="AA1449">
        <f t="shared" ca="1" si="185"/>
        <v>1</v>
      </c>
      <c r="AB1449" s="24">
        <f t="shared" ca="1" si="186"/>
        <v>0</v>
      </c>
      <c r="AC1449" s="24">
        <f t="shared" ca="1" si="187"/>
        <v>-9.0733572113021022E-2</v>
      </c>
    </row>
    <row r="1450" spans="3:29" x14ac:dyDescent="0.25">
      <c r="C1450" s="6">
        <v>1443</v>
      </c>
      <c r="D1450" s="37">
        <v>44061</v>
      </c>
      <c r="E1450" s="39">
        <v>15.492000000000001</v>
      </c>
      <c r="F1450" s="39">
        <v>2.5016795215993519</v>
      </c>
      <c r="G1450" s="39">
        <v>49.737071056258323</v>
      </c>
      <c r="H1450" s="39">
        <v>57.074741403375945</v>
      </c>
      <c r="I1450" s="10">
        <v>0</v>
      </c>
      <c r="J1450" s="40">
        <v>0</v>
      </c>
      <c r="K1450" s="40">
        <v>0</v>
      </c>
      <c r="L1450" s="40">
        <v>0</v>
      </c>
      <c r="M1450" s="40">
        <v>0</v>
      </c>
      <c r="N1450" s="40">
        <v>0</v>
      </c>
      <c r="O1450" s="40">
        <v>0</v>
      </c>
      <c r="P1450" s="40">
        <v>1</v>
      </c>
      <c r="Q1450" s="40">
        <v>0</v>
      </c>
      <c r="R1450" s="40">
        <v>0</v>
      </c>
      <c r="S1450" s="40">
        <v>0</v>
      </c>
      <c r="T1450" s="29">
        <f t="array" aca="1" ref="T1450" ca="1">+fair_value_gap(OFFSET(S1449,0,0,-1*$I$5,-1*$Z$1),OFFSET(E1449,0,0,-1*$I$5,1),F1450:S1450,0)</f>
        <v>15.432845808988047</v>
      </c>
      <c r="U1450" s="9" cm="1">
        <f t="array" aca="1" ref="U1450" ca="1">z_score_diff(OFFSET(T1450,0,0,$I$5*-1,1),OFFSET(E1450,0,0,$I$5*-1,1))</f>
        <v>-5.4117568577244451E-2</v>
      </c>
      <c r="V1450" s="9">
        <f t="shared" ca="1" si="183"/>
        <v>-8.8666506028086071E-3</v>
      </c>
      <c r="W1450" s="17">
        <f t="shared" ca="1" si="180"/>
        <v>-9.4574586747675174E-2</v>
      </c>
      <c r="X1450" s="13">
        <f t="shared" ca="1" si="181"/>
        <v>0</v>
      </c>
      <c r="Y1450" s="13">
        <f t="shared" ca="1" si="182"/>
        <v>0</v>
      </c>
      <c r="Z1450">
        <f t="shared" ca="1" si="184"/>
        <v>1</v>
      </c>
      <c r="AA1450">
        <f t="shared" ca="1" si="185"/>
        <v>0</v>
      </c>
      <c r="AB1450" s="24">
        <f t="shared" ca="1" si="186"/>
        <v>-9.4574586747675174E-2</v>
      </c>
      <c r="AC1450" s="24">
        <f t="shared" ca="1" si="187"/>
        <v>0</v>
      </c>
    </row>
    <row r="1451" spans="3:29" x14ac:dyDescent="0.25">
      <c r="C1451" s="6">
        <v>1444</v>
      </c>
      <c r="D1451" s="37">
        <v>44062</v>
      </c>
      <c r="E1451" s="39">
        <v>15.484</v>
      </c>
      <c r="F1451" s="39">
        <v>2.5357357557945357</v>
      </c>
      <c r="G1451" s="39">
        <v>49.661503507775443</v>
      </c>
      <c r="H1451" s="39">
        <v>57.152160844298976</v>
      </c>
      <c r="I1451" s="10">
        <v>0</v>
      </c>
      <c r="J1451" s="40">
        <v>0</v>
      </c>
      <c r="K1451" s="40">
        <v>0</v>
      </c>
      <c r="L1451" s="40">
        <v>0</v>
      </c>
      <c r="M1451" s="40">
        <v>0</v>
      </c>
      <c r="N1451" s="40">
        <v>0</v>
      </c>
      <c r="O1451" s="40">
        <v>0</v>
      </c>
      <c r="P1451" s="40">
        <v>1</v>
      </c>
      <c r="Q1451" s="40">
        <v>0</v>
      </c>
      <c r="R1451" s="40">
        <v>0</v>
      </c>
      <c r="S1451" s="40">
        <v>0</v>
      </c>
      <c r="T1451" s="29">
        <f t="array" aca="1" ref="T1451" ca="1">+fair_value_gap(OFFSET(S1450,0,0,-1*$I$5,-1*$Z$1),OFFSET(E1450,0,0,-1*$I$5,1),F1451:S1451,0)</f>
        <v>15.416095968927001</v>
      </c>
      <c r="U1451" s="9" cm="1">
        <f t="array" aca="1" ref="U1451" ca="1">z_score_diff(OFFSET(T1451,0,0,$I$5*-1,1),OFFSET(E1451,0,0,$I$5*-1,1))</f>
        <v>-5.8561410111429166E-2</v>
      </c>
      <c r="V1451" s="9">
        <f t="shared" ca="1" si="183"/>
        <v>-1.68268788543895E-2</v>
      </c>
      <c r="W1451" s="17">
        <f t="shared" ca="1" si="180"/>
        <v>-8.6846997931151651E-2</v>
      </c>
      <c r="X1451" s="13">
        <f t="shared" ca="1" si="181"/>
        <v>0</v>
      </c>
      <c r="Y1451" s="13">
        <f t="shared" ca="1" si="182"/>
        <v>0</v>
      </c>
      <c r="Z1451">
        <f t="shared" ca="1" si="184"/>
        <v>1</v>
      </c>
      <c r="AA1451">
        <f t="shared" ca="1" si="185"/>
        <v>0</v>
      </c>
      <c r="AB1451" s="24">
        <f t="shared" ca="1" si="186"/>
        <v>-8.6846997931151651E-2</v>
      </c>
      <c r="AC1451" s="24">
        <f t="shared" ca="1" si="187"/>
        <v>0</v>
      </c>
    </row>
    <row r="1452" spans="3:29" x14ac:dyDescent="0.25">
      <c r="C1452" s="6">
        <v>1445</v>
      </c>
      <c r="D1452" s="37">
        <v>44063</v>
      </c>
      <c r="E1452" s="39">
        <v>15.55</v>
      </c>
      <c r="F1452" s="39">
        <v>2.5334367820019317</v>
      </c>
      <c r="G1452" s="39">
        <v>49.965651375822553</v>
      </c>
      <c r="H1452" s="39">
        <v>56.71064901816824</v>
      </c>
      <c r="I1452" s="10">
        <v>0</v>
      </c>
      <c r="J1452" s="40">
        <v>0</v>
      </c>
      <c r="K1452" s="40">
        <v>0</v>
      </c>
      <c r="L1452" s="40">
        <v>0</v>
      </c>
      <c r="M1452" s="40">
        <v>0</v>
      </c>
      <c r="N1452" s="40">
        <v>0</v>
      </c>
      <c r="O1452" s="40">
        <v>0</v>
      </c>
      <c r="P1452" s="40">
        <v>1</v>
      </c>
      <c r="Q1452" s="40">
        <v>0</v>
      </c>
      <c r="R1452" s="40">
        <v>0</v>
      </c>
      <c r="S1452" s="40">
        <v>0</v>
      </c>
      <c r="T1452" s="29">
        <f t="array" aca="1" ref="T1452" ca="1">+fair_value_gap(OFFSET(S1451,0,0,-1*$I$5,-1*$Z$1),OFFSET(E1451,0,0,-1*$I$5,1),F1452:S1452,0)</f>
        <v>15.514076959370751</v>
      </c>
      <c r="U1452" s="9" cm="1">
        <f t="array" aca="1" ref="U1452" ca="1">z_score_diff(OFFSET(T1452,0,0,$I$5*-1,1),OFFSET(E1452,0,0,$I$5*-1,1))</f>
        <v>-4.1175226388771607E-2</v>
      </c>
      <c r="V1452" s="9">
        <f t="shared" ca="1" si="183"/>
        <v>-2.1642057791413864E-2</v>
      </c>
      <c r="W1452" s="17">
        <f t="shared" ca="1" si="180"/>
        <v>-7.267442189462453E-2</v>
      </c>
      <c r="X1452" s="13">
        <f t="shared" ca="1" si="181"/>
        <v>0</v>
      </c>
      <c r="Y1452" s="13">
        <f t="shared" ca="1" si="182"/>
        <v>0</v>
      </c>
      <c r="Z1452">
        <f t="shared" ca="1" si="184"/>
        <v>1</v>
      </c>
      <c r="AA1452">
        <f t="shared" ca="1" si="185"/>
        <v>0</v>
      </c>
      <c r="AB1452" s="24">
        <f t="shared" ca="1" si="186"/>
        <v>-7.267442189462453E-2</v>
      </c>
      <c r="AC1452" s="24">
        <f t="shared" ca="1" si="187"/>
        <v>0</v>
      </c>
    </row>
    <row r="1453" spans="3:29" x14ac:dyDescent="0.25">
      <c r="C1453" s="6">
        <v>1446</v>
      </c>
      <c r="D1453" s="37">
        <v>44064</v>
      </c>
      <c r="E1453" s="39">
        <v>15.388</v>
      </c>
      <c r="F1453" s="39">
        <v>2.5484836019908665</v>
      </c>
      <c r="G1453" s="39">
        <v>49.385950043915742</v>
      </c>
      <c r="H1453" s="39">
        <v>56.7167455143924</v>
      </c>
      <c r="I1453" s="10">
        <v>0</v>
      </c>
      <c r="J1453" s="40">
        <v>0</v>
      </c>
      <c r="K1453" s="40">
        <v>0</v>
      </c>
      <c r="L1453" s="40">
        <v>0</v>
      </c>
      <c r="M1453" s="40">
        <v>0</v>
      </c>
      <c r="N1453" s="40">
        <v>0</v>
      </c>
      <c r="O1453" s="40">
        <v>0</v>
      </c>
      <c r="P1453" s="40">
        <v>1</v>
      </c>
      <c r="Q1453" s="40">
        <v>0</v>
      </c>
      <c r="R1453" s="40">
        <v>0</v>
      </c>
      <c r="S1453" s="40">
        <v>0</v>
      </c>
      <c r="T1453" s="29">
        <f t="array" aca="1" ref="T1453" ca="1">+fair_value_gap(OFFSET(S1452,0,0,-1*$I$5,-1*$Z$1),OFFSET(E1452,0,0,-1*$I$5,1),F1453:S1453,0)</f>
        <v>15.331500188159795</v>
      </c>
      <c r="U1453" s="9" cm="1">
        <f t="array" aca="1" ref="U1453" ca="1">z_score_diff(OFFSET(T1453,0,0,$I$5*-1,1),OFFSET(E1453,0,0,$I$5*-1,1))</f>
        <v>-5.4050132792164647E-2</v>
      </c>
      <c r="V1453" s="9">
        <f t="shared" ca="1" si="183"/>
        <v>-2.4978497511180718E-2</v>
      </c>
      <c r="W1453" s="17">
        <f t="shared" ca="1" si="180"/>
        <v>-6.9420011604687804E-2</v>
      </c>
      <c r="X1453" s="13">
        <f t="shared" ca="1" si="181"/>
        <v>0</v>
      </c>
      <c r="Y1453" s="13">
        <f t="shared" ca="1" si="182"/>
        <v>0</v>
      </c>
      <c r="Z1453">
        <f t="shared" ca="1" si="184"/>
        <v>1</v>
      </c>
      <c r="AA1453">
        <f t="shared" ca="1" si="185"/>
        <v>0</v>
      </c>
      <c r="AB1453" s="24">
        <f t="shared" ca="1" si="186"/>
        <v>-6.9420011604687804E-2</v>
      </c>
      <c r="AC1453" s="24">
        <f t="shared" ca="1" si="187"/>
        <v>0</v>
      </c>
    </row>
    <row r="1454" spans="3:29" x14ac:dyDescent="0.25">
      <c r="C1454" s="6">
        <v>1447</v>
      </c>
      <c r="D1454" s="37">
        <v>44067</v>
      </c>
      <c r="E1454" s="39">
        <v>15.702</v>
      </c>
      <c r="F1454" s="39">
        <v>2.5498080100181806</v>
      </c>
      <c r="G1454" s="39">
        <v>50.233757788264647</v>
      </c>
      <c r="H1454" s="39">
        <v>56.913860578643813</v>
      </c>
      <c r="I1454" s="10">
        <v>0</v>
      </c>
      <c r="J1454" s="40">
        <v>0</v>
      </c>
      <c r="K1454" s="40">
        <v>0</v>
      </c>
      <c r="L1454" s="40">
        <v>0</v>
      </c>
      <c r="M1454" s="40">
        <v>0</v>
      </c>
      <c r="N1454" s="40">
        <v>0</v>
      </c>
      <c r="O1454" s="40">
        <v>0</v>
      </c>
      <c r="P1454" s="40">
        <v>1</v>
      </c>
      <c r="Q1454" s="40">
        <v>0</v>
      </c>
      <c r="R1454" s="40">
        <v>0</v>
      </c>
      <c r="S1454" s="40">
        <v>0</v>
      </c>
      <c r="T1454" s="29">
        <f t="array" aca="1" ref="T1454" ca="1">+fair_value_gap(OFFSET(S1453,0,0,-1*$I$5,-1*$Z$1),OFFSET(E1453,0,0,-1*$I$5,1),F1454:S1454,0)</f>
        <v>15.602590175552349</v>
      </c>
      <c r="U1454" s="9" cm="1">
        <f t="array" aca="1" ref="U1454" ca="1">z_score_diff(OFFSET(T1454,0,0,$I$5*-1,1),OFFSET(E1454,0,0,$I$5*-1,1))</f>
        <v>-7.4035152990421044E-2</v>
      </c>
      <c r="V1454" s="9">
        <f t="shared" ca="1" si="183"/>
        <v>-2.9121612564478074E-2</v>
      </c>
      <c r="W1454" s="17">
        <f t="shared" ca="1" si="180"/>
        <v>-9.9138668400968924E-2</v>
      </c>
      <c r="X1454" s="13">
        <f t="shared" ca="1" si="181"/>
        <v>0</v>
      </c>
      <c r="Y1454" s="13">
        <f t="shared" ca="1" si="182"/>
        <v>0</v>
      </c>
      <c r="Z1454">
        <f t="shared" ca="1" si="184"/>
        <v>1</v>
      </c>
      <c r="AA1454">
        <f t="shared" ca="1" si="185"/>
        <v>0</v>
      </c>
      <c r="AB1454" s="24">
        <f t="shared" ca="1" si="186"/>
        <v>-9.9138668400968924E-2</v>
      </c>
      <c r="AC1454" s="24">
        <f t="shared" ca="1" si="187"/>
        <v>0</v>
      </c>
    </row>
    <row r="1455" spans="3:29" x14ac:dyDescent="0.25">
      <c r="C1455" s="6">
        <v>1448</v>
      </c>
      <c r="D1455" s="37">
        <v>44068</v>
      </c>
      <c r="E1455" s="39">
        <v>15.946999999999999</v>
      </c>
      <c r="F1455" s="39">
        <v>2.5405829309908525</v>
      </c>
      <c r="G1455" s="39">
        <v>50.831309443168614</v>
      </c>
      <c r="H1455" s="39">
        <v>56.624432189736943</v>
      </c>
      <c r="I1455" s="10">
        <v>0</v>
      </c>
      <c r="J1455" s="40">
        <v>0</v>
      </c>
      <c r="K1455" s="40">
        <v>0</v>
      </c>
      <c r="L1455" s="40">
        <v>0</v>
      </c>
      <c r="M1455" s="40">
        <v>0</v>
      </c>
      <c r="N1455" s="40">
        <v>0</v>
      </c>
      <c r="O1455" s="40">
        <v>0</v>
      </c>
      <c r="P1455" s="40">
        <v>1</v>
      </c>
      <c r="Q1455" s="40">
        <v>0</v>
      </c>
      <c r="R1455" s="40">
        <v>0</v>
      </c>
      <c r="S1455" s="40">
        <v>0</v>
      </c>
      <c r="T1455" s="29">
        <f t="array" aca="1" ref="T1455" ca="1">+fair_value_gap(OFFSET(S1454,0,0,-1*$I$5,-1*$Z$1),OFFSET(E1454,0,0,-1*$I$5,1),F1455:S1455,0)</f>
        <v>15.793686141696885</v>
      </c>
      <c r="U1455" s="9" cm="1">
        <f t="array" aca="1" ref="U1455" ca="1">z_score_diff(OFFSET(T1455,0,0,$I$5*-1,1),OFFSET(E1455,0,0,$I$5*-1,1))</f>
        <v>-0.10044860352504265</v>
      </c>
      <c r="V1455" s="9">
        <f t="shared" ca="1" si="183"/>
        <v>-3.4891946629047786E-2</v>
      </c>
      <c r="W1455" s="17">
        <f t="shared" ca="1" si="180"/>
        <v>-0.11497297866287198</v>
      </c>
      <c r="X1455" s="13">
        <f t="shared" ca="1" si="181"/>
        <v>0</v>
      </c>
      <c r="Y1455" s="13">
        <f t="shared" ca="1" si="182"/>
        <v>0</v>
      </c>
      <c r="Z1455">
        <f t="shared" ca="1" si="184"/>
        <v>1</v>
      </c>
      <c r="AA1455">
        <f t="shared" ca="1" si="185"/>
        <v>0</v>
      </c>
      <c r="AB1455" s="24">
        <f t="shared" ca="1" si="186"/>
        <v>-0.11497297866287198</v>
      </c>
      <c r="AC1455" s="24">
        <f t="shared" ca="1" si="187"/>
        <v>0</v>
      </c>
    </row>
    <row r="1456" spans="3:29" x14ac:dyDescent="0.25">
      <c r="C1456" s="6">
        <v>1449</v>
      </c>
      <c r="D1456" s="37">
        <v>44069</v>
      </c>
      <c r="E1456" s="39">
        <v>16.123000000000001</v>
      </c>
      <c r="F1456" s="39">
        <v>2.5422085196170552</v>
      </c>
      <c r="G1456" s="39">
        <v>51.657520593873443</v>
      </c>
      <c r="H1456" s="39">
        <v>56.386703271348367</v>
      </c>
      <c r="I1456" s="10">
        <v>0</v>
      </c>
      <c r="J1456" s="40">
        <v>0</v>
      </c>
      <c r="K1456" s="40">
        <v>0</v>
      </c>
      <c r="L1456" s="40">
        <v>0</v>
      </c>
      <c r="M1456" s="40">
        <v>0</v>
      </c>
      <c r="N1456" s="40">
        <v>0</v>
      </c>
      <c r="O1456" s="40">
        <v>0</v>
      </c>
      <c r="P1456" s="40">
        <v>1</v>
      </c>
      <c r="Q1456" s="40">
        <v>0</v>
      </c>
      <c r="R1456" s="40">
        <v>0</v>
      </c>
      <c r="S1456" s="40">
        <v>0</v>
      </c>
      <c r="T1456" s="29">
        <f t="array" aca="1" ref="T1456" ca="1">+fair_value_gap(OFFSET(S1455,0,0,-1*$I$5,-1*$Z$1),OFFSET(E1455,0,0,-1*$I$5,1),F1456:S1456,0)</f>
        <v>16.062952090648221</v>
      </c>
      <c r="U1456" s="9" cm="1">
        <f t="array" aca="1" ref="U1456" ca="1">z_score_diff(OFFSET(T1456,0,0,$I$5*-1,1),OFFSET(E1456,0,0,$I$5*-1,1))</f>
        <v>-4.863009729659451E-2</v>
      </c>
      <c r="V1456" s="9">
        <f t="shared" ca="1" si="183"/>
        <v>-3.8944463122063594E-2</v>
      </c>
      <c r="W1456" s="17">
        <f t="shared" ca="1" si="180"/>
        <v>-0.12166701835368889</v>
      </c>
      <c r="X1456" s="13">
        <f t="shared" ca="1" si="181"/>
        <v>0</v>
      </c>
      <c r="Y1456" s="13">
        <f t="shared" ca="1" si="182"/>
        <v>0</v>
      </c>
      <c r="Z1456">
        <f t="shared" ca="1" si="184"/>
        <v>1</v>
      </c>
      <c r="AA1456">
        <f t="shared" ca="1" si="185"/>
        <v>0</v>
      </c>
      <c r="AB1456" s="24">
        <f t="shared" ca="1" si="186"/>
        <v>-0.12166701835368889</v>
      </c>
      <c r="AC1456" s="24">
        <f t="shared" ca="1" si="187"/>
        <v>0</v>
      </c>
    </row>
    <row r="1457" spans="3:29" x14ac:dyDescent="0.25">
      <c r="C1457" s="6">
        <v>1450</v>
      </c>
      <c r="D1457" s="37">
        <v>44070</v>
      </c>
      <c r="E1457" s="39">
        <v>16.032</v>
      </c>
      <c r="F1457" s="39">
        <v>2.558731283896293</v>
      </c>
      <c r="G1457" s="39">
        <v>51.809054850069238</v>
      </c>
      <c r="H1457" s="39">
        <v>56.465958257822479</v>
      </c>
      <c r="I1457" s="10">
        <v>0</v>
      </c>
      <c r="J1457" s="40">
        <v>0</v>
      </c>
      <c r="K1457" s="40">
        <v>0</v>
      </c>
      <c r="L1457" s="40">
        <v>0</v>
      </c>
      <c r="M1457" s="40">
        <v>0</v>
      </c>
      <c r="N1457" s="40">
        <v>0</v>
      </c>
      <c r="O1457" s="40">
        <v>0</v>
      </c>
      <c r="P1457" s="40">
        <v>1</v>
      </c>
      <c r="Q1457" s="40">
        <v>0</v>
      </c>
      <c r="R1457" s="40">
        <v>0</v>
      </c>
      <c r="S1457" s="40">
        <v>0</v>
      </c>
      <c r="T1457" s="29">
        <f t="array" aca="1" ref="T1457" ca="1">+fair_value_gap(OFFSET(S1456,0,0,-1*$I$5,-1*$Z$1),OFFSET(E1456,0,0,-1*$I$5,1),F1457:S1457,0)</f>
        <v>16.11656580482968</v>
      </c>
      <c r="U1457" s="9" cm="1">
        <f t="array" aca="1" ref="U1457" ca="1">z_score_diff(OFFSET(T1457,0,0,$I$5*-1,1),OFFSET(E1457,0,0,$I$5*-1,1))</f>
        <v>2.8327220540820985E-2</v>
      </c>
      <c r="V1457" s="9">
        <f t="shared" ca="1" si="183"/>
        <v>-3.9844563018386549E-2</v>
      </c>
      <c r="W1457" s="17">
        <f t="shared" ca="1" si="180"/>
        <v>-0.1203593304977509</v>
      </c>
      <c r="X1457" s="13">
        <f t="shared" ca="1" si="181"/>
        <v>0</v>
      </c>
      <c r="Y1457" s="13">
        <f t="shared" ca="1" si="182"/>
        <v>0</v>
      </c>
      <c r="Z1457">
        <f t="shared" ca="1" si="184"/>
        <v>1</v>
      </c>
      <c r="AA1457">
        <f t="shared" ca="1" si="185"/>
        <v>0</v>
      </c>
      <c r="AB1457" s="24">
        <f t="shared" ca="1" si="186"/>
        <v>-0.1203593304977509</v>
      </c>
      <c r="AC1457" s="24">
        <f t="shared" ca="1" si="187"/>
        <v>0</v>
      </c>
    </row>
    <row r="1458" spans="3:29" x14ac:dyDescent="0.25">
      <c r="C1458" s="6">
        <v>1451</v>
      </c>
      <c r="D1458" s="37">
        <v>44071</v>
      </c>
      <c r="E1458" s="39">
        <v>15.782</v>
      </c>
      <c r="F1458" s="39">
        <v>2.4071515401119958</v>
      </c>
      <c r="G1458" s="39">
        <v>49.273959880096321</v>
      </c>
      <c r="H1458" s="39">
        <v>56.255438717691526</v>
      </c>
      <c r="I1458" s="10">
        <v>0</v>
      </c>
      <c r="J1458" s="40">
        <v>0</v>
      </c>
      <c r="K1458" s="40">
        <v>0</v>
      </c>
      <c r="L1458" s="40">
        <v>0</v>
      </c>
      <c r="M1458" s="40">
        <v>0</v>
      </c>
      <c r="N1458" s="40">
        <v>0</v>
      </c>
      <c r="O1458" s="40">
        <v>0</v>
      </c>
      <c r="P1458" s="40">
        <v>1</v>
      </c>
      <c r="Q1458" s="40">
        <v>0</v>
      </c>
      <c r="R1458" s="40">
        <v>0</v>
      </c>
      <c r="S1458" s="40">
        <v>0</v>
      </c>
      <c r="T1458" s="29">
        <f t="array" aca="1" ref="T1458" ca="1">+fair_value_gap(OFFSET(S1457,0,0,-1*$I$5,-1*$Z$1),OFFSET(E1457,0,0,-1*$I$5,1),F1458:S1458,0)</f>
        <v>15.306210020316923</v>
      </c>
      <c r="U1458" s="9" cm="1">
        <f t="array" aca="1" ref="U1458" ca="1">z_score_diff(OFFSET(T1458,0,0,$I$5*-1,1),OFFSET(E1458,0,0,$I$5*-1,1))</f>
        <v>-0.27799591614697455</v>
      </c>
      <c r="V1458" s="9">
        <f t="shared" ca="1" si="183"/>
        <v>-4.9457428874861251E-2</v>
      </c>
      <c r="W1458" s="17">
        <f t="shared" ca="1" si="180"/>
        <v>-9.2128072818309481E-2</v>
      </c>
      <c r="X1458" s="13">
        <f t="shared" ca="1" si="181"/>
        <v>0</v>
      </c>
      <c r="Y1458" s="13">
        <f t="shared" ca="1" si="182"/>
        <v>0</v>
      </c>
      <c r="Z1458">
        <f t="shared" ca="1" si="184"/>
        <v>1</v>
      </c>
      <c r="AA1458">
        <f t="shared" ca="1" si="185"/>
        <v>0</v>
      </c>
      <c r="AB1458" s="24">
        <f t="shared" ca="1" si="186"/>
        <v>-9.2128072818309481E-2</v>
      </c>
      <c r="AC1458" s="24">
        <f t="shared" ca="1" si="187"/>
        <v>0</v>
      </c>
    </row>
    <row r="1459" spans="3:29" x14ac:dyDescent="0.25">
      <c r="C1459" s="6">
        <v>1452</v>
      </c>
      <c r="D1459" s="37">
        <v>44074</v>
      </c>
      <c r="E1459" s="39">
        <v>15.731999999999999</v>
      </c>
      <c r="F1459" s="39">
        <v>2.4018214088421814</v>
      </c>
      <c r="G1459" s="39">
        <v>49.190467042942274</v>
      </c>
      <c r="H1459" s="39">
        <v>57.933588809831242</v>
      </c>
      <c r="I1459" s="10">
        <v>0</v>
      </c>
      <c r="J1459" s="40">
        <v>0</v>
      </c>
      <c r="K1459" s="40">
        <v>0</v>
      </c>
      <c r="L1459" s="40">
        <v>0</v>
      </c>
      <c r="M1459" s="40">
        <v>0</v>
      </c>
      <c r="N1459" s="40">
        <v>0</v>
      </c>
      <c r="O1459" s="40">
        <v>0</v>
      </c>
      <c r="P1459" s="40">
        <v>1</v>
      </c>
      <c r="Q1459" s="40">
        <v>0</v>
      </c>
      <c r="R1459" s="40">
        <v>0</v>
      </c>
      <c r="S1459" s="40">
        <v>0</v>
      </c>
      <c r="T1459" s="29">
        <f t="array" aca="1" ref="T1459" ca="1">+fair_value_gap(OFFSET(S1458,0,0,-1*$I$5,-1*$Z$1),OFFSET(E1458,0,0,-1*$I$5,1),F1459:S1459,0)</f>
        <v>15.346761919412248</v>
      </c>
      <c r="U1459" s="9" cm="1">
        <f t="array" aca="1" ref="U1459" ca="1">z_score_diff(OFFSET(T1459,0,0,$I$5*-1,1),OFFSET(E1459,0,0,$I$5*-1,1))</f>
        <v>-0.2293275303563409</v>
      </c>
      <c r="V1459" s="9">
        <f t="shared" ca="1" si="183"/>
        <v>-5.5159436030753371E-2</v>
      </c>
      <c r="W1459" s="17">
        <f t="shared" ca="1" si="180"/>
        <v>-8.4034050919742337E-2</v>
      </c>
      <c r="X1459" s="13">
        <f t="shared" ca="1" si="181"/>
        <v>0</v>
      </c>
      <c r="Y1459" s="13">
        <f t="shared" ca="1" si="182"/>
        <v>0</v>
      </c>
      <c r="Z1459">
        <f t="shared" ca="1" si="184"/>
        <v>1</v>
      </c>
      <c r="AA1459">
        <f t="shared" ca="1" si="185"/>
        <v>0</v>
      </c>
      <c r="AB1459" s="24">
        <f t="shared" ca="1" si="186"/>
        <v>-8.4034050919742337E-2</v>
      </c>
      <c r="AC1459" s="24">
        <f t="shared" ca="1" si="187"/>
        <v>0</v>
      </c>
    </row>
    <row r="1460" spans="3:29" x14ac:dyDescent="0.25">
      <c r="C1460" s="6">
        <v>1453</v>
      </c>
      <c r="D1460" s="37">
        <v>44075</v>
      </c>
      <c r="E1460" s="39">
        <v>15.753</v>
      </c>
      <c r="F1460" s="39">
        <v>2.4066710067464743</v>
      </c>
      <c r="G1460" s="39">
        <v>49.038056828026072</v>
      </c>
      <c r="H1460" s="39">
        <v>57.015379639496935</v>
      </c>
      <c r="I1460" s="10">
        <v>0</v>
      </c>
      <c r="J1460" s="40">
        <v>0</v>
      </c>
      <c r="K1460" s="40">
        <v>0</v>
      </c>
      <c r="L1460" s="40">
        <v>0</v>
      </c>
      <c r="M1460" s="40">
        <v>0</v>
      </c>
      <c r="N1460" s="40">
        <v>0</v>
      </c>
      <c r="O1460" s="40">
        <v>0</v>
      </c>
      <c r="P1460" s="40">
        <v>0</v>
      </c>
      <c r="Q1460" s="40">
        <v>1</v>
      </c>
      <c r="R1460" s="40">
        <v>0</v>
      </c>
      <c r="S1460" s="40">
        <v>0</v>
      </c>
      <c r="T1460" s="29">
        <f t="array" aca="1" ref="T1460" ca="1">+fair_value_gap(OFFSET(S1459,0,0,-1*$I$5,-1*$Z$1),OFFSET(E1459,0,0,-1*$I$5,1),F1460:S1460,0)</f>
        <v>15.390865811619248</v>
      </c>
      <c r="U1460" s="9" cm="1">
        <f t="array" aca="1" ref="U1460" ca="1">z_score_diff(OFFSET(T1460,0,0,$I$5*-1,1),OFFSET(E1460,0,0,$I$5*-1,1))</f>
        <v>-0.21757970694598089</v>
      </c>
      <c r="V1460" s="9">
        <f t="shared" ca="1" si="183"/>
        <v>-6.171019505913674E-2</v>
      </c>
      <c r="W1460" s="17">
        <f t="shared" ca="1" si="180"/>
        <v>-8.5091509233980442E-2</v>
      </c>
      <c r="X1460" s="13">
        <f t="shared" ca="1" si="181"/>
        <v>0</v>
      </c>
      <c r="Y1460" s="13">
        <f t="shared" ca="1" si="182"/>
        <v>0</v>
      </c>
      <c r="Z1460">
        <f t="shared" ca="1" si="184"/>
        <v>1</v>
      </c>
      <c r="AA1460">
        <f t="shared" ca="1" si="185"/>
        <v>0</v>
      </c>
      <c r="AB1460" s="24">
        <f t="shared" ca="1" si="186"/>
        <v>-8.5091509233980442E-2</v>
      </c>
      <c r="AC1460" s="24">
        <f t="shared" ca="1" si="187"/>
        <v>0</v>
      </c>
    </row>
    <row r="1461" spans="3:29" x14ac:dyDescent="0.25">
      <c r="C1461" s="6">
        <v>1454</v>
      </c>
      <c r="D1461" s="37">
        <v>44076</v>
      </c>
      <c r="E1461" s="39">
        <v>15.685</v>
      </c>
      <c r="F1461" s="39">
        <v>2.4285276155425768</v>
      </c>
      <c r="G1461" s="39">
        <v>48.573705463872194</v>
      </c>
      <c r="H1461" s="39">
        <v>56.671200362695679</v>
      </c>
      <c r="I1461" s="10">
        <v>0</v>
      </c>
      <c r="J1461" s="40">
        <v>0</v>
      </c>
      <c r="K1461" s="40">
        <v>0</v>
      </c>
      <c r="L1461" s="40">
        <v>0</v>
      </c>
      <c r="M1461" s="40">
        <v>0</v>
      </c>
      <c r="N1461" s="40">
        <v>0</v>
      </c>
      <c r="O1461" s="40">
        <v>0</v>
      </c>
      <c r="P1461" s="40">
        <v>0</v>
      </c>
      <c r="Q1461" s="40">
        <v>1</v>
      </c>
      <c r="R1461" s="40">
        <v>0</v>
      </c>
      <c r="S1461" s="40">
        <v>0</v>
      </c>
      <c r="T1461" s="29">
        <f t="array" aca="1" ref="T1461" ca="1">+fair_value_gap(OFFSET(S1460,0,0,-1*$I$5,-1*$Z$1),OFFSET(E1460,0,0,-1*$I$5,1),F1461:S1461,0)</f>
        <v>15.341595436062574</v>
      </c>
      <c r="U1461" s="9" cm="1">
        <f t="array" aca="1" ref="U1461" ca="1">z_score_diff(OFFSET(T1461,0,0,$I$5*-1,1),OFFSET(E1461,0,0,$I$5*-1,1))</f>
        <v>-0.20937521048526397</v>
      </c>
      <c r="V1461" s="9">
        <f t="shared" ca="1" si="183"/>
        <v>-6.7597008051992577E-2</v>
      </c>
      <c r="W1461" s="17">
        <f t="shared" ca="1" si="180"/>
        <v>-8.8606528069614152E-2</v>
      </c>
      <c r="X1461" s="13">
        <f t="shared" ca="1" si="181"/>
        <v>0</v>
      </c>
      <c r="Y1461" s="13">
        <f t="shared" ca="1" si="182"/>
        <v>0</v>
      </c>
      <c r="Z1461">
        <f t="shared" ca="1" si="184"/>
        <v>1</v>
      </c>
      <c r="AA1461">
        <f t="shared" ca="1" si="185"/>
        <v>0</v>
      </c>
      <c r="AB1461" s="24">
        <f t="shared" ca="1" si="186"/>
        <v>-8.8606528069614152E-2</v>
      </c>
      <c r="AC1461" s="24">
        <f t="shared" ca="1" si="187"/>
        <v>0</v>
      </c>
    </row>
    <row r="1462" spans="3:29" x14ac:dyDescent="0.25">
      <c r="C1462" s="6">
        <v>1455</v>
      </c>
      <c r="D1462" s="37">
        <v>44077</v>
      </c>
      <c r="E1462" s="39">
        <v>15.6</v>
      </c>
      <c r="F1462" s="39">
        <v>2.4349864454366301</v>
      </c>
      <c r="G1462" s="39">
        <v>48.715353161336729</v>
      </c>
      <c r="H1462" s="39">
        <v>56.393985975278341</v>
      </c>
      <c r="I1462" s="10">
        <v>0</v>
      </c>
      <c r="J1462" s="40">
        <v>0</v>
      </c>
      <c r="K1462" s="40">
        <v>0</v>
      </c>
      <c r="L1462" s="40">
        <v>0</v>
      </c>
      <c r="M1462" s="40">
        <v>0</v>
      </c>
      <c r="N1462" s="40">
        <v>0</v>
      </c>
      <c r="O1462" s="40">
        <v>0</v>
      </c>
      <c r="P1462" s="40">
        <v>0</v>
      </c>
      <c r="Q1462" s="40">
        <v>1</v>
      </c>
      <c r="R1462" s="40">
        <v>0</v>
      </c>
      <c r="S1462" s="40">
        <v>0</v>
      </c>
      <c r="T1462" s="29">
        <f t="array" aca="1" ref="T1462" ca="1">+fair_value_gap(OFFSET(S1461,0,0,-1*$I$5,-1*$Z$1),OFFSET(E1461,0,0,-1*$I$5,1),F1462:S1462,0)</f>
        <v>15.460369592448981</v>
      </c>
      <c r="U1462" s="9" cm="1">
        <f t="array" aca="1" ref="U1462" ca="1">z_score_diff(OFFSET(T1462,0,0,$I$5*-1,1),OFFSET(E1462,0,0,$I$5*-1,1))</f>
        <v>-9.6295793369716443E-2</v>
      </c>
      <c r="V1462" s="9">
        <f t="shared" ca="1" si="183"/>
        <v>-6.9395139819480159E-2</v>
      </c>
      <c r="W1462" s="17">
        <f t="shared" ca="1" si="180"/>
        <v>-7.1950537776200169E-2</v>
      </c>
      <c r="X1462" s="13">
        <f t="shared" ca="1" si="181"/>
        <v>0</v>
      </c>
      <c r="Y1462" s="13">
        <f t="shared" ca="1" si="182"/>
        <v>0</v>
      </c>
      <c r="Z1462">
        <f t="shared" ca="1" si="184"/>
        <v>1</v>
      </c>
      <c r="AA1462">
        <f t="shared" ca="1" si="185"/>
        <v>0</v>
      </c>
      <c r="AB1462" s="24">
        <f t="shared" ca="1" si="186"/>
        <v>-7.1950537776200169E-2</v>
      </c>
      <c r="AC1462" s="24">
        <f t="shared" ca="1" si="187"/>
        <v>0</v>
      </c>
    </row>
    <row r="1463" spans="3:29" x14ac:dyDescent="0.25">
      <c r="C1463" s="6">
        <v>1456</v>
      </c>
      <c r="D1463" s="37">
        <v>44078</v>
      </c>
      <c r="E1463" s="39">
        <v>15.414999999999999</v>
      </c>
      <c r="F1463" s="39">
        <v>2.4383549987945869</v>
      </c>
      <c r="G1463" s="39">
        <v>48.030857130153507</v>
      </c>
      <c r="H1463" s="39">
        <v>56.433361501352657</v>
      </c>
      <c r="I1463" s="10">
        <v>0</v>
      </c>
      <c r="J1463" s="40">
        <v>0</v>
      </c>
      <c r="K1463" s="40">
        <v>0</v>
      </c>
      <c r="L1463" s="40">
        <v>0</v>
      </c>
      <c r="M1463" s="40">
        <v>0</v>
      </c>
      <c r="N1463" s="40">
        <v>0</v>
      </c>
      <c r="O1463" s="40">
        <v>0</v>
      </c>
      <c r="P1463" s="40">
        <v>0</v>
      </c>
      <c r="Q1463" s="40">
        <v>1</v>
      </c>
      <c r="R1463" s="40">
        <v>0</v>
      </c>
      <c r="S1463" s="40">
        <v>0</v>
      </c>
      <c r="T1463" s="29">
        <f t="array" aca="1" ref="T1463" ca="1">+fair_value_gap(OFFSET(S1462,0,0,-1*$I$5,-1*$Z$1),OFFSET(E1462,0,0,-1*$I$5,1),F1463:S1463,0)</f>
        <v>15.274698843536804</v>
      </c>
      <c r="U1463" s="9" cm="1">
        <f t="array" aca="1" ref="U1463" ca="1">z_score_diff(OFFSET(T1463,0,0,$I$5*-1,1),OFFSET(E1463,0,0,$I$5*-1,1))</f>
        <v>-9.8531713338227259E-2</v>
      </c>
      <c r="V1463" s="9">
        <f t="shared" ca="1" si="183"/>
        <v>-7.0746419653532414E-2</v>
      </c>
      <c r="W1463" s="17">
        <f t="shared" ca="1" si="180"/>
        <v>-5.9056762999554771E-2</v>
      </c>
      <c r="X1463" s="13">
        <f t="shared" ca="1" si="181"/>
        <v>0</v>
      </c>
      <c r="Y1463" s="13">
        <f t="shared" ca="1" si="182"/>
        <v>0</v>
      </c>
      <c r="Z1463">
        <f t="shared" ca="1" si="184"/>
        <v>1</v>
      </c>
      <c r="AA1463">
        <f t="shared" ca="1" si="185"/>
        <v>0</v>
      </c>
      <c r="AB1463" s="24">
        <f t="shared" ca="1" si="186"/>
        <v>-5.9056762999554771E-2</v>
      </c>
      <c r="AC1463" s="24">
        <f t="shared" ca="1" si="187"/>
        <v>0</v>
      </c>
    </row>
    <row r="1464" spans="3:29" x14ac:dyDescent="0.25">
      <c r="C1464" s="6">
        <v>1457</v>
      </c>
      <c r="D1464" s="37">
        <v>44081</v>
      </c>
      <c r="E1464" s="39">
        <v>15.099</v>
      </c>
      <c r="F1464" s="39">
        <v>2.4443416793287969</v>
      </c>
      <c r="G1464" s="39">
        <v>47.190175080628514</v>
      </c>
      <c r="H1464" s="39">
        <v>56.279231959913794</v>
      </c>
      <c r="I1464" s="10">
        <v>0</v>
      </c>
      <c r="J1464" s="40">
        <v>0</v>
      </c>
      <c r="K1464" s="40">
        <v>0</v>
      </c>
      <c r="L1464" s="40">
        <v>0</v>
      </c>
      <c r="M1464" s="40">
        <v>0</v>
      </c>
      <c r="N1464" s="40">
        <v>0</v>
      </c>
      <c r="O1464" s="40">
        <v>0</v>
      </c>
      <c r="P1464" s="40">
        <v>0</v>
      </c>
      <c r="Q1464" s="40">
        <v>1</v>
      </c>
      <c r="R1464" s="40">
        <v>0</v>
      </c>
      <c r="S1464" s="40">
        <v>0</v>
      </c>
      <c r="T1464" s="29">
        <f t="array" aca="1" ref="T1464" ca="1">+fair_value_gap(OFFSET(S1463,0,0,-1*$I$5,-1*$Z$1),OFFSET(E1463,0,0,-1*$I$5,1),F1464:S1464,0)</f>
        <v>15.040171796509238</v>
      </c>
      <c r="U1464" s="9" cm="1">
        <f t="array" aca="1" ref="U1464" ca="1">z_score_diff(OFFSET(T1464,0,0,$I$5*-1,1),OFFSET(E1464,0,0,$I$5*-1,1))</f>
        <v>-5.59810574093755E-2</v>
      </c>
      <c r="V1464" s="9">
        <f t="shared" ca="1" si="183"/>
        <v>-7.1011345019908231E-2</v>
      </c>
      <c r="W1464" s="17">
        <f t="shared" ca="1" si="180"/>
        <v>-6.1527406845138417E-2</v>
      </c>
      <c r="X1464" s="13">
        <f t="shared" ca="1" si="181"/>
        <v>0</v>
      </c>
      <c r="Y1464" s="13">
        <f t="shared" ca="1" si="182"/>
        <v>0</v>
      </c>
      <c r="Z1464">
        <f t="shared" ca="1" si="184"/>
        <v>1</v>
      </c>
      <c r="AA1464">
        <f t="shared" ca="1" si="185"/>
        <v>0</v>
      </c>
      <c r="AB1464" s="24">
        <f t="shared" ca="1" si="186"/>
        <v>-6.1527406845138417E-2</v>
      </c>
      <c r="AC1464" s="24">
        <f t="shared" ca="1" si="187"/>
        <v>0</v>
      </c>
    </row>
    <row r="1465" spans="3:29" x14ac:dyDescent="0.25">
      <c r="C1465" s="6">
        <v>1458</v>
      </c>
      <c r="D1465" s="37">
        <v>44082</v>
      </c>
      <c r="E1465" s="39">
        <v>14.749000000000001</v>
      </c>
      <c r="F1465" s="39">
        <v>2.468448699433472</v>
      </c>
      <c r="G1465" s="39">
        <v>45.866543014374578</v>
      </c>
      <c r="H1465" s="39">
        <v>56.40971051676491</v>
      </c>
      <c r="I1465" s="10">
        <v>0</v>
      </c>
      <c r="J1465" s="40">
        <v>0</v>
      </c>
      <c r="K1465" s="40">
        <v>0</v>
      </c>
      <c r="L1465" s="40">
        <v>0</v>
      </c>
      <c r="M1465" s="40">
        <v>0</v>
      </c>
      <c r="N1465" s="40">
        <v>0</v>
      </c>
      <c r="O1465" s="40">
        <v>0</v>
      </c>
      <c r="P1465" s="40">
        <v>0</v>
      </c>
      <c r="Q1465" s="40">
        <v>1</v>
      </c>
      <c r="R1465" s="40">
        <v>0</v>
      </c>
      <c r="S1465" s="40">
        <v>0</v>
      </c>
      <c r="T1465" s="29">
        <f t="array" aca="1" ref="T1465" ca="1">+fair_value_gap(OFFSET(S1464,0,0,-1*$I$5,-1*$Z$1),OFFSET(E1464,0,0,-1*$I$5,1),F1465:S1465,0)</f>
        <v>14.644784576375109</v>
      </c>
      <c r="U1465" s="9" cm="1">
        <f t="array" aca="1" ref="U1465" ca="1">z_score_diff(OFFSET(T1465,0,0,$I$5*-1,1),OFFSET(E1465,0,0,$I$5*-1,1))</f>
        <v>-8.6915933444206395E-2</v>
      </c>
      <c r="V1465" s="9">
        <f t="shared" ca="1" si="183"/>
        <v>-6.993930289956346E-2</v>
      </c>
      <c r="W1465" s="17">
        <f t="shared" ca="1" si="180"/>
        <v>-2.7495030511095791E-2</v>
      </c>
      <c r="X1465" s="13">
        <f t="shared" ca="1" si="181"/>
        <v>0</v>
      </c>
      <c r="Y1465" s="13">
        <f t="shared" ca="1" si="182"/>
        <v>0</v>
      </c>
      <c r="Z1465">
        <f t="shared" ca="1" si="184"/>
        <v>1</v>
      </c>
      <c r="AA1465">
        <f t="shared" ca="1" si="185"/>
        <v>0</v>
      </c>
      <c r="AB1465" s="24">
        <f t="shared" ca="1" si="186"/>
        <v>-2.7495030511095791E-2</v>
      </c>
      <c r="AC1465" s="24">
        <f t="shared" ca="1" si="187"/>
        <v>0</v>
      </c>
    </row>
    <row r="1466" spans="3:29" x14ac:dyDescent="0.25">
      <c r="C1466" s="6">
        <v>1459</v>
      </c>
      <c r="D1466" s="37">
        <v>44083</v>
      </c>
      <c r="E1466" s="39">
        <v>14.707000000000001</v>
      </c>
      <c r="F1466" s="39">
        <v>2.4665009499418318</v>
      </c>
      <c r="G1466" s="39">
        <v>45.985147125163707</v>
      </c>
      <c r="H1466" s="39">
        <v>56.410642696328296</v>
      </c>
      <c r="I1466" s="10">
        <v>0</v>
      </c>
      <c r="J1466" s="40">
        <v>0</v>
      </c>
      <c r="K1466" s="40">
        <v>0</v>
      </c>
      <c r="L1466" s="40">
        <v>0</v>
      </c>
      <c r="M1466" s="40">
        <v>0</v>
      </c>
      <c r="N1466" s="40">
        <v>0</v>
      </c>
      <c r="O1466" s="40">
        <v>0</v>
      </c>
      <c r="P1466" s="40">
        <v>0</v>
      </c>
      <c r="Q1466" s="40">
        <v>1</v>
      </c>
      <c r="R1466" s="40">
        <v>0</v>
      </c>
      <c r="S1466" s="40">
        <v>0</v>
      </c>
      <c r="T1466" s="29">
        <f t="array" aca="1" ref="T1466" ca="1">+fair_value_gap(OFFSET(S1465,0,0,-1*$I$5,-1*$Z$1),OFFSET(E1465,0,0,-1*$I$5,1),F1466:S1466,0)</f>
        <v>14.701183925749961</v>
      </c>
      <c r="U1466" s="9" cm="1">
        <f t="array" aca="1" ref="U1466" ca="1">z_score_diff(OFFSET(T1466,0,0,$I$5*-1,1),OFFSET(E1466,0,0,$I$5*-1,1))</f>
        <v>-2.9536374757193729E-2</v>
      </c>
      <c r="V1466" s="9">
        <f t="shared" ca="1" si="183"/>
        <v>-6.7124657496031886E-2</v>
      </c>
      <c r="W1466" s="17">
        <f t="shared" ca="1" si="180"/>
        <v>-4.6911872149178128E-2</v>
      </c>
      <c r="X1466" s="13">
        <f t="shared" ca="1" si="181"/>
        <v>0</v>
      </c>
      <c r="Y1466" s="13">
        <f t="shared" ca="1" si="182"/>
        <v>0</v>
      </c>
      <c r="Z1466">
        <f t="shared" ca="1" si="184"/>
        <v>1</v>
      </c>
      <c r="AA1466">
        <f t="shared" ca="1" si="185"/>
        <v>0</v>
      </c>
      <c r="AB1466" s="24">
        <f t="shared" ca="1" si="186"/>
        <v>-4.6911872149178128E-2</v>
      </c>
      <c r="AC1466" s="24">
        <f t="shared" ca="1" si="187"/>
        <v>0</v>
      </c>
    </row>
    <row r="1467" spans="3:29" x14ac:dyDescent="0.25">
      <c r="C1467" s="6">
        <v>1460</v>
      </c>
      <c r="D1467" s="37">
        <v>44084</v>
      </c>
      <c r="E1467" s="39">
        <v>14.635</v>
      </c>
      <c r="F1467" s="39">
        <v>2.4520561573529496</v>
      </c>
      <c r="G1467" s="39">
        <v>45.402085164640319</v>
      </c>
      <c r="H1467" s="39">
        <v>56.807779029025887</v>
      </c>
      <c r="I1467" s="10">
        <v>0</v>
      </c>
      <c r="J1467" s="40">
        <v>0</v>
      </c>
      <c r="K1467" s="40">
        <v>0</v>
      </c>
      <c r="L1467" s="40">
        <v>0</v>
      </c>
      <c r="M1467" s="40">
        <v>0</v>
      </c>
      <c r="N1467" s="40">
        <v>0</v>
      </c>
      <c r="O1467" s="40">
        <v>0</v>
      </c>
      <c r="P1467" s="40">
        <v>0</v>
      </c>
      <c r="Q1467" s="40">
        <v>1</v>
      </c>
      <c r="R1467" s="40">
        <v>0</v>
      </c>
      <c r="S1467" s="40">
        <v>0</v>
      </c>
      <c r="T1467" s="29">
        <f t="array" aca="1" ref="T1467" ca="1">+fair_value_gap(OFFSET(S1466,0,0,-1*$I$5,-1*$Z$1),OFFSET(E1466,0,0,-1*$I$5,1),F1467:S1467,0)</f>
        <v>14.532010526955016</v>
      </c>
      <c r="U1467" s="9" cm="1">
        <f t="array" aca="1" ref="U1467" ca="1">z_score_diff(OFFSET(T1467,0,0,$I$5*-1,1),OFFSET(E1467,0,0,$I$5*-1,1))</f>
        <v>-8.8811340104498343E-2</v>
      </c>
      <c r="V1467" s="9">
        <f t="shared" ca="1" si="183"/>
        <v>-6.6632142932292956E-2</v>
      </c>
      <c r="W1467" s="17">
        <f t="shared" ca="1" si="180"/>
        <v>-5.5058487950887532E-2</v>
      </c>
      <c r="X1467" s="13">
        <f t="shared" ca="1" si="181"/>
        <v>0</v>
      </c>
      <c r="Y1467" s="13">
        <f t="shared" ca="1" si="182"/>
        <v>0</v>
      </c>
      <c r="Z1467">
        <f t="shared" ca="1" si="184"/>
        <v>1</v>
      </c>
      <c r="AA1467">
        <f t="shared" ca="1" si="185"/>
        <v>0</v>
      </c>
      <c r="AB1467" s="24">
        <f t="shared" ca="1" si="186"/>
        <v>-5.5058487950887532E-2</v>
      </c>
      <c r="AC1467" s="24">
        <f t="shared" ca="1" si="187"/>
        <v>0</v>
      </c>
    </row>
    <row r="1468" spans="3:29" x14ac:dyDescent="0.25">
      <c r="C1468" s="6">
        <v>1461</v>
      </c>
      <c r="D1468" s="37">
        <v>44085</v>
      </c>
      <c r="E1468" s="39">
        <v>14.765000000000001</v>
      </c>
      <c r="F1468" s="39">
        <v>2.4420034599912457</v>
      </c>
      <c r="G1468" s="39">
        <v>45.630384240635159</v>
      </c>
      <c r="H1468" s="39">
        <v>56.568772536840569</v>
      </c>
      <c r="I1468" s="10">
        <v>0</v>
      </c>
      <c r="J1468" s="40">
        <v>0</v>
      </c>
      <c r="K1468" s="40">
        <v>0</v>
      </c>
      <c r="L1468" s="40">
        <v>0</v>
      </c>
      <c r="M1468" s="40">
        <v>0</v>
      </c>
      <c r="N1468" s="40">
        <v>0</v>
      </c>
      <c r="O1468" s="40">
        <v>0</v>
      </c>
      <c r="P1468" s="40">
        <v>0</v>
      </c>
      <c r="Q1468" s="40">
        <v>1</v>
      </c>
      <c r="R1468" s="40">
        <v>0</v>
      </c>
      <c r="S1468" s="40">
        <v>0</v>
      </c>
      <c r="T1468" s="29">
        <f t="array" aca="1" ref="T1468" ca="1">+fair_value_gap(OFFSET(S1467,0,0,-1*$I$5,-1*$Z$1),OFFSET(E1467,0,0,-1*$I$5,1),F1468:S1468,0)</f>
        <v>14.614865045813911</v>
      </c>
      <c r="U1468" s="9" cm="1">
        <f t="array" aca="1" ref="U1468" ca="1">z_score_diff(OFFSET(T1468,0,0,$I$5*-1,1),OFFSET(E1468,0,0,$I$5*-1,1))</f>
        <v>-0.11628463975186343</v>
      </c>
      <c r="V1468" s="9">
        <f t="shared" ca="1" si="183"/>
        <v>-6.7081644232058896E-2</v>
      </c>
      <c r="W1468" s="17">
        <f t="shared" ca="1" si="180"/>
        <v>-0.11827418232434229</v>
      </c>
      <c r="X1468" s="13">
        <f t="shared" ca="1" si="181"/>
        <v>0</v>
      </c>
      <c r="Y1468" s="13">
        <f t="shared" ca="1" si="182"/>
        <v>0</v>
      </c>
      <c r="Z1468">
        <f t="shared" ca="1" si="184"/>
        <v>1</v>
      </c>
      <c r="AA1468">
        <f t="shared" ca="1" si="185"/>
        <v>0</v>
      </c>
      <c r="AB1468" s="24">
        <f t="shared" ca="1" si="186"/>
        <v>-0.11827418232434229</v>
      </c>
      <c r="AC1468" s="24">
        <f t="shared" ca="1" si="187"/>
        <v>0</v>
      </c>
    </row>
    <row r="1469" spans="3:29" x14ac:dyDescent="0.25">
      <c r="C1469" s="6">
        <v>1462</v>
      </c>
      <c r="D1469" s="37">
        <v>44088</v>
      </c>
      <c r="E1469" s="39">
        <v>14.922000000000001</v>
      </c>
      <c r="F1469" s="39">
        <v>2.444916562437327</v>
      </c>
      <c r="G1469" s="39">
        <v>46.267948032081406</v>
      </c>
      <c r="H1469" s="39">
        <v>56.337934403337997</v>
      </c>
      <c r="I1469" s="10">
        <v>0</v>
      </c>
      <c r="J1469" s="40">
        <v>0</v>
      </c>
      <c r="K1469" s="40">
        <v>0</v>
      </c>
      <c r="L1469" s="40">
        <v>0</v>
      </c>
      <c r="M1469" s="40">
        <v>0</v>
      </c>
      <c r="N1469" s="40">
        <v>0</v>
      </c>
      <c r="O1469" s="40">
        <v>0</v>
      </c>
      <c r="P1469" s="40">
        <v>0</v>
      </c>
      <c r="Q1469" s="40">
        <v>1</v>
      </c>
      <c r="R1469" s="40">
        <v>0</v>
      </c>
      <c r="S1469" s="40">
        <v>0</v>
      </c>
      <c r="T1469" s="29">
        <f t="array" aca="1" ref="T1469" ca="1">+fair_value_gap(OFFSET(S1468,0,0,-1*$I$5,-1*$Z$1),OFFSET(E1468,0,0,-1*$I$5,1),F1469:S1469,0)</f>
        <v>14.831758937332916</v>
      </c>
      <c r="U1469" s="9" cm="1">
        <f t="array" aca="1" ref="U1469" ca="1">z_score_diff(OFFSET(T1469,0,0,$I$5*-1,1),OFFSET(E1469,0,0,$I$5*-1,1))</f>
        <v>-7.7815905685922324E-2</v>
      </c>
      <c r="V1469" s="9">
        <f t="shared" ca="1" si="183"/>
        <v>-6.8241551880897963E-2</v>
      </c>
      <c r="W1469" s="17">
        <f t="shared" ca="1" si="180"/>
        <v>-0.1332825102010376</v>
      </c>
      <c r="X1469" s="13">
        <f t="shared" ca="1" si="181"/>
        <v>0</v>
      </c>
      <c r="Y1469" s="13">
        <f t="shared" ca="1" si="182"/>
        <v>0</v>
      </c>
      <c r="Z1469">
        <f t="shared" ca="1" si="184"/>
        <v>1</v>
      </c>
      <c r="AA1469">
        <f t="shared" ca="1" si="185"/>
        <v>0</v>
      </c>
      <c r="AB1469" s="24">
        <f t="shared" ca="1" si="186"/>
        <v>-0.1332825102010376</v>
      </c>
      <c r="AC1469" s="24">
        <f t="shared" ca="1" si="187"/>
        <v>0</v>
      </c>
    </row>
    <row r="1470" spans="3:29" x14ac:dyDescent="0.25">
      <c r="C1470" s="6">
        <v>1463</v>
      </c>
      <c r="D1470" s="37">
        <v>44089</v>
      </c>
      <c r="E1470" s="39">
        <v>14.907</v>
      </c>
      <c r="F1470" s="39">
        <v>2.4565559702145716</v>
      </c>
      <c r="G1470" s="39">
        <v>46.481660950440428</v>
      </c>
      <c r="H1470" s="39">
        <v>56.141514962318084</v>
      </c>
      <c r="I1470" s="10">
        <v>0</v>
      </c>
      <c r="J1470" s="40">
        <v>0</v>
      </c>
      <c r="K1470" s="40">
        <v>0</v>
      </c>
      <c r="L1470" s="40">
        <v>0</v>
      </c>
      <c r="M1470" s="40">
        <v>0</v>
      </c>
      <c r="N1470" s="40">
        <v>0</v>
      </c>
      <c r="O1470" s="40">
        <v>0</v>
      </c>
      <c r="P1470" s="40">
        <v>0</v>
      </c>
      <c r="Q1470" s="40">
        <v>1</v>
      </c>
      <c r="R1470" s="40">
        <v>0</v>
      </c>
      <c r="S1470" s="40">
        <v>0</v>
      </c>
      <c r="T1470" s="29">
        <f t="array" aca="1" ref="T1470" ca="1">+fair_value_gap(OFFSET(S1469,0,0,-1*$I$5,-1*$Z$1),OFFSET(E1469,0,0,-1*$I$5,1),F1470:S1470,0)</f>
        <v>14.909628769923149</v>
      </c>
      <c r="U1470" s="9" cm="1">
        <f t="array" aca="1" ref="U1470" ca="1">z_score_diff(OFFSET(T1470,0,0,$I$5*-1,1),OFFSET(E1470,0,0,$I$5*-1,1))</f>
        <v>-2.0513422470336228E-2</v>
      </c>
      <c r="V1470" s="9">
        <f t="shared" ca="1" si="183"/>
        <v>-6.8338478113996515E-2</v>
      </c>
      <c r="W1470" s="17">
        <f t="shared" ca="1" si="180"/>
        <v>-0.11836179034346592</v>
      </c>
      <c r="X1470" s="13">
        <f t="shared" ca="1" si="181"/>
        <v>0</v>
      </c>
      <c r="Y1470" s="13">
        <f t="shared" ca="1" si="182"/>
        <v>0</v>
      </c>
      <c r="Z1470">
        <f t="shared" ca="1" si="184"/>
        <v>1</v>
      </c>
      <c r="AA1470">
        <f t="shared" ca="1" si="185"/>
        <v>0</v>
      </c>
      <c r="AB1470" s="24">
        <f t="shared" ca="1" si="186"/>
        <v>-0.11836179034346592</v>
      </c>
      <c r="AC1470" s="24">
        <f t="shared" ca="1" si="187"/>
        <v>0</v>
      </c>
    </row>
    <row r="1471" spans="3:29" x14ac:dyDescent="0.25">
      <c r="C1471" s="6">
        <v>1464</v>
      </c>
      <c r="D1471" s="37">
        <v>44090</v>
      </c>
      <c r="E1471" s="39">
        <v>15.096</v>
      </c>
      <c r="F1471" s="39">
        <v>2.4491795248591726</v>
      </c>
      <c r="G1471" s="39">
        <v>47.271880251826438</v>
      </c>
      <c r="H1471" s="39">
        <v>56.33948804624854</v>
      </c>
      <c r="I1471" s="10">
        <v>0</v>
      </c>
      <c r="J1471" s="40">
        <v>0</v>
      </c>
      <c r="K1471" s="40">
        <v>0</v>
      </c>
      <c r="L1471" s="40">
        <v>0</v>
      </c>
      <c r="M1471" s="40">
        <v>0</v>
      </c>
      <c r="N1471" s="40">
        <v>0</v>
      </c>
      <c r="O1471" s="40">
        <v>0</v>
      </c>
      <c r="P1471" s="40">
        <v>0</v>
      </c>
      <c r="Q1471" s="40">
        <v>1</v>
      </c>
      <c r="R1471" s="40">
        <v>0</v>
      </c>
      <c r="S1471" s="40">
        <v>0</v>
      </c>
      <c r="T1471" s="29">
        <f t="array" aca="1" ref="T1471" ca="1">+fair_value_gap(OFFSET(S1470,0,0,-1*$I$5,-1*$Z$1),OFFSET(E1470,0,0,-1*$I$5,1),F1471:S1471,0)</f>
        <v>15.173194232320867</v>
      </c>
      <c r="U1471" s="9" cm="1">
        <f t="array" aca="1" ref="U1471" ca="1">z_score_diff(OFFSET(T1471,0,0,$I$5*-1,1),OFFSET(E1471,0,0,$I$5*-1,1))</f>
        <v>3.0075364412225955E-2</v>
      </c>
      <c r="V1471" s="9">
        <f t="shared" ca="1" si="183"/>
        <v>-6.7142036008730796E-2</v>
      </c>
      <c r="W1471" s="17">
        <f t="shared" ca="1" si="180"/>
        <v>-0.12508807069692332</v>
      </c>
      <c r="X1471" s="13">
        <f t="shared" ca="1" si="181"/>
        <v>0</v>
      </c>
      <c r="Y1471" s="13">
        <f t="shared" ca="1" si="182"/>
        <v>0</v>
      </c>
      <c r="Z1471">
        <f t="shared" ca="1" si="184"/>
        <v>1</v>
      </c>
      <c r="AA1471">
        <f t="shared" ca="1" si="185"/>
        <v>0</v>
      </c>
      <c r="AB1471" s="24">
        <f t="shared" ca="1" si="186"/>
        <v>-0.12508807069692332</v>
      </c>
      <c r="AC1471" s="24">
        <f t="shared" ca="1" si="187"/>
        <v>0</v>
      </c>
    </row>
    <row r="1472" spans="3:29" x14ac:dyDescent="0.25">
      <c r="C1472" s="6">
        <v>1465</v>
      </c>
      <c r="D1472" s="37">
        <v>44091</v>
      </c>
      <c r="E1472" s="39">
        <v>15.099</v>
      </c>
      <c r="F1472" s="39">
        <v>2.4282612248709987</v>
      </c>
      <c r="G1472" s="39">
        <v>46.687177436269721</v>
      </c>
      <c r="H1472" s="39">
        <v>56.286961771563327</v>
      </c>
      <c r="I1472" s="10">
        <v>0</v>
      </c>
      <c r="J1472" s="40">
        <v>0</v>
      </c>
      <c r="K1472" s="40">
        <v>0</v>
      </c>
      <c r="L1472" s="40">
        <v>0</v>
      </c>
      <c r="M1472" s="40">
        <v>0</v>
      </c>
      <c r="N1472" s="40">
        <v>0</v>
      </c>
      <c r="O1472" s="40">
        <v>0</v>
      </c>
      <c r="P1472" s="40">
        <v>0</v>
      </c>
      <c r="Q1472" s="40">
        <v>1</v>
      </c>
      <c r="R1472" s="40">
        <v>0</v>
      </c>
      <c r="S1472" s="40">
        <v>0</v>
      </c>
      <c r="T1472" s="29">
        <f t="array" aca="1" ref="T1472" ca="1">+fair_value_gap(OFFSET(S1471,0,0,-1*$I$5,-1*$Z$1),OFFSET(E1471,0,0,-1*$I$5,1),F1472:S1472,0)</f>
        <v>14.990965010805921</v>
      </c>
      <c r="U1472" s="9" cm="1">
        <f t="array" aca="1" ref="U1472" ca="1">z_score_diff(OFFSET(T1472,0,0,$I$5*-1,1),OFFSET(E1472,0,0,$I$5*-1,1))</f>
        <v>-8.8524777432034088E-2</v>
      </c>
      <c r="V1472" s="9">
        <f t="shared" ca="1" si="183"/>
        <v>-7.082669566649967E-2</v>
      </c>
      <c r="W1472" s="17">
        <f t="shared" ca="1" si="180"/>
        <v>-0.10397066136877203</v>
      </c>
      <c r="X1472" s="13">
        <f t="shared" ca="1" si="181"/>
        <v>0</v>
      </c>
      <c r="Y1472" s="13">
        <f t="shared" ca="1" si="182"/>
        <v>0</v>
      </c>
      <c r="Z1472">
        <f t="shared" ca="1" si="184"/>
        <v>1</v>
      </c>
      <c r="AA1472">
        <f t="shared" ca="1" si="185"/>
        <v>0</v>
      </c>
      <c r="AB1472" s="24">
        <f t="shared" ca="1" si="186"/>
        <v>-0.10397066136877203</v>
      </c>
      <c r="AC1472" s="24">
        <f t="shared" ca="1" si="187"/>
        <v>0</v>
      </c>
    </row>
    <row r="1473" spans="3:29" x14ac:dyDescent="0.25">
      <c r="C1473" s="6">
        <v>1466</v>
      </c>
      <c r="D1473" s="37">
        <v>44092</v>
      </c>
      <c r="E1473" s="39">
        <v>15.368</v>
      </c>
      <c r="F1473" s="39">
        <v>2.4369135655133332</v>
      </c>
      <c r="G1473" s="39">
        <v>47.131549222253632</v>
      </c>
      <c r="H1473" s="39">
        <v>56.457946132526374</v>
      </c>
      <c r="I1473" s="10">
        <v>0</v>
      </c>
      <c r="J1473" s="40">
        <v>0</v>
      </c>
      <c r="K1473" s="40">
        <v>0</v>
      </c>
      <c r="L1473" s="40">
        <v>0</v>
      </c>
      <c r="M1473" s="40">
        <v>0</v>
      </c>
      <c r="N1473" s="40">
        <v>0</v>
      </c>
      <c r="O1473" s="40">
        <v>0</v>
      </c>
      <c r="P1473" s="40">
        <v>0</v>
      </c>
      <c r="Q1473" s="40">
        <v>1</v>
      </c>
      <c r="R1473" s="40">
        <v>0</v>
      </c>
      <c r="S1473" s="40">
        <v>0</v>
      </c>
      <c r="T1473" s="29">
        <f t="array" aca="1" ref="T1473" ca="1">+fair_value_gap(OFFSET(S1472,0,0,-1*$I$5,-1*$Z$1),OFFSET(E1472,0,0,-1*$I$5,1),F1473:S1473,0)</f>
        <v>15.164286393158617</v>
      </c>
      <c r="U1473" s="9" cm="1">
        <f t="array" aca="1" ref="U1473" ca="1">z_score_diff(OFFSET(T1473,0,0,$I$5*-1,1),OFFSET(E1473,0,0,$I$5*-1,1))</f>
        <v>-0.14681496859561982</v>
      </c>
      <c r="V1473" s="9">
        <f t="shared" ca="1" si="183"/>
        <v>-7.5253992836275221E-2</v>
      </c>
      <c r="W1473" s="17">
        <f t="shared" ca="1" si="180"/>
        <v>-0.14257041132591011</v>
      </c>
      <c r="X1473" s="13">
        <f t="shared" ca="1" si="181"/>
        <v>0</v>
      </c>
      <c r="Y1473" s="13">
        <f t="shared" ca="1" si="182"/>
        <v>0</v>
      </c>
      <c r="Z1473">
        <f t="shared" ca="1" si="184"/>
        <v>1</v>
      </c>
      <c r="AA1473">
        <f t="shared" ca="1" si="185"/>
        <v>0</v>
      </c>
      <c r="AB1473" s="24">
        <f t="shared" ca="1" si="186"/>
        <v>-0.14257041132591011</v>
      </c>
      <c r="AC1473" s="24">
        <f t="shared" ca="1" si="187"/>
        <v>0</v>
      </c>
    </row>
    <row r="1474" spans="3:29" x14ac:dyDescent="0.25">
      <c r="C1474" s="6">
        <v>1467</v>
      </c>
      <c r="D1474" s="37">
        <v>44095</v>
      </c>
      <c r="E1474" s="39">
        <v>15.069000000000001</v>
      </c>
      <c r="F1474" s="39">
        <v>2.4484660389624007</v>
      </c>
      <c r="G1474" s="39">
        <v>46.383862650188547</v>
      </c>
      <c r="H1474" s="39">
        <v>57.583827877618646</v>
      </c>
      <c r="I1474" s="10">
        <v>0</v>
      </c>
      <c r="J1474" s="40">
        <v>0</v>
      </c>
      <c r="K1474" s="40">
        <v>0</v>
      </c>
      <c r="L1474" s="40">
        <v>0</v>
      </c>
      <c r="M1474" s="40">
        <v>0</v>
      </c>
      <c r="N1474" s="40">
        <v>0</v>
      </c>
      <c r="O1474" s="40">
        <v>0</v>
      </c>
      <c r="P1474" s="40">
        <v>0</v>
      </c>
      <c r="Q1474" s="40">
        <v>1</v>
      </c>
      <c r="R1474" s="40">
        <v>0</v>
      </c>
      <c r="S1474" s="40">
        <v>0</v>
      </c>
      <c r="T1474" s="29">
        <f t="array" aca="1" ref="T1474" ca="1">+fair_value_gap(OFFSET(S1473,0,0,-1*$I$5,-1*$Z$1),OFFSET(E1473,0,0,-1*$I$5,1),F1474:S1474,0)</f>
        <v>14.970318096693447</v>
      </c>
      <c r="U1474" s="9" cm="1">
        <f t="array" aca="1" ref="U1474" ca="1">z_score_diff(OFFSET(T1474,0,0,$I$5*-1,1),OFFSET(E1474,0,0,$I$5*-1,1))</f>
        <v>-8.6651322767869826E-2</v>
      </c>
      <c r="V1474" s="9">
        <f t="shared" ca="1" si="183"/>
        <v>-7.8272236805378315E-2</v>
      </c>
      <c r="W1474" s="17">
        <f t="shared" ca="1" si="180"/>
        <v>-0.10029304284731143</v>
      </c>
      <c r="X1474" s="13">
        <f t="shared" ca="1" si="181"/>
        <v>0</v>
      </c>
      <c r="Y1474" s="13">
        <f t="shared" ca="1" si="182"/>
        <v>0</v>
      </c>
      <c r="Z1474">
        <f t="shared" ca="1" si="184"/>
        <v>1</v>
      </c>
      <c r="AA1474">
        <f t="shared" ca="1" si="185"/>
        <v>0</v>
      </c>
      <c r="AB1474" s="24">
        <f t="shared" ca="1" si="186"/>
        <v>-0.10029304284731143</v>
      </c>
      <c r="AC1474" s="24">
        <f t="shared" ca="1" si="187"/>
        <v>0</v>
      </c>
    </row>
    <row r="1475" spans="3:29" x14ac:dyDescent="0.25">
      <c r="C1475" s="6">
        <v>1468</v>
      </c>
      <c r="D1475" s="37">
        <v>44096</v>
      </c>
      <c r="E1475" s="39">
        <v>15.147</v>
      </c>
      <c r="F1475" s="39">
        <v>2.4614543669304703</v>
      </c>
      <c r="G1475" s="39">
        <v>46.262247633508103</v>
      </c>
      <c r="H1475" s="39">
        <v>58.373078201366873</v>
      </c>
      <c r="I1475" s="10">
        <v>0</v>
      </c>
      <c r="J1475" s="40">
        <v>0</v>
      </c>
      <c r="K1475" s="40">
        <v>0</v>
      </c>
      <c r="L1475" s="40">
        <v>0</v>
      </c>
      <c r="M1475" s="40">
        <v>0</v>
      </c>
      <c r="N1475" s="40">
        <v>0</v>
      </c>
      <c r="O1475" s="40">
        <v>0</v>
      </c>
      <c r="P1475" s="40">
        <v>0</v>
      </c>
      <c r="Q1475" s="40">
        <v>1</v>
      </c>
      <c r="R1475" s="40">
        <v>0</v>
      </c>
      <c r="S1475" s="40">
        <v>0</v>
      </c>
      <c r="T1475" s="29">
        <f t="array" aca="1" ref="T1475" ca="1">+fair_value_gap(OFFSET(S1474,0,0,-1*$I$5,-1*$Z$1),OFFSET(E1474,0,0,-1*$I$5,1),F1475:S1475,0)</f>
        <v>14.907036922316857</v>
      </c>
      <c r="U1475" s="9" cm="1">
        <f t="array" aca="1" ref="U1475" ca="1">z_score_diff(OFFSET(T1475,0,0,$I$5*-1,1),OFFSET(E1475,0,0,$I$5*-1,1))</f>
        <v>-0.17949612761290679</v>
      </c>
      <c r="V1475" s="9">
        <f t="shared" ca="1" si="183"/>
        <v>-8.2644524028928107E-2</v>
      </c>
      <c r="W1475" s="17">
        <f t="shared" ca="1" si="180"/>
        <v>-0.10398971352404764</v>
      </c>
      <c r="X1475" s="13">
        <f t="shared" ca="1" si="181"/>
        <v>0</v>
      </c>
      <c r="Y1475" s="13">
        <f t="shared" ca="1" si="182"/>
        <v>0</v>
      </c>
      <c r="Z1475">
        <f t="shared" ca="1" si="184"/>
        <v>1</v>
      </c>
      <c r="AA1475">
        <f t="shared" ca="1" si="185"/>
        <v>0</v>
      </c>
      <c r="AB1475" s="24">
        <f t="shared" ca="1" si="186"/>
        <v>-0.10398971352404764</v>
      </c>
      <c r="AC1475" s="24">
        <f t="shared" ca="1" si="187"/>
        <v>0</v>
      </c>
    </row>
    <row r="1476" spans="3:29" x14ac:dyDescent="0.25">
      <c r="C1476" s="6">
        <v>1469</v>
      </c>
      <c r="D1476" s="37">
        <v>44097</v>
      </c>
      <c r="E1476" s="39">
        <v>15.262</v>
      </c>
      <c r="F1476" s="39">
        <v>2.4854486048365443</v>
      </c>
      <c r="G1476" s="39">
        <v>46.919196400553162</v>
      </c>
      <c r="H1476" s="39">
        <v>59.340720780095396</v>
      </c>
      <c r="I1476" s="10">
        <v>0</v>
      </c>
      <c r="J1476" s="40">
        <v>0</v>
      </c>
      <c r="K1476" s="40">
        <v>0</v>
      </c>
      <c r="L1476" s="40">
        <v>0</v>
      </c>
      <c r="M1476" s="40">
        <v>0</v>
      </c>
      <c r="N1476" s="40">
        <v>0</v>
      </c>
      <c r="O1476" s="40">
        <v>0</v>
      </c>
      <c r="P1476" s="40">
        <v>0</v>
      </c>
      <c r="Q1476" s="40">
        <v>1</v>
      </c>
      <c r="R1476" s="40">
        <v>0</v>
      </c>
      <c r="S1476" s="40">
        <v>0</v>
      </c>
      <c r="T1476" s="29">
        <f t="array" aca="1" ref="T1476" ca="1">+fair_value_gap(OFFSET(S1475,0,0,-1*$I$5,-1*$Z$1),OFFSET(E1475,0,0,-1*$I$5,1),F1476:S1476,0)</f>
        <v>15.153177114649925</v>
      </c>
      <c r="U1476" s="9" cm="1">
        <f t="array" aca="1" ref="U1476" ca="1">z_score_diff(OFFSET(T1476,0,0,$I$5*-1,1),OFFSET(E1476,0,0,$I$5*-1,1))</f>
        <v>-9.1269775918996598E-2</v>
      </c>
      <c r="V1476" s="9">
        <f t="shared" ca="1" si="183"/>
        <v>-8.4716092542489463E-2</v>
      </c>
      <c r="W1476" s="17">
        <f t="shared" ca="1" si="180"/>
        <v>-0.10855435819950252</v>
      </c>
      <c r="X1476" s="13">
        <f t="shared" ca="1" si="181"/>
        <v>0</v>
      </c>
      <c r="Y1476" s="13">
        <f t="shared" ca="1" si="182"/>
        <v>0</v>
      </c>
      <c r="Z1476">
        <f t="shared" ca="1" si="184"/>
        <v>1</v>
      </c>
      <c r="AA1476">
        <f t="shared" ca="1" si="185"/>
        <v>0</v>
      </c>
      <c r="AB1476" s="24">
        <f t="shared" ca="1" si="186"/>
        <v>-0.10855435819950252</v>
      </c>
      <c r="AC1476" s="24">
        <f t="shared" ca="1" si="187"/>
        <v>0</v>
      </c>
    </row>
    <row r="1477" spans="3:29" x14ac:dyDescent="0.25">
      <c r="C1477" s="6">
        <v>1470</v>
      </c>
      <c r="D1477" s="37">
        <v>44098</v>
      </c>
      <c r="E1477" s="39">
        <v>15.151999999999999</v>
      </c>
      <c r="F1477" s="39">
        <v>2.4931406884793197</v>
      </c>
      <c r="G1477" s="39">
        <v>46.637163732619378</v>
      </c>
      <c r="H1477" s="39">
        <v>59.090397302497962</v>
      </c>
      <c r="I1477" s="10">
        <v>0</v>
      </c>
      <c r="J1477" s="40">
        <v>0</v>
      </c>
      <c r="K1477" s="40">
        <v>0</v>
      </c>
      <c r="L1477" s="40">
        <v>0</v>
      </c>
      <c r="M1477" s="40">
        <v>0</v>
      </c>
      <c r="N1477" s="40">
        <v>0</v>
      </c>
      <c r="O1477" s="40">
        <v>0</v>
      </c>
      <c r="P1477" s="40">
        <v>0</v>
      </c>
      <c r="Q1477" s="40">
        <v>1</v>
      </c>
      <c r="R1477" s="40">
        <v>0</v>
      </c>
      <c r="S1477" s="40">
        <v>0</v>
      </c>
      <c r="T1477" s="29">
        <f t="array" aca="1" ref="T1477" ca="1">+fair_value_gap(OFFSET(S1476,0,0,-1*$I$5,-1*$Z$1),OFFSET(E1476,0,0,-1*$I$5,1),F1477:S1477,0)</f>
        <v>15.062440793307504</v>
      </c>
      <c r="U1477" s="9" cm="1">
        <f t="array" aca="1" ref="U1477" ca="1">z_score_diff(OFFSET(T1477,0,0,$I$5*-1,1),OFFSET(E1477,0,0,$I$5*-1,1))</f>
        <v>-8.0218551472210797E-2</v>
      </c>
      <c r="V1477" s="9">
        <f t="shared" ca="1" si="183"/>
        <v>-8.5208823841696951E-2</v>
      </c>
      <c r="W1477" s="17">
        <f t="shared" ca="1" si="180"/>
        <v>-0.11255812693074854</v>
      </c>
      <c r="X1477" s="13">
        <f t="shared" ca="1" si="181"/>
        <v>0</v>
      </c>
      <c r="Y1477" s="13">
        <f t="shared" ca="1" si="182"/>
        <v>0</v>
      </c>
      <c r="Z1477">
        <f t="shared" ca="1" si="184"/>
        <v>1</v>
      </c>
      <c r="AA1477">
        <f t="shared" ca="1" si="185"/>
        <v>0</v>
      </c>
      <c r="AB1477" s="24">
        <f t="shared" ca="1" si="186"/>
        <v>-0.11255812693074854</v>
      </c>
      <c r="AC1477" s="24">
        <f t="shared" ca="1" si="187"/>
        <v>0</v>
      </c>
    </row>
    <row r="1478" spans="3:29" x14ac:dyDescent="0.25">
      <c r="C1478" s="6">
        <v>1471</v>
      </c>
      <c r="D1478" s="37">
        <v>44099</v>
      </c>
      <c r="E1478" s="39">
        <v>15.199</v>
      </c>
      <c r="F1478" s="39">
        <v>2.4824411662292882</v>
      </c>
      <c r="G1478" s="39">
        <v>47.089362173937147</v>
      </c>
      <c r="H1478" s="39">
        <v>59.067322309697907</v>
      </c>
      <c r="I1478" s="10">
        <v>0</v>
      </c>
      <c r="J1478" s="40">
        <v>0</v>
      </c>
      <c r="K1478" s="40">
        <v>0</v>
      </c>
      <c r="L1478" s="40">
        <v>0</v>
      </c>
      <c r="M1478" s="40">
        <v>0</v>
      </c>
      <c r="N1478" s="40">
        <v>0</v>
      </c>
      <c r="O1478" s="40">
        <v>0</v>
      </c>
      <c r="P1478" s="40">
        <v>0</v>
      </c>
      <c r="Q1478" s="40">
        <v>1</v>
      </c>
      <c r="R1478" s="40">
        <v>0</v>
      </c>
      <c r="S1478" s="40">
        <v>0</v>
      </c>
      <c r="T1478" s="29">
        <f t="array" aca="1" ref="T1478" ca="1">+fair_value_gap(OFFSET(S1477,0,0,-1*$I$5,-1*$Z$1),OFFSET(E1477,0,0,-1*$I$5,1),F1478:S1478,0)</f>
        <v>15.218851066671647</v>
      </c>
      <c r="U1478" s="9" cm="1">
        <f t="array" aca="1" ref="U1478" ca="1">z_score_diff(OFFSET(T1478,0,0,$I$5*-1,1),OFFSET(E1478,0,0,$I$5*-1,1))</f>
        <v>-5.8568348102571444E-3</v>
      </c>
      <c r="V1478" s="9">
        <f t="shared" ca="1" si="183"/>
        <v>-8.3810631293656276E-2</v>
      </c>
      <c r="W1478" s="17">
        <f t="shared" ca="1" si="180"/>
        <v>-0.11071876429145505</v>
      </c>
      <c r="X1478" s="13">
        <f t="shared" ca="1" si="181"/>
        <v>0</v>
      </c>
      <c r="Y1478" s="13">
        <f t="shared" ca="1" si="182"/>
        <v>0</v>
      </c>
      <c r="Z1478">
        <f t="shared" ca="1" si="184"/>
        <v>1</v>
      </c>
      <c r="AA1478">
        <f t="shared" ca="1" si="185"/>
        <v>0</v>
      </c>
      <c r="AB1478" s="24">
        <f t="shared" ca="1" si="186"/>
        <v>-0.11071876429145505</v>
      </c>
      <c r="AC1478" s="24">
        <f t="shared" ca="1" si="187"/>
        <v>0</v>
      </c>
    </row>
    <row r="1479" spans="3:29" x14ac:dyDescent="0.25">
      <c r="C1479" s="6">
        <v>1472</v>
      </c>
      <c r="D1479" s="37">
        <v>44102</v>
      </c>
      <c r="E1479" s="39">
        <v>15.448</v>
      </c>
      <c r="F1479" s="39">
        <v>2.4912252475771526</v>
      </c>
      <c r="G1479" s="39">
        <v>47.36681767706051</v>
      </c>
      <c r="H1479" s="39">
        <v>59.359241963004202</v>
      </c>
      <c r="I1479" s="10">
        <v>0</v>
      </c>
      <c r="J1479" s="40">
        <v>0</v>
      </c>
      <c r="K1479" s="40">
        <v>0</v>
      </c>
      <c r="L1479" s="40">
        <v>0</v>
      </c>
      <c r="M1479" s="40">
        <v>0</v>
      </c>
      <c r="N1479" s="40">
        <v>0</v>
      </c>
      <c r="O1479" s="40">
        <v>0</v>
      </c>
      <c r="P1479" s="40">
        <v>0</v>
      </c>
      <c r="Q1479" s="40">
        <v>1</v>
      </c>
      <c r="R1479" s="40">
        <v>0</v>
      </c>
      <c r="S1479" s="40">
        <v>0</v>
      </c>
      <c r="T1479" s="29">
        <f t="array" aca="1" ref="T1479" ca="1">+fair_value_gap(OFFSET(S1478,0,0,-1*$I$5,-1*$Z$1),OFFSET(E1478,0,0,-1*$I$5,1),F1479:S1479,0)</f>
        <v>15.313375338339236</v>
      </c>
      <c r="U1479" s="9" cm="1">
        <f t="array" aca="1" ref="U1479" ca="1">z_score_diff(OFFSET(T1479,0,0,$I$5*-1,1),OFFSET(E1479,0,0,$I$5*-1,1))</f>
        <v>-0.10688884044939168</v>
      </c>
      <c r="V1479" s="9">
        <f t="shared" ca="1" si="183"/>
        <v>-8.5860036967598183E-2</v>
      </c>
      <c r="W1479" s="17">
        <f t="shared" ref="W1479:W1542" ca="1" si="188">+LN(OFFSET(E1479,$W$3,0,1,1)/E1479)</f>
        <v>-0.12410639096591153</v>
      </c>
      <c r="X1479" s="13">
        <f t="shared" ca="1" si="181"/>
        <v>0</v>
      </c>
      <c r="Y1479" s="13">
        <f t="shared" ca="1" si="182"/>
        <v>0</v>
      </c>
      <c r="Z1479">
        <f t="shared" ca="1" si="184"/>
        <v>1</v>
      </c>
      <c r="AA1479">
        <f t="shared" ca="1" si="185"/>
        <v>0</v>
      </c>
      <c r="AB1479" s="24">
        <f t="shared" ca="1" si="186"/>
        <v>-0.12410639096591153</v>
      </c>
      <c r="AC1479" s="24">
        <f t="shared" ca="1" si="187"/>
        <v>0</v>
      </c>
    </row>
    <row r="1480" spans="3:29" x14ac:dyDescent="0.25">
      <c r="C1480" s="6">
        <v>1473</v>
      </c>
      <c r="D1480" s="37">
        <v>44103</v>
      </c>
      <c r="E1480" s="39">
        <v>15.268000000000001</v>
      </c>
      <c r="F1480" s="39">
        <v>2.0771812927487945</v>
      </c>
      <c r="G1480" s="39">
        <v>46.971618190174745</v>
      </c>
      <c r="H1480" s="39">
        <v>58.218284916248116</v>
      </c>
      <c r="I1480" s="10">
        <v>0</v>
      </c>
      <c r="J1480" s="40">
        <v>0</v>
      </c>
      <c r="K1480" s="40">
        <v>0</v>
      </c>
      <c r="L1480" s="40">
        <v>0</v>
      </c>
      <c r="M1480" s="40">
        <v>0</v>
      </c>
      <c r="N1480" s="40">
        <v>0</v>
      </c>
      <c r="O1480" s="40">
        <v>0</v>
      </c>
      <c r="P1480" s="40">
        <v>0</v>
      </c>
      <c r="Q1480" s="40">
        <v>1</v>
      </c>
      <c r="R1480" s="40">
        <v>0</v>
      </c>
      <c r="S1480" s="40">
        <v>0</v>
      </c>
      <c r="T1480" s="29">
        <f t="array" aca="1" ref="T1480" ca="1">+fair_value_gap(OFFSET(S1479,0,0,-1*$I$5,-1*$Z$1),OFFSET(E1479,0,0,-1*$I$5,1),F1480:S1480,0)</f>
        <v>15.197175996580601</v>
      </c>
      <c r="U1480" s="9" cm="1">
        <f t="array" aca="1" ref="U1480" ca="1">z_score_diff(OFFSET(T1480,0,0,$I$5*-1,1),OFFSET(E1480,0,0,$I$5*-1,1))</f>
        <v>-6.6245534162864023E-2</v>
      </c>
      <c r="V1480" s="9">
        <f t="shared" ca="1" si="183"/>
        <v>-8.6908110181287551E-2</v>
      </c>
      <c r="W1480" s="17">
        <f t="shared" ca="1" si="188"/>
        <v>-0.12099752328670411</v>
      </c>
      <c r="X1480" s="13">
        <f t="shared" ca="1" si="181"/>
        <v>0</v>
      </c>
      <c r="Y1480" s="13">
        <f t="shared" ca="1" si="182"/>
        <v>0</v>
      </c>
      <c r="Z1480">
        <f t="shared" ca="1" si="184"/>
        <v>1</v>
      </c>
      <c r="AA1480">
        <f t="shared" ca="1" si="185"/>
        <v>0</v>
      </c>
      <c r="AB1480" s="24">
        <f t="shared" ca="1" si="186"/>
        <v>-0.12099752328670411</v>
      </c>
      <c r="AC1480" s="24">
        <f t="shared" ca="1" si="187"/>
        <v>0</v>
      </c>
    </row>
    <row r="1481" spans="3:29" x14ac:dyDescent="0.25">
      <c r="C1481" s="6">
        <v>1474</v>
      </c>
      <c r="D1481" s="37">
        <v>44104</v>
      </c>
      <c r="E1481" s="39">
        <v>14.233000000000001</v>
      </c>
      <c r="F1481" s="39">
        <v>2.0739125231956286</v>
      </c>
      <c r="G1481" s="39">
        <v>41.615594804501839</v>
      </c>
      <c r="H1481" s="39">
        <v>58.863384699396441</v>
      </c>
      <c r="I1481" s="10">
        <v>0</v>
      </c>
      <c r="J1481" s="40">
        <v>0</v>
      </c>
      <c r="K1481" s="40">
        <v>0</v>
      </c>
      <c r="L1481" s="40">
        <v>0</v>
      </c>
      <c r="M1481" s="40">
        <v>0</v>
      </c>
      <c r="N1481" s="40">
        <v>0</v>
      </c>
      <c r="O1481" s="40">
        <v>0</v>
      </c>
      <c r="P1481" s="40">
        <v>0</v>
      </c>
      <c r="Q1481" s="40">
        <v>1</v>
      </c>
      <c r="R1481" s="40">
        <v>0</v>
      </c>
      <c r="S1481" s="40">
        <v>0</v>
      </c>
      <c r="T1481" s="29">
        <f t="array" aca="1" ref="T1481" ca="1">+fair_value_gap(OFFSET(S1480,0,0,-1*$I$5,-1*$Z$1),OFFSET(E1480,0,0,-1*$I$5,1),F1481:S1481,0)</f>
        <v>13.437377549510567</v>
      </c>
      <c r="U1481" s="9" cm="1">
        <f t="array" aca="1" ref="U1481" ca="1">z_score_diff(OFFSET(T1481,0,0,$I$5*-1,1),OFFSET(E1481,0,0,$I$5*-1,1))</f>
        <v>-0.58254187413782577</v>
      </c>
      <c r="V1481" s="9">
        <f t="shared" ca="1" si="183"/>
        <v>-0.10319210578567067</v>
      </c>
      <c r="W1481" s="17">
        <f t="shared" ca="1" si="188"/>
        <v>-5.4430293332355835E-2</v>
      </c>
      <c r="X1481" s="13">
        <f t="shared" ref="X1481:X1544" ca="1" si="189">+X1480</f>
        <v>0</v>
      </c>
      <c r="Y1481" s="13">
        <f t="shared" ref="Y1481:Y1544" ca="1" si="190">+Y1480</f>
        <v>0</v>
      </c>
      <c r="Z1481">
        <f t="shared" ca="1" si="184"/>
        <v>1</v>
      </c>
      <c r="AA1481">
        <f t="shared" ca="1" si="185"/>
        <v>0</v>
      </c>
      <c r="AB1481" s="24">
        <f t="shared" ca="1" si="186"/>
        <v>-5.4430293332355835E-2</v>
      </c>
      <c r="AC1481" s="24">
        <f t="shared" ca="1" si="187"/>
        <v>0</v>
      </c>
    </row>
    <row r="1482" spans="3:29" x14ac:dyDescent="0.25">
      <c r="C1482" s="6">
        <v>1475</v>
      </c>
      <c r="D1482" s="37">
        <v>44105</v>
      </c>
      <c r="E1482" s="39">
        <v>14.058999999999999</v>
      </c>
      <c r="F1482" s="39">
        <v>2.065542047032098</v>
      </c>
      <c r="G1482" s="39">
        <v>41.319212128135248</v>
      </c>
      <c r="H1482" s="39">
        <v>58.684952252744942</v>
      </c>
      <c r="I1482" s="10">
        <v>0</v>
      </c>
      <c r="J1482" s="40">
        <v>0</v>
      </c>
      <c r="K1482" s="40">
        <v>0</v>
      </c>
      <c r="L1482" s="40">
        <v>0</v>
      </c>
      <c r="M1482" s="40">
        <v>0</v>
      </c>
      <c r="N1482" s="40">
        <v>0</v>
      </c>
      <c r="O1482" s="40">
        <v>0</v>
      </c>
      <c r="P1482" s="40">
        <v>0</v>
      </c>
      <c r="Q1482" s="40">
        <v>0</v>
      </c>
      <c r="R1482" s="40">
        <v>1</v>
      </c>
      <c r="S1482" s="40">
        <v>0</v>
      </c>
      <c r="T1482" s="29">
        <f t="array" aca="1" ref="T1482" ca="1">+fair_value_gap(OFFSET(S1481,0,0,-1*$I$5,-1*$Z$1),OFFSET(E1481,0,0,-1*$I$5,1),F1482:S1482,0)</f>
        <v>14.230560570734612</v>
      </c>
      <c r="U1482" s="9" cm="1">
        <f t="array" aca="1" ref="U1482" ca="1">z_score_diff(OFFSET(T1482,0,0,$I$5*-1,1),OFFSET(E1482,0,0,$I$5*-1,1))</f>
        <v>8.4961489641122268E-2</v>
      </c>
      <c r="V1482" s="9">
        <f t="shared" ca="1" si="183"/>
        <v>-9.9885162870233496E-2</v>
      </c>
      <c r="W1482" s="17">
        <f t="shared" ca="1" si="188"/>
        <v>-6.2894426831191286E-2</v>
      </c>
      <c r="X1482" s="13">
        <f t="shared" ca="1" si="189"/>
        <v>0</v>
      </c>
      <c r="Y1482" s="13">
        <f t="shared" ca="1" si="190"/>
        <v>0</v>
      </c>
      <c r="Z1482">
        <f t="shared" ca="1" si="184"/>
        <v>1</v>
      </c>
      <c r="AA1482">
        <f t="shared" ca="1" si="185"/>
        <v>0</v>
      </c>
      <c r="AB1482" s="24">
        <f t="shared" ca="1" si="186"/>
        <v>-6.2894426831191286E-2</v>
      </c>
      <c r="AC1482" s="24">
        <f t="shared" ca="1" si="187"/>
        <v>0</v>
      </c>
    </row>
    <row r="1483" spans="3:29" x14ac:dyDescent="0.25">
      <c r="C1483" s="6">
        <v>1476</v>
      </c>
      <c r="D1483" s="37">
        <v>44106</v>
      </c>
      <c r="E1483" s="39">
        <v>13.815</v>
      </c>
      <c r="F1483" s="39">
        <v>2.0678877774507463</v>
      </c>
      <c r="G1483" s="39">
        <v>40.518070467924019</v>
      </c>
      <c r="H1483" s="39">
        <v>57.642793470129895</v>
      </c>
      <c r="I1483" s="10">
        <v>0</v>
      </c>
      <c r="J1483" s="40">
        <v>0</v>
      </c>
      <c r="K1483" s="40">
        <v>0</v>
      </c>
      <c r="L1483" s="40">
        <v>0</v>
      </c>
      <c r="M1483" s="40">
        <v>0</v>
      </c>
      <c r="N1483" s="40">
        <v>0</v>
      </c>
      <c r="O1483" s="40">
        <v>0</v>
      </c>
      <c r="P1483" s="40">
        <v>0</v>
      </c>
      <c r="Q1483" s="40">
        <v>0</v>
      </c>
      <c r="R1483" s="40">
        <v>1</v>
      </c>
      <c r="S1483" s="40">
        <v>0</v>
      </c>
      <c r="T1483" s="29">
        <f t="array" aca="1" ref="T1483" ca="1">+fair_value_gap(OFFSET(S1482,0,0,-1*$I$5,-1*$Z$1),OFFSET(E1482,0,0,-1*$I$5,1),F1483:S1483,0)</f>
        <v>13.911244984387865</v>
      </c>
      <c r="U1483" s="9" cm="1">
        <f t="array" aca="1" ref="U1483" ca="1">z_score_diff(OFFSET(T1483,0,0,$I$5*-1,1),OFFSET(E1483,0,0,$I$5*-1,1))</f>
        <v>2.8732739090520876E-2</v>
      </c>
      <c r="V1483" s="9">
        <f t="shared" ref="V1483:V1509" ca="1" si="191">+IF(ISERROR(AVERAGE(OFFSET(U1483,0,0,$V$5*-1,1))),"",AVERAGE(OFFSET(U1483,0,0,$V$5*-1,1)))</f>
        <v>-9.6798180386395288E-2</v>
      </c>
      <c r="W1483" s="17">
        <f t="shared" ca="1" si="188"/>
        <v>-4.0173754920267604E-2</v>
      </c>
      <c r="X1483" s="13">
        <f t="shared" ca="1" si="189"/>
        <v>0</v>
      </c>
      <c r="Y1483" s="13">
        <f t="shared" ca="1" si="190"/>
        <v>0</v>
      </c>
      <c r="Z1483">
        <f t="shared" ref="Z1483:Z1509" ca="1" si="192">+IF(V1483="","",IF(V1483&lt;X1483,1,0))</f>
        <v>1</v>
      </c>
      <c r="AA1483">
        <f t="shared" ref="AA1483:AA1509" ca="1" si="193">+IF(V1483="","",IF(V1483&gt;Y1483,1,0))</f>
        <v>0</v>
      </c>
      <c r="AB1483" s="24">
        <f t="shared" ref="AB1483:AB1509" ca="1" si="194">+IF(ISERROR(Z1483*W1483),"",Z1483*W1483)</f>
        <v>-4.0173754920267604E-2</v>
      </c>
      <c r="AC1483" s="24">
        <f t="shared" ref="AC1483:AC1509" ca="1" si="195">+IF(ISERROR(AA1483*W1483),"",AA1483*W1483)</f>
        <v>0</v>
      </c>
    </row>
    <row r="1484" spans="3:29" x14ac:dyDescent="0.25">
      <c r="C1484" s="6">
        <v>1477</v>
      </c>
      <c r="D1484" s="37">
        <v>44109</v>
      </c>
      <c r="E1484" s="39">
        <v>14.055999999999999</v>
      </c>
      <c r="F1484" s="39">
        <v>2.0709089277973831</v>
      </c>
      <c r="G1484" s="39">
        <v>40.779363217079926</v>
      </c>
      <c r="H1484" s="39">
        <v>58.396278065217707</v>
      </c>
      <c r="I1484" s="10">
        <v>0</v>
      </c>
      <c r="J1484" s="40">
        <v>0</v>
      </c>
      <c r="K1484" s="40">
        <v>0</v>
      </c>
      <c r="L1484" s="40">
        <v>0</v>
      </c>
      <c r="M1484" s="40">
        <v>0</v>
      </c>
      <c r="N1484" s="40">
        <v>0</v>
      </c>
      <c r="O1484" s="40">
        <v>0</v>
      </c>
      <c r="P1484" s="40">
        <v>0</v>
      </c>
      <c r="Q1484" s="40">
        <v>0</v>
      </c>
      <c r="R1484" s="40">
        <v>1</v>
      </c>
      <c r="S1484" s="40">
        <v>0</v>
      </c>
      <c r="T1484" s="29">
        <f t="array" aca="1" ref="T1484" ca="1">+fair_value_gap(OFFSET(S1483,0,0,-1*$I$5,-1*$Z$1),OFFSET(E1483,0,0,-1*$I$5,1),F1484:S1484,0)</f>
        <v>13.999305236259913</v>
      </c>
      <c r="U1484" s="9" cm="1">
        <f t="array" aca="1" ref="U1484" ca="1">z_score_diff(OFFSET(T1484,0,0,$I$5*-1,1),OFFSET(E1484,0,0,$I$5*-1,1))</f>
        <v>-7.6232118966418017E-2</v>
      </c>
      <c r="V1484" s="9">
        <f t="shared" ca="1" si="191"/>
        <v>-9.6417904245407776E-2</v>
      </c>
      <c r="W1484" s="17">
        <f t="shared" ca="1" si="188"/>
        <v>-4.6601326363888217E-2</v>
      </c>
      <c r="X1484" s="13">
        <f t="shared" ca="1" si="189"/>
        <v>0</v>
      </c>
      <c r="Y1484" s="13">
        <f t="shared" ca="1" si="190"/>
        <v>0</v>
      </c>
      <c r="Z1484">
        <f t="shared" ca="1" si="192"/>
        <v>1</v>
      </c>
      <c r="AA1484">
        <f t="shared" ca="1" si="193"/>
        <v>0</v>
      </c>
      <c r="AB1484" s="24">
        <f t="shared" ca="1" si="194"/>
        <v>-4.6601326363888217E-2</v>
      </c>
      <c r="AC1484" s="24">
        <f t="shared" ca="1" si="195"/>
        <v>0</v>
      </c>
    </row>
    <row r="1485" spans="3:29" x14ac:dyDescent="0.25">
      <c r="C1485" s="6">
        <v>1478</v>
      </c>
      <c r="D1485" s="37">
        <v>44110</v>
      </c>
      <c r="E1485" s="39">
        <v>14.093999999999999</v>
      </c>
      <c r="F1485" s="39">
        <v>2.0651329287255531</v>
      </c>
      <c r="G1485" s="39">
        <v>40.989714497065556</v>
      </c>
      <c r="H1485" s="39">
        <v>58.805354696893545</v>
      </c>
      <c r="I1485" s="10">
        <v>0</v>
      </c>
      <c r="J1485" s="40">
        <v>0</v>
      </c>
      <c r="K1485" s="40">
        <v>0</v>
      </c>
      <c r="L1485" s="40">
        <v>0</v>
      </c>
      <c r="M1485" s="40">
        <v>0</v>
      </c>
      <c r="N1485" s="40">
        <v>0</v>
      </c>
      <c r="O1485" s="40">
        <v>0</v>
      </c>
      <c r="P1485" s="40">
        <v>0</v>
      </c>
      <c r="Q1485" s="40">
        <v>0</v>
      </c>
      <c r="R1485" s="40">
        <v>1</v>
      </c>
      <c r="S1485" s="40">
        <v>0</v>
      </c>
      <c r="T1485" s="29">
        <f t="array" aca="1" ref="T1485" ca="1">+fair_value_gap(OFFSET(S1484,0,0,-1*$I$5,-1*$Z$1),OFFSET(E1484,0,0,-1*$I$5,1),F1485:S1485,0)</f>
        <v>14.095408314576446</v>
      </c>
      <c r="U1485" s="9" cm="1">
        <f t="array" aca="1" ref="U1485" ca="1">z_score_diff(OFFSET(T1485,0,0,$I$5*-1,1),OFFSET(E1485,0,0,$I$5*-1,1))</f>
        <v>-3.4286249910972844E-2</v>
      </c>
      <c r="V1485" s="9">
        <f t="shared" ca="1" si="191"/>
        <v>-9.5851295140657156E-2</v>
      </c>
      <c r="W1485" s="17">
        <f t="shared" ca="1" si="188"/>
        <v>-3.5385307759881739E-2</v>
      </c>
      <c r="X1485" s="13">
        <f t="shared" ca="1" si="189"/>
        <v>0</v>
      </c>
      <c r="Y1485" s="13">
        <f t="shared" ca="1" si="190"/>
        <v>0</v>
      </c>
      <c r="Z1485">
        <f t="shared" ca="1" si="192"/>
        <v>1</v>
      </c>
      <c r="AA1485">
        <f t="shared" ca="1" si="193"/>
        <v>0</v>
      </c>
      <c r="AB1485" s="24">
        <f t="shared" ca="1" si="194"/>
        <v>-3.5385307759881739E-2</v>
      </c>
      <c r="AC1485" s="24">
        <f t="shared" ca="1" si="195"/>
        <v>0</v>
      </c>
    </row>
    <row r="1486" spans="3:29" x14ac:dyDescent="0.25">
      <c r="C1486" s="6">
        <v>1479</v>
      </c>
      <c r="D1486" s="37">
        <v>44111</v>
      </c>
      <c r="E1486" s="39">
        <v>14.196</v>
      </c>
      <c r="F1486" s="39">
        <v>2.0682323541069065</v>
      </c>
      <c r="G1486" s="39">
        <v>41.689939648123406</v>
      </c>
      <c r="H1486" s="39">
        <v>58.234638147508711</v>
      </c>
      <c r="I1486" s="10">
        <v>0</v>
      </c>
      <c r="J1486" s="40">
        <v>0</v>
      </c>
      <c r="K1486" s="40">
        <v>0</v>
      </c>
      <c r="L1486" s="40">
        <v>0</v>
      </c>
      <c r="M1486" s="40">
        <v>0</v>
      </c>
      <c r="N1486" s="40">
        <v>0</v>
      </c>
      <c r="O1486" s="40">
        <v>0</v>
      </c>
      <c r="P1486" s="40">
        <v>0</v>
      </c>
      <c r="Q1486" s="40">
        <v>0</v>
      </c>
      <c r="R1486" s="40">
        <v>1</v>
      </c>
      <c r="S1486" s="40">
        <v>0</v>
      </c>
      <c r="T1486" s="29">
        <f t="array" aca="1" ref="T1486" ca="1">+fair_value_gap(OFFSET(S1485,0,0,-1*$I$5,-1*$Z$1),OFFSET(E1485,0,0,-1*$I$5,1),F1486:S1486,0)</f>
        <v>14.317211754995013</v>
      </c>
      <c r="U1486" s="9" cm="1">
        <f t="array" aca="1" ref="U1486" ca="1">z_score_diff(OFFSET(T1486,0,0,$I$5*-1,1),OFFSET(E1486,0,0,$I$5*-1,1))</f>
        <v>5.4456140962907962E-2</v>
      </c>
      <c r="V1486" s="9">
        <f t="shared" ca="1" si="191"/>
        <v>-9.2622222252818964E-2</v>
      </c>
      <c r="W1486" s="17">
        <f t="shared" ca="1" si="188"/>
        <v>-4.5393572260362128E-2</v>
      </c>
      <c r="X1486" s="13">
        <f t="shared" ca="1" si="189"/>
        <v>0</v>
      </c>
      <c r="Y1486" s="13">
        <f t="shared" ca="1" si="190"/>
        <v>0</v>
      </c>
      <c r="Z1486">
        <f t="shared" ca="1" si="192"/>
        <v>1</v>
      </c>
      <c r="AA1486">
        <f t="shared" ca="1" si="193"/>
        <v>0</v>
      </c>
      <c r="AB1486" s="24">
        <f t="shared" ca="1" si="194"/>
        <v>-4.5393572260362128E-2</v>
      </c>
      <c r="AC1486" s="24">
        <f t="shared" ca="1" si="195"/>
        <v>0</v>
      </c>
    </row>
    <row r="1487" spans="3:29" x14ac:dyDescent="0.25">
      <c r="C1487" s="6">
        <v>1480</v>
      </c>
      <c r="D1487" s="37">
        <v>44112</v>
      </c>
      <c r="E1487" s="39">
        <v>14.46</v>
      </c>
      <c r="F1487" s="39">
        <v>2.0753736050440565</v>
      </c>
      <c r="G1487" s="39">
        <v>42.265288760156466</v>
      </c>
      <c r="H1487" s="39">
        <v>58.330512695390425</v>
      </c>
      <c r="I1487" s="10">
        <v>0</v>
      </c>
      <c r="J1487" s="40">
        <v>0</v>
      </c>
      <c r="K1487" s="40">
        <v>0</v>
      </c>
      <c r="L1487" s="40">
        <v>0</v>
      </c>
      <c r="M1487" s="40">
        <v>0</v>
      </c>
      <c r="N1487" s="40">
        <v>0</v>
      </c>
      <c r="O1487" s="40">
        <v>0</v>
      </c>
      <c r="P1487" s="40">
        <v>0</v>
      </c>
      <c r="Q1487" s="40">
        <v>0</v>
      </c>
      <c r="R1487" s="40">
        <v>1</v>
      </c>
      <c r="S1487" s="40">
        <v>0</v>
      </c>
      <c r="T1487" s="29">
        <f t="array" aca="1" ref="T1487" ca="1">+fair_value_gap(OFFSET(S1486,0,0,-1*$I$5,-1*$Z$1),OFFSET(E1486,0,0,-1*$I$5,1),F1487:S1487,0)</f>
        <v>14.497093520311369</v>
      </c>
      <c r="U1487" s="9" cm="1">
        <f t="array" aca="1" ref="U1487" ca="1">z_score_diff(OFFSET(T1487,0,0,$I$5*-1,1),OFFSET(E1487,0,0,$I$5*-1,1))</f>
        <v>-3.1360015591750945E-3</v>
      </c>
      <c r="V1487" s="9">
        <f t="shared" ca="1" si="191"/>
        <v>-9.1535387257687631E-2</v>
      </c>
      <c r="W1487" s="17">
        <f t="shared" ca="1" si="188"/>
        <v>-7.0401687943596414E-2</v>
      </c>
      <c r="X1487" s="13">
        <f t="shared" ca="1" si="189"/>
        <v>0</v>
      </c>
      <c r="Y1487" s="13">
        <f t="shared" ca="1" si="190"/>
        <v>0</v>
      </c>
      <c r="Z1487">
        <f t="shared" ca="1" si="192"/>
        <v>1</v>
      </c>
      <c r="AA1487">
        <f t="shared" ca="1" si="193"/>
        <v>0</v>
      </c>
      <c r="AB1487" s="24">
        <f t="shared" ca="1" si="194"/>
        <v>-7.0401687943596414E-2</v>
      </c>
      <c r="AC1487" s="24">
        <f t="shared" ca="1" si="195"/>
        <v>0</v>
      </c>
    </row>
    <row r="1488" spans="3:29" x14ac:dyDescent="0.25">
      <c r="C1488" s="6">
        <v>1481</v>
      </c>
      <c r="D1488" s="37">
        <v>44113</v>
      </c>
      <c r="E1488" s="39">
        <v>14.356</v>
      </c>
      <c r="F1488" s="39">
        <v>2.0682661480965434</v>
      </c>
      <c r="G1488" s="39">
        <v>42.197417377982056</v>
      </c>
      <c r="H1488" s="39">
        <v>57.637465354871367</v>
      </c>
      <c r="I1488" s="10">
        <v>0</v>
      </c>
      <c r="J1488" s="40">
        <v>0</v>
      </c>
      <c r="K1488" s="40">
        <v>0</v>
      </c>
      <c r="L1488" s="40">
        <v>0</v>
      </c>
      <c r="M1488" s="40">
        <v>0</v>
      </c>
      <c r="N1488" s="40">
        <v>0</v>
      </c>
      <c r="O1488" s="40">
        <v>0</v>
      </c>
      <c r="P1488" s="40">
        <v>0</v>
      </c>
      <c r="Q1488" s="40">
        <v>0</v>
      </c>
      <c r="R1488" s="40">
        <v>1</v>
      </c>
      <c r="S1488" s="40">
        <v>0</v>
      </c>
      <c r="T1488" s="29">
        <f t="array" aca="1" ref="T1488" ca="1">+fair_value_gap(OFFSET(S1487,0,0,-1*$I$5,-1*$Z$1),OFFSET(E1487,0,0,-1*$I$5,1),F1488:S1488,0)</f>
        <v>14.45724306737581</v>
      </c>
      <c r="U1488" s="9" cm="1">
        <f t="array" aca="1" ref="U1488" ca="1">z_score_diff(OFFSET(T1488,0,0,$I$5*-1,1),OFFSET(E1488,0,0,$I$5*-1,1))</f>
        <v>4.2913318922087773E-2</v>
      </c>
      <c r="V1488" s="9">
        <f t="shared" ca="1" si="191"/>
        <v>-8.8765002922994718E-2</v>
      </c>
      <c r="W1488" s="17">
        <f t="shared" ca="1" si="188"/>
        <v>-4.6772140451281613E-2</v>
      </c>
      <c r="X1488" s="13">
        <f t="shared" ca="1" si="189"/>
        <v>0</v>
      </c>
      <c r="Y1488" s="13">
        <f t="shared" ca="1" si="190"/>
        <v>0</v>
      </c>
      <c r="Z1488">
        <f t="shared" ca="1" si="192"/>
        <v>1</v>
      </c>
      <c r="AA1488">
        <f t="shared" ca="1" si="193"/>
        <v>0</v>
      </c>
      <c r="AB1488" s="24">
        <f t="shared" ca="1" si="194"/>
        <v>-4.6772140451281613E-2</v>
      </c>
      <c r="AC1488" s="24">
        <f t="shared" ca="1" si="195"/>
        <v>0</v>
      </c>
    </row>
    <row r="1489" spans="3:29" x14ac:dyDescent="0.25">
      <c r="C1489" s="6">
        <v>1482</v>
      </c>
      <c r="D1489" s="37">
        <v>44116</v>
      </c>
      <c r="E1489" s="39">
        <v>14.22</v>
      </c>
      <c r="F1489" s="39">
        <v>2.0702445596530481</v>
      </c>
      <c r="G1489" s="39">
        <v>41.654194530241782</v>
      </c>
      <c r="H1489" s="39">
        <v>56.958888470066711</v>
      </c>
      <c r="I1489" s="10">
        <v>0</v>
      </c>
      <c r="J1489" s="40">
        <v>0</v>
      </c>
      <c r="K1489" s="40">
        <v>0</v>
      </c>
      <c r="L1489" s="40">
        <v>0</v>
      </c>
      <c r="M1489" s="40">
        <v>0</v>
      </c>
      <c r="N1489" s="40">
        <v>0</v>
      </c>
      <c r="O1489" s="40">
        <v>0</v>
      </c>
      <c r="P1489" s="40">
        <v>0</v>
      </c>
      <c r="Q1489" s="40">
        <v>0</v>
      </c>
      <c r="R1489" s="40">
        <v>1</v>
      </c>
      <c r="S1489" s="40">
        <v>0</v>
      </c>
      <c r="T1489" s="29">
        <f t="array" aca="1" ref="T1489" ca="1">+fair_value_gap(OFFSET(S1488,0,0,-1*$I$5,-1*$Z$1),OFFSET(E1488,0,0,-1*$I$5,1),F1489:S1489,0)</f>
        <v>14.249573336980317</v>
      </c>
      <c r="U1489" s="9" cm="1">
        <f t="array" aca="1" ref="U1489" ca="1">z_score_diff(OFFSET(T1489,0,0,$I$5*-1,1),OFFSET(E1489,0,0,$I$5*-1,1))</f>
        <v>-1.2913365347453465E-2</v>
      </c>
      <c r="V1489" s="9">
        <f t="shared" ca="1" si="191"/>
        <v>-8.701866613319563E-2</v>
      </c>
      <c r="W1489" s="17">
        <f t="shared" ca="1" si="188"/>
        <v>-4.9222747171445681E-2</v>
      </c>
      <c r="X1489" s="13">
        <f t="shared" ca="1" si="189"/>
        <v>0</v>
      </c>
      <c r="Y1489" s="13">
        <f t="shared" ca="1" si="190"/>
        <v>0</v>
      </c>
      <c r="Z1489">
        <f t="shared" ca="1" si="192"/>
        <v>1</v>
      </c>
      <c r="AA1489">
        <f t="shared" ca="1" si="193"/>
        <v>0</v>
      </c>
      <c r="AB1489" s="24">
        <f t="shared" ca="1" si="194"/>
        <v>-4.9222747171445681E-2</v>
      </c>
      <c r="AC1489" s="24">
        <f t="shared" ca="1" si="195"/>
        <v>0</v>
      </c>
    </row>
    <row r="1490" spans="3:29" x14ac:dyDescent="0.25">
      <c r="C1490" s="6">
        <v>1483</v>
      </c>
      <c r="D1490" s="37">
        <v>44117</v>
      </c>
      <c r="E1490" s="39">
        <v>14.215</v>
      </c>
      <c r="F1490" s="39">
        <v>2.0870750245006287</v>
      </c>
      <c r="G1490" s="39">
        <v>41.336894598565664</v>
      </c>
      <c r="H1490" s="39">
        <v>56.698450887280288</v>
      </c>
      <c r="I1490" s="10">
        <v>0</v>
      </c>
      <c r="J1490" s="40">
        <v>0</v>
      </c>
      <c r="K1490" s="40">
        <v>0</v>
      </c>
      <c r="L1490" s="40">
        <v>0</v>
      </c>
      <c r="M1490" s="40">
        <v>0</v>
      </c>
      <c r="N1490" s="40">
        <v>0</v>
      </c>
      <c r="O1490" s="40">
        <v>0</v>
      </c>
      <c r="P1490" s="40">
        <v>0</v>
      </c>
      <c r="Q1490" s="40">
        <v>0</v>
      </c>
      <c r="R1490" s="40">
        <v>1</v>
      </c>
      <c r="S1490" s="40">
        <v>0</v>
      </c>
      <c r="T1490" s="29">
        <f t="array" aca="1" ref="T1490" ca="1">+fair_value_gap(OFFSET(S1489,0,0,-1*$I$5,-1*$Z$1),OFFSET(E1489,0,0,-1*$I$5,1),F1490:S1490,0)</f>
        <v>14.124134338061454</v>
      </c>
      <c r="U1490" s="9" cm="1">
        <f t="array" aca="1" ref="U1490" ca="1">z_score_diff(OFFSET(T1490,0,0,$I$5*-1,1),OFFSET(E1490,0,0,$I$5*-1,1))</f>
        <v>-0.10447342592739806</v>
      </c>
      <c r="V1490" s="9">
        <f t="shared" ca="1" si="191"/>
        <v>-8.7133661058977199E-2</v>
      </c>
      <c r="W1490" s="17">
        <f t="shared" ca="1" si="188"/>
        <v>-5.7700655962266825E-2</v>
      </c>
      <c r="X1490" s="13">
        <f t="shared" ca="1" si="189"/>
        <v>0</v>
      </c>
      <c r="Y1490" s="13">
        <f t="shared" ca="1" si="190"/>
        <v>0</v>
      </c>
      <c r="Z1490">
        <f t="shared" ca="1" si="192"/>
        <v>1</v>
      </c>
      <c r="AA1490">
        <f t="shared" ca="1" si="193"/>
        <v>0</v>
      </c>
      <c r="AB1490" s="24">
        <f t="shared" ca="1" si="194"/>
        <v>-5.7700655962266825E-2</v>
      </c>
      <c r="AC1490" s="24">
        <f t="shared" ca="1" si="195"/>
        <v>0</v>
      </c>
    </row>
    <row r="1491" spans="3:29" x14ac:dyDescent="0.25">
      <c r="C1491" s="6">
        <v>1484</v>
      </c>
      <c r="D1491" s="37">
        <v>44118</v>
      </c>
      <c r="E1491" s="39">
        <v>14.276</v>
      </c>
      <c r="F1491" s="39">
        <v>2.0944794365169255</v>
      </c>
      <c r="G1491" s="39">
        <v>41.705852882494092</v>
      </c>
      <c r="H1491" s="39">
        <v>56.79730467150474</v>
      </c>
      <c r="I1491" s="10">
        <v>0</v>
      </c>
      <c r="J1491" s="40">
        <v>0</v>
      </c>
      <c r="K1491" s="40">
        <v>0</v>
      </c>
      <c r="L1491" s="40">
        <v>0</v>
      </c>
      <c r="M1491" s="40">
        <v>0</v>
      </c>
      <c r="N1491" s="40">
        <v>0</v>
      </c>
      <c r="O1491" s="40">
        <v>0</v>
      </c>
      <c r="P1491" s="40">
        <v>0</v>
      </c>
      <c r="Q1491" s="40">
        <v>0</v>
      </c>
      <c r="R1491" s="40">
        <v>1</v>
      </c>
      <c r="S1491" s="40">
        <v>0</v>
      </c>
      <c r="T1491" s="29">
        <f t="array" aca="1" ref="T1491" ca="1">+fair_value_gap(OFFSET(S1490,0,0,-1*$I$5,-1*$Z$1),OFFSET(E1490,0,0,-1*$I$5,1),F1491:S1491,0)</f>
        <v>14.250603822499684</v>
      </c>
      <c r="U1491" s="9" cm="1">
        <f t="array" aca="1" ref="U1491" ca="1">z_score_diff(OFFSET(T1491,0,0,$I$5*-1,1),OFFSET(E1491,0,0,$I$5*-1,1))</f>
        <v>-5.4073459448113259E-2</v>
      </c>
      <c r="V1491" s="9">
        <f t="shared" ca="1" si="191"/>
        <v>-8.7289185691877741E-2</v>
      </c>
      <c r="W1491" s="17">
        <f t="shared" ca="1" si="188"/>
        <v>-6.9538391107906022E-2</v>
      </c>
      <c r="X1491" s="13">
        <f t="shared" ca="1" si="189"/>
        <v>0</v>
      </c>
      <c r="Y1491" s="13">
        <f t="shared" ca="1" si="190"/>
        <v>0</v>
      </c>
      <c r="Z1491">
        <f t="shared" ca="1" si="192"/>
        <v>1</v>
      </c>
      <c r="AA1491">
        <f t="shared" ca="1" si="193"/>
        <v>0</v>
      </c>
      <c r="AB1491" s="24">
        <f t="shared" ca="1" si="194"/>
        <v>-6.9538391107906022E-2</v>
      </c>
      <c r="AC1491" s="24">
        <f t="shared" ca="1" si="195"/>
        <v>0</v>
      </c>
    </row>
    <row r="1492" spans="3:29" x14ac:dyDescent="0.25">
      <c r="C1492" s="6">
        <v>1485</v>
      </c>
      <c r="D1492" s="37">
        <v>44119</v>
      </c>
      <c r="E1492" s="39">
        <v>14.214</v>
      </c>
      <c r="F1492" s="39">
        <v>2.1274800205912383</v>
      </c>
      <c r="G1492" s="39">
        <v>41.416695914201405</v>
      </c>
      <c r="H1492" s="39">
        <v>56.963467429555173</v>
      </c>
      <c r="I1492" s="10">
        <v>0</v>
      </c>
      <c r="J1492" s="40">
        <v>0</v>
      </c>
      <c r="K1492" s="40">
        <v>0</v>
      </c>
      <c r="L1492" s="40">
        <v>0</v>
      </c>
      <c r="M1492" s="40">
        <v>0</v>
      </c>
      <c r="N1492" s="40">
        <v>0</v>
      </c>
      <c r="O1492" s="40">
        <v>0</v>
      </c>
      <c r="P1492" s="40">
        <v>0</v>
      </c>
      <c r="Q1492" s="40">
        <v>0</v>
      </c>
      <c r="R1492" s="40">
        <v>1</v>
      </c>
      <c r="S1492" s="40">
        <v>0</v>
      </c>
      <c r="T1492" s="29">
        <f t="array" aca="1" ref="T1492" ca="1">+fair_value_gap(OFFSET(S1491,0,0,-1*$I$5,-1*$Z$1),OFFSET(E1491,0,0,-1*$I$5,1),F1492:S1492,0)</f>
        <v>14.144152746355559</v>
      </c>
      <c r="U1492" s="9" cm="1">
        <f t="array" aca="1" ref="U1492" ca="1">z_score_diff(OFFSET(T1492,0,0,$I$5*-1,1),OFFSET(E1492,0,0,$I$5*-1,1))</f>
        <v>-8.9682804173666697E-2</v>
      </c>
      <c r="V1492" s="9">
        <f t="shared" ca="1" si="191"/>
        <v>-9.066090068372025E-2</v>
      </c>
      <c r="W1492" s="17">
        <f t="shared" ca="1" si="188"/>
        <v>-8.5439260636000922E-2</v>
      </c>
      <c r="X1492" s="13">
        <f t="shared" ca="1" si="189"/>
        <v>0</v>
      </c>
      <c r="Y1492" s="13">
        <f t="shared" ca="1" si="190"/>
        <v>0</v>
      </c>
      <c r="Z1492">
        <f t="shared" ca="1" si="192"/>
        <v>1</v>
      </c>
      <c r="AA1492">
        <f t="shared" ca="1" si="193"/>
        <v>0</v>
      </c>
      <c r="AB1492" s="24">
        <f t="shared" ca="1" si="194"/>
        <v>-8.5439260636000922E-2</v>
      </c>
      <c r="AC1492" s="24">
        <f t="shared" ca="1" si="195"/>
        <v>0</v>
      </c>
    </row>
    <row r="1493" spans="3:29" x14ac:dyDescent="0.25">
      <c r="C1493" s="6">
        <v>1486</v>
      </c>
      <c r="D1493" s="37">
        <v>44120</v>
      </c>
      <c r="E1493" s="39">
        <v>14.393000000000001</v>
      </c>
      <c r="F1493" s="39">
        <v>2.1436760292679637</v>
      </c>
      <c r="G1493" s="39">
        <v>41.846491462944158</v>
      </c>
      <c r="H1493" s="39">
        <v>57.153454496408941</v>
      </c>
      <c r="I1493" s="10">
        <v>0</v>
      </c>
      <c r="J1493" s="40">
        <v>0</v>
      </c>
      <c r="K1493" s="40">
        <v>0</v>
      </c>
      <c r="L1493" s="40">
        <v>0</v>
      </c>
      <c r="M1493" s="40">
        <v>0</v>
      </c>
      <c r="N1493" s="40">
        <v>0</v>
      </c>
      <c r="O1493" s="40">
        <v>0</v>
      </c>
      <c r="P1493" s="40">
        <v>0</v>
      </c>
      <c r="Q1493" s="40">
        <v>0</v>
      </c>
      <c r="R1493" s="40">
        <v>1</v>
      </c>
      <c r="S1493" s="40">
        <v>0</v>
      </c>
      <c r="T1493" s="29">
        <f t="array" aca="1" ref="T1493" ca="1">+fair_value_gap(OFFSET(S1492,0,0,-1*$I$5,-1*$Z$1),OFFSET(E1492,0,0,-1*$I$5,1),F1493:S1493,0)</f>
        <v>14.291883025702493</v>
      </c>
      <c r="U1493" s="9" cm="1">
        <f t="array" aca="1" ref="U1493" ca="1">z_score_diff(OFFSET(T1493,0,0,$I$5*-1,1),OFFSET(E1493,0,0,$I$5*-1,1))</f>
        <v>-0.11207261141076641</v>
      </c>
      <c r="V1493" s="9">
        <f t="shared" ca="1" si="191"/>
        <v>-8.5920234834114317E-2</v>
      </c>
      <c r="W1493" s="17">
        <f t="shared" ca="1" si="188"/>
        <v>-8.1688378887594656E-2</v>
      </c>
      <c r="X1493" s="13">
        <f t="shared" ca="1" si="189"/>
        <v>0</v>
      </c>
      <c r="Y1493" s="13">
        <f t="shared" ca="1" si="190"/>
        <v>0</v>
      </c>
      <c r="Z1493">
        <f t="shared" ca="1" si="192"/>
        <v>1</v>
      </c>
      <c r="AA1493">
        <f t="shared" ca="1" si="193"/>
        <v>0</v>
      </c>
      <c r="AB1493" s="24">
        <f t="shared" ca="1" si="194"/>
        <v>-8.1688378887594656E-2</v>
      </c>
      <c r="AC1493" s="24">
        <f t="shared" ca="1" si="195"/>
        <v>0</v>
      </c>
    </row>
    <row r="1494" spans="3:29" x14ac:dyDescent="0.25">
      <c r="C1494" s="6">
        <v>1487</v>
      </c>
      <c r="D1494" s="37">
        <v>44123</v>
      </c>
      <c r="E1494" s="39">
        <v>14.464</v>
      </c>
      <c r="F1494" s="39">
        <v>2.1343131758378631</v>
      </c>
      <c r="G1494" s="39">
        <v>42.095365255561084</v>
      </c>
      <c r="H1494" s="39">
        <v>57.491330139557057</v>
      </c>
      <c r="I1494" s="10">
        <v>0</v>
      </c>
      <c r="J1494" s="40">
        <v>0</v>
      </c>
      <c r="K1494" s="40">
        <v>0</v>
      </c>
      <c r="L1494" s="40">
        <v>0</v>
      </c>
      <c r="M1494" s="40">
        <v>0</v>
      </c>
      <c r="N1494" s="40">
        <v>0</v>
      </c>
      <c r="O1494" s="40">
        <v>0</v>
      </c>
      <c r="P1494" s="40">
        <v>0</v>
      </c>
      <c r="Q1494" s="40">
        <v>0</v>
      </c>
      <c r="R1494" s="40">
        <v>1</v>
      </c>
      <c r="S1494" s="40">
        <v>0</v>
      </c>
      <c r="T1494" s="29">
        <f t="array" aca="1" ref="T1494" ca="1">+fair_value_gap(OFFSET(S1493,0,0,-1*$I$5,-1*$Z$1),OFFSET(E1493,0,0,-1*$I$5,1),F1494:S1494,0)</f>
        <v>14.399683220009162</v>
      </c>
      <c r="U1494" s="9" cm="1">
        <f t="array" aca="1" ref="U1494" ca="1">z_score_diff(OFFSET(T1494,0,0,$I$5*-1,1),OFFSET(E1494,0,0,$I$5*-1,1))</f>
        <v>-8.2657513559968296E-2</v>
      </c>
      <c r="V1494" s="9">
        <f t="shared" ca="1" si="191"/>
        <v>-8.1729662925646498E-2</v>
      </c>
      <c r="W1494" s="17">
        <f t="shared" ca="1" si="188"/>
        <v>-8.8873528059952966E-2</v>
      </c>
      <c r="X1494" s="13">
        <f t="shared" ca="1" si="189"/>
        <v>0</v>
      </c>
      <c r="Y1494" s="13">
        <f t="shared" ca="1" si="190"/>
        <v>0</v>
      </c>
      <c r="Z1494">
        <f t="shared" ca="1" si="192"/>
        <v>1</v>
      </c>
      <c r="AA1494">
        <f t="shared" ca="1" si="193"/>
        <v>0</v>
      </c>
      <c r="AB1494" s="24">
        <f t="shared" ca="1" si="194"/>
        <v>-8.8873528059952966E-2</v>
      </c>
      <c r="AC1494" s="24">
        <f t="shared" ca="1" si="195"/>
        <v>0</v>
      </c>
    </row>
    <row r="1495" spans="3:29" x14ac:dyDescent="0.25">
      <c r="C1495" s="6">
        <v>1488</v>
      </c>
      <c r="D1495" s="37">
        <v>44124</v>
      </c>
      <c r="E1495" s="39">
        <v>14.468</v>
      </c>
      <c r="F1495" s="39">
        <v>2.1354471698223554</v>
      </c>
      <c r="G1495" s="39">
        <v>42.03628452224438</v>
      </c>
      <c r="H1495" s="39">
        <v>56.769810324502757</v>
      </c>
      <c r="I1495" s="10">
        <v>0</v>
      </c>
      <c r="J1495" s="40">
        <v>0</v>
      </c>
      <c r="K1495" s="40">
        <v>0</v>
      </c>
      <c r="L1495" s="40">
        <v>0</v>
      </c>
      <c r="M1495" s="40">
        <v>0</v>
      </c>
      <c r="N1495" s="40">
        <v>0</v>
      </c>
      <c r="O1495" s="40">
        <v>0</v>
      </c>
      <c r="P1495" s="40">
        <v>0</v>
      </c>
      <c r="Q1495" s="40">
        <v>0</v>
      </c>
      <c r="R1495" s="40">
        <v>1</v>
      </c>
      <c r="S1495" s="40">
        <v>0</v>
      </c>
      <c r="T1495" s="29">
        <f t="array" aca="1" ref="T1495" ca="1">+fair_value_gap(OFFSET(S1494,0,0,-1*$I$5,-1*$Z$1),OFFSET(E1494,0,0,-1*$I$5,1),F1495:S1495,0)</f>
        <v>14.367901079240079</v>
      </c>
      <c r="U1495" s="9" cm="1">
        <f t="array" aca="1" ref="U1495" ca="1">z_score_diff(OFFSET(T1495,0,0,$I$5*-1,1),OFFSET(E1495,0,0,$I$5*-1,1))</f>
        <v>-0.11177983039945735</v>
      </c>
      <c r="V1495" s="9">
        <f t="shared" ca="1" si="191"/>
        <v>-7.8706809310031559E-2</v>
      </c>
      <c r="W1495" s="17">
        <f t="shared" ca="1" si="188"/>
        <v>-8.8394694404851731E-2</v>
      </c>
      <c r="X1495" s="13">
        <f t="shared" ca="1" si="189"/>
        <v>0</v>
      </c>
      <c r="Y1495" s="13">
        <f t="shared" ca="1" si="190"/>
        <v>0</v>
      </c>
      <c r="Z1495">
        <f t="shared" ca="1" si="192"/>
        <v>1</v>
      </c>
      <c r="AA1495">
        <f t="shared" ca="1" si="193"/>
        <v>0</v>
      </c>
      <c r="AB1495" s="24">
        <f t="shared" ca="1" si="194"/>
        <v>-8.8394694404851731E-2</v>
      </c>
      <c r="AC1495" s="24">
        <f t="shared" ca="1" si="195"/>
        <v>0</v>
      </c>
    </row>
    <row r="1496" spans="3:29" x14ac:dyDescent="0.25">
      <c r="C1496" s="6">
        <v>1489</v>
      </c>
      <c r="D1496" s="37">
        <v>44125</v>
      </c>
      <c r="E1496" s="39">
        <v>14.355</v>
      </c>
      <c r="F1496" s="39">
        <v>2.1416255029196414</v>
      </c>
      <c r="G1496" s="39">
        <v>41.82251645147214</v>
      </c>
      <c r="H1496" s="39">
        <v>55.810544027855286</v>
      </c>
      <c r="I1496" s="10">
        <v>0</v>
      </c>
      <c r="J1496" s="40">
        <v>0</v>
      </c>
      <c r="K1496" s="40">
        <v>0</v>
      </c>
      <c r="L1496" s="40">
        <v>0</v>
      </c>
      <c r="M1496" s="40">
        <v>0</v>
      </c>
      <c r="N1496" s="40">
        <v>0</v>
      </c>
      <c r="O1496" s="40">
        <v>0</v>
      </c>
      <c r="P1496" s="40">
        <v>0</v>
      </c>
      <c r="Q1496" s="40">
        <v>0</v>
      </c>
      <c r="R1496" s="40">
        <v>1</v>
      </c>
      <c r="S1496" s="40">
        <v>0</v>
      </c>
      <c r="T1496" s="29">
        <f t="array" aca="1" ref="T1496" ca="1">+fair_value_gap(OFFSET(S1495,0,0,-1*$I$5,-1*$Z$1),OFFSET(E1495,0,0,-1*$I$5,1),F1496:S1496,0)</f>
        <v>14.277007329099423</v>
      </c>
      <c r="U1496" s="9" cm="1">
        <f t="array" aca="1" ref="U1496" ca="1">z_score_diff(OFFSET(T1496,0,0,$I$5*-1,1),OFFSET(E1496,0,0,$I$5*-1,1))</f>
        <v>-9.6279688114488365E-2</v>
      </c>
      <c r="V1496" s="9">
        <f t="shared" ca="1" si="191"/>
        <v>-7.5475508670866553E-2</v>
      </c>
      <c r="W1496" s="17">
        <f t="shared" ca="1" si="188"/>
        <v>-7.5657815468608294E-2</v>
      </c>
      <c r="X1496" s="13">
        <f t="shared" ca="1" si="189"/>
        <v>0</v>
      </c>
      <c r="Y1496" s="13">
        <f t="shared" ca="1" si="190"/>
        <v>0</v>
      </c>
      <c r="Z1496">
        <f t="shared" ca="1" si="192"/>
        <v>1</v>
      </c>
      <c r="AA1496">
        <f t="shared" ca="1" si="193"/>
        <v>0</v>
      </c>
      <c r="AB1496" s="24">
        <f t="shared" ca="1" si="194"/>
        <v>-7.5657815468608294E-2</v>
      </c>
      <c r="AC1496" s="24">
        <f t="shared" ca="1" si="195"/>
        <v>0</v>
      </c>
    </row>
    <row r="1497" spans="3:29" x14ac:dyDescent="0.25">
      <c r="C1497" s="6">
        <v>1490</v>
      </c>
      <c r="D1497" s="37">
        <v>44126</v>
      </c>
      <c r="E1497" s="39">
        <v>14.516999999999999</v>
      </c>
      <c r="F1497" s="39">
        <v>2.1465469682531721</v>
      </c>
      <c r="G1497" s="39">
        <v>42.128279403354675</v>
      </c>
      <c r="H1497" s="39">
        <v>56.463881505257703</v>
      </c>
      <c r="I1497" s="10">
        <v>0</v>
      </c>
      <c r="J1497" s="40">
        <v>0</v>
      </c>
      <c r="K1497" s="40">
        <v>0</v>
      </c>
      <c r="L1497" s="40">
        <v>0</v>
      </c>
      <c r="M1497" s="40">
        <v>0</v>
      </c>
      <c r="N1497" s="40">
        <v>0</v>
      </c>
      <c r="O1497" s="40">
        <v>0</v>
      </c>
      <c r="P1497" s="40">
        <v>0</v>
      </c>
      <c r="Q1497" s="40">
        <v>0</v>
      </c>
      <c r="R1497" s="40">
        <v>1</v>
      </c>
      <c r="S1497" s="40">
        <v>0</v>
      </c>
      <c r="T1497" s="29">
        <f t="array" aca="1" ref="T1497" ca="1">+fair_value_gap(OFFSET(S1496,0,0,-1*$I$5,-1*$Z$1),OFFSET(E1496,0,0,-1*$I$5,1),F1497:S1497,0)</f>
        <v>14.401170222131418</v>
      </c>
      <c r="U1497" s="9" cm="1">
        <f t="array" aca="1" ref="U1497" ca="1">z_score_diff(OFFSET(T1497,0,0,$I$5*-1,1),OFFSET(E1497,0,0,$I$5*-1,1))</f>
        <v>-0.12552650818450389</v>
      </c>
      <c r="V1497" s="9">
        <f t="shared" ca="1" si="191"/>
        <v>-7.6310671951289072E-2</v>
      </c>
      <c r="W1497" s="17">
        <f t="shared" ca="1" si="188"/>
        <v>-7.4706918979320303E-2</v>
      </c>
      <c r="X1497" s="13">
        <f t="shared" ca="1" si="189"/>
        <v>0</v>
      </c>
      <c r="Y1497" s="13">
        <f t="shared" ca="1" si="190"/>
        <v>0</v>
      </c>
      <c r="Z1497">
        <f t="shared" ca="1" si="192"/>
        <v>1</v>
      </c>
      <c r="AA1497">
        <f t="shared" ca="1" si="193"/>
        <v>0</v>
      </c>
      <c r="AB1497" s="24">
        <f t="shared" ca="1" si="194"/>
        <v>-7.4706918979320303E-2</v>
      </c>
      <c r="AC1497" s="24">
        <f t="shared" ca="1" si="195"/>
        <v>0</v>
      </c>
    </row>
    <row r="1498" spans="3:29" x14ac:dyDescent="0.25">
      <c r="C1498" s="6">
        <v>1491</v>
      </c>
      <c r="D1498" s="37">
        <v>44127</v>
      </c>
      <c r="E1498" s="39">
        <v>14.531000000000001</v>
      </c>
      <c r="F1498" s="39">
        <v>2.1349960322714145</v>
      </c>
      <c r="G1498" s="39">
        <v>42.303369990440594</v>
      </c>
      <c r="H1498" s="39">
        <v>55.997848350332532</v>
      </c>
      <c r="I1498" s="10">
        <v>0</v>
      </c>
      <c r="J1498" s="40">
        <v>0</v>
      </c>
      <c r="K1498" s="40">
        <v>0</v>
      </c>
      <c r="L1498" s="40">
        <v>0</v>
      </c>
      <c r="M1498" s="40">
        <v>0</v>
      </c>
      <c r="N1498" s="40">
        <v>0</v>
      </c>
      <c r="O1498" s="40">
        <v>0</v>
      </c>
      <c r="P1498" s="40">
        <v>0</v>
      </c>
      <c r="Q1498" s="40">
        <v>0</v>
      </c>
      <c r="R1498" s="40">
        <v>1</v>
      </c>
      <c r="S1498" s="40">
        <v>0</v>
      </c>
      <c r="T1498" s="29">
        <f t="array" aca="1" ref="T1498" ca="1">+fair_value_gap(OFFSET(S1497,0,0,-1*$I$5,-1*$Z$1),OFFSET(E1497,0,0,-1*$I$5,1),F1498:S1498,0)</f>
        <v>14.44218760201294</v>
      </c>
      <c r="U1498" s="9" cm="1">
        <f t="array" aca="1" ref="U1498" ca="1">z_score_diff(OFFSET(T1498,0,0,$I$5*-1,1),OFFSET(E1498,0,0,$I$5*-1,1))</f>
        <v>-0.10371497950489386</v>
      </c>
      <c r="V1498" s="9">
        <f t="shared" ca="1" si="191"/>
        <v>-7.6458765270336668E-2</v>
      </c>
      <c r="W1498" s="17">
        <f t="shared" ca="1" si="188"/>
        <v>-5.6264174743384354E-2</v>
      </c>
      <c r="X1498" s="13">
        <f t="shared" ca="1" si="189"/>
        <v>0</v>
      </c>
      <c r="Y1498" s="13">
        <f t="shared" ca="1" si="190"/>
        <v>0</v>
      </c>
      <c r="Z1498">
        <f t="shared" ca="1" si="192"/>
        <v>1</v>
      </c>
      <c r="AA1498">
        <f t="shared" ca="1" si="193"/>
        <v>0</v>
      </c>
      <c r="AB1498" s="24">
        <f t="shared" ca="1" si="194"/>
        <v>-5.6264174743384354E-2</v>
      </c>
      <c r="AC1498" s="24">
        <f t="shared" ca="1" si="195"/>
        <v>0</v>
      </c>
    </row>
    <row r="1499" spans="3:29" x14ac:dyDescent="0.25">
      <c r="C1499" s="6">
        <v>1492</v>
      </c>
      <c r="D1499" s="37">
        <v>44130</v>
      </c>
      <c r="E1499" s="39">
        <v>14.198</v>
      </c>
      <c r="F1499" s="39">
        <v>2.1624315564489964</v>
      </c>
      <c r="G1499" s="39">
        <v>41.685256628961845</v>
      </c>
      <c r="H1499" s="39">
        <v>55.942254882613256</v>
      </c>
      <c r="I1499" s="10">
        <v>0</v>
      </c>
      <c r="J1499" s="40">
        <v>0</v>
      </c>
      <c r="K1499" s="40">
        <v>0</v>
      </c>
      <c r="L1499" s="40">
        <v>0</v>
      </c>
      <c r="M1499" s="40">
        <v>0</v>
      </c>
      <c r="N1499" s="40">
        <v>0</v>
      </c>
      <c r="O1499" s="40">
        <v>0</v>
      </c>
      <c r="P1499" s="40">
        <v>0</v>
      </c>
      <c r="Q1499" s="40">
        <v>0</v>
      </c>
      <c r="R1499" s="40">
        <v>1</v>
      </c>
      <c r="S1499" s="40">
        <v>0</v>
      </c>
      <c r="T1499" s="29">
        <f t="array" aca="1" ref="T1499" ca="1">+fair_value_gap(OFFSET(S1498,0,0,-1*$I$5,-1*$Z$1),OFFSET(E1498,0,0,-1*$I$5,1),F1499:S1499,0)</f>
        <v>14.231898579948563</v>
      </c>
      <c r="U1499" s="9" cm="1">
        <f t="array" aca="1" ref="U1499" ca="1">z_score_diff(OFFSET(T1499,0,0,$I$5*-1,1),OFFSET(E1499,0,0,$I$5*-1,1))</f>
        <v>-7.5876612851490388E-3</v>
      </c>
      <c r="V1499" s="9">
        <f t="shared" ca="1" si="191"/>
        <v>-7.5076096809644485E-2</v>
      </c>
      <c r="W1499" s="17">
        <f t="shared" ca="1" si="188"/>
        <v>-7.210040423370449E-3</v>
      </c>
      <c r="X1499" s="13">
        <f t="shared" ca="1" si="189"/>
        <v>0</v>
      </c>
      <c r="Y1499" s="13">
        <f t="shared" ca="1" si="190"/>
        <v>0</v>
      </c>
      <c r="Z1499">
        <f t="shared" ca="1" si="192"/>
        <v>1</v>
      </c>
      <c r="AA1499">
        <f t="shared" ca="1" si="193"/>
        <v>0</v>
      </c>
      <c r="AB1499" s="24">
        <f t="shared" ca="1" si="194"/>
        <v>-7.210040423370449E-3</v>
      </c>
      <c r="AC1499" s="24">
        <f t="shared" ca="1" si="195"/>
        <v>0</v>
      </c>
    </row>
    <row r="1500" spans="3:29" x14ac:dyDescent="0.25">
      <c r="C1500" s="6">
        <v>1493</v>
      </c>
      <c r="D1500" s="37">
        <v>44131</v>
      </c>
      <c r="E1500" s="39">
        <v>14.349</v>
      </c>
      <c r="F1500" s="39">
        <v>2.1729365901404152</v>
      </c>
      <c r="G1500" s="39">
        <v>41.988569900005807</v>
      </c>
      <c r="H1500" s="39">
        <v>56.187966976056629</v>
      </c>
      <c r="I1500" s="10">
        <v>0</v>
      </c>
      <c r="J1500" s="40">
        <v>0</v>
      </c>
      <c r="K1500" s="40">
        <v>0</v>
      </c>
      <c r="L1500" s="40">
        <v>0</v>
      </c>
      <c r="M1500" s="40">
        <v>0</v>
      </c>
      <c r="N1500" s="40">
        <v>0</v>
      </c>
      <c r="O1500" s="40">
        <v>0</v>
      </c>
      <c r="P1500" s="40">
        <v>0</v>
      </c>
      <c r="Q1500" s="40">
        <v>0</v>
      </c>
      <c r="R1500" s="40">
        <v>1</v>
      </c>
      <c r="S1500" s="40">
        <v>0</v>
      </c>
      <c r="T1500" s="29">
        <f t="array" aca="1" ref="T1500" ca="1">+fair_value_gap(OFFSET(S1499,0,0,-1*$I$5,-1*$Z$1),OFFSET(E1499,0,0,-1*$I$5,1),F1500:S1500,0)</f>
        <v>14.332698915106485</v>
      </c>
      <c r="U1500" s="9" cm="1">
        <f t="array" aca="1" ref="U1500" ca="1">z_score_diff(OFFSET(T1500,0,0,$I$5*-1,1),OFFSET(E1500,0,0,$I$5*-1,1))</f>
        <v>-4.7464438930666097E-2</v>
      </c>
      <c r="V1500" s="9">
        <f t="shared" ca="1" si="191"/>
        <v>-7.3948911252114752E-2</v>
      </c>
      <c r="W1500" s="17">
        <f t="shared" ca="1" si="188"/>
        <v>-1.5343844550343387E-3</v>
      </c>
      <c r="X1500" s="13">
        <f t="shared" ca="1" si="189"/>
        <v>0</v>
      </c>
      <c r="Y1500" s="13">
        <f t="shared" ca="1" si="190"/>
        <v>0</v>
      </c>
      <c r="Z1500">
        <f t="shared" ca="1" si="192"/>
        <v>1</v>
      </c>
      <c r="AA1500">
        <f t="shared" ca="1" si="193"/>
        <v>0</v>
      </c>
      <c r="AB1500" s="24">
        <f t="shared" ca="1" si="194"/>
        <v>-1.5343844550343387E-3</v>
      </c>
      <c r="AC1500" s="24">
        <f t="shared" ca="1" si="195"/>
        <v>0</v>
      </c>
    </row>
    <row r="1501" spans="3:29" x14ac:dyDescent="0.25">
      <c r="C1501" s="6">
        <v>1494</v>
      </c>
      <c r="D1501" s="37">
        <v>44132</v>
      </c>
      <c r="E1501" s="39">
        <v>14.032999999999999</v>
      </c>
      <c r="F1501" s="39">
        <v>2.1824607833823602</v>
      </c>
      <c r="G1501" s="39">
        <v>40.985718028344714</v>
      </c>
      <c r="H1501" s="39">
        <v>56.032747000167298</v>
      </c>
      <c r="I1501" s="10">
        <v>0</v>
      </c>
      <c r="J1501" s="40">
        <v>0</v>
      </c>
      <c r="K1501" s="40">
        <v>0</v>
      </c>
      <c r="L1501" s="40">
        <v>0</v>
      </c>
      <c r="M1501" s="40">
        <v>0</v>
      </c>
      <c r="N1501" s="40">
        <v>0</v>
      </c>
      <c r="O1501" s="40">
        <v>0</v>
      </c>
      <c r="P1501" s="40">
        <v>0</v>
      </c>
      <c r="Q1501" s="40">
        <v>0</v>
      </c>
      <c r="R1501" s="40">
        <v>1</v>
      </c>
      <c r="S1501" s="40">
        <v>0</v>
      </c>
      <c r="T1501" s="29">
        <f t="array" aca="1" ref="T1501" ca="1">+fair_value_gap(OFFSET(S1500,0,0,-1*$I$5,-1*$Z$1),OFFSET(E1500,0,0,-1*$I$5,1),F1501:S1501,0)</f>
        <v>13.993038422683846</v>
      </c>
      <c r="U1501" s="9" cm="1">
        <f t="array" aca="1" ref="U1501" ca="1">z_score_diff(OFFSET(T1501,0,0,$I$5*-1,1),OFFSET(E1501,0,0,$I$5*-1,1))</f>
        <v>-7.1399542766786006E-2</v>
      </c>
      <c r="V1501" s="9">
        <f t="shared" ca="1" si="191"/>
        <v>-7.5145001766674546E-2</v>
      </c>
      <c r="W1501" s="17">
        <f t="shared" ca="1" si="188"/>
        <v>-4.4279461006487483E-3</v>
      </c>
      <c r="X1501" s="13">
        <f t="shared" ca="1" si="189"/>
        <v>0</v>
      </c>
      <c r="Y1501" s="13">
        <f t="shared" ca="1" si="190"/>
        <v>0</v>
      </c>
      <c r="Z1501">
        <f t="shared" ca="1" si="192"/>
        <v>1</v>
      </c>
      <c r="AA1501">
        <f t="shared" ca="1" si="193"/>
        <v>0</v>
      </c>
      <c r="AB1501" s="24">
        <f t="shared" ca="1" si="194"/>
        <v>-4.4279461006487483E-3</v>
      </c>
      <c r="AC1501" s="24">
        <f t="shared" ca="1" si="195"/>
        <v>0</v>
      </c>
    </row>
    <row r="1502" spans="3:29" x14ac:dyDescent="0.25">
      <c r="C1502" s="6">
        <v>1495</v>
      </c>
      <c r="D1502" s="37">
        <v>44133</v>
      </c>
      <c r="E1502" s="39">
        <v>13.851000000000001</v>
      </c>
      <c r="F1502" s="39">
        <v>2.1420468052454766</v>
      </c>
      <c r="G1502" s="39">
        <v>40.608914205437202</v>
      </c>
      <c r="H1502" s="39">
        <v>56.131439782005273</v>
      </c>
      <c r="I1502" s="10">
        <v>0</v>
      </c>
      <c r="J1502" s="40">
        <v>0</v>
      </c>
      <c r="K1502" s="40">
        <v>0</v>
      </c>
      <c r="L1502" s="40">
        <v>0</v>
      </c>
      <c r="M1502" s="40">
        <v>0</v>
      </c>
      <c r="N1502" s="40">
        <v>0</v>
      </c>
      <c r="O1502" s="40">
        <v>0</v>
      </c>
      <c r="P1502" s="40">
        <v>0</v>
      </c>
      <c r="Q1502" s="40">
        <v>0</v>
      </c>
      <c r="R1502" s="40">
        <v>1</v>
      </c>
      <c r="S1502" s="40">
        <v>0</v>
      </c>
      <c r="T1502" s="29">
        <f t="array" aca="1" ref="T1502" ca="1">+fair_value_gap(OFFSET(S1501,0,0,-1*$I$5,-1*$Z$1),OFFSET(E1501,0,0,-1*$I$5,1),F1502:S1502,0)</f>
        <v>13.886704146693633</v>
      </c>
      <c r="U1502" s="9" cm="1">
        <f t="array" aca="1" ref="U1502" ca="1">z_score_diff(OFFSET(T1502,0,0,$I$5*-1,1),OFFSET(E1502,0,0,$I$5*-1,1))</f>
        <v>-9.9805103583063826E-3</v>
      </c>
      <c r="V1502" s="9">
        <f t="shared" ca="1" si="191"/>
        <v>-7.2892692345354768E-2</v>
      </c>
      <c r="W1502" s="17">
        <f t="shared" ca="1" si="188"/>
        <v>-1.0112685057143038E-3</v>
      </c>
      <c r="X1502" s="13">
        <f t="shared" ca="1" si="189"/>
        <v>0</v>
      </c>
      <c r="Y1502" s="13">
        <f t="shared" ca="1" si="190"/>
        <v>0</v>
      </c>
      <c r="Z1502">
        <f t="shared" ca="1" si="192"/>
        <v>1</v>
      </c>
      <c r="AA1502">
        <f t="shared" ca="1" si="193"/>
        <v>0</v>
      </c>
      <c r="AB1502" s="24">
        <f t="shared" ca="1" si="194"/>
        <v>-1.0112685057143038E-3</v>
      </c>
      <c r="AC1502" s="24">
        <f t="shared" ca="1" si="195"/>
        <v>0</v>
      </c>
    </row>
    <row r="1503" spans="3:29" x14ac:dyDescent="0.25">
      <c r="C1503" s="6">
        <v>1496</v>
      </c>
      <c r="D1503" s="37">
        <v>44134</v>
      </c>
      <c r="E1503" s="39">
        <v>13.118</v>
      </c>
      <c r="F1503" s="39">
        <v>2.1660147702870942</v>
      </c>
      <c r="G1503" s="39">
        <v>37.373927745209222</v>
      </c>
      <c r="H1503" s="39">
        <v>56.949057096624273</v>
      </c>
      <c r="I1503" s="10">
        <v>0</v>
      </c>
      <c r="J1503" s="40">
        <v>0</v>
      </c>
      <c r="K1503" s="40">
        <v>0</v>
      </c>
      <c r="L1503" s="40">
        <v>0</v>
      </c>
      <c r="M1503" s="40">
        <v>0</v>
      </c>
      <c r="N1503" s="40">
        <v>0</v>
      </c>
      <c r="O1503" s="40">
        <v>0</v>
      </c>
      <c r="P1503" s="40">
        <v>0</v>
      </c>
      <c r="Q1503" s="40">
        <v>0</v>
      </c>
      <c r="R1503" s="40">
        <v>1</v>
      </c>
      <c r="S1503" s="40">
        <v>0</v>
      </c>
      <c r="T1503" s="29">
        <f t="array" aca="1" ref="T1503" ca="1">+fair_value_gap(OFFSET(S1502,0,0,-1*$I$5,-1*$Z$1),OFFSET(E1502,0,0,-1*$I$5,1),F1503:S1503,0)</f>
        <v>12.819488355194778</v>
      </c>
      <c r="U1503" s="9" cm="1">
        <f t="array" aca="1" ref="U1503" ca="1">z_score_diff(OFFSET(T1503,0,0,$I$5*-1,1),OFFSET(E1503,0,0,$I$5*-1,1))</f>
        <v>-0.29868538684731716</v>
      </c>
      <c r="V1503" s="9">
        <f t="shared" ca="1" si="191"/>
        <v>-7.810414226236774E-2</v>
      </c>
      <c r="W1503" s="17">
        <f t="shared" ca="1" si="188"/>
        <v>7.1409018199595845E-2</v>
      </c>
      <c r="X1503" s="13">
        <f t="shared" ca="1" si="189"/>
        <v>0</v>
      </c>
      <c r="Y1503" s="13">
        <f t="shared" ca="1" si="190"/>
        <v>0</v>
      </c>
      <c r="Z1503">
        <f t="shared" ca="1" si="192"/>
        <v>1</v>
      </c>
      <c r="AA1503">
        <f t="shared" ca="1" si="193"/>
        <v>0</v>
      </c>
      <c r="AB1503" s="24">
        <f t="shared" ca="1" si="194"/>
        <v>7.1409018199595845E-2</v>
      </c>
      <c r="AC1503" s="24">
        <f t="shared" ca="1" si="195"/>
        <v>0</v>
      </c>
    </row>
    <row r="1504" spans="3:29" x14ac:dyDescent="0.25">
      <c r="C1504" s="6">
        <v>1497</v>
      </c>
      <c r="D1504" s="37">
        <v>44137</v>
      </c>
      <c r="E1504" s="39">
        <v>13.06</v>
      </c>
      <c r="F1504" s="39">
        <v>2.1601917456418747</v>
      </c>
      <c r="G1504" s="39">
        <v>37.208544983062517</v>
      </c>
      <c r="H1504" s="39">
        <v>56.061513304643853</v>
      </c>
      <c r="I1504" s="10">
        <v>0</v>
      </c>
      <c r="J1504" s="40">
        <v>0</v>
      </c>
      <c r="K1504" s="40">
        <v>0</v>
      </c>
      <c r="L1504" s="40">
        <v>0</v>
      </c>
      <c r="M1504" s="40">
        <v>0</v>
      </c>
      <c r="N1504" s="40">
        <v>0</v>
      </c>
      <c r="O1504" s="40">
        <v>0</v>
      </c>
      <c r="P1504" s="40">
        <v>0</v>
      </c>
      <c r="Q1504" s="40">
        <v>0</v>
      </c>
      <c r="R1504" s="40">
        <v>0</v>
      </c>
      <c r="S1504" s="40">
        <v>1</v>
      </c>
      <c r="T1504" s="29">
        <f t="array" aca="1" ref="T1504" ca="1">+fair_value_gap(OFFSET(S1503,0,0,-1*$I$5,-1*$Z$1),OFFSET(E1503,0,0,-1*$I$5,1),F1504:S1504,0)</f>
        <v>13.205500159354429</v>
      </c>
      <c r="U1504" s="9" cm="1">
        <f t="array" aca="1" ref="U1504" ca="1">z_score_diff(OFFSET(T1504,0,0,$I$5*-1,1),OFFSET(E1504,0,0,$I$5*-1,1))</f>
        <v>7.7314517395761229E-2</v>
      </c>
      <c r="V1504" s="9">
        <f t="shared" ca="1" si="191"/>
        <v>-7.36718444600339E-2</v>
      </c>
      <c r="W1504" s="17">
        <f t="shared" ca="1" si="188"/>
        <v>8.720278286637459E-2</v>
      </c>
      <c r="X1504" s="13">
        <f t="shared" ca="1" si="189"/>
        <v>0</v>
      </c>
      <c r="Y1504" s="13">
        <f t="shared" ca="1" si="190"/>
        <v>0</v>
      </c>
      <c r="Z1504">
        <f t="shared" ca="1" si="192"/>
        <v>1</v>
      </c>
      <c r="AA1504">
        <f t="shared" ca="1" si="193"/>
        <v>0</v>
      </c>
      <c r="AB1504" s="24">
        <f t="shared" ca="1" si="194"/>
        <v>8.720278286637459E-2</v>
      </c>
      <c r="AC1504" s="24">
        <f t="shared" ca="1" si="195"/>
        <v>0</v>
      </c>
    </row>
    <row r="1505" spans="3:29" x14ac:dyDescent="0.25">
      <c r="C1505" s="6">
        <v>1498</v>
      </c>
      <c r="D1505" s="37">
        <v>44138</v>
      </c>
      <c r="E1505" s="39">
        <v>13.243</v>
      </c>
      <c r="F1505" s="39">
        <v>2.1332402832632931</v>
      </c>
      <c r="G1505" s="39">
        <v>37.522313695809984</v>
      </c>
      <c r="H1505" s="39">
        <v>55.669901505152311</v>
      </c>
      <c r="I1505" s="10">
        <v>0</v>
      </c>
      <c r="J1505" s="40">
        <v>0</v>
      </c>
      <c r="K1505" s="40">
        <v>0</v>
      </c>
      <c r="L1505" s="40">
        <v>0</v>
      </c>
      <c r="M1505" s="40">
        <v>0</v>
      </c>
      <c r="N1505" s="40">
        <v>0</v>
      </c>
      <c r="O1505" s="40">
        <v>0</v>
      </c>
      <c r="P1505" s="40">
        <v>0</v>
      </c>
      <c r="Q1505" s="40">
        <v>0</v>
      </c>
      <c r="R1505" s="40">
        <v>0</v>
      </c>
      <c r="S1505" s="40">
        <v>1</v>
      </c>
      <c r="T1505" s="29">
        <f t="array" aca="1" ref="T1505" ca="1">+fair_value_gap(OFFSET(S1504,0,0,-1*$I$5,-1*$Z$1),OFFSET(E1504,0,0,-1*$I$5,1),F1505:S1505,0)</f>
        <v>13.266006339194924</v>
      </c>
      <c r="U1505" s="9" cm="1">
        <f t="array" aca="1" ref="U1505" ca="1">z_score_diff(OFFSET(T1505,0,0,$I$5*-1,1),OFFSET(E1505,0,0,$I$5*-1,1))</f>
        <v>-2.5416115588305921E-2</v>
      </c>
      <c r="V1505" s="9">
        <f t="shared" ca="1" si="191"/>
        <v>-7.381192140626161E-2</v>
      </c>
      <c r="W1505" s="17">
        <f t="shared" ca="1" si="188"/>
        <v>9.4121882672674226E-2</v>
      </c>
      <c r="X1505" s="13">
        <f t="shared" ca="1" si="189"/>
        <v>0</v>
      </c>
      <c r="Y1505" s="13">
        <f t="shared" ca="1" si="190"/>
        <v>0</v>
      </c>
      <c r="Z1505">
        <f t="shared" ca="1" si="192"/>
        <v>1</v>
      </c>
      <c r="AA1505">
        <f t="shared" ca="1" si="193"/>
        <v>0</v>
      </c>
      <c r="AB1505" s="24">
        <f t="shared" ca="1" si="194"/>
        <v>9.4121882672674226E-2</v>
      </c>
      <c r="AC1505" s="24">
        <f t="shared" ca="1" si="195"/>
        <v>0</v>
      </c>
    </row>
    <row r="1506" spans="3:29" x14ac:dyDescent="0.25">
      <c r="C1506" s="6">
        <v>1499</v>
      </c>
      <c r="D1506" s="37">
        <v>44139</v>
      </c>
      <c r="E1506" s="39">
        <v>13.321</v>
      </c>
      <c r="F1506" s="39">
        <v>2.125404778833226</v>
      </c>
      <c r="G1506" s="39">
        <v>38.021854338780642</v>
      </c>
      <c r="H1506" s="39">
        <v>56.104620796786698</v>
      </c>
      <c r="I1506" s="10">
        <v>0</v>
      </c>
      <c r="J1506" s="40">
        <v>0</v>
      </c>
      <c r="K1506" s="40">
        <v>0</v>
      </c>
      <c r="L1506" s="40">
        <v>0</v>
      </c>
      <c r="M1506" s="40">
        <v>0</v>
      </c>
      <c r="N1506" s="40">
        <v>0</v>
      </c>
      <c r="O1506" s="40">
        <v>0</v>
      </c>
      <c r="P1506" s="40">
        <v>0</v>
      </c>
      <c r="Q1506" s="40">
        <v>0</v>
      </c>
      <c r="R1506" s="40">
        <v>0</v>
      </c>
      <c r="S1506" s="40">
        <v>1</v>
      </c>
      <c r="T1506" s="29">
        <f t="array" aca="1" ref="T1506" ca="1">+fair_value_gap(OFFSET(S1505,0,0,-1*$I$5,-1*$Z$1),OFFSET(E1505,0,0,-1*$I$5,1),F1506:S1506,0)</f>
        <v>13.436618971080637</v>
      </c>
      <c r="U1506" s="9" cm="1">
        <f t="array" aca="1" ref="U1506" ca="1">z_score_diff(OFFSET(T1506,0,0,$I$5*-1,1),OFFSET(E1506,0,0,$I$5*-1,1))</f>
        <v>5.4307409331642909E-2</v>
      </c>
      <c r="V1506" s="9">
        <f t="shared" ca="1" si="191"/>
        <v>-7.3119577265706864E-2</v>
      </c>
      <c r="W1506" s="17">
        <f t="shared" ca="1" si="188"/>
        <v>8.335758642995883E-2</v>
      </c>
      <c r="X1506" s="13">
        <f t="shared" ca="1" si="189"/>
        <v>0</v>
      </c>
      <c r="Y1506" s="13">
        <f t="shared" ca="1" si="190"/>
        <v>0</v>
      </c>
      <c r="Z1506">
        <f t="shared" ca="1" si="192"/>
        <v>1</v>
      </c>
      <c r="AA1506">
        <f t="shared" ca="1" si="193"/>
        <v>0</v>
      </c>
      <c r="AB1506" s="24">
        <f t="shared" ca="1" si="194"/>
        <v>8.335758642995883E-2</v>
      </c>
      <c r="AC1506" s="24">
        <f t="shared" ca="1" si="195"/>
        <v>0</v>
      </c>
    </row>
    <row r="1507" spans="3:29" x14ac:dyDescent="0.25">
      <c r="C1507" s="6">
        <v>1500</v>
      </c>
      <c r="D1507" s="37">
        <v>44140</v>
      </c>
      <c r="E1507" s="39">
        <v>13.608000000000001</v>
      </c>
      <c r="F1507" s="39">
        <v>2.1165107879431524</v>
      </c>
      <c r="G1507" s="39">
        <v>38.702204429117707</v>
      </c>
      <c r="H1507" s="39">
        <v>56.398541903573935</v>
      </c>
      <c r="I1507" s="10">
        <v>0</v>
      </c>
      <c r="J1507" s="40">
        <v>0</v>
      </c>
      <c r="K1507" s="40">
        <v>0</v>
      </c>
      <c r="L1507" s="40">
        <v>0</v>
      </c>
      <c r="M1507" s="40">
        <v>0</v>
      </c>
      <c r="N1507" s="40">
        <v>0</v>
      </c>
      <c r="O1507" s="40">
        <v>0</v>
      </c>
      <c r="P1507" s="40">
        <v>0</v>
      </c>
      <c r="Q1507" s="40">
        <v>0</v>
      </c>
      <c r="R1507" s="40">
        <v>0</v>
      </c>
      <c r="S1507" s="40">
        <v>1</v>
      </c>
      <c r="T1507" s="29">
        <f t="array" aca="1" ref="T1507" ca="1">+fair_value_gap(OFFSET(S1506,0,0,-1*$I$5,-1*$Z$1),OFFSET(E1506,0,0,-1*$I$5,1),F1507:S1507,0)</f>
        <v>13.6552942527809</v>
      </c>
      <c r="U1507" s="9" cm="1">
        <f t="array" aca="1" ref="U1507" ca="1">z_score_diff(OFFSET(T1507,0,0,$I$5*-1,1),OFFSET(E1507,0,0,$I$5*-1,1))</f>
        <v>-1.5708641618444874E-3</v>
      </c>
      <c r="V1507" s="9">
        <f t="shared" ca="1" si="191"/>
        <v>-7.0635179743701412E-2</v>
      </c>
      <c r="W1507" s="17">
        <f t="shared" ca="1" si="188"/>
        <v>7.2689733368277554E-2</v>
      </c>
      <c r="X1507" s="13">
        <f t="shared" ca="1" si="189"/>
        <v>0</v>
      </c>
      <c r="Y1507" s="13">
        <f t="shared" ca="1" si="190"/>
        <v>0</v>
      </c>
      <c r="Z1507">
        <f t="shared" ca="1" si="192"/>
        <v>1</v>
      </c>
      <c r="AA1507">
        <f t="shared" ca="1" si="193"/>
        <v>0</v>
      </c>
      <c r="AB1507" s="24">
        <f t="shared" ca="1" si="194"/>
        <v>7.2689733368277554E-2</v>
      </c>
      <c r="AC1507" s="24">
        <f t="shared" ca="1" si="195"/>
        <v>0</v>
      </c>
    </row>
    <row r="1508" spans="3:29" x14ac:dyDescent="0.25">
      <c r="C1508" s="6">
        <v>1501</v>
      </c>
      <c r="D1508" s="37">
        <v>44141</v>
      </c>
      <c r="E1508" s="39">
        <v>13.326000000000001</v>
      </c>
      <c r="F1508" s="39">
        <v>2.1037425172097941</v>
      </c>
      <c r="G1508" s="39">
        <v>37.864607405829766</v>
      </c>
      <c r="H1508" s="39">
        <v>55.274151479435517</v>
      </c>
      <c r="I1508" s="10">
        <v>0</v>
      </c>
      <c r="J1508" s="40">
        <v>0</v>
      </c>
      <c r="K1508" s="40">
        <v>0</v>
      </c>
      <c r="L1508" s="40">
        <v>0</v>
      </c>
      <c r="M1508" s="40">
        <v>0</v>
      </c>
      <c r="N1508" s="40">
        <v>0</v>
      </c>
      <c r="O1508" s="40">
        <v>0</v>
      </c>
      <c r="P1508" s="40">
        <v>0</v>
      </c>
      <c r="Q1508" s="40">
        <v>0</v>
      </c>
      <c r="R1508" s="40">
        <v>0</v>
      </c>
      <c r="S1508" s="40">
        <v>1</v>
      </c>
      <c r="T1508" s="29">
        <f t="array" aca="1" ref="T1508" ca="1">+fair_value_gap(OFFSET(S1507,0,0,-1*$I$5,-1*$Z$1),OFFSET(E1507,0,0,-1*$I$5,1),F1508:S1508,0)</f>
        <v>13.346342454443754</v>
      </c>
      <c r="U1508" s="9" cm="1">
        <f t="array" aca="1" ref="U1508" ca="1">z_score_diff(OFFSET(T1508,0,0,$I$5*-1,1),OFFSET(E1508,0,0,$I$5*-1,1))</f>
        <v>-2.8168676236850154E-2</v>
      </c>
      <c r="V1508" s="9">
        <f t="shared" ca="1" si="191"/>
        <v>-6.7245285676308011E-2</v>
      </c>
      <c r="W1508" s="17">
        <f t="shared" ca="1" si="188"/>
        <v>0.12590445245818283</v>
      </c>
      <c r="X1508" s="13">
        <f t="shared" ca="1" si="189"/>
        <v>0</v>
      </c>
      <c r="Y1508" s="13">
        <f t="shared" ca="1" si="190"/>
        <v>0</v>
      </c>
      <c r="Z1508">
        <f t="shared" ca="1" si="192"/>
        <v>1</v>
      </c>
      <c r="AA1508">
        <f t="shared" ca="1" si="193"/>
        <v>0</v>
      </c>
      <c r="AB1508" s="24">
        <f t="shared" ca="1" si="194"/>
        <v>0.12590445245818283</v>
      </c>
      <c r="AC1508" s="24">
        <f t="shared" ca="1" si="195"/>
        <v>0</v>
      </c>
    </row>
    <row r="1509" spans="3:29" x14ac:dyDescent="0.25">
      <c r="C1509" s="6">
        <v>1502</v>
      </c>
      <c r="D1509" s="37">
        <v>44144</v>
      </c>
      <c r="E1509" s="39">
        <v>13.631</v>
      </c>
      <c r="F1509" s="39">
        <v>2.106494537402603</v>
      </c>
      <c r="G1509" s="39">
        <v>38.675093901583196</v>
      </c>
      <c r="H1509" s="39">
        <v>55.482442397276024</v>
      </c>
      <c r="I1509" s="10">
        <v>0</v>
      </c>
      <c r="J1509" s="40">
        <v>0</v>
      </c>
      <c r="K1509" s="40">
        <v>0</v>
      </c>
      <c r="L1509" s="40">
        <v>0</v>
      </c>
      <c r="M1509" s="40">
        <v>0</v>
      </c>
      <c r="N1509" s="40">
        <v>0</v>
      </c>
      <c r="O1509" s="40">
        <v>0</v>
      </c>
      <c r="P1509" s="40">
        <v>0</v>
      </c>
      <c r="Q1509" s="40">
        <v>0</v>
      </c>
      <c r="R1509" s="40">
        <v>0</v>
      </c>
      <c r="S1509" s="40">
        <v>1</v>
      </c>
      <c r="T1509" s="29">
        <f t="array" aca="1" ref="T1509" ca="1">+fair_value_gap(OFFSET(S1508,0,0,-1*$I$5,-1*$Z$1),OFFSET(E1508,0,0,-1*$I$5,1),F1509:S1509,0)</f>
        <v>13.612348759957538</v>
      </c>
      <c r="U1509" s="9" cm="1">
        <f t="array" aca="1" ref="U1509" ca="1">z_score_diff(OFFSET(T1509,0,0,$I$5*-1,1),OFFSET(E1509,0,0,$I$5*-1,1))</f>
        <v>-5.8907329480393233E-2</v>
      </c>
      <c r="V1509" s="9">
        <f t="shared" ca="1" si="191"/>
        <v>-6.6452600153808675E-2</v>
      </c>
      <c r="W1509" s="17">
        <f t="shared" ca="1" si="188"/>
        <v>6.5794060107360261E-2</v>
      </c>
      <c r="X1509" s="13">
        <f t="shared" ca="1" si="189"/>
        <v>0</v>
      </c>
      <c r="Y1509" s="13">
        <f t="shared" ca="1" si="190"/>
        <v>0</v>
      </c>
      <c r="Z1509">
        <f t="shared" ca="1" si="192"/>
        <v>1</v>
      </c>
      <c r="AA1509">
        <f t="shared" ca="1" si="193"/>
        <v>0</v>
      </c>
      <c r="AB1509" s="24">
        <f t="shared" ca="1" si="194"/>
        <v>6.5794060107360261E-2</v>
      </c>
      <c r="AC1509" s="24">
        <f t="shared" ca="1" si="195"/>
        <v>0</v>
      </c>
    </row>
    <row r="1510" spans="3:29" x14ac:dyDescent="0.25">
      <c r="C1510" s="6">
        <v>1503</v>
      </c>
      <c r="D1510" s="37">
        <v>44145</v>
      </c>
      <c r="E1510" s="39">
        <v>13.651</v>
      </c>
      <c r="F1510" s="39">
        <v>2.1185819736307723</v>
      </c>
      <c r="G1510" s="39">
        <v>39.022957691015591</v>
      </c>
      <c r="H1510" s="39">
        <v>56.27221684900708</v>
      </c>
      <c r="I1510" s="10">
        <v>0</v>
      </c>
      <c r="J1510" s="40">
        <v>0</v>
      </c>
      <c r="K1510" s="40">
        <v>0</v>
      </c>
      <c r="L1510" s="40">
        <v>0</v>
      </c>
      <c r="M1510" s="40">
        <v>0</v>
      </c>
      <c r="N1510" s="40">
        <v>0</v>
      </c>
      <c r="O1510" s="40">
        <v>0</v>
      </c>
      <c r="P1510" s="40">
        <v>0</v>
      </c>
      <c r="Q1510" s="40">
        <v>0</v>
      </c>
      <c r="R1510" s="40">
        <v>0</v>
      </c>
      <c r="S1510" s="40">
        <v>1</v>
      </c>
      <c r="T1510" s="29">
        <f t="array" aca="1" ref="T1510" ca="1">+fair_value_gap(OFFSET(S1509,0,0,-1*$I$5,-1*$Z$1),OFFSET(E1509,0,0,-1*$I$5,1),F1510:S1510,0)</f>
        <v>13.73823896462577</v>
      </c>
      <c r="U1510" s="9" cm="1">
        <f t="array" aca="1" ref="U1510" ca="1">z_score_diff(OFFSET(T1510,0,0,$I$5*-1,1),OFFSET(E1510,0,0,$I$5*-1,1))</f>
        <v>3.4822291946402073E-2</v>
      </c>
      <c r="V1510" s="9">
        <f t="shared" ref="V1510:V1573" ca="1" si="196">+IF(ISERROR(AVERAGE(OFFSET(U1510,0,0,$V$5*-1,1))),"",AVERAGE(OFFSET(U1510,0,0,$V$5*-1,1)))</f>
        <v>-6.0329216737828414E-2</v>
      </c>
      <c r="W1510" s="17">
        <f t="shared" ca="1" si="188"/>
        <v>7.1719110650767137E-2</v>
      </c>
      <c r="X1510" s="13">
        <f t="shared" ca="1" si="189"/>
        <v>0</v>
      </c>
      <c r="Y1510" s="13">
        <f t="shared" ca="1" si="190"/>
        <v>0</v>
      </c>
      <c r="Z1510">
        <f t="shared" ref="Z1510:Z1573" ca="1" si="197">+IF(V1510="","",IF(V1510&lt;X1510,1,0))</f>
        <v>1</v>
      </c>
      <c r="AA1510">
        <f t="shared" ref="AA1510:AA1573" ca="1" si="198">+IF(V1510="","",IF(V1510&gt;Y1510,1,0))</f>
        <v>0</v>
      </c>
      <c r="AB1510" s="24">
        <f t="shared" ref="AB1510:AB1573" ca="1" si="199">+IF(ISERROR(Z1510*W1510),"",Z1510*W1510)</f>
        <v>7.1719110650767137E-2</v>
      </c>
      <c r="AC1510" s="24">
        <f t="shared" ref="AC1510:AC1573" ca="1" si="200">+IF(ISERROR(AA1510*W1510),"",AA1510*W1510)</f>
        <v>0</v>
      </c>
    </row>
    <row r="1511" spans="3:29" x14ac:dyDescent="0.25">
      <c r="C1511" s="6">
        <v>1504</v>
      </c>
      <c r="D1511" s="37">
        <v>44146</v>
      </c>
      <c r="E1511" s="39">
        <v>13.692</v>
      </c>
      <c r="F1511" s="39">
        <v>2.1297361474917746</v>
      </c>
      <c r="G1511" s="39">
        <v>39.014928659846092</v>
      </c>
      <c r="H1511" s="39">
        <v>57.68734131788743</v>
      </c>
      <c r="I1511" s="10">
        <v>0</v>
      </c>
      <c r="J1511" s="40">
        <v>0</v>
      </c>
      <c r="K1511" s="40">
        <v>0</v>
      </c>
      <c r="L1511" s="40">
        <v>0</v>
      </c>
      <c r="M1511" s="40">
        <v>0</v>
      </c>
      <c r="N1511" s="40">
        <v>0</v>
      </c>
      <c r="O1511" s="40">
        <v>0</v>
      </c>
      <c r="P1511" s="40">
        <v>0</v>
      </c>
      <c r="Q1511" s="40">
        <v>0</v>
      </c>
      <c r="R1511" s="40">
        <v>0</v>
      </c>
      <c r="S1511" s="40">
        <v>1</v>
      </c>
      <c r="T1511" s="29">
        <f t="array" aca="1" ref="T1511" ca="1">+fair_value_gap(OFFSET(S1510,0,0,-1*$I$5,-1*$Z$1),OFFSET(E1510,0,0,-1*$I$5,1),F1511:S1511,0)</f>
        <v>13.75015447897443</v>
      </c>
      <c r="U1511" s="9" cm="1">
        <f t="array" aca="1" ref="U1511" ca="1">z_score_diff(OFFSET(T1511,0,0,$I$5*-1,1),OFFSET(E1511,0,0,$I$5*-1,1))</f>
        <v>9.4722435532160754E-3</v>
      </c>
      <c r="V1511" s="9">
        <f t="shared" ca="1" si="196"/>
        <v>-5.7450873324336613E-2</v>
      </c>
      <c r="W1511" s="17">
        <f t="shared" ca="1" si="188"/>
        <v>8.6359932983163787E-2</v>
      </c>
      <c r="X1511" s="13">
        <f t="shared" ca="1" si="189"/>
        <v>0</v>
      </c>
      <c r="Y1511" s="13">
        <f t="shared" ca="1" si="190"/>
        <v>0</v>
      </c>
      <c r="Z1511">
        <f t="shared" ca="1" si="197"/>
        <v>1</v>
      </c>
      <c r="AA1511">
        <f t="shared" ca="1" si="198"/>
        <v>0</v>
      </c>
      <c r="AB1511" s="24">
        <f t="shared" ca="1" si="199"/>
        <v>8.6359932983163787E-2</v>
      </c>
      <c r="AC1511" s="24">
        <f t="shared" ca="1" si="200"/>
        <v>0</v>
      </c>
    </row>
    <row r="1512" spans="3:29" x14ac:dyDescent="0.25">
      <c r="C1512" s="6">
        <v>1505</v>
      </c>
      <c r="D1512" s="37">
        <v>44147</v>
      </c>
      <c r="E1512" s="39">
        <v>13.539</v>
      </c>
      <c r="F1512" s="39">
        <v>2.1229433463542753</v>
      </c>
      <c r="G1512" s="39">
        <v>38.653237511480341</v>
      </c>
      <c r="H1512" s="39">
        <v>57.590484395780869</v>
      </c>
      <c r="I1512" s="10">
        <v>0</v>
      </c>
      <c r="J1512" s="40">
        <v>0</v>
      </c>
      <c r="K1512" s="40">
        <v>0</v>
      </c>
      <c r="L1512" s="40">
        <v>0</v>
      </c>
      <c r="M1512" s="40">
        <v>0</v>
      </c>
      <c r="N1512" s="40">
        <v>0</v>
      </c>
      <c r="O1512" s="40">
        <v>0</v>
      </c>
      <c r="P1512" s="40">
        <v>0</v>
      </c>
      <c r="Q1512" s="40">
        <v>0</v>
      </c>
      <c r="R1512" s="40">
        <v>0</v>
      </c>
      <c r="S1512" s="40">
        <v>1</v>
      </c>
      <c r="T1512" s="29">
        <f t="array" aca="1" ref="T1512" ca="1">+fair_value_gap(OFFSET(S1511,0,0,-1*$I$5,-1*$Z$1),OFFSET(E1511,0,0,-1*$I$5,1),F1512:S1512,0)</f>
        <v>13.618729542071161</v>
      </c>
      <c r="U1512" s="9" cm="1">
        <f t="array" aca="1" ref="U1512" ca="1">z_score_diff(OFFSET(T1512,0,0,$I$5*-1,1),OFFSET(E1512,0,0,$I$5*-1,1))</f>
        <v>2.6970126944215855E-2</v>
      </c>
      <c r="V1512" s="9">
        <f t="shared" ca="1" si="196"/>
        <v>-5.4388339655295874E-2</v>
      </c>
      <c r="W1512" s="17">
        <f t="shared" ca="1" si="188"/>
        <v>9.7932151539363591E-2</v>
      </c>
      <c r="X1512" s="13">
        <f t="shared" ca="1" si="189"/>
        <v>0</v>
      </c>
      <c r="Y1512" s="13">
        <f t="shared" ca="1" si="190"/>
        <v>0</v>
      </c>
      <c r="Z1512">
        <f t="shared" ca="1" si="197"/>
        <v>1</v>
      </c>
      <c r="AA1512">
        <f t="shared" ca="1" si="198"/>
        <v>0</v>
      </c>
      <c r="AB1512" s="24">
        <f t="shared" ca="1" si="199"/>
        <v>9.7932151539363591E-2</v>
      </c>
      <c r="AC1512" s="24">
        <f t="shared" ca="1" si="200"/>
        <v>0</v>
      </c>
    </row>
    <row r="1513" spans="3:29" x14ac:dyDescent="0.25">
      <c r="C1513" s="6">
        <v>1506</v>
      </c>
      <c r="D1513" s="37">
        <v>44148</v>
      </c>
      <c r="E1513" s="39">
        <v>13.606</v>
      </c>
      <c r="F1513" s="39">
        <v>2.1132403017960875</v>
      </c>
      <c r="G1513" s="39">
        <v>38.762603096144957</v>
      </c>
      <c r="H1513" s="39">
        <v>57.421379448487684</v>
      </c>
      <c r="I1513" s="10">
        <v>0</v>
      </c>
      <c r="J1513" s="40">
        <v>0</v>
      </c>
      <c r="K1513" s="40">
        <v>0</v>
      </c>
      <c r="L1513" s="40">
        <v>0</v>
      </c>
      <c r="M1513" s="40">
        <v>0</v>
      </c>
      <c r="N1513" s="40">
        <v>0</v>
      </c>
      <c r="O1513" s="40">
        <v>0</v>
      </c>
      <c r="P1513" s="40">
        <v>0</v>
      </c>
      <c r="Q1513" s="40">
        <v>0</v>
      </c>
      <c r="R1513" s="40">
        <v>0</v>
      </c>
      <c r="S1513" s="40">
        <v>1</v>
      </c>
      <c r="T1513" s="29">
        <f t="array" aca="1" ref="T1513" ca="1">+fair_value_gap(OFFSET(S1512,0,0,-1*$I$5,-1*$Z$1),OFFSET(E1512,0,0,-1*$I$5,1),F1513:S1513,0)</f>
        <v>13.643478817318291</v>
      </c>
      <c r="U1513" s="9" cm="1">
        <f t="array" aca="1" ref="U1513" ca="1">z_score_diff(OFFSET(T1513,0,0,$I$5*-1,1),OFFSET(E1513,0,0,$I$5*-1,1))</f>
        <v>-1.0714174595086279E-2</v>
      </c>
      <c r="V1513" s="9">
        <f t="shared" ca="1" si="196"/>
        <v>-5.4527120792005265E-2</v>
      </c>
      <c r="W1513" s="17">
        <f t="shared" ca="1" si="188"/>
        <v>7.2563343109163889E-2</v>
      </c>
      <c r="X1513" s="13">
        <f t="shared" ca="1" si="189"/>
        <v>0</v>
      </c>
      <c r="Y1513" s="13">
        <f t="shared" ca="1" si="190"/>
        <v>0</v>
      </c>
      <c r="Z1513">
        <f t="shared" ca="1" si="197"/>
        <v>1</v>
      </c>
      <c r="AA1513">
        <f t="shared" ca="1" si="198"/>
        <v>0</v>
      </c>
      <c r="AB1513" s="24">
        <f t="shared" ca="1" si="199"/>
        <v>7.2563343109163889E-2</v>
      </c>
      <c r="AC1513" s="24">
        <f t="shared" ca="1" si="200"/>
        <v>0</v>
      </c>
    </row>
    <row r="1514" spans="3:29" x14ac:dyDescent="0.25">
      <c r="C1514" s="6">
        <v>1507</v>
      </c>
      <c r="D1514" s="37">
        <v>44151</v>
      </c>
      <c r="E1514" s="39">
        <v>13.645</v>
      </c>
      <c r="F1514" s="39">
        <v>2.0956359942772056</v>
      </c>
      <c r="G1514" s="39">
        <v>38.795325135728454</v>
      </c>
      <c r="H1514" s="39">
        <v>57.244609465941963</v>
      </c>
      <c r="I1514" s="10">
        <v>0</v>
      </c>
      <c r="J1514" s="40">
        <v>0</v>
      </c>
      <c r="K1514" s="40">
        <v>0</v>
      </c>
      <c r="L1514" s="40">
        <v>0</v>
      </c>
      <c r="M1514" s="40">
        <v>0</v>
      </c>
      <c r="N1514" s="40">
        <v>0</v>
      </c>
      <c r="O1514" s="40">
        <v>0</v>
      </c>
      <c r="P1514" s="40">
        <v>0</v>
      </c>
      <c r="Q1514" s="40">
        <v>0</v>
      </c>
      <c r="R1514" s="40">
        <v>0</v>
      </c>
      <c r="S1514" s="40">
        <v>1</v>
      </c>
      <c r="T1514" s="29">
        <f t="array" aca="1" ref="T1514" ca="1">+fair_value_gap(OFFSET(S1513,0,0,-1*$I$5,-1*$Z$1),OFFSET(E1513,0,0,-1*$I$5,1),F1514:S1514,0)</f>
        <v>13.649534816146605</v>
      </c>
      <c r="U1514" s="9" cm="1">
        <f t="array" aca="1" ref="U1514" ca="1">z_score_diff(OFFSET(T1514,0,0,$I$5*-1,1),OFFSET(E1514,0,0,$I$5*-1,1))</f>
        <v>-4.0801784026622712E-2</v>
      </c>
      <c r="V1514" s="9">
        <f t="shared" ca="1" si="196"/>
        <v>-5.2638919179926157E-2</v>
      </c>
      <c r="W1514" s="17">
        <f t="shared" ca="1" si="188"/>
        <v>6.0016586678283454E-2</v>
      </c>
      <c r="X1514" s="13">
        <f t="shared" ca="1" si="189"/>
        <v>0</v>
      </c>
      <c r="Y1514" s="13">
        <f t="shared" ca="1" si="190"/>
        <v>0</v>
      </c>
      <c r="Z1514">
        <f t="shared" ca="1" si="197"/>
        <v>1</v>
      </c>
      <c r="AA1514">
        <f t="shared" ca="1" si="198"/>
        <v>0</v>
      </c>
      <c r="AB1514" s="24">
        <f t="shared" ca="1" si="199"/>
        <v>6.0016586678283454E-2</v>
      </c>
      <c r="AC1514" s="24">
        <f t="shared" ca="1" si="200"/>
        <v>0</v>
      </c>
    </row>
    <row r="1515" spans="3:29" x14ac:dyDescent="0.25">
      <c r="C1515" s="6">
        <v>1508</v>
      </c>
      <c r="D1515" s="37">
        <v>44152</v>
      </c>
      <c r="E1515" s="39">
        <v>13.528</v>
      </c>
      <c r="F1515" s="39">
        <v>2.0927918092372422</v>
      </c>
      <c r="G1515" s="39">
        <v>38.226545141752624</v>
      </c>
      <c r="H1515" s="39">
        <v>56.626036826478853</v>
      </c>
      <c r="I1515" s="10">
        <v>0</v>
      </c>
      <c r="J1515" s="40">
        <v>0</v>
      </c>
      <c r="K1515" s="40">
        <v>0</v>
      </c>
      <c r="L1515" s="40">
        <v>0</v>
      </c>
      <c r="M1515" s="40">
        <v>0</v>
      </c>
      <c r="N1515" s="40">
        <v>0</v>
      </c>
      <c r="O1515" s="40">
        <v>0</v>
      </c>
      <c r="P1515" s="40">
        <v>0</v>
      </c>
      <c r="Q1515" s="40">
        <v>0</v>
      </c>
      <c r="R1515" s="40">
        <v>0</v>
      </c>
      <c r="S1515" s="40">
        <v>1</v>
      </c>
      <c r="T1515" s="29">
        <f t="array" aca="1" ref="T1515" ca="1">+fair_value_gap(OFFSET(S1514,0,0,-1*$I$5,-1*$Z$1),OFFSET(E1514,0,0,-1*$I$5,1),F1515:S1515,0)</f>
        <v>13.443219264053285</v>
      </c>
      <c r="U1515" s="9" cm="1">
        <f t="array" aca="1" ref="U1515" ca="1">z_score_diff(OFFSET(T1515,0,0,$I$5*-1,1),OFFSET(E1515,0,0,$I$5*-1,1))</f>
        <v>-0.12623088845714636</v>
      </c>
      <c r="V1515" s="9">
        <f t="shared" ca="1" si="196"/>
        <v>-5.4352786445477079E-2</v>
      </c>
      <c r="W1515" s="17">
        <f t="shared" ca="1" si="188"/>
        <v>9.4987564466544425E-2</v>
      </c>
      <c r="X1515" s="13">
        <f t="shared" ca="1" si="189"/>
        <v>0</v>
      </c>
      <c r="Y1515" s="13">
        <f t="shared" ca="1" si="190"/>
        <v>0</v>
      </c>
      <c r="Z1515">
        <f t="shared" ca="1" si="197"/>
        <v>1</v>
      </c>
      <c r="AA1515">
        <f t="shared" ca="1" si="198"/>
        <v>0</v>
      </c>
      <c r="AB1515" s="24">
        <f t="shared" ca="1" si="199"/>
        <v>9.4987564466544425E-2</v>
      </c>
      <c r="AC1515" s="24">
        <f t="shared" ca="1" si="200"/>
        <v>0</v>
      </c>
    </row>
    <row r="1516" spans="3:29" x14ac:dyDescent="0.25">
      <c r="C1516" s="6">
        <v>1509</v>
      </c>
      <c r="D1516" s="37">
        <v>44153</v>
      </c>
      <c r="E1516" s="39">
        <v>13.478999999999999</v>
      </c>
      <c r="F1516" s="39">
        <v>2.0997712525715317</v>
      </c>
      <c r="G1516" s="39">
        <v>38.362164123056232</v>
      </c>
      <c r="H1516" s="39">
        <v>55.852079999866525</v>
      </c>
      <c r="I1516" s="10">
        <v>0</v>
      </c>
      <c r="J1516" s="40">
        <v>0</v>
      </c>
      <c r="K1516" s="40">
        <v>0</v>
      </c>
      <c r="L1516" s="40">
        <v>0</v>
      </c>
      <c r="M1516" s="40">
        <v>0</v>
      </c>
      <c r="N1516" s="40">
        <v>0</v>
      </c>
      <c r="O1516" s="40">
        <v>0</v>
      </c>
      <c r="P1516" s="40">
        <v>0</v>
      </c>
      <c r="Q1516" s="40">
        <v>0</v>
      </c>
      <c r="R1516" s="40">
        <v>0</v>
      </c>
      <c r="S1516" s="40">
        <v>1</v>
      </c>
      <c r="T1516" s="29">
        <f t="array" aca="1" ref="T1516" ca="1">+fair_value_gap(OFFSET(S1515,0,0,-1*$I$5,-1*$Z$1),OFFSET(E1515,0,0,-1*$I$5,1),F1516:S1516,0)</f>
        <v>13.468944792723933</v>
      </c>
      <c r="U1516" s="9" cm="1">
        <f t="array" aca="1" ref="U1516" ca="1">z_score_diff(OFFSET(T1516,0,0,$I$5*-1,1),OFFSET(E1516,0,0,$I$5*-1,1))</f>
        <v>-5.7353717551374972E-2</v>
      </c>
      <c r="V1516" s="9">
        <f t="shared" ca="1" si="196"/>
        <v>-3.9347410543007055E-2</v>
      </c>
      <c r="W1516" s="17">
        <f t="shared" ca="1" si="188"/>
        <v>0.11382669064701235</v>
      </c>
      <c r="X1516" s="13">
        <f t="shared" ca="1" si="189"/>
        <v>0</v>
      </c>
      <c r="Y1516" s="13">
        <f t="shared" ca="1" si="190"/>
        <v>0</v>
      </c>
      <c r="Z1516">
        <f t="shared" ca="1" si="197"/>
        <v>1</v>
      </c>
      <c r="AA1516">
        <f t="shared" ca="1" si="198"/>
        <v>0</v>
      </c>
      <c r="AB1516" s="24">
        <f t="shared" ca="1" si="199"/>
        <v>0.11382669064701235</v>
      </c>
      <c r="AC1516" s="24">
        <f t="shared" ca="1" si="200"/>
        <v>0</v>
      </c>
    </row>
    <row r="1517" spans="3:29" x14ac:dyDescent="0.25">
      <c r="C1517" s="6">
        <v>1510</v>
      </c>
      <c r="D1517" s="37">
        <v>44154</v>
      </c>
      <c r="E1517" s="39">
        <v>13.202</v>
      </c>
      <c r="F1517" s="39">
        <v>2.0622104302464175</v>
      </c>
      <c r="G1517" s="39">
        <v>37.279617045714829</v>
      </c>
      <c r="H1517" s="39">
        <v>55.856727493977942</v>
      </c>
      <c r="I1517" s="10">
        <v>0</v>
      </c>
      <c r="J1517" s="40">
        <v>0</v>
      </c>
      <c r="K1517" s="40">
        <v>0</v>
      </c>
      <c r="L1517" s="40">
        <v>0</v>
      </c>
      <c r="M1517" s="40">
        <v>0</v>
      </c>
      <c r="N1517" s="40">
        <v>0</v>
      </c>
      <c r="O1517" s="40">
        <v>0</v>
      </c>
      <c r="P1517" s="40">
        <v>0</v>
      </c>
      <c r="Q1517" s="40">
        <v>0</v>
      </c>
      <c r="R1517" s="40">
        <v>0</v>
      </c>
      <c r="S1517" s="40">
        <v>1</v>
      </c>
      <c r="T1517" s="29">
        <f t="array" aca="1" ref="T1517" ca="1">+fair_value_gap(OFFSET(S1516,0,0,-1*$I$5,-1*$Z$1),OFFSET(E1516,0,0,-1*$I$5,1),F1517:S1517,0)</f>
        <v>13.119941891148512</v>
      </c>
      <c r="U1517" s="9" cm="1">
        <f t="array" aca="1" ref="U1517" ca="1">z_score_diff(OFFSET(T1517,0,0,$I$5*-1,1),OFFSET(E1517,0,0,$I$5*-1,1))</f>
        <v>-0.13095530704674552</v>
      </c>
      <c r="V1517" s="9">
        <f t="shared" ca="1" si="196"/>
        <v>-4.5516461876946135E-2</v>
      </c>
      <c r="W1517" s="17">
        <f t="shared" ca="1" si="188"/>
        <v>0.13763219868879906</v>
      </c>
      <c r="X1517" s="13">
        <f t="shared" ca="1" si="189"/>
        <v>0</v>
      </c>
      <c r="Y1517" s="13">
        <f t="shared" ca="1" si="190"/>
        <v>0</v>
      </c>
      <c r="Z1517">
        <f t="shared" ca="1" si="197"/>
        <v>1</v>
      </c>
      <c r="AA1517">
        <f t="shared" ca="1" si="198"/>
        <v>0</v>
      </c>
      <c r="AB1517" s="24">
        <f t="shared" ca="1" si="199"/>
        <v>0.13763219868879906</v>
      </c>
      <c r="AC1517" s="24">
        <f t="shared" ca="1" si="200"/>
        <v>0</v>
      </c>
    </row>
    <row r="1518" spans="3:29" x14ac:dyDescent="0.25">
      <c r="C1518" s="6">
        <v>1511</v>
      </c>
      <c r="D1518" s="37">
        <v>44155</v>
      </c>
      <c r="E1518" s="39">
        <v>13.271000000000001</v>
      </c>
      <c r="F1518" s="39">
        <v>2.0456529042185969</v>
      </c>
      <c r="G1518" s="39">
        <v>37.452476758706815</v>
      </c>
      <c r="H1518" s="39">
        <v>55.93451910067963</v>
      </c>
      <c r="I1518" s="10">
        <v>0</v>
      </c>
      <c r="J1518" s="40">
        <v>0</v>
      </c>
      <c r="K1518" s="40">
        <v>0</v>
      </c>
      <c r="L1518" s="40">
        <v>0</v>
      </c>
      <c r="M1518" s="40">
        <v>0</v>
      </c>
      <c r="N1518" s="40">
        <v>0</v>
      </c>
      <c r="O1518" s="40">
        <v>0</v>
      </c>
      <c r="P1518" s="40">
        <v>0</v>
      </c>
      <c r="Q1518" s="40">
        <v>0</v>
      </c>
      <c r="R1518" s="40">
        <v>0</v>
      </c>
      <c r="S1518" s="40">
        <v>1</v>
      </c>
      <c r="T1518" s="29">
        <f t="array" aca="1" ref="T1518" ca="1">+fair_value_gap(OFFSET(S1517,0,0,-1*$I$5,-1*$Z$1),OFFSET(E1517,0,0,-1*$I$5,1),F1518:S1518,0)</f>
        <v>13.181650839157586</v>
      </c>
      <c r="U1518" s="9" cm="1">
        <f t="array" aca="1" ref="U1518" ca="1">z_score_diff(OFFSET(T1518,0,0,$I$5*-1,1),OFFSET(E1518,0,0,$I$5*-1,1))</f>
        <v>-0.13935503804561122</v>
      </c>
      <c r="V1518" s="9">
        <f t="shared" ca="1" si="196"/>
        <v>-5.0318969795121342E-2</v>
      </c>
      <c r="W1518" s="17">
        <f t="shared" ca="1" si="188"/>
        <v>0.15306286273173136</v>
      </c>
      <c r="X1518" s="13">
        <f t="shared" ca="1" si="189"/>
        <v>0</v>
      </c>
      <c r="Y1518" s="13">
        <f t="shared" ca="1" si="190"/>
        <v>0</v>
      </c>
      <c r="Z1518">
        <f t="shared" ca="1" si="197"/>
        <v>1</v>
      </c>
      <c r="AA1518">
        <f t="shared" ca="1" si="198"/>
        <v>0</v>
      </c>
      <c r="AB1518" s="24">
        <f t="shared" ca="1" si="199"/>
        <v>0.15306286273173136</v>
      </c>
      <c r="AC1518" s="24">
        <f t="shared" ca="1" si="200"/>
        <v>0</v>
      </c>
    </row>
    <row r="1519" spans="3:29" x14ac:dyDescent="0.25">
      <c r="C1519" s="6">
        <v>1512</v>
      </c>
      <c r="D1519" s="37">
        <v>44158</v>
      </c>
      <c r="E1519" s="39">
        <v>13.416</v>
      </c>
      <c r="F1519" s="39">
        <v>2.0449863639775483</v>
      </c>
      <c r="G1519" s="39">
        <v>37.840514443634028</v>
      </c>
      <c r="H1519" s="39">
        <v>55.628299542129888</v>
      </c>
      <c r="I1519" s="10">
        <v>0</v>
      </c>
      <c r="J1519" s="40">
        <v>0</v>
      </c>
      <c r="K1519" s="40">
        <v>0</v>
      </c>
      <c r="L1519" s="40">
        <v>0</v>
      </c>
      <c r="M1519" s="40">
        <v>0</v>
      </c>
      <c r="N1519" s="40">
        <v>0</v>
      </c>
      <c r="O1519" s="40">
        <v>0</v>
      </c>
      <c r="P1519" s="40">
        <v>0</v>
      </c>
      <c r="Q1519" s="40">
        <v>0</v>
      </c>
      <c r="R1519" s="40">
        <v>0</v>
      </c>
      <c r="S1519" s="40">
        <v>1</v>
      </c>
      <c r="T1519" s="29">
        <f t="array" aca="1" ref="T1519" ca="1">+fair_value_gap(OFFSET(S1518,0,0,-1*$I$5,-1*$Z$1),OFFSET(E1518,0,0,-1*$I$5,1),F1519:S1519,0)</f>
        <v>13.325856250236463</v>
      </c>
      <c r="U1519" s="9" cm="1">
        <f t="array" aca="1" ref="U1519" ca="1">z_score_diff(OFFSET(T1519,0,0,$I$5*-1,1),OFFSET(E1519,0,0,$I$5*-1,1))</f>
        <v>-0.13821636523462943</v>
      </c>
      <c r="V1519" s="9">
        <f t="shared" ca="1" si="196"/>
        <v>-5.2089948259927382E-2</v>
      </c>
      <c r="W1519" s="17">
        <f t="shared" ca="1" si="188"/>
        <v>0.11320089794499938</v>
      </c>
      <c r="X1519" s="13">
        <f t="shared" ca="1" si="189"/>
        <v>0</v>
      </c>
      <c r="Y1519" s="13">
        <f t="shared" ca="1" si="190"/>
        <v>0</v>
      </c>
      <c r="Z1519">
        <f t="shared" ca="1" si="197"/>
        <v>1</v>
      </c>
      <c r="AA1519">
        <f t="shared" ca="1" si="198"/>
        <v>0</v>
      </c>
      <c r="AB1519" s="24">
        <f t="shared" ca="1" si="199"/>
        <v>0.11320089794499938</v>
      </c>
      <c r="AC1519" s="24">
        <f t="shared" ca="1" si="200"/>
        <v>0</v>
      </c>
    </row>
    <row r="1520" spans="3:29" x14ac:dyDescent="0.25">
      <c r="C1520" s="6">
        <v>1513</v>
      </c>
      <c r="D1520" s="37">
        <v>44159</v>
      </c>
      <c r="E1520" s="39">
        <v>13.603999999999999</v>
      </c>
      <c r="F1520" s="39">
        <v>2.050834786942437</v>
      </c>
      <c r="G1520" s="39">
        <v>38.211479931731787</v>
      </c>
      <c r="H1520" s="39">
        <v>57.147603621563249</v>
      </c>
      <c r="I1520" s="10">
        <v>0</v>
      </c>
      <c r="J1520" s="40">
        <v>0</v>
      </c>
      <c r="K1520" s="40">
        <v>0</v>
      </c>
      <c r="L1520" s="40">
        <v>0</v>
      </c>
      <c r="M1520" s="40">
        <v>0</v>
      </c>
      <c r="N1520" s="40">
        <v>0</v>
      </c>
      <c r="O1520" s="40">
        <v>0</v>
      </c>
      <c r="P1520" s="40">
        <v>0</v>
      </c>
      <c r="Q1520" s="40">
        <v>0</v>
      </c>
      <c r="R1520" s="40">
        <v>0</v>
      </c>
      <c r="S1520" s="40">
        <v>1</v>
      </c>
      <c r="T1520" s="29">
        <f t="array" aca="1" ref="T1520" ca="1">+fair_value_gap(OFFSET(S1519,0,0,-1*$I$5,-1*$Z$1),OFFSET(E1519,0,0,-1*$I$5,1),F1520:S1520,0)</f>
        <v>13.489842429910555</v>
      </c>
      <c r="U1520" s="9" cm="1">
        <f t="array" aca="1" ref="U1520" ca="1">z_score_diff(OFFSET(T1520,0,0,$I$5*-1,1),OFFSET(E1520,0,0,$I$5*-1,1))</f>
        <v>-0.15791835826264866</v>
      </c>
      <c r="V1520" s="9">
        <f t="shared" ca="1" si="196"/>
        <v>-5.5622294212832414E-2</v>
      </c>
      <c r="W1520" s="17">
        <f t="shared" ca="1" si="188"/>
        <v>0.10829651306927673</v>
      </c>
      <c r="X1520" s="13">
        <f t="shared" ca="1" si="189"/>
        <v>0</v>
      </c>
      <c r="Y1520" s="13">
        <f t="shared" ca="1" si="190"/>
        <v>0</v>
      </c>
      <c r="Z1520">
        <f t="shared" ca="1" si="197"/>
        <v>1</v>
      </c>
      <c r="AA1520">
        <f t="shared" ca="1" si="198"/>
        <v>0</v>
      </c>
      <c r="AB1520" s="24">
        <f t="shared" ca="1" si="199"/>
        <v>0.10829651306927673</v>
      </c>
      <c r="AC1520" s="24">
        <f t="shared" ca="1" si="200"/>
        <v>0</v>
      </c>
    </row>
    <row r="1521" spans="3:29" x14ac:dyDescent="0.25">
      <c r="C1521" s="6">
        <v>1514</v>
      </c>
      <c r="D1521" s="37">
        <v>44160</v>
      </c>
      <c r="E1521" s="39">
        <v>13.566000000000001</v>
      </c>
      <c r="F1521" s="39">
        <v>2.0523077483938641</v>
      </c>
      <c r="G1521" s="39">
        <v>38.562757994202229</v>
      </c>
      <c r="H1521" s="39">
        <v>57.998200398696206</v>
      </c>
      <c r="I1521" s="10">
        <v>0</v>
      </c>
      <c r="J1521" s="40">
        <v>0</v>
      </c>
      <c r="K1521" s="40">
        <v>0</v>
      </c>
      <c r="L1521" s="40">
        <v>0</v>
      </c>
      <c r="M1521" s="40">
        <v>0</v>
      </c>
      <c r="N1521" s="40">
        <v>0</v>
      </c>
      <c r="O1521" s="40">
        <v>0</v>
      </c>
      <c r="P1521" s="40">
        <v>0</v>
      </c>
      <c r="Q1521" s="40">
        <v>0</v>
      </c>
      <c r="R1521" s="40">
        <v>0</v>
      </c>
      <c r="S1521" s="40">
        <v>1</v>
      </c>
      <c r="T1521" s="29">
        <f t="array" aca="1" ref="T1521" ca="1">+fair_value_gap(OFFSET(S1520,0,0,-1*$I$5,-1*$Z$1),OFFSET(E1520,0,0,-1*$I$5,1),F1521:S1521,0)</f>
        <v>13.633768113533016</v>
      </c>
      <c r="U1521" s="9" cm="1">
        <f t="array" aca="1" ref="U1521" ca="1">z_score_diff(OFFSET(T1521,0,0,$I$5*-1,1),OFFSET(E1521,0,0,$I$5*-1,1))</f>
        <v>1.9906515892180621E-2</v>
      </c>
      <c r="V1521" s="9">
        <f t="shared" ca="1" si="196"/>
        <v>-5.6609426357710331E-2</v>
      </c>
      <c r="W1521" s="17">
        <f t="shared" ca="1" si="188"/>
        <v>9.6073830089622031E-2</v>
      </c>
      <c r="X1521" s="13">
        <f t="shared" ca="1" si="189"/>
        <v>0</v>
      </c>
      <c r="Y1521" s="13">
        <f t="shared" ca="1" si="190"/>
        <v>0</v>
      </c>
      <c r="Z1521">
        <f t="shared" ca="1" si="197"/>
        <v>1</v>
      </c>
      <c r="AA1521">
        <f t="shared" ca="1" si="198"/>
        <v>0</v>
      </c>
      <c r="AB1521" s="24">
        <f t="shared" ca="1" si="199"/>
        <v>9.6073830089622031E-2</v>
      </c>
      <c r="AC1521" s="24">
        <f t="shared" ca="1" si="200"/>
        <v>0</v>
      </c>
    </row>
    <row r="1522" spans="3:29" x14ac:dyDescent="0.25">
      <c r="C1522" s="6">
        <v>1515</v>
      </c>
      <c r="D1522" s="37">
        <v>44161</v>
      </c>
      <c r="E1522" s="39">
        <v>13.477</v>
      </c>
      <c r="F1522" s="39">
        <v>2.0546825942586677</v>
      </c>
      <c r="G1522" s="39">
        <v>38.262640455683368</v>
      </c>
      <c r="H1522" s="39">
        <v>58.936293226515275</v>
      </c>
      <c r="I1522" s="10">
        <v>0</v>
      </c>
      <c r="J1522" s="40">
        <v>0</v>
      </c>
      <c r="K1522" s="40">
        <v>0</v>
      </c>
      <c r="L1522" s="40">
        <v>0</v>
      </c>
      <c r="M1522" s="40">
        <v>0</v>
      </c>
      <c r="N1522" s="40">
        <v>0</v>
      </c>
      <c r="O1522" s="40">
        <v>0</v>
      </c>
      <c r="P1522" s="40">
        <v>0</v>
      </c>
      <c r="Q1522" s="40">
        <v>0</v>
      </c>
      <c r="R1522" s="40">
        <v>0</v>
      </c>
      <c r="S1522" s="40">
        <v>1</v>
      </c>
      <c r="T1522" s="29">
        <f t="array" aca="1" ref="T1522" ca="1">+fair_value_gap(OFFSET(S1521,0,0,-1*$I$5,-1*$Z$1),OFFSET(E1521,0,0,-1*$I$5,1),F1522:S1522,0)</f>
        <v>13.553381010482042</v>
      </c>
      <c r="U1522" s="9" cm="1">
        <f t="array" aca="1" ref="U1522" ca="1">z_score_diff(OFFSET(T1522,0,0,$I$5*-1,1),OFFSET(E1522,0,0,$I$5*-1,1))</f>
        <v>2.5812058203784516E-2</v>
      </c>
      <c r="V1522" s="9">
        <f t="shared" ca="1" si="196"/>
        <v>-5.5782338935911481E-2</v>
      </c>
      <c r="W1522" s="17">
        <f t="shared" ca="1" si="188"/>
        <v>0.1003766841643912</v>
      </c>
      <c r="X1522" s="13">
        <f t="shared" ca="1" si="189"/>
        <v>0</v>
      </c>
      <c r="Y1522" s="13">
        <f t="shared" ca="1" si="190"/>
        <v>0</v>
      </c>
      <c r="Z1522">
        <f t="shared" ca="1" si="197"/>
        <v>1</v>
      </c>
      <c r="AA1522">
        <f t="shared" ca="1" si="198"/>
        <v>0</v>
      </c>
      <c r="AB1522" s="24">
        <f t="shared" ca="1" si="199"/>
        <v>0.1003766841643912</v>
      </c>
      <c r="AC1522" s="24">
        <f t="shared" ca="1" si="200"/>
        <v>0</v>
      </c>
    </row>
    <row r="1523" spans="3:29" x14ac:dyDescent="0.25">
      <c r="C1523" s="6">
        <v>1516</v>
      </c>
      <c r="D1523" s="37">
        <v>44162</v>
      </c>
      <c r="E1523" s="39">
        <v>13.7</v>
      </c>
      <c r="F1523" s="39">
        <v>2.0629398915945312</v>
      </c>
      <c r="G1523" s="39">
        <v>38.845268185571037</v>
      </c>
      <c r="H1523" s="39">
        <v>59.312617531439393</v>
      </c>
      <c r="I1523" s="10">
        <v>0</v>
      </c>
      <c r="J1523" s="40">
        <v>0</v>
      </c>
      <c r="K1523" s="40">
        <v>0</v>
      </c>
      <c r="L1523" s="40">
        <v>0</v>
      </c>
      <c r="M1523" s="40">
        <v>0</v>
      </c>
      <c r="N1523" s="40">
        <v>0</v>
      </c>
      <c r="O1523" s="40">
        <v>0</v>
      </c>
      <c r="P1523" s="40">
        <v>0</v>
      </c>
      <c r="Q1523" s="40">
        <v>0</v>
      </c>
      <c r="R1523" s="40">
        <v>0</v>
      </c>
      <c r="S1523" s="40">
        <v>1</v>
      </c>
      <c r="T1523" s="29">
        <f t="array" aca="1" ref="T1523" ca="1">+fair_value_gap(OFFSET(S1522,0,0,-1*$I$5,-1*$Z$1),OFFSET(E1522,0,0,-1*$I$5,1),F1523:S1523,0)</f>
        <v>13.746425520278487</v>
      </c>
      <c r="U1523" s="9" cm="1">
        <f t="array" aca="1" ref="U1523" ca="1">z_score_diff(OFFSET(T1523,0,0,$I$5*-1,1),OFFSET(E1523,0,0,$I$5*-1,1))</f>
        <v>2.6424292636233471E-3</v>
      </c>
      <c r="V1523" s="9">
        <f t="shared" ca="1" si="196"/>
        <v>-5.6932935783296182E-2</v>
      </c>
      <c r="W1523" s="17">
        <f t="shared" ca="1" si="188"/>
        <v>0.11697167658550441</v>
      </c>
      <c r="X1523" s="13">
        <f t="shared" ca="1" si="189"/>
        <v>0</v>
      </c>
      <c r="Y1523" s="13">
        <f t="shared" ca="1" si="190"/>
        <v>0</v>
      </c>
      <c r="Z1523">
        <f t="shared" ca="1" si="197"/>
        <v>1</v>
      </c>
      <c r="AA1523">
        <f t="shared" ca="1" si="198"/>
        <v>0</v>
      </c>
      <c r="AB1523" s="24">
        <f t="shared" ca="1" si="199"/>
        <v>0.11697167658550441</v>
      </c>
      <c r="AC1523" s="24">
        <f t="shared" ca="1" si="200"/>
        <v>0</v>
      </c>
    </row>
    <row r="1524" spans="3:29" x14ac:dyDescent="0.25">
      <c r="C1524" s="6">
        <v>1517</v>
      </c>
      <c r="D1524" s="37">
        <v>44165</v>
      </c>
      <c r="E1524" s="39">
        <v>13.537000000000001</v>
      </c>
      <c r="F1524" s="39">
        <v>2.0648606239768799</v>
      </c>
      <c r="G1524" s="39">
        <v>37.975804398596523</v>
      </c>
      <c r="H1524" s="39">
        <v>60.290619822330939</v>
      </c>
      <c r="I1524" s="10">
        <v>0</v>
      </c>
      <c r="J1524" s="40">
        <v>0</v>
      </c>
      <c r="K1524" s="40">
        <v>0</v>
      </c>
      <c r="L1524" s="40">
        <v>0</v>
      </c>
      <c r="M1524" s="40">
        <v>0</v>
      </c>
      <c r="N1524" s="40">
        <v>0</v>
      </c>
      <c r="O1524" s="40">
        <v>0</v>
      </c>
      <c r="P1524" s="40">
        <v>0</v>
      </c>
      <c r="Q1524" s="40">
        <v>0</v>
      </c>
      <c r="R1524" s="40">
        <v>0</v>
      </c>
      <c r="S1524" s="40">
        <v>1</v>
      </c>
      <c r="T1524" s="29">
        <f t="array" aca="1" ref="T1524" ca="1">+fair_value_gap(OFFSET(S1523,0,0,-1*$I$5,-1*$Z$1),OFFSET(E1523,0,0,-1*$I$5,1),F1524:S1524,0)</f>
        <v>13.479976057275728</v>
      </c>
      <c r="U1524" s="9" cm="1">
        <f t="array" aca="1" ref="U1524" ca="1">z_score_diff(OFFSET(T1524,0,0,$I$5*-1,1),OFFSET(E1524,0,0,$I$5*-1,1))</f>
        <v>-0.1052642591986358</v>
      </c>
      <c r="V1524" s="9">
        <f t="shared" ca="1" si="196"/>
        <v>-5.9571532750472805E-2</v>
      </c>
      <c r="W1524" s="17">
        <f t="shared" ca="1" si="188"/>
        <v>0.13166439268297481</v>
      </c>
      <c r="X1524" s="13">
        <f t="shared" ca="1" si="189"/>
        <v>0</v>
      </c>
      <c r="Y1524" s="13">
        <f t="shared" ca="1" si="190"/>
        <v>0</v>
      </c>
      <c r="Z1524">
        <f t="shared" ca="1" si="197"/>
        <v>1</v>
      </c>
      <c r="AA1524">
        <f t="shared" ca="1" si="198"/>
        <v>0</v>
      </c>
      <c r="AB1524" s="24">
        <f t="shared" ca="1" si="199"/>
        <v>0.13166439268297481</v>
      </c>
      <c r="AC1524" s="24">
        <f t="shared" ca="1" si="200"/>
        <v>0</v>
      </c>
    </row>
    <row r="1525" spans="3:29" x14ac:dyDescent="0.25">
      <c r="C1525" s="6">
        <v>1518</v>
      </c>
      <c r="D1525" s="37">
        <v>44166</v>
      </c>
      <c r="E1525" s="39">
        <v>13.417999999999999</v>
      </c>
      <c r="F1525" s="39">
        <v>2.0406560852446254</v>
      </c>
      <c r="G1525" s="39">
        <v>37.29970411398331</v>
      </c>
      <c r="H1525" s="39">
        <v>59.870150476916464</v>
      </c>
      <c r="I1525" s="10">
        <v>0</v>
      </c>
      <c r="J1525" s="40">
        <v>0</v>
      </c>
      <c r="K1525" s="40">
        <v>0</v>
      </c>
      <c r="L1525" s="40">
        <v>0</v>
      </c>
      <c r="M1525" s="40">
        <v>0</v>
      </c>
      <c r="N1525" s="40">
        <v>0</v>
      </c>
      <c r="O1525" s="40">
        <v>0</v>
      </c>
      <c r="P1525" s="40">
        <v>0</v>
      </c>
      <c r="Q1525" s="40">
        <v>0</v>
      </c>
      <c r="R1525" s="40">
        <v>0</v>
      </c>
      <c r="S1525" s="40">
        <v>0</v>
      </c>
      <c r="T1525" s="29">
        <f t="array" aca="1" ref="T1525" ca="1">+fair_value_gap(OFFSET(S1524,0,0,-1*$I$5,-1*$Z$1),OFFSET(E1524,0,0,-1*$I$5,1),F1525:S1525,0)</f>
        <v>13.085420362215658</v>
      </c>
      <c r="U1525" s="9" cm="1">
        <f t="array" aca="1" ref="U1525" ca="1">z_score_diff(OFFSET(T1525,0,0,$I$5*-1,1),OFFSET(E1525,0,0,$I$5*-1,1))</f>
        <v>-0.38246175794193837</v>
      </c>
      <c r="V1525" s="9">
        <f t="shared" ca="1" si="196"/>
        <v>-6.7514056522316818E-2</v>
      </c>
      <c r="W1525" s="17">
        <f t="shared" ca="1" si="188"/>
        <v>0.14165895401857967</v>
      </c>
      <c r="X1525" s="13">
        <f t="shared" ca="1" si="189"/>
        <v>0</v>
      </c>
      <c r="Y1525" s="13">
        <f t="shared" ca="1" si="190"/>
        <v>0</v>
      </c>
      <c r="Z1525">
        <f t="shared" ca="1" si="197"/>
        <v>1</v>
      </c>
      <c r="AA1525">
        <f t="shared" ca="1" si="198"/>
        <v>0</v>
      </c>
      <c r="AB1525" s="24">
        <f t="shared" ca="1" si="199"/>
        <v>0.14165895401857967</v>
      </c>
      <c r="AC1525" s="24">
        <f t="shared" ca="1" si="200"/>
        <v>0</v>
      </c>
    </row>
    <row r="1526" spans="3:29" x14ac:dyDescent="0.25">
      <c r="C1526" s="6">
        <v>1519</v>
      </c>
      <c r="D1526" s="37">
        <v>44167</v>
      </c>
      <c r="E1526" s="39">
        <v>13.317</v>
      </c>
      <c r="F1526" s="39">
        <v>2.0273372482852037</v>
      </c>
      <c r="G1526" s="39">
        <v>37.348293071421232</v>
      </c>
      <c r="H1526" s="39">
        <v>59.327749321298697</v>
      </c>
      <c r="I1526" s="10">
        <v>0</v>
      </c>
      <c r="J1526" s="40">
        <v>0</v>
      </c>
      <c r="K1526" s="40">
        <v>0</v>
      </c>
      <c r="L1526" s="40">
        <v>0</v>
      </c>
      <c r="M1526" s="40">
        <v>0</v>
      </c>
      <c r="N1526" s="40">
        <v>0</v>
      </c>
      <c r="O1526" s="40">
        <v>0</v>
      </c>
      <c r="P1526" s="40">
        <v>0</v>
      </c>
      <c r="Q1526" s="40">
        <v>0</v>
      </c>
      <c r="R1526" s="40">
        <v>0</v>
      </c>
      <c r="S1526" s="40">
        <v>0</v>
      </c>
      <c r="T1526" s="29">
        <f t="array" aca="1" ref="T1526" ca="1">+fair_value_gap(OFFSET(S1525,0,0,-1*$I$5,-1*$Z$1),OFFSET(E1525,0,0,-1*$I$5,1),F1526:S1526,0)</f>
        <v>13.138752545237786</v>
      </c>
      <c r="U1526" s="9" cm="1">
        <f t="array" aca="1" ref="U1526" ca="1">z_score_diff(OFFSET(T1526,0,0,$I$5*-1,1),OFFSET(E1526,0,0,$I$5*-1,1))</f>
        <v>-0.22873138340679222</v>
      </c>
      <c r="V1526" s="9">
        <f t="shared" ca="1" si="196"/>
        <v>-7.2504282921136226E-2</v>
      </c>
      <c r="W1526" s="17">
        <f t="shared" ca="1" si="188"/>
        <v>0.14759624343411468</v>
      </c>
      <c r="X1526" s="13">
        <f t="shared" ca="1" si="189"/>
        <v>0</v>
      </c>
      <c r="Y1526" s="13">
        <f t="shared" ca="1" si="190"/>
        <v>0</v>
      </c>
      <c r="Z1526">
        <f t="shared" ca="1" si="197"/>
        <v>1</v>
      </c>
      <c r="AA1526">
        <f t="shared" ca="1" si="198"/>
        <v>0</v>
      </c>
      <c r="AB1526" s="24">
        <f t="shared" ca="1" si="199"/>
        <v>0.14759624343411468</v>
      </c>
      <c r="AC1526" s="24">
        <f t="shared" ca="1" si="200"/>
        <v>0</v>
      </c>
    </row>
    <row r="1527" spans="3:29" x14ac:dyDescent="0.25">
      <c r="C1527" s="6">
        <v>1520</v>
      </c>
      <c r="D1527" s="37">
        <v>44168</v>
      </c>
      <c r="E1527" s="39">
        <v>13.05</v>
      </c>
      <c r="F1527" s="39">
        <v>1.9566544541730715</v>
      </c>
      <c r="G1527" s="39">
        <v>36.407127808988768</v>
      </c>
      <c r="H1527" s="39">
        <v>59.341825988630752</v>
      </c>
      <c r="I1527" s="10">
        <v>0</v>
      </c>
      <c r="J1527" s="40">
        <v>0</v>
      </c>
      <c r="K1527" s="40">
        <v>0</v>
      </c>
      <c r="L1527" s="40">
        <v>0</v>
      </c>
      <c r="M1527" s="40">
        <v>0</v>
      </c>
      <c r="N1527" s="40">
        <v>0</v>
      </c>
      <c r="O1527" s="40">
        <v>0</v>
      </c>
      <c r="P1527" s="40">
        <v>0</v>
      </c>
      <c r="Q1527" s="40">
        <v>0</v>
      </c>
      <c r="R1527" s="40">
        <v>0</v>
      </c>
      <c r="S1527" s="40">
        <v>0</v>
      </c>
      <c r="T1527" s="29">
        <f t="array" aca="1" ref="T1527" ca="1">+fair_value_gap(OFFSET(S1526,0,0,-1*$I$5,-1*$Z$1),OFFSET(E1526,0,0,-1*$I$5,1),F1527:S1527,0)</f>
        <v>12.875099939799016</v>
      </c>
      <c r="U1527" s="9" cm="1">
        <f t="array" aca="1" ref="U1527" ca="1">z_score_diff(OFFSET(T1527,0,0,$I$5*-1,1),OFFSET(E1527,0,0,$I$5*-1,1))</f>
        <v>-0.23219018444833517</v>
      </c>
      <c r="V1527" s="9">
        <f t="shared" ca="1" si="196"/>
        <v>-7.6575922357555323E-2</v>
      </c>
      <c r="W1527" s="17">
        <f t="shared" ca="1" si="188"/>
        <v>0.15506979753902128</v>
      </c>
      <c r="X1527" s="13">
        <f t="shared" ca="1" si="189"/>
        <v>0</v>
      </c>
      <c r="Y1527" s="13">
        <f t="shared" ca="1" si="190"/>
        <v>0</v>
      </c>
      <c r="Z1527">
        <f t="shared" ca="1" si="197"/>
        <v>1</v>
      </c>
      <c r="AA1527">
        <f t="shared" ca="1" si="198"/>
        <v>0</v>
      </c>
      <c r="AB1527" s="24">
        <f t="shared" ca="1" si="199"/>
        <v>0.15506979753902128</v>
      </c>
      <c r="AC1527" s="24">
        <f t="shared" ca="1" si="200"/>
        <v>0</v>
      </c>
    </row>
    <row r="1528" spans="3:29" x14ac:dyDescent="0.25">
      <c r="C1528" s="6">
        <v>1521</v>
      </c>
      <c r="D1528" s="37">
        <v>44169</v>
      </c>
      <c r="E1528" s="39">
        <v>13.263999999999999</v>
      </c>
      <c r="F1528" s="39">
        <v>1.9865543097395733</v>
      </c>
      <c r="G1528" s="39">
        <v>37.390605582902637</v>
      </c>
      <c r="H1528" s="39">
        <v>60.109761401714024</v>
      </c>
      <c r="I1528" s="10">
        <v>0</v>
      </c>
      <c r="J1528" s="40">
        <v>0</v>
      </c>
      <c r="K1528" s="40">
        <v>0</v>
      </c>
      <c r="L1528" s="40">
        <v>0</v>
      </c>
      <c r="M1528" s="40">
        <v>0</v>
      </c>
      <c r="N1528" s="40">
        <v>0</v>
      </c>
      <c r="O1528" s="40">
        <v>0</v>
      </c>
      <c r="P1528" s="40">
        <v>0</v>
      </c>
      <c r="Q1528" s="40">
        <v>0</v>
      </c>
      <c r="R1528" s="40">
        <v>0</v>
      </c>
      <c r="S1528" s="40">
        <v>0</v>
      </c>
      <c r="T1528" s="29">
        <f t="array" aca="1" ref="T1528" ca="1">+fair_value_gap(OFFSET(S1527,0,0,-1*$I$5,-1*$Z$1),OFFSET(E1527,0,0,-1*$I$5,1),F1528:S1528,0)</f>
        <v>13.242101204209915</v>
      </c>
      <c r="U1528" s="9" cm="1">
        <f t="array" aca="1" ref="U1528" ca="1">z_score_diff(OFFSET(T1528,0,0,$I$5*-1,1),OFFSET(E1528,0,0,$I$5*-1,1))</f>
        <v>-7.1282947501131733E-2</v>
      </c>
      <c r="V1528" s="9">
        <f t="shared" ca="1" si="196"/>
        <v>-7.5410503388708625E-2</v>
      </c>
      <c r="W1528" s="17">
        <f t="shared" ca="1" si="188"/>
        <v>0.13900117685098656</v>
      </c>
      <c r="X1528" s="13">
        <f t="shared" ca="1" si="189"/>
        <v>0</v>
      </c>
      <c r="Y1528" s="13">
        <f t="shared" ca="1" si="190"/>
        <v>0</v>
      </c>
      <c r="Z1528">
        <f t="shared" ca="1" si="197"/>
        <v>1</v>
      </c>
      <c r="AA1528">
        <f t="shared" ca="1" si="198"/>
        <v>0</v>
      </c>
      <c r="AB1528" s="24">
        <f t="shared" ca="1" si="199"/>
        <v>0.13900117685098656</v>
      </c>
      <c r="AC1528" s="24">
        <f t="shared" ca="1" si="200"/>
        <v>0</v>
      </c>
    </row>
    <row r="1529" spans="3:29" x14ac:dyDescent="0.25">
      <c r="C1529" s="6">
        <v>1522</v>
      </c>
      <c r="D1529" s="37">
        <v>44172</v>
      </c>
      <c r="E1529" s="39">
        <v>13.234</v>
      </c>
      <c r="F1529" s="39">
        <v>1.9440558414967113</v>
      </c>
      <c r="G1529" s="39">
        <v>37.226861589433703</v>
      </c>
      <c r="H1529" s="39">
        <v>60.008261829938306</v>
      </c>
      <c r="I1529" s="10">
        <v>0</v>
      </c>
      <c r="J1529" s="40">
        <v>0</v>
      </c>
      <c r="K1529" s="40">
        <v>0</v>
      </c>
      <c r="L1529" s="40">
        <v>0</v>
      </c>
      <c r="M1529" s="40">
        <v>0</v>
      </c>
      <c r="N1529" s="40">
        <v>0</v>
      </c>
      <c r="O1529" s="40">
        <v>0</v>
      </c>
      <c r="P1529" s="40">
        <v>0</v>
      </c>
      <c r="Q1529" s="40">
        <v>0</v>
      </c>
      <c r="R1529" s="40">
        <v>0</v>
      </c>
      <c r="S1529" s="40">
        <v>0</v>
      </c>
      <c r="T1529" s="29">
        <f t="array" aca="1" ref="T1529" ca="1">+fair_value_gap(OFFSET(S1528,0,0,-1*$I$5,-1*$Z$1),OFFSET(E1528,0,0,-1*$I$5,1),F1529:S1529,0)</f>
        <v>13.209935850911553</v>
      </c>
      <c r="U1529" s="9" cm="1">
        <f t="array" aca="1" ref="U1529" ca="1">z_score_diff(OFFSET(T1529,0,0,$I$5*-1,1),OFFSET(E1529,0,0,$I$5*-1,1))</f>
        <v>-7.3819590754274134E-2</v>
      </c>
      <c r="V1529" s="9">
        <f t="shared" ca="1" si="196"/>
        <v>-7.5157991308545946E-2</v>
      </c>
      <c r="W1529" s="17">
        <f t="shared" ca="1" si="188"/>
        <v>0.14767452034924244</v>
      </c>
      <c r="X1529" s="13">
        <f t="shared" ca="1" si="189"/>
        <v>0</v>
      </c>
      <c r="Y1529" s="13">
        <f t="shared" ca="1" si="190"/>
        <v>0</v>
      </c>
      <c r="Z1529">
        <f t="shared" ca="1" si="197"/>
        <v>1</v>
      </c>
      <c r="AA1529">
        <f t="shared" ca="1" si="198"/>
        <v>0</v>
      </c>
      <c r="AB1529" s="24">
        <f t="shared" ca="1" si="199"/>
        <v>0.14767452034924244</v>
      </c>
      <c r="AC1529" s="24">
        <f t="shared" ca="1" si="200"/>
        <v>0</v>
      </c>
    </row>
    <row r="1530" spans="3:29" x14ac:dyDescent="0.25">
      <c r="C1530" s="6">
        <v>1523</v>
      </c>
      <c r="D1530" s="37">
        <v>44173</v>
      </c>
      <c r="E1530" s="39">
        <v>13.244</v>
      </c>
      <c r="F1530" s="39">
        <v>1.9421036331926129</v>
      </c>
      <c r="G1530" s="39">
        <v>37.072456323465929</v>
      </c>
      <c r="H1530" s="39">
        <v>59.8604749718831</v>
      </c>
      <c r="I1530" s="10">
        <v>0</v>
      </c>
      <c r="J1530" s="40">
        <v>0</v>
      </c>
      <c r="K1530" s="40">
        <v>0</v>
      </c>
      <c r="L1530" s="40">
        <v>0</v>
      </c>
      <c r="M1530" s="40">
        <v>0</v>
      </c>
      <c r="N1530" s="40">
        <v>0</v>
      </c>
      <c r="O1530" s="40">
        <v>0</v>
      </c>
      <c r="P1530" s="40">
        <v>0</v>
      </c>
      <c r="Q1530" s="40">
        <v>0</v>
      </c>
      <c r="R1530" s="40">
        <v>0</v>
      </c>
      <c r="S1530" s="40">
        <v>0</v>
      </c>
      <c r="T1530" s="29">
        <f t="array" aca="1" ref="T1530" ca="1">+fair_value_gap(OFFSET(S1529,0,0,-1*$I$5,-1*$Z$1),OFFSET(E1529,0,0,-1*$I$5,1),F1530:S1530,0)</f>
        <v>13.159123552297832</v>
      </c>
      <c r="U1530" s="9" cm="1">
        <f t="array" aca="1" ref="U1530" ca="1">z_score_diff(OFFSET(T1530,0,0,$I$5*-1,1),OFFSET(E1530,0,0,$I$5*-1,1))</f>
        <v>-0.13332665279782729</v>
      </c>
      <c r="V1530" s="9">
        <f t="shared" ca="1" si="196"/>
        <v>-7.5773614805642237E-2</v>
      </c>
      <c r="W1530" s="17">
        <f t="shared" ca="1" si="188"/>
        <v>0.15877817535930644</v>
      </c>
      <c r="X1530" s="13">
        <f t="shared" ca="1" si="189"/>
        <v>0</v>
      </c>
      <c r="Y1530" s="13">
        <f t="shared" ca="1" si="190"/>
        <v>0</v>
      </c>
      <c r="Z1530">
        <f t="shared" ca="1" si="197"/>
        <v>1</v>
      </c>
      <c r="AA1530">
        <f t="shared" ca="1" si="198"/>
        <v>0</v>
      </c>
      <c r="AB1530" s="24">
        <f t="shared" ca="1" si="199"/>
        <v>0.15877817535930644</v>
      </c>
      <c r="AC1530" s="24">
        <f t="shared" ca="1" si="200"/>
        <v>0</v>
      </c>
    </row>
    <row r="1531" spans="3:29" x14ac:dyDescent="0.25">
      <c r="C1531" s="6">
        <v>1524</v>
      </c>
      <c r="D1531" s="37">
        <v>44174</v>
      </c>
      <c r="E1531" s="39">
        <v>13.308999999999999</v>
      </c>
      <c r="F1531" s="39">
        <v>1.9741432986169558</v>
      </c>
      <c r="G1531" s="39">
        <v>37.288910478040975</v>
      </c>
      <c r="H1531" s="39">
        <v>60.915721403929659</v>
      </c>
      <c r="I1531" s="10">
        <v>0</v>
      </c>
      <c r="J1531" s="40">
        <v>0</v>
      </c>
      <c r="K1531" s="40">
        <v>0</v>
      </c>
      <c r="L1531" s="40">
        <v>0</v>
      </c>
      <c r="M1531" s="40">
        <v>0</v>
      </c>
      <c r="N1531" s="40">
        <v>0</v>
      </c>
      <c r="O1531" s="40">
        <v>0</v>
      </c>
      <c r="P1531" s="40">
        <v>0</v>
      </c>
      <c r="Q1531" s="40">
        <v>0</v>
      </c>
      <c r="R1531" s="40">
        <v>0</v>
      </c>
      <c r="S1531" s="40">
        <v>0</v>
      </c>
      <c r="T1531" s="29">
        <f t="array" aca="1" ref="T1531" ca="1">+fair_value_gap(OFFSET(S1530,0,0,-1*$I$5,-1*$Z$1),OFFSET(E1530,0,0,-1*$I$5,1),F1531:S1531,0)</f>
        <v>13.255344617119547</v>
      </c>
      <c r="U1531" s="9" cm="1">
        <f t="array" aca="1" ref="U1531" ca="1">z_score_diff(OFFSET(T1531,0,0,$I$5*-1,1),OFFSET(E1531,0,0,$I$5*-1,1))</f>
        <v>-9.9474911104622143E-2</v>
      </c>
      <c r="V1531" s="9">
        <f t="shared" ca="1" si="196"/>
        <v>-7.5864906891074613E-2</v>
      </c>
      <c r="W1531" s="17">
        <f t="shared" ca="1" si="188"/>
        <v>0.14670592865949214</v>
      </c>
      <c r="X1531" s="13">
        <f t="shared" ca="1" si="189"/>
        <v>0</v>
      </c>
      <c r="Y1531" s="13">
        <f t="shared" ca="1" si="190"/>
        <v>0</v>
      </c>
      <c r="Z1531">
        <f t="shared" ca="1" si="197"/>
        <v>1</v>
      </c>
      <c r="AA1531">
        <f t="shared" ca="1" si="198"/>
        <v>0</v>
      </c>
      <c r="AB1531" s="24">
        <f t="shared" ca="1" si="199"/>
        <v>0.14670592865949214</v>
      </c>
      <c r="AC1531" s="24">
        <f t="shared" ca="1" si="200"/>
        <v>0</v>
      </c>
    </row>
    <row r="1532" spans="3:29" x14ac:dyDescent="0.25">
      <c r="C1532" s="6">
        <v>1525</v>
      </c>
      <c r="D1532" s="37">
        <v>44175</v>
      </c>
      <c r="E1532" s="39">
        <v>13.472</v>
      </c>
      <c r="F1532" s="39">
        <v>1.9707784493505058</v>
      </c>
      <c r="G1532" s="39">
        <v>37.970861491073151</v>
      </c>
      <c r="H1532" s="39">
        <v>61.841107411493986</v>
      </c>
      <c r="I1532" s="10">
        <v>0</v>
      </c>
      <c r="J1532" s="40">
        <v>0</v>
      </c>
      <c r="K1532" s="40">
        <v>0</v>
      </c>
      <c r="L1532" s="40">
        <v>0</v>
      </c>
      <c r="M1532" s="40">
        <v>0</v>
      </c>
      <c r="N1532" s="40">
        <v>0</v>
      </c>
      <c r="O1532" s="40">
        <v>0</v>
      </c>
      <c r="P1532" s="40">
        <v>0</v>
      </c>
      <c r="Q1532" s="40">
        <v>0</v>
      </c>
      <c r="R1532" s="40">
        <v>0</v>
      </c>
      <c r="S1532" s="40">
        <v>0</v>
      </c>
      <c r="T1532" s="29">
        <f t="array" aca="1" ref="T1532" ca="1">+fair_value_gap(OFFSET(S1531,0,0,-1*$I$5,-1*$Z$1),OFFSET(E1531,0,0,-1*$I$5,1),F1532:S1532,0)</f>
        <v>13.51272789487258</v>
      </c>
      <c r="U1532" s="9" cm="1">
        <f t="array" aca="1" ref="U1532" ca="1">z_score_diff(OFFSET(T1532,0,0,$I$5*-1,1),OFFSET(E1532,0,0,$I$5*-1,1))</f>
        <v>4.9118189932506606E-4</v>
      </c>
      <c r="V1532" s="9">
        <f t="shared" ca="1" si="196"/>
        <v>-7.2264401460108069E-2</v>
      </c>
      <c r="W1532" s="17">
        <f t="shared" ca="1" si="188"/>
        <v>0.1277621100634849</v>
      </c>
      <c r="X1532" s="13">
        <f t="shared" ca="1" si="189"/>
        <v>0</v>
      </c>
      <c r="Y1532" s="13">
        <f t="shared" ca="1" si="190"/>
        <v>0</v>
      </c>
      <c r="Z1532">
        <f t="shared" ca="1" si="197"/>
        <v>1</v>
      </c>
      <c r="AA1532">
        <f t="shared" ca="1" si="198"/>
        <v>0</v>
      </c>
      <c r="AB1532" s="24">
        <f t="shared" ca="1" si="199"/>
        <v>0.1277621100634849</v>
      </c>
      <c r="AC1532" s="24">
        <f t="shared" ca="1" si="200"/>
        <v>0</v>
      </c>
    </row>
    <row r="1533" spans="3:29" x14ac:dyDescent="0.25">
      <c r="C1533" s="6">
        <v>1526</v>
      </c>
      <c r="D1533" s="37">
        <v>44176</v>
      </c>
      <c r="E1533" s="39">
        <v>13.736000000000001</v>
      </c>
      <c r="F1533" s="39">
        <v>1.9822639540949401</v>
      </c>
      <c r="G1533" s="39">
        <v>38.513370894153176</v>
      </c>
      <c r="H1533" s="39">
        <v>63.372130933750654</v>
      </c>
      <c r="I1533" s="10">
        <v>0</v>
      </c>
      <c r="J1533" s="40">
        <v>0</v>
      </c>
      <c r="K1533" s="40">
        <v>0</v>
      </c>
      <c r="L1533" s="40">
        <v>0</v>
      </c>
      <c r="M1533" s="40">
        <v>0</v>
      </c>
      <c r="N1533" s="40">
        <v>0</v>
      </c>
      <c r="O1533" s="40">
        <v>0</v>
      </c>
      <c r="P1533" s="40">
        <v>0</v>
      </c>
      <c r="Q1533" s="40">
        <v>0</v>
      </c>
      <c r="R1533" s="40">
        <v>0</v>
      </c>
      <c r="S1533" s="40">
        <v>0</v>
      </c>
      <c r="T1533" s="29">
        <f t="array" aca="1" ref="T1533" ca="1">+fair_value_gap(OFFSET(S1532,0,0,-1*$I$5,-1*$Z$1),OFFSET(E1532,0,0,-1*$I$5,1),F1533:S1533,0)</f>
        <v>13.719955769920672</v>
      </c>
      <c r="U1533" s="9" cm="1">
        <f t="array" aca="1" ref="U1533" ca="1">z_score_diff(OFFSET(T1533,0,0,$I$5*-1,1),OFFSET(E1533,0,0,$I$5*-1,1))</f>
        <v>-4.9296793435713027E-2</v>
      </c>
      <c r="V1533" s="9">
        <f t="shared" ca="1" si="196"/>
        <v>-7.0709596143845754E-2</v>
      </c>
      <c r="W1533" s="17">
        <f t="shared" ca="1" si="188"/>
        <v>0.10842076715476964</v>
      </c>
      <c r="X1533" s="13">
        <f t="shared" ca="1" si="189"/>
        <v>0</v>
      </c>
      <c r="Y1533" s="13">
        <f t="shared" ca="1" si="190"/>
        <v>0</v>
      </c>
      <c r="Z1533">
        <f t="shared" ca="1" si="197"/>
        <v>1</v>
      </c>
      <c r="AA1533">
        <f t="shared" ca="1" si="198"/>
        <v>0</v>
      </c>
      <c r="AB1533" s="24">
        <f t="shared" ca="1" si="199"/>
        <v>0.10842076715476964</v>
      </c>
      <c r="AC1533" s="24">
        <f t="shared" ca="1" si="200"/>
        <v>0</v>
      </c>
    </row>
    <row r="1534" spans="3:29" x14ac:dyDescent="0.25">
      <c r="C1534" s="6">
        <v>1527</v>
      </c>
      <c r="D1534" s="37">
        <v>44179</v>
      </c>
      <c r="E1534" s="39">
        <v>14.096</v>
      </c>
      <c r="F1534" s="39">
        <v>1.99367356094643</v>
      </c>
      <c r="G1534" s="39">
        <v>39.603013480674512</v>
      </c>
      <c r="H1534" s="39">
        <v>63.638255125195876</v>
      </c>
      <c r="I1534" s="10">
        <v>0</v>
      </c>
      <c r="J1534" s="40">
        <v>0</v>
      </c>
      <c r="K1534" s="40">
        <v>0</v>
      </c>
      <c r="L1534" s="40">
        <v>0</v>
      </c>
      <c r="M1534" s="40">
        <v>0</v>
      </c>
      <c r="N1534" s="40">
        <v>0</v>
      </c>
      <c r="O1534" s="40">
        <v>0</v>
      </c>
      <c r="P1534" s="40">
        <v>0</v>
      </c>
      <c r="Q1534" s="40">
        <v>0</v>
      </c>
      <c r="R1534" s="40">
        <v>0</v>
      </c>
      <c r="S1534" s="40">
        <v>0</v>
      </c>
      <c r="T1534" s="29">
        <f t="array" aca="1" ref="T1534" ca="1">+fair_value_gap(OFFSET(S1533,0,0,-1*$I$5,-1*$Z$1),OFFSET(E1533,0,0,-1*$I$5,1),F1534:S1534,0)</f>
        <v>14.076998555564494</v>
      </c>
      <c r="U1534" s="9" cm="1">
        <f t="array" aca="1" ref="U1534" ca="1">z_score_diff(OFFSET(T1534,0,0,$I$5*-1,1),OFFSET(E1534,0,0,$I$5*-1,1))</f>
        <v>-4.2353508577789536E-2</v>
      </c>
      <c r="V1534" s="9">
        <f t="shared" ca="1" si="196"/>
        <v>-7.1702906066492642E-2</v>
      </c>
      <c r="W1534" s="17">
        <f t="shared" ca="1" si="188"/>
        <v>0.10394066592334134</v>
      </c>
      <c r="X1534" s="13">
        <f t="shared" ca="1" si="189"/>
        <v>0</v>
      </c>
      <c r="Y1534" s="13">
        <f t="shared" ca="1" si="190"/>
        <v>0</v>
      </c>
      <c r="Z1534">
        <f t="shared" ca="1" si="197"/>
        <v>1</v>
      </c>
      <c r="AA1534">
        <f t="shared" ca="1" si="198"/>
        <v>0</v>
      </c>
      <c r="AB1534" s="24">
        <f t="shared" ca="1" si="199"/>
        <v>0.10394066592334134</v>
      </c>
      <c r="AC1534" s="24">
        <f t="shared" ca="1" si="200"/>
        <v>0</v>
      </c>
    </row>
    <row r="1535" spans="3:29" x14ac:dyDescent="0.25">
      <c r="C1535" s="6">
        <v>1528</v>
      </c>
      <c r="D1535" s="37">
        <v>44180</v>
      </c>
      <c r="E1535" s="39">
        <v>14.327</v>
      </c>
      <c r="F1535" s="39">
        <v>1.9899116109028645</v>
      </c>
      <c r="G1535" s="39">
        <v>40.021134140406105</v>
      </c>
      <c r="H1535" s="39">
        <v>63.610597598628893</v>
      </c>
      <c r="I1535" s="10">
        <v>0</v>
      </c>
      <c r="J1535" s="40">
        <v>0</v>
      </c>
      <c r="K1535" s="40">
        <v>0</v>
      </c>
      <c r="L1535" s="40">
        <v>0</v>
      </c>
      <c r="M1535" s="40">
        <v>0</v>
      </c>
      <c r="N1535" s="40">
        <v>0</v>
      </c>
      <c r="O1535" s="40">
        <v>0</v>
      </c>
      <c r="P1535" s="40">
        <v>0</v>
      </c>
      <c r="Q1535" s="40">
        <v>0</v>
      </c>
      <c r="R1535" s="40">
        <v>0</v>
      </c>
      <c r="S1535" s="40">
        <v>0</v>
      </c>
      <c r="T1535" s="29">
        <f t="array" aca="1" ref="T1535" ca="1">+fair_value_gap(OFFSET(S1534,0,0,-1*$I$5,-1*$Z$1),OFFSET(E1534,0,0,-1*$I$5,1),F1535:S1535,0)</f>
        <v>14.225144788721003</v>
      </c>
      <c r="U1535" s="9" cm="1">
        <f t="array" aca="1" ref="U1535" ca="1">z_score_diff(OFFSET(T1535,0,0,$I$5*-1,1),OFFSET(E1535,0,0,$I$5*-1,1))</f>
        <v>-0.12005554936414102</v>
      </c>
      <c r="V1535" s="9">
        <f t="shared" ca="1" si="196"/>
        <v>-7.3776937793163341E-2</v>
      </c>
      <c r="W1535" s="17">
        <f t="shared" ca="1" si="188"/>
        <v>8.7174226389191714E-2</v>
      </c>
      <c r="X1535" s="13">
        <f t="shared" ca="1" si="189"/>
        <v>0</v>
      </c>
      <c r="Y1535" s="13">
        <f t="shared" ca="1" si="190"/>
        <v>0</v>
      </c>
      <c r="Z1535">
        <f t="shared" ca="1" si="197"/>
        <v>1</v>
      </c>
      <c r="AA1535">
        <f t="shared" ca="1" si="198"/>
        <v>0</v>
      </c>
      <c r="AB1535" s="24">
        <f t="shared" ca="1" si="199"/>
        <v>8.7174226389191714E-2</v>
      </c>
      <c r="AC1535" s="24">
        <f t="shared" ca="1" si="200"/>
        <v>0</v>
      </c>
    </row>
    <row r="1536" spans="3:29" x14ac:dyDescent="0.25">
      <c r="C1536" s="6">
        <v>1529</v>
      </c>
      <c r="D1536" s="37">
        <v>44181</v>
      </c>
      <c r="E1536" s="39">
        <v>13.971</v>
      </c>
      <c r="F1536" s="39">
        <v>1.9939694582239083</v>
      </c>
      <c r="G1536" s="39">
        <v>39.010276145336874</v>
      </c>
      <c r="H1536" s="39">
        <v>62.53444865933924</v>
      </c>
      <c r="I1536" s="10">
        <v>0</v>
      </c>
      <c r="J1536" s="40">
        <v>0</v>
      </c>
      <c r="K1536" s="40">
        <v>0</v>
      </c>
      <c r="L1536" s="40">
        <v>0</v>
      </c>
      <c r="M1536" s="40">
        <v>0</v>
      </c>
      <c r="N1536" s="40">
        <v>0</v>
      </c>
      <c r="O1536" s="40">
        <v>0</v>
      </c>
      <c r="P1536" s="40">
        <v>0</v>
      </c>
      <c r="Q1536" s="40">
        <v>0</v>
      </c>
      <c r="R1536" s="40">
        <v>0</v>
      </c>
      <c r="S1536" s="40">
        <v>0</v>
      </c>
      <c r="T1536" s="29">
        <f t="array" aca="1" ref="T1536" ca="1">+fair_value_gap(OFFSET(S1535,0,0,-1*$I$5,-1*$Z$1),OFFSET(E1535,0,0,-1*$I$5,1),F1536:S1536,0)</f>
        <v>13.885023285827245</v>
      </c>
      <c r="U1536" s="9" cm="1">
        <f t="array" aca="1" ref="U1536" ca="1">z_score_diff(OFFSET(T1536,0,0,$I$5*-1,1),OFFSET(E1536,0,0,$I$5*-1,1))</f>
        <v>-0.11367419950443333</v>
      </c>
      <c r="V1536" s="9">
        <f t="shared" ca="1" si="196"/>
        <v>-7.4984785128524717E-2</v>
      </c>
      <c r="W1536" s="17">
        <f t="shared" ca="1" si="188"/>
        <v>0.13002694125736958</v>
      </c>
      <c r="X1536" s="13">
        <f t="shared" ca="1" si="189"/>
        <v>0</v>
      </c>
      <c r="Y1536" s="13">
        <f t="shared" ca="1" si="190"/>
        <v>0</v>
      </c>
      <c r="Z1536">
        <f t="shared" ca="1" si="197"/>
        <v>1</v>
      </c>
      <c r="AA1536">
        <f t="shared" ca="1" si="198"/>
        <v>0</v>
      </c>
      <c r="AB1536" s="24">
        <f t="shared" ca="1" si="199"/>
        <v>0.13002694125736958</v>
      </c>
      <c r="AC1536" s="24">
        <f t="shared" ca="1" si="200"/>
        <v>0</v>
      </c>
    </row>
    <row r="1537" spans="3:29" x14ac:dyDescent="0.25">
      <c r="C1537" s="6">
        <v>1530</v>
      </c>
      <c r="D1537" s="37">
        <v>44182</v>
      </c>
      <c r="E1537" s="39">
        <v>13.837</v>
      </c>
      <c r="F1537" s="39">
        <v>1.9824024526692352</v>
      </c>
      <c r="G1537" s="39">
        <v>38.589068661550719</v>
      </c>
      <c r="H1537" s="39">
        <v>62.428358424163243</v>
      </c>
      <c r="I1537" s="10">
        <v>0</v>
      </c>
      <c r="J1537" s="40">
        <v>0</v>
      </c>
      <c r="K1537" s="40">
        <v>0</v>
      </c>
      <c r="L1537" s="40">
        <v>0</v>
      </c>
      <c r="M1537" s="40">
        <v>0</v>
      </c>
      <c r="N1537" s="40">
        <v>0</v>
      </c>
      <c r="O1537" s="40">
        <v>0</v>
      </c>
      <c r="P1537" s="40">
        <v>0</v>
      </c>
      <c r="Q1537" s="40">
        <v>0</v>
      </c>
      <c r="R1537" s="40">
        <v>0</v>
      </c>
      <c r="S1537" s="40">
        <v>0</v>
      </c>
      <c r="T1537" s="29">
        <f t="array" aca="1" ref="T1537" ca="1">+fair_value_gap(OFFSET(S1536,0,0,-1*$I$5,-1*$Z$1),OFFSET(E1536,0,0,-1*$I$5,1),F1537:S1537,0)</f>
        <v>13.764822445819577</v>
      </c>
      <c r="U1537" s="9" cm="1">
        <f t="array" aca="1" ref="U1537" ca="1">z_score_diff(OFFSET(T1537,0,0,$I$5*-1,1),OFFSET(E1537,0,0,$I$5*-1,1))</f>
        <v>-0.10294553693631525</v>
      </c>
      <c r="V1537" s="9">
        <f t="shared" ca="1" si="196"/>
        <v>-7.7640928745039237E-2</v>
      </c>
      <c r="W1537" s="17">
        <f t="shared" ca="1" si="188"/>
        <v>0.16584143738375476</v>
      </c>
      <c r="X1537" s="13">
        <f t="shared" ca="1" si="189"/>
        <v>0</v>
      </c>
      <c r="Y1537" s="13">
        <f t="shared" ca="1" si="190"/>
        <v>0</v>
      </c>
      <c r="Z1537">
        <f t="shared" ca="1" si="197"/>
        <v>1</v>
      </c>
      <c r="AA1537">
        <f t="shared" ca="1" si="198"/>
        <v>0</v>
      </c>
      <c r="AB1537" s="24">
        <f t="shared" ca="1" si="199"/>
        <v>0.16584143738375476</v>
      </c>
      <c r="AC1537" s="24">
        <f t="shared" ca="1" si="200"/>
        <v>0</v>
      </c>
    </row>
    <row r="1538" spans="3:29" x14ac:dyDescent="0.25">
      <c r="C1538" s="6">
        <v>1531</v>
      </c>
      <c r="D1538" s="37">
        <v>44183</v>
      </c>
      <c r="E1538" s="39">
        <v>14.089</v>
      </c>
      <c r="F1538" s="39">
        <v>1.991887351555623</v>
      </c>
      <c r="G1538" s="39">
        <v>39.111122757825498</v>
      </c>
      <c r="H1538" s="39">
        <v>62.876249866992552</v>
      </c>
      <c r="I1538" s="10">
        <v>0</v>
      </c>
      <c r="J1538" s="40">
        <v>0</v>
      </c>
      <c r="K1538" s="40">
        <v>0</v>
      </c>
      <c r="L1538" s="40">
        <v>0</v>
      </c>
      <c r="M1538" s="40">
        <v>0</v>
      </c>
      <c r="N1538" s="40">
        <v>0</v>
      </c>
      <c r="O1538" s="40">
        <v>0</v>
      </c>
      <c r="P1538" s="40">
        <v>0</v>
      </c>
      <c r="Q1538" s="40">
        <v>0</v>
      </c>
      <c r="R1538" s="40">
        <v>0</v>
      </c>
      <c r="S1538" s="40">
        <v>0</v>
      </c>
      <c r="T1538" s="29">
        <f t="array" aca="1" ref="T1538" ca="1">+fair_value_gap(OFFSET(S1537,0,0,-1*$I$5,-1*$Z$1),OFFSET(E1537,0,0,-1*$I$5,1),F1538:S1538,0)</f>
        <v>13.962356909760921</v>
      </c>
      <c r="U1538" s="9" cm="1">
        <f t="array" aca="1" ref="U1538" ca="1">z_score_diff(OFFSET(T1538,0,0,$I$5*-1,1),OFFSET(E1538,0,0,$I$5*-1,1))</f>
        <v>-0.15217708556670129</v>
      </c>
      <c r="V1538" s="9">
        <f t="shared" ca="1" si="196"/>
        <v>-7.3454977279878791E-2</v>
      </c>
      <c r="W1538" s="17">
        <f t="shared" ca="1" si="188"/>
        <v>0.1401722924588987</v>
      </c>
      <c r="X1538" s="13">
        <f t="shared" ca="1" si="189"/>
        <v>0</v>
      </c>
      <c r="Y1538" s="13">
        <f t="shared" ca="1" si="190"/>
        <v>0</v>
      </c>
      <c r="Z1538">
        <f t="shared" ca="1" si="197"/>
        <v>1</v>
      </c>
      <c r="AA1538">
        <f t="shared" ca="1" si="198"/>
        <v>0</v>
      </c>
      <c r="AB1538" s="24">
        <f t="shared" ca="1" si="199"/>
        <v>0.1401722924588987</v>
      </c>
      <c r="AC1538" s="24">
        <f t="shared" ca="1" si="200"/>
        <v>0</v>
      </c>
    </row>
    <row r="1539" spans="3:29" x14ac:dyDescent="0.25">
      <c r="C1539" s="6">
        <v>1532</v>
      </c>
      <c r="D1539" s="37">
        <v>44186</v>
      </c>
      <c r="E1539" s="39">
        <v>14.25</v>
      </c>
      <c r="F1539" s="39">
        <v>2.0011575877292471</v>
      </c>
      <c r="G1539" s="39">
        <v>40.321833417087348</v>
      </c>
      <c r="H1539" s="39">
        <v>62.561400987905067</v>
      </c>
      <c r="I1539" s="10">
        <v>0</v>
      </c>
      <c r="J1539" s="40">
        <v>0</v>
      </c>
      <c r="K1539" s="40">
        <v>0</v>
      </c>
      <c r="L1539" s="40">
        <v>0</v>
      </c>
      <c r="M1539" s="40">
        <v>0</v>
      </c>
      <c r="N1539" s="40">
        <v>0</v>
      </c>
      <c r="O1539" s="40">
        <v>0</v>
      </c>
      <c r="P1539" s="40">
        <v>0</v>
      </c>
      <c r="Q1539" s="40">
        <v>0</v>
      </c>
      <c r="R1539" s="40">
        <v>0</v>
      </c>
      <c r="S1539" s="40">
        <v>0</v>
      </c>
      <c r="T1539" s="29">
        <f t="array" aca="1" ref="T1539" ca="1">+fair_value_gap(OFFSET(S1538,0,0,-1*$I$5,-1*$Z$1),OFFSET(E1538,0,0,-1*$I$5,1),F1539:S1539,0)</f>
        <v>14.343348692282341</v>
      </c>
      <c r="U1539" s="9" cm="1">
        <f t="array" aca="1" ref="U1539" ca="1">z_score_diff(OFFSET(T1539,0,0,$I$5*-1,1),OFFSET(E1539,0,0,$I$5*-1,1))</f>
        <v>7.9223952083482083E-2</v>
      </c>
      <c r="V1539" s="9">
        <f t="shared" ca="1" si="196"/>
        <v>-7.3400422003086774E-2</v>
      </c>
      <c r="W1539" s="17">
        <f t="shared" ca="1" si="188"/>
        <v>0.12410995696934737</v>
      </c>
      <c r="X1539" s="13">
        <f t="shared" ca="1" si="189"/>
        <v>0</v>
      </c>
      <c r="Y1539" s="13">
        <f t="shared" ca="1" si="190"/>
        <v>0</v>
      </c>
      <c r="Z1539">
        <f t="shared" ca="1" si="197"/>
        <v>1</v>
      </c>
      <c r="AA1539">
        <f t="shared" ca="1" si="198"/>
        <v>0</v>
      </c>
      <c r="AB1539" s="24">
        <f t="shared" ca="1" si="199"/>
        <v>0.12410995696934737</v>
      </c>
      <c r="AC1539" s="24">
        <f t="shared" ca="1" si="200"/>
        <v>0</v>
      </c>
    </row>
    <row r="1540" spans="3:29" x14ac:dyDescent="0.25">
      <c r="C1540" s="6">
        <v>1533</v>
      </c>
      <c r="D1540" s="37">
        <v>44187</v>
      </c>
      <c r="E1540" s="39">
        <v>14.55</v>
      </c>
      <c r="F1540" s="39">
        <v>2.0167982657969681</v>
      </c>
      <c r="G1540" s="39">
        <v>41.210977095808708</v>
      </c>
      <c r="H1540" s="39">
        <v>63.587985563457721</v>
      </c>
      <c r="I1540" s="10">
        <v>0</v>
      </c>
      <c r="J1540" s="40">
        <v>0</v>
      </c>
      <c r="K1540" s="40">
        <v>0</v>
      </c>
      <c r="L1540" s="40">
        <v>0</v>
      </c>
      <c r="M1540" s="40">
        <v>0</v>
      </c>
      <c r="N1540" s="40">
        <v>0</v>
      </c>
      <c r="O1540" s="40">
        <v>0</v>
      </c>
      <c r="P1540" s="40">
        <v>0</v>
      </c>
      <c r="Q1540" s="40">
        <v>0</v>
      </c>
      <c r="R1540" s="40">
        <v>0</v>
      </c>
      <c r="S1540" s="40">
        <v>0</v>
      </c>
      <c r="T1540" s="29">
        <f t="array" aca="1" ref="T1540" ca="1">+fair_value_gap(OFFSET(S1539,0,0,-1*$I$5,-1*$Z$1),OFFSET(E1539,0,0,-1*$I$5,1),F1540:S1540,0)</f>
        <v>14.650600403353252</v>
      </c>
      <c r="U1540" s="9" cm="1">
        <f t="array" aca="1" ref="U1540" ca="1">z_score_diff(OFFSET(T1540,0,0,$I$5*-1,1),OFFSET(E1540,0,0,$I$5*-1,1))</f>
        <v>9.6461910382393712E-2</v>
      </c>
      <c r="V1540" s="9">
        <f t="shared" ca="1" si="196"/>
        <v>-6.9918192689638212E-2</v>
      </c>
      <c r="W1540" s="17">
        <f t="shared" ca="1" si="188"/>
        <v>8.557850670578801E-2</v>
      </c>
      <c r="X1540" s="13">
        <f t="shared" ca="1" si="189"/>
        <v>0</v>
      </c>
      <c r="Y1540" s="13">
        <f t="shared" ca="1" si="190"/>
        <v>0</v>
      </c>
      <c r="Z1540">
        <f t="shared" ca="1" si="197"/>
        <v>1</v>
      </c>
      <c r="AA1540">
        <f t="shared" ca="1" si="198"/>
        <v>0</v>
      </c>
      <c r="AB1540" s="24">
        <f t="shared" ca="1" si="199"/>
        <v>8.557850670578801E-2</v>
      </c>
      <c r="AC1540" s="24">
        <f t="shared" ca="1" si="200"/>
        <v>0</v>
      </c>
    </row>
    <row r="1541" spans="3:29" x14ac:dyDescent="0.25">
      <c r="C1541" s="6">
        <v>1534</v>
      </c>
      <c r="D1541" s="37">
        <v>44188</v>
      </c>
      <c r="E1541" s="39">
        <v>14.478999999999999</v>
      </c>
      <c r="F1541" s="39">
        <v>1.9825644515742229</v>
      </c>
      <c r="G1541" s="39">
        <v>41.144525919841847</v>
      </c>
      <c r="H1541" s="39">
        <v>64.208513603292673</v>
      </c>
      <c r="I1541" s="10">
        <v>0</v>
      </c>
      <c r="J1541" s="40">
        <v>0</v>
      </c>
      <c r="K1541" s="40">
        <v>0</v>
      </c>
      <c r="L1541" s="40">
        <v>0</v>
      </c>
      <c r="M1541" s="40">
        <v>0</v>
      </c>
      <c r="N1541" s="40">
        <v>0</v>
      </c>
      <c r="O1541" s="40">
        <v>0</v>
      </c>
      <c r="P1541" s="40">
        <v>0</v>
      </c>
      <c r="Q1541" s="40">
        <v>0</v>
      </c>
      <c r="R1541" s="40">
        <v>0</v>
      </c>
      <c r="S1541" s="40">
        <v>0</v>
      </c>
      <c r="T1541" s="29">
        <f t="array" aca="1" ref="T1541" ca="1">+fair_value_gap(OFFSET(S1540,0,0,-1*$I$5,-1*$Z$1),OFFSET(E1540,0,0,-1*$I$5,1),F1541:S1541,0)</f>
        <v>14.648701945223429</v>
      </c>
      <c r="U1541" s="9" cm="1">
        <f t="array" aca="1" ref="U1541" ca="1">z_score_diff(OFFSET(T1541,0,0,$I$5*-1,1),OFFSET(E1541,0,0,$I$5*-1,1))</f>
        <v>0.16620620110469669</v>
      </c>
      <c r="V1541" s="9">
        <f t="shared" ca="1" si="196"/>
        <v>-6.672108435326525E-2</v>
      </c>
      <c r="W1541" s="17">
        <f t="shared" ca="1" si="188"/>
        <v>8.5536892216096269E-2</v>
      </c>
      <c r="X1541" s="13">
        <f t="shared" ca="1" si="189"/>
        <v>0</v>
      </c>
      <c r="Y1541" s="13">
        <f t="shared" ca="1" si="190"/>
        <v>0</v>
      </c>
      <c r="Z1541">
        <f t="shared" ca="1" si="197"/>
        <v>1</v>
      </c>
      <c r="AA1541">
        <f t="shared" ca="1" si="198"/>
        <v>0</v>
      </c>
      <c r="AB1541" s="24">
        <f t="shared" ca="1" si="199"/>
        <v>8.5536892216096269E-2</v>
      </c>
      <c r="AC1541" s="24">
        <f t="shared" ca="1" si="200"/>
        <v>0</v>
      </c>
    </row>
    <row r="1542" spans="3:29" x14ac:dyDescent="0.25">
      <c r="C1542" s="6">
        <v>1535</v>
      </c>
      <c r="D1542" s="37">
        <v>44189</v>
      </c>
      <c r="E1542" s="39">
        <v>14.634</v>
      </c>
      <c r="F1542" s="39">
        <v>1.9666751516350318</v>
      </c>
      <c r="G1542" s="39">
        <v>41.387800931860987</v>
      </c>
      <c r="H1542" s="39">
        <v>64.083128910448991</v>
      </c>
      <c r="I1542" s="10">
        <v>0</v>
      </c>
      <c r="J1542" s="40">
        <v>0</v>
      </c>
      <c r="K1542" s="40">
        <v>0</v>
      </c>
      <c r="L1542" s="40">
        <v>0</v>
      </c>
      <c r="M1542" s="40">
        <v>0</v>
      </c>
      <c r="N1542" s="40">
        <v>0</v>
      </c>
      <c r="O1542" s="40">
        <v>0</v>
      </c>
      <c r="P1542" s="40">
        <v>0</v>
      </c>
      <c r="Q1542" s="40">
        <v>0</v>
      </c>
      <c r="R1542" s="40">
        <v>0</v>
      </c>
      <c r="S1542" s="40">
        <v>0</v>
      </c>
      <c r="T1542" s="29">
        <f t="array" aca="1" ref="T1542" ca="1">+fair_value_gap(OFFSET(S1541,0,0,-1*$I$5,-1*$Z$1),OFFSET(E1541,0,0,-1*$I$5,1),F1542:S1542,0)</f>
        <v>14.715019479822143</v>
      </c>
      <c r="U1542" s="9" cm="1">
        <f t="array" aca="1" ref="U1542" ca="1">z_score_diff(OFFSET(T1542,0,0,$I$5*-1,1),OFFSET(E1542,0,0,$I$5*-1,1))</f>
        <v>8.1323795310217661E-2</v>
      </c>
      <c r="V1542" s="9">
        <f t="shared" ca="1" si="196"/>
        <v>-6.4352665511206331E-2</v>
      </c>
      <c r="W1542" s="17">
        <f t="shared" ca="1" si="188"/>
        <v>6.5780574398218161E-2</v>
      </c>
      <c r="X1542" s="13">
        <f t="shared" ca="1" si="189"/>
        <v>0</v>
      </c>
      <c r="Y1542" s="13">
        <f t="shared" ca="1" si="190"/>
        <v>0</v>
      </c>
      <c r="Z1542">
        <f t="shared" ca="1" si="197"/>
        <v>1</v>
      </c>
      <c r="AA1542">
        <f t="shared" ca="1" si="198"/>
        <v>0</v>
      </c>
      <c r="AB1542" s="24">
        <f t="shared" ca="1" si="199"/>
        <v>6.5780574398218161E-2</v>
      </c>
      <c r="AC1542" s="24">
        <f t="shared" ca="1" si="200"/>
        <v>0</v>
      </c>
    </row>
    <row r="1543" spans="3:29" x14ac:dyDescent="0.25">
      <c r="C1543" s="6">
        <v>1536</v>
      </c>
      <c r="D1543" s="37">
        <v>44193</v>
      </c>
      <c r="E1543" s="39">
        <v>15.114000000000001</v>
      </c>
      <c r="F1543" s="39">
        <v>1.9121635296498687</v>
      </c>
      <c r="G1543" s="39">
        <v>40.911702822634389</v>
      </c>
      <c r="H1543" s="39">
        <v>65.16899413074276</v>
      </c>
      <c r="I1543" s="10">
        <v>0</v>
      </c>
      <c r="J1543" s="40">
        <v>0</v>
      </c>
      <c r="K1543" s="40">
        <v>0</v>
      </c>
      <c r="L1543" s="40">
        <v>0</v>
      </c>
      <c r="M1543" s="40">
        <v>0</v>
      </c>
      <c r="N1543" s="40">
        <v>0</v>
      </c>
      <c r="O1543" s="40">
        <v>0</v>
      </c>
      <c r="P1543" s="40">
        <v>0</v>
      </c>
      <c r="Q1543" s="40">
        <v>0</v>
      </c>
      <c r="R1543" s="40">
        <v>0</v>
      </c>
      <c r="S1543" s="40">
        <v>0</v>
      </c>
      <c r="T1543" s="29">
        <f t="array" aca="1" ref="T1543" ca="1">+fair_value_gap(OFFSET(S1542,0,0,-1*$I$5,-1*$Z$1),OFFSET(E1542,0,0,-1*$I$5,1),F1543:S1543,0)</f>
        <v>14.601816128624908</v>
      </c>
      <c r="U1543" s="9" cm="1">
        <f t="array" aca="1" ref="U1543" ca="1">z_score_diff(OFFSET(T1543,0,0,$I$5*-1,1),OFFSET(E1543,0,0,$I$5*-1,1))</f>
        <v>-0.51509523035311267</v>
      </c>
      <c r="V1543" s="9">
        <f t="shared" ca="1" si="196"/>
        <v>-7.8264852771670973E-2</v>
      </c>
      <c r="W1543" s="17">
        <f t="shared" ref="W1543:W1606" ca="1" si="201">+LN(OFFSET(E1543,$W$3,0,1,1)/E1543)</f>
        <v>3.2354327376001447E-2</v>
      </c>
      <c r="X1543" s="13">
        <f t="shared" ca="1" si="189"/>
        <v>0</v>
      </c>
      <c r="Y1543" s="13">
        <f t="shared" ca="1" si="190"/>
        <v>0</v>
      </c>
      <c r="Z1543">
        <f t="shared" ca="1" si="197"/>
        <v>1</v>
      </c>
      <c r="AA1543">
        <f t="shared" ca="1" si="198"/>
        <v>0</v>
      </c>
      <c r="AB1543" s="24">
        <f t="shared" ca="1" si="199"/>
        <v>3.2354327376001447E-2</v>
      </c>
      <c r="AC1543" s="24">
        <f t="shared" ca="1" si="200"/>
        <v>0</v>
      </c>
    </row>
    <row r="1544" spans="3:29" x14ac:dyDescent="0.25">
      <c r="C1544" s="6">
        <v>1537</v>
      </c>
      <c r="D1544" s="37">
        <v>44194</v>
      </c>
      <c r="E1544" s="39">
        <v>14.558</v>
      </c>
      <c r="F1544" s="39">
        <v>1.9270479318905469</v>
      </c>
      <c r="G1544" s="39">
        <v>41.055776173877113</v>
      </c>
      <c r="H1544" s="39">
        <v>65.189048239895683</v>
      </c>
      <c r="I1544" s="10">
        <v>0</v>
      </c>
      <c r="J1544" s="40">
        <v>0</v>
      </c>
      <c r="K1544" s="40">
        <v>0</v>
      </c>
      <c r="L1544" s="40">
        <v>0</v>
      </c>
      <c r="M1544" s="40">
        <v>0</v>
      </c>
      <c r="N1544" s="40">
        <v>0</v>
      </c>
      <c r="O1544" s="40">
        <v>0</v>
      </c>
      <c r="P1544" s="40">
        <v>0</v>
      </c>
      <c r="Q1544" s="40">
        <v>0</v>
      </c>
      <c r="R1544" s="40">
        <v>0</v>
      </c>
      <c r="S1544" s="40">
        <v>0</v>
      </c>
      <c r="T1544" s="29">
        <f t="array" aca="1" ref="T1544" ca="1">+fair_value_gap(OFFSET(S1543,0,0,-1*$I$5,-1*$Z$1),OFFSET(E1543,0,0,-1*$I$5,1),F1544:S1544,0)</f>
        <v>14.684593910506468</v>
      </c>
      <c r="U1544" s="9" cm="1">
        <f t="array" aca="1" ref="U1544" ca="1">z_score_diff(OFFSET(T1544,0,0,$I$5*-1,1),OFFSET(E1544,0,0,$I$5*-1,1))</f>
        <v>0.13329335581768037</v>
      </c>
      <c r="V1544" s="9">
        <f t="shared" ca="1" si="196"/>
        <v>-7.2773404620297452E-2</v>
      </c>
      <c r="W1544" s="17">
        <f t="shared" ca="1" si="201"/>
        <v>6.9514784998503332E-2</v>
      </c>
      <c r="X1544" s="13">
        <f t="shared" ca="1" si="189"/>
        <v>0</v>
      </c>
      <c r="Y1544" s="13">
        <f t="shared" ca="1" si="190"/>
        <v>0</v>
      </c>
      <c r="Z1544">
        <f t="shared" ca="1" si="197"/>
        <v>1</v>
      </c>
      <c r="AA1544">
        <f t="shared" ca="1" si="198"/>
        <v>0</v>
      </c>
      <c r="AB1544" s="24">
        <f t="shared" ca="1" si="199"/>
        <v>6.9514784998503332E-2</v>
      </c>
      <c r="AC1544" s="24">
        <f t="shared" ca="1" si="200"/>
        <v>0</v>
      </c>
    </row>
    <row r="1545" spans="3:29" x14ac:dyDescent="0.25">
      <c r="C1545" s="6">
        <v>1538</v>
      </c>
      <c r="D1545" s="37">
        <v>44195</v>
      </c>
      <c r="E1545" s="39">
        <v>14.666</v>
      </c>
      <c r="F1545" s="39">
        <v>1.9536225594786052</v>
      </c>
      <c r="G1545" s="39">
        <v>41.090293200825101</v>
      </c>
      <c r="H1545" s="39">
        <v>62.522350936830719</v>
      </c>
      <c r="I1545" s="10">
        <v>0</v>
      </c>
      <c r="J1545" s="40">
        <v>0</v>
      </c>
      <c r="K1545" s="40">
        <v>0</v>
      </c>
      <c r="L1545" s="40">
        <v>0</v>
      </c>
      <c r="M1545" s="40">
        <v>0</v>
      </c>
      <c r="N1545" s="40">
        <v>0</v>
      </c>
      <c r="O1545" s="40">
        <v>0</v>
      </c>
      <c r="P1545" s="40">
        <v>0</v>
      </c>
      <c r="Q1545" s="40">
        <v>0</v>
      </c>
      <c r="R1545" s="40">
        <v>0</v>
      </c>
      <c r="S1545" s="40">
        <v>0</v>
      </c>
      <c r="T1545" s="29">
        <f t="array" aca="1" ref="T1545" ca="1">+fair_value_gap(OFFSET(S1544,0,0,-1*$I$5,-1*$Z$1),OFFSET(E1544,0,0,-1*$I$5,1),F1545:S1545,0)</f>
        <v>14.596621694695392</v>
      </c>
      <c r="U1545" s="9" cm="1">
        <f t="array" aca="1" ref="U1545" ca="1">z_score_diff(OFFSET(T1545,0,0,$I$5*-1,1),OFFSET(E1545,0,0,$I$5*-1,1))</f>
        <v>-6.5611482509920049E-2</v>
      </c>
      <c r="V1545" s="9">
        <f t="shared" ca="1" si="196"/>
        <v>-7.5642941033335215E-2</v>
      </c>
      <c r="W1545" s="17">
        <f t="shared" ca="1" si="201"/>
        <v>7.2450680178811427E-2</v>
      </c>
      <c r="X1545" s="13">
        <f t="shared" ref="X1545:X1608" ca="1" si="202">+X1544</f>
        <v>0</v>
      </c>
      <c r="Y1545" s="13">
        <f t="shared" ref="Y1545:Y1608" ca="1" si="203">+Y1544</f>
        <v>0</v>
      </c>
      <c r="Z1545">
        <f t="shared" ca="1" si="197"/>
        <v>1</v>
      </c>
      <c r="AA1545">
        <f t="shared" ca="1" si="198"/>
        <v>0</v>
      </c>
      <c r="AB1545" s="24">
        <f t="shared" ca="1" si="199"/>
        <v>7.2450680178811427E-2</v>
      </c>
      <c r="AC1545" s="24">
        <f t="shared" ca="1" si="200"/>
        <v>0</v>
      </c>
    </row>
    <row r="1546" spans="3:29" x14ac:dyDescent="0.25">
      <c r="C1546" s="6">
        <v>1539</v>
      </c>
      <c r="D1546" s="37">
        <v>44196</v>
      </c>
      <c r="E1546" s="39">
        <v>14.927</v>
      </c>
      <c r="F1546" s="39">
        <v>1.9797414281322312</v>
      </c>
      <c r="G1546" s="39">
        <v>41.177855464394703</v>
      </c>
      <c r="H1546" s="39">
        <v>63.510299186097321</v>
      </c>
      <c r="I1546" s="10">
        <v>0</v>
      </c>
      <c r="J1546" s="40">
        <v>0</v>
      </c>
      <c r="K1546" s="40">
        <v>0</v>
      </c>
      <c r="L1546" s="40">
        <v>0</v>
      </c>
      <c r="M1546" s="40">
        <v>0</v>
      </c>
      <c r="N1546" s="40">
        <v>0</v>
      </c>
      <c r="O1546" s="40">
        <v>0</v>
      </c>
      <c r="P1546" s="40">
        <v>0</v>
      </c>
      <c r="Q1546" s="40">
        <v>0</v>
      </c>
      <c r="R1546" s="40">
        <v>0</v>
      </c>
      <c r="S1546" s="40">
        <v>0</v>
      </c>
      <c r="T1546" s="29">
        <f t="array" aca="1" ref="T1546" ca="1">+fair_value_gap(OFFSET(S1545,0,0,-1*$I$5,-1*$Z$1),OFFSET(E1545,0,0,-1*$I$5,1),F1546:S1546,0)</f>
        <v>14.650317309554708</v>
      </c>
      <c r="U1546" s="9" cm="1">
        <f t="array" aca="1" ref="U1546" ca="1">z_score_diff(OFFSET(T1546,0,0,$I$5*-1,1),OFFSET(E1546,0,0,$I$5*-1,1))</f>
        <v>-0.27007621967321782</v>
      </c>
      <c r="V1546" s="9">
        <f t="shared" ca="1" si="196"/>
        <v>-8.36300399826619E-2</v>
      </c>
      <c r="W1546" s="17">
        <f t="shared" ca="1" si="201"/>
        <v>3.9086718780844507E-2</v>
      </c>
      <c r="X1546" s="13">
        <f t="shared" ca="1" si="202"/>
        <v>0</v>
      </c>
      <c r="Y1546" s="13">
        <f t="shared" ca="1" si="203"/>
        <v>0</v>
      </c>
      <c r="Z1546">
        <f t="shared" ca="1" si="197"/>
        <v>1</v>
      </c>
      <c r="AA1546">
        <f t="shared" ca="1" si="198"/>
        <v>0</v>
      </c>
      <c r="AB1546" s="24">
        <f t="shared" ca="1" si="199"/>
        <v>3.9086718780844507E-2</v>
      </c>
      <c r="AC1546" s="24">
        <f t="shared" ca="1" si="200"/>
        <v>0</v>
      </c>
    </row>
    <row r="1547" spans="3:29" x14ac:dyDescent="0.25">
      <c r="C1547" s="6">
        <v>1540</v>
      </c>
      <c r="D1547" s="37">
        <v>44200</v>
      </c>
      <c r="E1547" s="39">
        <v>14.932</v>
      </c>
      <c r="F1547" s="39">
        <v>1.9930055265373809</v>
      </c>
      <c r="G1547" s="39">
        <v>41.15027217243086</v>
      </c>
      <c r="H1547" s="39">
        <v>64.040727967247292</v>
      </c>
      <c r="I1547" s="10">
        <v>1</v>
      </c>
      <c r="J1547" s="40">
        <v>0</v>
      </c>
      <c r="K1547" s="40">
        <v>0</v>
      </c>
      <c r="L1547" s="40">
        <v>0</v>
      </c>
      <c r="M1547" s="40">
        <v>0</v>
      </c>
      <c r="N1547" s="40">
        <v>0</v>
      </c>
      <c r="O1547" s="40">
        <v>0</v>
      </c>
      <c r="P1547" s="40">
        <v>0</v>
      </c>
      <c r="Q1547" s="40">
        <v>0</v>
      </c>
      <c r="R1547" s="40">
        <v>0</v>
      </c>
      <c r="S1547" s="40">
        <v>0</v>
      </c>
      <c r="T1547" s="29">
        <f t="array" aca="1" ref="T1547" ca="1">+fair_value_gap(OFFSET(S1546,0,0,-1*$I$5,-1*$Z$1),OFFSET(E1546,0,0,-1*$I$5,1),F1547:S1547,0)</f>
        <v>14.750864484846964</v>
      </c>
      <c r="U1547" s="9" cm="1">
        <f t="array" aca="1" ref="U1547" ca="1">z_score_diff(OFFSET(T1547,0,0,$I$5*-1,1),OFFSET(E1547,0,0,$I$5*-1,1))</f>
        <v>-0.16677900638671617</v>
      </c>
      <c r="V1547" s="9">
        <f t="shared" ca="1" si="196"/>
        <v>-8.9165729506402808E-2</v>
      </c>
      <c r="W1547" s="17">
        <f t="shared" ca="1" si="201"/>
        <v>2.4019416550529391E-2</v>
      </c>
      <c r="X1547" s="13">
        <f t="shared" ca="1" si="202"/>
        <v>0</v>
      </c>
      <c r="Y1547" s="13">
        <f t="shared" ca="1" si="203"/>
        <v>0</v>
      </c>
      <c r="Z1547">
        <f t="shared" ca="1" si="197"/>
        <v>1</v>
      </c>
      <c r="AA1547">
        <f t="shared" ca="1" si="198"/>
        <v>0</v>
      </c>
      <c r="AB1547" s="24">
        <f t="shared" ca="1" si="199"/>
        <v>2.4019416550529391E-2</v>
      </c>
      <c r="AC1547" s="24">
        <f t="shared" ca="1" si="200"/>
        <v>0</v>
      </c>
    </row>
    <row r="1548" spans="3:29" x14ac:dyDescent="0.25">
      <c r="C1548" s="6">
        <v>1541</v>
      </c>
      <c r="D1548" s="37">
        <v>44201</v>
      </c>
      <c r="E1548" s="39">
        <v>14.63</v>
      </c>
      <c r="F1548" s="39">
        <v>2.0149933530970063</v>
      </c>
      <c r="G1548" s="39">
        <v>39.809512088993976</v>
      </c>
      <c r="H1548" s="39">
        <v>63.733016599553878</v>
      </c>
      <c r="I1548" s="10">
        <v>1</v>
      </c>
      <c r="J1548" s="40">
        <v>0</v>
      </c>
      <c r="K1548" s="40">
        <v>0</v>
      </c>
      <c r="L1548" s="40">
        <v>0</v>
      </c>
      <c r="M1548" s="40">
        <v>0</v>
      </c>
      <c r="N1548" s="40">
        <v>0</v>
      </c>
      <c r="O1548" s="40">
        <v>0</v>
      </c>
      <c r="P1548" s="40">
        <v>0</v>
      </c>
      <c r="Q1548" s="40">
        <v>0</v>
      </c>
      <c r="R1548" s="40">
        <v>0</v>
      </c>
      <c r="S1548" s="40">
        <v>0</v>
      </c>
      <c r="T1548" s="29">
        <f t="array" aca="1" ref="T1548" ca="1">+fair_value_gap(OFFSET(S1547,0,0,-1*$I$5,-1*$Z$1),OFFSET(E1547,0,0,-1*$I$5,1),F1548:S1548,0)</f>
        <v>14.306603043894095</v>
      </c>
      <c r="U1548" s="9" cm="1">
        <f t="array" aca="1" ref="U1548" ca="1">z_score_diff(OFFSET(T1548,0,0,$I$5*-1,1),OFFSET(E1548,0,0,$I$5*-1,1))</f>
        <v>-0.32806325834860628</v>
      </c>
      <c r="V1548" s="9">
        <f t="shared" ca="1" si="196"/>
        <v>-9.8232846185074815E-2</v>
      </c>
      <c r="W1548" s="17">
        <f t="shared" ca="1" si="201"/>
        <v>5.6733017683368581E-2</v>
      </c>
      <c r="X1548" s="13">
        <f t="shared" ca="1" si="202"/>
        <v>0</v>
      </c>
      <c r="Y1548" s="13">
        <f t="shared" ca="1" si="203"/>
        <v>0</v>
      </c>
      <c r="Z1548">
        <f t="shared" ca="1" si="197"/>
        <v>1</v>
      </c>
      <c r="AA1548">
        <f t="shared" ca="1" si="198"/>
        <v>0</v>
      </c>
      <c r="AB1548" s="24">
        <f t="shared" ca="1" si="199"/>
        <v>5.6733017683368581E-2</v>
      </c>
      <c r="AC1548" s="24">
        <f t="shared" ca="1" si="200"/>
        <v>0</v>
      </c>
    </row>
    <row r="1549" spans="3:29" x14ac:dyDescent="0.25">
      <c r="C1549" s="6">
        <v>1542</v>
      </c>
      <c r="D1549" s="37">
        <v>44202</v>
      </c>
      <c r="E1549" s="39">
        <v>14.489000000000001</v>
      </c>
      <c r="F1549" s="39">
        <v>2.0126304382500777</v>
      </c>
      <c r="G1549" s="39">
        <v>39.737115275958885</v>
      </c>
      <c r="H1549" s="39">
        <v>62.839596319715682</v>
      </c>
      <c r="I1549" s="10">
        <v>1</v>
      </c>
      <c r="J1549" s="40">
        <v>0</v>
      </c>
      <c r="K1549" s="40">
        <v>0</v>
      </c>
      <c r="L1549" s="40">
        <v>0</v>
      </c>
      <c r="M1549" s="40">
        <v>0</v>
      </c>
      <c r="N1549" s="40">
        <v>0</v>
      </c>
      <c r="O1549" s="40">
        <v>0</v>
      </c>
      <c r="P1549" s="40">
        <v>0</v>
      </c>
      <c r="Q1549" s="40">
        <v>0</v>
      </c>
      <c r="R1549" s="40">
        <v>0</v>
      </c>
      <c r="S1549" s="40">
        <v>0</v>
      </c>
      <c r="T1549" s="29">
        <f t="array" aca="1" ref="T1549" ca="1">+fair_value_gap(OFFSET(S1548,0,0,-1*$I$5,-1*$Z$1),OFFSET(E1548,0,0,-1*$I$5,1),F1549:S1549,0)</f>
        <v>14.277947016498416</v>
      </c>
      <c r="U1549" s="9" cm="1">
        <f t="array" aca="1" ref="U1549" ca="1">z_score_diff(OFFSET(T1549,0,0,$I$5*-1,1),OFFSET(E1549,0,0,$I$5*-1,1))</f>
        <v>-0.2137070781820832</v>
      </c>
      <c r="V1549" s="9">
        <f t="shared" ca="1" si="196"/>
        <v>-0.10317299744665941</v>
      </c>
      <c r="W1549" s="17">
        <f t="shared" ca="1" si="201"/>
        <v>7.7783804645711538E-2</v>
      </c>
      <c r="X1549" s="13">
        <f t="shared" ca="1" si="202"/>
        <v>0</v>
      </c>
      <c r="Y1549" s="13">
        <f t="shared" ca="1" si="203"/>
        <v>0</v>
      </c>
      <c r="Z1549">
        <f t="shared" ca="1" si="197"/>
        <v>1</v>
      </c>
      <c r="AA1549">
        <f t="shared" ca="1" si="198"/>
        <v>0</v>
      </c>
      <c r="AB1549" s="24">
        <f t="shared" ca="1" si="199"/>
        <v>7.7783804645711538E-2</v>
      </c>
      <c r="AC1549" s="24">
        <f t="shared" ca="1" si="200"/>
        <v>0</v>
      </c>
    </row>
    <row r="1550" spans="3:29" x14ac:dyDescent="0.25">
      <c r="C1550" s="6">
        <v>1543</v>
      </c>
      <c r="D1550" s="37">
        <v>44203</v>
      </c>
      <c r="E1550" s="39">
        <v>14.875999999999999</v>
      </c>
      <c r="F1550" s="39">
        <v>2.0160138296134322</v>
      </c>
      <c r="G1550" s="39">
        <v>40.398856462336624</v>
      </c>
      <c r="H1550" s="39">
        <v>64.383675197235362</v>
      </c>
      <c r="I1550" s="10">
        <v>1</v>
      </c>
      <c r="J1550" s="40">
        <v>0</v>
      </c>
      <c r="K1550" s="40">
        <v>0</v>
      </c>
      <c r="L1550" s="40">
        <v>0</v>
      </c>
      <c r="M1550" s="40">
        <v>0</v>
      </c>
      <c r="N1550" s="40">
        <v>0</v>
      </c>
      <c r="O1550" s="40">
        <v>0</v>
      </c>
      <c r="P1550" s="40">
        <v>0</v>
      </c>
      <c r="Q1550" s="40">
        <v>0</v>
      </c>
      <c r="R1550" s="40">
        <v>0</v>
      </c>
      <c r="S1550" s="40">
        <v>0</v>
      </c>
      <c r="T1550" s="29">
        <f t="array" aca="1" ref="T1550" ca="1">+fair_value_gap(OFFSET(S1549,0,0,-1*$I$5,-1*$Z$1),OFFSET(E1549,0,0,-1*$I$5,1),F1550:S1550,0)</f>
        <v>14.55783891461278</v>
      </c>
      <c r="U1550" s="9" cm="1">
        <f t="array" aca="1" ref="U1550" ca="1">z_score_diff(OFFSET(T1550,0,0,$I$5*-1,1),OFFSET(E1550,0,0,$I$5*-1,1))</f>
        <v>-0.30782168770145196</v>
      </c>
      <c r="V1550" s="9">
        <f t="shared" ca="1" si="196"/>
        <v>-0.10836130599649671</v>
      </c>
      <c r="W1550" s="17">
        <f t="shared" ca="1" si="201"/>
        <v>3.6694099540604437E-2</v>
      </c>
      <c r="X1550" s="13">
        <f t="shared" ca="1" si="202"/>
        <v>0</v>
      </c>
      <c r="Y1550" s="13">
        <f t="shared" ca="1" si="203"/>
        <v>0</v>
      </c>
      <c r="Z1550">
        <f t="shared" ca="1" si="197"/>
        <v>1</v>
      </c>
      <c r="AA1550">
        <f t="shared" ca="1" si="198"/>
        <v>0</v>
      </c>
      <c r="AB1550" s="24">
        <f t="shared" ca="1" si="199"/>
        <v>3.6694099540604437E-2</v>
      </c>
      <c r="AC1550" s="24">
        <f t="shared" ca="1" si="200"/>
        <v>0</v>
      </c>
    </row>
    <row r="1551" spans="3:29" x14ac:dyDescent="0.25">
      <c r="C1551" s="6">
        <v>1544</v>
      </c>
      <c r="D1551" s="37">
        <v>44204</v>
      </c>
      <c r="E1551" s="39">
        <v>15.103999999999999</v>
      </c>
      <c r="F1551" s="39">
        <v>2.0234879823569307</v>
      </c>
      <c r="G1551" s="39">
        <v>40.786552210527709</v>
      </c>
      <c r="H1551" s="39">
        <v>64.633585373326653</v>
      </c>
      <c r="I1551" s="10">
        <v>1</v>
      </c>
      <c r="J1551" s="40">
        <v>0</v>
      </c>
      <c r="K1551" s="40">
        <v>0</v>
      </c>
      <c r="L1551" s="40">
        <v>0</v>
      </c>
      <c r="M1551" s="40">
        <v>0</v>
      </c>
      <c r="N1551" s="40">
        <v>0</v>
      </c>
      <c r="O1551" s="40">
        <v>0</v>
      </c>
      <c r="P1551" s="40">
        <v>0</v>
      </c>
      <c r="Q1551" s="40">
        <v>0</v>
      </c>
      <c r="R1551" s="40">
        <v>0</v>
      </c>
      <c r="S1551" s="40">
        <v>0</v>
      </c>
      <c r="T1551" s="29">
        <f t="array" aca="1" ref="T1551" ca="1">+fair_value_gap(OFFSET(S1550,0,0,-1*$I$5,-1*$Z$1),OFFSET(E1550,0,0,-1*$I$5,1),F1551:S1551,0)</f>
        <v>14.710348231266344</v>
      </c>
      <c r="U1551" s="9" cm="1">
        <f t="array" aca="1" ref="U1551" ca="1">z_score_diff(OFFSET(T1551,0,0,$I$5*-1,1),OFFSET(E1551,0,0,$I$5*-1,1))</f>
        <v>-0.3736073554840037</v>
      </c>
      <c r="V1551" s="9">
        <f t="shared" ca="1" si="196"/>
        <v>-0.11739712422314325</v>
      </c>
      <c r="W1551" s="17">
        <f t="shared" ca="1" si="201"/>
        <v>2.3425791495138258E-2</v>
      </c>
      <c r="X1551" s="13">
        <f t="shared" ca="1" si="202"/>
        <v>0</v>
      </c>
      <c r="Y1551" s="13">
        <f t="shared" ca="1" si="203"/>
        <v>0</v>
      </c>
      <c r="Z1551">
        <f t="shared" ca="1" si="197"/>
        <v>1</v>
      </c>
      <c r="AA1551">
        <f t="shared" ca="1" si="198"/>
        <v>0</v>
      </c>
      <c r="AB1551" s="24">
        <f t="shared" ca="1" si="199"/>
        <v>2.3425791495138258E-2</v>
      </c>
      <c r="AC1551" s="24">
        <f t="shared" ca="1" si="200"/>
        <v>0</v>
      </c>
    </row>
    <row r="1552" spans="3:29" x14ac:dyDescent="0.25">
      <c r="C1552" s="6">
        <v>1545</v>
      </c>
      <c r="D1552" s="37">
        <v>44207</v>
      </c>
      <c r="E1552" s="39">
        <v>15.15</v>
      </c>
      <c r="F1552" s="39">
        <v>2.0308873596758379</v>
      </c>
      <c r="G1552" s="39">
        <v>41.109821794934021</v>
      </c>
      <c r="H1552" s="39">
        <v>64.94777776243329</v>
      </c>
      <c r="I1552" s="10">
        <v>1</v>
      </c>
      <c r="J1552" s="40">
        <v>0</v>
      </c>
      <c r="K1552" s="40">
        <v>0</v>
      </c>
      <c r="L1552" s="40">
        <v>0</v>
      </c>
      <c r="M1552" s="40">
        <v>0</v>
      </c>
      <c r="N1552" s="40">
        <v>0</v>
      </c>
      <c r="O1552" s="40">
        <v>0</v>
      </c>
      <c r="P1552" s="40">
        <v>0</v>
      </c>
      <c r="Q1552" s="40">
        <v>0</v>
      </c>
      <c r="R1552" s="40">
        <v>0</v>
      </c>
      <c r="S1552" s="40">
        <v>0</v>
      </c>
      <c r="T1552" s="29">
        <f t="array" aca="1" ref="T1552" ca="1">+fair_value_gap(OFFSET(S1551,0,0,-1*$I$5,-1*$Z$1),OFFSET(E1551,0,0,-1*$I$5,1),F1552:S1552,0)</f>
        <v>14.861405077902448</v>
      </c>
      <c r="U1552" s="9" cm="1">
        <f t="array" aca="1" ref="U1552" ca="1">z_score_diff(OFFSET(T1552,0,0,$I$5*-1,1),OFFSET(E1552,0,0,$I$5*-1,1))</f>
        <v>-0.25743427890284643</v>
      </c>
      <c r="V1552" s="9">
        <f t="shared" ca="1" si="196"/>
        <v>-0.12101080913331756</v>
      </c>
      <c r="W1552" s="17">
        <f t="shared" ca="1" si="201"/>
        <v>2.7216993488270978E-2</v>
      </c>
      <c r="X1552" s="13">
        <f t="shared" ca="1" si="202"/>
        <v>0</v>
      </c>
      <c r="Y1552" s="13">
        <f t="shared" ca="1" si="203"/>
        <v>0</v>
      </c>
      <c r="Z1552">
        <f t="shared" ca="1" si="197"/>
        <v>1</v>
      </c>
      <c r="AA1552">
        <f t="shared" ca="1" si="198"/>
        <v>0</v>
      </c>
      <c r="AB1552" s="24">
        <f t="shared" ca="1" si="199"/>
        <v>2.7216993488270978E-2</v>
      </c>
      <c r="AC1552" s="24">
        <f t="shared" ca="1" si="200"/>
        <v>0</v>
      </c>
    </row>
    <row r="1553" spans="3:29" x14ac:dyDescent="0.25">
      <c r="C1553" s="6">
        <v>1546</v>
      </c>
      <c r="D1553" s="37">
        <v>44208</v>
      </c>
      <c r="E1553" s="39">
        <v>15.465999999999999</v>
      </c>
      <c r="F1553" s="39">
        <v>2.0397380785359842</v>
      </c>
      <c r="G1553" s="39">
        <v>41.814113123437657</v>
      </c>
      <c r="H1553" s="39">
        <v>66.507921481815913</v>
      </c>
      <c r="I1553" s="10">
        <v>1</v>
      </c>
      <c r="J1553" s="40">
        <v>0</v>
      </c>
      <c r="K1553" s="40">
        <v>0</v>
      </c>
      <c r="L1553" s="40">
        <v>0</v>
      </c>
      <c r="M1553" s="40">
        <v>0</v>
      </c>
      <c r="N1553" s="40">
        <v>0</v>
      </c>
      <c r="O1553" s="40">
        <v>0</v>
      </c>
      <c r="P1553" s="40">
        <v>0</v>
      </c>
      <c r="Q1553" s="40">
        <v>0</v>
      </c>
      <c r="R1553" s="40">
        <v>0</v>
      </c>
      <c r="S1553" s="40">
        <v>0</v>
      </c>
      <c r="T1553" s="29">
        <f t="array" aca="1" ref="T1553" ca="1">+fair_value_gap(OFFSET(S1552,0,0,-1*$I$5,-1*$Z$1),OFFSET(E1552,0,0,-1*$I$5,1),F1553:S1553,0)</f>
        <v>15.166483648173106</v>
      </c>
      <c r="U1553" s="9" cm="1">
        <f t="array" aca="1" ref="U1553" ca="1">z_score_diff(OFFSET(T1553,0,0,$I$5*-1,1),OFFSET(E1553,0,0,$I$5*-1,1))</f>
        <v>-0.25063219441827678</v>
      </c>
      <c r="V1553" s="9">
        <f t="shared" ca="1" si="196"/>
        <v>-0.12419015645825084</v>
      </c>
      <c r="W1553" s="17">
        <f t="shared" ca="1" si="201"/>
        <v>2.2604717863135963E-3</v>
      </c>
      <c r="X1553" s="13">
        <f t="shared" ca="1" si="202"/>
        <v>0</v>
      </c>
      <c r="Y1553" s="13">
        <f t="shared" ca="1" si="203"/>
        <v>0</v>
      </c>
      <c r="Z1553">
        <f t="shared" ca="1" si="197"/>
        <v>1</v>
      </c>
      <c r="AA1553">
        <f t="shared" ca="1" si="198"/>
        <v>0</v>
      </c>
      <c r="AB1553" s="24">
        <f t="shared" ca="1" si="199"/>
        <v>2.2604717863135963E-3</v>
      </c>
      <c r="AC1553" s="24">
        <f t="shared" ca="1" si="200"/>
        <v>0</v>
      </c>
    </row>
    <row r="1554" spans="3:29" x14ac:dyDescent="0.25">
      <c r="C1554" s="6">
        <v>1547</v>
      </c>
      <c r="D1554" s="37">
        <v>44209</v>
      </c>
      <c r="E1554" s="39">
        <v>15.023999999999999</v>
      </c>
      <c r="F1554" s="39">
        <v>2.0738646748467748</v>
      </c>
      <c r="G1554" s="39">
        <v>39.986919438870629</v>
      </c>
      <c r="H1554" s="39">
        <v>66.16383774628666</v>
      </c>
      <c r="I1554" s="10">
        <v>1</v>
      </c>
      <c r="J1554" s="40">
        <v>0</v>
      </c>
      <c r="K1554" s="40">
        <v>0</v>
      </c>
      <c r="L1554" s="40">
        <v>0</v>
      </c>
      <c r="M1554" s="40">
        <v>0</v>
      </c>
      <c r="N1554" s="40">
        <v>0</v>
      </c>
      <c r="O1554" s="40">
        <v>0</v>
      </c>
      <c r="P1554" s="40">
        <v>0</v>
      </c>
      <c r="Q1554" s="40">
        <v>0</v>
      </c>
      <c r="R1554" s="40">
        <v>0</v>
      </c>
      <c r="S1554" s="40">
        <v>0</v>
      </c>
      <c r="T1554" s="29">
        <f t="array" aca="1" ref="T1554" ca="1">+fair_value_gap(OFFSET(S1553,0,0,-1*$I$5,-1*$Z$1),OFFSET(E1553,0,0,-1*$I$5,1),F1554:S1554,0)</f>
        <v>14.566078668655935</v>
      </c>
      <c r="U1554" s="9" cm="1">
        <f t="array" aca="1" ref="U1554" ca="1">z_score_diff(OFFSET(T1554,0,0,$I$5*-1,1),OFFSET(E1554,0,0,$I$5*-1,1))</f>
        <v>-0.43595175361932809</v>
      </c>
      <c r="V1554" s="9">
        <f t="shared" ca="1" si="196"/>
        <v>-0.1326968818406708</v>
      </c>
      <c r="W1554" s="17">
        <f t="shared" ca="1" si="201"/>
        <v>2.1075595675175439E-2</v>
      </c>
      <c r="X1554" s="13">
        <f t="shared" ca="1" si="202"/>
        <v>0</v>
      </c>
      <c r="Y1554" s="13">
        <f t="shared" ca="1" si="203"/>
        <v>0</v>
      </c>
      <c r="Z1554">
        <f t="shared" ca="1" si="197"/>
        <v>1</v>
      </c>
      <c r="AA1554">
        <f t="shared" ca="1" si="198"/>
        <v>0</v>
      </c>
      <c r="AB1554" s="24">
        <f t="shared" ca="1" si="199"/>
        <v>2.1075595675175439E-2</v>
      </c>
      <c r="AC1554" s="24">
        <f t="shared" ca="1" si="200"/>
        <v>0</v>
      </c>
    </row>
    <row r="1555" spans="3:29" x14ac:dyDescent="0.25">
      <c r="C1555" s="6">
        <v>1548</v>
      </c>
      <c r="D1555" s="37">
        <v>44210</v>
      </c>
      <c r="E1555" s="39">
        <v>15.16</v>
      </c>
      <c r="F1555" s="39">
        <v>2.0726987723808019</v>
      </c>
      <c r="G1555" s="39">
        <v>41.258547609795755</v>
      </c>
      <c r="H1555" s="39">
        <v>65.096711052633722</v>
      </c>
      <c r="I1555" s="10">
        <v>1</v>
      </c>
      <c r="J1555" s="40">
        <v>0</v>
      </c>
      <c r="K1555" s="40">
        <v>0</v>
      </c>
      <c r="L1555" s="40">
        <v>0</v>
      </c>
      <c r="M1555" s="40">
        <v>0</v>
      </c>
      <c r="N1555" s="40">
        <v>0</v>
      </c>
      <c r="O1555" s="40">
        <v>0</v>
      </c>
      <c r="P1555" s="40">
        <v>0</v>
      </c>
      <c r="Q1555" s="40">
        <v>0</v>
      </c>
      <c r="R1555" s="40">
        <v>0</v>
      </c>
      <c r="S1555" s="40">
        <v>0</v>
      </c>
      <c r="T1555" s="29">
        <f t="array" aca="1" ref="T1555" ca="1">+fair_value_gap(OFFSET(S1554,0,0,-1*$I$5,-1*$Z$1),OFFSET(E1554,0,0,-1*$I$5,1),F1555:S1555,0)</f>
        <v>14.988519518002487</v>
      </c>
      <c r="U1555" s="9" cm="1">
        <f t="array" aca="1" ref="U1555" ca="1">z_score_diff(OFFSET(T1555,0,0,$I$5*-1,1),OFFSET(E1555,0,0,$I$5*-1,1))</f>
        <v>-0.12596206231799245</v>
      </c>
      <c r="V1555" s="9">
        <f t="shared" ca="1" si="196"/>
        <v>-0.13178384481368063</v>
      </c>
      <c r="W1555" s="17">
        <f t="shared" ca="1" si="201"/>
        <v>2.404886337282653E-2</v>
      </c>
      <c r="X1555" s="13">
        <f t="shared" ca="1" si="202"/>
        <v>0</v>
      </c>
      <c r="Y1555" s="13">
        <f t="shared" ca="1" si="203"/>
        <v>0</v>
      </c>
      <c r="Z1555">
        <f t="shared" ca="1" si="197"/>
        <v>1</v>
      </c>
      <c r="AA1555">
        <f t="shared" ca="1" si="198"/>
        <v>0</v>
      </c>
      <c r="AB1555" s="24">
        <f t="shared" ca="1" si="199"/>
        <v>2.404886337282653E-2</v>
      </c>
      <c r="AC1555" s="24">
        <f t="shared" ca="1" si="200"/>
        <v>0</v>
      </c>
    </row>
    <row r="1556" spans="3:29" x14ac:dyDescent="0.25">
      <c r="C1556" s="6">
        <v>1549</v>
      </c>
      <c r="D1556" s="37">
        <v>44211</v>
      </c>
      <c r="E1556" s="39">
        <v>14.933999999999999</v>
      </c>
      <c r="F1556" s="39">
        <v>2.0823808172322327</v>
      </c>
      <c r="G1556" s="39">
        <v>40.716857716396881</v>
      </c>
      <c r="H1556" s="39">
        <v>65.064176752091171</v>
      </c>
      <c r="I1556" s="10">
        <v>1</v>
      </c>
      <c r="J1556" s="40">
        <v>0</v>
      </c>
      <c r="K1556" s="40">
        <v>0</v>
      </c>
      <c r="L1556" s="40">
        <v>0</v>
      </c>
      <c r="M1556" s="40">
        <v>0</v>
      </c>
      <c r="N1556" s="40">
        <v>0</v>
      </c>
      <c r="O1556" s="40">
        <v>0</v>
      </c>
      <c r="P1556" s="40">
        <v>0</v>
      </c>
      <c r="Q1556" s="40">
        <v>0</v>
      </c>
      <c r="R1556" s="40">
        <v>0</v>
      </c>
      <c r="S1556" s="40">
        <v>0</v>
      </c>
      <c r="T1556" s="29">
        <f t="array" aca="1" ref="T1556" ca="1">+fair_value_gap(OFFSET(S1555,0,0,-1*$I$5,-1*$Z$1),OFFSET(E1555,0,0,-1*$I$5,1),F1556:S1556,0)</f>
        <v>14.82586233447612</v>
      </c>
      <c r="U1556" s="9" cm="1">
        <f t="array" aca="1" ref="U1556" ca="1">z_score_diff(OFFSET(T1556,0,0,$I$5*-1,1),OFFSET(E1556,0,0,$I$5*-1,1))</f>
        <v>-6.9718977309301877E-2</v>
      </c>
      <c r="V1556" s="9">
        <f t="shared" ca="1" si="196"/>
        <v>-0.13434457319086585</v>
      </c>
      <c r="W1556" s="17">
        <f t="shared" ca="1" si="201"/>
        <v>5.9150387146160277E-2</v>
      </c>
      <c r="X1556" s="13">
        <f t="shared" ca="1" si="202"/>
        <v>0</v>
      </c>
      <c r="Y1556" s="13">
        <f t="shared" ca="1" si="203"/>
        <v>0</v>
      </c>
      <c r="Z1556">
        <f t="shared" ca="1" si="197"/>
        <v>1</v>
      </c>
      <c r="AA1556">
        <f t="shared" ca="1" si="198"/>
        <v>0</v>
      </c>
      <c r="AB1556" s="24">
        <f t="shared" ca="1" si="199"/>
        <v>5.9150387146160277E-2</v>
      </c>
      <c r="AC1556" s="24">
        <f t="shared" ca="1" si="200"/>
        <v>0</v>
      </c>
    </row>
    <row r="1557" spans="3:29" x14ac:dyDescent="0.25">
      <c r="C1557" s="6">
        <v>1550</v>
      </c>
      <c r="D1557" s="37">
        <v>44214</v>
      </c>
      <c r="E1557" s="39">
        <v>14.9</v>
      </c>
      <c r="F1557" s="39">
        <v>2.0819482980113548</v>
      </c>
      <c r="G1557" s="39">
        <v>40.172963517460346</v>
      </c>
      <c r="H1557" s="39">
        <v>63.742289799679938</v>
      </c>
      <c r="I1557" s="10">
        <v>1</v>
      </c>
      <c r="J1557" s="40">
        <v>0</v>
      </c>
      <c r="K1557" s="40">
        <v>0</v>
      </c>
      <c r="L1557" s="40">
        <v>0</v>
      </c>
      <c r="M1557" s="40">
        <v>0</v>
      </c>
      <c r="N1557" s="40">
        <v>0</v>
      </c>
      <c r="O1557" s="40">
        <v>0</v>
      </c>
      <c r="P1557" s="40">
        <v>0</v>
      </c>
      <c r="Q1557" s="40">
        <v>0</v>
      </c>
      <c r="R1557" s="40">
        <v>0</v>
      </c>
      <c r="S1557" s="40">
        <v>0</v>
      </c>
      <c r="T1557" s="29">
        <f t="array" aca="1" ref="T1557" ca="1">+fair_value_gap(OFFSET(S1556,0,0,-1*$I$5,-1*$Z$1),OFFSET(E1556,0,0,-1*$I$5,1),F1557:S1557,0)</f>
        <v>14.627289860212196</v>
      </c>
      <c r="U1557" s="9" cm="1">
        <f t="array" aca="1" ref="U1557" ca="1">z_score_diff(OFFSET(T1557,0,0,$I$5*-1,1),OFFSET(E1557,0,0,$I$5*-1,1))</f>
        <v>-0.24262457691395922</v>
      </c>
      <c r="V1557" s="9">
        <f t="shared" ca="1" si="196"/>
        <v>-0.14201419133708712</v>
      </c>
      <c r="W1557" s="17">
        <f t="shared" ca="1" si="201"/>
        <v>5.7888944849187302E-2</v>
      </c>
      <c r="X1557" s="13">
        <f t="shared" ca="1" si="202"/>
        <v>0</v>
      </c>
      <c r="Y1557" s="13">
        <f t="shared" ca="1" si="203"/>
        <v>0</v>
      </c>
      <c r="Z1557">
        <f t="shared" ca="1" si="197"/>
        <v>1</v>
      </c>
      <c r="AA1557">
        <f t="shared" ca="1" si="198"/>
        <v>0</v>
      </c>
      <c r="AB1557" s="24">
        <f t="shared" ca="1" si="199"/>
        <v>5.7888944849187302E-2</v>
      </c>
      <c r="AC1557" s="24">
        <f t="shared" ca="1" si="200"/>
        <v>0</v>
      </c>
    </row>
    <row r="1558" spans="3:29" x14ac:dyDescent="0.25">
      <c r="C1558" s="6">
        <v>1551</v>
      </c>
      <c r="D1558" s="37">
        <v>44215</v>
      </c>
      <c r="E1558" s="39">
        <v>15.4</v>
      </c>
      <c r="F1558" s="39">
        <v>2.0524349824327555</v>
      </c>
      <c r="G1558" s="39">
        <v>41.564344996330924</v>
      </c>
      <c r="H1558" s="39">
        <v>63.751110444006294</v>
      </c>
      <c r="I1558" s="10">
        <v>1</v>
      </c>
      <c r="J1558" s="40">
        <v>0</v>
      </c>
      <c r="K1558" s="40">
        <v>0</v>
      </c>
      <c r="L1558" s="40">
        <v>0</v>
      </c>
      <c r="M1558" s="40">
        <v>0</v>
      </c>
      <c r="N1558" s="40">
        <v>0</v>
      </c>
      <c r="O1558" s="40">
        <v>0</v>
      </c>
      <c r="P1558" s="40">
        <v>0</v>
      </c>
      <c r="Q1558" s="40">
        <v>0</v>
      </c>
      <c r="R1558" s="40">
        <v>0</v>
      </c>
      <c r="S1558" s="40">
        <v>0</v>
      </c>
      <c r="T1558" s="29">
        <f t="array" aca="1" ref="T1558" ca="1">+fair_value_gap(OFFSET(S1557,0,0,-1*$I$5,-1*$Z$1),OFFSET(E1557,0,0,-1*$I$5,1),F1558:S1558,0)</f>
        <v>15.137226533232996</v>
      </c>
      <c r="U1558" s="9" cm="1">
        <f t="array" aca="1" ref="U1558" ca="1">z_score_diff(OFFSET(T1558,0,0,$I$5*-1,1),OFFSET(E1558,0,0,$I$5*-1,1))</f>
        <v>-0.20467927456223678</v>
      </c>
      <c r="V1558" s="9">
        <f t="shared" ca="1" si="196"/>
        <v>-0.14793766858925456</v>
      </c>
      <c r="W1558" s="17">
        <f t="shared" ca="1" si="201"/>
        <v>4.3457479615444161E-2</v>
      </c>
      <c r="X1558" s="13">
        <f t="shared" ca="1" si="202"/>
        <v>0</v>
      </c>
      <c r="Y1558" s="13">
        <f t="shared" ca="1" si="203"/>
        <v>0</v>
      </c>
      <c r="Z1558">
        <f t="shared" ca="1" si="197"/>
        <v>1</v>
      </c>
      <c r="AA1558">
        <f t="shared" ca="1" si="198"/>
        <v>0</v>
      </c>
      <c r="AB1558" s="24">
        <f t="shared" ca="1" si="199"/>
        <v>4.3457479615444161E-2</v>
      </c>
      <c r="AC1558" s="24">
        <f t="shared" ca="1" si="200"/>
        <v>0</v>
      </c>
    </row>
    <row r="1559" spans="3:29" x14ac:dyDescent="0.25">
      <c r="C1559" s="6">
        <v>1552</v>
      </c>
      <c r="D1559" s="37">
        <v>44216</v>
      </c>
      <c r="E1559" s="39">
        <v>15.442</v>
      </c>
      <c r="F1559" s="39">
        <v>2.0557184678851184</v>
      </c>
      <c r="G1559" s="39">
        <v>41.700037136299166</v>
      </c>
      <c r="H1559" s="39">
        <v>63.812246558755064</v>
      </c>
      <c r="I1559" s="10">
        <v>1</v>
      </c>
      <c r="J1559" s="40">
        <v>0</v>
      </c>
      <c r="K1559" s="40">
        <v>0</v>
      </c>
      <c r="L1559" s="40">
        <v>0</v>
      </c>
      <c r="M1559" s="40">
        <v>0</v>
      </c>
      <c r="N1559" s="40">
        <v>0</v>
      </c>
      <c r="O1559" s="40">
        <v>0</v>
      </c>
      <c r="P1559" s="40">
        <v>0</v>
      </c>
      <c r="Q1559" s="40">
        <v>0</v>
      </c>
      <c r="R1559" s="40">
        <v>0</v>
      </c>
      <c r="S1559" s="40">
        <v>0</v>
      </c>
      <c r="T1559" s="29">
        <f t="array" aca="1" ref="T1559" ca="1">+fair_value_gap(OFFSET(S1558,0,0,-1*$I$5,-1*$Z$1),OFFSET(E1558,0,0,-1*$I$5,1),F1559:S1559,0)</f>
        <v>15.227976826580004</v>
      </c>
      <c r="U1559" s="9" cm="1">
        <f t="array" aca="1" ref="U1559" ca="1">z_score_diff(OFFSET(T1559,0,0,$I$5*-1,1),OFFSET(E1559,0,0,$I$5*-1,1))</f>
        <v>-0.15005792390148298</v>
      </c>
      <c r="V1559" s="9">
        <f t="shared" ca="1" si="196"/>
        <v>-0.14921748758076447</v>
      </c>
      <c r="W1559" s="17">
        <f t="shared" ca="1" si="201"/>
        <v>6.1835252672438688E-2</v>
      </c>
      <c r="X1559" s="13">
        <f t="shared" ca="1" si="202"/>
        <v>0</v>
      </c>
      <c r="Y1559" s="13">
        <f t="shared" ca="1" si="203"/>
        <v>0</v>
      </c>
      <c r="Z1559">
        <f t="shared" ca="1" si="197"/>
        <v>1</v>
      </c>
      <c r="AA1559">
        <f t="shared" ca="1" si="198"/>
        <v>0</v>
      </c>
      <c r="AB1559" s="24">
        <f t="shared" ca="1" si="199"/>
        <v>6.1835252672438688E-2</v>
      </c>
      <c r="AC1559" s="24">
        <f t="shared" ca="1" si="200"/>
        <v>0</v>
      </c>
    </row>
    <row r="1560" spans="3:29" x14ac:dyDescent="0.25">
      <c r="C1560" s="6">
        <v>1553</v>
      </c>
      <c r="D1560" s="37">
        <v>44217</v>
      </c>
      <c r="E1560" s="39">
        <v>15.46</v>
      </c>
      <c r="F1560" s="39">
        <v>2.0331309404529727</v>
      </c>
      <c r="G1560" s="39">
        <v>41.662471331878955</v>
      </c>
      <c r="H1560" s="39">
        <v>62.601595650528822</v>
      </c>
      <c r="I1560" s="10">
        <v>1</v>
      </c>
      <c r="J1560" s="40">
        <v>0</v>
      </c>
      <c r="K1560" s="40">
        <v>0</v>
      </c>
      <c r="L1560" s="40">
        <v>0</v>
      </c>
      <c r="M1560" s="40">
        <v>0</v>
      </c>
      <c r="N1560" s="40">
        <v>0</v>
      </c>
      <c r="O1560" s="40">
        <v>0</v>
      </c>
      <c r="P1560" s="40">
        <v>0</v>
      </c>
      <c r="Q1560" s="40">
        <v>0</v>
      </c>
      <c r="R1560" s="40">
        <v>0</v>
      </c>
      <c r="S1560" s="40">
        <v>0</v>
      </c>
      <c r="T1560" s="29">
        <f t="array" aca="1" ref="T1560" ca="1">+fair_value_gap(OFFSET(S1559,0,0,-1*$I$5,-1*$Z$1),OFFSET(E1559,0,0,-1*$I$5,1),F1560:S1560,0)</f>
        <v>15.233096442148307</v>
      </c>
      <c r="U1560" s="9" cm="1">
        <f t="array" aca="1" ref="U1560" ca="1">z_score_diff(OFFSET(T1560,0,0,$I$5*-1,1),OFFSET(E1560,0,0,$I$5*-1,1))</f>
        <v>-0.1609277120564776</v>
      </c>
      <c r="V1560" s="9">
        <f t="shared" ca="1" si="196"/>
        <v>-0.14288794341260841</v>
      </c>
      <c r="W1560" s="17">
        <f t="shared" ca="1" si="201"/>
        <v>7.3673577318962125E-2</v>
      </c>
      <c r="X1560" s="13">
        <f t="shared" ca="1" si="202"/>
        <v>0</v>
      </c>
      <c r="Y1560" s="13">
        <f t="shared" ca="1" si="203"/>
        <v>0</v>
      </c>
      <c r="Z1560">
        <f t="shared" ca="1" si="197"/>
        <v>1</v>
      </c>
      <c r="AA1560">
        <f t="shared" ca="1" si="198"/>
        <v>0</v>
      </c>
      <c r="AB1560" s="24">
        <f t="shared" ca="1" si="199"/>
        <v>7.3673577318962125E-2</v>
      </c>
      <c r="AC1560" s="24">
        <f t="shared" ca="1" si="200"/>
        <v>0</v>
      </c>
    </row>
    <row r="1561" spans="3:29" x14ac:dyDescent="0.25">
      <c r="C1561" s="6">
        <v>1554</v>
      </c>
      <c r="D1561" s="37">
        <v>44218</v>
      </c>
      <c r="E1561" s="39">
        <v>15.435</v>
      </c>
      <c r="F1561" s="39">
        <v>2.0349521498088428</v>
      </c>
      <c r="G1561" s="39">
        <v>41.91035419822483</v>
      </c>
      <c r="H1561" s="39">
        <v>61.811570086933941</v>
      </c>
      <c r="I1561" s="10">
        <v>1</v>
      </c>
      <c r="J1561" s="40">
        <v>0</v>
      </c>
      <c r="K1561" s="40">
        <v>0</v>
      </c>
      <c r="L1561" s="40">
        <v>0</v>
      </c>
      <c r="M1561" s="40">
        <v>0</v>
      </c>
      <c r="N1561" s="40">
        <v>0</v>
      </c>
      <c r="O1561" s="40">
        <v>0</v>
      </c>
      <c r="P1561" s="40">
        <v>0</v>
      </c>
      <c r="Q1561" s="40">
        <v>0</v>
      </c>
      <c r="R1561" s="40">
        <v>0</v>
      </c>
      <c r="S1561" s="40">
        <v>0</v>
      </c>
      <c r="T1561" s="29">
        <f t="array" aca="1" ref="T1561" ca="1">+fair_value_gap(OFFSET(S1560,0,0,-1*$I$5,-1*$Z$1),OFFSET(E1560,0,0,-1*$I$5,1),F1561:S1561,0)</f>
        <v>15.338340826448928</v>
      </c>
      <c r="U1561" s="9" cm="1">
        <f t="array" aca="1" ref="U1561" ca="1">z_score_diff(OFFSET(T1561,0,0,$I$5*-1,1),OFFSET(E1561,0,0,$I$5*-1,1))</f>
        <v>-2.5994161820090289E-2</v>
      </c>
      <c r="V1561" s="9">
        <f t="shared" ca="1" si="196"/>
        <v>-0.13709545136727408</v>
      </c>
      <c r="W1561" s="17">
        <f t="shared" ca="1" si="201"/>
        <v>8.6822394658915211E-2</v>
      </c>
      <c r="X1561" s="13">
        <f t="shared" ca="1" si="202"/>
        <v>0</v>
      </c>
      <c r="Y1561" s="13">
        <f t="shared" ca="1" si="203"/>
        <v>0</v>
      </c>
      <c r="Z1561">
        <f t="shared" ca="1" si="197"/>
        <v>1</v>
      </c>
      <c r="AA1561">
        <f t="shared" ca="1" si="198"/>
        <v>0</v>
      </c>
      <c r="AB1561" s="24">
        <f t="shared" ca="1" si="199"/>
        <v>8.6822394658915211E-2</v>
      </c>
      <c r="AC1561" s="24">
        <f t="shared" ca="1" si="200"/>
        <v>0</v>
      </c>
    </row>
    <row r="1562" spans="3:29" x14ac:dyDescent="0.25">
      <c r="C1562" s="6">
        <v>1555</v>
      </c>
      <c r="D1562" s="37">
        <v>44221</v>
      </c>
      <c r="E1562" s="39">
        <v>15.239000000000001</v>
      </c>
      <c r="F1562" s="39">
        <v>2.0518377860328587</v>
      </c>
      <c r="G1562" s="39">
        <v>41.291747786746697</v>
      </c>
      <c r="H1562" s="39">
        <v>61.628355389369169</v>
      </c>
      <c r="I1562" s="10">
        <v>1</v>
      </c>
      <c r="J1562" s="40">
        <v>0</v>
      </c>
      <c r="K1562" s="40">
        <v>0</v>
      </c>
      <c r="L1562" s="40">
        <v>0</v>
      </c>
      <c r="M1562" s="40">
        <v>0</v>
      </c>
      <c r="N1562" s="40">
        <v>0</v>
      </c>
      <c r="O1562" s="40">
        <v>0</v>
      </c>
      <c r="P1562" s="40">
        <v>0</v>
      </c>
      <c r="Q1562" s="40">
        <v>0</v>
      </c>
      <c r="R1562" s="40">
        <v>0</v>
      </c>
      <c r="S1562" s="40">
        <v>0</v>
      </c>
      <c r="T1562" s="29">
        <f t="array" aca="1" ref="T1562" ca="1">+fair_value_gap(OFFSET(S1561,0,0,-1*$I$5,-1*$Z$1),OFFSET(E1561,0,0,-1*$I$5,1),F1562:S1562,0)</f>
        <v>15.13411985096633</v>
      </c>
      <c r="U1562" s="9" cm="1">
        <f t="array" aca="1" ref="U1562" ca="1">z_score_diff(OFFSET(T1562,0,0,$I$5*-1,1),OFFSET(E1562,0,0,$I$5*-1,1))</f>
        <v>-4.3044209139706524E-2</v>
      </c>
      <c r="V1562" s="9">
        <f t="shared" ca="1" si="196"/>
        <v>-0.13169128064417041</v>
      </c>
      <c r="W1562" s="17">
        <f t="shared" ca="1" si="201"/>
        <v>9.0052660493963668E-2</v>
      </c>
      <c r="X1562" s="13">
        <f t="shared" ca="1" si="202"/>
        <v>0</v>
      </c>
      <c r="Y1562" s="13">
        <f t="shared" ca="1" si="203"/>
        <v>0</v>
      </c>
      <c r="Z1562">
        <f t="shared" ca="1" si="197"/>
        <v>1</v>
      </c>
      <c r="AA1562">
        <f t="shared" ca="1" si="198"/>
        <v>0</v>
      </c>
      <c r="AB1562" s="24">
        <f t="shared" ca="1" si="199"/>
        <v>9.0052660493963668E-2</v>
      </c>
      <c r="AC1562" s="24">
        <f t="shared" ca="1" si="200"/>
        <v>0</v>
      </c>
    </row>
    <row r="1563" spans="3:29" x14ac:dyDescent="0.25">
      <c r="C1563" s="6">
        <v>1556</v>
      </c>
      <c r="D1563" s="37">
        <v>44222</v>
      </c>
      <c r="E1563" s="39">
        <v>15.242000000000001</v>
      </c>
      <c r="F1563" s="39">
        <v>2.0541166364773766</v>
      </c>
      <c r="G1563" s="39">
        <v>41.045398426910204</v>
      </c>
      <c r="H1563" s="39">
        <v>62.070046189207687</v>
      </c>
      <c r="I1563" s="10">
        <v>1</v>
      </c>
      <c r="J1563" s="40">
        <v>0</v>
      </c>
      <c r="K1563" s="40">
        <v>0</v>
      </c>
      <c r="L1563" s="40">
        <v>0</v>
      </c>
      <c r="M1563" s="40">
        <v>0</v>
      </c>
      <c r="N1563" s="40">
        <v>0</v>
      </c>
      <c r="O1563" s="40">
        <v>0</v>
      </c>
      <c r="P1563" s="40">
        <v>0</v>
      </c>
      <c r="Q1563" s="40">
        <v>0</v>
      </c>
      <c r="R1563" s="40">
        <v>0</v>
      </c>
      <c r="S1563" s="40">
        <v>0</v>
      </c>
      <c r="T1563" s="29">
        <f t="array" aca="1" ref="T1563" ca="1">+fair_value_gap(OFFSET(S1562,0,0,-1*$I$5,-1*$Z$1),OFFSET(E1562,0,0,-1*$I$5,1),F1563:S1563,0)</f>
        <v>15.074013590499074</v>
      </c>
      <c r="U1563" s="9" cm="1">
        <f t="array" aca="1" ref="U1563" ca="1">z_score_diff(OFFSET(T1563,0,0,$I$5*-1,1),OFFSET(E1563,0,0,$I$5*-1,1))</f>
        <v>-0.10683075127441077</v>
      </c>
      <c r="V1563" s="9">
        <f t="shared" ca="1" si="196"/>
        <v>-0.13270693218054982</v>
      </c>
      <c r="W1563" s="17">
        <f t="shared" ca="1" si="201"/>
        <v>8.1364091586557996E-2</v>
      </c>
      <c r="X1563" s="13">
        <f t="shared" ca="1" si="202"/>
        <v>0</v>
      </c>
      <c r="Y1563" s="13">
        <f t="shared" ca="1" si="203"/>
        <v>0</v>
      </c>
      <c r="Z1563">
        <f t="shared" ca="1" si="197"/>
        <v>1</v>
      </c>
      <c r="AA1563">
        <f t="shared" ca="1" si="198"/>
        <v>0</v>
      </c>
      <c r="AB1563" s="24">
        <f t="shared" ca="1" si="199"/>
        <v>8.1364091586557996E-2</v>
      </c>
      <c r="AC1563" s="24">
        <f t="shared" ca="1" si="200"/>
        <v>0</v>
      </c>
    </row>
    <row r="1564" spans="3:29" x14ac:dyDescent="0.25">
      <c r="C1564" s="6">
        <v>1557</v>
      </c>
      <c r="D1564" s="37">
        <v>44223</v>
      </c>
      <c r="E1564" s="39">
        <v>15.34</v>
      </c>
      <c r="F1564" s="39">
        <v>2.0699610964758461</v>
      </c>
      <c r="G1564" s="39">
        <v>41.086226203807385</v>
      </c>
      <c r="H1564" s="39">
        <v>63.2895906566295</v>
      </c>
      <c r="I1564" s="10">
        <v>1</v>
      </c>
      <c r="J1564" s="40">
        <v>0</v>
      </c>
      <c r="K1564" s="40">
        <v>0</v>
      </c>
      <c r="L1564" s="40">
        <v>0</v>
      </c>
      <c r="M1564" s="40">
        <v>0</v>
      </c>
      <c r="N1564" s="40">
        <v>0</v>
      </c>
      <c r="O1564" s="40">
        <v>0</v>
      </c>
      <c r="P1564" s="40">
        <v>0</v>
      </c>
      <c r="Q1564" s="40">
        <v>0</v>
      </c>
      <c r="R1564" s="40">
        <v>0</v>
      </c>
      <c r="S1564" s="40">
        <v>0</v>
      </c>
      <c r="T1564" s="29">
        <f t="array" aca="1" ref="T1564" ca="1">+fair_value_gap(OFFSET(S1563,0,0,-1*$I$5,-1*$Z$1),OFFSET(E1563,0,0,-1*$I$5,1),F1564:S1564,0)</f>
        <v>15.128690656215687</v>
      </c>
      <c r="U1564" s="9" cm="1">
        <f t="array" aca="1" ref="U1564" ca="1">z_score_diff(OFFSET(T1564,0,0,$I$5*-1,1),OFFSET(E1564,0,0,$I$5*-1,1))</f>
        <v>-0.14590657565515208</v>
      </c>
      <c r="V1564" s="9">
        <f t="shared" ca="1" si="196"/>
        <v>-0.13476656032057491</v>
      </c>
      <c r="W1564" s="17">
        <f t="shared" ca="1" si="201"/>
        <v>8.0804627748892827E-2</v>
      </c>
      <c r="X1564" s="13">
        <f t="shared" ca="1" si="202"/>
        <v>0</v>
      </c>
      <c r="Y1564" s="13">
        <f t="shared" ca="1" si="203"/>
        <v>0</v>
      </c>
      <c r="Z1564">
        <f t="shared" ca="1" si="197"/>
        <v>1</v>
      </c>
      <c r="AA1564">
        <f t="shared" ca="1" si="198"/>
        <v>0</v>
      </c>
      <c r="AB1564" s="24">
        <f t="shared" ca="1" si="199"/>
        <v>8.0804627748892827E-2</v>
      </c>
      <c r="AC1564" s="24">
        <f t="shared" ca="1" si="200"/>
        <v>0</v>
      </c>
    </row>
    <row r="1565" spans="3:29" x14ac:dyDescent="0.25">
      <c r="C1565" s="6">
        <v>1558</v>
      </c>
      <c r="D1565" s="37">
        <v>44224</v>
      </c>
      <c r="E1565" s="39">
        <v>15.523</v>
      </c>
      <c r="F1565" s="39">
        <v>2.0598396453946939</v>
      </c>
      <c r="G1565" s="39">
        <v>41.958104737035235</v>
      </c>
      <c r="H1565" s="39">
        <v>63.432957434326312</v>
      </c>
      <c r="I1565" s="10">
        <v>1</v>
      </c>
      <c r="J1565" s="40">
        <v>0</v>
      </c>
      <c r="K1565" s="40">
        <v>0</v>
      </c>
      <c r="L1565" s="40">
        <v>0</v>
      </c>
      <c r="M1565" s="40">
        <v>0</v>
      </c>
      <c r="N1565" s="40">
        <v>0</v>
      </c>
      <c r="O1565" s="40">
        <v>0</v>
      </c>
      <c r="P1565" s="40">
        <v>0</v>
      </c>
      <c r="Q1565" s="40">
        <v>0</v>
      </c>
      <c r="R1565" s="40">
        <v>0</v>
      </c>
      <c r="S1565" s="40">
        <v>0</v>
      </c>
      <c r="T1565" s="29">
        <f t="array" aca="1" ref="T1565" ca="1">+fair_value_gap(OFFSET(S1564,0,0,-1*$I$5,-1*$Z$1),OFFSET(E1564,0,0,-1*$I$5,1),F1565:S1565,0)</f>
        <v>15.432989492942845</v>
      </c>
      <c r="U1565" s="9" cm="1">
        <f t="array" aca="1" ref="U1565" ca="1">z_score_diff(OFFSET(T1565,0,0,$I$5*-1,1),OFFSET(E1565,0,0,$I$5*-1,1))</f>
        <v>-1.0917508278069032E-2</v>
      </c>
      <c r="V1565" s="9">
        <f t="shared" ca="1" si="196"/>
        <v>-0.13126915619143895</v>
      </c>
      <c r="W1565" s="17">
        <f t="shared" ca="1" si="201"/>
        <v>6.4184145398935605E-2</v>
      </c>
      <c r="X1565" s="13">
        <f t="shared" ca="1" si="202"/>
        <v>0</v>
      </c>
      <c r="Y1565" s="13">
        <f t="shared" ca="1" si="203"/>
        <v>0</v>
      </c>
      <c r="Z1565">
        <f t="shared" ca="1" si="197"/>
        <v>1</v>
      </c>
      <c r="AA1565">
        <f t="shared" ca="1" si="198"/>
        <v>0</v>
      </c>
      <c r="AB1565" s="24">
        <f t="shared" ca="1" si="199"/>
        <v>6.4184145398935605E-2</v>
      </c>
      <c r="AC1565" s="24">
        <f t="shared" ca="1" si="200"/>
        <v>0</v>
      </c>
    </row>
    <row r="1566" spans="3:29" x14ac:dyDescent="0.25">
      <c r="C1566" s="6">
        <v>1559</v>
      </c>
      <c r="D1566" s="37">
        <v>44225</v>
      </c>
      <c r="E1566" s="39">
        <v>15.412000000000001</v>
      </c>
      <c r="F1566" s="39">
        <v>2.0481406710246324</v>
      </c>
      <c r="G1566" s="39">
        <v>41.711013296714491</v>
      </c>
      <c r="H1566" s="39">
        <v>63.235834236605449</v>
      </c>
      <c r="I1566" s="10">
        <v>1</v>
      </c>
      <c r="J1566" s="40">
        <v>0</v>
      </c>
      <c r="K1566" s="40">
        <v>0</v>
      </c>
      <c r="L1566" s="40">
        <v>0</v>
      </c>
      <c r="M1566" s="40">
        <v>0</v>
      </c>
      <c r="N1566" s="40">
        <v>0</v>
      </c>
      <c r="O1566" s="40">
        <v>0</v>
      </c>
      <c r="P1566" s="40">
        <v>0</v>
      </c>
      <c r="Q1566" s="40">
        <v>0</v>
      </c>
      <c r="R1566" s="40">
        <v>0</v>
      </c>
      <c r="S1566" s="40">
        <v>0</v>
      </c>
      <c r="T1566" s="29">
        <f t="array" aca="1" ref="T1566" ca="1">+fair_value_gap(OFFSET(S1565,0,0,-1*$I$5,-1*$Z$1),OFFSET(E1565,0,0,-1*$I$5,1),F1566:S1566,0)</f>
        <v>15.355000760488021</v>
      </c>
      <c r="U1566" s="9" cm="1">
        <f t="array" aca="1" ref="U1566" ca="1">z_score_diff(OFFSET(T1566,0,0,$I$5*-1,1),OFFSET(E1566,0,0,$I$5*-1,1))</f>
        <v>1.8217206480193093E-2</v>
      </c>
      <c r="V1566" s="9">
        <f t="shared" ca="1" si="196"/>
        <v>-0.12790652426044424</v>
      </c>
      <c r="W1566" s="17">
        <f t="shared" ca="1" si="201"/>
        <v>5.846966266794567E-2</v>
      </c>
      <c r="X1566" s="13">
        <f t="shared" ca="1" si="202"/>
        <v>0</v>
      </c>
      <c r="Y1566" s="13">
        <f t="shared" ca="1" si="203"/>
        <v>0</v>
      </c>
      <c r="Z1566">
        <f t="shared" ca="1" si="197"/>
        <v>1</v>
      </c>
      <c r="AA1566">
        <f t="shared" ca="1" si="198"/>
        <v>0</v>
      </c>
      <c r="AB1566" s="24">
        <f t="shared" ca="1" si="199"/>
        <v>5.846966266794567E-2</v>
      </c>
      <c r="AC1566" s="24">
        <f t="shared" ca="1" si="200"/>
        <v>0</v>
      </c>
    </row>
    <row r="1567" spans="3:29" x14ac:dyDescent="0.25">
      <c r="C1567" s="6">
        <v>1560</v>
      </c>
      <c r="D1567" s="37">
        <v>44228</v>
      </c>
      <c r="E1567" s="39">
        <v>15.308</v>
      </c>
      <c r="F1567" s="39">
        <v>2.0895654424701924</v>
      </c>
      <c r="G1567" s="39">
        <v>41.403194345718354</v>
      </c>
      <c r="H1567" s="39">
        <v>61.679450340260871</v>
      </c>
      <c r="I1567" s="10">
        <v>0</v>
      </c>
      <c r="J1567" s="40">
        <v>1</v>
      </c>
      <c r="K1567" s="40">
        <v>0</v>
      </c>
      <c r="L1567" s="40">
        <v>0</v>
      </c>
      <c r="M1567" s="40">
        <v>0</v>
      </c>
      <c r="N1567" s="40">
        <v>0</v>
      </c>
      <c r="O1567" s="40">
        <v>0</v>
      </c>
      <c r="P1567" s="40">
        <v>0</v>
      </c>
      <c r="Q1567" s="40">
        <v>0</v>
      </c>
      <c r="R1567" s="40">
        <v>0</v>
      </c>
      <c r="S1567" s="40">
        <v>0</v>
      </c>
      <c r="T1567" s="29">
        <f t="array" aca="1" ref="T1567" ca="1">+fair_value_gap(OFFSET(S1566,0,0,-1*$I$5,-1*$Z$1),OFFSET(E1566,0,0,-1*$I$5,1),F1567:S1567,0)</f>
        <v>14.578233168848076</v>
      </c>
      <c r="U1567" s="9" cm="1">
        <f t="array" aca="1" ref="U1567" ca="1">z_score_diff(OFFSET(T1567,0,0,$I$5*-1,1),OFFSET(E1567,0,0,$I$5*-1,1))</f>
        <v>-0.67941070171681828</v>
      </c>
      <c r="V1567" s="9">
        <f t="shared" ca="1" si="196"/>
        <v>-0.14733229236376261</v>
      </c>
      <c r="W1567" s="17">
        <f t="shared" ca="1" si="201"/>
        <v>8.9843570188885363E-2</v>
      </c>
      <c r="X1567" s="13">
        <f t="shared" ca="1" si="202"/>
        <v>0</v>
      </c>
      <c r="Y1567" s="13">
        <f t="shared" ca="1" si="203"/>
        <v>0</v>
      </c>
      <c r="Z1567">
        <f t="shared" ca="1" si="197"/>
        <v>1</v>
      </c>
      <c r="AA1567">
        <f t="shared" ca="1" si="198"/>
        <v>0</v>
      </c>
      <c r="AB1567" s="24">
        <f t="shared" ca="1" si="199"/>
        <v>8.9843570188885363E-2</v>
      </c>
      <c r="AC1567" s="24">
        <f t="shared" ca="1" si="200"/>
        <v>0</v>
      </c>
    </row>
    <row r="1568" spans="3:29" x14ac:dyDescent="0.25">
      <c r="C1568" s="6">
        <v>1561</v>
      </c>
      <c r="D1568" s="37">
        <v>44229</v>
      </c>
      <c r="E1568" s="39">
        <v>15.308999999999999</v>
      </c>
      <c r="F1568" s="39">
        <v>2.074719432959244</v>
      </c>
      <c r="G1568" s="39">
        <v>41.583782100082196</v>
      </c>
      <c r="H1568" s="39">
        <v>61.650915534554052</v>
      </c>
      <c r="I1568" s="10">
        <v>0</v>
      </c>
      <c r="J1568" s="40">
        <v>1</v>
      </c>
      <c r="K1568" s="40">
        <v>0</v>
      </c>
      <c r="L1568" s="40">
        <v>0</v>
      </c>
      <c r="M1568" s="40">
        <v>0</v>
      </c>
      <c r="N1568" s="40">
        <v>0</v>
      </c>
      <c r="O1568" s="40">
        <v>0</v>
      </c>
      <c r="P1568" s="40">
        <v>0</v>
      </c>
      <c r="Q1568" s="40">
        <v>0</v>
      </c>
      <c r="R1568" s="40">
        <v>0</v>
      </c>
      <c r="S1568" s="40">
        <v>0</v>
      </c>
      <c r="T1568" s="29">
        <f t="array" aca="1" ref="T1568" ca="1">+fair_value_gap(OFFSET(S1567,0,0,-1*$I$5,-1*$Z$1),OFFSET(E1567,0,0,-1*$I$5,1),F1568:S1568,0)</f>
        <v>14.700046535522505</v>
      </c>
      <c r="U1568" s="9" cm="1">
        <f t="array" aca="1" ref="U1568" ca="1">z_score_diff(OFFSET(T1568,0,0,$I$5*-1,1),OFFSET(E1568,0,0,$I$5*-1,1))</f>
        <v>-0.54940833351626628</v>
      </c>
      <c r="V1568" s="9">
        <f t="shared" ca="1" si="196"/>
        <v>-0.16162119350892126</v>
      </c>
      <c r="W1568" s="17">
        <f t="shared" ca="1" si="201"/>
        <v>8.9778247002397144E-2</v>
      </c>
      <c r="X1568" s="13">
        <f t="shared" ca="1" si="202"/>
        <v>0</v>
      </c>
      <c r="Y1568" s="13">
        <f t="shared" ca="1" si="203"/>
        <v>0</v>
      </c>
      <c r="Z1568">
        <f t="shared" ca="1" si="197"/>
        <v>1</v>
      </c>
      <c r="AA1568">
        <f t="shared" ca="1" si="198"/>
        <v>0</v>
      </c>
      <c r="AB1568" s="24">
        <f t="shared" ca="1" si="199"/>
        <v>8.9778247002397144E-2</v>
      </c>
      <c r="AC1568" s="24">
        <f t="shared" ca="1" si="200"/>
        <v>0</v>
      </c>
    </row>
    <row r="1569" spans="3:29" x14ac:dyDescent="0.25">
      <c r="C1569" s="6">
        <v>1562</v>
      </c>
      <c r="D1569" s="37">
        <v>44230</v>
      </c>
      <c r="E1569" s="39">
        <v>15.64</v>
      </c>
      <c r="F1569" s="39">
        <v>2.0681606665386374</v>
      </c>
      <c r="G1569" s="39">
        <v>42.12618764178702</v>
      </c>
      <c r="H1569" s="39">
        <v>61.224121318961252</v>
      </c>
      <c r="I1569" s="10">
        <v>0</v>
      </c>
      <c r="J1569" s="40">
        <v>1</v>
      </c>
      <c r="K1569" s="40">
        <v>0</v>
      </c>
      <c r="L1569" s="40">
        <v>0</v>
      </c>
      <c r="M1569" s="40">
        <v>0</v>
      </c>
      <c r="N1569" s="40">
        <v>0</v>
      </c>
      <c r="O1569" s="40">
        <v>0</v>
      </c>
      <c r="P1569" s="40">
        <v>0</v>
      </c>
      <c r="Q1569" s="40">
        <v>0</v>
      </c>
      <c r="R1569" s="40">
        <v>0</v>
      </c>
      <c r="S1569" s="40">
        <v>0</v>
      </c>
      <c r="T1569" s="29">
        <f t="array" aca="1" ref="T1569" ca="1">+fair_value_gap(OFFSET(S1568,0,0,-1*$I$5,-1*$Z$1),OFFSET(E1568,0,0,-1*$I$5,1),F1569:S1569,0)</f>
        <v>14.925101632040278</v>
      </c>
      <c r="U1569" s="9" cm="1">
        <f t="array" aca="1" ref="U1569" ca="1">z_score_diff(OFFSET(T1569,0,0,$I$5*-1,1),OFFSET(E1569,0,0,$I$5*-1,1))</f>
        <v>-0.63613937854853286</v>
      </c>
      <c r="V1569" s="9">
        <f t="shared" ca="1" si="196"/>
        <v>-0.17858650407951399</v>
      </c>
      <c r="W1569" s="17">
        <f t="shared" ca="1" si="201"/>
        <v>7.1547151292048264E-2</v>
      </c>
      <c r="X1569" s="13">
        <f t="shared" ca="1" si="202"/>
        <v>0</v>
      </c>
      <c r="Y1569" s="13">
        <f t="shared" ca="1" si="203"/>
        <v>0</v>
      </c>
      <c r="Z1569">
        <f t="shared" ca="1" si="197"/>
        <v>1</v>
      </c>
      <c r="AA1569">
        <f t="shared" ca="1" si="198"/>
        <v>0</v>
      </c>
      <c r="AB1569" s="24">
        <f t="shared" ca="1" si="199"/>
        <v>7.1547151292048264E-2</v>
      </c>
      <c r="AC1569" s="24">
        <f t="shared" ca="1" si="200"/>
        <v>0</v>
      </c>
    </row>
    <row r="1570" spans="3:29" x14ac:dyDescent="0.25">
      <c r="C1570" s="6">
        <v>1563</v>
      </c>
      <c r="D1570" s="37">
        <v>44231</v>
      </c>
      <c r="E1570" s="39">
        <v>15.632</v>
      </c>
      <c r="F1570" s="39">
        <v>2.0941155106521721</v>
      </c>
      <c r="G1570" s="39">
        <v>42.42106728191736</v>
      </c>
      <c r="H1570" s="39">
        <v>62.154867147066838</v>
      </c>
      <c r="I1570" s="10">
        <v>0</v>
      </c>
      <c r="J1570" s="40">
        <v>1</v>
      </c>
      <c r="K1570" s="40">
        <v>0</v>
      </c>
      <c r="L1570" s="40">
        <v>0</v>
      </c>
      <c r="M1570" s="40">
        <v>0</v>
      </c>
      <c r="N1570" s="40">
        <v>0</v>
      </c>
      <c r="O1570" s="40">
        <v>0</v>
      </c>
      <c r="P1570" s="40">
        <v>0</v>
      </c>
      <c r="Q1570" s="40">
        <v>0</v>
      </c>
      <c r="R1570" s="40">
        <v>0</v>
      </c>
      <c r="S1570" s="40">
        <v>0</v>
      </c>
      <c r="T1570" s="29">
        <f t="array" aca="1" ref="T1570" ca="1">+fair_value_gap(OFFSET(S1569,0,0,-1*$I$5,-1*$Z$1),OFFSET(E1569,0,0,-1*$I$5,1),F1570:S1570,0)</f>
        <v>15.104467660071807</v>
      </c>
      <c r="U1570" s="9" cm="1">
        <f t="array" aca="1" ref="U1570" ca="1">z_score_diff(OFFSET(T1570,0,0,$I$5*-1,1),OFFSET(E1570,0,0,$I$5*-1,1))</f>
        <v>-0.43649245314945817</v>
      </c>
      <c r="V1570" s="9">
        <f t="shared" ca="1" si="196"/>
        <v>-0.18762755847338014</v>
      </c>
      <c r="W1570" s="17">
        <f t="shared" ca="1" si="201"/>
        <v>5.8092669655973393E-2</v>
      </c>
      <c r="X1570" s="13">
        <f t="shared" ca="1" si="202"/>
        <v>0</v>
      </c>
      <c r="Y1570" s="13">
        <f t="shared" ca="1" si="203"/>
        <v>0</v>
      </c>
      <c r="Z1570">
        <f t="shared" ca="1" si="197"/>
        <v>1</v>
      </c>
      <c r="AA1570">
        <f t="shared" ca="1" si="198"/>
        <v>0</v>
      </c>
      <c r="AB1570" s="24">
        <f t="shared" ca="1" si="199"/>
        <v>5.8092669655973393E-2</v>
      </c>
      <c r="AC1570" s="24">
        <f t="shared" ca="1" si="200"/>
        <v>0</v>
      </c>
    </row>
    <row r="1571" spans="3:29" x14ac:dyDescent="0.25">
      <c r="C1571" s="6">
        <v>1564</v>
      </c>
      <c r="D1571" s="37">
        <v>44232</v>
      </c>
      <c r="E1571" s="39">
        <v>15.911</v>
      </c>
      <c r="F1571" s="39">
        <v>2.0819427748631858</v>
      </c>
      <c r="G1571" s="39">
        <v>43.010509917252747</v>
      </c>
      <c r="H1571" s="39">
        <v>62.277886471389898</v>
      </c>
      <c r="I1571" s="10">
        <v>0</v>
      </c>
      <c r="J1571" s="40">
        <v>1</v>
      </c>
      <c r="K1571" s="40">
        <v>0</v>
      </c>
      <c r="L1571" s="40">
        <v>0</v>
      </c>
      <c r="M1571" s="40">
        <v>0</v>
      </c>
      <c r="N1571" s="40">
        <v>0</v>
      </c>
      <c r="O1571" s="40">
        <v>0</v>
      </c>
      <c r="P1571" s="40">
        <v>0</v>
      </c>
      <c r="Q1571" s="40">
        <v>0</v>
      </c>
      <c r="R1571" s="40">
        <v>0</v>
      </c>
      <c r="S1571" s="40">
        <v>0</v>
      </c>
      <c r="T1571" s="29">
        <f t="array" aca="1" ref="T1571" ca="1">+fair_value_gap(OFFSET(S1570,0,0,-1*$I$5,-1*$Z$1),OFFSET(E1570,0,0,-1*$I$5,1),F1571:S1571,0)</f>
        <v>15.363871190401452</v>
      </c>
      <c r="U1571" s="9" cm="1">
        <f t="array" aca="1" ref="U1571" ca="1">z_score_diff(OFFSET(T1571,0,0,$I$5*-1,1),OFFSET(E1571,0,0,$I$5*-1,1))</f>
        <v>-0.43439084680465512</v>
      </c>
      <c r="V1571" s="9">
        <f t="shared" ca="1" si="196"/>
        <v>-0.19679089125338653</v>
      </c>
      <c r="W1571" s="17">
        <f t="shared" ca="1" si="201"/>
        <v>4.9295825946342575E-2</v>
      </c>
      <c r="X1571" s="13">
        <f t="shared" ca="1" si="202"/>
        <v>0</v>
      </c>
      <c r="Y1571" s="13">
        <f t="shared" ca="1" si="203"/>
        <v>0</v>
      </c>
      <c r="Z1571">
        <f t="shared" ca="1" si="197"/>
        <v>1</v>
      </c>
      <c r="AA1571">
        <f t="shared" ca="1" si="198"/>
        <v>0</v>
      </c>
      <c r="AB1571" s="24">
        <f t="shared" ca="1" si="199"/>
        <v>4.9295825946342575E-2</v>
      </c>
      <c r="AC1571" s="24">
        <f t="shared" ca="1" si="200"/>
        <v>0</v>
      </c>
    </row>
    <row r="1572" spans="3:29" x14ac:dyDescent="0.25">
      <c r="C1572" s="6">
        <v>1565</v>
      </c>
      <c r="D1572" s="37">
        <v>44235</v>
      </c>
      <c r="E1572" s="39">
        <v>16.332999999999998</v>
      </c>
      <c r="F1572" s="39">
        <v>2.1021683325230205</v>
      </c>
      <c r="G1572" s="39">
        <v>44.75442660014297</v>
      </c>
      <c r="H1572" s="39">
        <v>61.859828661802609</v>
      </c>
      <c r="I1572" s="10">
        <v>0</v>
      </c>
      <c r="J1572" s="40">
        <v>1</v>
      </c>
      <c r="K1572" s="40">
        <v>0</v>
      </c>
      <c r="L1572" s="40">
        <v>0</v>
      </c>
      <c r="M1572" s="40">
        <v>0</v>
      </c>
      <c r="N1572" s="40">
        <v>0</v>
      </c>
      <c r="O1572" s="40">
        <v>0</v>
      </c>
      <c r="P1572" s="40">
        <v>0</v>
      </c>
      <c r="Q1572" s="40">
        <v>0</v>
      </c>
      <c r="R1572" s="40">
        <v>0</v>
      </c>
      <c r="S1572" s="40">
        <v>0</v>
      </c>
      <c r="T1572" s="29">
        <f t="array" aca="1" ref="T1572" ca="1">+fair_value_gap(OFFSET(S1571,0,0,-1*$I$5,-1*$Z$1),OFFSET(E1571,0,0,-1*$I$5,1),F1572:S1572,0)</f>
        <v>16.018179663619623</v>
      </c>
      <c r="U1572" s="9" cm="1">
        <f t="array" aca="1" ref="U1572" ca="1">z_score_diff(OFFSET(T1572,0,0,$I$5*-1,1),OFFSET(E1572,0,0,$I$5*-1,1))</f>
        <v>-0.16556871316342381</v>
      </c>
      <c r="V1572" s="9">
        <f t="shared" ca="1" si="196"/>
        <v>-0.19858012485987531</v>
      </c>
      <c r="W1572" s="17">
        <f t="shared" ca="1" si="201"/>
        <v>1.4888914098332283E-2</v>
      </c>
      <c r="X1572" s="13">
        <f t="shared" ca="1" si="202"/>
        <v>0</v>
      </c>
      <c r="Y1572" s="13">
        <f t="shared" ca="1" si="203"/>
        <v>0</v>
      </c>
      <c r="Z1572">
        <f t="shared" ca="1" si="197"/>
        <v>1</v>
      </c>
      <c r="AA1572">
        <f t="shared" ca="1" si="198"/>
        <v>0</v>
      </c>
      <c r="AB1572" s="24">
        <f t="shared" ca="1" si="199"/>
        <v>1.4888914098332283E-2</v>
      </c>
      <c r="AC1572" s="24">
        <f t="shared" ca="1" si="200"/>
        <v>0</v>
      </c>
    </row>
    <row r="1573" spans="3:29" x14ac:dyDescent="0.25">
      <c r="C1573" s="6">
        <v>1566</v>
      </c>
      <c r="D1573" s="37">
        <v>44236</v>
      </c>
      <c r="E1573" s="39">
        <v>16.209</v>
      </c>
      <c r="F1573" s="39">
        <v>2.0950141922945864</v>
      </c>
      <c r="G1573" s="39">
        <v>44.041126125159892</v>
      </c>
      <c r="H1573" s="39">
        <v>61.953727087310732</v>
      </c>
      <c r="I1573" s="10">
        <v>0</v>
      </c>
      <c r="J1573" s="40">
        <v>1</v>
      </c>
      <c r="K1573" s="40">
        <v>0</v>
      </c>
      <c r="L1573" s="40">
        <v>0</v>
      </c>
      <c r="M1573" s="40">
        <v>0</v>
      </c>
      <c r="N1573" s="40">
        <v>0</v>
      </c>
      <c r="O1573" s="40">
        <v>0</v>
      </c>
      <c r="P1573" s="40">
        <v>0</v>
      </c>
      <c r="Q1573" s="40">
        <v>0</v>
      </c>
      <c r="R1573" s="40">
        <v>0</v>
      </c>
      <c r="S1573" s="40">
        <v>0</v>
      </c>
      <c r="T1573" s="29">
        <f t="array" aca="1" ref="T1573" ca="1">+fair_value_gap(OFFSET(S1572,0,0,-1*$I$5,-1*$Z$1),OFFSET(E1572,0,0,-1*$I$5,1),F1573:S1573,0)</f>
        <v>15.839407661271794</v>
      </c>
      <c r="U1573" s="9" cm="1">
        <f t="array" aca="1" ref="U1573" ca="1">z_score_diff(OFFSET(T1573,0,0,$I$5*-1,1),OFFSET(E1573,0,0,$I$5*-1,1))</f>
        <v>-0.22258200064627998</v>
      </c>
      <c r="V1573" s="9">
        <f t="shared" ca="1" si="196"/>
        <v>-0.20059169386214895</v>
      </c>
      <c r="W1573" s="17">
        <f t="shared" ca="1" si="201"/>
        <v>3.4799825796003887E-2</v>
      </c>
      <c r="X1573" s="13">
        <f t="shared" ca="1" si="202"/>
        <v>0</v>
      </c>
      <c r="Y1573" s="13">
        <f t="shared" ca="1" si="203"/>
        <v>0</v>
      </c>
      <c r="Z1573">
        <f t="shared" ca="1" si="197"/>
        <v>1</v>
      </c>
      <c r="AA1573">
        <f t="shared" ca="1" si="198"/>
        <v>0</v>
      </c>
      <c r="AB1573" s="24">
        <f t="shared" ca="1" si="199"/>
        <v>3.4799825796003887E-2</v>
      </c>
      <c r="AC1573" s="24">
        <f t="shared" ca="1" si="200"/>
        <v>0</v>
      </c>
    </row>
    <row r="1574" spans="3:29" x14ac:dyDescent="0.25">
      <c r="C1574" s="6">
        <v>1567</v>
      </c>
      <c r="D1574" s="37">
        <v>44237</v>
      </c>
      <c r="E1574" s="39">
        <v>16.132999999999999</v>
      </c>
      <c r="F1574" s="39">
        <v>2.0971149375596467</v>
      </c>
      <c r="G1574" s="39">
        <v>44.378246516409433</v>
      </c>
      <c r="H1574" s="39">
        <v>62.358785288383892</v>
      </c>
      <c r="I1574" s="10">
        <v>0</v>
      </c>
      <c r="J1574" s="40">
        <v>1</v>
      </c>
      <c r="K1574" s="40">
        <v>0</v>
      </c>
      <c r="L1574" s="40">
        <v>0</v>
      </c>
      <c r="M1574" s="40">
        <v>0</v>
      </c>
      <c r="N1574" s="40">
        <v>0</v>
      </c>
      <c r="O1574" s="40">
        <v>0</v>
      </c>
      <c r="P1574" s="40">
        <v>0</v>
      </c>
      <c r="Q1574" s="40">
        <v>0</v>
      </c>
      <c r="R1574" s="40">
        <v>0</v>
      </c>
      <c r="S1574" s="40">
        <v>0</v>
      </c>
      <c r="T1574" s="29">
        <f t="array" aca="1" ref="T1574" ca="1">+fair_value_gap(OFFSET(S1573,0,0,-1*$I$5,-1*$Z$1),OFFSET(E1573,0,0,-1*$I$5,1),F1574:S1574,0)</f>
        <v>16.028007153480381</v>
      </c>
      <c r="U1574" s="9" cm="1">
        <f t="array" aca="1" ref="U1574" ca="1">z_score_diff(OFFSET(T1574,0,0,$I$5*-1,1),OFFSET(E1574,0,0,$I$5*-1,1))</f>
        <v>4.2391796942665927E-2</v>
      </c>
      <c r="V1574" s="9">
        <f t="shared" ref="V1574:V1610" ca="1" si="204">+IF(ISERROR(AVERAGE(OFFSET(U1574,0,0,$V$5*-1,1))),"",AVERAGE(OFFSET(U1574,0,0,$V$5*-1,1)))</f>
        <v>-0.20164404115188658</v>
      </c>
      <c r="W1574" s="17">
        <f t="shared" ca="1" si="201"/>
        <v>8.7997481260996338E-2</v>
      </c>
      <c r="X1574" s="13">
        <f t="shared" ca="1" si="202"/>
        <v>0</v>
      </c>
      <c r="Y1574" s="13">
        <f t="shared" ca="1" si="203"/>
        <v>0</v>
      </c>
      <c r="Z1574">
        <f t="shared" ref="Z1574:Z1610" ca="1" si="205">+IF(V1574="","",IF(V1574&lt;X1574,1,0))</f>
        <v>1</v>
      </c>
      <c r="AA1574">
        <f t="shared" ref="AA1574:AA1610" ca="1" si="206">+IF(V1574="","",IF(V1574&gt;Y1574,1,0))</f>
        <v>0</v>
      </c>
      <c r="AB1574" s="24">
        <f t="shared" ref="AB1574:AB1588" ca="1" si="207">+IF(ISERROR(Z1574*W1574),"",Z1574*W1574)</f>
        <v>8.7997481260996338E-2</v>
      </c>
      <c r="AC1574" s="24">
        <f t="shared" ref="AC1574:AC1588" ca="1" si="208">+IF(ISERROR(AA1574*W1574),"",AA1574*W1574)</f>
        <v>0</v>
      </c>
    </row>
    <row r="1575" spans="3:29" x14ac:dyDescent="0.25">
      <c r="C1575" s="6">
        <v>1568</v>
      </c>
      <c r="D1575" s="37">
        <v>44238</v>
      </c>
      <c r="E1575" s="39">
        <v>15.85</v>
      </c>
      <c r="F1575" s="39">
        <v>2.0944037629209888</v>
      </c>
      <c r="G1575" s="39">
        <v>43.768714285553052</v>
      </c>
      <c r="H1575" s="39">
        <v>62.033779286827418</v>
      </c>
      <c r="I1575" s="10">
        <v>0</v>
      </c>
      <c r="J1575" s="40">
        <v>1</v>
      </c>
      <c r="K1575" s="40">
        <v>0</v>
      </c>
      <c r="L1575" s="40">
        <v>0</v>
      </c>
      <c r="M1575" s="40">
        <v>0</v>
      </c>
      <c r="N1575" s="40">
        <v>0</v>
      </c>
      <c r="O1575" s="40">
        <v>0</v>
      </c>
      <c r="P1575" s="40">
        <v>0</v>
      </c>
      <c r="Q1575" s="40">
        <v>0</v>
      </c>
      <c r="R1575" s="40">
        <v>0</v>
      </c>
      <c r="S1575" s="40">
        <v>0</v>
      </c>
      <c r="T1575" s="29">
        <f t="array" aca="1" ref="T1575" ca="1">+fair_value_gap(OFFSET(S1574,0,0,-1*$I$5,-1*$Z$1),OFFSET(E1574,0,0,-1*$I$5,1),F1575:S1575,0)</f>
        <v>15.845512937006411</v>
      </c>
      <c r="U1575" s="9" cm="1">
        <f t="array" aca="1" ref="U1575" ca="1">z_score_diff(OFFSET(T1575,0,0,$I$5*-1,1),OFFSET(E1575,0,0,$I$5*-1,1))</f>
        <v>0.12648741160799681</v>
      </c>
      <c r="V1575" s="9">
        <f t="shared" ca="1" si="204"/>
        <v>-0.20078616968829791</v>
      </c>
      <c r="W1575" s="17">
        <f t="shared" ca="1" si="201"/>
        <v>0.10507025271542485</v>
      </c>
      <c r="X1575" s="13">
        <f t="shared" ca="1" si="202"/>
        <v>0</v>
      </c>
      <c r="Y1575" s="13">
        <f t="shared" ca="1" si="203"/>
        <v>0</v>
      </c>
      <c r="Z1575">
        <f t="shared" ca="1" si="205"/>
        <v>1</v>
      </c>
      <c r="AA1575">
        <f t="shared" ca="1" si="206"/>
        <v>0</v>
      </c>
      <c r="AB1575" s="24">
        <f t="shared" ca="1" si="207"/>
        <v>0.10507025271542485</v>
      </c>
      <c r="AC1575" s="24">
        <f t="shared" ca="1" si="208"/>
        <v>0</v>
      </c>
    </row>
    <row r="1576" spans="3:29" x14ac:dyDescent="0.25">
      <c r="C1576" s="6">
        <v>1569</v>
      </c>
      <c r="D1576" s="37">
        <v>44239</v>
      </c>
      <c r="E1576" s="39">
        <v>15.772</v>
      </c>
      <c r="F1576" s="39">
        <v>2.0874766891641205</v>
      </c>
      <c r="G1576" s="39">
        <v>43.141625495805904</v>
      </c>
      <c r="H1576" s="39">
        <v>62.257361413156481</v>
      </c>
      <c r="I1576" s="10">
        <v>0</v>
      </c>
      <c r="J1576" s="40">
        <v>1</v>
      </c>
      <c r="K1576" s="40">
        <v>0</v>
      </c>
      <c r="L1576" s="40">
        <v>0</v>
      </c>
      <c r="M1576" s="40">
        <v>0</v>
      </c>
      <c r="N1576" s="40">
        <v>0</v>
      </c>
      <c r="O1576" s="40">
        <v>0</v>
      </c>
      <c r="P1576" s="40">
        <v>0</v>
      </c>
      <c r="Q1576" s="40">
        <v>0</v>
      </c>
      <c r="R1576" s="40">
        <v>0</v>
      </c>
      <c r="S1576" s="40">
        <v>0</v>
      </c>
      <c r="T1576" s="29">
        <f t="array" aca="1" ref="T1576" ca="1">+fair_value_gap(OFFSET(S1575,0,0,-1*$I$5,-1*$Z$1),OFFSET(E1575,0,0,-1*$I$5,1),F1576:S1576,0)</f>
        <v>15.661009960992827</v>
      </c>
      <c r="U1576" s="9" cm="1">
        <f t="array" aca="1" ref="U1576" ca="1">z_score_diff(OFFSET(T1576,0,0,$I$5*-1,1),OFFSET(E1576,0,0,$I$5*-1,1))</f>
        <v>1.439647661700838E-2</v>
      </c>
      <c r="V1576" s="9">
        <f t="shared" ca="1" si="204"/>
        <v>-0.20512359038794617</v>
      </c>
      <c r="W1576" s="17">
        <f t="shared" ca="1" si="201"/>
        <v>0.11504589778204587</v>
      </c>
      <c r="X1576" s="13">
        <f t="shared" ca="1" si="202"/>
        <v>0</v>
      </c>
      <c r="Y1576" s="13">
        <f t="shared" ca="1" si="203"/>
        <v>0</v>
      </c>
      <c r="Z1576">
        <f t="shared" ca="1" si="205"/>
        <v>1</v>
      </c>
      <c r="AA1576">
        <f t="shared" ca="1" si="206"/>
        <v>0</v>
      </c>
      <c r="AB1576" s="24">
        <f t="shared" ca="1" si="207"/>
        <v>0.11504589778204587</v>
      </c>
      <c r="AC1576" s="24">
        <f t="shared" ca="1" si="208"/>
        <v>0</v>
      </c>
    </row>
    <row r="1577" spans="3:29" x14ac:dyDescent="0.25">
      <c r="C1577" s="6">
        <v>1570</v>
      </c>
      <c r="D1577" s="37">
        <v>44242</v>
      </c>
      <c r="E1577" s="39">
        <v>15.629</v>
      </c>
      <c r="F1577" s="39">
        <v>2.0854156942194071</v>
      </c>
      <c r="G1577" s="39">
        <v>42.829302106238025</v>
      </c>
      <c r="H1577" s="39">
        <v>62.032970747971817</v>
      </c>
      <c r="I1577" s="10">
        <v>0</v>
      </c>
      <c r="J1577" s="40">
        <v>1</v>
      </c>
      <c r="K1577" s="40">
        <v>0</v>
      </c>
      <c r="L1577" s="40">
        <v>0</v>
      </c>
      <c r="M1577" s="40">
        <v>0</v>
      </c>
      <c r="N1577" s="40">
        <v>0</v>
      </c>
      <c r="O1577" s="40">
        <v>0</v>
      </c>
      <c r="P1577" s="40">
        <v>0</v>
      </c>
      <c r="Q1577" s="40">
        <v>0</v>
      </c>
      <c r="R1577" s="40">
        <v>0</v>
      </c>
      <c r="S1577" s="40">
        <v>0</v>
      </c>
      <c r="T1577" s="29">
        <f t="array" aca="1" ref="T1577" ca="1">+fair_value_gap(OFFSET(S1576,0,0,-1*$I$5,-1*$Z$1),OFFSET(E1576,0,0,-1*$I$5,1),F1577:S1577,0)</f>
        <v>15.583991242650839</v>
      </c>
      <c r="U1577" s="9" cm="1">
        <f t="array" aca="1" ref="U1577" ca="1">z_score_diff(OFFSET(T1577,0,0,$I$5*-1,1),OFFSET(E1577,0,0,$I$5*-1,1))</f>
        <v>7.2169068613195497E-2</v>
      </c>
      <c r="V1577" s="9">
        <f t="shared" ca="1" si="204"/>
        <v>-0.20538515400786109</v>
      </c>
      <c r="W1577" s="17">
        <f t="shared" ca="1" si="201"/>
        <v>0.10992491177868094</v>
      </c>
      <c r="X1577" s="13">
        <f t="shared" ca="1" si="202"/>
        <v>0</v>
      </c>
      <c r="Y1577" s="13">
        <f t="shared" ca="1" si="203"/>
        <v>0</v>
      </c>
      <c r="Z1577">
        <f t="shared" ca="1" si="205"/>
        <v>1</v>
      </c>
      <c r="AA1577">
        <f t="shared" ca="1" si="206"/>
        <v>0</v>
      </c>
      <c r="AB1577" s="24">
        <f t="shared" ca="1" si="207"/>
        <v>0.10992491177868094</v>
      </c>
      <c r="AC1577" s="24">
        <f t="shared" ca="1" si="208"/>
        <v>0</v>
      </c>
    </row>
    <row r="1578" spans="3:29" x14ac:dyDescent="0.25">
      <c r="C1578" s="6">
        <v>1571</v>
      </c>
      <c r="D1578" s="37">
        <v>44243</v>
      </c>
      <c r="E1578" s="39">
        <v>15.611000000000001</v>
      </c>
      <c r="F1578" s="39">
        <v>2.1074376791240375</v>
      </c>
      <c r="G1578" s="39">
        <v>43.137250438486163</v>
      </c>
      <c r="H1578" s="39">
        <v>62.586244906957575</v>
      </c>
      <c r="I1578" s="10">
        <v>0</v>
      </c>
      <c r="J1578" s="40">
        <v>1</v>
      </c>
      <c r="K1578" s="40">
        <v>0</v>
      </c>
      <c r="L1578" s="40">
        <v>0</v>
      </c>
      <c r="M1578" s="40">
        <v>0</v>
      </c>
      <c r="N1578" s="40">
        <v>0</v>
      </c>
      <c r="O1578" s="40">
        <v>0</v>
      </c>
      <c r="P1578" s="40">
        <v>0</v>
      </c>
      <c r="Q1578" s="40">
        <v>0</v>
      </c>
      <c r="R1578" s="40">
        <v>0</v>
      </c>
      <c r="S1578" s="40">
        <v>0</v>
      </c>
      <c r="T1578" s="29">
        <f t="array" aca="1" ref="T1578" ca="1">+fair_value_gap(OFFSET(S1577,0,0,-1*$I$5,-1*$Z$1),OFFSET(E1577,0,0,-1*$I$5,1),F1578:S1578,0)</f>
        <v>15.725410681844204</v>
      </c>
      <c r="U1578" s="9" cm="1">
        <f t="array" aca="1" ref="U1578" ca="1">z_score_diff(OFFSET(T1578,0,0,$I$5*-1,1),OFFSET(E1578,0,0,$I$5*-1,1))</f>
        <v>0.22851625435141498</v>
      </c>
      <c r="V1578" s="9">
        <f t="shared" ca="1" si="204"/>
        <v>-0.18413911158773172</v>
      </c>
      <c r="W1578" s="17">
        <f t="shared" ca="1" si="201"/>
        <v>0.10255728208725683</v>
      </c>
      <c r="X1578" s="13">
        <f t="shared" ca="1" si="202"/>
        <v>0</v>
      </c>
      <c r="Y1578" s="13">
        <f t="shared" ca="1" si="203"/>
        <v>0</v>
      </c>
      <c r="Z1578">
        <f t="shared" ca="1" si="205"/>
        <v>1</v>
      </c>
      <c r="AA1578">
        <f t="shared" ca="1" si="206"/>
        <v>0</v>
      </c>
      <c r="AB1578" s="24">
        <f t="shared" ca="1" si="207"/>
        <v>0.10255728208725683</v>
      </c>
      <c r="AC1578" s="24">
        <f t="shared" ca="1" si="208"/>
        <v>0</v>
      </c>
    </row>
    <row r="1579" spans="3:29" x14ac:dyDescent="0.25">
      <c r="C1579" s="6">
        <v>1572</v>
      </c>
      <c r="D1579" s="37">
        <v>44244</v>
      </c>
      <c r="E1579" s="39">
        <v>15.606</v>
      </c>
      <c r="F1579" s="39">
        <v>2.1149772574262302</v>
      </c>
      <c r="G1579" s="39">
        <v>42.555375010690156</v>
      </c>
      <c r="H1579" s="39">
        <v>62.152087883216474</v>
      </c>
      <c r="I1579" s="10">
        <v>0</v>
      </c>
      <c r="J1579" s="40">
        <v>1</v>
      </c>
      <c r="K1579" s="40">
        <v>0</v>
      </c>
      <c r="L1579" s="40">
        <v>0</v>
      </c>
      <c r="M1579" s="40">
        <v>0</v>
      </c>
      <c r="N1579" s="40">
        <v>0</v>
      </c>
      <c r="O1579" s="40">
        <v>0</v>
      </c>
      <c r="P1579" s="40">
        <v>0</v>
      </c>
      <c r="Q1579" s="40">
        <v>0</v>
      </c>
      <c r="R1579" s="40">
        <v>0</v>
      </c>
      <c r="S1579" s="40">
        <v>0</v>
      </c>
      <c r="T1579" s="29">
        <f t="array" aca="1" ref="T1579" ca="1">+fair_value_gap(OFFSET(S1578,0,0,-1*$I$5,-1*$Z$1),OFFSET(E1578,0,0,-1*$I$5,1),F1579:S1579,0)</f>
        <v>15.543756658483417</v>
      </c>
      <c r="U1579" s="9" cm="1">
        <f t="array" aca="1" ref="U1579" ca="1">z_score_diff(OFFSET(T1579,0,0,$I$5*-1,1),OFFSET(E1579,0,0,$I$5*-1,1))</f>
        <v>5.0377261196216105E-2</v>
      </c>
      <c r="V1579" s="9">
        <f t="shared" ca="1" si="204"/>
        <v>-0.18650814286263068</v>
      </c>
      <c r="W1579" s="17">
        <f t="shared" ca="1" si="201"/>
        <v>9.9982759614694106E-2</v>
      </c>
      <c r="X1579" s="13">
        <f t="shared" ca="1" si="202"/>
        <v>0</v>
      </c>
      <c r="Y1579" s="13">
        <f t="shared" ca="1" si="203"/>
        <v>0</v>
      </c>
      <c r="Z1579">
        <f t="shared" ca="1" si="205"/>
        <v>1</v>
      </c>
      <c r="AA1579">
        <f t="shared" ca="1" si="206"/>
        <v>0</v>
      </c>
      <c r="AB1579" s="24">
        <f t="shared" ca="1" si="207"/>
        <v>9.9982759614694106E-2</v>
      </c>
      <c r="AC1579" s="24">
        <f t="shared" ca="1" si="208"/>
        <v>0</v>
      </c>
    </row>
    <row r="1580" spans="3:29" x14ac:dyDescent="0.25">
      <c r="C1580" s="6">
        <v>1573</v>
      </c>
      <c r="D1580" s="37">
        <v>44245</v>
      </c>
      <c r="E1580" s="39">
        <v>15.768000000000001</v>
      </c>
      <c r="F1580" s="39">
        <v>2.0923323375683993</v>
      </c>
      <c r="G1580" s="39">
        <v>43.403036038365862</v>
      </c>
      <c r="H1580" s="39">
        <v>62.156982137529987</v>
      </c>
      <c r="I1580" s="10">
        <v>0</v>
      </c>
      <c r="J1580" s="40">
        <v>1</v>
      </c>
      <c r="K1580" s="40">
        <v>0</v>
      </c>
      <c r="L1580" s="40">
        <v>0</v>
      </c>
      <c r="M1580" s="40">
        <v>0</v>
      </c>
      <c r="N1580" s="40">
        <v>0</v>
      </c>
      <c r="O1580" s="40">
        <v>0</v>
      </c>
      <c r="P1580" s="40">
        <v>0</v>
      </c>
      <c r="Q1580" s="40">
        <v>0</v>
      </c>
      <c r="R1580" s="40">
        <v>0</v>
      </c>
      <c r="S1580" s="40">
        <v>0</v>
      </c>
      <c r="T1580" s="29">
        <f t="array" aca="1" ref="T1580" ca="1">+fair_value_gap(OFFSET(S1579,0,0,-1*$I$5,-1*$Z$1),OFFSET(E1579,0,0,-1*$I$5,1),F1580:S1580,0)</f>
        <v>15.873698849714721</v>
      </c>
      <c r="U1580" s="9" cm="1">
        <f t="array" aca="1" ref="U1580" ca="1">z_score_diff(OFFSET(T1580,0,0,$I$5*-1,1),OFFSET(E1580,0,0,$I$5*-1,1))</f>
        <v>0.22386443867838368</v>
      </c>
      <c r="V1580" s="9">
        <f t="shared" ca="1" si="204"/>
        <v>-0.17823740225725063</v>
      </c>
      <c r="W1580" s="17">
        <f t="shared" ca="1" si="201"/>
        <v>0.10318921030787695</v>
      </c>
      <c r="X1580" s="13">
        <f t="shared" ca="1" si="202"/>
        <v>0</v>
      </c>
      <c r="Y1580" s="13">
        <f t="shared" ca="1" si="203"/>
        <v>0</v>
      </c>
      <c r="Z1580">
        <f t="shared" ca="1" si="205"/>
        <v>1</v>
      </c>
      <c r="AA1580">
        <f t="shared" ca="1" si="206"/>
        <v>0</v>
      </c>
      <c r="AB1580" s="24">
        <f t="shared" ca="1" si="207"/>
        <v>0.10318921030787695</v>
      </c>
      <c r="AC1580" s="24">
        <f t="shared" ca="1" si="208"/>
        <v>0</v>
      </c>
    </row>
    <row r="1581" spans="3:29" x14ac:dyDescent="0.25">
      <c r="C1581" s="6">
        <v>1574</v>
      </c>
      <c r="D1581" s="37">
        <v>44246</v>
      </c>
      <c r="E1581" s="39">
        <v>15.522</v>
      </c>
      <c r="F1581" s="39">
        <v>2.0896944851975214</v>
      </c>
      <c r="G1581" s="39">
        <v>42.563091130168111</v>
      </c>
      <c r="H1581" s="39">
        <v>62.788750736411274</v>
      </c>
      <c r="I1581" s="10">
        <v>0</v>
      </c>
      <c r="J1581" s="40">
        <v>1</v>
      </c>
      <c r="K1581" s="40">
        <v>0</v>
      </c>
      <c r="L1581" s="40">
        <v>0</v>
      </c>
      <c r="M1581" s="40">
        <v>0</v>
      </c>
      <c r="N1581" s="40">
        <v>0</v>
      </c>
      <c r="O1581" s="40">
        <v>0</v>
      </c>
      <c r="P1581" s="40">
        <v>0</v>
      </c>
      <c r="Q1581" s="40">
        <v>0</v>
      </c>
      <c r="R1581" s="40">
        <v>0</v>
      </c>
      <c r="S1581" s="40">
        <v>0</v>
      </c>
      <c r="T1581" s="29">
        <f t="array" aca="1" ref="T1581" ca="1">+fair_value_gap(OFFSET(S1580,0,0,-1*$I$5,-1*$Z$1),OFFSET(E1580,0,0,-1*$I$5,1),F1581:S1581,0)</f>
        <v>15.631352516923677</v>
      </c>
      <c r="U1581" s="9" cm="1">
        <f t="array" aca="1" ref="U1581" ca="1">z_score_diff(OFFSET(T1581,0,0,$I$5*-1,1),OFFSET(E1581,0,0,$I$5*-1,1))</f>
        <v>0.21273138514705536</v>
      </c>
      <c r="V1581" s="9">
        <f t="shared" ca="1" si="204"/>
        <v>-0.16444289926238567</v>
      </c>
      <c r="W1581" s="17">
        <f t="shared" ca="1" si="201"/>
        <v>0.10839032393289311</v>
      </c>
      <c r="X1581" s="13">
        <f t="shared" ca="1" si="202"/>
        <v>0</v>
      </c>
      <c r="Y1581" s="13">
        <f t="shared" ca="1" si="203"/>
        <v>0</v>
      </c>
      <c r="Z1581">
        <f t="shared" ca="1" si="205"/>
        <v>1</v>
      </c>
      <c r="AA1581">
        <f t="shared" ca="1" si="206"/>
        <v>0</v>
      </c>
      <c r="AB1581" s="24">
        <f t="shared" ca="1" si="207"/>
        <v>0.10839032393289311</v>
      </c>
      <c r="AC1581" s="24">
        <f t="shared" ca="1" si="208"/>
        <v>0</v>
      </c>
    </row>
    <row r="1582" spans="3:29" x14ac:dyDescent="0.25">
      <c r="C1582" s="6">
        <v>1575</v>
      </c>
      <c r="D1582" s="37">
        <v>44249</v>
      </c>
      <c r="E1582" s="39">
        <v>15.295</v>
      </c>
      <c r="F1582" s="39">
        <v>2.0866212192701301</v>
      </c>
      <c r="G1582" s="39">
        <v>41.907832579642076</v>
      </c>
      <c r="H1582" s="39">
        <v>62.924035598652843</v>
      </c>
      <c r="I1582" s="10">
        <v>0</v>
      </c>
      <c r="J1582" s="40">
        <v>1</v>
      </c>
      <c r="K1582" s="40">
        <v>0</v>
      </c>
      <c r="L1582" s="40">
        <v>0</v>
      </c>
      <c r="M1582" s="40">
        <v>0</v>
      </c>
      <c r="N1582" s="40">
        <v>0</v>
      </c>
      <c r="O1582" s="40">
        <v>0</v>
      </c>
      <c r="P1582" s="40">
        <v>0</v>
      </c>
      <c r="Q1582" s="40">
        <v>0</v>
      </c>
      <c r="R1582" s="40">
        <v>0</v>
      </c>
      <c r="S1582" s="40">
        <v>0</v>
      </c>
      <c r="T1582" s="29">
        <f t="array" aca="1" ref="T1582" ca="1">+fair_value_gap(OFFSET(S1581,0,0,-1*$I$5,-1*$Z$1),OFFSET(E1581,0,0,-1*$I$5,1),F1582:S1582,0)</f>
        <v>15.416163247829362</v>
      </c>
      <c r="U1582" s="9" cm="1">
        <f t="array" aca="1" ref="U1582" ca="1">z_score_diff(OFFSET(T1582,0,0,$I$5*-1,1),OFFSET(E1582,0,0,$I$5*-1,1))</f>
        <v>0.21083103732078379</v>
      </c>
      <c r="V1582" s="9">
        <f t="shared" ca="1" si="204"/>
        <v>-0.1536540408707428</v>
      </c>
      <c r="W1582" s="17">
        <f t="shared" ca="1" si="201"/>
        <v>0.13118309978445639</v>
      </c>
      <c r="X1582" s="13">
        <f t="shared" ca="1" si="202"/>
        <v>0</v>
      </c>
      <c r="Y1582" s="13">
        <f t="shared" ca="1" si="203"/>
        <v>0</v>
      </c>
      <c r="Z1582">
        <f t="shared" ca="1" si="205"/>
        <v>1</v>
      </c>
      <c r="AA1582">
        <f t="shared" ca="1" si="206"/>
        <v>0</v>
      </c>
      <c r="AB1582" s="24">
        <f t="shared" ca="1" si="207"/>
        <v>0.13118309978445639</v>
      </c>
      <c r="AC1582" s="24">
        <f t="shared" ca="1" si="208"/>
        <v>0</v>
      </c>
    </row>
    <row r="1583" spans="3:29" x14ac:dyDescent="0.25">
      <c r="C1583" s="6">
        <v>1576</v>
      </c>
      <c r="D1583" s="37">
        <v>44250</v>
      </c>
      <c r="E1583" s="39">
        <v>15.484</v>
      </c>
      <c r="F1583" s="39">
        <v>2.080318011225744</v>
      </c>
      <c r="G1583" s="39">
        <v>42.512859679957302</v>
      </c>
      <c r="H1583" s="39">
        <v>63.459055485181089</v>
      </c>
      <c r="I1583" s="10">
        <v>0</v>
      </c>
      <c r="J1583" s="40">
        <v>1</v>
      </c>
      <c r="K1583" s="40">
        <v>0</v>
      </c>
      <c r="L1583" s="40">
        <v>0</v>
      </c>
      <c r="M1583" s="40">
        <v>0</v>
      </c>
      <c r="N1583" s="40">
        <v>0</v>
      </c>
      <c r="O1583" s="40">
        <v>0</v>
      </c>
      <c r="P1583" s="40">
        <v>0</v>
      </c>
      <c r="Q1583" s="40">
        <v>0</v>
      </c>
      <c r="R1583" s="40">
        <v>0</v>
      </c>
      <c r="S1583" s="40">
        <v>0</v>
      </c>
      <c r="T1583" s="29">
        <f t="array" aca="1" ref="T1583" ca="1">+fair_value_gap(OFFSET(S1582,0,0,-1*$I$5,-1*$Z$1),OFFSET(E1582,0,0,-1*$I$5,1),F1583:S1583,0)</f>
        <v>15.62447007019302</v>
      </c>
      <c r="U1583" s="9" cm="1">
        <f t="array" aca="1" ref="U1583" ca="1">z_score_diff(OFFSET(T1583,0,0,$I$5*-1,1),OFFSET(E1583,0,0,$I$5*-1,1))</f>
        <v>0.23630560740045414</v>
      </c>
      <c r="V1583" s="9">
        <f t="shared" ca="1" si="204"/>
        <v>-0.13752921613505534</v>
      </c>
      <c r="W1583" s="17">
        <f t="shared" ca="1" si="201"/>
        <v>0.13505599835760099</v>
      </c>
      <c r="X1583" s="13">
        <f t="shared" ca="1" si="202"/>
        <v>0</v>
      </c>
      <c r="Y1583" s="13">
        <f t="shared" ca="1" si="203"/>
        <v>0</v>
      </c>
      <c r="Z1583">
        <f t="shared" ca="1" si="205"/>
        <v>1</v>
      </c>
      <c r="AA1583">
        <f t="shared" ca="1" si="206"/>
        <v>0</v>
      </c>
      <c r="AB1583" s="24">
        <f t="shared" ca="1" si="207"/>
        <v>0.13505599835760099</v>
      </c>
      <c r="AC1583" s="24">
        <f t="shared" ca="1" si="208"/>
        <v>0</v>
      </c>
    </row>
    <row r="1584" spans="3:29" x14ac:dyDescent="0.25">
      <c r="C1584" s="6">
        <v>1577</v>
      </c>
      <c r="D1584" s="37">
        <v>44251</v>
      </c>
      <c r="E1584" s="39">
        <v>15.661</v>
      </c>
      <c r="F1584" s="39">
        <v>2.0560158764701488</v>
      </c>
      <c r="G1584" s="39">
        <v>42.970484246072729</v>
      </c>
      <c r="H1584" s="39">
        <v>64.35199771337254</v>
      </c>
      <c r="I1584" s="10">
        <v>0</v>
      </c>
      <c r="J1584" s="40">
        <v>1</v>
      </c>
      <c r="K1584" s="40">
        <v>0</v>
      </c>
      <c r="L1584" s="40">
        <v>0</v>
      </c>
      <c r="M1584" s="40">
        <v>0</v>
      </c>
      <c r="N1584" s="40">
        <v>0</v>
      </c>
      <c r="O1584" s="40">
        <v>0</v>
      </c>
      <c r="P1584" s="40">
        <v>0</v>
      </c>
      <c r="Q1584" s="40">
        <v>0</v>
      </c>
      <c r="R1584" s="40">
        <v>0</v>
      </c>
      <c r="S1584" s="40">
        <v>0</v>
      </c>
      <c r="T1584" s="29">
        <f t="array" aca="1" ref="T1584" ca="1">+fair_value_gap(OFFSET(S1583,0,0,-1*$I$5,-1*$Z$1),OFFSET(E1583,0,0,-1*$I$5,1),F1584:S1584,0)</f>
        <v>15.79631802609385</v>
      </c>
      <c r="U1584" s="9" cm="1">
        <f t="array" aca="1" ref="U1584" ca="1">z_score_diff(OFFSET(T1584,0,0,$I$5*-1,1),OFFSET(E1584,0,0,$I$5*-1,1))</f>
        <v>0.23595933744210695</v>
      </c>
      <c r="V1584" s="9">
        <f t="shared" ca="1" si="204"/>
        <v>-0.12468160426007852</v>
      </c>
      <c r="W1584" s="17" t="e">
        <f t="shared" ca="1" si="201"/>
        <v>#NUM!</v>
      </c>
      <c r="X1584" s="13">
        <f t="shared" ca="1" si="202"/>
        <v>0</v>
      </c>
      <c r="Y1584" s="13">
        <f t="shared" ca="1" si="203"/>
        <v>0</v>
      </c>
      <c r="Z1584">
        <f t="shared" ca="1" si="205"/>
        <v>1</v>
      </c>
      <c r="AA1584">
        <f t="shared" ca="1" si="206"/>
        <v>0</v>
      </c>
      <c r="AB1584" s="24" t="str">
        <f t="shared" ca="1" si="207"/>
        <v/>
      </c>
      <c r="AC1584" s="24" t="str">
        <f t="shared" ca="1" si="208"/>
        <v/>
      </c>
    </row>
    <row r="1585" spans="3:29" x14ac:dyDescent="0.25">
      <c r="C1585" s="6">
        <v>1578</v>
      </c>
      <c r="D1585" s="37">
        <v>44252</v>
      </c>
      <c r="E1585" s="39">
        <v>15.432</v>
      </c>
      <c r="F1585" s="39">
        <v>2.0313147481575973</v>
      </c>
      <c r="G1585" s="39">
        <v>42.303684996741922</v>
      </c>
      <c r="H1585" s="39">
        <v>64.433303811558986</v>
      </c>
      <c r="I1585" s="10">
        <v>0</v>
      </c>
      <c r="J1585" s="40">
        <v>1</v>
      </c>
      <c r="K1585" s="40">
        <v>0</v>
      </c>
      <c r="L1585" s="40">
        <v>0</v>
      </c>
      <c r="M1585" s="40">
        <v>0</v>
      </c>
      <c r="N1585" s="40">
        <v>0</v>
      </c>
      <c r="O1585" s="40">
        <v>0</v>
      </c>
      <c r="P1585" s="40">
        <v>0</v>
      </c>
      <c r="Q1585" s="40">
        <v>0</v>
      </c>
      <c r="R1585" s="40">
        <v>0</v>
      </c>
      <c r="S1585" s="40">
        <v>0</v>
      </c>
      <c r="T1585" s="29">
        <f t="array" aca="1" ref="T1585" ca="1">+fair_value_gap(OFFSET(S1584,0,0,-1*$I$5,-1*$Z$1),OFFSET(E1584,0,0,-1*$I$5,1),F1585:S1585,0)</f>
        <v>15.582401263353743</v>
      </c>
      <c r="U1585" s="9" cm="1">
        <f t="array" aca="1" ref="U1585" ca="1">z_score_diff(OFFSET(T1585,0,0,$I$5*-1,1),OFFSET(E1585,0,0,$I$5*-1,1))</f>
        <v>0.23800928683935818</v>
      </c>
      <c r="V1585" s="9">
        <f t="shared" ca="1" si="204"/>
        <v>-0.10908643355891251</v>
      </c>
      <c r="W1585" s="17" t="e">
        <f t="shared" ca="1" si="201"/>
        <v>#NUM!</v>
      </c>
      <c r="X1585" s="13">
        <f t="shared" ca="1" si="202"/>
        <v>0</v>
      </c>
      <c r="Y1585" s="13">
        <f t="shared" ca="1" si="203"/>
        <v>0</v>
      </c>
      <c r="Z1585">
        <f t="shared" ca="1" si="205"/>
        <v>1</v>
      </c>
      <c r="AA1585">
        <f t="shared" ca="1" si="206"/>
        <v>0</v>
      </c>
      <c r="AB1585" s="24" t="str">
        <f t="shared" ca="1" si="207"/>
        <v/>
      </c>
      <c r="AC1585" s="24" t="str">
        <f t="shared" ca="1" si="208"/>
        <v/>
      </c>
    </row>
    <row r="1586" spans="3:29" x14ac:dyDescent="0.25">
      <c r="C1586" s="6">
        <v>1579</v>
      </c>
      <c r="D1586" s="37">
        <v>44253</v>
      </c>
      <c r="E1586" s="39">
        <v>15.462</v>
      </c>
      <c r="F1586" s="39">
        <v>2.0342121217086397</v>
      </c>
      <c r="G1586" s="39">
        <v>43.60644638911635</v>
      </c>
      <c r="H1586" s="39">
        <v>65.540463043371403</v>
      </c>
      <c r="I1586" s="10">
        <v>0</v>
      </c>
      <c r="J1586" s="40">
        <v>1</v>
      </c>
      <c r="K1586" s="40">
        <v>0</v>
      </c>
      <c r="L1586" s="40">
        <v>0</v>
      </c>
      <c r="M1586" s="40">
        <v>0</v>
      </c>
      <c r="N1586" s="40">
        <v>0</v>
      </c>
      <c r="O1586" s="40">
        <v>0</v>
      </c>
      <c r="P1586" s="40">
        <v>0</v>
      </c>
      <c r="Q1586" s="40">
        <v>0</v>
      </c>
      <c r="R1586" s="40">
        <v>0</v>
      </c>
      <c r="S1586" s="40">
        <v>0</v>
      </c>
      <c r="T1586" s="29">
        <f t="array" aca="1" ref="T1586" ca="1">+fair_value_gap(OFFSET(S1585,0,0,-1*$I$5,-1*$Z$1),OFFSET(E1585,0,0,-1*$I$5,1),F1586:S1586,0)</f>
        <v>16.020130013953079</v>
      </c>
      <c r="U1586" s="9" cm="1">
        <f t="array" aca="1" ref="U1586" ca="1">z_score_diff(OFFSET(T1586,0,0,$I$5*-1,1),OFFSET(E1586,0,0,$I$5*-1,1))</f>
        <v>0.63581406842649679</v>
      </c>
      <c r="V1586" s="9">
        <f t="shared" ca="1" si="204"/>
        <v>-8.0245821447183896E-2</v>
      </c>
      <c r="W1586" s="17" t="e">
        <f t="shared" ca="1" si="201"/>
        <v>#NUM!</v>
      </c>
      <c r="X1586" s="13">
        <f t="shared" ca="1" si="202"/>
        <v>0</v>
      </c>
      <c r="Y1586" s="13">
        <f t="shared" ca="1" si="203"/>
        <v>0</v>
      </c>
      <c r="Z1586">
        <f t="shared" ca="1" si="205"/>
        <v>1</v>
      </c>
      <c r="AA1586">
        <f t="shared" ca="1" si="206"/>
        <v>0</v>
      </c>
      <c r="AB1586" s="24" t="str">
        <f t="shared" ca="1" si="207"/>
        <v/>
      </c>
      <c r="AC1586" s="24" t="str">
        <f t="shared" ca="1" si="208"/>
        <v/>
      </c>
    </row>
    <row r="1587" spans="3:29" x14ac:dyDescent="0.25">
      <c r="C1587" s="6">
        <v>1580</v>
      </c>
      <c r="D1587" s="37">
        <v>44256</v>
      </c>
      <c r="E1587" s="39">
        <v>15.568</v>
      </c>
      <c r="F1587" s="39">
        <v>2.0584214449790506</v>
      </c>
      <c r="G1587" s="39">
        <v>43.899281003438283</v>
      </c>
      <c r="H1587" s="39">
        <v>65.935093297336934</v>
      </c>
      <c r="I1587" s="10">
        <v>0</v>
      </c>
      <c r="J1587" s="40">
        <v>0</v>
      </c>
      <c r="K1587" s="40">
        <v>1</v>
      </c>
      <c r="L1587" s="40">
        <v>0</v>
      </c>
      <c r="M1587" s="40">
        <v>0</v>
      </c>
      <c r="N1587" s="40">
        <v>0</v>
      </c>
      <c r="O1587" s="40">
        <v>0</v>
      </c>
      <c r="P1587" s="40">
        <v>0</v>
      </c>
      <c r="Q1587" s="40">
        <v>0</v>
      </c>
      <c r="R1587" s="40">
        <v>0</v>
      </c>
      <c r="S1587" s="40">
        <v>0</v>
      </c>
      <c r="T1587" s="29">
        <f t="array" aca="1" ref="T1587" ca="1">+fair_value_gap(OFFSET(S1586,0,0,-1*$I$5,-1*$Z$1),OFFSET(E1586,0,0,-1*$I$5,1),F1587:S1587,0)</f>
        <v>15.441197001946877</v>
      </c>
      <c r="U1587" s="9" cm="1">
        <f t="array" aca="1" ref="U1587" ca="1">z_score_diff(OFFSET(T1587,0,0,$I$5*-1,1),OFFSET(E1587,0,0,$I$5*-1,1))</f>
        <v>-3.5956712720914386E-2</v>
      </c>
      <c r="V1587" s="9">
        <f t="shared" ca="1" si="204"/>
        <v>-7.3917890984842999E-2</v>
      </c>
      <c r="W1587" s="17" t="e">
        <f t="shared" ca="1" si="201"/>
        <v>#NUM!</v>
      </c>
      <c r="X1587" s="13">
        <f t="shared" ca="1" si="202"/>
        <v>0</v>
      </c>
      <c r="Y1587" s="13">
        <f t="shared" ca="1" si="203"/>
        <v>0</v>
      </c>
      <c r="Z1587">
        <f t="shared" ca="1" si="205"/>
        <v>1</v>
      </c>
      <c r="AA1587">
        <f t="shared" ca="1" si="206"/>
        <v>0</v>
      </c>
      <c r="AB1587" s="24" t="str">
        <f t="shared" ca="1" si="207"/>
        <v/>
      </c>
      <c r="AC1587" s="24" t="str">
        <f t="shared" ca="1" si="208"/>
        <v/>
      </c>
    </row>
    <row r="1588" spans="3:29" x14ac:dyDescent="0.25">
      <c r="C1588" s="6">
        <v>1581</v>
      </c>
      <c r="D1588" s="37">
        <v>44257</v>
      </c>
      <c r="E1588" s="39">
        <v>15.500999999999999</v>
      </c>
      <c r="F1588" s="39">
        <v>2.0658032312203609</v>
      </c>
      <c r="G1588" s="39">
        <v>43.227319666028926</v>
      </c>
      <c r="H1588" s="39">
        <v>66.339506218255764</v>
      </c>
      <c r="I1588" s="10">
        <v>0</v>
      </c>
      <c r="J1588" s="40">
        <v>0</v>
      </c>
      <c r="K1588" s="40">
        <v>1</v>
      </c>
      <c r="L1588" s="40">
        <v>0</v>
      </c>
      <c r="M1588" s="40">
        <v>0</v>
      </c>
      <c r="N1588" s="40">
        <v>0</v>
      </c>
      <c r="O1588" s="40">
        <v>0</v>
      </c>
      <c r="P1588" s="40">
        <v>0</v>
      </c>
      <c r="Q1588" s="40">
        <v>0</v>
      </c>
      <c r="R1588" s="40">
        <v>0</v>
      </c>
      <c r="S1588" s="40">
        <v>0</v>
      </c>
      <c r="T1588" s="29">
        <f t="array" aca="1" ref="T1588" ca="1">+fair_value_gap(OFFSET(S1587,0,0,-1*$I$5,-1*$Z$1),OFFSET(E1587,0,0,-1*$I$5,1),F1588:S1588,0)</f>
        <v>15.238822543183757</v>
      </c>
      <c r="U1588" s="9" cm="1">
        <f t="array" aca="1" ref="U1588" ca="1">z_score_diff(OFFSET(T1588,0,0,$I$5*-1,1),OFFSET(E1588,0,0,$I$5*-1,1))</f>
        <v>-0.17145591194628207</v>
      </c>
      <c r="V1588" s="9">
        <f t="shared" ca="1" si="204"/>
        <v>-7.1655711485643162E-2</v>
      </c>
      <c r="W1588" s="17" t="e">
        <f t="shared" ca="1" si="201"/>
        <v>#NUM!</v>
      </c>
      <c r="X1588" s="13">
        <f t="shared" ca="1" si="202"/>
        <v>0</v>
      </c>
      <c r="Y1588" s="13">
        <f t="shared" ca="1" si="203"/>
        <v>0</v>
      </c>
      <c r="Z1588">
        <f t="shared" ca="1" si="205"/>
        <v>1</v>
      </c>
      <c r="AA1588">
        <f t="shared" ca="1" si="206"/>
        <v>0</v>
      </c>
      <c r="AB1588" s="24" t="str">
        <f t="shared" ca="1" si="207"/>
        <v/>
      </c>
      <c r="AC1588" s="24" t="str">
        <f t="shared" ca="1" si="208"/>
        <v/>
      </c>
    </row>
    <row r="1589" spans="3:29" x14ac:dyDescent="0.25">
      <c r="C1589" s="6">
        <v>1582</v>
      </c>
      <c r="D1589" s="37">
        <v>44258</v>
      </c>
      <c r="E1589" s="39">
        <v>15.343999999999999</v>
      </c>
      <c r="F1589" s="39">
        <v>2.0668313689973656</v>
      </c>
      <c r="G1589" s="39">
        <v>43.488906381576534</v>
      </c>
      <c r="H1589" s="39">
        <v>66.328581968615936</v>
      </c>
      <c r="I1589" s="10">
        <v>0</v>
      </c>
      <c r="J1589" s="40">
        <v>0</v>
      </c>
      <c r="K1589" s="40">
        <v>1</v>
      </c>
      <c r="L1589" s="40">
        <v>0</v>
      </c>
      <c r="M1589" s="40">
        <v>0</v>
      </c>
      <c r="N1589" s="40">
        <v>0</v>
      </c>
      <c r="O1589" s="40">
        <v>0</v>
      </c>
      <c r="P1589" s="40">
        <v>0</v>
      </c>
      <c r="Q1589" s="40">
        <v>0</v>
      </c>
      <c r="R1589" s="40">
        <v>0</v>
      </c>
      <c r="S1589" s="40">
        <v>0</v>
      </c>
      <c r="T1589" s="29">
        <f t="array" aca="1" ref="T1589" ca="1">+fair_value_gap(OFFSET(S1588,0,0,-1*$I$5,-1*$Z$1),OFFSET(E1588,0,0,-1*$I$5,1),F1589:S1589,0)</f>
        <v>15.356020356044779</v>
      </c>
      <c r="U1589" s="9" cm="1">
        <f t="array" aca="1" ref="U1589" ca="1">z_score_diff(OFFSET(T1589,0,0,$I$5*-1,1),OFFSET(E1589,0,0,$I$5*-1,1))</f>
        <v>9.2708186520758518E-2</v>
      </c>
      <c r="V1589" s="9">
        <f t="shared" ca="1" si="204"/>
        <v>-5.6551141767354922E-2</v>
      </c>
      <c r="W1589" s="17" t="e">
        <f t="shared" ca="1" si="201"/>
        <v>#NUM!</v>
      </c>
      <c r="X1589" s="13">
        <f t="shared" ca="1" si="202"/>
        <v>0</v>
      </c>
      <c r="Y1589" s="13">
        <f t="shared" ca="1" si="203"/>
        <v>0</v>
      </c>
      <c r="Z1589">
        <f t="shared" ca="1" si="205"/>
        <v>1</v>
      </c>
      <c r="AA1589">
        <f t="shared" ca="1" si="206"/>
        <v>0</v>
      </c>
      <c r="AB1589" s="24" t="str">
        <f t="shared" ref="AB1589:AB1610" ca="1" si="209">+IF(ISERROR(Z1589*W1589),"",Z1589*W1589)</f>
        <v/>
      </c>
      <c r="AC1589" s="24" t="str">
        <f t="shared" ref="AC1589:AC1610" ca="1" si="210">+IF(ISERROR(AA1589*W1589),"",AA1589*W1589)</f>
        <v/>
      </c>
    </row>
    <row r="1590" spans="3:29" x14ac:dyDescent="0.25">
      <c r="C1590" s="6">
        <v>1583</v>
      </c>
      <c r="D1590" s="37">
        <v>44259</v>
      </c>
      <c r="E1590" s="39">
        <v>15.529</v>
      </c>
      <c r="F1590" s="39">
        <v>2.0910610030326162</v>
      </c>
      <c r="G1590" s="39">
        <v>43.914737671152672</v>
      </c>
      <c r="H1590" s="39">
        <v>65.809832277762879</v>
      </c>
      <c r="I1590" s="10">
        <v>0</v>
      </c>
      <c r="J1590" s="40">
        <v>0</v>
      </c>
      <c r="K1590" s="40">
        <v>1</v>
      </c>
      <c r="L1590" s="40">
        <v>0</v>
      </c>
      <c r="M1590" s="40">
        <v>0</v>
      </c>
      <c r="N1590" s="40">
        <v>0</v>
      </c>
      <c r="O1590" s="40">
        <v>0</v>
      </c>
      <c r="P1590" s="40">
        <v>0</v>
      </c>
      <c r="Q1590" s="40">
        <v>0</v>
      </c>
      <c r="R1590" s="40">
        <v>0</v>
      </c>
      <c r="S1590" s="40">
        <v>0</v>
      </c>
      <c r="T1590" s="29">
        <f t="array" aca="1" ref="T1590" ca="1">+fair_value_gap(OFFSET(S1589,0,0,-1*$I$5,-1*$Z$1),OFFSET(E1589,0,0,-1*$I$5,1),F1590:S1590,0)</f>
        <v>15.457029189725997</v>
      </c>
      <c r="U1590" s="9" cm="1">
        <f t="array" aca="1" ref="U1590" ca="1">z_score_diff(OFFSET(T1590,0,0,$I$5*-1,1),OFFSET(E1590,0,0,$I$5*-1,1))</f>
        <v>1.6510345695571971E-2</v>
      </c>
      <c r="V1590" s="9">
        <f t="shared" ca="1" si="204"/>
        <v>-5.2480501538395952E-2</v>
      </c>
      <c r="W1590" s="17" t="e">
        <f t="shared" ca="1" si="201"/>
        <v>#NUM!</v>
      </c>
      <c r="X1590" s="13">
        <f t="shared" ca="1" si="202"/>
        <v>0</v>
      </c>
      <c r="Y1590" s="13">
        <f t="shared" ca="1" si="203"/>
        <v>0</v>
      </c>
      <c r="Z1590">
        <f t="shared" ca="1" si="205"/>
        <v>1</v>
      </c>
      <c r="AA1590">
        <f t="shared" ca="1" si="206"/>
        <v>0</v>
      </c>
      <c r="AB1590" s="24" t="str">
        <f t="shared" ca="1" si="209"/>
        <v/>
      </c>
      <c r="AC1590" s="24" t="str">
        <f t="shared" ca="1" si="210"/>
        <v/>
      </c>
    </row>
    <row r="1591" spans="3:29" x14ac:dyDescent="0.25">
      <c r="C1591" s="6">
        <v>1584</v>
      </c>
      <c r="D1591" s="37">
        <v>44260</v>
      </c>
      <c r="E1591" s="39">
        <v>15.843999999999999</v>
      </c>
      <c r="F1591" s="39">
        <v>2.0893010376032732</v>
      </c>
      <c r="G1591" s="39">
        <v>44.751807372955099</v>
      </c>
      <c r="H1591" s="39">
        <v>65.5808381247694</v>
      </c>
      <c r="I1591" s="10">
        <v>0</v>
      </c>
      <c r="J1591" s="40">
        <v>0</v>
      </c>
      <c r="K1591" s="40">
        <v>1</v>
      </c>
      <c r="L1591" s="40">
        <v>0</v>
      </c>
      <c r="M1591" s="40">
        <v>0</v>
      </c>
      <c r="N1591" s="40">
        <v>0</v>
      </c>
      <c r="O1591" s="40">
        <v>0</v>
      </c>
      <c r="P1591" s="40">
        <v>0</v>
      </c>
      <c r="Q1591" s="40">
        <v>0</v>
      </c>
      <c r="R1591" s="40">
        <v>0</v>
      </c>
      <c r="S1591" s="40">
        <v>0</v>
      </c>
      <c r="T1591" s="29">
        <f t="array" aca="1" ref="T1591" ca="1">+fair_value_gap(OFFSET(S1590,0,0,-1*$I$5,-1*$Z$1),OFFSET(E1590,0,0,-1*$I$5,1),F1591:S1591,0)</f>
        <v>15.718612497684024</v>
      </c>
      <c r="U1591" s="9" cm="1">
        <f t="array" aca="1" ref="U1591" ca="1">z_score_diff(OFFSET(T1591,0,0,$I$5*-1,1),OFFSET(E1591,0,0,$I$5*-1,1))</f>
        <v>-2.4214361905520843E-2</v>
      </c>
      <c r="V1591" s="9">
        <f t="shared" ca="1" si="204"/>
        <v>-5.1180369669716494E-2</v>
      </c>
      <c r="W1591" s="17" t="e">
        <f t="shared" ca="1" si="201"/>
        <v>#NUM!</v>
      </c>
      <c r="X1591" s="13">
        <f t="shared" ca="1" si="202"/>
        <v>0</v>
      </c>
      <c r="Y1591" s="13">
        <f t="shared" ca="1" si="203"/>
        <v>0</v>
      </c>
      <c r="Z1591">
        <f t="shared" ca="1" si="205"/>
        <v>1</v>
      </c>
      <c r="AA1591">
        <f t="shared" ca="1" si="206"/>
        <v>0</v>
      </c>
      <c r="AB1591" s="24" t="str">
        <f t="shared" ca="1" si="209"/>
        <v/>
      </c>
      <c r="AC1591" s="24" t="str">
        <f t="shared" ca="1" si="210"/>
        <v/>
      </c>
    </row>
    <row r="1592" spans="3:29" x14ac:dyDescent="0.25">
      <c r="C1592" s="6">
        <v>1585</v>
      </c>
      <c r="D1592" s="37">
        <v>44263</v>
      </c>
      <c r="E1592" s="39">
        <v>15.788</v>
      </c>
      <c r="F1592" s="39">
        <v>2.0989237699572874</v>
      </c>
      <c r="G1592" s="39">
        <v>44.71819686626327</v>
      </c>
      <c r="H1592" s="39">
        <v>65.87802059063398</v>
      </c>
      <c r="I1592" s="10">
        <v>0</v>
      </c>
      <c r="J1592" s="40">
        <v>0</v>
      </c>
      <c r="K1592" s="40">
        <v>1</v>
      </c>
      <c r="L1592" s="40">
        <v>0</v>
      </c>
      <c r="M1592" s="40">
        <v>0</v>
      </c>
      <c r="N1592" s="40">
        <v>0</v>
      </c>
      <c r="O1592" s="40">
        <v>0</v>
      </c>
      <c r="P1592" s="40">
        <v>0</v>
      </c>
      <c r="Q1592" s="40">
        <v>0</v>
      </c>
      <c r="R1592" s="40">
        <v>0</v>
      </c>
      <c r="S1592" s="40">
        <v>0</v>
      </c>
      <c r="T1592" s="29">
        <f t="array" aca="1" ref="T1592" ca="1">+fair_value_gap(OFFSET(S1591,0,0,-1*$I$5,-1*$Z$1),OFFSET(E1591,0,0,-1*$I$5,1),F1592:S1592,0)</f>
        <v>15.721420987138398</v>
      </c>
      <c r="U1592" s="9" cm="1">
        <f t="array" aca="1" ref="U1592" ca="1">z_score_diff(OFFSET(T1592,0,0,$I$5*-1,1),OFFSET(E1592,0,0,$I$5*-1,1))</f>
        <v>3.1107721249165721E-2</v>
      </c>
      <c r="V1592" s="9">
        <f t="shared" ca="1" si="204"/>
        <v>-4.3359446865055745E-2</v>
      </c>
      <c r="W1592" s="17" t="e">
        <f t="shared" ca="1" si="201"/>
        <v>#NUM!</v>
      </c>
      <c r="X1592" s="13">
        <f t="shared" ca="1" si="202"/>
        <v>0</v>
      </c>
      <c r="Y1592" s="13">
        <f t="shared" ca="1" si="203"/>
        <v>0</v>
      </c>
      <c r="Z1592">
        <f t="shared" ca="1" si="205"/>
        <v>1</v>
      </c>
      <c r="AA1592">
        <f t="shared" ca="1" si="206"/>
        <v>0</v>
      </c>
      <c r="AB1592" s="24" t="str">
        <f t="shared" ca="1" si="209"/>
        <v/>
      </c>
      <c r="AC1592" s="24" t="str">
        <f t="shared" ca="1" si="210"/>
        <v/>
      </c>
    </row>
    <row r="1593" spans="3:29" x14ac:dyDescent="0.25">
      <c r="C1593" s="6">
        <v>1586</v>
      </c>
      <c r="D1593" s="37">
        <v>44264</v>
      </c>
      <c r="E1593" s="39">
        <v>16.084</v>
      </c>
      <c r="F1593" s="39">
        <v>2.0887277605700336</v>
      </c>
      <c r="G1593" s="39">
        <v>45.414068428329045</v>
      </c>
      <c r="H1593" s="39">
        <v>66.621781711345463</v>
      </c>
      <c r="I1593" s="10">
        <v>0</v>
      </c>
      <c r="J1593" s="40">
        <v>0</v>
      </c>
      <c r="K1593" s="40">
        <v>1</v>
      </c>
      <c r="L1593" s="40">
        <v>0</v>
      </c>
      <c r="M1593" s="40">
        <v>0</v>
      </c>
      <c r="N1593" s="40">
        <v>0</v>
      </c>
      <c r="O1593" s="40">
        <v>0</v>
      </c>
      <c r="P1593" s="40">
        <v>0</v>
      </c>
      <c r="Q1593" s="40">
        <v>0</v>
      </c>
      <c r="R1593" s="40">
        <v>0</v>
      </c>
      <c r="S1593" s="40">
        <v>0</v>
      </c>
      <c r="T1593" s="29">
        <f t="array" aca="1" ref="T1593" ca="1">+fair_value_gap(OFFSET(S1592,0,0,-1*$I$5,-1*$Z$1),OFFSET(E1592,0,0,-1*$I$5,1),F1593:S1593,0)</f>
        <v>15.971246456924741</v>
      </c>
      <c r="U1593" s="9" cm="1">
        <f t="array" aca="1" ref="U1593" ca="1">z_score_diff(OFFSET(T1593,0,0,$I$5*-1,1),OFFSET(E1593,0,0,$I$5*-1,1))</f>
        <v>-3.6951299015501871E-3</v>
      </c>
      <c r="V1593" s="9">
        <f t="shared" ca="1" si="204"/>
        <v>-3.7617042731893278E-2</v>
      </c>
      <c r="W1593" s="17" t="e">
        <f t="shared" ca="1" si="201"/>
        <v>#NUM!</v>
      </c>
      <c r="X1593" s="13">
        <f t="shared" ca="1" si="202"/>
        <v>0</v>
      </c>
      <c r="Y1593" s="13">
        <f t="shared" ca="1" si="203"/>
        <v>0</v>
      </c>
      <c r="Z1593">
        <f t="shared" ca="1" si="205"/>
        <v>1</v>
      </c>
      <c r="AA1593">
        <f t="shared" ca="1" si="206"/>
        <v>0</v>
      </c>
      <c r="AB1593" s="24" t="str">
        <f t="shared" ca="1" si="209"/>
        <v/>
      </c>
      <c r="AC1593" s="24" t="str">
        <f t="shared" ca="1" si="210"/>
        <v/>
      </c>
    </row>
    <row r="1594" spans="3:29" x14ac:dyDescent="0.25">
      <c r="C1594" s="6">
        <v>1587</v>
      </c>
      <c r="D1594" s="37">
        <v>44265</v>
      </c>
      <c r="E1594" s="39">
        <v>16.427</v>
      </c>
      <c r="F1594" s="39">
        <v>2.0922546818961156</v>
      </c>
      <c r="G1594" s="39">
        <v>46.152476591376008</v>
      </c>
      <c r="H1594" s="39">
        <v>66.552915158492837</v>
      </c>
      <c r="I1594" s="10">
        <v>0</v>
      </c>
      <c r="J1594" s="40">
        <v>0</v>
      </c>
      <c r="K1594" s="40">
        <v>1</v>
      </c>
      <c r="L1594" s="40">
        <v>0</v>
      </c>
      <c r="M1594" s="40">
        <v>0</v>
      </c>
      <c r="N1594" s="40">
        <v>0</v>
      </c>
      <c r="O1594" s="40">
        <v>0</v>
      </c>
      <c r="P1594" s="40">
        <v>0</v>
      </c>
      <c r="Q1594" s="40">
        <v>0</v>
      </c>
      <c r="R1594" s="40">
        <v>0</v>
      </c>
      <c r="S1594" s="40">
        <v>0</v>
      </c>
      <c r="T1594" s="29">
        <f t="array" aca="1" ref="T1594" ca="1">+fair_value_gap(OFFSET(S1593,0,0,-1*$I$5,-1*$Z$1),OFFSET(E1593,0,0,-1*$I$5,1),F1594:S1594,0)</f>
        <v>16.216912667751529</v>
      </c>
      <c r="U1594" s="9" cm="1">
        <f t="array" aca="1" ref="U1594" ca="1">z_score_diff(OFFSET(T1594,0,0,$I$5*-1,1),OFFSET(E1594,0,0,$I$5*-1,1))</f>
        <v>-9.036655843735808E-2</v>
      </c>
      <c r="V1594" s="9">
        <f t="shared" ca="1" si="204"/>
        <v>-3.5911575147204E-2</v>
      </c>
      <c r="W1594" s="17" t="e">
        <f t="shared" ca="1" si="201"/>
        <v>#NUM!</v>
      </c>
      <c r="X1594" s="13">
        <f t="shared" ca="1" si="202"/>
        <v>0</v>
      </c>
      <c r="Y1594" s="13">
        <f t="shared" ca="1" si="203"/>
        <v>0</v>
      </c>
      <c r="Z1594">
        <f t="shared" ca="1" si="205"/>
        <v>1</v>
      </c>
      <c r="AA1594">
        <f t="shared" ca="1" si="206"/>
        <v>0</v>
      </c>
      <c r="AB1594" s="24" t="str">
        <f t="shared" ca="1" si="209"/>
        <v/>
      </c>
      <c r="AC1594" s="24" t="str">
        <f t="shared" ca="1" si="210"/>
        <v/>
      </c>
    </row>
    <row r="1595" spans="3:29" x14ac:dyDescent="0.25">
      <c r="C1595" s="6">
        <v>1588</v>
      </c>
      <c r="D1595" s="37">
        <v>44266</v>
      </c>
      <c r="E1595" s="39">
        <v>16.641999999999999</v>
      </c>
      <c r="F1595" s="39">
        <v>2.0756370044169157</v>
      </c>
      <c r="G1595" s="39">
        <v>47.403549431746633</v>
      </c>
      <c r="H1595" s="39">
        <v>66.575479434199167</v>
      </c>
      <c r="I1595" s="10">
        <v>0</v>
      </c>
      <c r="J1595" s="40">
        <v>0</v>
      </c>
      <c r="K1595" s="40">
        <v>1</v>
      </c>
      <c r="L1595" s="40">
        <v>0</v>
      </c>
      <c r="M1595" s="40">
        <v>0</v>
      </c>
      <c r="N1595" s="40">
        <v>0</v>
      </c>
      <c r="O1595" s="40">
        <v>0</v>
      </c>
      <c r="P1595" s="40">
        <v>0</v>
      </c>
      <c r="Q1595" s="40">
        <v>0</v>
      </c>
      <c r="R1595" s="40">
        <v>0</v>
      </c>
      <c r="S1595" s="40">
        <v>0</v>
      </c>
      <c r="T1595" s="29">
        <f t="array" aca="1" ref="T1595" ca="1">+fair_value_gap(OFFSET(S1594,0,0,-1*$I$5,-1*$Z$1),OFFSET(E1594,0,0,-1*$I$5,1),F1595:S1595,0)</f>
        <v>16.658046055505281</v>
      </c>
      <c r="U1595" s="9" cm="1">
        <f t="array" aca="1" ref="U1595" ca="1">z_score_diff(OFFSET(T1595,0,0,$I$5*-1,1),OFFSET(E1595,0,0,$I$5*-1,1))</f>
        <v>0.13938635464541305</v>
      </c>
      <c r="V1595" s="9">
        <f t="shared" ca="1" si="204"/>
        <v>-2.7331173241435691E-2</v>
      </c>
      <c r="W1595" s="17" t="e">
        <f t="shared" ca="1" si="201"/>
        <v>#NUM!</v>
      </c>
      <c r="X1595" s="13">
        <f t="shared" ca="1" si="202"/>
        <v>0</v>
      </c>
      <c r="Y1595" s="13">
        <f t="shared" ca="1" si="203"/>
        <v>0</v>
      </c>
      <c r="Z1595">
        <f t="shared" ca="1" si="205"/>
        <v>1</v>
      </c>
      <c r="AA1595">
        <f t="shared" ca="1" si="206"/>
        <v>0</v>
      </c>
      <c r="AB1595" s="24" t="str">
        <f t="shared" ca="1" si="209"/>
        <v/>
      </c>
      <c r="AC1595" s="24" t="str">
        <f t="shared" ca="1" si="210"/>
        <v/>
      </c>
    </row>
    <row r="1596" spans="3:29" x14ac:dyDescent="0.25">
      <c r="C1596" s="6">
        <v>1589</v>
      </c>
      <c r="D1596" s="37">
        <v>44267</v>
      </c>
      <c r="E1596" s="39">
        <v>16.835000000000001</v>
      </c>
      <c r="F1596" s="39">
        <v>2.0612679896234365</v>
      </c>
      <c r="G1596" s="39">
        <v>47.37490029370133</v>
      </c>
      <c r="H1596" s="39">
        <v>67.579848317113061</v>
      </c>
      <c r="I1596" s="10">
        <v>0</v>
      </c>
      <c r="J1596" s="40">
        <v>0</v>
      </c>
      <c r="K1596" s="40">
        <v>1</v>
      </c>
      <c r="L1596" s="40">
        <v>0</v>
      </c>
      <c r="M1596" s="40">
        <v>0</v>
      </c>
      <c r="N1596" s="40">
        <v>0</v>
      </c>
      <c r="O1596" s="40">
        <v>0</v>
      </c>
      <c r="P1596" s="40">
        <v>0</v>
      </c>
      <c r="Q1596" s="40">
        <v>0</v>
      </c>
      <c r="R1596" s="40">
        <v>0</v>
      </c>
      <c r="S1596" s="40">
        <v>0</v>
      </c>
      <c r="T1596" s="29">
        <f t="array" aca="1" ref="T1596" ca="1">+fair_value_gap(OFFSET(S1595,0,0,-1*$I$5,-1*$Z$1),OFFSET(E1595,0,0,-1*$I$5,1),F1596:S1596,0)</f>
        <v>16.677561194463127</v>
      </c>
      <c r="U1596" s="9" cm="1">
        <f t="array" aca="1" ref="U1596" ca="1">z_score_diff(OFFSET(T1596,0,0,$I$5*-1,1),OFFSET(E1596,0,0,$I$5*-1,1))</f>
        <v>-3.2427840126742602E-2</v>
      </c>
      <c r="V1596" s="9">
        <f t="shared" ca="1" si="204"/>
        <v>-2.7514992621625753E-2</v>
      </c>
      <c r="W1596" s="17" t="e">
        <f t="shared" ca="1" si="201"/>
        <v>#NUM!</v>
      </c>
      <c r="X1596" s="13">
        <f t="shared" ca="1" si="202"/>
        <v>0</v>
      </c>
      <c r="Y1596" s="13">
        <f t="shared" ca="1" si="203"/>
        <v>0</v>
      </c>
      <c r="Z1596">
        <f t="shared" ca="1" si="205"/>
        <v>1</v>
      </c>
      <c r="AA1596">
        <f t="shared" ca="1" si="206"/>
        <v>0</v>
      </c>
      <c r="AB1596" s="24" t="str">
        <f t="shared" ca="1" si="209"/>
        <v/>
      </c>
      <c r="AC1596" s="24" t="str">
        <f t="shared" ca="1" si="210"/>
        <v/>
      </c>
    </row>
    <row r="1597" spans="3:29" x14ac:dyDescent="0.25">
      <c r="C1597" s="6">
        <v>1590</v>
      </c>
      <c r="D1597" s="37">
        <v>44270</v>
      </c>
      <c r="E1597" s="39">
        <v>16.675000000000001</v>
      </c>
      <c r="F1597" s="39">
        <v>2.0405829005452056</v>
      </c>
      <c r="G1597" s="39">
        <v>46.716425306151606</v>
      </c>
      <c r="H1597" s="39">
        <v>68.461473430151884</v>
      </c>
      <c r="I1597" s="10">
        <v>0</v>
      </c>
      <c r="J1597" s="40">
        <v>0</v>
      </c>
      <c r="K1597" s="40">
        <v>1</v>
      </c>
      <c r="L1597" s="40">
        <v>0</v>
      </c>
      <c r="M1597" s="40">
        <v>0</v>
      </c>
      <c r="N1597" s="40">
        <v>0</v>
      </c>
      <c r="O1597" s="40">
        <v>0</v>
      </c>
      <c r="P1597" s="40">
        <v>0</v>
      </c>
      <c r="Q1597" s="40">
        <v>0</v>
      </c>
      <c r="R1597" s="40">
        <v>0</v>
      </c>
      <c r="S1597" s="40">
        <v>0</v>
      </c>
      <c r="T1597" s="29">
        <f t="array" aca="1" ref="T1597" ca="1">+fair_value_gap(OFFSET(S1596,0,0,-1*$I$5,-1*$Z$1),OFFSET(E1596,0,0,-1*$I$5,1),F1597:S1597,0)</f>
        <v>16.508417433243313</v>
      </c>
      <c r="U1597" s="9" cm="1">
        <f t="array" aca="1" ref="U1597" ca="1">z_score_diff(OFFSET(T1597,0,0,$I$5*-1,1),OFFSET(E1597,0,0,$I$5*-1,1))</f>
        <v>-4.990949617550422E-2</v>
      </c>
      <c r="V1597" s="9">
        <f t="shared" ca="1" si="204"/>
        <v>-2.7711143679791394E-2</v>
      </c>
      <c r="W1597" s="17" t="e">
        <f t="shared" ca="1" si="201"/>
        <v>#NUM!</v>
      </c>
      <c r="X1597" s="13">
        <f t="shared" ca="1" si="202"/>
        <v>0</v>
      </c>
      <c r="Y1597" s="13">
        <f t="shared" ca="1" si="203"/>
        <v>0</v>
      </c>
      <c r="Z1597">
        <f t="shared" ca="1" si="205"/>
        <v>1</v>
      </c>
      <c r="AA1597">
        <f t="shared" ca="1" si="206"/>
        <v>0</v>
      </c>
      <c r="AB1597" s="24" t="str">
        <f t="shared" ca="1" si="209"/>
        <v/>
      </c>
      <c r="AC1597" s="24" t="str">
        <f t="shared" ca="1" si="210"/>
        <v/>
      </c>
    </row>
    <row r="1598" spans="3:29" x14ac:dyDescent="0.25">
      <c r="C1598" s="6">
        <v>1591</v>
      </c>
      <c r="D1598" s="37">
        <v>44271</v>
      </c>
      <c r="E1598" s="39">
        <v>16.533999999999999</v>
      </c>
      <c r="F1598" s="39">
        <v>2.079062471469951</v>
      </c>
      <c r="G1598" s="39">
        <v>46.174111991865225</v>
      </c>
      <c r="H1598" s="39">
        <v>68.2646260592429</v>
      </c>
      <c r="I1598" s="10">
        <v>0</v>
      </c>
      <c r="J1598" s="40">
        <v>0</v>
      </c>
      <c r="K1598" s="40">
        <v>1</v>
      </c>
      <c r="L1598" s="40">
        <v>0</v>
      </c>
      <c r="M1598" s="40">
        <v>0</v>
      </c>
      <c r="N1598" s="40">
        <v>0</v>
      </c>
      <c r="O1598" s="40">
        <v>0</v>
      </c>
      <c r="P1598" s="40">
        <v>0</v>
      </c>
      <c r="Q1598" s="40">
        <v>0</v>
      </c>
      <c r="R1598" s="40">
        <v>0</v>
      </c>
      <c r="S1598" s="40">
        <v>0</v>
      </c>
      <c r="T1598" s="29">
        <f t="array" aca="1" ref="T1598" ca="1">+fair_value_gap(OFFSET(S1597,0,0,-1*$I$5,-1*$Z$1),OFFSET(E1597,0,0,-1*$I$5,1),F1598:S1598,0)</f>
        <v>16.32413643853755</v>
      </c>
      <c r="U1598" s="9" cm="1">
        <f t="array" aca="1" ref="U1598" ca="1">z_score_diff(OFFSET(T1598,0,0,$I$5*-1,1),OFFSET(E1598,0,0,$I$5*-1,1))</f>
        <v>-0.10016081666378107</v>
      </c>
      <c r="V1598" s="9">
        <f t="shared" ca="1" si="204"/>
        <v>-2.7520574119487679E-2</v>
      </c>
      <c r="W1598" s="17" t="e">
        <f t="shared" ca="1" si="201"/>
        <v>#NUM!</v>
      </c>
      <c r="X1598" s="13">
        <f t="shared" ca="1" si="202"/>
        <v>0</v>
      </c>
      <c r="Y1598" s="13">
        <f t="shared" ca="1" si="203"/>
        <v>0</v>
      </c>
      <c r="Z1598">
        <f t="shared" ca="1" si="205"/>
        <v>1</v>
      </c>
      <c r="AA1598">
        <f t="shared" ca="1" si="206"/>
        <v>0</v>
      </c>
      <c r="AB1598" s="24" t="str">
        <f t="shared" ca="1" si="209"/>
        <v/>
      </c>
      <c r="AC1598" s="24" t="str">
        <f t="shared" ca="1" si="210"/>
        <v/>
      </c>
    </row>
    <row r="1599" spans="3:29" x14ac:dyDescent="0.25">
      <c r="C1599" s="6">
        <v>1592</v>
      </c>
      <c r="D1599" s="37">
        <v>44272</v>
      </c>
      <c r="E1599" s="39">
        <v>16.631</v>
      </c>
      <c r="F1599" s="39">
        <v>2.0394530670141351</v>
      </c>
      <c r="G1599" s="39">
        <v>46.291755752142947</v>
      </c>
      <c r="H1599" s="39">
        <v>68.325388840323939</v>
      </c>
      <c r="I1599" s="10">
        <v>0</v>
      </c>
      <c r="J1599" s="40">
        <v>0</v>
      </c>
      <c r="K1599" s="40">
        <v>1</v>
      </c>
      <c r="L1599" s="40">
        <v>0</v>
      </c>
      <c r="M1599" s="40">
        <v>0</v>
      </c>
      <c r="N1599" s="40">
        <v>0</v>
      </c>
      <c r="O1599" s="40">
        <v>0</v>
      </c>
      <c r="P1599" s="40">
        <v>0</v>
      </c>
      <c r="Q1599" s="40">
        <v>0</v>
      </c>
      <c r="R1599" s="40">
        <v>0</v>
      </c>
      <c r="S1599" s="40">
        <v>0</v>
      </c>
      <c r="T1599" s="29">
        <f t="array" aca="1" ref="T1599" ca="1">+fair_value_gap(OFFSET(S1598,0,0,-1*$I$5,-1*$Z$1),OFFSET(E1598,0,0,-1*$I$5,1),F1599:S1599,0)</f>
        <v>16.397562300681997</v>
      </c>
      <c r="U1599" s="9" cm="1">
        <f t="array" aca="1" ref="U1599" ca="1">z_score_diff(OFFSET(T1599,0,0,$I$5*-1,1),OFFSET(E1599,0,0,$I$5*-1,1))</f>
        <v>-0.12307919336097739</v>
      </c>
      <c r="V1599" s="9">
        <f t="shared" ca="1" si="204"/>
        <v>-2.6868363196796981E-2</v>
      </c>
      <c r="W1599" s="17" t="e">
        <f t="shared" ca="1" si="201"/>
        <v>#NUM!</v>
      </c>
      <c r="X1599" s="13">
        <f t="shared" ca="1" si="202"/>
        <v>0</v>
      </c>
      <c r="Y1599" s="13">
        <f t="shared" ca="1" si="203"/>
        <v>0</v>
      </c>
      <c r="Z1599">
        <f t="shared" ca="1" si="205"/>
        <v>1</v>
      </c>
      <c r="AA1599">
        <f t="shared" ca="1" si="206"/>
        <v>0</v>
      </c>
      <c r="AB1599" s="24" t="str">
        <f t="shared" ca="1" si="209"/>
        <v/>
      </c>
      <c r="AC1599" s="24" t="str">
        <f t="shared" ca="1" si="210"/>
        <v/>
      </c>
    </row>
    <row r="1600" spans="3:29" x14ac:dyDescent="0.25">
      <c r="C1600" s="6">
        <v>1593</v>
      </c>
      <c r="D1600" s="37">
        <v>44273</v>
      </c>
      <c r="E1600" s="39">
        <v>16.552</v>
      </c>
      <c r="F1600" s="39">
        <v>2.0151947842017353</v>
      </c>
      <c r="G1600" s="39">
        <v>46.197706762484131</v>
      </c>
      <c r="H1600" s="39">
        <v>68.471858977812957</v>
      </c>
      <c r="I1600" s="10">
        <v>0</v>
      </c>
      <c r="J1600" s="40">
        <v>0</v>
      </c>
      <c r="K1600" s="40">
        <v>1</v>
      </c>
      <c r="L1600" s="40">
        <v>0</v>
      </c>
      <c r="M1600" s="40">
        <v>0</v>
      </c>
      <c r="N1600" s="40">
        <v>0</v>
      </c>
      <c r="O1600" s="40">
        <v>0</v>
      </c>
      <c r="P1600" s="40">
        <v>0</v>
      </c>
      <c r="Q1600" s="40">
        <v>0</v>
      </c>
      <c r="R1600" s="40">
        <v>0</v>
      </c>
      <c r="S1600" s="40">
        <v>0</v>
      </c>
      <c r="T1600" s="29">
        <f t="array" aca="1" ref="T1600" ca="1">+fair_value_gap(OFFSET(S1599,0,0,-1*$I$5,-1*$Z$1),OFFSET(E1599,0,0,-1*$I$5,1),F1600:S1600,0)</f>
        <v>16.39944270334178</v>
      </c>
      <c r="U1600" s="9" cm="1">
        <f t="array" aca="1" ref="U1600" ca="1">z_score_diff(OFFSET(T1600,0,0,$I$5*-1,1),OFFSET(E1600,0,0,$I$5*-1,1))</f>
        <v>-4.750494625825441E-2</v>
      </c>
      <c r="V1600" s="9">
        <f t="shared" ca="1" si="204"/>
        <v>-2.7913718567659434E-2</v>
      </c>
      <c r="W1600" s="17" t="e">
        <f t="shared" ca="1" si="201"/>
        <v>#NUM!</v>
      </c>
      <c r="X1600" s="13">
        <f t="shared" ca="1" si="202"/>
        <v>0</v>
      </c>
      <c r="Y1600" s="13">
        <f t="shared" ca="1" si="203"/>
        <v>0</v>
      </c>
      <c r="Z1600">
        <f t="shared" ca="1" si="205"/>
        <v>1</v>
      </c>
      <c r="AA1600">
        <f t="shared" ca="1" si="206"/>
        <v>0</v>
      </c>
      <c r="AB1600" s="24" t="str">
        <f t="shared" ca="1" si="209"/>
        <v/>
      </c>
      <c r="AC1600" s="24" t="str">
        <f t="shared" ca="1" si="210"/>
        <v/>
      </c>
    </row>
    <row r="1601" spans="3:29" x14ac:dyDescent="0.25">
      <c r="C1601" s="6">
        <v>1594</v>
      </c>
      <c r="D1601" s="37">
        <v>44274</v>
      </c>
      <c r="E1601" s="39">
        <v>16.34</v>
      </c>
      <c r="F1601" s="39">
        <v>2.0367933654463606</v>
      </c>
      <c r="G1601" s="39">
        <v>45.631574882924298</v>
      </c>
      <c r="H1601" s="39">
        <v>68.902520977727193</v>
      </c>
      <c r="I1601" s="10">
        <v>0</v>
      </c>
      <c r="J1601" s="40">
        <v>0</v>
      </c>
      <c r="K1601" s="40">
        <v>1</v>
      </c>
      <c r="L1601" s="40">
        <v>0</v>
      </c>
      <c r="M1601" s="40">
        <v>0</v>
      </c>
      <c r="N1601" s="40">
        <v>0</v>
      </c>
      <c r="O1601" s="40">
        <v>0</v>
      </c>
      <c r="P1601" s="40">
        <v>0</v>
      </c>
      <c r="Q1601" s="40">
        <v>0</v>
      </c>
      <c r="R1601" s="40">
        <v>0</v>
      </c>
      <c r="S1601" s="40">
        <v>0</v>
      </c>
      <c r="T1601" s="29">
        <f t="array" aca="1" ref="T1601" ca="1">+fair_value_gap(OFFSET(S1600,0,0,-1*$I$5,-1*$Z$1),OFFSET(E1600,0,0,-1*$I$5,1),F1601:S1601,0)</f>
        <v>16.227677017245369</v>
      </c>
      <c r="U1601" s="9" cm="1">
        <f t="array" aca="1" ref="U1601" ca="1">z_score_diff(OFFSET(T1601,0,0,$I$5*-1,1),OFFSET(E1601,0,0,$I$5*-1,1))</f>
        <v>-1.5889460086869756E-2</v>
      </c>
      <c r="V1601" s="9">
        <f t="shared" ca="1" si="204"/>
        <v>-2.8888194755289791E-2</v>
      </c>
      <c r="W1601" s="17" t="e">
        <f t="shared" ca="1" si="201"/>
        <v>#NUM!</v>
      </c>
      <c r="X1601" s="13">
        <f t="shared" ca="1" si="202"/>
        <v>0</v>
      </c>
      <c r="Y1601" s="13">
        <f t="shared" ca="1" si="203"/>
        <v>0</v>
      </c>
      <c r="Z1601">
        <f t="shared" ca="1" si="205"/>
        <v>1</v>
      </c>
      <c r="AA1601">
        <f t="shared" ca="1" si="206"/>
        <v>0</v>
      </c>
      <c r="AB1601" s="24" t="str">
        <f t="shared" ca="1" si="209"/>
        <v/>
      </c>
      <c r="AC1601" s="24" t="str">
        <f t="shared" ca="1" si="210"/>
        <v/>
      </c>
    </row>
    <row r="1602" spans="3:29" x14ac:dyDescent="0.25">
      <c r="C1602" s="6">
        <v>1595</v>
      </c>
      <c r="D1602" s="37">
        <v>44277</v>
      </c>
      <c r="E1602" s="39">
        <v>16.747</v>
      </c>
      <c r="F1602" s="39">
        <v>2.0419780379801296</v>
      </c>
      <c r="G1602" s="39">
        <v>47.067342505430851</v>
      </c>
      <c r="H1602" s="39">
        <v>68.920895690334191</v>
      </c>
      <c r="I1602" s="10">
        <v>0</v>
      </c>
      <c r="J1602" s="40">
        <v>0</v>
      </c>
      <c r="K1602" s="40">
        <v>1</v>
      </c>
      <c r="L1602" s="40">
        <v>0</v>
      </c>
      <c r="M1602" s="40">
        <v>0</v>
      </c>
      <c r="N1602" s="40">
        <v>0</v>
      </c>
      <c r="O1602" s="40">
        <v>0</v>
      </c>
      <c r="P1602" s="40">
        <v>0</v>
      </c>
      <c r="Q1602" s="40">
        <v>0</v>
      </c>
      <c r="R1602" s="40">
        <v>0</v>
      </c>
      <c r="S1602" s="40">
        <v>0</v>
      </c>
      <c r="T1602" s="29">
        <f t="array" aca="1" ref="T1602" ca="1">+fair_value_gap(OFFSET(S1601,0,0,-1*$I$5,-1*$Z$1),OFFSET(E1601,0,0,-1*$I$5,1),F1602:S1602,0)</f>
        <v>16.712458036492063</v>
      </c>
      <c r="U1602" s="9" cm="1">
        <f t="array" aca="1" ref="U1602" ca="1">z_score_diff(OFFSET(T1602,0,0,$I$5*-1,1),OFFSET(E1602,0,0,$I$5*-1,1))</f>
        <v>6.1683661750800312E-2</v>
      </c>
      <c r="V1602" s="9">
        <f t="shared" ca="1" si="204"/>
        <v>-7.7140700847864235E-3</v>
      </c>
      <c r="W1602" s="17" t="e">
        <f t="shared" ca="1" si="201"/>
        <v>#NUM!</v>
      </c>
      <c r="X1602" s="13">
        <f t="shared" ca="1" si="202"/>
        <v>0</v>
      </c>
      <c r="Y1602" s="13">
        <f t="shared" ca="1" si="203"/>
        <v>0</v>
      </c>
      <c r="Z1602">
        <f t="shared" ca="1" si="205"/>
        <v>1</v>
      </c>
      <c r="AA1602">
        <f t="shared" ca="1" si="206"/>
        <v>0</v>
      </c>
      <c r="AB1602" s="24" t="str">
        <f t="shared" ca="1" si="209"/>
        <v/>
      </c>
      <c r="AC1602" s="24" t="str">
        <f t="shared" ca="1" si="210"/>
        <v/>
      </c>
    </row>
    <row r="1603" spans="3:29" x14ac:dyDescent="0.25">
      <c r="C1603" s="6">
        <v>1596</v>
      </c>
      <c r="D1603" s="37">
        <v>44278</v>
      </c>
      <c r="E1603" s="39">
        <v>16.747</v>
      </c>
      <c r="F1603" s="39">
        <v>2.0562451364137018</v>
      </c>
      <c r="G1603" s="39">
        <v>46.77596382045845</v>
      </c>
      <c r="H1603" s="39">
        <v>69.069174152632058</v>
      </c>
      <c r="I1603" s="10">
        <v>0</v>
      </c>
      <c r="J1603" s="40">
        <v>0</v>
      </c>
      <c r="K1603" s="40">
        <v>1</v>
      </c>
      <c r="L1603" s="40">
        <v>0</v>
      </c>
      <c r="M1603" s="40">
        <v>0</v>
      </c>
      <c r="N1603" s="40">
        <v>0</v>
      </c>
      <c r="O1603" s="40">
        <v>0</v>
      </c>
      <c r="P1603" s="40">
        <v>0</v>
      </c>
      <c r="Q1603" s="40">
        <v>0</v>
      </c>
      <c r="R1603" s="40">
        <v>0</v>
      </c>
      <c r="S1603" s="40">
        <v>0</v>
      </c>
      <c r="T1603" s="29">
        <f t="array" aca="1" ref="T1603" ca="1">+fair_value_gap(OFFSET(S1602,0,0,-1*$I$5,-1*$Z$1),OFFSET(E1602,0,0,-1*$I$5,1),F1603:S1603,0)</f>
        <v>16.643174519328742</v>
      </c>
      <c r="U1603" s="9" cm="1">
        <f t="array" aca="1" ref="U1603" ca="1">z_score_diff(OFFSET(T1603,0,0,$I$5*-1,1),OFFSET(E1603,0,0,$I$5*-1,1))</f>
        <v>-1.4699535189995228E-2</v>
      </c>
      <c r="V1603" s="9">
        <f t="shared" ca="1" si="204"/>
        <v>7.5633241531070285E-3</v>
      </c>
      <c r="W1603" s="17" t="e">
        <f t="shared" ca="1" si="201"/>
        <v>#NUM!</v>
      </c>
      <c r="X1603" s="13">
        <f t="shared" ca="1" si="202"/>
        <v>0</v>
      </c>
      <c r="Y1603" s="13">
        <f t="shared" ca="1" si="203"/>
        <v>0</v>
      </c>
      <c r="Z1603">
        <f t="shared" ca="1" si="205"/>
        <v>0</v>
      </c>
      <c r="AA1603">
        <f t="shared" ca="1" si="206"/>
        <v>1</v>
      </c>
      <c r="AB1603" s="24" t="str">
        <f t="shared" ca="1" si="209"/>
        <v/>
      </c>
      <c r="AC1603" s="24" t="str">
        <f t="shared" ca="1" si="210"/>
        <v/>
      </c>
    </row>
    <row r="1604" spans="3:29" x14ac:dyDescent="0.25">
      <c r="C1604" s="6">
        <v>1597</v>
      </c>
      <c r="D1604" s="37">
        <v>44279</v>
      </c>
      <c r="E1604" s="39">
        <v>16.8</v>
      </c>
      <c r="F1604" s="39">
        <v>2.070273926672503</v>
      </c>
      <c r="G1604" s="39">
        <v>47.141792328421538</v>
      </c>
      <c r="H1604" s="39">
        <v>69.023066497098185</v>
      </c>
      <c r="I1604" s="10">
        <v>0</v>
      </c>
      <c r="J1604" s="40">
        <v>0</v>
      </c>
      <c r="K1604" s="40">
        <v>1</v>
      </c>
      <c r="L1604" s="40">
        <v>0</v>
      </c>
      <c r="M1604" s="40">
        <v>0</v>
      </c>
      <c r="N1604" s="40">
        <v>0</v>
      </c>
      <c r="O1604" s="40">
        <v>0</v>
      </c>
      <c r="P1604" s="40">
        <v>0</v>
      </c>
      <c r="Q1604" s="40">
        <v>0</v>
      </c>
      <c r="R1604" s="40">
        <v>0</v>
      </c>
      <c r="S1604" s="40">
        <v>0</v>
      </c>
      <c r="T1604" s="29">
        <f t="array" aca="1" ref="T1604" ca="1">+fair_value_gap(OFFSET(S1603,0,0,-1*$I$5,-1*$Z$1),OFFSET(E1603,0,0,-1*$I$5,1),F1604:S1604,0)</f>
        <v>16.760935673341002</v>
      </c>
      <c r="U1604" s="9" cm="1">
        <f t="array" aca="1" ref="U1604" ca="1">z_score_diff(OFFSET(T1604,0,0,$I$5*-1,1),OFFSET(E1604,0,0,$I$5*-1,1))</f>
        <v>4.8663342474649429E-2</v>
      </c>
      <c r="V1604" s="9">
        <f t="shared" ca="1" si="204"/>
        <v>2.7129116182340811E-2</v>
      </c>
      <c r="W1604" s="17" t="e">
        <f t="shared" ca="1" si="201"/>
        <v>#NUM!</v>
      </c>
      <c r="X1604" s="13">
        <f t="shared" ca="1" si="202"/>
        <v>0</v>
      </c>
      <c r="Y1604" s="13">
        <f t="shared" ca="1" si="203"/>
        <v>0</v>
      </c>
      <c r="Z1604">
        <f t="shared" ca="1" si="205"/>
        <v>0</v>
      </c>
      <c r="AA1604">
        <f t="shared" ca="1" si="206"/>
        <v>1</v>
      </c>
      <c r="AB1604" s="24" t="str">
        <f t="shared" ca="1" si="209"/>
        <v/>
      </c>
      <c r="AC1604" s="24" t="str">
        <f t="shared" ca="1" si="210"/>
        <v/>
      </c>
    </row>
    <row r="1605" spans="3:29" x14ac:dyDescent="0.25">
      <c r="C1605" s="6">
        <v>1598</v>
      </c>
      <c r="D1605" s="37">
        <v>44280</v>
      </c>
      <c r="E1605" s="39">
        <v>16.567</v>
      </c>
      <c r="F1605" s="39">
        <v>2.0870572241383654</v>
      </c>
      <c r="G1605" s="39">
        <v>47.052730272246869</v>
      </c>
      <c r="H1605" s="39">
        <v>69.065062141772188</v>
      </c>
      <c r="I1605" s="10">
        <v>0</v>
      </c>
      <c r="J1605" s="40">
        <v>0</v>
      </c>
      <c r="K1605" s="40">
        <v>1</v>
      </c>
      <c r="L1605" s="40">
        <v>0</v>
      </c>
      <c r="M1605" s="40">
        <v>0</v>
      </c>
      <c r="N1605" s="40">
        <v>0</v>
      </c>
      <c r="O1605" s="40">
        <v>0</v>
      </c>
      <c r="P1605" s="40">
        <v>0</v>
      </c>
      <c r="Q1605" s="40">
        <v>0</v>
      </c>
      <c r="R1605" s="40">
        <v>0</v>
      </c>
      <c r="S1605" s="40">
        <v>0</v>
      </c>
      <c r="T1605" s="29">
        <f t="array" aca="1" ref="T1605" ca="1">+fair_value_gap(OFFSET(S1604,0,0,-1*$I$5,-1*$Z$1),OFFSET(E1604,0,0,-1*$I$5,1),F1605:S1605,0)</f>
        <v>16.734453062027814</v>
      </c>
      <c r="U1605" s="9" cm="1">
        <f t="array" aca="1" ref="U1605" ca="1">z_score_diff(OFFSET(T1605,0,0,$I$5*-1,1),OFFSET(E1605,0,0,$I$5*-1,1))</f>
        <v>0.24797597094175083</v>
      </c>
      <c r="V1605" s="9">
        <f t="shared" ca="1" si="204"/>
        <v>4.6685356870661061E-2</v>
      </c>
      <c r="W1605" s="17" t="e">
        <f t="shared" ca="1" si="201"/>
        <v>#NUM!</v>
      </c>
      <c r="X1605" s="13">
        <f t="shared" ca="1" si="202"/>
        <v>0</v>
      </c>
      <c r="Y1605" s="13">
        <f t="shared" ca="1" si="203"/>
        <v>0</v>
      </c>
      <c r="Z1605">
        <f t="shared" ca="1" si="205"/>
        <v>0</v>
      </c>
      <c r="AA1605">
        <f t="shared" ca="1" si="206"/>
        <v>1</v>
      </c>
      <c r="AB1605" s="24" t="str">
        <f t="shared" ca="1" si="209"/>
        <v/>
      </c>
      <c r="AC1605" s="24" t="str">
        <f t="shared" ca="1" si="210"/>
        <v/>
      </c>
    </row>
    <row r="1606" spans="3:29" x14ac:dyDescent="0.25">
      <c r="C1606" s="6">
        <v>1599</v>
      </c>
      <c r="D1606" s="37">
        <v>44281</v>
      </c>
      <c r="E1606" s="39">
        <v>16.715</v>
      </c>
      <c r="F1606" s="39">
        <v>2.0865085004506958</v>
      </c>
      <c r="G1606" s="39">
        <v>47.347016246820189</v>
      </c>
      <c r="H1606" s="39">
        <v>68.922573209833445</v>
      </c>
      <c r="I1606" s="10">
        <v>0</v>
      </c>
      <c r="J1606" s="40">
        <v>0</v>
      </c>
      <c r="K1606" s="40">
        <v>1</v>
      </c>
      <c r="L1606" s="40">
        <v>0</v>
      </c>
      <c r="M1606" s="40">
        <v>0</v>
      </c>
      <c r="N1606" s="40">
        <v>0</v>
      </c>
      <c r="O1606" s="40">
        <v>0</v>
      </c>
      <c r="P1606" s="40">
        <v>0</v>
      </c>
      <c r="Q1606" s="40">
        <v>0</v>
      </c>
      <c r="R1606" s="40">
        <v>0</v>
      </c>
      <c r="S1606" s="40">
        <v>0</v>
      </c>
      <c r="T1606" s="29">
        <f t="array" aca="1" ref="T1606" ca="1">+fair_value_gap(OFFSET(S1605,0,0,-1*$I$5,-1*$Z$1),OFFSET(E1605,0,0,-1*$I$5,1),F1606:S1606,0)</f>
        <v>16.811556629548065</v>
      </c>
      <c r="U1606" s="9" cm="1">
        <f t="array" aca="1" ref="U1606" ca="1">z_score_diff(OFFSET(T1606,0,0,$I$5*-1,1),OFFSET(E1606,0,0,$I$5*-1,1))</f>
        <v>0.17225915473851616</v>
      </c>
      <c r="V1606" s="9">
        <f t="shared" ca="1" si="204"/>
        <v>6.401821405760881E-2</v>
      </c>
      <c r="W1606" s="17" t="e">
        <f t="shared" ca="1" si="201"/>
        <v>#NUM!</v>
      </c>
      <c r="X1606" s="13">
        <f t="shared" ca="1" si="202"/>
        <v>0</v>
      </c>
      <c r="Y1606" s="13">
        <f t="shared" ca="1" si="203"/>
        <v>0</v>
      </c>
      <c r="Z1606">
        <f t="shared" ca="1" si="205"/>
        <v>0</v>
      </c>
      <c r="AA1606">
        <f t="shared" ca="1" si="206"/>
        <v>1</v>
      </c>
      <c r="AB1606" s="24" t="str">
        <f t="shared" ca="1" si="209"/>
        <v/>
      </c>
      <c r="AC1606" s="24" t="str">
        <f t="shared" ca="1" si="210"/>
        <v/>
      </c>
    </row>
    <row r="1607" spans="3:29" x14ac:dyDescent="0.25">
      <c r="C1607" s="6">
        <v>1600</v>
      </c>
      <c r="D1607" s="37">
        <v>44284</v>
      </c>
      <c r="E1607" s="39">
        <v>16.577999999999999</v>
      </c>
      <c r="F1607" s="39">
        <v>2.0984068894894996</v>
      </c>
      <c r="G1607" s="39">
        <v>46.786890866883823</v>
      </c>
      <c r="H1607" s="39">
        <v>69.457268042102427</v>
      </c>
      <c r="I1607" s="10">
        <v>0</v>
      </c>
      <c r="J1607" s="40">
        <v>0</v>
      </c>
      <c r="K1607" s="40">
        <v>1</v>
      </c>
      <c r="L1607" s="40">
        <v>0</v>
      </c>
      <c r="M1607" s="40">
        <v>0</v>
      </c>
      <c r="N1607" s="40">
        <v>0</v>
      </c>
      <c r="O1607" s="40">
        <v>0</v>
      </c>
      <c r="P1607" s="40">
        <v>0</v>
      </c>
      <c r="Q1607" s="40">
        <v>0</v>
      </c>
      <c r="R1607" s="40">
        <v>0</v>
      </c>
      <c r="S1607" s="40">
        <v>0</v>
      </c>
      <c r="T1607" s="29">
        <f t="array" aca="1" ref="T1607" ca="1">+fair_value_gap(OFFSET(S1606,0,0,-1*$I$5,-1*$Z$1),OFFSET(E1606,0,0,-1*$I$5,1),F1607:S1607,0)</f>
        <v>16.65180283794383</v>
      </c>
      <c r="U1607" s="9" cm="1">
        <f t="array" aca="1" ref="U1607" ca="1">z_score_diff(OFFSET(T1607,0,0,$I$5*-1,1),OFFSET(E1607,0,0,$I$5*-1,1))</f>
        <v>0.14517086579045446</v>
      </c>
      <c r="V1607" s="9">
        <f t="shared" ca="1" si="204"/>
        <v>7.2896487742005328E-2</v>
      </c>
      <c r="W1607" s="17" t="e">
        <f t="shared" ref="W1607:W1618" ca="1" si="211">+LN(OFFSET(E1607,$W$3,0,1,1)/E1607)</f>
        <v>#NUM!</v>
      </c>
      <c r="X1607" s="13">
        <f t="shared" ca="1" si="202"/>
        <v>0</v>
      </c>
      <c r="Y1607" s="13">
        <f t="shared" ca="1" si="203"/>
        <v>0</v>
      </c>
      <c r="Z1607">
        <f t="shared" ca="1" si="205"/>
        <v>0</v>
      </c>
      <c r="AA1607">
        <f t="shared" ca="1" si="206"/>
        <v>1</v>
      </c>
      <c r="AB1607" s="24" t="str">
        <f t="shared" ca="1" si="209"/>
        <v/>
      </c>
      <c r="AC1607" s="24" t="str">
        <f t="shared" ca="1" si="210"/>
        <v/>
      </c>
    </row>
    <row r="1608" spans="3:29" x14ac:dyDescent="0.25">
      <c r="C1608" s="6">
        <v>1601</v>
      </c>
      <c r="D1608" s="37">
        <v>44285</v>
      </c>
      <c r="E1608" s="39">
        <v>16.783000000000001</v>
      </c>
      <c r="F1608" s="39">
        <v>2.1235555398255141</v>
      </c>
      <c r="G1608" s="39">
        <v>47.507262571130212</v>
      </c>
      <c r="H1608" s="39">
        <v>69.689699660146843</v>
      </c>
      <c r="I1608" s="10">
        <v>0</v>
      </c>
      <c r="J1608" s="40">
        <v>0</v>
      </c>
      <c r="K1608" s="40">
        <v>1</v>
      </c>
      <c r="L1608" s="40">
        <v>0</v>
      </c>
      <c r="M1608" s="40">
        <v>0</v>
      </c>
      <c r="N1608" s="40">
        <v>0</v>
      </c>
      <c r="O1608" s="40">
        <v>0</v>
      </c>
      <c r="P1608" s="40">
        <v>0</v>
      </c>
      <c r="Q1608" s="40">
        <v>0</v>
      </c>
      <c r="R1608" s="40">
        <v>0</v>
      </c>
      <c r="S1608" s="40">
        <v>0</v>
      </c>
      <c r="T1608" s="29">
        <f t="array" aca="1" ref="T1608" ca="1">+fair_value_gap(OFFSET(S1607,0,0,-1*$I$5,-1*$Z$1),OFFSET(E1607,0,0,-1*$I$5,1),F1608:S1608,0)</f>
        <v>16.873341626244962</v>
      </c>
      <c r="U1608" s="9" cm="1">
        <f t="array" aca="1" ref="U1608" ca="1">z_score_diff(OFFSET(T1608,0,0,$I$5*-1,1),OFFSET(E1608,0,0,$I$5*-1,1))</f>
        <v>0.15681665949021451</v>
      </c>
      <c r="V1608" s="9">
        <f t="shared" ca="1" si="204"/>
        <v>8.3736449460190904E-2</v>
      </c>
      <c r="W1608" s="17" t="e">
        <f t="shared" ca="1" si="211"/>
        <v>#NUM!</v>
      </c>
      <c r="X1608" s="13">
        <f t="shared" ca="1" si="202"/>
        <v>0</v>
      </c>
      <c r="Y1608" s="13">
        <f t="shared" ca="1" si="203"/>
        <v>0</v>
      </c>
      <c r="Z1608">
        <f t="shared" ca="1" si="205"/>
        <v>0</v>
      </c>
      <c r="AA1608">
        <f t="shared" ca="1" si="206"/>
        <v>1</v>
      </c>
      <c r="AB1608" s="24" t="str">
        <f t="shared" ca="1" si="209"/>
        <v/>
      </c>
      <c r="AC1608" s="24" t="str">
        <f t="shared" ca="1" si="210"/>
        <v/>
      </c>
    </row>
    <row r="1609" spans="3:29" x14ac:dyDescent="0.25">
      <c r="C1609" s="6">
        <v>1602</v>
      </c>
      <c r="D1609" s="37">
        <v>44286</v>
      </c>
      <c r="E1609" s="39">
        <v>17.617000000000001</v>
      </c>
      <c r="F1609" s="39">
        <v>2.1258793582422695</v>
      </c>
      <c r="G1609" s="39">
        <v>52.723545739886319</v>
      </c>
      <c r="H1609" s="39">
        <v>69.388095581153735</v>
      </c>
      <c r="I1609" s="10">
        <v>0</v>
      </c>
      <c r="J1609" s="40">
        <v>0</v>
      </c>
      <c r="K1609" s="40">
        <v>1</v>
      </c>
      <c r="L1609" s="40">
        <v>0</v>
      </c>
      <c r="M1609" s="40">
        <v>0</v>
      </c>
      <c r="N1609" s="40">
        <v>0</v>
      </c>
      <c r="O1609" s="40">
        <v>0</v>
      </c>
      <c r="P1609" s="40">
        <v>0</v>
      </c>
      <c r="Q1609" s="40">
        <v>0</v>
      </c>
      <c r="R1609" s="40">
        <v>0</v>
      </c>
      <c r="S1609" s="40">
        <v>0</v>
      </c>
      <c r="T1609" s="29">
        <f t="array" aca="1" ref="T1609" ca="1">+fair_value_gap(OFFSET(S1608,0,0,-1*$I$5,-1*$Z$1),OFFSET(E1608,0,0,-1*$I$5,1),F1609:S1609,0)</f>
        <v>18.463985985525845</v>
      </c>
      <c r="U1609" s="9" cm="1">
        <f t="array" aca="1" ref="U1609" ca="1">z_score_diff(OFFSET(T1609,0,0,$I$5*-1,1),OFFSET(E1609,0,0,$I$5*-1,1))</f>
        <v>0.84967828422813341</v>
      </c>
      <c r="V1609" s="9">
        <f t="shared" ca="1" si="204"/>
        <v>0.10680177766834711</v>
      </c>
      <c r="W1609" s="17" t="e">
        <f t="shared" ca="1" si="211"/>
        <v>#NUM!</v>
      </c>
      <c r="X1609" s="13">
        <f t="shared" ref="X1609:X1618" ca="1" si="212">+X1608</f>
        <v>0</v>
      </c>
      <c r="Y1609" s="13">
        <f t="shared" ref="Y1609:Y1618" ca="1" si="213">+Y1608</f>
        <v>0</v>
      </c>
      <c r="Z1609">
        <f t="shared" ca="1" si="205"/>
        <v>0</v>
      </c>
      <c r="AA1609">
        <f t="shared" ca="1" si="206"/>
        <v>1</v>
      </c>
      <c r="AB1609" s="24" t="str">
        <f t="shared" ca="1" si="209"/>
        <v/>
      </c>
      <c r="AC1609" s="24" t="str">
        <f t="shared" ca="1" si="210"/>
        <v/>
      </c>
    </row>
    <row r="1610" spans="3:29" x14ac:dyDescent="0.25">
      <c r="C1610" s="6">
        <v>1603</v>
      </c>
      <c r="D1610" s="37">
        <v>44287</v>
      </c>
      <c r="E1610" s="39">
        <v>17.606000000000002</v>
      </c>
      <c r="F1610" s="39">
        <v>2.1197539442594397</v>
      </c>
      <c r="G1610" s="39">
        <v>52.77821400943423</v>
      </c>
      <c r="H1610" s="39">
        <v>69.275469945845273</v>
      </c>
      <c r="I1610" s="10">
        <v>0</v>
      </c>
      <c r="J1610" s="40">
        <v>0</v>
      </c>
      <c r="K1610" s="40">
        <v>0</v>
      </c>
      <c r="L1610" s="40">
        <v>1</v>
      </c>
      <c r="M1610" s="40">
        <v>0</v>
      </c>
      <c r="N1610" s="40">
        <v>0</v>
      </c>
      <c r="O1610" s="40">
        <v>0</v>
      </c>
      <c r="P1610" s="40">
        <v>0</v>
      </c>
      <c r="Q1610" s="40">
        <v>0</v>
      </c>
      <c r="R1610" s="40">
        <v>0</v>
      </c>
      <c r="S1610" s="40">
        <v>0</v>
      </c>
      <c r="T1610" s="29">
        <f t="array" aca="1" ref="T1610" ca="1">+fair_value_gap(OFFSET(S1609,0,0,-1*$I$5,-1*$Z$1),OFFSET(E1609,0,0,-1*$I$5,1),F1610:S1610,0)</f>
        <v>17.631050490928331</v>
      </c>
      <c r="U1610" s="9" cm="1">
        <f t="array" aca="1" ref="U1610" ca="1">z_score_diff(OFFSET(T1610,0,0,$I$5*-1,1),OFFSET(E1610,0,0,$I$5*-1,1))</f>
        <v>5.0353675261529229E-2</v>
      </c>
      <c r="V1610" s="9">
        <f t="shared" ca="1" si="204"/>
        <v>0.10462652805844805</v>
      </c>
      <c r="W1610" s="17" t="e">
        <f t="shared" ca="1" si="211"/>
        <v>#NUM!</v>
      </c>
      <c r="X1610" s="13">
        <f t="shared" ca="1" si="212"/>
        <v>0</v>
      </c>
      <c r="Y1610" s="13">
        <f t="shared" ca="1" si="213"/>
        <v>0</v>
      </c>
      <c r="Z1610">
        <f t="shared" ca="1" si="205"/>
        <v>0</v>
      </c>
      <c r="AA1610">
        <f t="shared" ca="1" si="206"/>
        <v>1</v>
      </c>
      <c r="AB1610" s="24" t="str">
        <f t="shared" ca="1" si="209"/>
        <v/>
      </c>
      <c r="AC1610" s="24" t="str">
        <f t="shared" ca="1" si="210"/>
        <v/>
      </c>
    </row>
    <row r="1611" spans="3:29" x14ac:dyDescent="0.25">
      <c r="C1611" s="6">
        <v>1604</v>
      </c>
      <c r="D1611" s="37">
        <v>44292</v>
      </c>
      <c r="E1611" s="39">
        <v>17.695</v>
      </c>
      <c r="F1611" s="39">
        <v>2.0856643618232811</v>
      </c>
      <c r="G1611" s="39">
        <v>53.093427137486032</v>
      </c>
      <c r="H1611" s="39">
        <v>69.20349068225913</v>
      </c>
      <c r="I1611" s="10">
        <v>0</v>
      </c>
      <c r="J1611" s="40">
        <v>0</v>
      </c>
      <c r="K1611" s="40">
        <v>0</v>
      </c>
      <c r="L1611" s="40">
        <v>1</v>
      </c>
      <c r="M1611" s="40">
        <v>0</v>
      </c>
      <c r="N1611" s="40">
        <v>0</v>
      </c>
      <c r="O1611" s="40">
        <v>0</v>
      </c>
      <c r="P1611" s="40">
        <v>0</v>
      </c>
      <c r="Q1611" s="40">
        <v>0</v>
      </c>
      <c r="R1611" s="40">
        <v>0</v>
      </c>
      <c r="S1611" s="40">
        <v>0</v>
      </c>
      <c r="T1611" s="29">
        <f t="array" aca="1" ref="T1611" ca="1">+fair_value_gap(OFFSET(S1610,0,0,-1*$I$5,-1*$Z$1),OFFSET(E1610,0,0,-1*$I$5,1),F1611:S1611,0)</f>
        <v>17.707755599432929</v>
      </c>
      <c r="U1611" s="9" cm="1">
        <f t="array" aca="1" ref="U1611" ca="1">z_score_diff(OFFSET(T1611,0,0,$I$5*-1,1),OFFSET(E1611,0,0,$I$5*-1,1))</f>
        <v>3.6158171258726224E-2</v>
      </c>
      <c r="V1611" s="9">
        <f t="shared" ref="V1611:V1618" ca="1" si="214">+IF(ISERROR(AVERAGE(OFFSET(U1611,0,0,$V$5*-1,1))),"",AVERAGE(OFFSET(U1611,0,0,$V$5*-1,1)))</f>
        <v>0.10524829076249713</v>
      </c>
      <c r="W1611" s="17" t="e">
        <f t="shared" ca="1" si="211"/>
        <v>#NUM!</v>
      </c>
      <c r="X1611" s="13">
        <f t="shared" ca="1" si="212"/>
        <v>0</v>
      </c>
      <c r="Y1611" s="13">
        <f t="shared" ca="1" si="213"/>
        <v>0</v>
      </c>
      <c r="Z1611">
        <f t="shared" ref="Z1611:Z1618" ca="1" si="215">+IF(V1611="","",IF(V1611&lt;X1611,1,0))</f>
        <v>0</v>
      </c>
      <c r="AA1611">
        <f t="shared" ref="AA1611:AA1618" ca="1" si="216">+IF(V1611="","",IF(V1611&gt;Y1611,1,0))</f>
        <v>1</v>
      </c>
      <c r="AB1611" s="24" t="str">
        <f t="shared" ref="AB1611:AB1618" ca="1" si="217">+IF(ISERROR(Z1611*W1611),"",Z1611*W1611)</f>
        <v/>
      </c>
      <c r="AC1611" s="24" t="str">
        <f t="shared" ref="AC1611:AC1618" ca="1" si="218">+IF(ISERROR(AA1611*W1611),"",AA1611*W1611)</f>
        <v/>
      </c>
    </row>
    <row r="1612" spans="3:29" x14ac:dyDescent="0.25">
      <c r="C1612" s="6">
        <v>1605</v>
      </c>
      <c r="D1612" s="37">
        <v>44293</v>
      </c>
      <c r="E1612" s="39">
        <v>17.445</v>
      </c>
      <c r="F1612" s="39">
        <v>2.1038200680642776</v>
      </c>
      <c r="G1612" s="39">
        <v>52.554342841419796</v>
      </c>
      <c r="H1612" s="39">
        <v>68.962706066638447</v>
      </c>
      <c r="I1612" s="10">
        <v>0</v>
      </c>
      <c r="J1612" s="40">
        <v>0</v>
      </c>
      <c r="K1612" s="40">
        <v>0</v>
      </c>
      <c r="L1612" s="40">
        <v>1</v>
      </c>
      <c r="M1612" s="40">
        <v>0</v>
      </c>
      <c r="N1612" s="40">
        <v>0</v>
      </c>
      <c r="O1612" s="40">
        <v>0</v>
      </c>
      <c r="P1612" s="40">
        <v>0</v>
      </c>
      <c r="Q1612" s="40">
        <v>0</v>
      </c>
      <c r="R1612" s="40">
        <v>0</v>
      </c>
      <c r="S1612" s="40">
        <v>0</v>
      </c>
      <c r="T1612" s="29">
        <f t="array" aca="1" ref="T1612" ca="1">+fair_value_gap(OFFSET(S1611,0,0,-1*$I$5,-1*$Z$1),OFFSET(E1611,0,0,-1*$I$5,1),F1612:S1612,0)</f>
        <v>17.529361099035807</v>
      </c>
      <c r="U1612" s="9" cm="1">
        <f t="array" aca="1" ref="U1612" ca="1">z_score_diff(OFFSET(T1612,0,0,$I$5*-1,1),OFFSET(E1612,0,0,$I$5*-1,1))</f>
        <v>0.10447493455650703</v>
      </c>
      <c r="V1612" s="9">
        <f t="shared" ca="1" si="214"/>
        <v>0.10617131550373458</v>
      </c>
      <c r="W1612" s="17" t="e">
        <f t="shared" ca="1" si="211"/>
        <v>#NUM!</v>
      </c>
      <c r="X1612" s="13">
        <f t="shared" ca="1" si="212"/>
        <v>0</v>
      </c>
      <c r="Y1612" s="13">
        <f t="shared" ca="1" si="213"/>
        <v>0</v>
      </c>
      <c r="Z1612">
        <f t="shared" ca="1" si="215"/>
        <v>0</v>
      </c>
      <c r="AA1612">
        <f t="shared" ca="1" si="216"/>
        <v>1</v>
      </c>
      <c r="AB1612" s="24" t="str">
        <f t="shared" ca="1" si="217"/>
        <v/>
      </c>
      <c r="AC1612" s="24" t="str">
        <f t="shared" ca="1" si="218"/>
        <v/>
      </c>
    </row>
    <row r="1613" spans="3:29" x14ac:dyDescent="0.25">
      <c r="C1613" s="6">
        <v>1606</v>
      </c>
      <c r="D1613" s="37">
        <v>44294</v>
      </c>
      <c r="E1613" s="39">
        <v>17.297000000000001</v>
      </c>
      <c r="F1613" s="39">
        <v>2.1072441487528826</v>
      </c>
      <c r="G1613" s="39">
        <v>51.802886535814636</v>
      </c>
      <c r="H1613" s="39">
        <v>67.880761788639447</v>
      </c>
      <c r="I1613" s="10">
        <v>0</v>
      </c>
      <c r="J1613" s="40">
        <v>0</v>
      </c>
      <c r="K1613" s="40">
        <v>0</v>
      </c>
      <c r="L1613" s="40">
        <v>1</v>
      </c>
      <c r="M1613" s="40">
        <v>0</v>
      </c>
      <c r="N1613" s="40">
        <v>0</v>
      </c>
      <c r="O1613" s="40">
        <v>0</v>
      </c>
      <c r="P1613" s="40">
        <v>0</v>
      </c>
      <c r="Q1613" s="40">
        <v>0</v>
      </c>
      <c r="R1613" s="40">
        <v>0</v>
      </c>
      <c r="S1613" s="40">
        <v>0</v>
      </c>
      <c r="T1613" s="29">
        <f t="array" aca="1" ref="T1613" ca="1">+fair_value_gap(OFFSET(S1612,0,0,-1*$I$5,-1*$Z$1),OFFSET(E1612,0,0,-1*$I$5,1),F1613:S1613,0)</f>
        <v>17.228105196450997</v>
      </c>
      <c r="U1613" s="9" cm="1">
        <f t="array" aca="1" ref="U1613" ca="1">z_score_diff(OFFSET(T1613,0,0,$I$5*-1,1),OFFSET(E1613,0,0,$I$5*-1,1))</f>
        <v>-3.7032046407749597E-2</v>
      </c>
      <c r="V1613" s="9">
        <f t="shared" ca="1" si="214"/>
        <v>9.8584221196329896E-2</v>
      </c>
      <c r="W1613" s="17" t="e">
        <f t="shared" ca="1" si="211"/>
        <v>#NUM!</v>
      </c>
      <c r="X1613" s="13">
        <f t="shared" ca="1" si="212"/>
        <v>0</v>
      </c>
      <c r="Y1613" s="13">
        <f t="shared" ca="1" si="213"/>
        <v>0</v>
      </c>
      <c r="Z1613">
        <f t="shared" ca="1" si="215"/>
        <v>0</v>
      </c>
      <c r="AA1613">
        <f t="shared" ca="1" si="216"/>
        <v>1</v>
      </c>
      <c r="AB1613" s="24" t="str">
        <f t="shared" ca="1" si="217"/>
        <v/>
      </c>
      <c r="AC1613" s="24" t="str">
        <f t="shared" ca="1" si="218"/>
        <v/>
      </c>
    </row>
    <row r="1614" spans="3:29" x14ac:dyDescent="0.25">
      <c r="C1614" s="6">
        <v>1607</v>
      </c>
      <c r="D1614" s="37">
        <v>44295</v>
      </c>
      <c r="E1614" s="39">
        <v>17.247</v>
      </c>
      <c r="F1614" s="39">
        <v>2.1120735084570077</v>
      </c>
      <c r="G1614" s="39">
        <v>51.575499755298722</v>
      </c>
      <c r="H1614" s="39">
        <v>67.636145752159592</v>
      </c>
      <c r="I1614" s="10">
        <v>0</v>
      </c>
      <c r="J1614" s="40">
        <v>0</v>
      </c>
      <c r="K1614" s="40">
        <v>0</v>
      </c>
      <c r="L1614" s="40">
        <v>1</v>
      </c>
      <c r="M1614" s="40">
        <v>0</v>
      </c>
      <c r="N1614" s="40">
        <v>0</v>
      </c>
      <c r="O1614" s="40">
        <v>0</v>
      </c>
      <c r="P1614" s="40">
        <v>0</v>
      </c>
      <c r="Q1614" s="40">
        <v>0</v>
      </c>
      <c r="R1614" s="40">
        <v>0</v>
      </c>
      <c r="S1614" s="40">
        <v>0</v>
      </c>
      <c r="T1614" s="29">
        <f t="array" aca="1" ref="T1614" ca="1">+fair_value_gap(OFFSET(S1613,0,0,-1*$I$5,-1*$Z$1),OFFSET(E1613,0,0,-1*$I$5,1),F1614:S1614,0)</f>
        <v>17.162385994045856</v>
      </c>
      <c r="U1614" s="9" cm="1">
        <f t="array" aca="1" ref="U1614" ca="1">z_score_diff(OFFSET(T1614,0,0,$I$5*-1,1),OFFSET(E1614,0,0,$I$5*-1,1))</f>
        <v>-4.9888572824348998E-2</v>
      </c>
      <c r="V1614" s="9">
        <f t="shared" ca="1" si="214"/>
        <v>9.5719483081456586E-2</v>
      </c>
      <c r="W1614" s="17" t="e">
        <f t="shared" ca="1" si="211"/>
        <v>#NUM!</v>
      </c>
      <c r="X1614" s="13">
        <f t="shared" ca="1" si="212"/>
        <v>0</v>
      </c>
      <c r="Y1614" s="13">
        <f t="shared" ca="1" si="213"/>
        <v>0</v>
      </c>
      <c r="Z1614">
        <f t="shared" ca="1" si="215"/>
        <v>0</v>
      </c>
      <c r="AA1614">
        <f t="shared" ca="1" si="216"/>
        <v>1</v>
      </c>
      <c r="AB1614" s="24" t="str">
        <f t="shared" ca="1" si="217"/>
        <v/>
      </c>
      <c r="AC1614" s="24" t="str">
        <f t="shared" ca="1" si="218"/>
        <v/>
      </c>
    </row>
    <row r="1615" spans="3:29" x14ac:dyDescent="0.25">
      <c r="C1615" s="6">
        <v>1608</v>
      </c>
      <c r="D1615" s="37">
        <v>44298</v>
      </c>
      <c r="E1615" s="39">
        <v>17.481999999999999</v>
      </c>
      <c r="F1615" s="39">
        <v>2.1276136883945931</v>
      </c>
      <c r="G1615" s="39">
        <v>52.28499949187978</v>
      </c>
      <c r="H1615" s="39">
        <v>67.644014147594177</v>
      </c>
      <c r="I1615" s="10">
        <v>0</v>
      </c>
      <c r="J1615" s="40">
        <v>0</v>
      </c>
      <c r="K1615" s="40">
        <v>0</v>
      </c>
      <c r="L1615" s="40">
        <v>1</v>
      </c>
      <c r="M1615" s="40">
        <v>0</v>
      </c>
      <c r="N1615" s="40">
        <v>0</v>
      </c>
      <c r="O1615" s="40">
        <v>0</v>
      </c>
      <c r="P1615" s="40">
        <v>0</v>
      </c>
      <c r="Q1615" s="40">
        <v>0</v>
      </c>
      <c r="R1615" s="40">
        <v>0</v>
      </c>
      <c r="S1615" s="40">
        <v>0</v>
      </c>
      <c r="T1615" s="29">
        <f t="array" aca="1" ref="T1615" ca="1">+fair_value_gap(OFFSET(S1614,0,0,-1*$I$5,-1*$Z$1),OFFSET(E1614,0,0,-1*$I$5,1),F1615:S1615,0)</f>
        <v>17.380415586726262</v>
      </c>
      <c r="U1615" s="9" cm="1">
        <f t="array" aca="1" ref="U1615" ca="1">z_score_diff(OFFSET(T1615,0,0,$I$5*-1,1),OFFSET(E1615,0,0,$I$5*-1,1))</f>
        <v>-6.6432200352243065E-2</v>
      </c>
      <c r="V1615" s="9">
        <f t="shared" ca="1" si="214"/>
        <v>8.7425293394867265E-2</v>
      </c>
      <c r="W1615" s="17" t="e">
        <f t="shared" ca="1" si="211"/>
        <v>#NUM!</v>
      </c>
      <c r="X1615" s="13">
        <f t="shared" ca="1" si="212"/>
        <v>0</v>
      </c>
      <c r="Y1615" s="13">
        <f t="shared" ca="1" si="213"/>
        <v>0</v>
      </c>
      <c r="Z1615">
        <f t="shared" ca="1" si="215"/>
        <v>0</v>
      </c>
      <c r="AA1615">
        <f t="shared" ca="1" si="216"/>
        <v>1</v>
      </c>
      <c r="AB1615" s="24" t="str">
        <f t="shared" ca="1" si="217"/>
        <v/>
      </c>
      <c r="AC1615" s="24" t="str">
        <f t="shared" ca="1" si="218"/>
        <v/>
      </c>
    </row>
    <row r="1616" spans="3:29" x14ac:dyDescent="0.25">
      <c r="C1616" s="6">
        <v>1609</v>
      </c>
      <c r="D1616" s="37">
        <v>44299</v>
      </c>
      <c r="E1616" s="39">
        <v>17.298999999999999</v>
      </c>
      <c r="F1616" s="39">
        <v>2.1247705603162941</v>
      </c>
      <c r="G1616" s="39">
        <v>51.941041622300595</v>
      </c>
      <c r="H1616" s="39">
        <v>67.8091888268969</v>
      </c>
      <c r="I1616" s="10">
        <v>0</v>
      </c>
      <c r="J1616" s="40">
        <v>0</v>
      </c>
      <c r="K1616" s="40">
        <v>0</v>
      </c>
      <c r="L1616" s="40">
        <v>1</v>
      </c>
      <c r="M1616" s="40">
        <v>0</v>
      </c>
      <c r="N1616" s="40">
        <v>0</v>
      </c>
      <c r="O1616" s="40">
        <v>0</v>
      </c>
      <c r="P1616" s="40">
        <v>0</v>
      </c>
      <c r="Q1616" s="40">
        <v>0</v>
      </c>
      <c r="R1616" s="40">
        <v>0</v>
      </c>
      <c r="S1616" s="40">
        <v>0</v>
      </c>
      <c r="T1616" s="29">
        <f t="array" aca="1" ref="T1616" ca="1">+fair_value_gap(OFFSET(S1615,0,0,-1*$I$5,-1*$Z$1),OFFSET(E1615,0,0,-1*$I$5,1),F1616:S1616,0)</f>
        <v>17.29997448832291</v>
      </c>
      <c r="U1616" s="9" cm="1">
        <f t="array" aca="1" ref="U1616" ca="1">z_score_diff(OFFSET(T1616,0,0,$I$5*-1,1),OFFSET(E1616,0,0,$I$5*-1,1))</f>
        <v>2.8375396488866667E-2</v>
      </c>
      <c r="V1616" s="9">
        <f t="shared" ca="1" si="214"/>
        <v>8.2157979433204728E-2</v>
      </c>
      <c r="W1616" s="17" t="e">
        <f t="shared" ca="1" si="211"/>
        <v>#NUM!</v>
      </c>
      <c r="X1616" s="13">
        <f t="shared" ca="1" si="212"/>
        <v>0</v>
      </c>
      <c r="Y1616" s="13">
        <f t="shared" ca="1" si="213"/>
        <v>0</v>
      </c>
      <c r="Z1616">
        <f t="shared" ca="1" si="215"/>
        <v>0</v>
      </c>
      <c r="AA1616">
        <f t="shared" ca="1" si="216"/>
        <v>1</v>
      </c>
      <c r="AB1616" s="24" t="str">
        <f t="shared" ca="1" si="217"/>
        <v/>
      </c>
      <c r="AC1616" s="24" t="str">
        <f t="shared" ca="1" si="218"/>
        <v/>
      </c>
    </row>
    <row r="1617" spans="3:29" x14ac:dyDescent="0.25">
      <c r="C1617" s="6">
        <v>1610</v>
      </c>
      <c r="D1617" s="37">
        <v>44300</v>
      </c>
      <c r="E1617" s="39">
        <v>17.439</v>
      </c>
      <c r="F1617" s="39">
        <v>2.1150867671896134</v>
      </c>
      <c r="G1617" s="39">
        <v>52.049832135876017</v>
      </c>
      <c r="H1617" s="39">
        <v>68.002594814163331</v>
      </c>
      <c r="I1617" s="10">
        <v>0</v>
      </c>
      <c r="J1617" s="40">
        <v>0</v>
      </c>
      <c r="K1617" s="40">
        <v>0</v>
      </c>
      <c r="L1617" s="40">
        <v>1</v>
      </c>
      <c r="M1617" s="40">
        <v>0</v>
      </c>
      <c r="N1617" s="40">
        <v>0</v>
      </c>
      <c r="O1617" s="40">
        <v>0</v>
      </c>
      <c r="P1617" s="40">
        <v>0</v>
      </c>
      <c r="Q1617" s="40">
        <v>0</v>
      </c>
      <c r="R1617" s="40">
        <v>0</v>
      </c>
      <c r="S1617" s="40">
        <v>0</v>
      </c>
      <c r="T1617" s="29">
        <f t="array" aca="1" ref="T1617" ca="1">+fair_value_gap(OFFSET(S1616,0,0,-1*$I$5,-1*$Z$1),OFFSET(E1616,0,0,-1*$I$5,1),F1617:S1617,0)</f>
        <v>17.341743996987024</v>
      </c>
      <c r="U1617" s="9" cm="1">
        <f t="array" aca="1" ref="U1617" ca="1">z_score_diff(OFFSET(T1617,0,0,$I$5*-1,1),OFFSET(E1617,0,0,$I$5*-1,1))</f>
        <v>-6.2194085819337275E-2</v>
      </c>
      <c r="V1617" s="9">
        <f t="shared" ca="1" si="214"/>
        <v>7.4357261629201254E-2</v>
      </c>
      <c r="W1617" s="17" t="e">
        <f t="shared" ca="1" si="211"/>
        <v>#NUM!</v>
      </c>
      <c r="X1617" s="13">
        <f t="shared" ca="1" si="212"/>
        <v>0</v>
      </c>
      <c r="Y1617" s="13">
        <f t="shared" ca="1" si="213"/>
        <v>0</v>
      </c>
      <c r="Z1617">
        <f t="shared" ca="1" si="215"/>
        <v>0</v>
      </c>
      <c r="AA1617">
        <f t="shared" ca="1" si="216"/>
        <v>1</v>
      </c>
      <c r="AB1617" s="24" t="str">
        <f t="shared" ca="1" si="217"/>
        <v/>
      </c>
      <c r="AC1617" s="24" t="str">
        <f t="shared" ca="1" si="218"/>
        <v/>
      </c>
    </row>
    <row r="1618" spans="3:29" x14ac:dyDescent="0.25">
      <c r="C1618" s="6">
        <v>1611</v>
      </c>
      <c r="D1618" s="37">
        <v>44301</v>
      </c>
      <c r="E1618" s="39">
        <v>17.722999999999999</v>
      </c>
      <c r="F1618" s="39">
        <v>2.1195407799151025</v>
      </c>
      <c r="G1618" s="39">
        <v>52.878443426450168</v>
      </c>
      <c r="H1618" s="39">
        <v>68.808758678442814</v>
      </c>
      <c r="I1618" s="10">
        <v>0</v>
      </c>
      <c r="J1618" s="40">
        <v>0</v>
      </c>
      <c r="K1618" s="40">
        <v>0</v>
      </c>
      <c r="L1618" s="40">
        <v>1</v>
      </c>
      <c r="M1618" s="40">
        <v>0</v>
      </c>
      <c r="N1618" s="40">
        <v>0</v>
      </c>
      <c r="O1618" s="40">
        <v>0</v>
      </c>
      <c r="P1618" s="40">
        <v>0</v>
      </c>
      <c r="Q1618" s="40">
        <v>0</v>
      </c>
      <c r="R1618" s="40">
        <v>0</v>
      </c>
      <c r="S1618" s="40">
        <v>0</v>
      </c>
      <c r="T1618" s="29">
        <f t="array" aca="1" ref="T1618" ca="1">+fair_value_gap(OFFSET(S1617,0,0,-1*$I$5,-1*$Z$1),OFFSET(E1617,0,0,-1*$I$5,1),F1618:S1618,0)</f>
        <v>17.630937526359542</v>
      </c>
      <c r="U1618" s="9" cm="1">
        <f t="array" aca="1" ref="U1618" ca="1">z_score_diff(OFFSET(T1618,0,0,$I$5*-1,1),OFFSET(E1618,0,0,$I$5*-1,1))</f>
        <v>-6.1031084494401089E-2</v>
      </c>
      <c r="V1618" s="9">
        <f t="shared" ca="1" si="214"/>
        <v>6.5861927575062554E-2</v>
      </c>
      <c r="W1618" s="17" t="e">
        <f t="shared" ca="1" si="211"/>
        <v>#NUM!</v>
      </c>
      <c r="X1618" s="13">
        <f t="shared" ca="1" si="212"/>
        <v>0</v>
      </c>
      <c r="Y1618" s="13">
        <f t="shared" ca="1" si="213"/>
        <v>0</v>
      </c>
      <c r="Z1618">
        <f t="shared" ca="1" si="215"/>
        <v>0</v>
      </c>
      <c r="AA1618">
        <f t="shared" ca="1" si="216"/>
        <v>1</v>
      </c>
      <c r="AB1618" s="24" t="str">
        <f t="shared" ca="1" si="217"/>
        <v/>
      </c>
      <c r="AC1618" s="24" t="str">
        <f t="shared" ca="1" si="218"/>
        <v/>
      </c>
    </row>
    <row r="1619" spans="3:29" x14ac:dyDescent="0.25">
      <c r="D1619" s="3"/>
      <c r="E1619" s="15"/>
      <c r="F1619" s="15"/>
      <c r="G1619" s="15"/>
      <c r="H1619" s="15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9"/>
      <c r="V1619" s="9"/>
      <c r="W1619" s="17"/>
      <c r="X1619" s="13"/>
      <c r="Y1619" s="13"/>
      <c r="AB1619" s="24"/>
      <c r="AC1619" s="23"/>
    </row>
    <row r="1620" spans="3:29" x14ac:dyDescent="0.25">
      <c r="D1620" s="3"/>
      <c r="E1620" s="15"/>
      <c r="F1620" s="15"/>
      <c r="G1620" s="15"/>
      <c r="H1620" s="15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9"/>
      <c r="V1620" s="9"/>
      <c r="W1620" s="17"/>
      <c r="X1620" s="13"/>
      <c r="Y1620" s="13"/>
      <c r="AB1620" s="24"/>
      <c r="AC1620" s="23"/>
    </row>
    <row r="1621" spans="3:29" x14ac:dyDescent="0.25">
      <c r="D1621" s="3"/>
      <c r="E1621" s="15"/>
      <c r="F1621" s="15"/>
      <c r="G1621" s="15"/>
      <c r="H1621" s="15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9"/>
      <c r="V1621" s="9"/>
      <c r="W1621" s="17"/>
      <c r="X1621" s="13"/>
      <c r="Y1621" s="13"/>
      <c r="AB1621" s="24"/>
      <c r="AC1621" s="23"/>
    </row>
    <row r="1622" spans="3:29" x14ac:dyDescent="0.25">
      <c r="D1622" s="3"/>
      <c r="E1622" s="15"/>
      <c r="F1622" s="15"/>
      <c r="G1622" s="15"/>
      <c r="H1622" s="15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9"/>
      <c r="V1622" s="9"/>
      <c r="W1622" s="17"/>
      <c r="X1622" s="13"/>
      <c r="Y1622" s="13"/>
      <c r="AB1622" s="24"/>
      <c r="AC1622" s="23"/>
    </row>
    <row r="1623" spans="3:29" x14ac:dyDescent="0.25">
      <c r="D1623" s="3"/>
      <c r="E1623" s="15"/>
      <c r="F1623" s="15"/>
      <c r="G1623" s="15"/>
      <c r="H1623" s="15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17"/>
      <c r="X1623" s="13"/>
      <c r="Y1623" s="13"/>
      <c r="AB1623" s="24"/>
      <c r="AC1623" s="23"/>
    </row>
    <row r="1624" spans="3:29" x14ac:dyDescent="0.25">
      <c r="D1624" s="3"/>
      <c r="E1624" s="15"/>
      <c r="F1624" s="15"/>
      <c r="G1624" s="15"/>
      <c r="H1624" s="15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17"/>
      <c r="X1624" s="13"/>
      <c r="Y1624" s="13"/>
      <c r="AB1624" s="24"/>
      <c r="AC1624" s="23"/>
    </row>
    <row r="1625" spans="3:29" x14ac:dyDescent="0.25">
      <c r="D1625" s="3"/>
      <c r="E1625" s="15"/>
      <c r="F1625" s="15"/>
      <c r="G1625" s="15"/>
      <c r="H1625" s="15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17"/>
      <c r="X1625" s="13"/>
      <c r="Y1625" s="13"/>
      <c r="AB1625" s="24"/>
      <c r="AC1625" s="23"/>
    </row>
    <row r="1626" spans="3:29" x14ac:dyDescent="0.25">
      <c r="D1626" s="3"/>
      <c r="E1626" s="15"/>
      <c r="F1626" s="15"/>
      <c r="G1626" s="15"/>
      <c r="H1626" s="15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17"/>
      <c r="X1626" s="13"/>
      <c r="Y1626" s="13"/>
      <c r="AB1626" s="24"/>
      <c r="AC1626" s="23"/>
    </row>
    <row r="1627" spans="3:29" x14ac:dyDescent="0.25">
      <c r="D1627" s="3"/>
      <c r="E1627" s="15"/>
      <c r="F1627" s="15"/>
      <c r="G1627" s="15"/>
      <c r="H1627" s="15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17"/>
      <c r="X1627" s="13"/>
      <c r="Y1627" s="13"/>
      <c r="AB1627" s="24"/>
      <c r="AC1627" s="23"/>
    </row>
    <row r="1628" spans="3:29" x14ac:dyDescent="0.25">
      <c r="D1628" s="3"/>
      <c r="E1628" s="15"/>
      <c r="F1628" s="15"/>
      <c r="G1628" s="15"/>
      <c r="H1628" s="15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17"/>
      <c r="X1628" s="13"/>
      <c r="Y1628" s="13"/>
      <c r="AB1628" s="24"/>
      <c r="AC1628" s="23"/>
    </row>
    <row r="1629" spans="3:29" x14ac:dyDescent="0.25">
      <c r="D1629" s="3"/>
      <c r="E1629" s="15"/>
      <c r="F1629" s="15"/>
      <c r="G1629" s="15"/>
      <c r="H1629" s="15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17"/>
      <c r="X1629" s="13"/>
      <c r="Y1629" s="13"/>
      <c r="AB1629" s="24"/>
      <c r="AC1629" s="23"/>
    </row>
    <row r="1630" spans="3:29" x14ac:dyDescent="0.25">
      <c r="D1630" s="3"/>
      <c r="E1630" s="15"/>
      <c r="F1630" s="15"/>
      <c r="G1630" s="15"/>
      <c r="H1630" s="15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17"/>
      <c r="X1630" s="13"/>
      <c r="Y1630" s="13"/>
      <c r="AB1630" s="24"/>
      <c r="AC1630" s="23"/>
    </row>
    <row r="1631" spans="3:29" x14ac:dyDescent="0.25">
      <c r="D1631" s="3"/>
      <c r="E1631" s="15"/>
      <c r="F1631" s="15"/>
      <c r="G1631" s="15"/>
      <c r="H1631" s="15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17"/>
      <c r="X1631" s="13"/>
      <c r="Y1631" s="13"/>
      <c r="AB1631" s="24"/>
      <c r="AC1631" s="23"/>
    </row>
    <row r="1632" spans="3:29" x14ac:dyDescent="0.25">
      <c r="D1632" s="3"/>
      <c r="E1632" s="15"/>
      <c r="F1632" s="15"/>
      <c r="G1632" s="15"/>
      <c r="H1632" s="15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17"/>
      <c r="X1632" s="13"/>
      <c r="Y1632" s="13"/>
      <c r="AB1632" s="24"/>
      <c r="AC1632" s="23"/>
    </row>
    <row r="1633" spans="4:29" x14ac:dyDescent="0.25">
      <c r="D1633" s="3"/>
      <c r="E1633" s="15"/>
      <c r="F1633" s="15"/>
      <c r="G1633" s="15"/>
      <c r="H1633" s="15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17"/>
      <c r="X1633" s="13"/>
      <c r="Y1633" s="13"/>
      <c r="AB1633" s="24"/>
      <c r="AC1633" s="23"/>
    </row>
    <row r="1634" spans="4:29" x14ac:dyDescent="0.25">
      <c r="D1634" s="3"/>
      <c r="E1634" s="15"/>
      <c r="F1634" s="15"/>
      <c r="G1634" s="15"/>
      <c r="H1634" s="15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17"/>
      <c r="X1634" s="13"/>
      <c r="Y1634" s="13"/>
      <c r="AB1634" s="24"/>
      <c r="AC1634" s="23"/>
    </row>
    <row r="1635" spans="4:29" x14ac:dyDescent="0.25">
      <c r="D1635" s="3"/>
      <c r="E1635" s="15"/>
      <c r="F1635" s="15"/>
      <c r="G1635" s="15"/>
      <c r="H1635" s="15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17"/>
      <c r="X1635" s="13"/>
      <c r="Y1635" s="13"/>
      <c r="AB1635" s="24"/>
      <c r="AC1635" s="23"/>
    </row>
    <row r="1636" spans="4:29" x14ac:dyDescent="0.25">
      <c r="D1636" s="3"/>
      <c r="E1636" s="15"/>
      <c r="F1636" s="15"/>
      <c r="G1636" s="15"/>
      <c r="H1636" s="15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17"/>
      <c r="X1636" s="13"/>
      <c r="Y1636" s="13"/>
      <c r="AB1636" s="24"/>
      <c r="AC1636" s="23"/>
    </row>
    <row r="1637" spans="4:29" x14ac:dyDescent="0.25">
      <c r="D1637" s="3"/>
      <c r="E1637" s="15"/>
      <c r="F1637" s="15"/>
      <c r="G1637" s="15"/>
      <c r="H1637" s="15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17"/>
      <c r="X1637" s="13"/>
      <c r="Y1637" s="13"/>
      <c r="AB1637" s="24"/>
      <c r="AC1637" s="23"/>
    </row>
    <row r="1638" spans="4:29" x14ac:dyDescent="0.25">
      <c r="D1638" s="3"/>
      <c r="E1638" s="15"/>
      <c r="F1638" s="15"/>
      <c r="G1638" s="15"/>
      <c r="H1638" s="15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17"/>
      <c r="X1638" s="13"/>
      <c r="Y1638" s="13"/>
      <c r="AB1638" s="24"/>
      <c r="AC1638" s="23"/>
    </row>
    <row r="1639" spans="4:29" x14ac:dyDescent="0.25">
      <c r="D1639" s="3"/>
      <c r="E1639" s="15"/>
      <c r="F1639" s="15"/>
      <c r="G1639" s="15"/>
      <c r="H1639" s="15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17"/>
      <c r="X1639" s="13"/>
      <c r="Y1639" s="13"/>
      <c r="AB1639" s="24"/>
      <c r="AC1639" s="23"/>
    </row>
    <row r="1640" spans="4:29" x14ac:dyDescent="0.25">
      <c r="D1640" s="3"/>
      <c r="E1640" s="15"/>
      <c r="F1640" s="15"/>
      <c r="G1640" s="15"/>
      <c r="H1640" s="15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17"/>
      <c r="X1640" s="13"/>
      <c r="Y1640" s="13"/>
      <c r="AB1640" s="24"/>
      <c r="AC1640" s="23"/>
    </row>
    <row r="1641" spans="4:29" x14ac:dyDescent="0.25">
      <c r="D1641" s="3"/>
      <c r="E1641" s="15"/>
      <c r="F1641" s="15"/>
      <c r="G1641" s="15"/>
      <c r="H1641" s="15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17"/>
      <c r="X1641" s="13"/>
      <c r="Y1641" s="13"/>
      <c r="AB1641" s="24"/>
      <c r="AC1641" s="23"/>
    </row>
    <row r="1642" spans="4:29" x14ac:dyDescent="0.25">
      <c r="D1642" s="3"/>
      <c r="E1642" s="15"/>
      <c r="F1642" s="15"/>
      <c r="G1642" s="15"/>
      <c r="H1642" s="15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17"/>
      <c r="X1642" s="13"/>
      <c r="Y1642" s="13"/>
      <c r="AB1642" s="24"/>
      <c r="AC1642" s="23"/>
    </row>
    <row r="1643" spans="4:29" x14ac:dyDescent="0.25">
      <c r="D1643" s="3"/>
      <c r="E1643" s="15"/>
      <c r="F1643" s="15"/>
      <c r="G1643" s="15"/>
      <c r="H1643" s="15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17"/>
      <c r="X1643" s="13"/>
      <c r="Y1643" s="13"/>
      <c r="AB1643" s="24"/>
      <c r="AC1643" s="23"/>
    </row>
    <row r="1644" spans="4:29" x14ac:dyDescent="0.25">
      <c r="D1644" s="3"/>
      <c r="E1644" s="15"/>
      <c r="F1644" s="15"/>
      <c r="G1644" s="15"/>
      <c r="H1644" s="15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17"/>
      <c r="X1644" s="13"/>
      <c r="Y1644" s="13"/>
      <c r="AB1644" s="24"/>
      <c r="AC1644" s="23"/>
    </row>
    <row r="1645" spans="4:29" x14ac:dyDescent="0.25">
      <c r="D1645" s="3"/>
      <c r="E1645" s="15"/>
      <c r="F1645" s="15"/>
      <c r="G1645" s="15"/>
      <c r="H1645" s="15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17"/>
      <c r="X1645" s="13"/>
      <c r="Y1645" s="13"/>
      <c r="AB1645" s="24"/>
      <c r="AC1645" s="23"/>
    </row>
    <row r="1646" spans="4:29" x14ac:dyDescent="0.25">
      <c r="D1646" s="3"/>
      <c r="E1646" s="15"/>
      <c r="F1646" s="15"/>
      <c r="G1646" s="15"/>
      <c r="H1646" s="15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17"/>
      <c r="X1646" s="13"/>
      <c r="Y1646" s="13"/>
      <c r="AB1646" s="24"/>
      <c r="AC1646" s="23"/>
    </row>
    <row r="1647" spans="4:29" x14ac:dyDescent="0.25">
      <c r="D1647" s="3"/>
      <c r="E1647" s="15"/>
      <c r="F1647" s="15"/>
      <c r="G1647" s="15"/>
      <c r="H1647" s="15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17"/>
      <c r="X1647" s="13"/>
      <c r="Y1647" s="13"/>
      <c r="AB1647" s="24"/>
      <c r="AC1647" s="23"/>
    </row>
    <row r="1648" spans="4:29" x14ac:dyDescent="0.25">
      <c r="D1648" s="3"/>
      <c r="E1648" s="15"/>
      <c r="F1648" s="15"/>
      <c r="G1648" s="15"/>
      <c r="H1648" s="15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17"/>
      <c r="X1648" s="13"/>
      <c r="Y1648" s="13"/>
      <c r="AB1648" s="24"/>
      <c r="AC1648" s="23"/>
    </row>
    <row r="1649" spans="4:29" x14ac:dyDescent="0.25">
      <c r="D1649" s="3"/>
      <c r="E1649" s="15"/>
      <c r="F1649" s="15"/>
      <c r="G1649" s="15"/>
      <c r="H1649" s="15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17"/>
      <c r="X1649" s="13"/>
      <c r="Y1649" s="13"/>
      <c r="AB1649" s="24"/>
      <c r="AC1649" s="23"/>
    </row>
    <row r="1650" spans="4:29" x14ac:dyDescent="0.25">
      <c r="D1650" s="3"/>
      <c r="E1650" s="15"/>
      <c r="F1650" s="15"/>
      <c r="G1650" s="15"/>
      <c r="H1650" s="15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17"/>
      <c r="X1650" s="13"/>
      <c r="Y1650" s="13"/>
      <c r="AB1650" s="24"/>
      <c r="AC1650" s="23"/>
    </row>
    <row r="1651" spans="4:29" x14ac:dyDescent="0.25">
      <c r="D1651" s="3"/>
      <c r="E1651" s="15"/>
      <c r="F1651" s="15"/>
      <c r="G1651" s="15"/>
      <c r="H1651" s="15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17"/>
      <c r="X1651" s="13"/>
      <c r="Y1651" s="13"/>
      <c r="AB1651" s="24"/>
      <c r="AC1651" s="23"/>
    </row>
    <row r="1652" spans="4:29" x14ac:dyDescent="0.25">
      <c r="D1652" s="3"/>
      <c r="E1652" s="15"/>
      <c r="F1652" s="15"/>
      <c r="G1652" s="15"/>
      <c r="H1652" s="15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17"/>
      <c r="X1652" s="13"/>
      <c r="Y1652" s="13"/>
      <c r="AB1652" s="24"/>
      <c r="AC1652" s="23"/>
    </row>
    <row r="1653" spans="4:29" x14ac:dyDescent="0.25">
      <c r="D1653" s="3"/>
      <c r="E1653" s="15"/>
      <c r="F1653" s="15"/>
      <c r="G1653" s="15"/>
      <c r="H1653" s="15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17"/>
      <c r="X1653" s="13"/>
      <c r="Y1653" s="13"/>
      <c r="AB1653" s="24"/>
      <c r="AC1653" s="23"/>
    </row>
    <row r="1654" spans="4:29" x14ac:dyDescent="0.25">
      <c r="D1654" s="3"/>
      <c r="E1654" s="15"/>
      <c r="F1654" s="15"/>
      <c r="G1654" s="15"/>
      <c r="H1654" s="15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17"/>
      <c r="X1654" s="13"/>
      <c r="Y1654" s="13"/>
      <c r="AB1654" s="24"/>
      <c r="AC1654" s="23"/>
    </row>
    <row r="1655" spans="4:29" x14ac:dyDescent="0.25">
      <c r="D1655" s="3"/>
      <c r="E1655" s="15"/>
      <c r="F1655" s="15"/>
      <c r="G1655" s="15"/>
      <c r="H1655" s="15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17"/>
      <c r="X1655" s="13"/>
      <c r="Y1655" s="13"/>
      <c r="AB1655" s="24"/>
      <c r="AC1655" s="23"/>
    </row>
    <row r="1656" spans="4:29" x14ac:dyDescent="0.25">
      <c r="D1656" s="3"/>
      <c r="E1656" s="15"/>
      <c r="F1656" s="15"/>
      <c r="G1656" s="15"/>
      <c r="H1656" s="15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17"/>
      <c r="X1656" s="13"/>
      <c r="Y1656" s="13"/>
      <c r="AB1656" s="24"/>
      <c r="AC1656" s="23"/>
    </row>
    <row r="1657" spans="4:29" x14ac:dyDescent="0.25">
      <c r="D1657" s="3"/>
      <c r="E1657" s="15"/>
      <c r="F1657" s="15"/>
      <c r="G1657" s="15"/>
      <c r="H1657" s="15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17"/>
      <c r="X1657" s="13"/>
      <c r="Y1657" s="13"/>
      <c r="AB1657" s="24"/>
      <c r="AC1657" s="23"/>
    </row>
    <row r="1658" spans="4:29" x14ac:dyDescent="0.25">
      <c r="D1658" s="3"/>
      <c r="E1658" s="15"/>
      <c r="F1658" s="15"/>
      <c r="G1658" s="15"/>
      <c r="H1658" s="15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17"/>
      <c r="X1658" s="13"/>
      <c r="Y1658" s="13"/>
      <c r="AB1658" s="24"/>
      <c r="AC1658" s="23"/>
    </row>
    <row r="1659" spans="4:29" x14ac:dyDescent="0.25">
      <c r="D1659" s="3"/>
      <c r="E1659" s="15"/>
      <c r="F1659" s="15"/>
      <c r="G1659" s="15"/>
      <c r="H1659" s="15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17"/>
      <c r="X1659" s="13"/>
      <c r="Y1659" s="13"/>
      <c r="AB1659" s="24"/>
      <c r="AC1659" s="23"/>
    </row>
    <row r="1660" spans="4:29" x14ac:dyDescent="0.25">
      <c r="D1660" s="3"/>
      <c r="E1660" s="15"/>
      <c r="F1660" s="15"/>
      <c r="G1660" s="15"/>
      <c r="H1660" s="15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17"/>
      <c r="X1660" s="13"/>
      <c r="Y1660" s="13"/>
      <c r="AB1660" s="24"/>
      <c r="AC1660" s="23"/>
    </row>
    <row r="1661" spans="4:29" x14ac:dyDescent="0.25">
      <c r="D1661" s="3"/>
      <c r="E1661" s="15"/>
      <c r="F1661" s="15"/>
      <c r="G1661" s="15"/>
      <c r="H1661" s="15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17"/>
      <c r="X1661" s="13"/>
      <c r="Y1661" s="13"/>
      <c r="AB1661" s="24"/>
      <c r="AC1661" s="23"/>
    </row>
    <row r="1662" spans="4:29" x14ac:dyDescent="0.25">
      <c r="D1662" s="3"/>
      <c r="E1662" s="15"/>
      <c r="F1662" s="15"/>
      <c r="G1662" s="15"/>
      <c r="H1662" s="15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17"/>
      <c r="X1662" s="13"/>
      <c r="Y1662" s="13"/>
      <c r="AB1662" s="24"/>
      <c r="AC1662" s="23"/>
    </row>
    <row r="1663" spans="4:29" x14ac:dyDescent="0.25">
      <c r="D1663" s="3"/>
      <c r="E1663" s="15"/>
      <c r="F1663" s="15"/>
      <c r="G1663" s="15"/>
      <c r="H1663" s="15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17"/>
      <c r="X1663" s="13"/>
      <c r="Y1663" s="13"/>
      <c r="AB1663" s="24"/>
      <c r="AC1663" s="23"/>
    </row>
    <row r="1664" spans="4:29" x14ac:dyDescent="0.25">
      <c r="D1664" s="3"/>
      <c r="E1664" s="15"/>
      <c r="F1664" s="15"/>
      <c r="G1664" s="15"/>
      <c r="H1664" s="15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17"/>
      <c r="X1664" s="13"/>
      <c r="Y1664" s="13"/>
      <c r="AB1664" s="24"/>
      <c r="AC1664" s="23"/>
    </row>
    <row r="1665" spans="4:29" x14ac:dyDescent="0.25">
      <c r="D1665" s="3"/>
      <c r="E1665" s="15"/>
      <c r="F1665" s="15"/>
      <c r="G1665" s="15"/>
      <c r="H1665" s="15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17"/>
      <c r="X1665" s="13"/>
      <c r="Y1665" s="13"/>
      <c r="AB1665" s="24"/>
      <c r="AC1665" s="23"/>
    </row>
    <row r="1666" spans="4:29" x14ac:dyDescent="0.25">
      <c r="D1666" s="3"/>
      <c r="E1666" s="15"/>
      <c r="F1666" s="15"/>
      <c r="G1666" s="15"/>
      <c r="H1666" s="15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17"/>
      <c r="X1666" s="13"/>
      <c r="Y1666" s="13"/>
      <c r="AB1666" s="24"/>
      <c r="AC1666" s="23"/>
    </row>
    <row r="1667" spans="4:29" x14ac:dyDescent="0.25">
      <c r="D1667" s="3"/>
      <c r="E1667" s="15"/>
      <c r="F1667" s="15"/>
      <c r="G1667" s="15"/>
      <c r="H1667" s="15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17"/>
      <c r="X1667" s="13"/>
      <c r="Y1667" s="13"/>
      <c r="AB1667" s="24"/>
      <c r="AC1667" s="23"/>
    </row>
    <row r="1668" spans="4:29" x14ac:dyDescent="0.25">
      <c r="D1668" s="3"/>
      <c r="E1668" s="15"/>
      <c r="F1668" s="15"/>
      <c r="G1668" s="15"/>
      <c r="H1668" s="15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17"/>
      <c r="X1668" s="13"/>
      <c r="Y1668" s="13"/>
      <c r="AB1668" s="24"/>
      <c r="AC1668" s="23"/>
    </row>
    <row r="1669" spans="4:29" x14ac:dyDescent="0.25">
      <c r="D1669" s="3"/>
      <c r="E1669" s="15"/>
      <c r="F1669" s="15"/>
      <c r="G1669" s="15"/>
      <c r="H1669" s="15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17"/>
      <c r="X1669" s="13"/>
      <c r="Y1669" s="13"/>
      <c r="AB1669" s="24"/>
      <c r="AC1669" s="23"/>
    </row>
    <row r="1670" spans="4:29" x14ac:dyDescent="0.25">
      <c r="D1670" s="3"/>
      <c r="E1670" s="15"/>
      <c r="F1670" s="15"/>
      <c r="G1670" s="15"/>
      <c r="H1670" s="15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17"/>
      <c r="X1670" s="13"/>
      <c r="Y1670" s="13"/>
      <c r="AB1670" s="24"/>
      <c r="AC1670" s="23"/>
    </row>
    <row r="1671" spans="4:29" x14ac:dyDescent="0.25">
      <c r="D1671" s="3"/>
      <c r="E1671" s="15"/>
      <c r="F1671" s="15"/>
      <c r="G1671" s="15"/>
      <c r="H1671" s="15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17"/>
      <c r="X1671" s="13"/>
      <c r="Y1671" s="13"/>
      <c r="AB1671" s="24"/>
      <c r="AC1671" s="23"/>
    </row>
    <row r="1672" spans="4:29" x14ac:dyDescent="0.25">
      <c r="D1672" s="3"/>
      <c r="E1672" s="15"/>
      <c r="F1672" s="15"/>
      <c r="G1672" s="15"/>
      <c r="H1672" s="15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17"/>
      <c r="X1672" s="13"/>
      <c r="Y1672" s="13"/>
      <c r="AB1672" s="24"/>
      <c r="AC1672" s="23"/>
    </row>
    <row r="1673" spans="4:29" x14ac:dyDescent="0.25">
      <c r="D1673" s="3"/>
      <c r="E1673" s="15"/>
      <c r="F1673" s="15"/>
      <c r="G1673" s="15"/>
      <c r="H1673" s="15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17"/>
      <c r="X1673" s="13"/>
      <c r="Y1673" s="13"/>
      <c r="AB1673" s="24"/>
      <c r="AC1673" s="23"/>
    </row>
    <row r="1674" spans="4:29" x14ac:dyDescent="0.25">
      <c r="D1674" s="3"/>
      <c r="E1674" s="15"/>
      <c r="F1674" s="15"/>
      <c r="G1674" s="15"/>
      <c r="H1674" s="15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17"/>
      <c r="X1674" s="13"/>
      <c r="Y1674" s="13"/>
      <c r="AB1674" s="24"/>
      <c r="AC1674" s="23"/>
    </row>
    <row r="1675" spans="4:29" x14ac:dyDescent="0.25">
      <c r="D1675" s="3"/>
      <c r="E1675" s="15"/>
      <c r="F1675" s="15"/>
      <c r="G1675" s="15"/>
      <c r="H1675" s="15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17"/>
      <c r="X1675" s="13"/>
      <c r="Y1675" s="13"/>
      <c r="AB1675" s="24"/>
      <c r="AC1675" s="23"/>
    </row>
    <row r="1676" spans="4:29" x14ac:dyDescent="0.25">
      <c r="D1676" s="3"/>
      <c r="E1676" s="15"/>
      <c r="F1676" s="15"/>
      <c r="G1676" s="15"/>
      <c r="H1676" s="15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17"/>
      <c r="X1676" s="13"/>
      <c r="Y1676" s="13"/>
      <c r="AB1676" s="24"/>
      <c r="AC1676" s="23"/>
    </row>
    <row r="1677" spans="4:29" x14ac:dyDescent="0.25">
      <c r="D1677" s="3"/>
      <c r="E1677" s="15"/>
      <c r="F1677" s="15"/>
      <c r="G1677" s="15"/>
      <c r="H1677" s="15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17"/>
      <c r="X1677" s="13"/>
      <c r="Y1677" s="13"/>
      <c r="AB1677" s="24"/>
      <c r="AC1677" s="23"/>
    </row>
    <row r="1678" spans="4:29" x14ac:dyDescent="0.25">
      <c r="D1678" s="3"/>
      <c r="E1678" s="15"/>
      <c r="F1678" s="15"/>
      <c r="G1678" s="15"/>
      <c r="H1678" s="15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17"/>
      <c r="X1678" s="13"/>
      <c r="Y1678" s="13"/>
      <c r="AB1678" s="24"/>
      <c r="AC1678" s="23"/>
    </row>
    <row r="1679" spans="4:29" x14ac:dyDescent="0.25">
      <c r="D1679" s="3"/>
      <c r="E1679" s="15"/>
      <c r="F1679" s="15"/>
      <c r="G1679" s="15"/>
      <c r="H1679" s="15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17"/>
      <c r="X1679" s="13"/>
      <c r="Y1679" s="13"/>
      <c r="AB1679" s="24"/>
      <c r="AC1679" s="23"/>
    </row>
    <row r="1680" spans="4:29" x14ac:dyDescent="0.25">
      <c r="D1680" s="3"/>
      <c r="E1680" s="15"/>
      <c r="F1680" s="15"/>
      <c r="G1680" s="15"/>
      <c r="H1680" s="15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17"/>
      <c r="X1680" s="13"/>
      <c r="Y1680" s="13"/>
      <c r="AB1680" s="24"/>
      <c r="AC1680" s="23"/>
    </row>
    <row r="1681" spans="4:29" x14ac:dyDescent="0.25">
      <c r="D1681" s="3"/>
      <c r="E1681" s="15"/>
      <c r="F1681" s="15"/>
      <c r="G1681" s="15"/>
      <c r="H1681" s="15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17"/>
      <c r="X1681" s="13"/>
      <c r="Y1681" s="13"/>
      <c r="AB1681" s="24"/>
      <c r="AC1681" s="23"/>
    </row>
    <row r="1682" spans="4:29" x14ac:dyDescent="0.25">
      <c r="D1682" s="3"/>
      <c r="E1682" s="15"/>
      <c r="F1682" s="15"/>
      <c r="G1682" s="15"/>
      <c r="H1682" s="15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17"/>
      <c r="X1682" s="13"/>
      <c r="Y1682" s="13"/>
      <c r="AB1682" s="24"/>
      <c r="AC1682" s="23"/>
    </row>
    <row r="1683" spans="4:29" x14ac:dyDescent="0.25">
      <c r="D1683" s="3"/>
      <c r="E1683" s="15"/>
      <c r="F1683" s="15"/>
      <c r="G1683" s="15"/>
      <c r="H1683" s="15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17"/>
      <c r="X1683" s="13"/>
      <c r="Y1683" s="13"/>
      <c r="AB1683" s="24"/>
      <c r="AC1683" s="23"/>
    </row>
    <row r="1684" spans="4:29" x14ac:dyDescent="0.25">
      <c r="D1684" s="3"/>
      <c r="E1684" s="15"/>
      <c r="F1684" s="15"/>
      <c r="G1684" s="15"/>
      <c r="H1684" s="15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17"/>
      <c r="X1684" s="13"/>
      <c r="Y1684" s="13"/>
      <c r="AB1684" s="24"/>
      <c r="AC1684" s="23"/>
    </row>
    <row r="1685" spans="4:29" x14ac:dyDescent="0.25">
      <c r="D1685" s="3"/>
      <c r="E1685" s="15"/>
      <c r="F1685" s="15"/>
      <c r="G1685" s="15"/>
      <c r="H1685" s="15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17"/>
      <c r="X1685" s="13"/>
      <c r="Y1685" s="13"/>
      <c r="AB1685" s="24"/>
      <c r="AC1685" s="23"/>
    </row>
    <row r="1686" spans="4:29" x14ac:dyDescent="0.25">
      <c r="D1686" s="3"/>
      <c r="E1686" s="15"/>
      <c r="F1686" s="15"/>
      <c r="G1686" s="15"/>
      <c r="H1686" s="15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17"/>
      <c r="X1686" s="13"/>
      <c r="Y1686" s="13"/>
      <c r="AB1686" s="24"/>
      <c r="AC1686" s="23"/>
    </row>
    <row r="1687" spans="4:29" x14ac:dyDescent="0.25">
      <c r="D1687" s="3"/>
      <c r="E1687" s="15"/>
      <c r="F1687" s="15"/>
      <c r="G1687" s="15"/>
      <c r="H1687" s="15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17"/>
      <c r="X1687" s="13"/>
      <c r="Y1687" s="13"/>
      <c r="AB1687" s="24"/>
      <c r="AC1687" s="23"/>
    </row>
    <row r="1688" spans="4:29" x14ac:dyDescent="0.25">
      <c r="D1688" s="3"/>
      <c r="E1688" s="15"/>
      <c r="F1688" s="15"/>
      <c r="G1688" s="15"/>
      <c r="H1688" s="15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17"/>
      <c r="X1688" s="13"/>
      <c r="Y1688" s="13"/>
      <c r="AB1688" s="24"/>
      <c r="AC1688" s="23"/>
    </row>
    <row r="1689" spans="4:29" x14ac:dyDescent="0.25">
      <c r="D1689" s="3"/>
      <c r="E1689" s="15"/>
      <c r="F1689" s="15"/>
      <c r="G1689" s="15"/>
      <c r="H1689" s="15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17"/>
      <c r="X1689" s="13"/>
      <c r="Y1689" s="13"/>
      <c r="AB1689" s="24"/>
      <c r="AC1689" s="23"/>
    </row>
    <row r="1690" spans="4:29" x14ac:dyDescent="0.25">
      <c r="D1690" s="3"/>
      <c r="E1690" s="15"/>
      <c r="F1690" s="15"/>
      <c r="G1690" s="15"/>
      <c r="H1690" s="15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17"/>
      <c r="X1690" s="13"/>
      <c r="Y1690" s="13"/>
      <c r="AB1690" s="24"/>
      <c r="AC1690" s="23"/>
    </row>
    <row r="1691" spans="4:29" x14ac:dyDescent="0.25">
      <c r="D1691" s="3"/>
      <c r="E1691" s="15"/>
      <c r="F1691" s="15"/>
      <c r="G1691" s="15"/>
      <c r="H1691" s="15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17"/>
      <c r="X1691" s="13"/>
      <c r="Y1691" s="13"/>
      <c r="AB1691" s="24"/>
      <c r="AC1691" s="23"/>
    </row>
    <row r="1692" spans="4:29" x14ac:dyDescent="0.25">
      <c r="D1692" s="3"/>
      <c r="E1692" s="15"/>
      <c r="F1692" s="15"/>
      <c r="G1692" s="15"/>
      <c r="H1692" s="15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17"/>
      <c r="X1692" s="13"/>
      <c r="Y1692" s="13"/>
      <c r="AB1692" s="24"/>
      <c r="AC1692" s="23"/>
    </row>
    <row r="1693" spans="4:29" x14ac:dyDescent="0.25">
      <c r="D1693" s="3"/>
      <c r="E1693" s="15"/>
      <c r="F1693" s="15"/>
      <c r="G1693" s="15"/>
      <c r="H1693" s="15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17"/>
      <c r="X1693" s="13"/>
      <c r="Y1693" s="13"/>
      <c r="AB1693" s="24"/>
      <c r="AC1693" s="23"/>
    </row>
    <row r="1694" spans="4:29" x14ac:dyDescent="0.25">
      <c r="D1694" s="3"/>
      <c r="E1694" s="15"/>
      <c r="F1694" s="15"/>
      <c r="G1694" s="15"/>
      <c r="H1694" s="15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17"/>
      <c r="X1694" s="13"/>
      <c r="Y1694" s="13"/>
      <c r="AB1694" s="24"/>
      <c r="AC1694" s="23"/>
    </row>
    <row r="1695" spans="4:29" x14ac:dyDescent="0.25">
      <c r="D1695" s="3"/>
      <c r="E1695" s="15"/>
      <c r="F1695" s="15"/>
      <c r="G1695" s="15"/>
      <c r="H1695" s="15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17"/>
      <c r="X1695" s="13"/>
      <c r="Y1695" s="13"/>
      <c r="AB1695" s="24"/>
      <c r="AC1695" s="23"/>
    </row>
    <row r="1696" spans="4:29" x14ac:dyDescent="0.25">
      <c r="D1696" s="3"/>
      <c r="E1696" s="15"/>
      <c r="F1696" s="15"/>
      <c r="G1696" s="15"/>
      <c r="H1696" s="15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17"/>
      <c r="X1696" s="13"/>
      <c r="Y1696" s="13"/>
      <c r="AB1696" s="24"/>
      <c r="AC1696" s="23"/>
    </row>
    <row r="1697" spans="4:29" x14ac:dyDescent="0.25">
      <c r="D1697" s="3"/>
      <c r="E1697" s="15"/>
      <c r="F1697" s="15"/>
      <c r="G1697" s="15"/>
      <c r="H1697" s="15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17"/>
      <c r="X1697" s="13"/>
      <c r="Y1697" s="13"/>
      <c r="AB1697" s="24"/>
      <c r="AC1697" s="23"/>
    </row>
    <row r="1698" spans="4:29" x14ac:dyDescent="0.25">
      <c r="D1698" s="3"/>
      <c r="E1698" s="15"/>
      <c r="F1698" s="15"/>
      <c r="G1698" s="15"/>
      <c r="H1698" s="15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17"/>
      <c r="X1698" s="13"/>
      <c r="Y1698" s="13"/>
      <c r="AB1698" s="24"/>
      <c r="AC1698" s="23"/>
    </row>
    <row r="1699" spans="4:29" x14ac:dyDescent="0.25">
      <c r="D1699" s="3"/>
      <c r="E1699" s="15"/>
      <c r="F1699" s="15"/>
      <c r="G1699" s="15"/>
      <c r="H1699" s="15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17"/>
      <c r="X1699" s="13"/>
      <c r="Y1699" s="13"/>
      <c r="AB1699" s="24"/>
      <c r="AC1699" s="23"/>
    </row>
    <row r="1700" spans="4:29" x14ac:dyDescent="0.25">
      <c r="D1700" s="3"/>
      <c r="E1700" s="15"/>
      <c r="F1700" s="15"/>
      <c r="G1700" s="15"/>
      <c r="H1700" s="15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17"/>
      <c r="X1700" s="13"/>
      <c r="Y1700" s="13"/>
      <c r="AB1700" s="24"/>
      <c r="AC1700" s="23"/>
    </row>
    <row r="1701" spans="4:29" x14ac:dyDescent="0.25">
      <c r="D1701" s="3"/>
      <c r="E1701" s="15"/>
      <c r="F1701" s="15"/>
      <c r="G1701" s="15"/>
      <c r="H1701" s="15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17"/>
      <c r="X1701" s="13"/>
      <c r="Y1701" s="13"/>
      <c r="AB1701" s="24"/>
      <c r="AC1701" s="23"/>
    </row>
    <row r="1702" spans="4:29" x14ac:dyDescent="0.25">
      <c r="D1702" s="3"/>
      <c r="E1702" s="15"/>
      <c r="F1702" s="15"/>
      <c r="G1702" s="15"/>
      <c r="H1702" s="15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17"/>
      <c r="X1702" s="13"/>
      <c r="Y1702" s="13"/>
      <c r="AB1702" s="24"/>
      <c r="AC1702" s="23"/>
    </row>
    <row r="1703" spans="4:29" x14ac:dyDescent="0.25">
      <c r="D1703" s="3"/>
      <c r="E1703" s="15"/>
      <c r="F1703" s="15"/>
      <c r="G1703" s="15"/>
      <c r="H1703" s="15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17"/>
      <c r="X1703" s="13"/>
      <c r="Y1703" s="13"/>
      <c r="AB1703" s="24"/>
      <c r="AC1703" s="23"/>
    </row>
    <row r="1704" spans="4:29" x14ac:dyDescent="0.25">
      <c r="D1704" s="3"/>
      <c r="E1704" s="15"/>
      <c r="F1704" s="15"/>
      <c r="G1704" s="15"/>
      <c r="H1704" s="15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17"/>
      <c r="X1704" s="13"/>
      <c r="Y1704" s="13"/>
      <c r="AB1704" s="24"/>
      <c r="AC1704" s="23"/>
    </row>
    <row r="1705" spans="4:29" x14ac:dyDescent="0.25">
      <c r="D1705" s="3"/>
      <c r="E1705" s="15"/>
      <c r="F1705" s="15"/>
      <c r="G1705" s="15"/>
      <c r="H1705" s="15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17"/>
      <c r="X1705" s="13"/>
      <c r="Y1705" s="13"/>
      <c r="AB1705" s="24"/>
      <c r="AC1705" s="23"/>
    </row>
    <row r="1706" spans="4:29" x14ac:dyDescent="0.25">
      <c r="D1706" s="3"/>
      <c r="E1706" s="15"/>
      <c r="F1706" s="15"/>
      <c r="G1706" s="15"/>
      <c r="H1706" s="15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17"/>
      <c r="X1706" s="13"/>
      <c r="Y1706" s="13"/>
      <c r="AB1706" s="24"/>
      <c r="AC1706" s="23"/>
    </row>
    <row r="1707" spans="4:29" x14ac:dyDescent="0.25">
      <c r="D1707" s="3"/>
      <c r="E1707" s="15"/>
      <c r="F1707" s="15"/>
      <c r="G1707" s="15"/>
      <c r="H1707" s="15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17"/>
      <c r="X1707" s="13"/>
      <c r="Y1707" s="13"/>
      <c r="AB1707" s="24"/>
      <c r="AC1707" s="23"/>
    </row>
    <row r="1708" spans="4:29" x14ac:dyDescent="0.25">
      <c r="D1708" s="3"/>
      <c r="E1708" s="15"/>
      <c r="F1708" s="15"/>
      <c r="G1708" s="15"/>
      <c r="H1708" s="15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17"/>
      <c r="X1708" s="13"/>
      <c r="Y1708" s="13"/>
      <c r="AB1708" s="24"/>
      <c r="AC1708" s="23"/>
    </row>
    <row r="1709" spans="4:29" x14ac:dyDescent="0.25">
      <c r="D1709" s="3"/>
      <c r="E1709" s="15"/>
      <c r="F1709" s="15"/>
      <c r="G1709" s="15"/>
      <c r="H1709" s="15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17"/>
      <c r="X1709" s="13"/>
      <c r="Y1709" s="13"/>
      <c r="AB1709" s="24"/>
      <c r="AC1709" s="23"/>
    </row>
    <row r="1710" spans="4:29" x14ac:dyDescent="0.25">
      <c r="D1710" s="3"/>
      <c r="E1710" s="15"/>
      <c r="F1710" s="15"/>
      <c r="G1710" s="15"/>
      <c r="H1710" s="15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17"/>
      <c r="X1710" s="13"/>
      <c r="Y1710" s="13"/>
      <c r="AB1710" s="24"/>
      <c r="AC1710" s="23"/>
    </row>
    <row r="1711" spans="4:29" x14ac:dyDescent="0.25">
      <c r="D1711" s="3"/>
      <c r="E1711" s="15"/>
      <c r="F1711" s="15"/>
      <c r="G1711" s="15"/>
      <c r="H1711" s="15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17"/>
      <c r="X1711" s="13"/>
      <c r="Y1711" s="13"/>
      <c r="AB1711" s="24"/>
      <c r="AC1711" s="23"/>
    </row>
    <row r="1712" spans="4:29" x14ac:dyDescent="0.25">
      <c r="D1712" s="3"/>
      <c r="E1712" s="15"/>
      <c r="F1712" s="15"/>
      <c r="G1712" s="15"/>
      <c r="H1712" s="15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17"/>
      <c r="X1712" s="13"/>
      <c r="Y1712" s="13"/>
      <c r="AB1712" s="24"/>
      <c r="AC1712" s="23"/>
    </row>
    <row r="1713" spans="4:29" x14ac:dyDescent="0.25">
      <c r="D1713" s="3"/>
      <c r="E1713" s="15"/>
      <c r="F1713" s="15"/>
      <c r="G1713" s="15"/>
      <c r="H1713" s="15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17"/>
      <c r="X1713" s="13"/>
      <c r="Y1713" s="13"/>
      <c r="AB1713" s="24"/>
      <c r="AC1713" s="23"/>
    </row>
    <row r="1714" spans="4:29" x14ac:dyDescent="0.25">
      <c r="D1714" s="3"/>
      <c r="E1714" s="15"/>
      <c r="F1714" s="15"/>
      <c r="G1714" s="15"/>
      <c r="H1714" s="15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17"/>
      <c r="X1714" s="13"/>
      <c r="Y1714" s="13"/>
      <c r="AB1714" s="24"/>
      <c r="AC1714" s="23"/>
    </row>
    <row r="1715" spans="4:29" x14ac:dyDescent="0.25">
      <c r="D1715" s="3"/>
      <c r="E1715" s="15"/>
      <c r="F1715" s="15"/>
      <c r="G1715" s="15"/>
      <c r="H1715" s="15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17"/>
      <c r="X1715" s="13"/>
      <c r="Y1715" s="13"/>
      <c r="AB1715" s="24"/>
      <c r="AC1715" s="23"/>
    </row>
    <row r="1716" spans="4:29" x14ac:dyDescent="0.25">
      <c r="D1716" s="3"/>
      <c r="E1716" s="15"/>
      <c r="F1716" s="15"/>
      <c r="G1716" s="15"/>
      <c r="H1716" s="15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17"/>
      <c r="X1716" s="13"/>
      <c r="Y1716" s="13"/>
      <c r="AB1716" s="24"/>
      <c r="AC1716" s="23"/>
    </row>
    <row r="1717" spans="4:29" x14ac:dyDescent="0.25">
      <c r="D1717" s="3"/>
      <c r="E1717" s="15"/>
      <c r="F1717" s="15"/>
      <c r="G1717" s="15"/>
      <c r="H1717" s="15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17"/>
      <c r="X1717" s="13"/>
      <c r="Y1717" s="13"/>
      <c r="AB1717" s="24"/>
      <c r="AC1717" s="23"/>
    </row>
    <row r="1718" spans="4:29" x14ac:dyDescent="0.25">
      <c r="D1718" s="3"/>
      <c r="E1718" s="15"/>
      <c r="F1718" s="15"/>
      <c r="G1718" s="15"/>
      <c r="H1718" s="15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17"/>
      <c r="X1718" s="13"/>
      <c r="Y1718" s="13"/>
      <c r="AB1718" s="24"/>
      <c r="AC1718" s="23"/>
    </row>
    <row r="1719" spans="4:29" x14ac:dyDescent="0.25">
      <c r="D1719" s="3"/>
      <c r="E1719" s="15"/>
      <c r="F1719" s="15"/>
      <c r="G1719" s="15"/>
      <c r="H1719" s="15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17"/>
      <c r="X1719" s="13"/>
      <c r="Y1719" s="13"/>
      <c r="AB1719" s="24"/>
      <c r="AC1719" s="23"/>
    </row>
    <row r="1720" spans="4:29" x14ac:dyDescent="0.25">
      <c r="D1720" s="3"/>
      <c r="E1720" s="15"/>
      <c r="F1720" s="15"/>
      <c r="G1720" s="15"/>
      <c r="H1720" s="15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17"/>
      <c r="X1720" s="13"/>
      <c r="Y1720" s="13"/>
      <c r="AB1720" s="24"/>
      <c r="AC1720" s="23"/>
    </row>
    <row r="1721" spans="4:29" x14ac:dyDescent="0.25">
      <c r="D1721" s="3"/>
      <c r="E1721" s="15"/>
      <c r="F1721" s="15"/>
      <c r="G1721" s="15"/>
      <c r="H1721" s="15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17"/>
      <c r="X1721" s="13"/>
      <c r="Y1721" s="13"/>
      <c r="AB1721" s="24"/>
      <c r="AC1721" s="23"/>
    </row>
    <row r="1722" spans="4:29" x14ac:dyDescent="0.25">
      <c r="D1722" s="3"/>
      <c r="E1722" s="15"/>
      <c r="F1722" s="15"/>
      <c r="G1722" s="15"/>
      <c r="H1722" s="15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17"/>
      <c r="X1722" s="13"/>
      <c r="Y1722" s="13"/>
      <c r="AB1722" s="24"/>
      <c r="AC1722" s="23"/>
    </row>
    <row r="1723" spans="4:29" x14ac:dyDescent="0.25">
      <c r="D1723" s="3"/>
      <c r="E1723" s="15"/>
      <c r="F1723" s="15"/>
      <c r="G1723" s="15"/>
      <c r="H1723" s="15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17"/>
      <c r="X1723" s="13"/>
      <c r="Y1723" s="13"/>
      <c r="AB1723" s="24"/>
      <c r="AC1723" s="23"/>
    </row>
    <row r="1724" spans="4:29" x14ac:dyDescent="0.25">
      <c r="D1724" s="3"/>
      <c r="E1724" s="15"/>
      <c r="F1724" s="15"/>
      <c r="G1724" s="15"/>
      <c r="H1724" s="15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17"/>
      <c r="X1724" s="13"/>
      <c r="Y1724" s="13"/>
      <c r="AB1724" s="24"/>
      <c r="AC1724" s="23"/>
    </row>
    <row r="1725" spans="4:29" x14ac:dyDescent="0.25">
      <c r="D1725" s="3"/>
      <c r="E1725" s="15"/>
      <c r="F1725" s="15"/>
      <c r="G1725" s="15"/>
      <c r="H1725" s="15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17"/>
      <c r="X1725" s="13"/>
      <c r="Y1725" s="13"/>
      <c r="AB1725" s="24"/>
      <c r="AC1725" s="23"/>
    </row>
    <row r="1726" spans="4:29" x14ac:dyDescent="0.25">
      <c r="D1726" s="3"/>
      <c r="E1726" s="15"/>
      <c r="F1726" s="15"/>
      <c r="G1726" s="15"/>
      <c r="H1726" s="15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17"/>
      <c r="X1726" s="13"/>
      <c r="Y1726" s="13"/>
      <c r="AB1726" s="24"/>
      <c r="AC1726" s="23"/>
    </row>
    <row r="1727" spans="4:29" x14ac:dyDescent="0.25">
      <c r="D1727" s="3"/>
      <c r="E1727" s="15"/>
      <c r="F1727" s="15"/>
      <c r="G1727" s="15"/>
      <c r="H1727" s="15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17"/>
      <c r="X1727" s="13"/>
      <c r="Y1727" s="13"/>
      <c r="AB1727" s="24"/>
      <c r="AC1727" s="23"/>
    </row>
    <row r="1728" spans="4:29" x14ac:dyDescent="0.25">
      <c r="D1728" s="3"/>
      <c r="E1728" s="15"/>
      <c r="F1728" s="15"/>
      <c r="G1728" s="15"/>
      <c r="H1728" s="15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17"/>
      <c r="X1728" s="13"/>
      <c r="Y1728" s="13"/>
      <c r="AB1728" s="24"/>
      <c r="AC1728" s="23"/>
    </row>
    <row r="1729" spans="4:29" x14ac:dyDescent="0.25">
      <c r="D1729" s="3"/>
      <c r="E1729" s="15"/>
      <c r="F1729" s="15"/>
      <c r="G1729" s="15"/>
      <c r="H1729" s="15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17"/>
      <c r="X1729" s="13"/>
      <c r="Y1729" s="13"/>
      <c r="AB1729" s="24"/>
      <c r="AC1729" s="23"/>
    </row>
    <row r="1730" spans="4:29" x14ac:dyDescent="0.25">
      <c r="D1730" s="3"/>
      <c r="E1730" s="15"/>
      <c r="F1730" s="15"/>
      <c r="G1730" s="15"/>
      <c r="H1730" s="15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17"/>
      <c r="X1730" s="13"/>
      <c r="Y1730" s="13"/>
      <c r="AB1730" s="24"/>
      <c r="AC1730" s="23"/>
    </row>
    <row r="1731" spans="4:29" x14ac:dyDescent="0.25">
      <c r="D1731" s="3"/>
      <c r="E1731" s="15"/>
      <c r="F1731" s="15"/>
      <c r="G1731" s="15"/>
      <c r="H1731" s="15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17"/>
      <c r="X1731" s="13"/>
      <c r="Y1731" s="13"/>
      <c r="AB1731" s="24"/>
      <c r="AC1731" s="23"/>
    </row>
    <row r="1732" spans="4:29" x14ac:dyDescent="0.25">
      <c r="D1732" s="3"/>
      <c r="E1732" s="15"/>
      <c r="F1732" s="15"/>
      <c r="G1732" s="15"/>
      <c r="H1732" s="15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17"/>
      <c r="X1732" s="13"/>
      <c r="Y1732" s="13"/>
      <c r="AB1732" s="24"/>
      <c r="AC1732" s="23"/>
    </row>
    <row r="1733" spans="4:29" x14ac:dyDescent="0.25">
      <c r="D1733" s="3"/>
      <c r="E1733" s="15"/>
      <c r="F1733" s="15"/>
      <c r="G1733" s="15"/>
      <c r="H1733" s="15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17"/>
      <c r="X1733" s="13"/>
      <c r="Y1733" s="13"/>
      <c r="AB1733" s="24"/>
      <c r="AC1733" s="23"/>
    </row>
    <row r="1734" spans="4:29" x14ac:dyDescent="0.25">
      <c r="D1734" s="3"/>
      <c r="E1734" s="15"/>
      <c r="F1734" s="15"/>
      <c r="G1734" s="15"/>
      <c r="H1734" s="15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17"/>
      <c r="X1734" s="13"/>
      <c r="Y1734" s="13"/>
      <c r="AB1734" s="24"/>
      <c r="AC1734" s="23"/>
    </row>
    <row r="1735" spans="4:29" x14ac:dyDescent="0.25">
      <c r="D1735" s="3"/>
      <c r="E1735" s="15"/>
      <c r="F1735" s="15"/>
      <c r="G1735" s="15"/>
      <c r="H1735" s="15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17"/>
      <c r="X1735" s="13"/>
      <c r="Y1735" s="13"/>
      <c r="AB1735" s="24"/>
      <c r="AC1735" s="23"/>
    </row>
    <row r="1736" spans="4:29" x14ac:dyDescent="0.25">
      <c r="D1736" s="3"/>
      <c r="E1736" s="15"/>
      <c r="F1736" s="15"/>
      <c r="G1736" s="15"/>
      <c r="H1736" s="15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17"/>
      <c r="X1736" s="13"/>
      <c r="Y1736" s="13"/>
      <c r="AB1736" s="24"/>
      <c r="AC1736" s="23"/>
    </row>
    <row r="1737" spans="4:29" x14ac:dyDescent="0.25">
      <c r="D1737" s="3"/>
      <c r="E1737" s="15"/>
      <c r="F1737" s="15"/>
      <c r="G1737" s="15"/>
      <c r="H1737" s="15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17"/>
      <c r="X1737" s="13"/>
      <c r="Y1737" s="13"/>
      <c r="AB1737" s="24"/>
      <c r="AC1737" s="23"/>
    </row>
    <row r="1738" spans="4:29" x14ac:dyDescent="0.25">
      <c r="D1738" s="3"/>
      <c r="E1738" s="15"/>
      <c r="F1738" s="15"/>
      <c r="G1738" s="15"/>
      <c r="H1738" s="15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17"/>
      <c r="X1738" s="13"/>
      <c r="Y1738" s="13"/>
      <c r="AB1738" s="24"/>
      <c r="AC1738" s="23"/>
    </row>
    <row r="1739" spans="4:29" x14ac:dyDescent="0.25">
      <c r="D1739" s="3"/>
      <c r="E1739" s="15"/>
      <c r="F1739" s="15"/>
      <c r="G1739" s="15"/>
      <c r="H1739" s="15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17"/>
      <c r="X1739" s="13"/>
      <c r="Y1739" s="13"/>
      <c r="AB1739" s="24"/>
      <c r="AC1739" s="23"/>
    </row>
    <row r="1740" spans="4:29" x14ac:dyDescent="0.25">
      <c r="D1740" s="3"/>
      <c r="E1740" s="15"/>
      <c r="F1740" s="15"/>
      <c r="G1740" s="15"/>
      <c r="H1740" s="15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17"/>
      <c r="X1740" s="13"/>
      <c r="Y1740" s="13"/>
      <c r="AB1740" s="24"/>
      <c r="AC1740" s="23"/>
    </row>
    <row r="1741" spans="4:29" x14ac:dyDescent="0.25">
      <c r="D1741" s="3"/>
      <c r="E1741" s="15"/>
      <c r="F1741" s="15"/>
      <c r="G1741" s="15"/>
      <c r="H1741" s="15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17"/>
      <c r="X1741" s="13"/>
      <c r="Y1741" s="13"/>
      <c r="AB1741" s="24"/>
      <c r="AC1741" s="23"/>
    </row>
    <row r="1742" spans="4:29" x14ac:dyDescent="0.25">
      <c r="D1742" s="3"/>
      <c r="E1742" s="15"/>
      <c r="F1742" s="15"/>
      <c r="G1742" s="15"/>
      <c r="H1742" s="15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17"/>
      <c r="X1742" s="13"/>
      <c r="Y1742" s="13"/>
      <c r="AB1742" s="24"/>
      <c r="AC1742" s="23"/>
    </row>
    <row r="1743" spans="4:29" x14ac:dyDescent="0.25">
      <c r="D1743" s="3"/>
      <c r="E1743" s="15"/>
      <c r="F1743" s="15"/>
      <c r="G1743" s="15"/>
      <c r="H1743" s="15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17"/>
      <c r="X1743" s="13"/>
      <c r="Y1743" s="13"/>
      <c r="AB1743" s="24"/>
      <c r="AC1743" s="23"/>
    </row>
    <row r="1744" spans="4:29" x14ac:dyDescent="0.25">
      <c r="D1744" s="3"/>
      <c r="E1744" s="15"/>
      <c r="F1744" s="15"/>
      <c r="G1744" s="15"/>
      <c r="H1744" s="15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17"/>
      <c r="X1744" s="13"/>
      <c r="Y1744" s="13"/>
      <c r="AB1744" s="24"/>
      <c r="AC1744" s="23"/>
    </row>
    <row r="1745" spans="4:29" x14ac:dyDescent="0.25">
      <c r="D1745" s="3"/>
      <c r="E1745" s="15"/>
      <c r="F1745" s="15"/>
      <c r="G1745" s="15"/>
      <c r="H1745" s="15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17"/>
      <c r="X1745" s="13"/>
      <c r="Y1745" s="13"/>
      <c r="AB1745" s="24"/>
      <c r="AC1745" s="23"/>
    </row>
    <row r="1746" spans="4:29" x14ac:dyDescent="0.25">
      <c r="D1746" s="3"/>
      <c r="E1746" s="15"/>
      <c r="F1746" s="15"/>
      <c r="G1746" s="15"/>
      <c r="H1746" s="15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17"/>
      <c r="X1746" s="13"/>
      <c r="Y1746" s="13"/>
      <c r="AB1746" s="24"/>
      <c r="AC1746" s="23"/>
    </row>
    <row r="1747" spans="4:29" x14ac:dyDescent="0.25">
      <c r="D1747" s="3"/>
      <c r="E1747" s="15"/>
      <c r="F1747" s="15"/>
      <c r="G1747" s="15"/>
      <c r="H1747" s="15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17"/>
      <c r="X1747" s="13"/>
      <c r="Y1747" s="13"/>
      <c r="AB1747" s="24"/>
      <c r="AC1747" s="23"/>
    </row>
    <row r="1748" spans="4:29" x14ac:dyDescent="0.25">
      <c r="D1748" s="3"/>
      <c r="E1748" s="15"/>
      <c r="F1748" s="15"/>
      <c r="G1748" s="15"/>
      <c r="H1748" s="15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17"/>
      <c r="X1748" s="13"/>
      <c r="Y1748" s="13"/>
      <c r="AB1748" s="24"/>
      <c r="AC1748" s="23"/>
    </row>
    <row r="1749" spans="4:29" x14ac:dyDescent="0.25">
      <c r="D1749" s="3"/>
      <c r="E1749" s="15"/>
      <c r="F1749" s="15"/>
      <c r="G1749" s="15"/>
      <c r="H1749" s="15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17"/>
      <c r="X1749" s="13"/>
      <c r="Y1749" s="13"/>
      <c r="AB1749" s="24"/>
      <c r="AC1749" s="23"/>
    </row>
    <row r="1750" spans="4:29" x14ac:dyDescent="0.25">
      <c r="D1750" s="3"/>
      <c r="E1750" s="15"/>
      <c r="F1750" s="15"/>
      <c r="G1750" s="15"/>
      <c r="H1750" s="15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17"/>
      <c r="X1750" s="13"/>
      <c r="Y1750" s="13"/>
      <c r="AB1750" s="24"/>
      <c r="AC1750" s="23"/>
    </row>
    <row r="1751" spans="4:29" x14ac:dyDescent="0.25">
      <c r="D1751" s="3"/>
      <c r="E1751" s="15"/>
      <c r="F1751" s="15"/>
      <c r="G1751" s="15"/>
      <c r="H1751" s="15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17"/>
      <c r="X1751" s="13"/>
      <c r="Y1751" s="13"/>
      <c r="AB1751" s="24"/>
      <c r="AC1751" s="23"/>
    </row>
    <row r="1752" spans="4:29" x14ac:dyDescent="0.25">
      <c r="D1752" s="3"/>
      <c r="E1752" s="15"/>
      <c r="F1752" s="15"/>
      <c r="G1752" s="15"/>
      <c r="H1752" s="15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17"/>
      <c r="X1752" s="13"/>
      <c r="Y1752" s="13"/>
      <c r="AB1752" s="24"/>
      <c r="AC1752" s="23"/>
    </row>
    <row r="1753" spans="4:29" x14ac:dyDescent="0.25">
      <c r="D1753" s="3"/>
      <c r="E1753" s="15"/>
      <c r="F1753" s="15"/>
      <c r="G1753" s="15"/>
      <c r="H1753" s="15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17"/>
      <c r="X1753" s="13"/>
      <c r="Y1753" s="13"/>
      <c r="AB1753" s="24"/>
      <c r="AC1753" s="23"/>
    </row>
    <row r="1754" spans="4:29" x14ac:dyDescent="0.25">
      <c r="D1754" s="3"/>
      <c r="E1754" s="15"/>
      <c r="F1754" s="15"/>
      <c r="G1754" s="15"/>
      <c r="H1754" s="15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17"/>
      <c r="X1754" s="13"/>
      <c r="Y1754" s="13"/>
      <c r="AB1754" s="24"/>
      <c r="AC1754" s="23"/>
    </row>
    <row r="1755" spans="4:29" x14ac:dyDescent="0.25">
      <c r="D1755" s="3"/>
      <c r="E1755" s="15"/>
      <c r="F1755" s="15"/>
      <c r="G1755" s="15"/>
      <c r="H1755" s="15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17"/>
      <c r="X1755" s="13"/>
      <c r="Y1755" s="13"/>
      <c r="AB1755" s="24"/>
      <c r="AC1755" s="23"/>
    </row>
    <row r="1756" spans="4:29" x14ac:dyDescent="0.25">
      <c r="D1756" s="3"/>
      <c r="E1756" s="15"/>
      <c r="F1756" s="15"/>
      <c r="G1756" s="15"/>
      <c r="H1756" s="15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17"/>
      <c r="X1756" s="13"/>
      <c r="Y1756" s="13"/>
      <c r="AB1756" s="24"/>
      <c r="AC1756" s="23"/>
    </row>
    <row r="1757" spans="4:29" x14ac:dyDescent="0.25">
      <c r="D1757" s="3"/>
      <c r="E1757" s="15"/>
      <c r="F1757" s="15"/>
      <c r="G1757" s="15"/>
      <c r="H1757" s="15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17"/>
      <c r="X1757" s="13"/>
      <c r="Y1757" s="13"/>
      <c r="AB1757" s="24"/>
      <c r="AC1757" s="23"/>
    </row>
    <row r="1758" spans="4:29" x14ac:dyDescent="0.25">
      <c r="D1758" s="3"/>
      <c r="E1758" s="15"/>
      <c r="F1758" s="15"/>
      <c r="G1758" s="15"/>
      <c r="H1758" s="15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17"/>
      <c r="X1758" s="13"/>
      <c r="Y1758" s="13"/>
      <c r="AB1758" s="24"/>
      <c r="AC1758" s="23"/>
    </row>
    <row r="1759" spans="4:29" x14ac:dyDescent="0.25">
      <c r="D1759" s="3"/>
      <c r="E1759" s="15"/>
      <c r="F1759" s="15"/>
      <c r="G1759" s="15"/>
      <c r="H1759" s="15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17"/>
      <c r="X1759" s="13"/>
      <c r="Y1759" s="13"/>
      <c r="AB1759" s="24"/>
      <c r="AC1759" s="23"/>
    </row>
    <row r="1760" spans="4:29" x14ac:dyDescent="0.25">
      <c r="D1760" s="3"/>
      <c r="E1760" s="15"/>
      <c r="F1760" s="15"/>
      <c r="G1760" s="15"/>
      <c r="H1760" s="15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17"/>
      <c r="X1760" s="13"/>
      <c r="Y1760" s="13"/>
      <c r="AB1760" s="24"/>
      <c r="AC1760" s="23"/>
    </row>
    <row r="1761" spans="4:29" x14ac:dyDescent="0.25">
      <c r="D1761" s="3"/>
      <c r="E1761" s="15"/>
      <c r="F1761" s="15"/>
      <c r="G1761" s="15"/>
      <c r="H1761" s="15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17"/>
      <c r="X1761" s="13"/>
      <c r="Y1761" s="13"/>
      <c r="AB1761" s="24"/>
      <c r="AC1761" s="23"/>
    </row>
    <row r="1762" spans="4:29" x14ac:dyDescent="0.25">
      <c r="D1762" s="3"/>
      <c r="E1762" s="15"/>
      <c r="F1762" s="15"/>
      <c r="G1762" s="15"/>
      <c r="H1762" s="15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17"/>
      <c r="X1762" s="13"/>
      <c r="Y1762" s="13"/>
      <c r="AB1762" s="24"/>
      <c r="AC1762" s="23"/>
    </row>
    <row r="1763" spans="4:29" x14ac:dyDescent="0.25">
      <c r="D1763" s="3"/>
      <c r="E1763" s="15"/>
      <c r="F1763" s="15"/>
      <c r="G1763" s="15"/>
      <c r="H1763" s="15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17"/>
      <c r="X1763" s="13"/>
      <c r="Y1763" s="13"/>
      <c r="AB1763" s="24"/>
      <c r="AC1763" s="23"/>
    </row>
    <row r="1764" spans="4:29" x14ac:dyDescent="0.25">
      <c r="D1764" s="3"/>
      <c r="E1764" s="15"/>
      <c r="F1764" s="15"/>
      <c r="G1764" s="15"/>
      <c r="H1764" s="15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17"/>
      <c r="X1764" s="13"/>
      <c r="Y1764" s="13"/>
      <c r="AB1764" s="24"/>
      <c r="AC1764" s="23"/>
    </row>
    <row r="1765" spans="4:29" x14ac:dyDescent="0.25">
      <c r="D1765" s="3"/>
      <c r="E1765" s="15"/>
      <c r="F1765" s="15"/>
      <c r="G1765" s="15"/>
      <c r="H1765" s="15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17"/>
      <c r="X1765" s="13"/>
      <c r="Y1765" s="13"/>
      <c r="AB1765" s="24"/>
      <c r="AC1765" s="23"/>
    </row>
    <row r="1766" spans="4:29" x14ac:dyDescent="0.25">
      <c r="D1766" s="3"/>
      <c r="E1766" s="15"/>
      <c r="F1766" s="15"/>
      <c r="G1766" s="15"/>
      <c r="H1766" s="15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17"/>
      <c r="X1766" s="13"/>
      <c r="Y1766" s="13"/>
      <c r="AB1766" s="24"/>
      <c r="AC1766" s="23"/>
    </row>
    <row r="1767" spans="4:29" x14ac:dyDescent="0.25">
      <c r="D1767" s="3"/>
      <c r="E1767" s="15"/>
      <c r="F1767" s="15"/>
      <c r="G1767" s="15"/>
      <c r="H1767" s="15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17"/>
      <c r="X1767" s="13"/>
      <c r="Y1767" s="13"/>
      <c r="AB1767" s="24"/>
      <c r="AC1767" s="23"/>
    </row>
    <row r="1768" spans="4:29" x14ac:dyDescent="0.25">
      <c r="D1768" s="3"/>
      <c r="E1768" s="15"/>
      <c r="F1768" s="15"/>
      <c r="G1768" s="15"/>
      <c r="H1768" s="15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17"/>
      <c r="X1768" s="13"/>
      <c r="Y1768" s="13"/>
      <c r="AB1768" s="24"/>
      <c r="AC1768" s="23"/>
    </row>
    <row r="1769" spans="4:29" x14ac:dyDescent="0.25">
      <c r="D1769" s="3"/>
      <c r="E1769" s="15"/>
      <c r="F1769" s="15"/>
      <c r="G1769" s="15"/>
      <c r="H1769" s="15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17"/>
      <c r="X1769" s="13"/>
      <c r="Y1769" s="13"/>
      <c r="AB1769" s="24"/>
      <c r="AC1769" s="23"/>
    </row>
    <row r="1770" spans="4:29" x14ac:dyDescent="0.25">
      <c r="D1770" s="3"/>
      <c r="E1770" s="15"/>
      <c r="F1770" s="15"/>
      <c r="G1770" s="15"/>
      <c r="H1770" s="15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17"/>
      <c r="X1770" s="13"/>
      <c r="Y1770" s="13"/>
      <c r="AB1770" s="24"/>
      <c r="AC1770" s="23"/>
    </row>
    <row r="1771" spans="4:29" x14ac:dyDescent="0.25">
      <c r="D1771" s="3"/>
      <c r="E1771" s="15"/>
      <c r="F1771" s="15"/>
      <c r="G1771" s="15"/>
      <c r="H1771" s="15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17"/>
      <c r="X1771" s="13"/>
      <c r="Y1771" s="13"/>
      <c r="AB1771" s="24"/>
      <c r="AC1771" s="23"/>
    </row>
    <row r="1772" spans="4:29" x14ac:dyDescent="0.25">
      <c r="D1772" s="3"/>
      <c r="E1772" s="15"/>
      <c r="F1772" s="15"/>
      <c r="G1772" s="15"/>
      <c r="H1772" s="15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17"/>
      <c r="X1772" s="13"/>
      <c r="Y1772" s="13"/>
      <c r="AB1772" s="24"/>
      <c r="AC1772" s="23"/>
    </row>
    <row r="1773" spans="4:29" x14ac:dyDescent="0.25">
      <c r="D1773" s="3"/>
      <c r="E1773" s="15"/>
      <c r="F1773" s="15"/>
      <c r="G1773" s="15"/>
      <c r="H1773" s="15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17"/>
      <c r="X1773" s="13"/>
      <c r="Y1773" s="13"/>
      <c r="AB1773" s="24"/>
      <c r="AC1773" s="23"/>
    </row>
    <row r="1774" spans="4:29" x14ac:dyDescent="0.25">
      <c r="D1774" s="3"/>
      <c r="E1774" s="15"/>
      <c r="F1774" s="15"/>
      <c r="G1774" s="15"/>
      <c r="H1774" s="15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17"/>
      <c r="X1774" s="13"/>
      <c r="Y1774" s="13"/>
      <c r="AB1774" s="24"/>
      <c r="AC1774" s="23"/>
    </row>
    <row r="1775" spans="4:29" x14ac:dyDescent="0.25">
      <c r="D1775" s="3"/>
      <c r="E1775" s="15"/>
      <c r="F1775" s="15"/>
      <c r="G1775" s="15"/>
      <c r="H1775" s="15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17"/>
      <c r="X1775" s="13"/>
      <c r="Y1775" s="13"/>
      <c r="AB1775" s="24"/>
      <c r="AC1775" s="23"/>
    </row>
    <row r="1776" spans="4:29" x14ac:dyDescent="0.25">
      <c r="D1776" s="3"/>
      <c r="E1776" s="15"/>
      <c r="F1776" s="15"/>
      <c r="G1776" s="15"/>
      <c r="H1776" s="15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17"/>
      <c r="X1776" s="13"/>
      <c r="Y1776" s="13"/>
      <c r="AB1776" s="24"/>
      <c r="AC1776" s="23"/>
    </row>
    <row r="1777" spans="4:29" x14ac:dyDescent="0.25">
      <c r="D1777" s="3"/>
      <c r="E1777" s="15"/>
      <c r="F1777" s="15"/>
      <c r="G1777" s="15"/>
      <c r="H1777" s="15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17"/>
      <c r="X1777" s="13"/>
      <c r="Y1777" s="13"/>
      <c r="AB1777" s="24"/>
      <c r="AC1777" s="23"/>
    </row>
    <row r="1778" spans="4:29" x14ac:dyDescent="0.25">
      <c r="D1778" s="3"/>
      <c r="E1778" s="15"/>
      <c r="F1778" s="15"/>
      <c r="G1778" s="15"/>
      <c r="H1778" s="15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17"/>
      <c r="X1778" s="13"/>
      <c r="Y1778" s="13"/>
      <c r="AB1778" s="24"/>
      <c r="AC1778" s="23"/>
    </row>
    <row r="1779" spans="4:29" x14ac:dyDescent="0.25">
      <c r="D1779" s="3"/>
      <c r="E1779" s="15"/>
      <c r="F1779" s="15"/>
      <c r="G1779" s="15"/>
      <c r="H1779" s="15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17"/>
      <c r="X1779" s="13"/>
      <c r="Y1779" s="13"/>
      <c r="AB1779" s="24"/>
      <c r="AC1779" s="23"/>
    </row>
    <row r="1780" spans="4:29" x14ac:dyDescent="0.25">
      <c r="D1780" s="3"/>
      <c r="E1780" s="15"/>
      <c r="F1780" s="15"/>
      <c r="G1780" s="15"/>
      <c r="H1780" s="15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17"/>
      <c r="X1780" s="13"/>
      <c r="Y1780" s="13"/>
      <c r="AB1780" s="24"/>
      <c r="AC1780" s="23"/>
    </row>
    <row r="1781" spans="4:29" x14ac:dyDescent="0.25">
      <c r="D1781" s="3"/>
      <c r="E1781" s="15"/>
      <c r="F1781" s="15"/>
      <c r="G1781" s="15"/>
      <c r="H1781" s="15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17"/>
      <c r="X1781" s="13"/>
      <c r="Y1781" s="13"/>
      <c r="AB1781" s="24"/>
      <c r="AC1781" s="23"/>
    </row>
    <row r="1782" spans="4:29" x14ac:dyDescent="0.25">
      <c r="D1782" s="3"/>
      <c r="E1782" s="15"/>
      <c r="F1782" s="15"/>
      <c r="G1782" s="15"/>
      <c r="H1782" s="15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17"/>
      <c r="X1782" s="13"/>
      <c r="Y1782" s="13"/>
      <c r="AB1782" s="24"/>
      <c r="AC1782" s="23"/>
    </row>
    <row r="1783" spans="4:29" x14ac:dyDescent="0.25">
      <c r="D1783" s="3"/>
      <c r="E1783" s="15"/>
      <c r="F1783" s="15"/>
      <c r="G1783" s="15"/>
      <c r="H1783" s="15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17"/>
      <c r="X1783" s="13"/>
      <c r="Y1783" s="13"/>
      <c r="AB1783" s="24"/>
      <c r="AC1783" s="23"/>
    </row>
    <row r="1784" spans="4:29" x14ac:dyDescent="0.25">
      <c r="D1784" s="3"/>
      <c r="E1784" s="15"/>
      <c r="F1784" s="15"/>
      <c r="G1784" s="15"/>
      <c r="H1784" s="15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17"/>
      <c r="X1784" s="13"/>
      <c r="Y1784" s="13"/>
      <c r="AB1784" s="24"/>
      <c r="AC1784" s="23"/>
    </row>
    <row r="1785" spans="4:29" x14ac:dyDescent="0.25">
      <c r="D1785" s="3"/>
      <c r="E1785" s="15"/>
      <c r="F1785" s="15"/>
      <c r="G1785" s="15"/>
      <c r="H1785" s="15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17"/>
      <c r="X1785" s="13"/>
      <c r="Y1785" s="13"/>
      <c r="AB1785" s="24"/>
      <c r="AC1785" s="23"/>
    </row>
    <row r="1786" spans="4:29" x14ac:dyDescent="0.25">
      <c r="D1786" s="3"/>
      <c r="E1786" s="15"/>
      <c r="F1786" s="15"/>
      <c r="G1786" s="15"/>
      <c r="H1786" s="15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17"/>
      <c r="X1786" s="13"/>
      <c r="Y1786" s="13"/>
      <c r="AB1786" s="24"/>
      <c r="AC1786" s="23"/>
    </row>
    <row r="1787" spans="4:29" x14ac:dyDescent="0.25">
      <c r="D1787" s="3"/>
      <c r="E1787" s="15"/>
      <c r="F1787" s="15"/>
      <c r="G1787" s="15"/>
      <c r="H1787" s="15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17"/>
      <c r="X1787" s="13"/>
      <c r="Y1787" s="13"/>
      <c r="AB1787" s="24"/>
      <c r="AC1787" s="23"/>
    </row>
    <row r="1788" spans="4:29" x14ac:dyDescent="0.25">
      <c r="D1788" s="3"/>
      <c r="E1788" s="15"/>
      <c r="F1788" s="15"/>
      <c r="G1788" s="15"/>
      <c r="H1788" s="15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17"/>
      <c r="X1788" s="13"/>
      <c r="Y1788" s="13"/>
      <c r="AB1788" s="24"/>
      <c r="AC1788" s="23"/>
    </row>
    <row r="1789" spans="4:29" x14ac:dyDescent="0.25">
      <c r="D1789" s="3"/>
      <c r="E1789" s="15"/>
      <c r="F1789" s="15"/>
      <c r="G1789" s="15"/>
      <c r="H1789" s="15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17"/>
      <c r="X1789" s="13"/>
      <c r="Y1789" s="13"/>
      <c r="AB1789" s="24"/>
      <c r="AC1789" s="23"/>
    </row>
    <row r="1790" spans="4:29" x14ac:dyDescent="0.25">
      <c r="D1790" s="3"/>
      <c r="E1790" s="15"/>
      <c r="F1790" s="15"/>
      <c r="G1790" s="15"/>
      <c r="H1790" s="15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17"/>
      <c r="X1790" s="13"/>
      <c r="Y1790" s="13"/>
      <c r="AB1790" s="24"/>
      <c r="AC1790" s="23"/>
    </row>
    <row r="1791" spans="4:29" x14ac:dyDescent="0.25">
      <c r="D1791" s="3"/>
      <c r="E1791" s="15"/>
      <c r="F1791" s="15"/>
      <c r="G1791" s="15"/>
      <c r="H1791" s="15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17"/>
      <c r="X1791" s="13"/>
      <c r="Y1791" s="13"/>
      <c r="AB1791" s="24"/>
      <c r="AC1791" s="23"/>
    </row>
    <row r="1792" spans="4:29" x14ac:dyDescent="0.25">
      <c r="D1792" s="3"/>
      <c r="E1792" s="15"/>
      <c r="F1792" s="15"/>
      <c r="G1792" s="15"/>
      <c r="H1792" s="15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17"/>
      <c r="X1792" s="13"/>
      <c r="Y1792" s="13"/>
      <c r="AB1792" s="24"/>
      <c r="AC1792" s="23"/>
    </row>
    <row r="1793" spans="4:29" x14ac:dyDescent="0.25">
      <c r="D1793" s="3"/>
      <c r="E1793" s="15"/>
      <c r="F1793" s="15"/>
      <c r="G1793" s="15"/>
      <c r="H1793" s="15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17"/>
      <c r="X1793" s="13"/>
      <c r="Y1793" s="13"/>
      <c r="AB1793" s="24"/>
      <c r="AC1793" s="23"/>
    </row>
    <row r="1794" spans="4:29" x14ac:dyDescent="0.25">
      <c r="D1794" s="3"/>
      <c r="E1794" s="15"/>
      <c r="F1794" s="15"/>
      <c r="G1794" s="15"/>
      <c r="H1794" s="15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17"/>
      <c r="X1794" s="13"/>
      <c r="Y1794" s="13"/>
      <c r="AB1794" s="24"/>
      <c r="AC1794" s="23"/>
    </row>
    <row r="1795" spans="4:29" x14ac:dyDescent="0.25">
      <c r="D1795" s="3"/>
      <c r="E1795" s="15"/>
      <c r="F1795" s="15"/>
      <c r="G1795" s="15"/>
      <c r="H1795" s="15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17"/>
      <c r="X1795" s="13"/>
      <c r="Y1795" s="13"/>
      <c r="AB1795" s="24"/>
      <c r="AC1795" s="23"/>
    </row>
    <row r="1796" spans="4:29" x14ac:dyDescent="0.25">
      <c r="D1796" s="3"/>
      <c r="E1796" s="15"/>
      <c r="F1796" s="15"/>
      <c r="G1796" s="15"/>
      <c r="H1796" s="15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17"/>
      <c r="X1796" s="13"/>
      <c r="Y1796" s="13"/>
      <c r="AB1796" s="24"/>
      <c r="AC1796" s="23"/>
    </row>
    <row r="1797" spans="4:29" x14ac:dyDescent="0.25">
      <c r="D1797" s="3"/>
      <c r="E1797" s="15"/>
      <c r="F1797" s="15"/>
      <c r="G1797" s="15"/>
      <c r="H1797" s="15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17"/>
      <c r="X1797" s="13"/>
      <c r="Y1797" s="13"/>
      <c r="AB1797" s="24"/>
      <c r="AC1797" s="23"/>
    </row>
    <row r="1798" spans="4:29" x14ac:dyDescent="0.25">
      <c r="D1798" s="3"/>
      <c r="E1798" s="15"/>
      <c r="F1798" s="15"/>
      <c r="G1798" s="15"/>
      <c r="H1798" s="15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17"/>
      <c r="X1798" s="13"/>
      <c r="Y1798" s="13"/>
      <c r="AB1798" s="24"/>
      <c r="AC1798" s="23"/>
    </row>
    <row r="1799" spans="4:29" x14ac:dyDescent="0.25">
      <c r="D1799" s="3"/>
      <c r="E1799" s="15"/>
      <c r="F1799" s="15"/>
      <c r="G1799" s="15"/>
      <c r="H1799" s="15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17"/>
      <c r="X1799" s="13"/>
      <c r="Y1799" s="13"/>
      <c r="AB1799" s="24"/>
      <c r="AC1799" s="23"/>
    </row>
    <row r="1800" spans="4:29" x14ac:dyDescent="0.25">
      <c r="D1800" s="3"/>
      <c r="E1800" s="15"/>
      <c r="F1800" s="15"/>
      <c r="G1800" s="15"/>
      <c r="H1800" s="15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17"/>
      <c r="X1800" s="13"/>
      <c r="Y1800" s="13"/>
      <c r="AB1800" s="24"/>
      <c r="AC1800" s="23"/>
    </row>
    <row r="1801" spans="4:29" x14ac:dyDescent="0.25">
      <c r="D1801" s="3"/>
      <c r="E1801" s="15"/>
      <c r="F1801" s="15"/>
      <c r="G1801" s="15"/>
      <c r="H1801" s="15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17"/>
      <c r="X1801" s="13"/>
      <c r="Y1801" s="13"/>
      <c r="AB1801" s="24"/>
      <c r="AC1801" s="23"/>
    </row>
    <row r="1802" spans="4:29" x14ac:dyDescent="0.25">
      <c r="D1802" s="3"/>
      <c r="E1802" s="15"/>
      <c r="F1802" s="15"/>
      <c r="G1802" s="15"/>
      <c r="H1802" s="15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17"/>
      <c r="X1802" s="13"/>
      <c r="Y1802" s="13"/>
      <c r="AB1802" s="24"/>
      <c r="AC1802" s="23"/>
    </row>
    <row r="1803" spans="4:29" x14ac:dyDescent="0.25">
      <c r="D1803" s="3"/>
      <c r="E1803" s="15"/>
      <c r="F1803" s="15"/>
      <c r="G1803" s="15"/>
      <c r="H1803" s="15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17"/>
      <c r="X1803" s="13"/>
      <c r="Y1803" s="13"/>
      <c r="AB1803" s="24"/>
      <c r="AC1803" s="23"/>
    </row>
    <row r="1804" spans="4:29" x14ac:dyDescent="0.25">
      <c r="D1804" s="3"/>
      <c r="E1804" s="15"/>
      <c r="F1804" s="15"/>
      <c r="G1804" s="15"/>
      <c r="H1804" s="15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17"/>
      <c r="X1804" s="13"/>
      <c r="Y1804" s="13"/>
      <c r="AB1804" s="24"/>
      <c r="AC1804" s="23"/>
    </row>
    <row r="1805" spans="4:29" x14ac:dyDescent="0.25">
      <c r="D1805" s="3"/>
      <c r="E1805" s="15"/>
      <c r="F1805" s="15"/>
      <c r="G1805" s="15"/>
      <c r="H1805" s="15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17"/>
      <c r="X1805" s="13"/>
      <c r="Y1805" s="13"/>
      <c r="AB1805" s="24"/>
      <c r="AC1805" s="23"/>
    </row>
    <row r="1806" spans="4:29" x14ac:dyDescent="0.25">
      <c r="D1806" s="3"/>
      <c r="E1806" s="15"/>
      <c r="F1806" s="15"/>
      <c r="G1806" s="15"/>
      <c r="H1806" s="15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17"/>
      <c r="X1806" s="13"/>
      <c r="Y1806" s="13"/>
      <c r="AB1806" s="24"/>
      <c r="AC1806" s="23"/>
    </row>
    <row r="1807" spans="4:29" x14ac:dyDescent="0.25">
      <c r="D1807" s="3"/>
      <c r="E1807" s="15"/>
      <c r="F1807" s="15"/>
      <c r="G1807" s="15"/>
      <c r="H1807" s="15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17"/>
      <c r="X1807" s="13"/>
      <c r="Y1807" s="13"/>
      <c r="AB1807" s="24"/>
      <c r="AC1807" s="23"/>
    </row>
    <row r="1808" spans="4:29" x14ac:dyDescent="0.25">
      <c r="D1808" s="3"/>
      <c r="E1808" s="15"/>
      <c r="F1808" s="15"/>
      <c r="G1808" s="15"/>
      <c r="H1808" s="15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17"/>
      <c r="X1808" s="13"/>
      <c r="Y1808" s="13"/>
      <c r="AB1808" s="24"/>
      <c r="AC1808" s="23"/>
    </row>
    <row r="1809" spans="4:29" x14ac:dyDescent="0.25">
      <c r="D1809" s="3"/>
      <c r="E1809" s="15"/>
      <c r="F1809" s="15"/>
      <c r="G1809" s="15"/>
      <c r="H1809" s="15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17"/>
      <c r="X1809" s="13"/>
      <c r="Y1809" s="13"/>
      <c r="AB1809" s="24"/>
      <c r="AC1809" s="23"/>
    </row>
    <row r="1810" spans="4:29" x14ac:dyDescent="0.25">
      <c r="D1810" s="3"/>
      <c r="E1810" s="15"/>
      <c r="F1810" s="15"/>
      <c r="G1810" s="15"/>
      <c r="H1810" s="15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17"/>
      <c r="X1810" s="13"/>
      <c r="Y1810" s="13"/>
      <c r="AB1810" s="24"/>
      <c r="AC1810" s="23"/>
    </row>
    <row r="1811" spans="4:29" x14ac:dyDescent="0.25">
      <c r="D1811" s="3"/>
      <c r="E1811" s="15"/>
      <c r="F1811" s="15"/>
      <c r="G1811" s="15"/>
      <c r="H1811" s="15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17"/>
      <c r="X1811" s="13"/>
      <c r="Y1811" s="13"/>
      <c r="AB1811" s="24"/>
      <c r="AC1811" s="23"/>
    </row>
    <row r="1812" spans="4:29" x14ac:dyDescent="0.25">
      <c r="D1812" s="3"/>
      <c r="E1812" s="15"/>
      <c r="F1812" s="15"/>
      <c r="G1812" s="15"/>
      <c r="H1812" s="15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17"/>
      <c r="X1812" s="13"/>
      <c r="Y1812" s="13"/>
      <c r="AB1812" s="24"/>
      <c r="AC1812" s="23"/>
    </row>
    <row r="1813" spans="4:29" x14ac:dyDescent="0.25">
      <c r="D1813" s="3"/>
      <c r="E1813" s="15"/>
      <c r="F1813" s="15"/>
      <c r="G1813" s="15"/>
      <c r="H1813" s="15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17"/>
      <c r="X1813" s="13"/>
      <c r="Y1813" s="13"/>
      <c r="AB1813" s="24"/>
      <c r="AC1813" s="23"/>
    </row>
    <row r="1814" spans="4:29" x14ac:dyDescent="0.25">
      <c r="D1814" s="3"/>
      <c r="E1814" s="15"/>
      <c r="F1814" s="15"/>
      <c r="G1814" s="15"/>
      <c r="H1814" s="15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17"/>
      <c r="X1814" s="13"/>
      <c r="Y1814" s="13"/>
      <c r="AB1814" s="24"/>
      <c r="AC1814" s="23"/>
    </row>
    <row r="1815" spans="4:29" x14ac:dyDescent="0.25">
      <c r="D1815" s="3"/>
      <c r="E1815" s="15"/>
      <c r="F1815" s="15"/>
      <c r="G1815" s="15"/>
      <c r="H1815" s="15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17"/>
      <c r="X1815" s="13"/>
      <c r="Y1815" s="13"/>
      <c r="AB1815" s="24"/>
      <c r="AC1815" s="23"/>
    </row>
    <row r="1816" spans="4:29" x14ac:dyDescent="0.25">
      <c r="D1816" s="3"/>
      <c r="E1816" s="15"/>
      <c r="F1816" s="15"/>
      <c r="G1816" s="15"/>
      <c r="H1816" s="15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17"/>
      <c r="X1816" s="13"/>
      <c r="Y1816" s="13"/>
      <c r="AB1816" s="24"/>
      <c r="AC1816" s="23"/>
    </row>
    <row r="1817" spans="4:29" x14ac:dyDescent="0.25">
      <c r="D1817" s="3"/>
      <c r="E1817" s="15"/>
      <c r="F1817" s="15"/>
      <c r="G1817" s="15"/>
      <c r="H1817" s="15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17"/>
      <c r="X1817" s="13"/>
      <c r="Y1817" s="13"/>
      <c r="AB1817" s="24"/>
      <c r="AC1817" s="23"/>
    </row>
    <row r="1818" spans="4:29" x14ac:dyDescent="0.25">
      <c r="D1818" s="3"/>
      <c r="E1818" s="15"/>
      <c r="F1818" s="15"/>
      <c r="G1818" s="15"/>
      <c r="H1818" s="15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17"/>
      <c r="X1818" s="13"/>
      <c r="Y1818" s="13"/>
      <c r="AB1818" s="24"/>
      <c r="AC1818" s="23"/>
    </row>
    <row r="1819" spans="4:29" x14ac:dyDescent="0.25">
      <c r="D1819" s="3"/>
      <c r="E1819" s="15"/>
      <c r="F1819" s="15"/>
      <c r="G1819" s="15"/>
      <c r="H1819" s="15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17"/>
      <c r="X1819" s="13"/>
      <c r="Y1819" s="13"/>
      <c r="AB1819" s="24"/>
      <c r="AC1819" s="23"/>
    </row>
    <row r="1820" spans="4:29" x14ac:dyDescent="0.25">
      <c r="D1820" s="3"/>
      <c r="E1820" s="15"/>
      <c r="F1820" s="15"/>
      <c r="G1820" s="15"/>
      <c r="H1820" s="15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17"/>
      <c r="X1820" s="13"/>
      <c r="Y1820" s="13"/>
      <c r="AB1820" s="24"/>
      <c r="AC1820" s="23"/>
    </row>
    <row r="1821" spans="4:29" x14ac:dyDescent="0.25">
      <c r="D1821" s="3"/>
      <c r="E1821" s="15"/>
      <c r="F1821" s="15"/>
      <c r="G1821" s="15"/>
      <c r="H1821" s="15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17"/>
      <c r="X1821" s="13"/>
      <c r="Y1821" s="13"/>
      <c r="AB1821" s="24"/>
      <c r="AC1821" s="23"/>
    </row>
    <row r="1822" spans="4:29" x14ac:dyDescent="0.25">
      <c r="D1822" s="3"/>
      <c r="E1822" s="15"/>
      <c r="F1822" s="15"/>
      <c r="G1822" s="15"/>
      <c r="H1822" s="15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17"/>
      <c r="X1822" s="13"/>
      <c r="Y1822" s="13"/>
      <c r="AB1822" s="24"/>
      <c r="AC1822" s="23"/>
    </row>
    <row r="1823" spans="4:29" x14ac:dyDescent="0.25">
      <c r="D1823" s="3"/>
      <c r="E1823" s="15"/>
      <c r="F1823" s="15"/>
      <c r="G1823" s="15"/>
      <c r="H1823" s="15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17"/>
      <c r="X1823" s="13"/>
      <c r="Y1823" s="13"/>
      <c r="AB1823" s="24"/>
      <c r="AC1823" s="23"/>
    </row>
    <row r="1824" spans="4:29" x14ac:dyDescent="0.25">
      <c r="D1824" s="3"/>
      <c r="E1824" s="15"/>
      <c r="F1824" s="15"/>
      <c r="G1824" s="15"/>
      <c r="H1824" s="15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17"/>
      <c r="X1824" s="13"/>
      <c r="Y1824" s="13"/>
      <c r="AB1824" s="24"/>
      <c r="AC1824" s="23"/>
    </row>
    <row r="1825" spans="4:29" x14ac:dyDescent="0.25">
      <c r="D1825" s="3"/>
      <c r="E1825" s="15"/>
      <c r="F1825" s="15"/>
      <c r="G1825" s="15"/>
      <c r="H1825" s="15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17"/>
      <c r="X1825" s="13"/>
      <c r="Y1825" s="13"/>
      <c r="AB1825" s="24"/>
      <c r="AC1825" s="23"/>
    </row>
    <row r="1826" spans="4:29" x14ac:dyDescent="0.25">
      <c r="D1826" s="3"/>
      <c r="E1826" s="15"/>
      <c r="F1826" s="15"/>
      <c r="G1826" s="15"/>
      <c r="H1826" s="15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17"/>
      <c r="X1826" s="13"/>
      <c r="Y1826" s="13"/>
      <c r="AB1826" s="24"/>
      <c r="AC1826" s="23"/>
    </row>
    <row r="1827" spans="4:29" x14ac:dyDescent="0.25">
      <c r="D1827" s="3"/>
      <c r="E1827" s="15"/>
      <c r="F1827" s="15"/>
      <c r="G1827" s="15"/>
      <c r="H1827" s="15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17"/>
      <c r="X1827" s="13"/>
      <c r="Y1827" s="13"/>
      <c r="AB1827" s="24"/>
      <c r="AC1827" s="23"/>
    </row>
    <row r="1828" spans="4:29" x14ac:dyDescent="0.25">
      <c r="D1828" s="3"/>
      <c r="E1828" s="15"/>
      <c r="F1828" s="15"/>
      <c r="G1828" s="15"/>
      <c r="H1828" s="15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17"/>
      <c r="X1828" s="13"/>
      <c r="Y1828" s="13"/>
      <c r="AB1828" s="24"/>
      <c r="AC1828" s="23"/>
    </row>
    <row r="1829" spans="4:29" x14ac:dyDescent="0.25">
      <c r="D1829" s="3"/>
      <c r="E1829" s="15"/>
      <c r="F1829" s="15"/>
      <c r="G1829" s="15"/>
      <c r="H1829" s="15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17"/>
      <c r="X1829" s="13"/>
      <c r="Y1829" s="13"/>
      <c r="AB1829" s="24"/>
      <c r="AC1829" s="23"/>
    </row>
    <row r="1830" spans="4:29" x14ac:dyDescent="0.25">
      <c r="D1830" s="3"/>
      <c r="E1830" s="15"/>
      <c r="F1830" s="15"/>
      <c r="G1830" s="15"/>
      <c r="H1830" s="15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17"/>
      <c r="X1830" s="13"/>
      <c r="Y1830" s="13"/>
      <c r="AB1830" s="24"/>
      <c r="AC1830" s="23"/>
    </row>
    <row r="1831" spans="4:29" x14ac:dyDescent="0.25">
      <c r="D1831" s="3"/>
      <c r="E1831" s="15"/>
      <c r="F1831" s="15"/>
      <c r="G1831" s="15"/>
      <c r="H1831" s="15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17"/>
      <c r="X1831" s="13"/>
      <c r="Y1831" s="13"/>
      <c r="AB1831" s="24"/>
      <c r="AC1831" s="23"/>
    </row>
    <row r="1832" spans="4:29" x14ac:dyDescent="0.25">
      <c r="D1832" s="3"/>
      <c r="E1832" s="15"/>
      <c r="F1832" s="15"/>
      <c r="G1832" s="15"/>
      <c r="H1832" s="15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17"/>
      <c r="X1832" s="13"/>
      <c r="Y1832" s="13"/>
      <c r="AB1832" s="24"/>
      <c r="AC1832" s="23"/>
    </row>
    <row r="1833" spans="4:29" x14ac:dyDescent="0.25">
      <c r="D1833" s="3"/>
      <c r="E1833" s="15"/>
      <c r="F1833" s="15"/>
      <c r="G1833" s="15"/>
      <c r="H1833" s="15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17"/>
      <c r="X1833" s="13"/>
      <c r="Y1833" s="13"/>
      <c r="AB1833" s="24"/>
      <c r="AC1833" s="23"/>
    </row>
    <row r="1834" spans="4:29" x14ac:dyDescent="0.25">
      <c r="D1834" s="3"/>
      <c r="E1834" s="15"/>
      <c r="F1834" s="15"/>
      <c r="G1834" s="15"/>
      <c r="H1834" s="15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17"/>
      <c r="X1834" s="13"/>
      <c r="Y1834" s="13"/>
      <c r="AB1834" s="24"/>
      <c r="AC1834" s="23"/>
    </row>
    <row r="1835" spans="4:29" x14ac:dyDescent="0.25">
      <c r="D1835" s="3"/>
      <c r="E1835" s="15"/>
      <c r="F1835" s="15"/>
      <c r="G1835" s="15"/>
      <c r="H1835" s="15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17"/>
      <c r="X1835" s="13"/>
      <c r="Y1835" s="13"/>
      <c r="AB1835" s="24"/>
      <c r="AC1835" s="23"/>
    </row>
    <row r="1836" spans="4:29" x14ac:dyDescent="0.25">
      <c r="D1836" s="3"/>
      <c r="E1836" s="15"/>
      <c r="F1836" s="15"/>
      <c r="G1836" s="15"/>
      <c r="H1836" s="15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17"/>
      <c r="X1836" s="13"/>
      <c r="Y1836" s="13"/>
      <c r="AB1836" s="24"/>
      <c r="AC1836" s="23"/>
    </row>
    <row r="1837" spans="4:29" x14ac:dyDescent="0.25">
      <c r="D1837" s="3"/>
      <c r="E1837" s="15"/>
      <c r="F1837" s="15"/>
      <c r="G1837" s="15"/>
      <c r="H1837" s="15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17"/>
      <c r="X1837" s="13"/>
      <c r="Y1837" s="13"/>
      <c r="AB1837" s="24"/>
      <c r="AC1837" s="23"/>
    </row>
    <row r="1838" spans="4:29" x14ac:dyDescent="0.25">
      <c r="D1838" s="3"/>
      <c r="E1838" s="15"/>
      <c r="F1838" s="15"/>
      <c r="G1838" s="15"/>
      <c r="H1838" s="15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17"/>
      <c r="X1838" s="13"/>
      <c r="Y1838" s="13"/>
      <c r="AB1838" s="24"/>
      <c r="AC1838" s="23"/>
    </row>
    <row r="1839" spans="4:29" x14ac:dyDescent="0.25">
      <c r="D1839" s="3"/>
      <c r="E1839" s="15"/>
      <c r="F1839" s="15"/>
      <c r="G1839" s="15"/>
      <c r="H1839" s="15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17"/>
      <c r="X1839" s="13"/>
      <c r="Y1839" s="13"/>
      <c r="AB1839" s="24"/>
      <c r="AC1839" s="23"/>
    </row>
    <row r="1840" spans="4:29" x14ac:dyDescent="0.25">
      <c r="D1840" s="3"/>
      <c r="E1840" s="15"/>
      <c r="F1840" s="15"/>
      <c r="G1840" s="15"/>
      <c r="H1840" s="15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17"/>
      <c r="X1840" s="13"/>
      <c r="Y1840" s="13"/>
      <c r="AB1840" s="24"/>
      <c r="AC1840" s="23"/>
    </row>
    <row r="1841" spans="4:29" x14ac:dyDescent="0.25">
      <c r="D1841" s="3"/>
      <c r="E1841" s="15"/>
      <c r="F1841" s="15"/>
      <c r="G1841" s="15"/>
      <c r="H1841" s="15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17"/>
      <c r="X1841" s="13"/>
      <c r="Y1841" s="13"/>
      <c r="AB1841" s="24"/>
      <c r="AC1841" s="23"/>
    </row>
    <row r="1842" spans="4:29" x14ac:dyDescent="0.25">
      <c r="D1842" s="3"/>
      <c r="E1842" s="15"/>
      <c r="F1842" s="15"/>
      <c r="G1842" s="15"/>
      <c r="H1842" s="15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17"/>
      <c r="X1842" s="13"/>
      <c r="Y1842" s="13"/>
      <c r="AB1842" s="24"/>
      <c r="AC1842" s="23"/>
    </row>
    <row r="1843" spans="4:29" x14ac:dyDescent="0.25">
      <c r="D1843" s="3"/>
      <c r="E1843" s="15"/>
      <c r="F1843" s="15"/>
      <c r="G1843" s="15"/>
      <c r="H1843" s="15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17"/>
      <c r="X1843" s="13"/>
      <c r="Y1843" s="13"/>
      <c r="AB1843" s="24"/>
      <c r="AC1843" s="23"/>
    </row>
    <row r="1844" spans="4:29" x14ac:dyDescent="0.25">
      <c r="D1844" s="3"/>
      <c r="E1844" s="15"/>
      <c r="F1844" s="15"/>
      <c r="G1844" s="15"/>
      <c r="H1844" s="15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17"/>
      <c r="X1844" s="13"/>
      <c r="Y1844" s="13"/>
      <c r="AB1844" s="24"/>
      <c r="AC1844" s="23"/>
    </row>
    <row r="1845" spans="4:29" x14ac:dyDescent="0.25">
      <c r="D1845" s="3"/>
      <c r="E1845" s="15"/>
      <c r="F1845" s="15"/>
      <c r="G1845" s="15"/>
      <c r="H1845" s="15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17"/>
      <c r="X1845" s="13"/>
      <c r="Y1845" s="13"/>
      <c r="AB1845" s="24"/>
      <c r="AC1845" s="23"/>
    </row>
    <row r="1846" spans="4:29" x14ac:dyDescent="0.25">
      <c r="D1846" s="3"/>
      <c r="E1846" s="15"/>
      <c r="F1846" s="15"/>
      <c r="G1846" s="15"/>
      <c r="H1846" s="15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17"/>
      <c r="X1846" s="13"/>
      <c r="Y1846" s="13"/>
      <c r="AB1846" s="24"/>
      <c r="AC1846" s="23"/>
    </row>
    <row r="1847" spans="4:29" x14ac:dyDescent="0.25">
      <c r="D1847" s="3"/>
      <c r="E1847" s="15"/>
      <c r="F1847" s="15"/>
      <c r="G1847" s="15"/>
      <c r="H1847" s="15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17"/>
      <c r="X1847" s="13"/>
      <c r="Y1847" s="13"/>
      <c r="AB1847" s="24"/>
      <c r="AC1847" s="23"/>
    </row>
    <row r="1848" spans="4:29" x14ac:dyDescent="0.25">
      <c r="D1848" s="3"/>
      <c r="E1848" s="15"/>
      <c r="F1848" s="15"/>
      <c r="G1848" s="15"/>
      <c r="H1848" s="15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17"/>
      <c r="X1848" s="13"/>
      <c r="Y1848" s="13"/>
      <c r="AB1848" s="24"/>
      <c r="AC1848" s="23"/>
    </row>
    <row r="1849" spans="4:29" x14ac:dyDescent="0.25">
      <c r="D1849" s="3"/>
      <c r="E1849" s="15"/>
      <c r="F1849" s="15"/>
      <c r="G1849" s="15"/>
      <c r="H1849" s="15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17"/>
      <c r="X1849" s="13"/>
      <c r="Y1849" s="13"/>
      <c r="AB1849" s="24"/>
      <c r="AC1849" s="23"/>
    </row>
    <row r="1850" spans="4:29" x14ac:dyDescent="0.25">
      <c r="D1850" s="3"/>
      <c r="E1850" s="15"/>
      <c r="F1850" s="15"/>
      <c r="G1850" s="15"/>
      <c r="H1850" s="15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17"/>
      <c r="X1850" s="13"/>
      <c r="Y1850" s="13"/>
      <c r="AB1850" s="24"/>
      <c r="AC1850" s="23"/>
    </row>
    <row r="1851" spans="4:29" x14ac:dyDescent="0.25">
      <c r="D1851" s="3"/>
      <c r="E1851" s="15"/>
      <c r="F1851" s="15"/>
      <c r="G1851" s="15"/>
      <c r="H1851" s="15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17"/>
      <c r="X1851" s="13"/>
      <c r="Y1851" s="13"/>
      <c r="AB1851" s="24"/>
      <c r="AC1851" s="23"/>
    </row>
    <row r="1852" spans="4:29" x14ac:dyDescent="0.25">
      <c r="D1852" s="3"/>
      <c r="E1852" s="15"/>
      <c r="F1852" s="15"/>
      <c r="G1852" s="15"/>
      <c r="H1852" s="15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17"/>
      <c r="X1852" s="13"/>
      <c r="Y1852" s="13"/>
      <c r="AB1852" s="24"/>
      <c r="AC1852" s="23"/>
    </row>
    <row r="1853" spans="4:29" x14ac:dyDescent="0.25">
      <c r="D1853" s="3"/>
      <c r="E1853" s="15"/>
      <c r="F1853" s="15"/>
      <c r="G1853" s="15"/>
      <c r="H1853" s="15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17"/>
      <c r="X1853" s="13"/>
      <c r="Y1853" s="13"/>
      <c r="AB1853" s="24"/>
      <c r="AC1853" s="23"/>
    </row>
    <row r="1854" spans="4:29" x14ac:dyDescent="0.25">
      <c r="D1854" s="3"/>
      <c r="E1854" s="15"/>
      <c r="F1854" s="15"/>
      <c r="G1854" s="15"/>
      <c r="H1854" s="15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17"/>
      <c r="X1854" s="13"/>
      <c r="Y1854" s="13"/>
      <c r="AB1854" s="24"/>
      <c r="AC1854" s="23"/>
    </row>
    <row r="1855" spans="4:29" x14ac:dyDescent="0.25">
      <c r="D1855" s="3"/>
      <c r="E1855" s="15"/>
      <c r="F1855" s="15"/>
      <c r="G1855" s="15"/>
      <c r="H1855" s="15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17"/>
      <c r="X1855" s="13"/>
      <c r="Y1855" s="13"/>
      <c r="AB1855" s="24"/>
      <c r="AC1855" s="23"/>
    </row>
    <row r="1856" spans="4:29" x14ac:dyDescent="0.25">
      <c r="D1856" s="3"/>
      <c r="E1856" s="15"/>
      <c r="F1856" s="15"/>
      <c r="G1856" s="15"/>
      <c r="H1856" s="15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17"/>
      <c r="X1856" s="13"/>
      <c r="Y1856" s="13"/>
      <c r="AB1856" s="24"/>
      <c r="AC1856" s="23"/>
    </row>
    <row r="1857" spans="4:29" x14ac:dyDescent="0.25">
      <c r="D1857" s="3"/>
      <c r="E1857" s="15"/>
      <c r="F1857" s="15"/>
      <c r="G1857" s="15"/>
      <c r="H1857" s="15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17"/>
      <c r="X1857" s="13"/>
      <c r="Y1857" s="13"/>
      <c r="AB1857" s="24"/>
      <c r="AC1857" s="23"/>
    </row>
    <row r="1858" spans="4:29" x14ac:dyDescent="0.25">
      <c r="D1858" s="3"/>
      <c r="E1858" s="15"/>
      <c r="F1858" s="15"/>
      <c r="G1858" s="15"/>
      <c r="H1858" s="15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17"/>
      <c r="X1858" s="13"/>
      <c r="Y1858" s="13"/>
      <c r="AB1858" s="24"/>
      <c r="AC1858" s="23"/>
    </row>
    <row r="1859" spans="4:29" x14ac:dyDescent="0.25">
      <c r="D1859" s="3"/>
      <c r="E1859" s="15"/>
      <c r="F1859" s="15"/>
      <c r="G1859" s="15"/>
      <c r="H1859" s="15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17"/>
      <c r="X1859" s="13"/>
      <c r="Y1859" s="13"/>
      <c r="AB1859" s="24"/>
      <c r="AC1859" s="23"/>
    </row>
    <row r="1860" spans="4:29" x14ac:dyDescent="0.25">
      <c r="D1860" s="3"/>
      <c r="E1860" s="15"/>
      <c r="F1860" s="15"/>
      <c r="G1860" s="15"/>
      <c r="H1860" s="15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17"/>
      <c r="X1860" s="13"/>
      <c r="Y1860" s="13"/>
      <c r="AB1860" s="24"/>
      <c r="AC1860" s="23"/>
    </row>
    <row r="1861" spans="4:29" x14ac:dyDescent="0.25">
      <c r="D1861" s="3"/>
      <c r="E1861" s="15"/>
      <c r="F1861" s="15"/>
      <c r="G1861" s="15"/>
      <c r="H1861" s="15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17"/>
      <c r="X1861" s="13"/>
      <c r="Y1861" s="13"/>
      <c r="AB1861" s="24"/>
      <c r="AC1861" s="23"/>
    </row>
    <row r="1862" spans="4:29" x14ac:dyDescent="0.25">
      <c r="D1862" s="3"/>
      <c r="E1862" s="15"/>
      <c r="F1862" s="15"/>
      <c r="G1862" s="15"/>
      <c r="H1862" s="15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17"/>
      <c r="X1862" s="13"/>
      <c r="Y1862" s="13"/>
      <c r="AB1862" s="24"/>
      <c r="AC1862" s="23"/>
    </row>
    <row r="1863" spans="4:29" x14ac:dyDescent="0.25">
      <c r="D1863" s="3"/>
      <c r="E1863" s="15"/>
      <c r="F1863" s="15"/>
      <c r="G1863" s="15"/>
      <c r="H1863" s="15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17"/>
      <c r="X1863" s="13"/>
      <c r="Y1863" s="13"/>
      <c r="AB1863" s="24"/>
      <c r="AC1863" s="23"/>
    </row>
    <row r="1864" spans="4:29" x14ac:dyDescent="0.25">
      <c r="D1864" s="3"/>
      <c r="E1864" s="15"/>
      <c r="F1864" s="15"/>
      <c r="G1864" s="15"/>
      <c r="H1864" s="15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17"/>
      <c r="X1864" s="13"/>
      <c r="Y1864" s="13"/>
      <c r="AB1864" s="24"/>
      <c r="AC1864" s="23"/>
    </row>
    <row r="1865" spans="4:29" x14ac:dyDescent="0.25">
      <c r="D1865" s="3"/>
      <c r="E1865" s="15"/>
      <c r="F1865" s="15"/>
      <c r="G1865" s="15"/>
      <c r="H1865" s="15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17"/>
      <c r="X1865" s="13"/>
      <c r="Y1865" s="13"/>
      <c r="AB1865" s="24"/>
      <c r="AC1865" s="23"/>
    </row>
    <row r="1866" spans="4:29" x14ac:dyDescent="0.25">
      <c r="D1866" s="3"/>
      <c r="E1866" s="15"/>
      <c r="F1866" s="15"/>
      <c r="G1866" s="15"/>
      <c r="H1866" s="15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17"/>
      <c r="X1866" s="13"/>
      <c r="Y1866" s="13"/>
      <c r="AB1866" s="24"/>
      <c r="AC1866" s="23"/>
    </row>
    <row r="1867" spans="4:29" x14ac:dyDescent="0.25">
      <c r="D1867" s="3"/>
      <c r="E1867" s="15"/>
      <c r="F1867" s="15"/>
      <c r="G1867" s="15"/>
      <c r="H1867" s="15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17"/>
      <c r="X1867" s="13"/>
      <c r="Y1867" s="13"/>
      <c r="AB1867" s="24"/>
      <c r="AC1867" s="23"/>
    </row>
    <row r="1868" spans="4:29" x14ac:dyDescent="0.25">
      <c r="D1868" s="3"/>
      <c r="E1868" s="15"/>
      <c r="F1868" s="15"/>
      <c r="G1868" s="15"/>
      <c r="H1868" s="15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17"/>
      <c r="X1868" s="13"/>
      <c r="Y1868" s="13"/>
      <c r="AB1868" s="24"/>
      <c r="AC1868" s="23"/>
    </row>
    <row r="1869" spans="4:29" x14ac:dyDescent="0.25">
      <c r="D1869" s="3"/>
      <c r="E1869" s="15"/>
      <c r="F1869" s="15"/>
      <c r="G1869" s="15"/>
      <c r="H1869" s="15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17"/>
      <c r="X1869" s="13"/>
      <c r="Y1869" s="13"/>
      <c r="AB1869" s="24"/>
      <c r="AC1869" s="23"/>
    </row>
    <row r="1870" spans="4:29" x14ac:dyDescent="0.25">
      <c r="D1870" s="3"/>
      <c r="E1870" s="15"/>
      <c r="F1870" s="15"/>
      <c r="G1870" s="15"/>
      <c r="H1870" s="15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17"/>
      <c r="X1870" s="13"/>
      <c r="Y1870" s="13"/>
      <c r="AB1870" s="24"/>
      <c r="AC1870" s="23"/>
    </row>
    <row r="1871" spans="4:29" x14ac:dyDescent="0.25">
      <c r="D1871" s="3"/>
      <c r="E1871" s="15"/>
      <c r="F1871" s="15"/>
      <c r="G1871" s="15"/>
      <c r="H1871" s="15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17"/>
      <c r="X1871" s="13"/>
      <c r="Y1871" s="13"/>
      <c r="AB1871" s="24"/>
      <c r="AC1871" s="23"/>
    </row>
    <row r="1872" spans="4:29" x14ac:dyDescent="0.25">
      <c r="D1872" s="3"/>
      <c r="E1872" s="15"/>
      <c r="F1872" s="15"/>
      <c r="G1872" s="15"/>
      <c r="H1872" s="15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17"/>
      <c r="X1872" s="13"/>
      <c r="Y1872" s="13"/>
      <c r="AB1872" s="24"/>
      <c r="AC1872" s="23"/>
    </row>
    <row r="1873" spans="4:29" x14ac:dyDescent="0.25">
      <c r="D1873" s="3"/>
      <c r="E1873" s="15"/>
      <c r="F1873" s="15"/>
      <c r="G1873" s="15"/>
      <c r="H1873" s="15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17"/>
      <c r="X1873" s="13"/>
      <c r="Y1873" s="13"/>
      <c r="AB1873" s="24"/>
      <c r="AC1873" s="23"/>
    </row>
    <row r="1874" spans="4:29" x14ac:dyDescent="0.25">
      <c r="D1874" s="3"/>
      <c r="E1874" s="15"/>
      <c r="F1874" s="15"/>
      <c r="G1874" s="15"/>
      <c r="H1874" s="15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17"/>
      <c r="X1874" s="13"/>
      <c r="Y1874" s="13"/>
      <c r="AB1874" s="24"/>
      <c r="AC1874" s="23"/>
    </row>
    <row r="1875" spans="4:29" x14ac:dyDescent="0.25">
      <c r="D1875" s="3"/>
      <c r="E1875" s="15"/>
      <c r="F1875" s="15"/>
      <c r="G1875" s="15"/>
      <c r="H1875" s="15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17"/>
      <c r="X1875" s="13"/>
      <c r="Y1875" s="13"/>
      <c r="AB1875" s="24"/>
      <c r="AC1875" s="23"/>
    </row>
    <row r="1876" spans="4:29" x14ac:dyDescent="0.25">
      <c r="D1876" s="3"/>
      <c r="E1876" s="15"/>
      <c r="F1876" s="15"/>
      <c r="G1876" s="15"/>
      <c r="H1876" s="15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17"/>
      <c r="X1876" s="13"/>
      <c r="Y1876" s="13"/>
      <c r="AB1876" s="24"/>
      <c r="AC1876" s="23"/>
    </row>
    <row r="1877" spans="4:29" x14ac:dyDescent="0.25">
      <c r="D1877" s="3"/>
      <c r="E1877" s="15"/>
      <c r="F1877" s="15"/>
      <c r="G1877" s="15"/>
      <c r="H1877" s="15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17"/>
      <c r="X1877" s="13"/>
      <c r="Y1877" s="13"/>
      <c r="AB1877" s="24"/>
      <c r="AC1877" s="23"/>
    </row>
    <row r="1878" spans="4:29" x14ac:dyDescent="0.25">
      <c r="D1878" s="3"/>
      <c r="E1878" s="15"/>
      <c r="F1878" s="15"/>
      <c r="G1878" s="15"/>
      <c r="H1878" s="15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17"/>
      <c r="X1878" s="13"/>
      <c r="Y1878" s="13"/>
      <c r="AB1878" s="24"/>
      <c r="AC1878" s="23"/>
    </row>
    <row r="1879" spans="4:29" x14ac:dyDescent="0.25">
      <c r="D1879" s="3"/>
      <c r="E1879" s="15"/>
      <c r="F1879" s="15"/>
      <c r="G1879" s="15"/>
      <c r="H1879" s="15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17"/>
      <c r="X1879" s="13"/>
      <c r="Y1879" s="13"/>
      <c r="AB1879" s="24"/>
      <c r="AC1879" s="23"/>
    </row>
    <row r="1880" spans="4:29" x14ac:dyDescent="0.25">
      <c r="D1880" s="3"/>
      <c r="E1880" s="15"/>
      <c r="F1880" s="15"/>
      <c r="G1880" s="15"/>
      <c r="H1880" s="15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17"/>
      <c r="X1880" s="13"/>
      <c r="Y1880" s="13"/>
      <c r="AB1880" s="24"/>
      <c r="AC1880" s="23"/>
    </row>
    <row r="1881" spans="4:29" x14ac:dyDescent="0.25">
      <c r="D1881" s="3"/>
      <c r="E1881" s="15"/>
      <c r="F1881" s="15"/>
      <c r="G1881" s="15"/>
      <c r="H1881" s="15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17"/>
      <c r="X1881" s="13"/>
      <c r="Y1881" s="13"/>
      <c r="AB1881" s="24"/>
      <c r="AC1881" s="23"/>
    </row>
    <row r="1882" spans="4:29" x14ac:dyDescent="0.25">
      <c r="D1882" s="3"/>
      <c r="E1882" s="15"/>
      <c r="F1882" s="15"/>
      <c r="G1882" s="15"/>
      <c r="H1882" s="15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17"/>
      <c r="X1882" s="13"/>
      <c r="Y1882" s="13"/>
      <c r="AB1882" s="24"/>
      <c r="AC1882" s="23"/>
    </row>
    <row r="1883" spans="4:29" x14ac:dyDescent="0.25">
      <c r="D1883" s="3"/>
      <c r="E1883" s="15"/>
      <c r="F1883" s="15"/>
      <c r="G1883" s="15"/>
      <c r="H1883" s="15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17"/>
      <c r="X1883" s="13"/>
      <c r="Y1883" s="13"/>
      <c r="AB1883" s="24"/>
      <c r="AC1883" s="23"/>
    </row>
    <row r="1884" spans="4:29" x14ac:dyDescent="0.25">
      <c r="D1884" s="3"/>
      <c r="E1884" s="15"/>
      <c r="F1884" s="15"/>
      <c r="G1884" s="15"/>
      <c r="H1884" s="15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17"/>
      <c r="X1884" s="13"/>
      <c r="Y1884" s="13"/>
      <c r="AB1884" s="24"/>
      <c r="AC1884" s="23"/>
    </row>
    <row r="1885" spans="4:29" x14ac:dyDescent="0.25">
      <c r="D1885" s="3"/>
      <c r="E1885" s="15"/>
      <c r="F1885" s="15"/>
      <c r="G1885" s="15"/>
      <c r="H1885" s="15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17"/>
      <c r="X1885" s="13"/>
      <c r="Y1885" s="13"/>
      <c r="AB1885" s="24"/>
      <c r="AC1885" s="23"/>
    </row>
    <row r="1886" spans="4:29" x14ac:dyDescent="0.25">
      <c r="D1886" s="3"/>
      <c r="E1886" s="15"/>
      <c r="F1886" s="15"/>
      <c r="G1886" s="15"/>
      <c r="H1886" s="15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17"/>
      <c r="X1886" s="13"/>
      <c r="Y1886" s="13"/>
      <c r="AB1886" s="24"/>
      <c r="AC1886" s="23"/>
    </row>
    <row r="1887" spans="4:29" x14ac:dyDescent="0.25">
      <c r="D1887" s="3"/>
      <c r="E1887" s="15"/>
      <c r="F1887" s="15"/>
      <c r="G1887" s="15"/>
      <c r="H1887" s="15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17"/>
      <c r="X1887" s="13"/>
      <c r="Y1887" s="13"/>
      <c r="AB1887" s="24"/>
      <c r="AC1887" s="23"/>
    </row>
    <row r="1888" spans="4:29" x14ac:dyDescent="0.25">
      <c r="D1888" s="3"/>
      <c r="E1888" s="15"/>
      <c r="F1888" s="15"/>
      <c r="G1888" s="15"/>
      <c r="H1888" s="15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17"/>
      <c r="X1888" s="13"/>
      <c r="Y1888" s="13"/>
      <c r="AB1888" s="24"/>
      <c r="AC1888" s="23"/>
    </row>
    <row r="1889" spans="4:29" x14ac:dyDescent="0.25">
      <c r="D1889" s="3"/>
      <c r="E1889" s="15"/>
      <c r="F1889" s="15"/>
      <c r="G1889" s="15"/>
      <c r="H1889" s="15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17"/>
      <c r="X1889" s="13"/>
      <c r="Y1889" s="13"/>
      <c r="AB1889" s="24"/>
      <c r="AC1889" s="23"/>
    </row>
    <row r="1890" spans="4:29" x14ac:dyDescent="0.25">
      <c r="D1890" s="3"/>
      <c r="E1890" s="15"/>
      <c r="F1890" s="15"/>
      <c r="G1890" s="15"/>
      <c r="H1890" s="15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17"/>
      <c r="X1890" s="13"/>
      <c r="Y1890" s="13"/>
      <c r="AB1890" s="24"/>
      <c r="AC1890" s="23"/>
    </row>
    <row r="1891" spans="4:29" x14ac:dyDescent="0.25">
      <c r="D1891" s="3"/>
      <c r="E1891" s="15"/>
      <c r="F1891" s="15"/>
      <c r="G1891" s="15"/>
      <c r="H1891" s="15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17"/>
      <c r="X1891" s="13"/>
      <c r="Y1891" s="13"/>
      <c r="AB1891" s="24"/>
      <c r="AC1891" s="23"/>
    </row>
    <row r="1892" spans="4:29" x14ac:dyDescent="0.25">
      <c r="D1892" s="3"/>
      <c r="E1892" s="15"/>
      <c r="F1892" s="15"/>
      <c r="G1892" s="15"/>
      <c r="H1892" s="15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17"/>
      <c r="X1892" s="13"/>
      <c r="Y1892" s="13"/>
      <c r="AB1892" s="24"/>
      <c r="AC1892" s="23"/>
    </row>
    <row r="1893" spans="4:29" x14ac:dyDescent="0.25">
      <c r="D1893" s="3"/>
      <c r="E1893" s="15"/>
      <c r="F1893" s="15"/>
      <c r="G1893" s="15"/>
      <c r="H1893" s="15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17"/>
      <c r="X1893" s="13"/>
      <c r="Y1893" s="13"/>
      <c r="AB1893" s="24"/>
      <c r="AC1893" s="23"/>
    </row>
    <row r="1894" spans="4:29" x14ac:dyDescent="0.25">
      <c r="D1894" s="3"/>
      <c r="E1894" s="15"/>
      <c r="F1894" s="15"/>
      <c r="G1894" s="15"/>
      <c r="H1894" s="15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17"/>
      <c r="X1894" s="13"/>
      <c r="Y1894" s="13"/>
      <c r="AB1894" s="24"/>
      <c r="AC1894" s="23"/>
    </row>
    <row r="1895" spans="4:29" x14ac:dyDescent="0.25">
      <c r="D1895" s="3"/>
      <c r="E1895" s="15"/>
      <c r="F1895" s="15"/>
      <c r="G1895" s="15"/>
      <c r="H1895" s="15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17"/>
      <c r="X1895" s="13"/>
      <c r="Y1895" s="13"/>
      <c r="AB1895" s="24"/>
      <c r="AC1895" s="23"/>
    </row>
    <row r="1896" spans="4:29" x14ac:dyDescent="0.25">
      <c r="D1896" s="3"/>
      <c r="E1896" s="15"/>
      <c r="F1896" s="15"/>
      <c r="G1896" s="15"/>
      <c r="H1896" s="15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17"/>
      <c r="X1896" s="13"/>
      <c r="Y1896" s="13"/>
      <c r="AB1896" s="24"/>
      <c r="AC1896" s="23"/>
    </row>
    <row r="1897" spans="4:29" x14ac:dyDescent="0.25">
      <c r="D1897" s="3"/>
      <c r="E1897" s="15"/>
      <c r="F1897" s="15"/>
      <c r="G1897" s="15"/>
      <c r="H1897" s="15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17"/>
      <c r="X1897" s="13"/>
      <c r="Y1897" s="13"/>
      <c r="AB1897" s="24"/>
      <c r="AC1897" s="23"/>
    </row>
    <row r="1898" spans="4:29" x14ac:dyDescent="0.25">
      <c r="D1898" s="3"/>
      <c r="E1898" s="15"/>
      <c r="F1898" s="15"/>
      <c r="G1898" s="15"/>
      <c r="H1898" s="15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17"/>
      <c r="X1898" s="13"/>
      <c r="Y1898" s="13"/>
      <c r="AB1898" s="24"/>
      <c r="AC1898" s="23"/>
    </row>
    <row r="1899" spans="4:29" x14ac:dyDescent="0.25">
      <c r="D1899" s="3"/>
      <c r="E1899" s="15"/>
      <c r="F1899" s="15"/>
      <c r="G1899" s="15"/>
      <c r="H1899" s="15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17"/>
      <c r="X1899" s="13"/>
      <c r="Y1899" s="13"/>
      <c r="AB1899" s="24"/>
      <c r="AC1899" s="23"/>
    </row>
    <row r="1900" spans="4:29" x14ac:dyDescent="0.25">
      <c r="D1900" s="3"/>
      <c r="E1900" s="15"/>
      <c r="F1900" s="15"/>
      <c r="G1900" s="15"/>
      <c r="H1900" s="15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17"/>
      <c r="X1900" s="13"/>
      <c r="Y1900" s="13"/>
      <c r="AB1900" s="24"/>
      <c r="AC1900" s="23"/>
    </row>
    <row r="1901" spans="4:29" x14ac:dyDescent="0.25">
      <c r="D1901" s="3"/>
      <c r="E1901" s="15"/>
      <c r="F1901" s="15"/>
      <c r="G1901" s="15"/>
      <c r="H1901" s="15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17"/>
      <c r="X1901" s="13"/>
      <c r="Y1901" s="13"/>
      <c r="AB1901" s="24"/>
      <c r="AC1901" s="23"/>
    </row>
    <row r="1902" spans="4:29" x14ac:dyDescent="0.25">
      <c r="D1902" s="3"/>
      <c r="E1902" s="15"/>
      <c r="F1902" s="15"/>
      <c r="G1902" s="15"/>
      <c r="H1902" s="15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17"/>
      <c r="X1902" s="13"/>
      <c r="Y1902" s="13"/>
      <c r="AB1902" s="24"/>
      <c r="AC1902" s="23"/>
    </row>
    <row r="1903" spans="4:29" x14ac:dyDescent="0.25">
      <c r="D1903" s="3"/>
      <c r="E1903" s="15"/>
      <c r="F1903" s="15"/>
      <c r="G1903" s="15"/>
      <c r="H1903" s="15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17"/>
      <c r="X1903" s="13"/>
      <c r="Y1903" s="13"/>
      <c r="AB1903" s="24"/>
      <c r="AC1903" s="23"/>
    </row>
    <row r="1904" spans="4:29" x14ac:dyDescent="0.25">
      <c r="D1904" s="3"/>
      <c r="E1904" s="15"/>
      <c r="F1904" s="15"/>
      <c r="G1904" s="15"/>
      <c r="H1904" s="15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17"/>
      <c r="X1904" s="13"/>
      <c r="Y1904" s="13"/>
      <c r="AB1904" s="24"/>
      <c r="AC1904" s="23"/>
    </row>
    <row r="1905" spans="4:29" x14ac:dyDescent="0.25">
      <c r="D1905" s="3"/>
      <c r="E1905" s="15"/>
      <c r="F1905" s="15"/>
      <c r="G1905" s="15"/>
      <c r="H1905" s="15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17"/>
      <c r="X1905" s="13"/>
      <c r="Y1905" s="13"/>
      <c r="AB1905" s="24"/>
      <c r="AC1905" s="23"/>
    </row>
    <row r="1906" spans="4:29" x14ac:dyDescent="0.25">
      <c r="D1906" s="3"/>
      <c r="E1906" s="15"/>
      <c r="F1906" s="15"/>
      <c r="G1906" s="15"/>
      <c r="H1906" s="15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17"/>
      <c r="X1906" s="13"/>
      <c r="Y1906" s="13"/>
      <c r="AB1906" s="24"/>
      <c r="AC1906" s="23"/>
    </row>
    <row r="1907" spans="4:29" x14ac:dyDescent="0.25">
      <c r="D1907" s="3"/>
      <c r="E1907" s="15"/>
      <c r="F1907" s="15"/>
      <c r="G1907" s="15"/>
      <c r="H1907" s="15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17"/>
      <c r="X1907" s="13"/>
      <c r="Y1907" s="13"/>
      <c r="AB1907" s="24"/>
      <c r="AC1907" s="23"/>
    </row>
    <row r="1908" spans="4:29" x14ac:dyDescent="0.25">
      <c r="D1908" s="3"/>
      <c r="E1908" s="15"/>
      <c r="F1908" s="15"/>
      <c r="G1908" s="15"/>
      <c r="H1908" s="15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17"/>
      <c r="X1908" s="13"/>
      <c r="Y1908" s="13"/>
      <c r="AB1908" s="24"/>
      <c r="AC1908" s="23"/>
    </row>
    <row r="1909" spans="4:29" x14ac:dyDescent="0.25">
      <c r="D1909" s="3"/>
      <c r="E1909" s="15"/>
      <c r="F1909" s="15"/>
      <c r="G1909" s="15"/>
      <c r="H1909" s="15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17"/>
      <c r="X1909" s="13"/>
      <c r="Y1909" s="13"/>
      <c r="AB1909" s="24"/>
      <c r="AC1909" s="23"/>
    </row>
    <row r="1910" spans="4:29" x14ac:dyDescent="0.25">
      <c r="D1910" s="3"/>
      <c r="E1910" s="15"/>
      <c r="F1910" s="15"/>
      <c r="G1910" s="15"/>
      <c r="H1910" s="15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17"/>
      <c r="X1910" s="13"/>
      <c r="Y1910" s="13"/>
      <c r="AB1910" s="24"/>
      <c r="AC1910" s="23"/>
    </row>
    <row r="1911" spans="4:29" x14ac:dyDescent="0.25">
      <c r="D1911" s="3"/>
      <c r="E1911" s="15"/>
      <c r="F1911" s="15"/>
      <c r="G1911" s="15"/>
      <c r="H1911" s="15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17"/>
      <c r="X1911" s="13"/>
      <c r="Y1911" s="13"/>
      <c r="AB1911" s="24"/>
      <c r="AC1911" s="23"/>
    </row>
    <row r="1912" spans="4:29" x14ac:dyDescent="0.25">
      <c r="D1912" s="3"/>
      <c r="E1912" s="15"/>
      <c r="F1912" s="15"/>
      <c r="G1912" s="15"/>
      <c r="H1912" s="15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17"/>
      <c r="X1912" s="13"/>
      <c r="Y1912" s="13"/>
      <c r="AB1912" s="24"/>
      <c r="AC1912" s="23"/>
    </row>
    <row r="1913" spans="4:29" x14ac:dyDescent="0.25">
      <c r="D1913" s="3"/>
      <c r="E1913" s="15"/>
      <c r="F1913" s="15"/>
      <c r="G1913" s="15"/>
      <c r="H1913" s="15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17"/>
      <c r="X1913" s="13"/>
      <c r="Y1913" s="13"/>
      <c r="AB1913" s="24"/>
      <c r="AC1913" s="23"/>
    </row>
    <row r="1914" spans="4:29" x14ac:dyDescent="0.25">
      <c r="D1914" s="3"/>
      <c r="E1914" s="15"/>
      <c r="F1914" s="15"/>
      <c r="G1914" s="15"/>
      <c r="H1914" s="15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17"/>
      <c r="X1914" s="13"/>
      <c r="Y1914" s="13"/>
      <c r="AB1914" s="24"/>
      <c r="AC1914" s="23"/>
    </row>
    <row r="1915" spans="4:29" x14ac:dyDescent="0.25">
      <c r="D1915" s="3"/>
      <c r="E1915" s="15"/>
      <c r="F1915" s="15"/>
      <c r="G1915" s="15"/>
      <c r="H1915" s="15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17"/>
      <c r="X1915" s="13"/>
      <c r="Y1915" s="13"/>
      <c r="AB1915" s="24"/>
      <c r="AC1915" s="23"/>
    </row>
    <row r="1916" spans="4:29" x14ac:dyDescent="0.25">
      <c r="D1916" s="3"/>
      <c r="E1916" s="15"/>
      <c r="F1916" s="15"/>
      <c r="G1916" s="15"/>
      <c r="H1916" s="15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17"/>
      <c r="X1916" s="13"/>
      <c r="Y1916" s="13"/>
      <c r="AB1916" s="24"/>
      <c r="AC1916" s="23"/>
    </row>
    <row r="1917" spans="4:29" x14ac:dyDescent="0.25">
      <c r="D1917" s="3"/>
      <c r="E1917" s="15"/>
      <c r="F1917" s="15"/>
      <c r="G1917" s="15"/>
      <c r="H1917" s="15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17"/>
      <c r="X1917" s="13"/>
      <c r="Y1917" s="13"/>
      <c r="AB1917" s="24"/>
      <c r="AC1917" s="23"/>
    </row>
    <row r="1918" spans="4:29" x14ac:dyDescent="0.25">
      <c r="D1918" s="3"/>
      <c r="E1918" s="15"/>
      <c r="F1918" s="15"/>
      <c r="G1918" s="15"/>
      <c r="H1918" s="15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17"/>
      <c r="X1918" s="13"/>
      <c r="Y1918" s="13"/>
      <c r="AB1918" s="24"/>
      <c r="AC1918" s="23"/>
    </row>
    <row r="1919" spans="4:29" x14ac:dyDescent="0.25">
      <c r="D1919" s="3"/>
      <c r="E1919" s="15"/>
      <c r="F1919" s="15"/>
      <c r="G1919" s="15"/>
      <c r="H1919" s="15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17"/>
      <c r="X1919" s="13"/>
      <c r="Y1919" s="13"/>
      <c r="AB1919" s="24"/>
      <c r="AC1919" s="23"/>
    </row>
    <row r="1920" spans="4:29" x14ac:dyDescent="0.25">
      <c r="D1920" s="3"/>
      <c r="E1920" s="15"/>
      <c r="F1920" s="15"/>
      <c r="G1920" s="15"/>
      <c r="H1920" s="15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17"/>
      <c r="X1920" s="13"/>
      <c r="Y1920" s="13"/>
      <c r="AB1920" s="24"/>
      <c r="AC1920" s="23"/>
    </row>
    <row r="1921" spans="4:29" x14ac:dyDescent="0.25">
      <c r="D1921" s="3"/>
      <c r="E1921" s="15"/>
      <c r="F1921" s="15"/>
      <c r="G1921" s="15"/>
      <c r="H1921" s="15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17"/>
      <c r="X1921" s="13"/>
      <c r="Y1921" s="13"/>
      <c r="AB1921" s="24"/>
      <c r="AC1921" s="23"/>
    </row>
    <row r="1922" spans="4:29" x14ac:dyDescent="0.25">
      <c r="D1922" s="3"/>
      <c r="E1922" s="15"/>
      <c r="F1922" s="15"/>
      <c r="G1922" s="15"/>
      <c r="H1922" s="15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17"/>
      <c r="X1922" s="13"/>
      <c r="Y1922" s="13"/>
      <c r="AB1922" s="24"/>
      <c r="AC1922" s="23"/>
    </row>
    <row r="1923" spans="4:29" x14ac:dyDescent="0.25">
      <c r="D1923" s="3"/>
      <c r="E1923" s="15"/>
      <c r="F1923" s="15"/>
      <c r="G1923" s="15"/>
      <c r="H1923" s="15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17"/>
      <c r="X1923" s="13"/>
      <c r="Y1923" s="13"/>
      <c r="AB1923" s="24"/>
      <c r="AC1923" s="23"/>
    </row>
    <row r="1924" spans="4:29" x14ac:dyDescent="0.25">
      <c r="D1924" s="3"/>
      <c r="E1924" s="15"/>
      <c r="F1924" s="15"/>
      <c r="G1924" s="15"/>
      <c r="H1924" s="15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17"/>
      <c r="X1924" s="13"/>
      <c r="Y1924" s="13"/>
      <c r="AB1924" s="24"/>
      <c r="AC1924" s="23"/>
    </row>
    <row r="1925" spans="4:29" x14ac:dyDescent="0.25">
      <c r="D1925" s="3"/>
      <c r="E1925" s="15"/>
      <c r="F1925" s="15"/>
      <c r="G1925" s="15"/>
      <c r="H1925" s="15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17"/>
      <c r="X1925" s="13"/>
      <c r="Y1925" s="13"/>
      <c r="AB1925" s="24"/>
      <c r="AC1925" s="23"/>
    </row>
    <row r="1926" spans="4:29" x14ac:dyDescent="0.25">
      <c r="D1926" s="3"/>
      <c r="E1926" s="15"/>
      <c r="F1926" s="15"/>
      <c r="G1926" s="15"/>
      <c r="H1926" s="15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17"/>
      <c r="X1926" s="13"/>
      <c r="Y1926" s="13"/>
      <c r="AB1926" s="24"/>
      <c r="AC1926" s="23"/>
    </row>
    <row r="1927" spans="4:29" x14ac:dyDescent="0.25">
      <c r="D1927" s="3"/>
      <c r="E1927" s="15"/>
      <c r="F1927" s="15"/>
      <c r="G1927" s="15"/>
      <c r="H1927" s="15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17"/>
      <c r="X1927" s="13"/>
      <c r="Y1927" s="13"/>
      <c r="AB1927" s="24"/>
      <c r="AC1927" s="23"/>
    </row>
    <row r="1928" spans="4:29" x14ac:dyDescent="0.25">
      <c r="D1928" s="3"/>
      <c r="E1928" s="15"/>
      <c r="F1928" s="15"/>
      <c r="G1928" s="15"/>
      <c r="H1928" s="15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17"/>
      <c r="X1928" s="13"/>
      <c r="Y1928" s="13"/>
      <c r="AB1928" s="24"/>
      <c r="AC1928" s="23"/>
    </row>
    <row r="1929" spans="4:29" x14ac:dyDescent="0.25">
      <c r="D1929" s="3"/>
      <c r="E1929" s="15"/>
      <c r="F1929" s="15"/>
      <c r="G1929" s="15"/>
      <c r="H1929" s="15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17"/>
      <c r="X1929" s="13"/>
      <c r="Y1929" s="13"/>
      <c r="AB1929" s="24"/>
      <c r="AC1929" s="23"/>
    </row>
    <row r="1930" spans="4:29" x14ac:dyDescent="0.25">
      <c r="D1930" s="3"/>
      <c r="E1930" s="15"/>
      <c r="F1930" s="15"/>
      <c r="G1930" s="15"/>
      <c r="H1930" s="15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17"/>
      <c r="X1930" s="13"/>
      <c r="Y1930" s="13"/>
      <c r="AB1930" s="24"/>
      <c r="AC1930" s="23"/>
    </row>
    <row r="1931" spans="4:29" x14ac:dyDescent="0.25">
      <c r="D1931" s="3"/>
      <c r="E1931" s="15"/>
      <c r="F1931" s="15"/>
      <c r="G1931" s="15"/>
      <c r="H1931" s="15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17"/>
      <c r="X1931" s="13"/>
      <c r="Y1931" s="13"/>
      <c r="AB1931" s="24"/>
      <c r="AC1931" s="23"/>
    </row>
    <row r="1932" spans="4:29" x14ac:dyDescent="0.25">
      <c r="D1932" s="3"/>
      <c r="E1932" s="15"/>
      <c r="F1932" s="15"/>
      <c r="G1932" s="15"/>
      <c r="H1932" s="15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17"/>
      <c r="X1932" s="13"/>
      <c r="Y1932" s="13"/>
      <c r="AB1932" s="24"/>
      <c r="AC1932" s="23"/>
    </row>
    <row r="1933" spans="4:29" x14ac:dyDescent="0.25">
      <c r="D1933" s="3"/>
      <c r="E1933" s="15"/>
      <c r="F1933" s="15"/>
      <c r="G1933" s="15"/>
      <c r="H1933" s="15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17"/>
      <c r="X1933" s="13"/>
      <c r="Y1933" s="13"/>
      <c r="AB1933" s="24"/>
      <c r="AC1933" s="23"/>
    </row>
    <row r="1934" spans="4:29" x14ac:dyDescent="0.25">
      <c r="D1934" s="3"/>
      <c r="E1934" s="15"/>
      <c r="F1934" s="15"/>
      <c r="G1934" s="15"/>
      <c r="H1934" s="15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17"/>
      <c r="X1934" s="13"/>
      <c r="Y1934" s="13"/>
      <c r="AB1934" s="24"/>
      <c r="AC1934" s="23"/>
    </row>
    <row r="1935" spans="4:29" x14ac:dyDescent="0.25">
      <c r="D1935" s="3"/>
      <c r="E1935" s="15"/>
      <c r="F1935" s="15"/>
      <c r="G1935" s="15"/>
      <c r="H1935" s="15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17"/>
      <c r="X1935" s="13"/>
      <c r="Y1935" s="13"/>
      <c r="AB1935" s="24"/>
      <c r="AC1935" s="23"/>
    </row>
    <row r="1936" spans="4:29" x14ac:dyDescent="0.25">
      <c r="D1936" s="3"/>
      <c r="E1936" s="15"/>
      <c r="F1936" s="15"/>
      <c r="G1936" s="15"/>
      <c r="H1936" s="15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17"/>
      <c r="X1936" s="13"/>
      <c r="Y1936" s="13"/>
      <c r="AB1936" s="24"/>
      <c r="AC1936" s="23"/>
    </row>
    <row r="1937" spans="4:29" x14ac:dyDescent="0.25">
      <c r="D1937" s="3"/>
      <c r="E1937" s="15"/>
      <c r="F1937" s="15"/>
      <c r="G1937" s="15"/>
      <c r="H1937" s="15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17"/>
      <c r="X1937" s="13"/>
      <c r="Y1937" s="13"/>
      <c r="AB1937" s="24"/>
      <c r="AC1937" s="23"/>
    </row>
    <row r="1938" spans="4:29" x14ac:dyDescent="0.25">
      <c r="D1938" s="3"/>
      <c r="E1938" s="15"/>
      <c r="F1938" s="15"/>
      <c r="G1938" s="15"/>
      <c r="H1938" s="15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17"/>
      <c r="X1938" s="13"/>
      <c r="Y1938" s="13"/>
      <c r="AB1938" s="24"/>
      <c r="AC1938" s="23"/>
    </row>
    <row r="1939" spans="4:29" x14ac:dyDescent="0.25">
      <c r="D1939" s="3"/>
      <c r="E1939" s="15"/>
      <c r="F1939" s="15"/>
      <c r="G1939" s="15"/>
      <c r="H1939" s="15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17"/>
      <c r="X1939" s="13"/>
      <c r="Y1939" s="13"/>
      <c r="AB1939" s="24"/>
      <c r="AC1939" s="23"/>
    </row>
    <row r="1940" spans="4:29" x14ac:dyDescent="0.25">
      <c r="D1940" s="3"/>
      <c r="E1940" s="15"/>
      <c r="F1940" s="15"/>
      <c r="G1940" s="15"/>
      <c r="H1940" s="15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17"/>
      <c r="X1940" s="13"/>
      <c r="Y1940" s="13"/>
      <c r="AB1940" s="24"/>
      <c r="AC1940" s="23"/>
    </row>
    <row r="1941" spans="4:29" x14ac:dyDescent="0.25">
      <c r="D1941" s="3"/>
      <c r="E1941" s="15"/>
      <c r="F1941" s="15"/>
      <c r="G1941" s="15"/>
      <c r="H1941" s="15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17"/>
      <c r="X1941" s="13"/>
      <c r="Y1941" s="13"/>
      <c r="AB1941" s="24"/>
      <c r="AC1941" s="23"/>
    </row>
    <row r="1942" spans="4:29" x14ac:dyDescent="0.25">
      <c r="D1942" s="3"/>
      <c r="E1942" s="15"/>
      <c r="F1942" s="15"/>
      <c r="G1942" s="15"/>
      <c r="H1942" s="15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17"/>
      <c r="X1942" s="13"/>
      <c r="Y1942" s="13"/>
      <c r="AB1942" s="24"/>
      <c r="AC1942" s="23"/>
    </row>
    <row r="1943" spans="4:29" x14ac:dyDescent="0.25">
      <c r="D1943" s="3"/>
      <c r="E1943" s="15"/>
      <c r="F1943" s="15"/>
      <c r="G1943" s="15"/>
      <c r="H1943" s="15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17"/>
      <c r="X1943" s="13"/>
      <c r="Y1943" s="13"/>
      <c r="AB1943" s="24"/>
      <c r="AC1943" s="23"/>
    </row>
    <row r="1944" spans="4:29" x14ac:dyDescent="0.25">
      <c r="D1944" s="3"/>
      <c r="E1944" s="15"/>
      <c r="F1944" s="15"/>
      <c r="G1944" s="15"/>
      <c r="H1944" s="15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17"/>
      <c r="X1944" s="13"/>
      <c r="Y1944" s="13"/>
      <c r="AB1944" s="24"/>
      <c r="AC1944" s="23"/>
    </row>
    <row r="1945" spans="4:29" x14ac:dyDescent="0.25">
      <c r="D1945" s="3"/>
      <c r="E1945" s="15"/>
      <c r="F1945" s="15"/>
      <c r="G1945" s="15"/>
      <c r="H1945" s="15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17"/>
      <c r="X1945" s="13"/>
      <c r="Y1945" s="13"/>
      <c r="AB1945" s="24"/>
      <c r="AC1945" s="23"/>
    </row>
    <row r="1946" spans="4:29" x14ac:dyDescent="0.25">
      <c r="D1946" s="3"/>
      <c r="E1946" s="15"/>
      <c r="F1946" s="15"/>
      <c r="G1946" s="15"/>
      <c r="H1946" s="15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17"/>
      <c r="X1946" s="13"/>
      <c r="Y1946" s="13"/>
      <c r="AB1946" s="24"/>
      <c r="AC1946" s="23"/>
    </row>
    <row r="1947" spans="4:29" x14ac:dyDescent="0.25">
      <c r="D1947" s="3"/>
      <c r="E1947" s="15"/>
      <c r="F1947" s="15"/>
      <c r="G1947" s="15"/>
      <c r="H1947" s="15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17"/>
      <c r="X1947" s="13"/>
      <c r="Y1947" s="13"/>
      <c r="AB1947" s="24"/>
      <c r="AC1947" s="23"/>
    </row>
    <row r="1948" spans="4:29" x14ac:dyDescent="0.25">
      <c r="D1948" s="3"/>
      <c r="E1948" s="15"/>
      <c r="F1948" s="15"/>
      <c r="G1948" s="15"/>
      <c r="H1948" s="15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17"/>
      <c r="X1948" s="13"/>
      <c r="Y1948" s="13"/>
      <c r="AB1948" s="24"/>
      <c r="AC1948" s="23"/>
    </row>
    <row r="1949" spans="4:29" x14ac:dyDescent="0.25">
      <c r="D1949" s="3"/>
      <c r="E1949" s="15"/>
      <c r="F1949" s="15"/>
      <c r="G1949" s="15"/>
      <c r="H1949" s="15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17"/>
      <c r="X1949" s="13"/>
      <c r="Y1949" s="13"/>
      <c r="AB1949" s="24"/>
      <c r="AC1949" s="23"/>
    </row>
    <row r="1950" spans="4:29" x14ac:dyDescent="0.25">
      <c r="D1950" s="3"/>
      <c r="E1950" s="15"/>
      <c r="F1950" s="15"/>
      <c r="G1950" s="15"/>
      <c r="H1950" s="15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17"/>
      <c r="X1950" s="13"/>
      <c r="Y1950" s="13"/>
      <c r="AB1950" s="24"/>
      <c r="AC1950" s="23"/>
    </row>
    <row r="1951" spans="4:29" x14ac:dyDescent="0.25">
      <c r="D1951" s="3"/>
      <c r="E1951" s="15"/>
      <c r="F1951" s="15"/>
      <c r="G1951" s="15"/>
      <c r="H1951" s="15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17"/>
      <c r="X1951" s="13"/>
      <c r="Y1951" s="13"/>
      <c r="AB1951" s="24"/>
      <c r="AC1951" s="23"/>
    </row>
    <row r="1952" spans="4:29" x14ac:dyDescent="0.25">
      <c r="D1952" s="3"/>
      <c r="E1952" s="15"/>
      <c r="F1952" s="15"/>
      <c r="G1952" s="15"/>
      <c r="H1952" s="15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17"/>
      <c r="X1952" s="13"/>
      <c r="Y1952" s="13"/>
      <c r="AB1952" s="24"/>
      <c r="AC1952" s="23"/>
    </row>
    <row r="1953" spans="4:29" x14ac:dyDescent="0.25">
      <c r="D1953" s="3"/>
      <c r="E1953" s="15"/>
      <c r="F1953" s="15"/>
      <c r="G1953" s="15"/>
      <c r="H1953" s="15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17"/>
      <c r="X1953" s="13"/>
      <c r="Y1953" s="13"/>
      <c r="AB1953" s="24"/>
      <c r="AC1953" s="23"/>
    </row>
    <row r="1954" spans="4:29" x14ac:dyDescent="0.25">
      <c r="D1954" s="3"/>
      <c r="E1954" s="15"/>
      <c r="F1954" s="15"/>
      <c r="G1954" s="15"/>
      <c r="H1954" s="15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17"/>
      <c r="X1954" s="13"/>
      <c r="Y1954" s="13"/>
      <c r="AB1954" s="24"/>
      <c r="AC1954" s="23"/>
    </row>
    <row r="1955" spans="4:29" x14ac:dyDescent="0.25">
      <c r="D1955" s="3"/>
      <c r="E1955" s="15"/>
      <c r="F1955" s="15"/>
      <c r="G1955" s="15"/>
      <c r="H1955" s="15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17"/>
      <c r="X1955" s="13"/>
      <c r="Y1955" s="13"/>
      <c r="AB1955" s="24"/>
      <c r="AC1955" s="23"/>
    </row>
    <row r="1956" spans="4:29" x14ac:dyDescent="0.25">
      <c r="D1956" s="3"/>
      <c r="E1956" s="15"/>
      <c r="F1956" s="15"/>
      <c r="G1956" s="15"/>
      <c r="H1956" s="15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17"/>
      <c r="X1956" s="13"/>
      <c r="Y1956" s="13"/>
      <c r="AB1956" s="24"/>
      <c r="AC1956" s="23"/>
    </row>
    <row r="1957" spans="4:29" x14ac:dyDescent="0.25">
      <c r="D1957" s="3"/>
      <c r="E1957" s="15"/>
      <c r="F1957" s="15"/>
      <c r="G1957" s="15"/>
      <c r="H1957" s="15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17"/>
      <c r="X1957" s="13"/>
      <c r="Y1957" s="13"/>
      <c r="AB1957" s="24"/>
      <c r="AC1957" s="23"/>
    </row>
    <row r="1958" spans="4:29" x14ac:dyDescent="0.25">
      <c r="D1958" s="3"/>
      <c r="E1958" s="15"/>
      <c r="F1958" s="15"/>
      <c r="G1958" s="15"/>
      <c r="H1958" s="15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17"/>
      <c r="X1958" s="13"/>
      <c r="Y1958" s="13"/>
      <c r="AB1958" s="24"/>
      <c r="AC1958" s="23"/>
    </row>
    <row r="1959" spans="4:29" x14ac:dyDescent="0.25">
      <c r="D1959" s="3"/>
      <c r="E1959" s="15"/>
      <c r="F1959" s="15"/>
      <c r="G1959" s="15"/>
      <c r="H1959" s="15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17"/>
      <c r="X1959" s="13"/>
      <c r="Y1959" s="13"/>
      <c r="AB1959" s="24"/>
      <c r="AC1959" s="23"/>
    </row>
    <row r="1960" spans="4:29" x14ac:dyDescent="0.25">
      <c r="D1960" s="3"/>
      <c r="E1960" s="15"/>
      <c r="F1960" s="15"/>
      <c r="G1960" s="15"/>
      <c r="H1960" s="15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17"/>
      <c r="X1960" s="13"/>
      <c r="Y1960" s="13"/>
      <c r="AB1960" s="24"/>
      <c r="AC1960" s="23"/>
    </row>
    <row r="1961" spans="4:29" x14ac:dyDescent="0.25">
      <c r="D1961" s="3"/>
      <c r="E1961" s="15"/>
      <c r="F1961" s="15"/>
      <c r="G1961" s="15"/>
      <c r="H1961" s="15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17"/>
      <c r="X1961" s="13"/>
      <c r="Y1961" s="13"/>
      <c r="AB1961" s="24"/>
      <c r="AC1961" s="23"/>
    </row>
    <row r="1962" spans="4:29" x14ac:dyDescent="0.25">
      <c r="D1962" s="3"/>
      <c r="E1962" s="15"/>
      <c r="F1962" s="15"/>
      <c r="G1962" s="15"/>
      <c r="H1962" s="15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17"/>
      <c r="X1962" s="13"/>
      <c r="Y1962" s="13"/>
      <c r="AB1962" s="24"/>
      <c r="AC1962" s="23"/>
    </row>
    <row r="1963" spans="4:29" x14ac:dyDescent="0.25">
      <c r="D1963" s="3"/>
      <c r="E1963" s="15"/>
      <c r="F1963" s="15"/>
      <c r="G1963" s="15"/>
      <c r="H1963" s="15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17"/>
      <c r="X1963" s="13"/>
      <c r="Y1963" s="13"/>
      <c r="AB1963" s="24"/>
      <c r="AC1963" s="23"/>
    </row>
    <row r="1964" spans="4:29" x14ac:dyDescent="0.25">
      <c r="D1964" s="3"/>
      <c r="E1964" s="15"/>
      <c r="F1964" s="15"/>
      <c r="G1964" s="15"/>
      <c r="H1964" s="15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17"/>
      <c r="X1964" s="13"/>
      <c r="Y1964" s="13"/>
      <c r="AB1964" s="24"/>
      <c r="AC1964" s="23"/>
    </row>
    <row r="1965" spans="4:29" x14ac:dyDescent="0.25">
      <c r="D1965" s="3"/>
      <c r="E1965" s="15"/>
      <c r="F1965" s="15"/>
      <c r="G1965" s="15"/>
      <c r="H1965" s="15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17"/>
      <c r="X1965" s="13"/>
      <c r="Y1965" s="13"/>
      <c r="AB1965" s="24"/>
      <c r="AC1965" s="23"/>
    </row>
    <row r="1966" spans="4:29" x14ac:dyDescent="0.25">
      <c r="D1966" s="3"/>
      <c r="E1966" s="15"/>
      <c r="F1966" s="15"/>
      <c r="G1966" s="15"/>
      <c r="H1966" s="15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17"/>
      <c r="X1966" s="13"/>
      <c r="Y1966" s="13"/>
      <c r="AB1966" s="24"/>
      <c r="AC1966" s="23"/>
    </row>
    <row r="1967" spans="4:29" x14ac:dyDescent="0.25">
      <c r="D1967" s="3"/>
      <c r="E1967" s="15"/>
      <c r="F1967" s="15"/>
      <c r="G1967" s="15"/>
      <c r="H1967" s="15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17"/>
      <c r="X1967" s="13"/>
      <c r="Y1967" s="13"/>
      <c r="AB1967" s="24"/>
      <c r="AC1967" s="23"/>
    </row>
    <row r="1968" spans="4:29" x14ac:dyDescent="0.25">
      <c r="D1968" s="3"/>
      <c r="E1968" s="15"/>
      <c r="F1968" s="15"/>
      <c r="G1968" s="15"/>
      <c r="H1968" s="15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17"/>
      <c r="X1968" s="13"/>
      <c r="Y1968" s="13"/>
      <c r="AB1968" s="24"/>
      <c r="AC1968" s="23"/>
    </row>
    <row r="1969" spans="4:29" x14ac:dyDescent="0.25">
      <c r="D1969" s="3"/>
      <c r="E1969" s="15"/>
      <c r="F1969" s="15"/>
      <c r="G1969" s="15"/>
      <c r="H1969" s="15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17"/>
      <c r="X1969" s="13"/>
      <c r="Y1969" s="13"/>
      <c r="AB1969" s="24"/>
      <c r="AC1969" s="23"/>
    </row>
    <row r="1970" spans="4:29" x14ac:dyDescent="0.25">
      <c r="D1970" s="3"/>
      <c r="E1970" s="15"/>
      <c r="F1970" s="15"/>
      <c r="G1970" s="15"/>
      <c r="H1970" s="15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17"/>
      <c r="X1970" s="13"/>
      <c r="Y1970" s="13"/>
      <c r="AB1970" s="24"/>
      <c r="AC1970" s="23"/>
    </row>
    <row r="1971" spans="4:29" x14ac:dyDescent="0.25">
      <c r="D1971" s="3"/>
      <c r="E1971" s="15"/>
      <c r="F1971" s="15"/>
      <c r="G1971" s="15"/>
      <c r="H1971" s="15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17"/>
      <c r="X1971" s="13"/>
      <c r="Y1971" s="13"/>
      <c r="AB1971" s="24"/>
      <c r="AC1971" s="23"/>
    </row>
    <row r="1972" spans="4:29" x14ac:dyDescent="0.25">
      <c r="D1972" s="3"/>
      <c r="E1972" s="15"/>
      <c r="F1972" s="15"/>
      <c r="G1972" s="15"/>
      <c r="H1972" s="15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17"/>
      <c r="X1972" s="13"/>
      <c r="Y1972" s="13"/>
      <c r="AB1972" s="24"/>
      <c r="AC1972" s="23"/>
    </row>
    <row r="1973" spans="4:29" x14ac:dyDescent="0.25">
      <c r="D1973" s="3"/>
      <c r="E1973" s="15"/>
      <c r="F1973" s="15"/>
      <c r="G1973" s="15"/>
      <c r="H1973" s="15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17"/>
      <c r="X1973" s="13"/>
      <c r="Y1973" s="13"/>
      <c r="AB1973" s="24"/>
      <c r="AC1973" s="23"/>
    </row>
    <row r="1974" spans="4:29" x14ac:dyDescent="0.25">
      <c r="D1974" s="3"/>
      <c r="E1974" s="15"/>
      <c r="F1974" s="15"/>
      <c r="G1974" s="15"/>
      <c r="H1974" s="15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17"/>
      <c r="X1974" s="13"/>
      <c r="Y1974" s="13"/>
      <c r="AB1974" s="24"/>
      <c r="AC1974" s="23"/>
    </row>
    <row r="1975" spans="4:29" x14ac:dyDescent="0.25">
      <c r="D1975" s="3"/>
      <c r="E1975" s="15"/>
      <c r="F1975" s="15"/>
      <c r="G1975" s="15"/>
      <c r="H1975" s="15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17"/>
      <c r="X1975" s="13"/>
      <c r="Y1975" s="13"/>
      <c r="AB1975" s="24"/>
      <c r="AC1975" s="23"/>
    </row>
    <row r="1976" spans="4:29" x14ac:dyDescent="0.25">
      <c r="D1976" s="3"/>
      <c r="E1976" s="15"/>
      <c r="F1976" s="15"/>
      <c r="G1976" s="15"/>
      <c r="H1976" s="15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17"/>
      <c r="X1976" s="13"/>
      <c r="Y1976" s="13"/>
      <c r="AB1976" s="24"/>
      <c r="AC1976" s="23"/>
    </row>
    <row r="1977" spans="4:29" x14ac:dyDescent="0.25">
      <c r="D1977" s="3"/>
      <c r="E1977" s="15"/>
      <c r="F1977" s="15"/>
      <c r="G1977" s="15"/>
      <c r="H1977" s="15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17"/>
      <c r="X1977" s="13"/>
      <c r="Y1977" s="13"/>
      <c r="AB1977" s="24"/>
      <c r="AC1977" s="23"/>
    </row>
    <row r="1978" spans="4:29" x14ac:dyDescent="0.25">
      <c r="D1978" s="3"/>
      <c r="E1978" s="15"/>
      <c r="F1978" s="15"/>
      <c r="G1978" s="15"/>
      <c r="H1978" s="15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17"/>
      <c r="X1978" s="13"/>
      <c r="Y1978" s="13"/>
      <c r="AB1978" s="24"/>
      <c r="AC1978" s="23"/>
    </row>
    <row r="1979" spans="4:29" x14ac:dyDescent="0.25">
      <c r="D1979" s="3"/>
      <c r="E1979" s="15"/>
      <c r="F1979" s="15"/>
      <c r="G1979" s="15"/>
      <c r="H1979" s="15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17"/>
      <c r="X1979" s="13"/>
      <c r="Y1979" s="13"/>
      <c r="AB1979" s="24"/>
      <c r="AC1979" s="23"/>
    </row>
    <row r="1980" spans="4:29" x14ac:dyDescent="0.25">
      <c r="D1980" s="3"/>
      <c r="E1980" s="15"/>
      <c r="F1980" s="15"/>
      <c r="G1980" s="15"/>
      <c r="H1980" s="15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17"/>
      <c r="X1980" s="13"/>
      <c r="Y1980" s="13"/>
      <c r="AB1980" s="24"/>
      <c r="AC1980" s="23"/>
    </row>
    <row r="1981" spans="4:29" x14ac:dyDescent="0.25">
      <c r="D1981" s="3"/>
      <c r="E1981" s="15"/>
      <c r="F1981" s="15"/>
      <c r="G1981" s="15"/>
      <c r="H1981" s="15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17"/>
      <c r="X1981" s="13"/>
      <c r="Y1981" s="13"/>
      <c r="AB1981" s="24"/>
      <c r="AC1981" s="23"/>
    </row>
    <row r="1982" spans="4:29" x14ac:dyDescent="0.25">
      <c r="D1982" s="3"/>
      <c r="E1982" s="15"/>
      <c r="F1982" s="15"/>
      <c r="G1982" s="15"/>
      <c r="H1982" s="15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17"/>
      <c r="X1982" s="13"/>
      <c r="Y1982" s="13"/>
      <c r="AB1982" s="24"/>
      <c r="AC1982" s="23"/>
    </row>
    <row r="1983" spans="4:29" x14ac:dyDescent="0.25">
      <c r="D1983" s="3"/>
      <c r="E1983" s="15"/>
      <c r="F1983" s="15"/>
      <c r="G1983" s="15"/>
      <c r="H1983" s="15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17"/>
      <c r="X1983" s="13"/>
      <c r="Y1983" s="13"/>
      <c r="AB1983" s="24"/>
      <c r="AC1983" s="23"/>
    </row>
    <row r="1984" spans="4:29" x14ac:dyDescent="0.25">
      <c r="D1984" s="3"/>
      <c r="E1984" s="15"/>
      <c r="F1984" s="15"/>
      <c r="G1984" s="15"/>
      <c r="H1984" s="15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17"/>
      <c r="X1984" s="13"/>
      <c r="Y1984" s="13"/>
      <c r="AB1984" s="24"/>
      <c r="AC1984" s="23"/>
    </row>
    <row r="1985" spans="4:29" x14ac:dyDescent="0.25">
      <c r="D1985" s="3"/>
      <c r="E1985" s="15"/>
      <c r="F1985" s="15"/>
      <c r="G1985" s="15"/>
      <c r="H1985" s="15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17"/>
      <c r="X1985" s="13"/>
      <c r="Y1985" s="13"/>
      <c r="AB1985" s="24"/>
      <c r="AC1985" s="23"/>
    </row>
    <row r="1986" spans="4:29" x14ac:dyDescent="0.25">
      <c r="D1986" s="3"/>
      <c r="E1986" s="15"/>
      <c r="F1986" s="15"/>
      <c r="G1986" s="15"/>
      <c r="H1986" s="15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17"/>
      <c r="X1986" s="13"/>
      <c r="Y1986" s="13"/>
      <c r="AB1986" s="24"/>
      <c r="AC1986" s="23"/>
    </row>
    <row r="1987" spans="4:29" x14ac:dyDescent="0.25">
      <c r="D1987" s="3"/>
      <c r="E1987" s="15"/>
      <c r="F1987" s="15"/>
      <c r="G1987" s="15"/>
      <c r="H1987" s="15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17"/>
      <c r="X1987" s="13"/>
      <c r="Y1987" s="13"/>
      <c r="AB1987" s="24"/>
      <c r="AC1987" s="23"/>
    </row>
    <row r="1988" spans="4:29" x14ac:dyDescent="0.25">
      <c r="D1988" s="3"/>
      <c r="E1988" s="15"/>
      <c r="F1988" s="15"/>
      <c r="G1988" s="15"/>
      <c r="H1988" s="15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17"/>
      <c r="X1988" s="13"/>
      <c r="Y1988" s="13"/>
      <c r="AB1988" s="24"/>
      <c r="AC1988" s="23"/>
    </row>
    <row r="1989" spans="4:29" x14ac:dyDescent="0.25">
      <c r="D1989" s="3"/>
      <c r="E1989" s="15"/>
      <c r="F1989" s="15"/>
      <c r="G1989" s="15"/>
      <c r="H1989" s="15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17"/>
      <c r="X1989" s="13"/>
      <c r="Y1989" s="13"/>
      <c r="AB1989" s="24"/>
      <c r="AC1989" s="23"/>
    </row>
    <row r="1990" spans="4:29" x14ac:dyDescent="0.25">
      <c r="D1990" s="3"/>
      <c r="E1990" s="15"/>
      <c r="F1990" s="15"/>
      <c r="G1990" s="15"/>
      <c r="H1990" s="15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17"/>
      <c r="X1990" s="13"/>
      <c r="Y1990" s="13"/>
      <c r="AB1990" s="24"/>
      <c r="AC1990" s="23"/>
    </row>
    <row r="1991" spans="4:29" x14ac:dyDescent="0.25">
      <c r="D1991" s="3"/>
      <c r="E1991" s="15"/>
      <c r="F1991" s="15"/>
      <c r="G1991" s="15"/>
      <c r="H1991" s="15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17"/>
      <c r="X1991" s="13"/>
      <c r="Y1991" s="13"/>
      <c r="AB1991" s="24"/>
      <c r="AC1991" s="23"/>
    </row>
    <row r="1992" spans="4:29" x14ac:dyDescent="0.25">
      <c r="D1992" s="3"/>
      <c r="E1992" s="15"/>
      <c r="F1992" s="15"/>
      <c r="G1992" s="15"/>
      <c r="H1992" s="15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17"/>
      <c r="X1992" s="13"/>
      <c r="Y1992" s="13"/>
      <c r="AB1992" s="24"/>
      <c r="AC1992" s="23"/>
    </row>
    <row r="1993" spans="4:29" x14ac:dyDescent="0.25">
      <c r="D1993" s="3"/>
      <c r="E1993" s="15"/>
      <c r="F1993" s="15"/>
      <c r="G1993" s="15"/>
      <c r="H1993" s="15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17"/>
      <c r="X1993" s="13"/>
      <c r="Y1993" s="13"/>
      <c r="AB1993" s="24"/>
      <c r="AC1993" s="23"/>
    </row>
    <row r="1994" spans="4:29" x14ac:dyDescent="0.25">
      <c r="D1994" s="3"/>
      <c r="E1994" s="15"/>
      <c r="F1994" s="15"/>
      <c r="G1994" s="15"/>
      <c r="H1994" s="15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17"/>
      <c r="X1994" s="13"/>
      <c r="Y1994" s="13"/>
      <c r="AB1994" s="24"/>
      <c r="AC1994" s="23"/>
    </row>
    <row r="1995" spans="4:29" x14ac:dyDescent="0.25">
      <c r="D1995" s="3"/>
      <c r="E1995" s="15"/>
      <c r="F1995" s="15"/>
      <c r="G1995" s="15"/>
      <c r="H1995" s="15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17"/>
      <c r="X1995" s="13"/>
      <c r="Y1995" s="13"/>
      <c r="AB1995" s="24"/>
      <c r="AC1995" s="23"/>
    </row>
    <row r="1996" spans="4:29" x14ac:dyDescent="0.25">
      <c r="D1996" s="3"/>
      <c r="E1996" s="15"/>
      <c r="F1996" s="15"/>
      <c r="G1996" s="15"/>
      <c r="H1996" s="15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17"/>
      <c r="X1996" s="13"/>
      <c r="Y1996" s="13"/>
      <c r="AB1996" s="24"/>
      <c r="AC1996" s="23"/>
    </row>
    <row r="1997" spans="4:29" x14ac:dyDescent="0.25">
      <c r="D1997" s="3"/>
      <c r="E1997" s="15"/>
      <c r="F1997" s="15"/>
      <c r="G1997" s="15"/>
      <c r="H1997" s="15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17"/>
      <c r="X1997" s="13"/>
      <c r="Y1997" s="13"/>
      <c r="AB1997" s="24"/>
      <c r="AC1997" s="23"/>
    </row>
    <row r="1998" spans="4:29" x14ac:dyDescent="0.25">
      <c r="D1998" s="3"/>
      <c r="E1998" s="15"/>
      <c r="F1998" s="15"/>
      <c r="G1998" s="15"/>
      <c r="H1998" s="15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17"/>
      <c r="X1998" s="13"/>
      <c r="Y1998" s="13"/>
      <c r="AB1998" s="24"/>
      <c r="AC1998" s="23"/>
    </row>
    <row r="1999" spans="4:29" x14ac:dyDescent="0.25">
      <c r="D1999" s="3"/>
      <c r="E1999" s="15"/>
      <c r="F1999" s="15"/>
      <c r="G1999" s="15"/>
      <c r="H1999" s="15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17"/>
      <c r="X1999" s="13"/>
      <c r="Y1999" s="13"/>
      <c r="AB1999" s="24"/>
      <c r="AC1999" s="23"/>
    </row>
    <row r="2000" spans="4:29" x14ac:dyDescent="0.25">
      <c r="D2000" s="3"/>
      <c r="E2000" s="15"/>
      <c r="F2000" s="15"/>
      <c r="G2000" s="15"/>
      <c r="H2000" s="15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17"/>
      <c r="X2000" s="13"/>
      <c r="Y2000" s="13"/>
      <c r="AB2000" s="24"/>
      <c r="AC2000" s="23"/>
    </row>
    <row r="2001" spans="4:29" x14ac:dyDescent="0.25">
      <c r="D2001" s="3"/>
      <c r="E2001" s="15"/>
      <c r="F2001" s="15"/>
      <c r="G2001" s="15"/>
      <c r="H2001" s="15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17"/>
      <c r="X2001" s="13"/>
      <c r="Y2001" s="13"/>
      <c r="AB2001" s="24"/>
      <c r="AC2001" s="23"/>
    </row>
    <row r="2002" spans="4:29" x14ac:dyDescent="0.25">
      <c r="D2002" s="3"/>
      <c r="E2002" s="15"/>
      <c r="F2002" s="15"/>
      <c r="G2002" s="15"/>
      <c r="H2002" s="15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17"/>
      <c r="X2002" s="13"/>
      <c r="Y2002" s="13"/>
      <c r="AB2002" s="24"/>
      <c r="AC2002" s="23"/>
    </row>
    <row r="2003" spans="4:29" x14ac:dyDescent="0.25">
      <c r="D2003" s="3"/>
      <c r="E2003" s="15"/>
      <c r="F2003" s="15"/>
      <c r="G2003" s="15"/>
      <c r="H2003" s="15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17"/>
      <c r="X2003" s="13"/>
      <c r="Y2003" s="13"/>
      <c r="AB2003" s="24"/>
      <c r="AC2003" s="23"/>
    </row>
    <row r="2004" spans="4:29" x14ac:dyDescent="0.25">
      <c r="D2004" s="3"/>
      <c r="E2004" s="15"/>
      <c r="F2004" s="15"/>
      <c r="G2004" s="15"/>
      <c r="H2004" s="15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17"/>
      <c r="X2004" s="13"/>
      <c r="Y2004" s="13"/>
      <c r="AB2004" s="24"/>
      <c r="AC2004" s="23"/>
    </row>
    <row r="2005" spans="4:29" x14ac:dyDescent="0.25">
      <c r="D2005" s="3"/>
      <c r="E2005" s="15"/>
      <c r="F2005" s="15"/>
      <c r="G2005" s="15"/>
      <c r="H2005" s="15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17"/>
      <c r="X2005" s="13"/>
      <c r="Y2005" s="13"/>
      <c r="AB2005" s="24"/>
      <c r="AC2005" s="23"/>
    </row>
    <row r="2006" spans="4:29" x14ac:dyDescent="0.25">
      <c r="D2006" s="3"/>
      <c r="E2006" s="15"/>
      <c r="F2006" s="15"/>
      <c r="G2006" s="15"/>
      <c r="H2006" s="15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17"/>
      <c r="X2006" s="13"/>
      <c r="Y2006" s="13"/>
      <c r="AB2006" s="24"/>
      <c r="AC2006" s="23"/>
    </row>
    <row r="2007" spans="4:29" x14ac:dyDescent="0.25">
      <c r="D2007" s="3"/>
      <c r="E2007" s="15"/>
      <c r="F2007" s="15"/>
      <c r="G2007" s="15"/>
      <c r="H2007" s="15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17"/>
      <c r="X2007" s="13"/>
      <c r="Y2007" s="13"/>
      <c r="AB2007" s="24"/>
      <c r="AC2007" s="23"/>
    </row>
    <row r="2008" spans="4:29" x14ac:dyDescent="0.25">
      <c r="D2008" s="3"/>
      <c r="E2008" s="15"/>
      <c r="F2008" s="15"/>
      <c r="G2008" s="15"/>
      <c r="H2008" s="15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17"/>
      <c r="X2008" s="13"/>
      <c r="Y2008" s="13"/>
      <c r="AB2008" s="24"/>
      <c r="AC2008" s="23"/>
    </row>
    <row r="2009" spans="4:29" x14ac:dyDescent="0.25">
      <c r="D2009" s="3"/>
      <c r="E2009" s="15"/>
      <c r="F2009" s="15"/>
      <c r="G2009" s="15"/>
      <c r="H2009" s="15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17"/>
      <c r="X2009" s="13"/>
      <c r="Y2009" s="13"/>
      <c r="AB2009" s="24"/>
      <c r="AC2009" s="23"/>
    </row>
    <row r="2010" spans="4:29" x14ac:dyDescent="0.25">
      <c r="D2010" s="3"/>
      <c r="E2010" s="15"/>
      <c r="F2010" s="15"/>
      <c r="G2010" s="15"/>
      <c r="H2010" s="15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17"/>
      <c r="X2010" s="13"/>
      <c r="Y2010" s="13"/>
      <c r="AB2010" s="24"/>
      <c r="AC2010" s="23"/>
    </row>
    <row r="2011" spans="4:29" x14ac:dyDescent="0.25">
      <c r="D2011" s="3"/>
      <c r="E2011" s="15"/>
      <c r="F2011" s="15"/>
      <c r="G2011" s="15"/>
      <c r="H2011" s="15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17"/>
      <c r="X2011" s="13"/>
      <c r="Y2011" s="13"/>
      <c r="AB2011" s="24"/>
      <c r="AC2011" s="23"/>
    </row>
    <row r="2012" spans="4:29" x14ac:dyDescent="0.25">
      <c r="D2012" s="3"/>
      <c r="E2012" s="15"/>
      <c r="F2012" s="15"/>
      <c r="G2012" s="15"/>
      <c r="H2012" s="15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17"/>
      <c r="X2012" s="13"/>
      <c r="Y2012" s="13"/>
      <c r="AB2012" s="24"/>
      <c r="AC2012" s="23"/>
    </row>
    <row r="2013" spans="4:29" x14ac:dyDescent="0.25">
      <c r="D2013" s="3"/>
      <c r="E2013" s="15"/>
      <c r="F2013" s="15"/>
      <c r="G2013" s="15"/>
      <c r="H2013" s="15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17"/>
      <c r="X2013" s="13"/>
      <c r="Y2013" s="13"/>
      <c r="AB2013" s="24"/>
      <c r="AC2013" s="23"/>
    </row>
    <row r="2014" spans="4:29" x14ac:dyDescent="0.25">
      <c r="D2014" s="3"/>
      <c r="E2014" s="15"/>
      <c r="F2014" s="15"/>
      <c r="G2014" s="15"/>
      <c r="H2014" s="15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17"/>
      <c r="X2014" s="13"/>
      <c r="Y2014" s="13"/>
      <c r="AB2014" s="24"/>
      <c r="AC2014" s="23"/>
    </row>
    <row r="2015" spans="4:29" x14ac:dyDescent="0.25">
      <c r="D2015" s="3"/>
      <c r="E2015" s="15"/>
      <c r="F2015" s="15"/>
      <c r="G2015" s="15"/>
      <c r="H2015" s="15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17"/>
      <c r="X2015" s="13"/>
      <c r="Y2015" s="13"/>
      <c r="AB2015" s="24"/>
      <c r="AC2015" s="23"/>
    </row>
    <row r="2016" spans="4:29" x14ac:dyDescent="0.25">
      <c r="D2016" s="3"/>
      <c r="E2016" s="15"/>
      <c r="F2016" s="15"/>
      <c r="G2016" s="15"/>
      <c r="H2016" s="15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17"/>
      <c r="X2016" s="13"/>
      <c r="Y2016" s="13"/>
      <c r="AB2016" s="24"/>
      <c r="AC2016" s="23"/>
    </row>
    <row r="2017" spans="4:29" x14ac:dyDescent="0.25">
      <c r="D2017" s="3"/>
      <c r="E2017" s="15"/>
      <c r="F2017" s="15"/>
      <c r="G2017" s="15"/>
      <c r="H2017" s="15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17"/>
      <c r="X2017" s="13"/>
      <c r="Y2017" s="13"/>
      <c r="AB2017" s="24"/>
      <c r="AC2017" s="23"/>
    </row>
    <row r="2018" spans="4:29" x14ac:dyDescent="0.25">
      <c r="D2018" s="3"/>
      <c r="E2018" s="15"/>
      <c r="F2018" s="15"/>
      <c r="G2018" s="15"/>
      <c r="H2018" s="15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17"/>
      <c r="X2018" s="13"/>
      <c r="Y2018" s="13"/>
      <c r="AB2018" s="24"/>
      <c r="AC2018" s="23"/>
    </row>
    <row r="2019" spans="4:29" x14ac:dyDescent="0.25">
      <c r="D2019" s="3"/>
      <c r="E2019" s="15"/>
      <c r="F2019" s="15"/>
      <c r="G2019" s="15"/>
      <c r="H2019" s="15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17"/>
      <c r="X2019" s="13"/>
      <c r="Y2019" s="13"/>
      <c r="AB2019" s="24"/>
      <c r="AC2019" s="23"/>
    </row>
    <row r="2020" spans="4:29" x14ac:dyDescent="0.25">
      <c r="D2020" s="3"/>
      <c r="E2020" s="15"/>
      <c r="F2020" s="15"/>
      <c r="G2020" s="15"/>
      <c r="H2020" s="15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17"/>
      <c r="X2020" s="13"/>
      <c r="Y2020" s="13"/>
      <c r="AB2020" s="24"/>
      <c r="AC2020" s="23"/>
    </row>
    <row r="2021" spans="4:29" x14ac:dyDescent="0.25">
      <c r="D2021" s="3"/>
      <c r="E2021" s="15"/>
      <c r="F2021" s="15"/>
      <c r="G2021" s="15"/>
      <c r="H2021" s="15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17"/>
      <c r="X2021" s="13"/>
      <c r="Y2021" s="13"/>
      <c r="AB2021" s="24"/>
      <c r="AC2021" s="23"/>
    </row>
    <row r="2022" spans="4:29" x14ac:dyDescent="0.25">
      <c r="D2022" s="3"/>
      <c r="E2022" s="15"/>
      <c r="F2022" s="15"/>
      <c r="G2022" s="15"/>
      <c r="H2022" s="15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17"/>
      <c r="X2022" s="13"/>
      <c r="Y2022" s="13"/>
      <c r="AB2022" s="24"/>
      <c r="AC2022" s="23"/>
    </row>
    <row r="2023" spans="4:29" x14ac:dyDescent="0.25">
      <c r="D2023" s="3"/>
      <c r="E2023" s="15"/>
      <c r="F2023" s="15"/>
      <c r="G2023" s="15"/>
      <c r="H2023" s="15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17"/>
      <c r="X2023" s="13"/>
      <c r="Y2023" s="13"/>
      <c r="AB2023" s="24"/>
      <c r="AC2023" s="23"/>
    </row>
    <row r="2024" spans="4:29" x14ac:dyDescent="0.25">
      <c r="D2024" s="3"/>
      <c r="E2024" s="15"/>
      <c r="F2024" s="15"/>
      <c r="G2024" s="15"/>
      <c r="H2024" s="15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17"/>
      <c r="X2024" s="13"/>
      <c r="Y2024" s="13"/>
      <c r="AB2024" s="24"/>
      <c r="AC2024" s="23"/>
    </row>
    <row r="2025" spans="4:29" x14ac:dyDescent="0.25">
      <c r="D2025" s="3"/>
      <c r="E2025" s="15"/>
      <c r="F2025" s="15"/>
      <c r="G2025" s="15"/>
      <c r="H2025" s="15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17"/>
      <c r="X2025" s="13"/>
      <c r="Y2025" s="13"/>
      <c r="AB2025" s="24"/>
      <c r="AC2025" s="23"/>
    </row>
    <row r="2026" spans="4:29" x14ac:dyDescent="0.25">
      <c r="D2026" s="3"/>
      <c r="E2026" s="15"/>
      <c r="F2026" s="15"/>
      <c r="G2026" s="15"/>
      <c r="H2026" s="15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17"/>
      <c r="X2026" s="13"/>
      <c r="Y2026" s="13"/>
      <c r="AB2026" s="24"/>
      <c r="AC2026" s="23"/>
    </row>
    <row r="2027" spans="4:29" x14ac:dyDescent="0.25">
      <c r="D2027" s="3"/>
      <c r="E2027" s="15"/>
      <c r="F2027" s="15"/>
      <c r="G2027" s="15"/>
      <c r="H2027" s="15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17"/>
      <c r="X2027" s="13"/>
      <c r="Y2027" s="13"/>
      <c r="AB2027" s="24"/>
      <c r="AC2027" s="23"/>
    </row>
    <row r="2028" spans="4:29" x14ac:dyDescent="0.25">
      <c r="D2028" s="3"/>
      <c r="E2028" s="15"/>
      <c r="F2028" s="15"/>
      <c r="G2028" s="15"/>
      <c r="H2028" s="15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17"/>
      <c r="X2028" s="13"/>
      <c r="Y2028" s="13"/>
      <c r="AB2028" s="24"/>
      <c r="AC2028" s="23"/>
    </row>
    <row r="2029" spans="4:29" x14ac:dyDescent="0.25">
      <c r="D2029" s="3"/>
      <c r="E2029" s="15"/>
      <c r="F2029" s="15"/>
      <c r="G2029" s="15"/>
      <c r="H2029" s="15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17"/>
      <c r="X2029" s="13"/>
      <c r="Y2029" s="13"/>
      <c r="AB2029" s="24"/>
      <c r="AC2029" s="23"/>
    </row>
    <row r="2030" spans="4:29" x14ac:dyDescent="0.25">
      <c r="D2030" s="3"/>
      <c r="E2030" s="15"/>
      <c r="F2030" s="15"/>
      <c r="G2030" s="15"/>
      <c r="H2030" s="15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17"/>
      <c r="X2030" s="13"/>
      <c r="Y2030" s="13"/>
      <c r="AB2030" s="24"/>
      <c r="AC2030" s="23"/>
    </row>
    <row r="2031" spans="4:29" x14ac:dyDescent="0.25">
      <c r="D2031" s="3"/>
      <c r="E2031" s="15"/>
      <c r="F2031" s="15"/>
      <c r="G2031" s="15"/>
      <c r="H2031" s="15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17"/>
      <c r="X2031" s="13"/>
      <c r="Y2031" s="13"/>
      <c r="AB2031" s="24"/>
      <c r="AC2031" s="23"/>
    </row>
    <row r="2032" spans="4:29" x14ac:dyDescent="0.25">
      <c r="D2032" s="3"/>
      <c r="E2032" s="15"/>
      <c r="F2032" s="15"/>
      <c r="G2032" s="15"/>
      <c r="H2032" s="15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17"/>
      <c r="X2032" s="13"/>
      <c r="Y2032" s="13"/>
      <c r="AB2032" s="24"/>
      <c r="AC2032" s="23"/>
    </row>
    <row r="2033" spans="4:29" x14ac:dyDescent="0.25">
      <c r="D2033" s="3"/>
      <c r="E2033" s="15"/>
      <c r="F2033" s="15"/>
      <c r="G2033" s="15"/>
      <c r="H2033" s="15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17"/>
      <c r="X2033" s="13"/>
      <c r="Y2033" s="13"/>
      <c r="AB2033" s="24"/>
      <c r="AC2033" s="23"/>
    </row>
    <row r="2034" spans="4:29" x14ac:dyDescent="0.25">
      <c r="D2034" s="3"/>
      <c r="E2034" s="15"/>
      <c r="F2034" s="15"/>
      <c r="G2034" s="15"/>
      <c r="H2034" s="15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17"/>
      <c r="X2034" s="13"/>
      <c r="Y2034" s="13"/>
      <c r="AB2034" s="24"/>
      <c r="AC2034" s="23"/>
    </row>
    <row r="2035" spans="4:29" x14ac:dyDescent="0.25">
      <c r="D2035" s="3"/>
      <c r="E2035" s="15"/>
      <c r="F2035" s="15"/>
      <c r="G2035" s="15"/>
      <c r="H2035" s="15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17"/>
      <c r="X2035" s="13"/>
      <c r="Y2035" s="13"/>
      <c r="AB2035" s="24"/>
      <c r="AC2035" s="23"/>
    </row>
    <row r="2036" spans="4:29" x14ac:dyDescent="0.25">
      <c r="D2036" s="3"/>
      <c r="E2036" s="15"/>
      <c r="F2036" s="15"/>
      <c r="G2036" s="15"/>
      <c r="H2036" s="15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17"/>
      <c r="X2036" s="13"/>
      <c r="Y2036" s="13"/>
      <c r="AB2036" s="24"/>
      <c r="AC2036" s="23"/>
    </row>
    <row r="2037" spans="4:29" x14ac:dyDescent="0.25">
      <c r="D2037" s="3"/>
      <c r="E2037" s="15"/>
      <c r="F2037" s="15"/>
      <c r="G2037" s="15"/>
      <c r="H2037" s="15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17"/>
      <c r="X2037" s="13"/>
      <c r="Y2037" s="13"/>
      <c r="AB2037" s="24"/>
      <c r="AC2037" s="23"/>
    </row>
    <row r="2038" spans="4:29" x14ac:dyDescent="0.25">
      <c r="D2038" s="3"/>
      <c r="E2038" s="15"/>
      <c r="F2038" s="15"/>
      <c r="G2038" s="15"/>
      <c r="H2038" s="15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17"/>
      <c r="X2038" s="13"/>
      <c r="Y2038" s="13"/>
      <c r="AB2038" s="24"/>
      <c r="AC2038" s="23"/>
    </row>
    <row r="2039" spans="4:29" x14ac:dyDescent="0.25">
      <c r="D2039" s="3"/>
      <c r="E2039" s="15"/>
      <c r="F2039" s="15"/>
      <c r="G2039" s="15"/>
      <c r="H2039" s="15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17"/>
      <c r="X2039" s="13"/>
      <c r="Y2039" s="13"/>
      <c r="AB2039" s="24"/>
      <c r="AC2039" s="23"/>
    </row>
    <row r="2040" spans="4:29" x14ac:dyDescent="0.25">
      <c r="D2040" s="3"/>
      <c r="E2040" s="15"/>
      <c r="F2040" s="15"/>
      <c r="G2040" s="15"/>
      <c r="H2040" s="15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17"/>
      <c r="X2040" s="13"/>
      <c r="Y2040" s="13"/>
      <c r="AB2040" s="24"/>
      <c r="AC2040" s="23"/>
    </row>
    <row r="2041" spans="4:29" x14ac:dyDescent="0.25">
      <c r="D2041" s="3"/>
      <c r="E2041" s="15"/>
      <c r="F2041" s="15"/>
      <c r="G2041" s="15"/>
      <c r="H2041" s="15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17"/>
      <c r="X2041" s="13"/>
      <c r="Y2041" s="13"/>
      <c r="AB2041" s="24"/>
      <c r="AC2041" s="23"/>
    </row>
    <row r="2042" spans="4:29" x14ac:dyDescent="0.25">
      <c r="D2042" s="3"/>
      <c r="E2042" s="15"/>
      <c r="F2042" s="15"/>
      <c r="G2042" s="15"/>
      <c r="H2042" s="15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17"/>
      <c r="X2042" s="13"/>
      <c r="Y2042" s="13"/>
      <c r="AB2042" s="24"/>
      <c r="AC2042" s="23"/>
    </row>
    <row r="2043" spans="4:29" x14ac:dyDescent="0.25">
      <c r="D2043" s="3"/>
      <c r="E2043" s="15"/>
      <c r="F2043" s="15"/>
      <c r="G2043" s="15"/>
      <c r="H2043" s="15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17"/>
      <c r="X2043" s="13"/>
      <c r="Y2043" s="13"/>
      <c r="AB2043" s="24"/>
      <c r="AC2043" s="23"/>
    </row>
    <row r="2044" spans="4:29" x14ac:dyDescent="0.25">
      <c r="D2044" s="3"/>
      <c r="E2044" s="15"/>
      <c r="F2044" s="15"/>
      <c r="G2044" s="15"/>
      <c r="H2044" s="15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17"/>
      <c r="X2044" s="13"/>
      <c r="Y2044" s="13"/>
      <c r="AB2044" s="24"/>
      <c r="AC2044" s="23"/>
    </row>
    <row r="2045" spans="4:29" x14ac:dyDescent="0.25">
      <c r="D2045" s="3"/>
      <c r="E2045" s="15"/>
      <c r="F2045" s="15"/>
      <c r="G2045" s="15"/>
      <c r="H2045" s="15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17"/>
      <c r="X2045" s="13"/>
      <c r="Y2045" s="13"/>
      <c r="AB2045" s="24"/>
      <c r="AC2045" s="23"/>
    </row>
    <row r="2046" spans="4:29" x14ac:dyDescent="0.25">
      <c r="D2046" s="3"/>
      <c r="E2046" s="15"/>
      <c r="F2046" s="15"/>
      <c r="G2046" s="15"/>
      <c r="H2046" s="15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17"/>
      <c r="X2046" s="13"/>
      <c r="Y2046" s="13"/>
      <c r="AB2046" s="24"/>
      <c r="AC2046" s="23"/>
    </row>
    <row r="2047" spans="4:29" x14ac:dyDescent="0.25">
      <c r="D2047" s="3"/>
      <c r="E2047" s="15"/>
      <c r="F2047" s="15"/>
      <c r="G2047" s="15"/>
      <c r="H2047" s="15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17"/>
      <c r="X2047" s="13"/>
      <c r="Y2047" s="13"/>
      <c r="AB2047" s="24"/>
      <c r="AC2047" s="23"/>
    </row>
    <row r="2048" spans="4:29" x14ac:dyDescent="0.25">
      <c r="D2048" s="3"/>
      <c r="E2048" s="15"/>
      <c r="F2048" s="15"/>
      <c r="G2048" s="15"/>
      <c r="H2048" s="15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17"/>
      <c r="X2048" s="13"/>
      <c r="Y2048" s="13"/>
      <c r="AB2048" s="24"/>
      <c r="AC2048" s="23"/>
    </row>
    <row r="2049" spans="4:29" x14ac:dyDescent="0.25">
      <c r="D2049" s="3"/>
      <c r="E2049" s="15"/>
      <c r="F2049" s="15"/>
      <c r="G2049" s="15"/>
      <c r="H2049" s="15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17"/>
      <c r="X2049" s="13"/>
      <c r="Y2049" s="13"/>
      <c r="AB2049" s="24"/>
      <c r="AC2049" s="23"/>
    </row>
    <row r="2050" spans="4:29" x14ac:dyDescent="0.25">
      <c r="D2050" s="3"/>
      <c r="E2050" s="15"/>
      <c r="F2050" s="15"/>
      <c r="G2050" s="15"/>
      <c r="H2050" s="15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17"/>
      <c r="X2050" s="13"/>
      <c r="Y2050" s="13"/>
      <c r="AB2050" s="24"/>
      <c r="AC2050" s="23"/>
    </row>
    <row r="2051" spans="4:29" x14ac:dyDescent="0.25">
      <c r="D2051" s="3"/>
      <c r="E2051" s="15"/>
      <c r="F2051" s="15"/>
      <c r="G2051" s="15"/>
      <c r="H2051" s="15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17"/>
      <c r="X2051" s="13"/>
      <c r="Y2051" s="13"/>
      <c r="AB2051" s="24"/>
      <c r="AC2051" s="23"/>
    </row>
    <row r="2052" spans="4:29" x14ac:dyDescent="0.25">
      <c r="D2052" s="3"/>
      <c r="E2052" s="15"/>
      <c r="F2052" s="15"/>
      <c r="G2052" s="15"/>
      <c r="H2052" s="15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17"/>
      <c r="X2052" s="13"/>
      <c r="Y2052" s="13"/>
      <c r="AB2052" s="24"/>
      <c r="AC2052" s="23"/>
    </row>
    <row r="2053" spans="4:29" x14ac:dyDescent="0.25">
      <c r="D2053" s="3"/>
      <c r="E2053" s="15"/>
      <c r="F2053" s="15"/>
      <c r="G2053" s="15"/>
      <c r="H2053" s="15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17"/>
      <c r="X2053" s="13"/>
      <c r="Y2053" s="13"/>
      <c r="AB2053" s="24"/>
      <c r="AC2053" s="23"/>
    </row>
    <row r="2054" spans="4:29" x14ac:dyDescent="0.25">
      <c r="D2054" s="3"/>
      <c r="E2054" s="15"/>
      <c r="F2054" s="15"/>
      <c r="G2054" s="15"/>
      <c r="H2054" s="15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17"/>
      <c r="X2054" s="13"/>
      <c r="Y2054" s="13"/>
      <c r="AB2054" s="24"/>
      <c r="AC2054" s="23"/>
    </row>
    <row r="2055" spans="4:29" x14ac:dyDescent="0.25">
      <c r="D2055" s="3"/>
      <c r="E2055" s="15"/>
      <c r="F2055" s="15"/>
      <c r="G2055" s="15"/>
      <c r="H2055" s="15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17"/>
      <c r="X2055" s="13"/>
      <c r="Y2055" s="13"/>
      <c r="AB2055" s="24"/>
      <c r="AC2055" s="23"/>
    </row>
    <row r="2056" spans="4:29" x14ac:dyDescent="0.25">
      <c r="D2056" s="3"/>
      <c r="E2056" s="15"/>
      <c r="F2056" s="15"/>
      <c r="G2056" s="15"/>
      <c r="H2056" s="15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17"/>
      <c r="X2056" s="13"/>
      <c r="Y2056" s="13"/>
      <c r="AB2056" s="24"/>
      <c r="AC2056" s="23"/>
    </row>
    <row r="2057" spans="4:29" x14ac:dyDescent="0.25">
      <c r="D2057" s="3"/>
      <c r="E2057" s="15"/>
      <c r="F2057" s="15"/>
      <c r="G2057" s="15"/>
      <c r="H2057" s="15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17"/>
      <c r="X2057" s="13"/>
      <c r="Y2057" s="13"/>
      <c r="AB2057" s="24"/>
      <c r="AC2057" s="23"/>
    </row>
    <row r="2058" spans="4:29" x14ac:dyDescent="0.25">
      <c r="D2058" s="3"/>
      <c r="E2058" s="15"/>
      <c r="F2058" s="15"/>
      <c r="G2058" s="15"/>
      <c r="H2058" s="15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17"/>
      <c r="X2058" s="13"/>
      <c r="Y2058" s="13"/>
      <c r="AB2058" s="24"/>
      <c r="AC2058" s="23"/>
    </row>
    <row r="2059" spans="4:29" x14ac:dyDescent="0.25">
      <c r="D2059" s="3"/>
      <c r="E2059" s="15"/>
      <c r="F2059" s="15"/>
      <c r="G2059" s="15"/>
      <c r="H2059" s="15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17"/>
      <c r="X2059" s="13"/>
      <c r="Y2059" s="13"/>
      <c r="AB2059" s="24"/>
      <c r="AC2059" s="23"/>
    </row>
    <row r="2060" spans="4:29" x14ac:dyDescent="0.25">
      <c r="D2060" s="3"/>
      <c r="E2060" s="15"/>
      <c r="F2060" s="15"/>
      <c r="G2060" s="15"/>
      <c r="H2060" s="15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17"/>
      <c r="X2060" s="13"/>
      <c r="Y2060" s="13"/>
      <c r="AB2060" s="24"/>
      <c r="AC2060" s="23"/>
    </row>
    <row r="2061" spans="4:29" x14ac:dyDescent="0.25">
      <c r="D2061" s="3"/>
      <c r="E2061" s="15"/>
      <c r="F2061" s="15"/>
      <c r="G2061" s="15"/>
      <c r="H2061" s="15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17"/>
      <c r="X2061" s="13"/>
      <c r="Y2061" s="13"/>
      <c r="AB2061" s="24"/>
      <c r="AC2061" s="23"/>
    </row>
    <row r="2062" spans="4:29" x14ac:dyDescent="0.25">
      <c r="D2062" s="3"/>
      <c r="E2062" s="15"/>
      <c r="F2062" s="15"/>
      <c r="G2062" s="15"/>
      <c r="H2062" s="15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17"/>
      <c r="X2062" s="13"/>
      <c r="Y2062" s="13"/>
      <c r="AB2062" s="24"/>
      <c r="AC2062" s="23"/>
    </row>
    <row r="2063" spans="4:29" x14ac:dyDescent="0.25">
      <c r="D2063" s="3"/>
      <c r="E2063" s="15"/>
      <c r="F2063" s="15"/>
      <c r="G2063" s="15"/>
      <c r="H2063" s="15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17"/>
      <c r="X2063" s="13"/>
      <c r="Y2063" s="13"/>
      <c r="AB2063" s="24"/>
      <c r="AC2063" s="23"/>
    </row>
    <row r="2064" spans="4:29" x14ac:dyDescent="0.25">
      <c r="D2064" s="3"/>
      <c r="E2064" s="15"/>
      <c r="F2064" s="15"/>
      <c r="G2064" s="15"/>
      <c r="H2064" s="15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17"/>
      <c r="X2064" s="13"/>
      <c r="Y2064" s="13"/>
      <c r="AB2064" s="24"/>
      <c r="AC2064" s="23"/>
    </row>
    <row r="2065" spans="4:29" x14ac:dyDescent="0.25">
      <c r="D2065" s="3"/>
      <c r="E2065" s="15"/>
      <c r="F2065" s="15"/>
      <c r="G2065" s="15"/>
      <c r="H2065" s="15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17"/>
      <c r="X2065" s="13"/>
      <c r="Y2065" s="13"/>
      <c r="AB2065" s="24"/>
      <c r="AC2065" s="23"/>
    </row>
    <row r="2066" spans="4:29" x14ac:dyDescent="0.25">
      <c r="D2066" s="3"/>
      <c r="E2066" s="15"/>
      <c r="F2066" s="15"/>
      <c r="G2066" s="15"/>
      <c r="H2066" s="15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17"/>
      <c r="X2066" s="13"/>
      <c r="Y2066" s="13"/>
      <c r="AB2066" s="24"/>
      <c r="AC2066" s="23"/>
    </row>
    <row r="2067" spans="4:29" x14ac:dyDescent="0.25">
      <c r="D2067" s="3"/>
      <c r="E2067" s="15"/>
      <c r="F2067" s="15"/>
      <c r="G2067" s="15"/>
      <c r="H2067" s="15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17"/>
      <c r="X2067" s="13"/>
      <c r="Y2067" s="13"/>
      <c r="AB2067" s="24"/>
      <c r="AC2067" s="23"/>
    </row>
    <row r="2068" spans="4:29" x14ac:dyDescent="0.25">
      <c r="D2068" s="3"/>
      <c r="E2068" s="15"/>
      <c r="F2068" s="15"/>
      <c r="G2068" s="15"/>
      <c r="H2068" s="15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17"/>
      <c r="X2068" s="13"/>
      <c r="Y2068" s="13"/>
      <c r="AB2068" s="24"/>
      <c r="AC2068" s="23"/>
    </row>
    <row r="2069" spans="4:29" x14ac:dyDescent="0.25">
      <c r="D2069" s="3"/>
      <c r="E2069" s="15"/>
      <c r="F2069" s="15"/>
      <c r="G2069" s="15"/>
      <c r="H2069" s="15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17"/>
      <c r="X2069" s="13"/>
      <c r="Y2069" s="13"/>
      <c r="AB2069" s="24"/>
      <c r="AC2069" s="23"/>
    </row>
    <row r="2070" spans="4:29" x14ac:dyDescent="0.25">
      <c r="D2070" s="3"/>
      <c r="E2070" s="15"/>
      <c r="F2070" s="15"/>
      <c r="G2070" s="15"/>
      <c r="H2070" s="15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17"/>
      <c r="X2070" s="13"/>
      <c r="Y2070" s="13"/>
      <c r="AB2070" s="24"/>
      <c r="AC2070" s="23"/>
    </row>
    <row r="2071" spans="4:29" x14ac:dyDescent="0.25">
      <c r="D2071" s="3"/>
      <c r="E2071" s="15"/>
      <c r="F2071" s="15"/>
      <c r="G2071" s="15"/>
      <c r="H2071" s="15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17"/>
      <c r="X2071" s="13"/>
      <c r="Y2071" s="13"/>
      <c r="AB2071" s="24"/>
      <c r="AC2071" s="23"/>
    </row>
    <row r="2072" spans="4:29" x14ac:dyDescent="0.25">
      <c r="D2072" s="3"/>
      <c r="E2072" s="15"/>
      <c r="F2072" s="15"/>
      <c r="G2072" s="15"/>
      <c r="H2072" s="15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17"/>
      <c r="X2072" s="13"/>
      <c r="Y2072" s="13"/>
      <c r="AB2072" s="24"/>
      <c r="AC2072" s="23"/>
    </row>
    <row r="2073" spans="4:29" x14ac:dyDescent="0.25">
      <c r="D2073" s="3"/>
      <c r="E2073" s="15"/>
      <c r="F2073" s="15"/>
      <c r="G2073" s="15"/>
      <c r="H2073" s="15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17"/>
      <c r="X2073" s="13"/>
      <c r="Y2073" s="13"/>
      <c r="AB2073" s="24"/>
      <c r="AC2073" s="23"/>
    </row>
    <row r="2074" spans="4:29" x14ac:dyDescent="0.25">
      <c r="D2074" s="3"/>
      <c r="E2074" s="15"/>
      <c r="F2074" s="15"/>
      <c r="G2074" s="15"/>
      <c r="H2074" s="15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17"/>
      <c r="X2074" s="13"/>
      <c r="Y2074" s="13"/>
      <c r="AB2074" s="24"/>
      <c r="AC2074" s="23"/>
    </row>
    <row r="2075" spans="4:29" x14ac:dyDescent="0.25">
      <c r="D2075" s="3"/>
      <c r="E2075" s="15"/>
      <c r="F2075" s="15"/>
      <c r="G2075" s="15"/>
      <c r="H2075" s="15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17"/>
      <c r="X2075" s="13"/>
      <c r="Y2075" s="13"/>
      <c r="AB2075" s="24"/>
      <c r="AC2075" s="23"/>
    </row>
    <row r="2076" spans="4:29" x14ac:dyDescent="0.25">
      <c r="D2076" s="3"/>
      <c r="E2076" s="15"/>
      <c r="F2076" s="15"/>
      <c r="G2076" s="15"/>
      <c r="H2076" s="15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17"/>
      <c r="X2076" s="13"/>
      <c r="Y2076" s="13"/>
      <c r="AB2076" s="24"/>
      <c r="AC2076" s="23"/>
    </row>
    <row r="2077" spans="4:29" x14ac:dyDescent="0.25">
      <c r="D2077" s="3"/>
      <c r="E2077" s="15"/>
      <c r="F2077" s="15"/>
      <c r="G2077" s="15"/>
      <c r="H2077" s="15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17"/>
      <c r="X2077" s="13"/>
      <c r="Y2077" s="13"/>
      <c r="AB2077" s="24"/>
      <c r="AC2077" s="23"/>
    </row>
    <row r="2078" spans="4:29" x14ac:dyDescent="0.25">
      <c r="D2078" s="3"/>
      <c r="E2078" s="15"/>
      <c r="F2078" s="15"/>
      <c r="G2078" s="15"/>
      <c r="H2078" s="15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17"/>
      <c r="X2078" s="13"/>
      <c r="Y2078" s="13"/>
      <c r="AB2078" s="24"/>
      <c r="AC2078" s="23"/>
    </row>
    <row r="2079" spans="4:29" x14ac:dyDescent="0.25">
      <c r="D2079" s="3"/>
      <c r="E2079" s="15"/>
      <c r="F2079" s="15"/>
      <c r="G2079" s="15"/>
      <c r="H2079" s="15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17"/>
      <c r="X2079" s="13"/>
      <c r="Y2079" s="13"/>
      <c r="AB2079" s="24"/>
      <c r="AC2079" s="23"/>
    </row>
    <row r="2080" spans="4:29" x14ac:dyDescent="0.25">
      <c r="D2080" s="3"/>
      <c r="E2080" s="15"/>
      <c r="F2080" s="15"/>
      <c r="G2080" s="15"/>
      <c r="H2080" s="15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17"/>
      <c r="X2080" s="13"/>
      <c r="Y2080" s="13"/>
      <c r="AB2080" s="24"/>
      <c r="AC2080" s="23"/>
    </row>
    <row r="2081" spans="4:29" x14ac:dyDescent="0.25">
      <c r="D2081" s="3"/>
      <c r="E2081" s="15"/>
      <c r="F2081" s="15"/>
      <c r="G2081" s="15"/>
      <c r="H2081" s="15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17"/>
      <c r="X2081" s="13"/>
      <c r="Y2081" s="13"/>
      <c r="AB2081" s="24"/>
      <c r="AC2081" s="23"/>
    </row>
    <row r="2082" spans="4:29" x14ac:dyDescent="0.25">
      <c r="D2082" s="3"/>
      <c r="E2082" s="15"/>
      <c r="F2082" s="15"/>
      <c r="G2082" s="15"/>
      <c r="H2082" s="15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17"/>
      <c r="X2082" s="13"/>
      <c r="Y2082" s="13"/>
      <c r="AB2082" s="24"/>
      <c r="AC2082" s="23"/>
    </row>
    <row r="2083" spans="4:29" x14ac:dyDescent="0.25">
      <c r="D2083" s="3"/>
      <c r="E2083" s="15"/>
      <c r="F2083" s="15"/>
      <c r="G2083" s="15"/>
      <c r="H2083" s="15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17"/>
      <c r="X2083" s="13"/>
      <c r="Y2083" s="13"/>
      <c r="AB2083" s="24"/>
      <c r="AC2083" s="23"/>
    </row>
    <row r="2084" spans="4:29" x14ac:dyDescent="0.25">
      <c r="D2084" s="3"/>
      <c r="E2084" s="15"/>
      <c r="F2084" s="15"/>
      <c r="G2084" s="15"/>
      <c r="H2084" s="15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17"/>
      <c r="X2084" s="13"/>
      <c r="Y2084" s="13"/>
      <c r="AB2084" s="24"/>
      <c r="AC2084" s="23"/>
    </row>
    <row r="2085" spans="4:29" x14ac:dyDescent="0.25">
      <c r="D2085" s="3"/>
      <c r="E2085" s="15"/>
      <c r="F2085" s="15"/>
      <c r="G2085" s="15"/>
      <c r="H2085" s="15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17"/>
      <c r="X2085" s="13"/>
      <c r="Y2085" s="13"/>
      <c r="AB2085" s="24"/>
      <c r="AC2085" s="23"/>
    </row>
    <row r="2086" spans="4:29" x14ac:dyDescent="0.25">
      <c r="D2086" s="3"/>
      <c r="E2086" s="15"/>
      <c r="F2086" s="15"/>
      <c r="G2086" s="15"/>
      <c r="H2086" s="15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17"/>
      <c r="X2086" s="13"/>
      <c r="Y2086" s="13"/>
      <c r="AB2086" s="24"/>
      <c r="AC2086" s="23"/>
    </row>
    <row r="2087" spans="4:29" x14ac:dyDescent="0.25">
      <c r="D2087" s="3"/>
      <c r="E2087" s="15"/>
      <c r="F2087" s="15"/>
      <c r="G2087" s="15"/>
      <c r="H2087" s="15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17"/>
      <c r="X2087" s="13"/>
      <c r="Y2087" s="13"/>
      <c r="AB2087" s="24"/>
      <c r="AC2087" s="23"/>
    </row>
    <row r="2088" spans="4:29" x14ac:dyDescent="0.25">
      <c r="D2088" s="3"/>
      <c r="E2088" s="15"/>
      <c r="F2088" s="15"/>
      <c r="G2088" s="15"/>
      <c r="H2088" s="15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17"/>
      <c r="X2088" s="13"/>
      <c r="Y2088" s="13"/>
      <c r="AB2088" s="24"/>
      <c r="AC2088" s="23"/>
    </row>
    <row r="2089" spans="4:29" x14ac:dyDescent="0.25">
      <c r="D2089" s="3"/>
      <c r="E2089" s="15"/>
      <c r="F2089" s="15"/>
      <c r="G2089" s="15"/>
      <c r="H2089" s="15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17"/>
      <c r="X2089" s="13"/>
      <c r="Y2089" s="13"/>
      <c r="AB2089" s="24"/>
      <c r="AC2089" s="23"/>
    </row>
    <row r="2090" spans="4:29" x14ac:dyDescent="0.25">
      <c r="D2090" s="3"/>
      <c r="E2090" s="15"/>
      <c r="F2090" s="15"/>
      <c r="G2090" s="15"/>
      <c r="H2090" s="15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17"/>
      <c r="X2090" s="13"/>
      <c r="Y2090" s="13"/>
      <c r="AB2090" s="24"/>
      <c r="AC2090" s="23"/>
    </row>
    <row r="2091" spans="4:29" x14ac:dyDescent="0.25">
      <c r="D2091" s="3"/>
      <c r="E2091" s="15"/>
      <c r="F2091" s="15"/>
      <c r="G2091" s="15"/>
      <c r="H2091" s="15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17"/>
      <c r="X2091" s="13"/>
      <c r="Y2091" s="13"/>
      <c r="AB2091" s="24"/>
      <c r="AC2091" s="23"/>
    </row>
    <row r="2092" spans="4:29" x14ac:dyDescent="0.25">
      <c r="D2092" s="3"/>
      <c r="E2092" s="15"/>
      <c r="F2092" s="15"/>
      <c r="G2092" s="15"/>
      <c r="H2092" s="15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17"/>
      <c r="X2092" s="13"/>
      <c r="Y2092" s="13"/>
      <c r="AB2092" s="24"/>
      <c r="AC2092" s="23"/>
    </row>
    <row r="2093" spans="4:29" x14ac:dyDescent="0.25">
      <c r="D2093" s="3"/>
      <c r="E2093" s="15"/>
      <c r="F2093" s="15"/>
      <c r="G2093" s="15"/>
      <c r="H2093" s="15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17"/>
      <c r="X2093" s="13"/>
      <c r="Y2093" s="13"/>
      <c r="AB2093" s="24"/>
      <c r="AC2093" s="23"/>
    </row>
    <row r="2094" spans="4:29" x14ac:dyDescent="0.25">
      <c r="D2094" s="3"/>
      <c r="E2094" s="15"/>
      <c r="F2094" s="15"/>
      <c r="G2094" s="15"/>
      <c r="H2094" s="15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17"/>
      <c r="X2094" s="13"/>
      <c r="Y2094" s="13"/>
      <c r="AB2094" s="24"/>
      <c r="AC2094" s="23"/>
    </row>
    <row r="2095" spans="4:29" x14ac:dyDescent="0.25">
      <c r="D2095" s="3"/>
      <c r="E2095" s="15"/>
      <c r="F2095" s="15"/>
      <c r="G2095" s="15"/>
      <c r="H2095" s="15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17"/>
      <c r="X2095" s="13"/>
      <c r="Y2095" s="13"/>
      <c r="AB2095" s="24"/>
      <c r="AC2095" s="23"/>
    </row>
    <row r="2096" spans="4:29" x14ac:dyDescent="0.25">
      <c r="D2096" s="3"/>
      <c r="E2096" s="15"/>
      <c r="F2096" s="15"/>
      <c r="G2096" s="15"/>
      <c r="H2096" s="15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17"/>
      <c r="X2096" s="13"/>
      <c r="Y2096" s="13"/>
      <c r="AB2096" s="24"/>
      <c r="AC2096" s="23"/>
    </row>
    <row r="2097" spans="4:29" x14ac:dyDescent="0.25">
      <c r="D2097" s="3"/>
      <c r="E2097" s="15"/>
      <c r="F2097" s="15"/>
      <c r="G2097" s="15"/>
      <c r="H2097" s="15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17"/>
      <c r="X2097" s="13"/>
      <c r="Y2097" s="13"/>
      <c r="AB2097" s="24"/>
      <c r="AC2097" s="23"/>
    </row>
    <row r="2098" spans="4:29" x14ac:dyDescent="0.25">
      <c r="D2098" s="3"/>
      <c r="E2098" s="15"/>
      <c r="F2098" s="15"/>
      <c r="G2098" s="15"/>
      <c r="H2098" s="15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17"/>
      <c r="X2098" s="13"/>
      <c r="Y2098" s="13"/>
      <c r="AB2098" s="24"/>
      <c r="AC2098" s="23"/>
    </row>
    <row r="2099" spans="4:29" x14ac:dyDescent="0.25">
      <c r="D2099" s="3"/>
      <c r="E2099" s="15"/>
      <c r="F2099" s="15"/>
      <c r="G2099" s="15"/>
      <c r="H2099" s="15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17"/>
      <c r="X2099" s="13"/>
      <c r="Y2099" s="13"/>
      <c r="AB2099" s="24"/>
      <c r="AC2099" s="23"/>
    </row>
    <row r="2100" spans="4:29" x14ac:dyDescent="0.25">
      <c r="D2100" s="3"/>
      <c r="E2100" s="15"/>
      <c r="F2100" s="15"/>
      <c r="G2100" s="15"/>
      <c r="H2100" s="15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17"/>
      <c r="X2100" s="13"/>
      <c r="Y2100" s="13"/>
      <c r="AB2100" s="24"/>
      <c r="AC2100" s="23"/>
    </row>
    <row r="2101" spans="4:29" x14ac:dyDescent="0.25">
      <c r="D2101" s="3"/>
      <c r="E2101" s="15"/>
      <c r="F2101" s="15"/>
      <c r="G2101" s="15"/>
      <c r="H2101" s="15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17"/>
      <c r="X2101" s="13"/>
      <c r="Y2101" s="13"/>
      <c r="AB2101" s="24"/>
      <c r="AC2101" s="23"/>
    </row>
    <row r="2102" spans="4:29" x14ac:dyDescent="0.25">
      <c r="D2102" s="3"/>
      <c r="E2102" s="15"/>
      <c r="F2102" s="15"/>
      <c r="G2102" s="15"/>
      <c r="H2102" s="15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17"/>
      <c r="X2102" s="13"/>
      <c r="Y2102" s="13"/>
      <c r="AB2102" s="24"/>
      <c r="AC2102" s="23"/>
    </row>
    <row r="2103" spans="4:29" x14ac:dyDescent="0.25">
      <c r="D2103" s="3"/>
      <c r="E2103" s="15"/>
      <c r="F2103" s="15"/>
      <c r="G2103" s="15"/>
      <c r="H2103" s="15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17"/>
      <c r="X2103" s="13"/>
      <c r="Y2103" s="13"/>
      <c r="AB2103" s="24"/>
      <c r="AC2103" s="23"/>
    </row>
    <row r="2104" spans="4:29" x14ac:dyDescent="0.25">
      <c r="D2104" s="3"/>
      <c r="E2104" s="15"/>
      <c r="F2104" s="15"/>
      <c r="G2104" s="15"/>
      <c r="H2104" s="15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17"/>
      <c r="X2104" s="13"/>
      <c r="Y2104" s="13"/>
      <c r="AB2104" s="24"/>
      <c r="AC2104" s="23"/>
    </row>
    <row r="2105" spans="4:29" x14ac:dyDescent="0.25">
      <c r="D2105" s="3"/>
      <c r="E2105" s="15"/>
      <c r="F2105" s="15"/>
      <c r="G2105" s="15"/>
      <c r="H2105" s="15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17"/>
      <c r="X2105" s="13"/>
      <c r="Y2105" s="13"/>
      <c r="AB2105" s="24"/>
      <c r="AC2105" s="23"/>
    </row>
    <row r="2106" spans="4:29" x14ac:dyDescent="0.25">
      <c r="D2106" s="3"/>
      <c r="E2106" s="15"/>
      <c r="F2106" s="15"/>
      <c r="G2106" s="15"/>
      <c r="H2106" s="15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17"/>
      <c r="X2106" s="13"/>
      <c r="Y2106" s="13"/>
      <c r="AB2106" s="24"/>
      <c r="AC2106" s="23"/>
    </row>
    <row r="2107" spans="4:29" x14ac:dyDescent="0.25">
      <c r="D2107" s="3"/>
      <c r="E2107" s="15"/>
      <c r="F2107" s="15"/>
      <c r="G2107" s="15"/>
      <c r="H2107" s="15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17"/>
      <c r="X2107" s="13"/>
      <c r="Y2107" s="13"/>
      <c r="AB2107" s="24"/>
      <c r="AC2107" s="23"/>
    </row>
    <row r="2108" spans="4:29" x14ac:dyDescent="0.25">
      <c r="D2108" s="3"/>
      <c r="E2108" s="15"/>
      <c r="F2108" s="15"/>
      <c r="G2108" s="15"/>
      <c r="H2108" s="15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17"/>
      <c r="X2108" s="13"/>
      <c r="Y2108" s="13"/>
      <c r="AB2108" s="24"/>
      <c r="AC2108" s="23"/>
    </row>
    <row r="2109" spans="4:29" x14ac:dyDescent="0.25">
      <c r="D2109" s="3"/>
      <c r="E2109" s="15"/>
      <c r="F2109" s="15"/>
      <c r="G2109" s="15"/>
      <c r="H2109" s="15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17"/>
      <c r="X2109" s="13"/>
      <c r="Y2109" s="13"/>
      <c r="AB2109" s="24"/>
      <c r="AC2109" s="23"/>
    </row>
    <row r="2110" spans="4:29" x14ac:dyDescent="0.25">
      <c r="D2110" s="3"/>
      <c r="E2110" s="15"/>
      <c r="F2110" s="15"/>
      <c r="G2110" s="15"/>
      <c r="H2110" s="15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17"/>
      <c r="X2110" s="13"/>
      <c r="Y2110" s="13"/>
      <c r="AB2110" s="24"/>
      <c r="AC2110" s="23"/>
    </row>
    <row r="2111" spans="4:29" x14ac:dyDescent="0.25">
      <c r="D2111" s="3"/>
      <c r="E2111" s="15"/>
      <c r="F2111" s="15"/>
      <c r="G2111" s="15"/>
      <c r="H2111" s="15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17"/>
      <c r="X2111" s="13"/>
      <c r="Y2111" s="13"/>
      <c r="AB2111" s="24"/>
      <c r="AC2111" s="23"/>
    </row>
    <row r="2112" spans="4:29" x14ac:dyDescent="0.25">
      <c r="D2112" s="3"/>
      <c r="E2112" s="15"/>
      <c r="F2112" s="15"/>
      <c r="G2112" s="15"/>
      <c r="H2112" s="15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17"/>
      <c r="X2112" s="13"/>
      <c r="Y2112" s="13"/>
      <c r="AB2112" s="24"/>
      <c r="AC2112" s="23"/>
    </row>
    <row r="2113" spans="4:29" x14ac:dyDescent="0.25">
      <c r="D2113" s="3"/>
      <c r="E2113" s="15"/>
      <c r="F2113" s="15"/>
      <c r="G2113" s="15"/>
      <c r="H2113" s="15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17"/>
      <c r="X2113" s="13"/>
      <c r="Y2113" s="13"/>
      <c r="AB2113" s="24"/>
      <c r="AC2113" s="23"/>
    </row>
    <row r="2114" spans="4:29" x14ac:dyDescent="0.25">
      <c r="D2114" s="3"/>
      <c r="E2114" s="15"/>
      <c r="F2114" s="15"/>
      <c r="G2114" s="15"/>
      <c r="H2114" s="15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17"/>
      <c r="X2114" s="13"/>
      <c r="Y2114" s="13"/>
      <c r="AB2114" s="24"/>
      <c r="AC2114" s="23"/>
    </row>
    <row r="2115" spans="4:29" x14ac:dyDescent="0.25">
      <c r="D2115" s="3"/>
      <c r="E2115" s="15"/>
      <c r="F2115" s="15"/>
      <c r="G2115" s="15"/>
      <c r="H2115" s="15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17"/>
      <c r="X2115" s="13"/>
      <c r="Y2115" s="13"/>
      <c r="AB2115" s="24"/>
      <c r="AC2115" s="23"/>
    </row>
    <row r="2116" spans="4:29" x14ac:dyDescent="0.25">
      <c r="D2116" s="3"/>
      <c r="E2116" s="15"/>
      <c r="F2116" s="15"/>
      <c r="G2116" s="15"/>
      <c r="H2116" s="15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17"/>
      <c r="X2116" s="13"/>
      <c r="Y2116" s="13"/>
      <c r="AB2116" s="24"/>
      <c r="AC2116" s="23"/>
    </row>
    <row r="2117" spans="4:29" x14ac:dyDescent="0.25">
      <c r="D2117" s="3"/>
      <c r="E2117" s="15"/>
      <c r="F2117" s="15"/>
      <c r="G2117" s="15"/>
      <c r="H2117" s="15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17"/>
      <c r="X2117" s="13"/>
      <c r="Y2117" s="13"/>
      <c r="AB2117" s="24"/>
      <c r="AC2117" s="23"/>
    </row>
    <row r="2118" spans="4:29" x14ac:dyDescent="0.25">
      <c r="D2118" s="3"/>
      <c r="E2118" s="15"/>
      <c r="F2118" s="15"/>
      <c r="G2118" s="15"/>
      <c r="H2118" s="15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17"/>
      <c r="X2118" s="13"/>
      <c r="Y2118" s="13"/>
      <c r="AB2118" s="24"/>
      <c r="AC2118" s="23"/>
    </row>
    <row r="2119" spans="4:29" x14ac:dyDescent="0.25">
      <c r="D2119" s="3"/>
      <c r="E2119" s="15"/>
      <c r="F2119" s="15"/>
      <c r="G2119" s="15"/>
      <c r="H2119" s="15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17"/>
      <c r="X2119" s="13"/>
      <c r="Y2119" s="13"/>
      <c r="AB2119" s="24"/>
      <c r="AC2119" s="23"/>
    </row>
    <row r="2120" spans="4:29" x14ac:dyDescent="0.25">
      <c r="D2120" s="3"/>
      <c r="E2120" s="15"/>
      <c r="F2120" s="15"/>
      <c r="G2120" s="15"/>
      <c r="H2120" s="15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17"/>
      <c r="X2120" s="13"/>
      <c r="Y2120" s="13"/>
      <c r="AB2120" s="24"/>
      <c r="AC2120" s="23"/>
    </row>
    <row r="2121" spans="4:29" x14ac:dyDescent="0.25">
      <c r="D2121" s="3"/>
      <c r="E2121" s="15"/>
      <c r="F2121" s="15"/>
      <c r="G2121" s="15"/>
      <c r="H2121" s="15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17"/>
      <c r="X2121" s="13"/>
      <c r="Y2121" s="13"/>
      <c r="AB2121" s="24"/>
      <c r="AC2121" s="23"/>
    </row>
    <row r="2122" spans="4:29" x14ac:dyDescent="0.25">
      <c r="D2122" s="3"/>
      <c r="E2122" s="15"/>
      <c r="F2122" s="15"/>
      <c r="G2122" s="15"/>
      <c r="H2122" s="15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17"/>
      <c r="X2122" s="13"/>
      <c r="Y2122" s="13"/>
      <c r="AB2122" s="24"/>
      <c r="AC2122" s="23"/>
    </row>
    <row r="2123" spans="4:29" x14ac:dyDescent="0.25">
      <c r="D2123" s="3"/>
      <c r="E2123" s="15"/>
      <c r="F2123" s="15"/>
      <c r="G2123" s="15"/>
      <c r="H2123" s="15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17"/>
      <c r="X2123" s="13"/>
      <c r="Y2123" s="13"/>
      <c r="AB2123" s="24"/>
      <c r="AC2123" s="23"/>
    </row>
    <row r="2124" spans="4:29" x14ac:dyDescent="0.25">
      <c r="D2124" s="3"/>
      <c r="E2124" s="15"/>
      <c r="F2124" s="15"/>
      <c r="G2124" s="15"/>
      <c r="H2124" s="15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17"/>
      <c r="X2124" s="13"/>
      <c r="Y2124" s="13"/>
      <c r="AB2124" s="24"/>
      <c r="AC2124" s="23"/>
    </row>
    <row r="2125" spans="4:29" x14ac:dyDescent="0.25">
      <c r="D2125" s="3"/>
      <c r="E2125" s="15"/>
      <c r="F2125" s="15"/>
      <c r="G2125" s="15"/>
      <c r="H2125" s="15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17"/>
      <c r="X2125" s="13"/>
      <c r="Y2125" s="13"/>
      <c r="AB2125" s="24"/>
      <c r="AC2125" s="23"/>
    </row>
    <row r="2126" spans="4:29" x14ac:dyDescent="0.25">
      <c r="D2126" s="3"/>
      <c r="E2126" s="15"/>
      <c r="F2126" s="15"/>
      <c r="G2126" s="15"/>
      <c r="H2126" s="15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17"/>
      <c r="X2126" s="13"/>
      <c r="Y2126" s="13"/>
      <c r="AB2126" s="24"/>
      <c r="AC2126" s="23"/>
    </row>
    <row r="2127" spans="4:29" x14ac:dyDescent="0.25">
      <c r="D2127" s="3"/>
      <c r="E2127" s="15"/>
      <c r="F2127" s="15"/>
      <c r="G2127" s="15"/>
      <c r="H2127" s="15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17"/>
      <c r="X2127" s="13"/>
      <c r="Y2127" s="13"/>
      <c r="AB2127" s="24"/>
      <c r="AC2127" s="23"/>
    </row>
    <row r="2128" spans="4:29" x14ac:dyDescent="0.25">
      <c r="D2128" s="3"/>
      <c r="E2128" s="15"/>
      <c r="F2128" s="15"/>
      <c r="G2128" s="15"/>
      <c r="H2128" s="15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17"/>
      <c r="X2128" s="13"/>
      <c r="Y2128" s="13"/>
      <c r="AB2128" s="24"/>
      <c r="AC2128" s="23"/>
    </row>
    <row r="2129" spans="4:29" x14ac:dyDescent="0.25">
      <c r="D2129" s="3"/>
      <c r="E2129" s="15"/>
      <c r="F2129" s="15"/>
      <c r="G2129" s="15"/>
      <c r="H2129" s="15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17"/>
      <c r="X2129" s="13"/>
      <c r="Y2129" s="13"/>
      <c r="AB2129" s="24"/>
      <c r="AC2129" s="23"/>
    </row>
    <row r="2130" spans="4:29" x14ac:dyDescent="0.25">
      <c r="D2130" s="3"/>
      <c r="E2130" s="15"/>
      <c r="F2130" s="15"/>
      <c r="G2130" s="15"/>
      <c r="H2130" s="15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17"/>
      <c r="X2130" s="13"/>
      <c r="Y2130" s="13"/>
      <c r="AB2130" s="24"/>
      <c r="AC2130" s="23"/>
    </row>
    <row r="2131" spans="4:29" x14ac:dyDescent="0.25">
      <c r="D2131" s="3"/>
      <c r="E2131" s="15"/>
      <c r="F2131" s="15"/>
      <c r="G2131" s="15"/>
      <c r="H2131" s="15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17"/>
      <c r="X2131" s="13"/>
      <c r="Y2131" s="13"/>
      <c r="AB2131" s="24"/>
      <c r="AC2131" s="23"/>
    </row>
    <row r="2132" spans="4:29" x14ac:dyDescent="0.25">
      <c r="D2132" s="3"/>
      <c r="E2132" s="15"/>
      <c r="F2132" s="15"/>
      <c r="G2132" s="15"/>
      <c r="H2132" s="15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17"/>
      <c r="X2132" s="13"/>
      <c r="Y2132" s="13"/>
      <c r="AB2132" s="24"/>
      <c r="AC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M18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2021-04-16T22:54:08Z</dcterms:modified>
</cp:coreProperties>
</file>