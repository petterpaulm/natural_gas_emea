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B2808AC5-53CE-42A1-946E-8AE3F3F2A8AB}" xr6:coauthVersionLast="46" xr6:coauthVersionMax="46" xr10:uidLastSave="{00000000-0000-0000-0000-000000000000}"/>
  <bookViews>
    <workbookView xWindow="-120" yWindow="-120" windowWidth="51840" windowHeight="21240" tabRatio="500" activeTab="1" xr2:uid="{00000000-000D-0000-FFFF-FFFF00000000}"/>
  </bookViews>
  <sheets>
    <sheet name="model step2(M24)" sheetId="26" r:id="rId1"/>
    <sheet name="M6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'M6'!$C$1:$AD$1622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" i="25" l="1"/>
  <c r="U1580" i="25" a="1"/>
  <c r="U1580" i="25"/>
  <c r="U1579" i="25" a="1"/>
  <c r="U1579" i="25"/>
  <c r="U1331" i="25" a="1"/>
  <c r="U1332" i="25" a="1"/>
  <c r="U1333" i="25" a="1"/>
  <c r="U1334" i="25" a="1"/>
  <c r="U1335" i="25" a="1"/>
  <c r="U1336" i="25" a="1"/>
  <c r="U1337" i="25" a="1"/>
  <c r="U1338" i="25" a="1"/>
  <c r="U1339" i="25" a="1"/>
  <c r="U1340" i="25" a="1"/>
  <c r="U1341" i="25" a="1"/>
  <c r="U1342" i="25" a="1"/>
  <c r="U1343" i="25" a="1"/>
  <c r="U1344" i="25" a="1"/>
  <c r="U1345" i="25" a="1"/>
  <c r="U1346" i="25" a="1"/>
  <c r="U1347" i="25" a="1"/>
  <c r="U1348" i="25" a="1"/>
  <c r="U1349" i="25" a="1"/>
  <c r="U1350" i="25" a="1"/>
  <c r="U1351" i="25" a="1"/>
  <c r="U1352" i="25" a="1"/>
  <c r="U1353" i="25" a="1"/>
  <c r="U1354" i="25" a="1"/>
  <c r="U1355" i="25" a="1"/>
  <c r="U1356" i="25" a="1"/>
  <c r="U1357" i="25" a="1"/>
  <c r="U1358" i="25" a="1"/>
  <c r="U1359" i="25" a="1"/>
  <c r="U1360" i="25" a="1"/>
  <c r="U1361" i="25" a="1"/>
  <c r="U1362" i="25" a="1"/>
  <c r="U1363" i="25" a="1"/>
  <c r="U1364" i="25" a="1"/>
  <c r="U1365" i="25" a="1"/>
  <c r="U1366" i="25" a="1"/>
  <c r="U1367" i="25" a="1"/>
  <c r="U1368" i="25" a="1"/>
  <c r="U1369" i="25" a="1"/>
  <c r="U1370" i="25" a="1"/>
  <c r="U1371" i="25" a="1"/>
  <c r="U1372" i="25" a="1"/>
  <c r="U1373" i="25" a="1"/>
  <c r="U1374" i="25" a="1"/>
  <c r="U1375" i="25" a="1"/>
  <c r="U1376" i="25" a="1"/>
  <c r="U1377" i="25" a="1"/>
  <c r="U1378" i="25" a="1"/>
  <c r="U1379" i="25" a="1"/>
  <c r="U1380" i="25" a="1"/>
  <c r="U1381" i="25" a="1"/>
  <c r="U1382" i="25" a="1"/>
  <c r="U1383" i="25" a="1"/>
  <c r="U1384" i="25" a="1"/>
  <c r="U1385" i="25" a="1"/>
  <c r="U1386" i="25" a="1"/>
  <c r="U1387" i="25" a="1"/>
  <c r="U1388" i="25" a="1"/>
  <c r="U1389" i="25" a="1"/>
  <c r="U1390" i="25" a="1"/>
  <c r="U1391" i="25" a="1"/>
  <c r="U1392" i="25" a="1"/>
  <c r="U1393" i="25" a="1"/>
  <c r="U1394" i="25" a="1"/>
  <c r="U1395" i="25" a="1"/>
  <c r="U1396" i="25" a="1"/>
  <c r="U1397" i="25" a="1"/>
  <c r="U1398" i="25" a="1"/>
  <c r="U1399" i="25" a="1"/>
  <c r="U1400" i="25" a="1"/>
  <c r="U1401" i="25" a="1"/>
  <c r="U1402" i="25" a="1"/>
  <c r="U1403" i="25" a="1"/>
  <c r="U1404" i="25" a="1"/>
  <c r="U1405" i="25" a="1"/>
  <c r="U1406" i="25" a="1"/>
  <c r="U1407" i="25" a="1"/>
  <c r="U1408" i="25" a="1"/>
  <c r="U1409" i="25" a="1"/>
  <c r="U1410" i="25" a="1"/>
  <c r="U1411" i="25" a="1"/>
  <c r="U1412" i="25" a="1"/>
  <c r="U1413" i="25" a="1"/>
  <c r="U1414" i="25" a="1"/>
  <c r="U1415" i="25" a="1"/>
  <c r="U1416" i="25" a="1"/>
  <c r="U1417" i="25" a="1"/>
  <c r="U1418" i="25" a="1"/>
  <c r="U1419" i="25" a="1"/>
  <c r="U1420" i="25" a="1"/>
  <c r="U1421" i="25" a="1"/>
  <c r="U1422" i="25" a="1"/>
  <c r="U1423" i="25" a="1"/>
  <c r="U1424" i="25" a="1"/>
  <c r="U1425" i="25" a="1"/>
  <c r="U1426" i="25" a="1"/>
  <c r="U1427" i="25" a="1"/>
  <c r="U1428" i="25" a="1"/>
  <c r="U1429" i="25" a="1"/>
  <c r="U1430" i="25" a="1"/>
  <c r="U1431" i="25" a="1"/>
  <c r="U1432" i="25" a="1"/>
  <c r="U1433" i="25" a="1"/>
  <c r="U1434" i="25" a="1"/>
  <c r="U1435" i="25" a="1"/>
  <c r="U1436" i="25" a="1"/>
  <c r="U1437" i="25" a="1"/>
  <c r="U1438" i="25" a="1"/>
  <c r="U1439" i="25" a="1"/>
  <c r="U1440" i="25" a="1"/>
  <c r="U1441" i="25" a="1"/>
  <c r="U1442" i="25" a="1"/>
  <c r="U1443" i="25" a="1"/>
  <c r="U1444" i="25" a="1"/>
  <c r="U1445" i="25" a="1"/>
  <c r="U1446" i="25" a="1"/>
  <c r="U1447" i="25" a="1"/>
  <c r="U1448" i="25" a="1"/>
  <c r="U1449" i="25" a="1"/>
  <c r="U1450" i="25" a="1"/>
  <c r="U1451" i="25" a="1"/>
  <c r="U1452" i="25" a="1"/>
  <c r="U1453" i="25" a="1"/>
  <c r="U1454" i="25" a="1"/>
  <c r="U1455" i="25" a="1"/>
  <c r="U1456" i="25" a="1"/>
  <c r="U1457" i="25" a="1"/>
  <c r="U1458" i="25" a="1"/>
  <c r="U1459" i="25" a="1"/>
  <c r="U1460" i="25" a="1"/>
  <c r="U1461" i="25" a="1"/>
  <c r="U1462" i="25" a="1"/>
  <c r="U1463" i="25" a="1"/>
  <c r="U1464" i="25" a="1"/>
  <c r="U1465" i="25" a="1"/>
  <c r="U1466" i="25" a="1"/>
  <c r="U1467" i="25" a="1"/>
  <c r="U1468" i="25" a="1"/>
  <c r="U1469" i="25" a="1"/>
  <c r="U1470" i="25" a="1"/>
  <c r="U1471" i="25" a="1"/>
  <c r="U1472" i="25" a="1"/>
  <c r="U1473" i="25" a="1"/>
  <c r="U1474" i="25" a="1"/>
  <c r="U1475" i="25" a="1"/>
  <c r="U1476" i="25" a="1"/>
  <c r="U1477" i="25" a="1"/>
  <c r="U1478" i="25" a="1"/>
  <c r="U1479" i="25" a="1"/>
  <c r="U1480" i="25" a="1"/>
  <c r="U1481" i="25" a="1"/>
  <c r="U1482" i="25" a="1"/>
  <c r="U1483" i="25" a="1"/>
  <c r="U1484" i="25" a="1"/>
  <c r="U1485" i="25" a="1"/>
  <c r="U1486" i="25" a="1"/>
  <c r="U1487" i="25" a="1"/>
  <c r="U1488" i="25" a="1"/>
  <c r="U1489" i="25" a="1"/>
  <c r="U1490" i="25" a="1"/>
  <c r="U1491" i="25" a="1"/>
  <c r="U1492" i="25" a="1"/>
  <c r="U1493" i="25" a="1"/>
  <c r="U1494" i="25" a="1"/>
  <c r="U1495" i="25" a="1"/>
  <c r="U1496" i="25" a="1"/>
  <c r="U1497" i="25" a="1"/>
  <c r="U1498" i="25" a="1"/>
  <c r="U1499" i="25" a="1"/>
  <c r="U1500" i="25" a="1"/>
  <c r="U1501" i="25" a="1"/>
  <c r="U1502" i="25" a="1"/>
  <c r="U1503" i="25" a="1"/>
  <c r="U1504" i="25" a="1"/>
  <c r="U1505" i="25" a="1"/>
  <c r="U1506" i="25" a="1"/>
  <c r="U1507" i="25" a="1"/>
  <c r="U1508" i="25" a="1"/>
  <c r="U1509" i="25" a="1"/>
  <c r="U1510" i="25" a="1"/>
  <c r="U1511" i="25" a="1"/>
  <c r="U1512" i="25" a="1"/>
  <c r="U1513" i="25" a="1"/>
  <c r="U1514" i="25" a="1"/>
  <c r="U1515" i="25" a="1"/>
  <c r="U1516" i="25" a="1"/>
  <c r="U1517" i="25" a="1"/>
  <c r="U1518" i="25" a="1"/>
  <c r="U1519" i="25" a="1"/>
  <c r="U1520" i="25" a="1"/>
  <c r="U1521" i="25" a="1"/>
  <c r="U1522" i="25" a="1"/>
  <c r="U1523" i="25" a="1"/>
  <c r="U1524" i="25" a="1"/>
  <c r="U1525" i="25" a="1"/>
  <c r="U1526" i="25" a="1"/>
  <c r="U1527" i="25" a="1"/>
  <c r="U1528" i="25" a="1"/>
  <c r="U1529" i="25" a="1"/>
  <c r="U1530" i="25" a="1"/>
  <c r="U1531" i="25" a="1"/>
  <c r="U1532" i="25" a="1"/>
  <c r="U1533" i="25" a="1"/>
  <c r="U1534" i="25" a="1"/>
  <c r="U1535" i="25" a="1"/>
  <c r="U1536" i="25" a="1"/>
  <c r="U1537" i="25" a="1"/>
  <c r="U1538" i="25" a="1"/>
  <c r="U1539" i="25" a="1"/>
  <c r="U1540" i="25" a="1"/>
  <c r="U1541" i="25" a="1"/>
  <c r="U1542" i="25" a="1"/>
  <c r="U1543" i="25" a="1"/>
  <c r="U1544" i="25" a="1"/>
  <c r="U1545" i="25" a="1"/>
  <c r="U1546" i="25" a="1"/>
  <c r="U1547" i="25" a="1"/>
  <c r="U1548" i="25" a="1"/>
  <c r="U1549" i="25" a="1"/>
  <c r="U1550" i="25" a="1"/>
  <c r="U1551" i="25" a="1"/>
  <c r="U1552" i="25" a="1"/>
  <c r="U1553" i="25" a="1"/>
  <c r="U1554" i="25" a="1"/>
  <c r="U1555" i="25" a="1"/>
  <c r="U1556" i="25" a="1"/>
  <c r="U1557" i="25" a="1"/>
  <c r="U1558" i="25" a="1"/>
  <c r="U1559" i="25" a="1"/>
  <c r="U1560" i="25" a="1"/>
  <c r="U1561" i="25" a="1"/>
  <c r="U1562" i="25" a="1"/>
  <c r="U1563" i="25" a="1"/>
  <c r="U1564" i="25" a="1"/>
  <c r="U1565" i="25" a="1"/>
  <c r="U1566" i="25" a="1"/>
  <c r="U1567" i="25" a="1"/>
  <c r="U1568" i="25" a="1"/>
  <c r="U1569" i="25" a="1"/>
  <c r="U1570" i="25" a="1"/>
  <c r="U1571" i="25" a="1"/>
  <c r="U1572" i="25" a="1"/>
  <c r="U1573" i="25" a="1"/>
  <c r="U1574" i="25" a="1"/>
  <c r="U1575" i="25" a="1"/>
  <c r="U1576" i="25" a="1"/>
  <c r="U1577" i="25" a="1"/>
  <c r="U1578" i="25" a="1"/>
  <c r="U1331" i="25"/>
  <c r="U1332" i="25"/>
  <c r="U1333" i="25"/>
  <c r="U1334" i="25"/>
  <c r="U1335" i="25"/>
  <c r="U1336" i="25"/>
  <c r="U1337" i="25"/>
  <c r="U1338" i="25"/>
  <c r="U1339" i="25"/>
  <c r="U1340" i="25"/>
  <c r="U1341" i="25"/>
  <c r="U1342" i="25"/>
  <c r="U1343" i="25"/>
  <c r="U1344" i="25"/>
  <c r="U1345" i="25"/>
  <c r="U1346" i="25"/>
  <c r="U1347" i="25"/>
  <c r="U1348" i="25"/>
  <c r="U1349" i="25"/>
  <c r="U1350" i="25"/>
  <c r="U1351" i="25"/>
  <c r="U1352" i="25"/>
  <c r="U1353" i="25"/>
  <c r="U1354" i="25"/>
  <c r="U1355" i="25"/>
  <c r="U1356" i="25"/>
  <c r="U1357" i="25"/>
  <c r="U1358" i="25"/>
  <c r="U1359" i="25"/>
  <c r="U1360" i="25"/>
  <c r="U1361" i="25"/>
  <c r="U1362" i="25"/>
  <c r="U1363" i="25"/>
  <c r="U1364" i="25"/>
  <c r="U1365" i="25"/>
  <c r="U1366" i="25"/>
  <c r="U1367" i="25"/>
  <c r="U1368" i="25"/>
  <c r="U1369" i="25"/>
  <c r="U1370" i="25"/>
  <c r="U1371" i="25"/>
  <c r="U1372" i="25"/>
  <c r="U1373" i="25"/>
  <c r="U1374" i="25"/>
  <c r="U1375" i="25"/>
  <c r="U1376" i="25"/>
  <c r="U1377" i="25"/>
  <c r="U1378" i="25"/>
  <c r="U1379" i="25"/>
  <c r="U1380" i="25"/>
  <c r="U1381" i="25"/>
  <c r="U1382" i="25"/>
  <c r="U1383" i="25"/>
  <c r="U1384" i="25"/>
  <c r="U1385" i="25"/>
  <c r="U1386" i="25"/>
  <c r="U1387" i="25"/>
  <c r="U1388" i="25"/>
  <c r="U1389" i="25"/>
  <c r="U1390" i="25"/>
  <c r="U1391" i="25"/>
  <c r="U1392" i="25"/>
  <c r="U1393" i="25"/>
  <c r="U1394" i="25"/>
  <c r="U1395" i="25"/>
  <c r="U1396" i="25"/>
  <c r="U1397" i="25"/>
  <c r="U1398" i="25"/>
  <c r="U1399" i="25"/>
  <c r="U1400" i="25"/>
  <c r="U1401" i="25"/>
  <c r="U1402" i="25"/>
  <c r="U1403" i="25"/>
  <c r="U1404" i="25"/>
  <c r="U1405" i="25"/>
  <c r="U1406" i="25"/>
  <c r="U1407" i="25"/>
  <c r="U1408" i="25"/>
  <c r="U1409" i="25"/>
  <c r="U1410" i="25"/>
  <c r="U1411" i="25"/>
  <c r="U1412" i="25"/>
  <c r="U1413" i="25"/>
  <c r="U1414" i="25"/>
  <c r="U1415" i="25"/>
  <c r="U1416" i="25"/>
  <c r="U1417" i="25"/>
  <c r="U1418" i="25"/>
  <c r="U1419" i="25"/>
  <c r="U1420" i="25"/>
  <c r="U1421" i="25"/>
  <c r="U1422" i="25"/>
  <c r="U1423" i="25"/>
  <c r="U1424" i="25"/>
  <c r="U1425" i="25"/>
  <c r="U1426" i="25"/>
  <c r="U1427" i="25"/>
  <c r="U1428" i="25"/>
  <c r="U1429" i="25"/>
  <c r="U1430" i="25"/>
  <c r="U1431" i="25"/>
  <c r="U1432" i="25"/>
  <c r="U1433" i="25"/>
  <c r="U1434" i="25"/>
  <c r="U1435" i="25"/>
  <c r="U1436" i="25"/>
  <c r="U1437" i="25"/>
  <c r="U1438" i="25"/>
  <c r="U1439" i="25"/>
  <c r="U1440" i="25"/>
  <c r="U1441" i="25"/>
  <c r="U1442" i="25"/>
  <c r="U1443" i="25"/>
  <c r="U1444" i="25"/>
  <c r="U1445" i="25"/>
  <c r="U1446" i="25"/>
  <c r="U1447" i="25"/>
  <c r="U1448" i="25"/>
  <c r="U1449" i="25"/>
  <c r="U1450" i="25"/>
  <c r="U1451" i="25"/>
  <c r="U1452" i="25"/>
  <c r="U1453" i="25"/>
  <c r="U1454" i="25"/>
  <c r="U1455" i="25"/>
  <c r="U1456" i="25"/>
  <c r="U1457" i="25"/>
  <c r="U1458" i="25"/>
  <c r="U1459" i="25"/>
  <c r="U1460" i="25"/>
  <c r="U1461" i="25"/>
  <c r="U1462" i="25"/>
  <c r="U1463" i="25"/>
  <c r="U1464" i="25"/>
  <c r="U1465" i="25"/>
  <c r="U1466" i="25"/>
  <c r="U1467" i="25"/>
  <c r="U1468" i="25"/>
  <c r="U1469" i="25"/>
  <c r="U1470" i="25"/>
  <c r="U1471" i="25"/>
  <c r="U1472" i="25"/>
  <c r="U1473" i="25"/>
  <c r="U1474" i="25"/>
  <c r="U1475" i="25"/>
  <c r="U1476" i="25"/>
  <c r="U1477" i="25"/>
  <c r="U1478" i="25"/>
  <c r="U1479" i="25"/>
  <c r="U1480" i="25"/>
  <c r="U1481" i="25"/>
  <c r="U1482" i="25"/>
  <c r="U1483" i="25"/>
  <c r="U1484" i="25"/>
  <c r="U1485" i="25"/>
  <c r="U1486" i="25"/>
  <c r="U1487" i="25"/>
  <c r="U1488" i="25"/>
  <c r="U1489" i="25"/>
  <c r="U1490" i="25"/>
  <c r="U1491" i="25"/>
  <c r="U1492" i="25"/>
  <c r="U1493" i="25"/>
  <c r="U1494" i="25"/>
  <c r="U1495" i="25"/>
  <c r="U1496" i="25"/>
  <c r="U1497" i="25"/>
  <c r="U1498" i="25"/>
  <c r="U1499" i="25"/>
  <c r="U1500" i="25"/>
  <c r="U1501" i="25"/>
  <c r="U1502" i="25"/>
  <c r="U1503" i="25"/>
  <c r="U1504" i="25"/>
  <c r="U1505" i="25"/>
  <c r="U1506" i="25"/>
  <c r="U1507" i="25"/>
  <c r="U1508" i="25"/>
  <c r="U1509" i="25"/>
  <c r="U1510" i="25"/>
  <c r="U1511" i="25"/>
  <c r="U1512" i="25"/>
  <c r="U1513" i="25"/>
  <c r="U1514" i="25"/>
  <c r="U1515" i="25"/>
  <c r="U1516" i="25"/>
  <c r="U1517" i="25"/>
  <c r="U1518" i="25"/>
  <c r="U1519" i="25"/>
  <c r="U1520" i="25"/>
  <c r="U1521" i="25"/>
  <c r="U1522" i="25"/>
  <c r="U1523" i="25"/>
  <c r="U1524" i="25"/>
  <c r="U1525" i="25"/>
  <c r="U1526" i="25"/>
  <c r="U1527" i="25"/>
  <c r="U1528" i="25"/>
  <c r="U1529" i="25"/>
  <c r="U1530" i="25"/>
  <c r="U1531" i="25"/>
  <c r="U1532" i="25"/>
  <c r="U1533" i="25"/>
  <c r="U1534" i="25"/>
  <c r="U1535" i="25"/>
  <c r="U1536" i="25"/>
  <c r="U1537" i="25"/>
  <c r="U1538" i="25"/>
  <c r="U1539" i="25"/>
  <c r="U1540" i="25"/>
  <c r="U1541" i="25"/>
  <c r="U1542" i="25"/>
  <c r="U1543" i="25"/>
  <c r="U1544" i="25"/>
  <c r="U1545" i="25"/>
  <c r="U1546" i="25"/>
  <c r="U1547" i="25"/>
  <c r="U1548" i="25"/>
  <c r="U1549" i="25"/>
  <c r="U1550" i="25"/>
  <c r="U1551" i="25"/>
  <c r="U1552" i="25"/>
  <c r="U1553" i="25"/>
  <c r="U1554" i="25"/>
  <c r="U1555" i="25"/>
  <c r="U1556" i="25"/>
  <c r="U1557" i="25"/>
  <c r="U1558" i="25"/>
  <c r="U1559" i="25"/>
  <c r="U1560" i="25"/>
  <c r="U1561" i="25"/>
  <c r="U1562" i="25"/>
  <c r="U1563" i="25"/>
  <c r="U1564" i="25"/>
  <c r="U1565" i="25"/>
  <c r="U1566" i="25"/>
  <c r="U1567" i="25"/>
  <c r="U1568" i="25"/>
  <c r="U1569" i="25"/>
  <c r="U1570" i="25"/>
  <c r="U1571" i="25"/>
  <c r="U1572" i="25"/>
  <c r="U1573" i="25"/>
  <c r="U1574" i="25"/>
  <c r="U1575" i="25"/>
  <c r="U1576" i="25"/>
  <c r="U1577" i="25"/>
  <c r="U1578" i="25"/>
  <c r="V1580" i="25" a="1"/>
  <c r="V1580" i="25"/>
  <c r="U1581" i="25" a="1"/>
  <c r="U1581" i="25"/>
  <c r="V1581" i="25" a="1"/>
  <c r="V1581" i="25"/>
  <c r="U1582" i="25" a="1"/>
  <c r="U1582" i="25"/>
  <c r="V1582" i="25" a="1"/>
  <c r="U1583" i="25" a="1"/>
  <c r="U1583" i="25"/>
  <c r="V1583" i="25" a="1"/>
  <c r="U1584" i="25" a="1"/>
  <c r="U1584" i="25"/>
  <c r="V1584" i="25" a="1"/>
  <c r="U1585" i="25" a="1"/>
  <c r="U1585" i="25"/>
  <c r="V1585" i="25" a="1"/>
  <c r="U1586" i="25" a="1"/>
  <c r="U1586" i="25"/>
  <c r="V1586" i="25" a="1"/>
  <c r="U1587" i="25" a="1"/>
  <c r="U1587" i="25"/>
  <c r="V1587" i="25" a="1"/>
  <c r="U1588" i="25" a="1"/>
  <c r="U1588" i="25"/>
  <c r="V1588" i="25" a="1"/>
  <c r="U1589" i="25" a="1"/>
  <c r="U1589" i="25"/>
  <c r="V1589" i="25" a="1"/>
  <c r="U1590" i="25" a="1"/>
  <c r="U1590" i="25"/>
  <c r="V1590" i="25" a="1"/>
  <c r="U1591" i="25" a="1"/>
  <c r="U1591" i="25"/>
  <c r="V1591" i="25" a="1"/>
  <c r="U1592" i="25" a="1"/>
  <c r="U1592" i="25"/>
  <c r="V1592" i="25" a="1"/>
  <c r="U1593" i="25" a="1"/>
  <c r="U1593" i="25"/>
  <c r="V1593" i="25" a="1"/>
  <c r="U1594" i="25" a="1"/>
  <c r="U1594" i="25"/>
  <c r="V1594" i="25" a="1"/>
  <c r="U1595" i="25" a="1"/>
  <c r="U1595" i="25"/>
  <c r="V1595" i="25" a="1"/>
  <c r="U1596" i="25" a="1"/>
  <c r="U1596" i="25"/>
  <c r="V1596" i="25" a="1"/>
  <c r="U1597" i="25" a="1"/>
  <c r="U1597" i="25"/>
  <c r="V1597" i="25" a="1"/>
  <c r="U1598" i="25" a="1"/>
  <c r="U1598" i="25"/>
  <c r="V1598" i="25" a="1"/>
  <c r="U1599" i="25" a="1"/>
  <c r="U1599" i="25"/>
  <c r="V1599" i="25" a="1"/>
  <c r="V1582" i="25"/>
  <c r="V1583" i="25"/>
  <c r="V1584" i="25"/>
  <c r="V1585" i="25"/>
  <c r="V1586" i="25"/>
  <c r="V1587" i="25"/>
  <c r="V1588" i="25"/>
  <c r="V1589" i="25"/>
  <c r="V1590" i="25"/>
  <c r="V1591" i="25"/>
  <c r="V1592" i="25"/>
  <c r="V1593" i="25"/>
  <c r="V1594" i="25"/>
  <c r="V1595" i="25"/>
  <c r="V1596" i="25"/>
  <c r="V1597" i="25"/>
  <c r="V1598" i="25"/>
  <c r="V1599" i="25"/>
  <c r="W1599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41" i="25"/>
  <c r="Y442" i="25"/>
  <c r="Y443" i="25"/>
  <c r="Y444" i="25"/>
  <c r="Y445" i="25"/>
  <c r="Y446" i="25"/>
  <c r="Y447" i="25"/>
  <c r="Y448" i="25"/>
  <c r="Y449" i="25"/>
  <c r="Y450" i="25"/>
  <c r="Y451" i="25"/>
  <c r="Y452" i="25"/>
  <c r="Y453" i="25"/>
  <c r="Y454" i="25"/>
  <c r="Y455" i="25"/>
  <c r="Y456" i="25"/>
  <c r="Y457" i="25"/>
  <c r="Y458" i="25"/>
  <c r="Y459" i="25"/>
  <c r="Y460" i="25"/>
  <c r="Y461" i="25"/>
  <c r="Y462" i="25"/>
  <c r="Y463" i="25"/>
  <c r="Y464" i="25"/>
  <c r="Y465" i="25"/>
  <c r="Y466" i="25"/>
  <c r="Y467" i="25"/>
  <c r="Y468" i="25"/>
  <c r="Y469" i="25"/>
  <c r="Y470" i="25"/>
  <c r="Y471" i="25"/>
  <c r="Y472" i="25"/>
  <c r="Y473" i="25"/>
  <c r="Y474" i="25"/>
  <c r="Y475" i="25"/>
  <c r="Y476" i="25"/>
  <c r="Y477" i="25"/>
  <c r="Y478" i="25"/>
  <c r="Y479" i="25"/>
  <c r="Y480" i="25"/>
  <c r="Y481" i="25"/>
  <c r="Y482" i="25"/>
  <c r="Y483" i="25"/>
  <c r="Y484" i="25"/>
  <c r="Y485" i="25"/>
  <c r="Y486" i="25"/>
  <c r="Y487" i="25"/>
  <c r="Y488" i="25"/>
  <c r="Y489" i="25"/>
  <c r="Y490" i="25"/>
  <c r="Y491" i="25"/>
  <c r="Y492" i="25"/>
  <c r="Y493" i="25"/>
  <c r="Y494" i="25"/>
  <c r="Y495" i="25"/>
  <c r="Y496" i="25"/>
  <c r="Y497" i="25"/>
  <c r="Y498" i="25"/>
  <c r="Y499" i="25"/>
  <c r="Y500" i="25"/>
  <c r="Y501" i="25"/>
  <c r="Y502" i="25"/>
  <c r="Y503" i="25"/>
  <c r="Y504" i="25"/>
  <c r="Y505" i="25"/>
  <c r="Y506" i="25"/>
  <c r="Y507" i="25"/>
  <c r="Y508" i="25"/>
  <c r="Y509" i="25"/>
  <c r="Y510" i="25"/>
  <c r="Y511" i="25"/>
  <c r="Y512" i="25"/>
  <c r="Y513" i="25"/>
  <c r="Y514" i="25"/>
  <c r="Y515" i="25"/>
  <c r="Y516" i="25"/>
  <c r="Y517" i="25"/>
  <c r="Y518" i="25"/>
  <c r="Y519" i="25"/>
  <c r="Y520" i="25"/>
  <c r="Y521" i="25"/>
  <c r="Y522" i="25"/>
  <c r="Y523" i="25"/>
  <c r="Y524" i="25"/>
  <c r="Y525" i="25"/>
  <c r="Y526" i="25"/>
  <c r="Y527" i="25"/>
  <c r="Y528" i="25"/>
  <c r="Y529" i="25"/>
  <c r="Y530" i="25"/>
  <c r="Y531" i="25"/>
  <c r="Y532" i="25"/>
  <c r="Y533" i="25"/>
  <c r="Y534" i="25"/>
  <c r="Y535" i="25"/>
  <c r="Y536" i="25"/>
  <c r="Y537" i="25"/>
  <c r="Y538" i="25"/>
  <c r="Y539" i="25"/>
  <c r="Y540" i="25"/>
  <c r="Y541" i="25"/>
  <c r="Y542" i="25"/>
  <c r="Y543" i="25"/>
  <c r="Y544" i="25"/>
  <c r="Y545" i="25"/>
  <c r="Y546" i="25"/>
  <c r="Y547" i="25"/>
  <c r="Y548" i="25"/>
  <c r="Y549" i="25"/>
  <c r="Y550" i="25"/>
  <c r="Y551" i="25"/>
  <c r="Y552" i="25"/>
  <c r="Y553" i="25"/>
  <c r="Y554" i="25"/>
  <c r="Y555" i="25"/>
  <c r="Y556" i="25"/>
  <c r="Y557" i="25"/>
  <c r="Y558" i="25"/>
  <c r="Y559" i="25"/>
  <c r="Y560" i="25"/>
  <c r="Y561" i="25"/>
  <c r="Y562" i="25"/>
  <c r="Y563" i="25"/>
  <c r="Y564" i="25"/>
  <c r="Y565" i="25"/>
  <c r="Y566" i="25"/>
  <c r="Y567" i="25"/>
  <c r="Y568" i="25"/>
  <c r="Y569" i="25"/>
  <c r="Y570" i="25"/>
  <c r="Y571" i="25"/>
  <c r="Y572" i="25"/>
  <c r="Y573" i="25"/>
  <c r="Y574" i="25"/>
  <c r="Y575" i="25"/>
  <c r="Y576" i="25"/>
  <c r="Y577" i="25"/>
  <c r="Y578" i="25"/>
  <c r="Y579" i="25"/>
  <c r="Y580" i="25"/>
  <c r="Y581" i="25"/>
  <c r="Y582" i="25"/>
  <c r="Y583" i="25"/>
  <c r="Y584" i="25"/>
  <c r="Y585" i="25"/>
  <c r="Y586" i="25"/>
  <c r="Y587" i="25"/>
  <c r="Y588" i="25"/>
  <c r="Y589" i="25"/>
  <c r="Y590" i="25"/>
  <c r="Y591" i="25"/>
  <c r="Y592" i="25"/>
  <c r="Y593" i="25"/>
  <c r="Y594" i="25"/>
  <c r="Y595" i="25"/>
  <c r="Y596" i="25"/>
  <c r="Y597" i="25"/>
  <c r="Y598" i="25"/>
  <c r="Y599" i="25"/>
  <c r="Y600" i="25"/>
  <c r="Y601" i="25"/>
  <c r="Y602" i="25"/>
  <c r="Y603" i="25"/>
  <c r="Y604" i="25"/>
  <c r="Y605" i="25"/>
  <c r="Y606" i="25"/>
  <c r="Y607" i="25"/>
  <c r="Y608" i="25"/>
  <c r="Y609" i="25"/>
  <c r="Y610" i="25"/>
  <c r="Y611" i="25"/>
  <c r="Y612" i="25"/>
  <c r="Y613" i="25"/>
  <c r="Y614" i="25"/>
  <c r="Y615" i="25"/>
  <c r="Y616" i="25"/>
  <c r="Y617" i="25"/>
  <c r="Y618" i="25"/>
  <c r="Y619" i="25"/>
  <c r="Y620" i="25"/>
  <c r="Y621" i="25"/>
  <c r="Y622" i="25"/>
  <c r="Y623" i="25"/>
  <c r="Y624" i="25"/>
  <c r="Y625" i="25"/>
  <c r="Y626" i="25"/>
  <c r="Y627" i="25"/>
  <c r="Y628" i="25"/>
  <c r="Y629" i="25"/>
  <c r="Y630" i="25"/>
  <c r="Y631" i="25"/>
  <c r="Y632" i="25"/>
  <c r="Y633" i="25"/>
  <c r="Y634" i="25"/>
  <c r="Y635" i="25"/>
  <c r="Y636" i="25"/>
  <c r="Y637" i="25"/>
  <c r="Y638" i="25"/>
  <c r="Y639" i="25"/>
  <c r="Y640" i="25"/>
  <c r="Y641" i="25"/>
  <c r="Y642" i="25"/>
  <c r="Y643" i="25"/>
  <c r="Y644" i="25"/>
  <c r="Y645" i="25"/>
  <c r="Y646" i="25"/>
  <c r="Y647" i="25"/>
  <c r="Y648" i="25"/>
  <c r="Y649" i="25"/>
  <c r="Y650" i="25"/>
  <c r="Y651" i="25"/>
  <c r="Y652" i="25"/>
  <c r="Y653" i="25"/>
  <c r="Y654" i="25"/>
  <c r="Y655" i="25"/>
  <c r="Y656" i="25"/>
  <c r="Y657" i="25"/>
  <c r="Y658" i="25"/>
  <c r="Y659" i="25"/>
  <c r="Y660" i="25"/>
  <c r="Y661" i="25"/>
  <c r="Y662" i="25"/>
  <c r="Y663" i="25"/>
  <c r="Y664" i="25"/>
  <c r="Y665" i="25"/>
  <c r="Y666" i="25"/>
  <c r="Y667" i="25"/>
  <c r="Y668" i="25"/>
  <c r="Y669" i="25"/>
  <c r="Y670" i="25"/>
  <c r="Y671" i="25"/>
  <c r="Y672" i="25"/>
  <c r="Y673" i="25"/>
  <c r="Y674" i="25"/>
  <c r="Y675" i="25"/>
  <c r="Y676" i="25"/>
  <c r="Y677" i="25"/>
  <c r="Y678" i="25"/>
  <c r="Y679" i="25"/>
  <c r="Y680" i="25"/>
  <c r="Y681" i="25"/>
  <c r="Y682" i="25"/>
  <c r="Y683" i="25"/>
  <c r="Y684" i="25"/>
  <c r="Y685" i="25"/>
  <c r="Y686" i="25"/>
  <c r="Y687" i="25"/>
  <c r="Y688" i="25"/>
  <c r="Y689" i="25"/>
  <c r="Y690" i="25"/>
  <c r="Y691" i="25"/>
  <c r="Y692" i="25"/>
  <c r="Y693" i="25"/>
  <c r="Y694" i="25"/>
  <c r="Y695" i="25"/>
  <c r="Y696" i="25"/>
  <c r="Y697" i="25"/>
  <c r="Y698" i="25"/>
  <c r="Y699" i="25"/>
  <c r="Y700" i="25"/>
  <c r="Y701" i="25"/>
  <c r="Y702" i="25"/>
  <c r="Y703" i="25"/>
  <c r="Y704" i="25"/>
  <c r="Y705" i="25"/>
  <c r="Y706" i="25"/>
  <c r="Y707" i="25"/>
  <c r="Y708" i="25"/>
  <c r="Y709" i="25"/>
  <c r="Y710" i="25"/>
  <c r="Y711" i="25"/>
  <c r="Y712" i="25"/>
  <c r="Y713" i="25"/>
  <c r="Y714" i="25"/>
  <c r="Y715" i="25"/>
  <c r="Y716" i="25"/>
  <c r="Y717" i="25"/>
  <c r="Y718" i="25"/>
  <c r="Y719" i="25"/>
  <c r="Y720" i="25"/>
  <c r="Y721" i="25"/>
  <c r="Y722" i="25"/>
  <c r="Y723" i="25"/>
  <c r="Y724" i="25"/>
  <c r="Y725" i="25"/>
  <c r="Y726" i="25"/>
  <c r="Y727" i="25"/>
  <c r="Y728" i="25"/>
  <c r="Y729" i="25"/>
  <c r="Y730" i="25"/>
  <c r="Y731" i="25"/>
  <c r="Y732" i="25"/>
  <c r="Y733" i="25"/>
  <c r="Y734" i="25"/>
  <c r="Y735" i="25"/>
  <c r="Y736" i="25"/>
  <c r="Y737" i="25"/>
  <c r="Y738" i="25"/>
  <c r="Y739" i="25"/>
  <c r="Y740" i="25"/>
  <c r="Y741" i="25"/>
  <c r="Y742" i="25"/>
  <c r="Y743" i="25"/>
  <c r="Y744" i="25"/>
  <c r="Y745" i="25"/>
  <c r="Y746" i="25"/>
  <c r="Y747" i="25"/>
  <c r="Y748" i="25"/>
  <c r="Y749" i="25"/>
  <c r="Y750" i="25"/>
  <c r="Y751" i="25"/>
  <c r="Y752" i="25"/>
  <c r="Y753" i="25"/>
  <c r="Y754" i="25"/>
  <c r="Y755" i="25"/>
  <c r="Y756" i="25"/>
  <c r="Y757" i="25"/>
  <c r="Y758" i="25"/>
  <c r="Y759" i="25"/>
  <c r="Y760" i="25"/>
  <c r="Y761" i="25"/>
  <c r="Y762" i="25"/>
  <c r="Y763" i="25"/>
  <c r="Y764" i="25"/>
  <c r="Y765" i="25"/>
  <c r="Y766" i="25"/>
  <c r="Y767" i="25"/>
  <c r="Y768" i="25"/>
  <c r="Y769" i="25"/>
  <c r="Y770" i="25"/>
  <c r="Y771" i="25"/>
  <c r="Y772" i="25"/>
  <c r="Y773" i="25"/>
  <c r="Y774" i="25"/>
  <c r="Y775" i="25"/>
  <c r="Y776" i="25"/>
  <c r="Y777" i="25"/>
  <c r="Y778" i="25"/>
  <c r="Y779" i="25"/>
  <c r="Y780" i="25"/>
  <c r="Y781" i="25"/>
  <c r="Y782" i="25"/>
  <c r="Y783" i="25"/>
  <c r="Y784" i="25"/>
  <c r="Y785" i="25"/>
  <c r="Y786" i="25"/>
  <c r="Y787" i="25"/>
  <c r="Y788" i="25"/>
  <c r="Y789" i="25"/>
  <c r="Y790" i="25"/>
  <c r="Y791" i="25"/>
  <c r="Y792" i="25"/>
  <c r="Y793" i="25"/>
  <c r="Y794" i="25"/>
  <c r="Y795" i="25"/>
  <c r="Y796" i="25"/>
  <c r="Y797" i="25"/>
  <c r="Y798" i="25"/>
  <c r="Y799" i="25"/>
  <c r="Y800" i="25"/>
  <c r="Y801" i="25"/>
  <c r="Y802" i="25"/>
  <c r="Y803" i="25"/>
  <c r="Y804" i="25"/>
  <c r="Y805" i="25"/>
  <c r="Y806" i="25"/>
  <c r="Y807" i="25"/>
  <c r="Y808" i="25"/>
  <c r="Y809" i="25"/>
  <c r="Y810" i="25"/>
  <c r="Y811" i="25"/>
  <c r="Y812" i="25"/>
  <c r="Y813" i="25"/>
  <c r="Y814" i="25"/>
  <c r="Y815" i="25"/>
  <c r="Y816" i="25"/>
  <c r="Y817" i="25"/>
  <c r="Y818" i="25"/>
  <c r="Y819" i="25"/>
  <c r="Y820" i="25"/>
  <c r="Y821" i="25"/>
  <c r="Y822" i="25"/>
  <c r="Y823" i="25"/>
  <c r="Y824" i="25"/>
  <c r="Y825" i="25"/>
  <c r="Y826" i="25"/>
  <c r="Y827" i="25"/>
  <c r="Y828" i="25"/>
  <c r="Y829" i="25"/>
  <c r="Y830" i="25"/>
  <c r="Y831" i="25"/>
  <c r="Y832" i="25"/>
  <c r="Y833" i="25"/>
  <c r="Y834" i="25"/>
  <c r="Y835" i="25"/>
  <c r="Y836" i="25"/>
  <c r="Y837" i="25"/>
  <c r="Y838" i="25"/>
  <c r="Y839" i="25"/>
  <c r="Y840" i="25"/>
  <c r="Y841" i="25"/>
  <c r="Y842" i="25"/>
  <c r="Y843" i="25"/>
  <c r="Y844" i="25"/>
  <c r="Y845" i="25"/>
  <c r="Y846" i="25"/>
  <c r="Y847" i="25"/>
  <c r="Y848" i="25"/>
  <c r="Y849" i="25"/>
  <c r="Y850" i="25"/>
  <c r="Y851" i="25"/>
  <c r="Y852" i="25"/>
  <c r="Y853" i="25"/>
  <c r="Y854" i="25"/>
  <c r="Y855" i="25"/>
  <c r="Y856" i="25"/>
  <c r="Y857" i="25"/>
  <c r="Y858" i="25"/>
  <c r="Y859" i="25"/>
  <c r="Y860" i="25"/>
  <c r="Y861" i="25"/>
  <c r="Y862" i="25"/>
  <c r="Y863" i="25"/>
  <c r="Y864" i="25"/>
  <c r="Y865" i="25"/>
  <c r="Y866" i="25"/>
  <c r="Y867" i="25"/>
  <c r="Y868" i="25"/>
  <c r="Y869" i="25"/>
  <c r="Y870" i="25"/>
  <c r="Y871" i="25"/>
  <c r="Y872" i="25"/>
  <c r="Y873" i="25"/>
  <c r="Y874" i="25"/>
  <c r="Y875" i="25"/>
  <c r="Y876" i="25"/>
  <c r="Y877" i="25"/>
  <c r="Y878" i="25"/>
  <c r="Y879" i="25"/>
  <c r="Y880" i="25"/>
  <c r="Y881" i="25"/>
  <c r="Y882" i="25"/>
  <c r="Y883" i="25"/>
  <c r="Y884" i="25"/>
  <c r="Y885" i="25"/>
  <c r="Y886" i="25"/>
  <c r="Y887" i="25"/>
  <c r="Y888" i="25"/>
  <c r="Y889" i="25"/>
  <c r="Y890" i="25"/>
  <c r="Y891" i="25"/>
  <c r="Y892" i="25"/>
  <c r="Y893" i="25"/>
  <c r="Y894" i="25"/>
  <c r="Y895" i="25"/>
  <c r="Y896" i="25"/>
  <c r="Y897" i="25"/>
  <c r="Y898" i="25"/>
  <c r="Y899" i="25"/>
  <c r="Y900" i="25"/>
  <c r="Y901" i="25"/>
  <c r="Y902" i="25"/>
  <c r="Y903" i="25"/>
  <c r="Y904" i="25"/>
  <c r="Y905" i="25"/>
  <c r="Y906" i="25"/>
  <c r="Y907" i="25"/>
  <c r="Y908" i="25"/>
  <c r="Y909" i="25"/>
  <c r="Y910" i="25"/>
  <c r="Y911" i="25"/>
  <c r="Y912" i="25"/>
  <c r="Y913" i="25"/>
  <c r="Y914" i="25"/>
  <c r="Y915" i="25"/>
  <c r="Y916" i="25"/>
  <c r="Y917" i="25"/>
  <c r="Y918" i="25"/>
  <c r="Y919" i="25"/>
  <c r="Y920" i="25"/>
  <c r="Y921" i="25"/>
  <c r="Y922" i="25"/>
  <c r="Y923" i="25"/>
  <c r="Y924" i="25"/>
  <c r="Y925" i="25"/>
  <c r="Y926" i="25"/>
  <c r="Y927" i="25"/>
  <c r="Y928" i="25"/>
  <c r="Y929" i="25"/>
  <c r="Y930" i="25"/>
  <c r="Y931" i="25"/>
  <c r="Y932" i="25"/>
  <c r="Y933" i="25"/>
  <c r="Y934" i="25"/>
  <c r="Y935" i="25"/>
  <c r="Y936" i="25"/>
  <c r="Y937" i="25"/>
  <c r="Y938" i="25"/>
  <c r="Y939" i="25"/>
  <c r="Y940" i="25"/>
  <c r="Y941" i="25"/>
  <c r="Y942" i="25"/>
  <c r="Y943" i="25"/>
  <c r="Y944" i="25"/>
  <c r="Y945" i="25"/>
  <c r="Y946" i="25"/>
  <c r="Y947" i="25"/>
  <c r="Y948" i="25"/>
  <c r="Y949" i="25"/>
  <c r="Y950" i="25"/>
  <c r="Y951" i="25"/>
  <c r="Y952" i="25"/>
  <c r="Y953" i="25"/>
  <c r="Y954" i="25"/>
  <c r="Y955" i="25"/>
  <c r="Y956" i="25"/>
  <c r="Y957" i="25"/>
  <c r="Y958" i="25"/>
  <c r="Y959" i="25"/>
  <c r="Y960" i="25"/>
  <c r="Y961" i="25"/>
  <c r="Y962" i="25"/>
  <c r="Y963" i="25"/>
  <c r="Y964" i="25"/>
  <c r="Y965" i="25"/>
  <c r="Y966" i="25"/>
  <c r="Y967" i="25"/>
  <c r="Y968" i="25"/>
  <c r="Y969" i="25"/>
  <c r="Y970" i="25"/>
  <c r="Y971" i="25"/>
  <c r="Y972" i="25"/>
  <c r="Y973" i="25"/>
  <c r="Y974" i="25"/>
  <c r="Y975" i="25"/>
  <c r="Y976" i="25"/>
  <c r="Y977" i="25"/>
  <c r="Y978" i="25"/>
  <c r="Y979" i="25"/>
  <c r="Y980" i="25"/>
  <c r="Y981" i="25"/>
  <c r="Y982" i="25"/>
  <c r="Y983" i="25"/>
  <c r="Y984" i="25"/>
  <c r="Y985" i="25"/>
  <c r="Y986" i="25"/>
  <c r="Y987" i="25"/>
  <c r="Y988" i="25"/>
  <c r="Y989" i="25"/>
  <c r="Y990" i="25"/>
  <c r="Y991" i="25"/>
  <c r="Y992" i="25"/>
  <c r="Y993" i="25"/>
  <c r="Y994" i="25"/>
  <c r="Y995" i="25"/>
  <c r="Y996" i="25"/>
  <c r="Y997" i="25"/>
  <c r="Y998" i="25"/>
  <c r="Y999" i="25"/>
  <c r="Y1000" i="25"/>
  <c r="Y1001" i="25"/>
  <c r="Y1002" i="25"/>
  <c r="Y1003" i="25"/>
  <c r="Y1004" i="25"/>
  <c r="Y1005" i="25"/>
  <c r="Y1006" i="25"/>
  <c r="Y1007" i="25"/>
  <c r="Y1008" i="25"/>
  <c r="Y1009" i="25"/>
  <c r="Y1010" i="25"/>
  <c r="Y1011" i="25"/>
  <c r="Y1012" i="25"/>
  <c r="Y1013" i="25"/>
  <c r="Y1014" i="25"/>
  <c r="Y1015" i="25"/>
  <c r="Y1016" i="25"/>
  <c r="Y1017" i="25"/>
  <c r="Y1018" i="25"/>
  <c r="Y1019" i="25"/>
  <c r="Y1020" i="25"/>
  <c r="Y1021" i="25"/>
  <c r="Y1022" i="25"/>
  <c r="Y1023" i="25"/>
  <c r="Y1024" i="25"/>
  <c r="Y1025" i="25"/>
  <c r="Y1026" i="25"/>
  <c r="Y1027" i="25"/>
  <c r="Y1028" i="25"/>
  <c r="Y1029" i="25"/>
  <c r="Y1030" i="25"/>
  <c r="Y1031" i="25"/>
  <c r="Y1032" i="25"/>
  <c r="Y1033" i="25"/>
  <c r="Y1034" i="25"/>
  <c r="Y1035" i="25"/>
  <c r="Y1036" i="25"/>
  <c r="Y1037" i="25"/>
  <c r="Y1038" i="25"/>
  <c r="Y1039" i="25"/>
  <c r="Y1040" i="25"/>
  <c r="Y1041" i="25"/>
  <c r="Y1042" i="25"/>
  <c r="Y1043" i="25"/>
  <c r="Y1044" i="25"/>
  <c r="Y1045" i="25"/>
  <c r="Y1046" i="25"/>
  <c r="Y1047" i="25"/>
  <c r="Y1048" i="25"/>
  <c r="Y1049" i="25"/>
  <c r="Y1050" i="25"/>
  <c r="Y1051" i="25"/>
  <c r="Y1052" i="25"/>
  <c r="Y1053" i="25"/>
  <c r="Y1054" i="25"/>
  <c r="Y1055" i="25"/>
  <c r="Y1056" i="25"/>
  <c r="Y1057" i="25"/>
  <c r="Y1058" i="25"/>
  <c r="Y1059" i="25"/>
  <c r="Y1060" i="25"/>
  <c r="Y1061" i="25"/>
  <c r="Y1062" i="25"/>
  <c r="Y1063" i="25"/>
  <c r="Y1064" i="25"/>
  <c r="Y1065" i="25"/>
  <c r="Y1066" i="25"/>
  <c r="Y1067" i="25"/>
  <c r="Y1068" i="25"/>
  <c r="Y1069" i="25"/>
  <c r="Y1070" i="25"/>
  <c r="Y1071" i="25"/>
  <c r="Y1072" i="25"/>
  <c r="Y1073" i="25"/>
  <c r="Y1074" i="25"/>
  <c r="Y1075" i="25"/>
  <c r="Y1076" i="25"/>
  <c r="Y1077" i="25"/>
  <c r="Y1078" i="25"/>
  <c r="Y1079" i="25"/>
  <c r="Y1080" i="25"/>
  <c r="Y1081" i="25"/>
  <c r="Y1082" i="25"/>
  <c r="Y1083" i="25"/>
  <c r="Y1084" i="25"/>
  <c r="Y1085" i="25"/>
  <c r="Y1086" i="25"/>
  <c r="Y1087" i="25"/>
  <c r="Y1088" i="25"/>
  <c r="Y1089" i="25"/>
  <c r="Y1090" i="25"/>
  <c r="Y1091" i="25"/>
  <c r="Y1092" i="25"/>
  <c r="Y1093" i="25"/>
  <c r="Y1094" i="25"/>
  <c r="Y1095" i="25"/>
  <c r="Y1096" i="25"/>
  <c r="Y1097" i="25"/>
  <c r="Y1098" i="25"/>
  <c r="Y1099" i="25"/>
  <c r="Y1100" i="25"/>
  <c r="Y1101" i="25"/>
  <c r="Y1102" i="25"/>
  <c r="Y1103" i="25"/>
  <c r="Y1104" i="25"/>
  <c r="Y1105" i="25"/>
  <c r="Y1106" i="25"/>
  <c r="Y1107" i="25"/>
  <c r="Y1108" i="25"/>
  <c r="Y1109" i="25"/>
  <c r="Y1110" i="25"/>
  <c r="Y1111" i="25"/>
  <c r="Y1112" i="25"/>
  <c r="Y1113" i="25"/>
  <c r="Y1114" i="25"/>
  <c r="Y1115" i="25"/>
  <c r="Y1116" i="25"/>
  <c r="Y1117" i="25"/>
  <c r="Y1118" i="25"/>
  <c r="Y1119" i="25"/>
  <c r="Y1120" i="25"/>
  <c r="Y1121" i="25"/>
  <c r="Y1122" i="25"/>
  <c r="Y1123" i="25"/>
  <c r="Y1124" i="25"/>
  <c r="Y1125" i="25"/>
  <c r="Y1126" i="25"/>
  <c r="Y1127" i="25"/>
  <c r="Y1128" i="25"/>
  <c r="Y1129" i="25"/>
  <c r="Y1130" i="25"/>
  <c r="Y1131" i="25"/>
  <c r="Y1132" i="25"/>
  <c r="Y1133" i="25"/>
  <c r="Y1134" i="25"/>
  <c r="Y1135" i="25"/>
  <c r="Y1136" i="25"/>
  <c r="Y1137" i="25"/>
  <c r="Y1138" i="25"/>
  <c r="Y1139" i="25"/>
  <c r="Y1140" i="25"/>
  <c r="Y1141" i="25"/>
  <c r="Y1142" i="25"/>
  <c r="Y1143" i="25"/>
  <c r="Y1144" i="25"/>
  <c r="Y1145" i="25"/>
  <c r="Y1146" i="25"/>
  <c r="Y1147" i="25"/>
  <c r="Y1148" i="25"/>
  <c r="Y1149" i="25"/>
  <c r="Y1150" i="25"/>
  <c r="Y1151" i="25"/>
  <c r="Y1152" i="25"/>
  <c r="Y1153" i="25"/>
  <c r="Y1154" i="25"/>
  <c r="Y1155" i="25"/>
  <c r="Y1156" i="25"/>
  <c r="Y1157" i="25"/>
  <c r="Y1158" i="25"/>
  <c r="Y1159" i="25"/>
  <c r="Y1160" i="25"/>
  <c r="Y1161" i="25"/>
  <c r="Y1162" i="25"/>
  <c r="Y1163" i="25"/>
  <c r="Y1164" i="25"/>
  <c r="Y1165" i="25"/>
  <c r="Y1166" i="25"/>
  <c r="Y1167" i="25"/>
  <c r="Y1168" i="25"/>
  <c r="Y1169" i="25"/>
  <c r="Y1170" i="25"/>
  <c r="Y1171" i="25"/>
  <c r="Y1172" i="25"/>
  <c r="Y1173" i="25"/>
  <c r="Y1174" i="25"/>
  <c r="Y1175" i="25"/>
  <c r="Y1176" i="25"/>
  <c r="Y1177" i="25"/>
  <c r="Y1178" i="25"/>
  <c r="Y1179" i="25"/>
  <c r="Y1180" i="25"/>
  <c r="Y1181" i="25"/>
  <c r="Y1182" i="25"/>
  <c r="Y1183" i="25"/>
  <c r="Y1184" i="25"/>
  <c r="Y1185" i="25"/>
  <c r="Y1186" i="25"/>
  <c r="Y1187" i="25"/>
  <c r="Y1188" i="25"/>
  <c r="Y1189" i="25"/>
  <c r="Y1190" i="25"/>
  <c r="Y1191" i="25"/>
  <c r="Y1192" i="25"/>
  <c r="Y1193" i="25"/>
  <c r="Y1194" i="25"/>
  <c r="Y1195" i="25"/>
  <c r="Y1196" i="25"/>
  <c r="Y1197" i="25"/>
  <c r="Y1198" i="25"/>
  <c r="Y1199" i="25"/>
  <c r="Y1200" i="25"/>
  <c r="Y1201" i="25"/>
  <c r="Y1202" i="25"/>
  <c r="Y1203" i="25"/>
  <c r="Y1204" i="25"/>
  <c r="Y1205" i="25"/>
  <c r="Y1206" i="25"/>
  <c r="Y1207" i="25"/>
  <c r="Y1208" i="25"/>
  <c r="Y1209" i="25"/>
  <c r="Y1210" i="25"/>
  <c r="Y1211" i="25"/>
  <c r="Y1212" i="25"/>
  <c r="Y1213" i="25"/>
  <c r="Y1214" i="25"/>
  <c r="Y1215" i="25"/>
  <c r="Y1216" i="25"/>
  <c r="Y1217" i="25"/>
  <c r="Y1218" i="25"/>
  <c r="Y1219" i="25"/>
  <c r="Y1220" i="25"/>
  <c r="Y1221" i="25"/>
  <c r="Y1222" i="25"/>
  <c r="Y1223" i="25"/>
  <c r="Y1224" i="25"/>
  <c r="Y1225" i="25"/>
  <c r="Y1226" i="25"/>
  <c r="Y1227" i="25"/>
  <c r="Y1228" i="25"/>
  <c r="Y1229" i="25"/>
  <c r="Y1230" i="25"/>
  <c r="Y1231" i="25"/>
  <c r="Y1232" i="25"/>
  <c r="Y1233" i="25"/>
  <c r="Y1234" i="25"/>
  <c r="Y1235" i="25"/>
  <c r="Y1236" i="25"/>
  <c r="Y1237" i="25"/>
  <c r="Y1238" i="25"/>
  <c r="Y1239" i="25"/>
  <c r="Y1240" i="25"/>
  <c r="Y1241" i="25"/>
  <c r="Y1242" i="25"/>
  <c r="Y1243" i="25"/>
  <c r="Y1244" i="25"/>
  <c r="Y1245" i="25"/>
  <c r="Y1246" i="25"/>
  <c r="Y1247" i="25"/>
  <c r="Y1248" i="25"/>
  <c r="Y1249" i="25"/>
  <c r="Y1250" i="25"/>
  <c r="Y1251" i="25"/>
  <c r="Y1252" i="25"/>
  <c r="Y1253" i="25"/>
  <c r="Y1254" i="25"/>
  <c r="Y1255" i="25"/>
  <c r="Y1256" i="25"/>
  <c r="Y1257" i="25"/>
  <c r="Y1258" i="25"/>
  <c r="Y1259" i="25"/>
  <c r="Y1260" i="25"/>
  <c r="Y1261" i="25"/>
  <c r="Y1262" i="25"/>
  <c r="Y1263" i="25"/>
  <c r="Y1264" i="25"/>
  <c r="Y1265" i="25"/>
  <c r="Y1266" i="25"/>
  <c r="Y1267" i="25"/>
  <c r="Y1268" i="25"/>
  <c r="Y1269" i="25"/>
  <c r="Y1270" i="25"/>
  <c r="Y1271" i="25"/>
  <c r="Y1272" i="25"/>
  <c r="Y1273" i="25"/>
  <c r="Y1274" i="25"/>
  <c r="Y1275" i="25"/>
  <c r="Y1276" i="25"/>
  <c r="Y1277" i="25"/>
  <c r="Y1278" i="25"/>
  <c r="Y1279" i="25"/>
  <c r="Y1280" i="25"/>
  <c r="Y1281" i="25"/>
  <c r="Y1282" i="25"/>
  <c r="Y1283" i="25"/>
  <c r="Y1284" i="25"/>
  <c r="Y1285" i="25"/>
  <c r="Y1286" i="25"/>
  <c r="Y1287" i="25"/>
  <c r="Y1288" i="25"/>
  <c r="Y1289" i="25"/>
  <c r="Y1290" i="25"/>
  <c r="Y1291" i="25"/>
  <c r="Y1292" i="25"/>
  <c r="Y1293" i="25"/>
  <c r="Y1294" i="25"/>
  <c r="Y1295" i="25"/>
  <c r="Y1296" i="25"/>
  <c r="Y1297" i="25"/>
  <c r="Y1298" i="25"/>
  <c r="Y1299" i="25"/>
  <c r="Y1300" i="25"/>
  <c r="Y1301" i="25"/>
  <c r="Y1302" i="25"/>
  <c r="Y1303" i="25"/>
  <c r="Y1304" i="25"/>
  <c r="Y1305" i="25"/>
  <c r="Y1306" i="25"/>
  <c r="Y1307" i="25"/>
  <c r="Y1308" i="25"/>
  <c r="Y1309" i="25"/>
  <c r="Y1310" i="25"/>
  <c r="Y1311" i="25"/>
  <c r="Y1312" i="25"/>
  <c r="Y1313" i="25"/>
  <c r="Y1314" i="25"/>
  <c r="Y1315" i="25"/>
  <c r="Y1316" i="25"/>
  <c r="Y1317" i="25"/>
  <c r="Y1318" i="25"/>
  <c r="Y1319" i="25"/>
  <c r="Y1320" i="25"/>
  <c r="Y1321" i="25"/>
  <c r="Y1322" i="25"/>
  <c r="Y1323" i="25"/>
  <c r="Y1324" i="25"/>
  <c r="Y1325" i="25"/>
  <c r="Y1326" i="25"/>
  <c r="Y1327" i="25"/>
  <c r="Y1328" i="25"/>
  <c r="Y1329" i="25"/>
  <c r="Y1330" i="25"/>
  <c r="Y1331" i="25"/>
  <c r="Y1332" i="25"/>
  <c r="Y1333" i="25"/>
  <c r="Y1334" i="25"/>
  <c r="Y1335" i="25"/>
  <c r="Y1336" i="25"/>
  <c r="Y1337" i="25"/>
  <c r="Y1338" i="25"/>
  <c r="Y1339" i="25"/>
  <c r="Y1340" i="25"/>
  <c r="Y1341" i="25"/>
  <c r="Y1342" i="25"/>
  <c r="Y1343" i="25"/>
  <c r="Y1344" i="25"/>
  <c r="Y1345" i="25"/>
  <c r="Y1346" i="25"/>
  <c r="Y1347" i="25"/>
  <c r="Y1348" i="25"/>
  <c r="Y1349" i="25"/>
  <c r="Y1350" i="25"/>
  <c r="Y1351" i="25"/>
  <c r="Y1352" i="25"/>
  <c r="Y1353" i="25"/>
  <c r="Y1354" i="25"/>
  <c r="Y1355" i="25"/>
  <c r="Y1356" i="25"/>
  <c r="Y1357" i="25"/>
  <c r="Y1358" i="25"/>
  <c r="Y1359" i="25"/>
  <c r="Y1360" i="25"/>
  <c r="Y1361" i="25"/>
  <c r="Y1362" i="25"/>
  <c r="Y1363" i="25"/>
  <c r="Y1364" i="25"/>
  <c r="Y1365" i="25"/>
  <c r="Y1366" i="25"/>
  <c r="Y1367" i="25"/>
  <c r="Y1368" i="25"/>
  <c r="Y1369" i="25"/>
  <c r="Y1370" i="25"/>
  <c r="Y1371" i="25"/>
  <c r="Y1372" i="25"/>
  <c r="Y1373" i="25"/>
  <c r="Y1374" i="25"/>
  <c r="Y1375" i="25"/>
  <c r="Y1376" i="25"/>
  <c r="Y1377" i="25"/>
  <c r="Y1378" i="25"/>
  <c r="Y1379" i="25"/>
  <c r="Y1380" i="25"/>
  <c r="Y1381" i="25"/>
  <c r="Y1382" i="25"/>
  <c r="Y1383" i="25"/>
  <c r="Y1384" i="25"/>
  <c r="Y1385" i="25"/>
  <c r="Y1386" i="25"/>
  <c r="Y1387" i="25"/>
  <c r="Y1388" i="25"/>
  <c r="Y1389" i="25"/>
  <c r="Y1390" i="25"/>
  <c r="Y1391" i="25"/>
  <c r="Y1392" i="25"/>
  <c r="Y1393" i="25"/>
  <c r="Y1394" i="25"/>
  <c r="Y1395" i="25"/>
  <c r="Y1396" i="25"/>
  <c r="Y1397" i="25"/>
  <c r="Y1398" i="25"/>
  <c r="Y1399" i="25"/>
  <c r="Y1400" i="25"/>
  <c r="Y1401" i="25"/>
  <c r="Y1402" i="25"/>
  <c r="Y1403" i="25"/>
  <c r="Y1404" i="25"/>
  <c r="Y1405" i="25"/>
  <c r="Y1406" i="25"/>
  <c r="Y1407" i="25"/>
  <c r="Y1408" i="25"/>
  <c r="Y1409" i="25"/>
  <c r="Y1410" i="25"/>
  <c r="Y1411" i="25"/>
  <c r="Y1412" i="25"/>
  <c r="Y1413" i="25"/>
  <c r="Y1414" i="25"/>
  <c r="Y1415" i="25"/>
  <c r="Y1416" i="25"/>
  <c r="Y1417" i="25"/>
  <c r="Y1418" i="25"/>
  <c r="Y1419" i="25"/>
  <c r="Y1420" i="25"/>
  <c r="Y1421" i="25"/>
  <c r="Y1422" i="25"/>
  <c r="Y1423" i="25"/>
  <c r="Y1424" i="25"/>
  <c r="Y1425" i="25"/>
  <c r="Y1426" i="25"/>
  <c r="Y1427" i="25"/>
  <c r="Y1428" i="25"/>
  <c r="Y1429" i="25"/>
  <c r="Y1430" i="25"/>
  <c r="Y1431" i="25"/>
  <c r="Y1432" i="25"/>
  <c r="Y1433" i="25"/>
  <c r="Y1434" i="25"/>
  <c r="Y1435" i="25"/>
  <c r="Y1436" i="25"/>
  <c r="Y1437" i="25"/>
  <c r="Y1438" i="25"/>
  <c r="Y1439" i="25"/>
  <c r="Y1440" i="25"/>
  <c r="Y1441" i="25"/>
  <c r="Y1442" i="25"/>
  <c r="Y1443" i="25"/>
  <c r="Y1444" i="25"/>
  <c r="Y1445" i="25"/>
  <c r="Y1446" i="25"/>
  <c r="Y1447" i="25"/>
  <c r="Y1448" i="25"/>
  <c r="Y1449" i="25"/>
  <c r="Y1450" i="25"/>
  <c r="Y1451" i="25"/>
  <c r="Y1452" i="25"/>
  <c r="Y1453" i="25"/>
  <c r="Y1454" i="25"/>
  <c r="Y1455" i="25"/>
  <c r="Y1456" i="25"/>
  <c r="Y1457" i="25"/>
  <c r="Y1458" i="25"/>
  <c r="Y1459" i="25"/>
  <c r="Y1460" i="25"/>
  <c r="Y1461" i="25"/>
  <c r="Y1462" i="25"/>
  <c r="Y1463" i="25"/>
  <c r="Y1464" i="25"/>
  <c r="Y1465" i="25"/>
  <c r="Y1466" i="25"/>
  <c r="Y1467" i="25"/>
  <c r="Y1468" i="25"/>
  <c r="Y1469" i="25"/>
  <c r="Y1470" i="25"/>
  <c r="Y1471" i="25"/>
  <c r="Y1472" i="25"/>
  <c r="Y1473" i="25"/>
  <c r="Y1474" i="25"/>
  <c r="Y1475" i="25"/>
  <c r="Y1476" i="25"/>
  <c r="Y1477" i="25"/>
  <c r="Y1478" i="25"/>
  <c r="Y1479" i="25"/>
  <c r="Y1480" i="25"/>
  <c r="Y1481" i="25"/>
  <c r="Y1482" i="25"/>
  <c r="Y1483" i="25"/>
  <c r="Y1484" i="25"/>
  <c r="Y1485" i="25"/>
  <c r="Y1486" i="25"/>
  <c r="Y1487" i="25"/>
  <c r="Y1488" i="25"/>
  <c r="Y1489" i="25"/>
  <c r="Y1490" i="25"/>
  <c r="Y1491" i="25"/>
  <c r="Y1492" i="25"/>
  <c r="Y1493" i="25"/>
  <c r="Y1494" i="25"/>
  <c r="Y1495" i="25"/>
  <c r="Y1496" i="25"/>
  <c r="Y1497" i="25"/>
  <c r="Y1498" i="25"/>
  <c r="Y1499" i="25"/>
  <c r="Y1500" i="25"/>
  <c r="Y1501" i="25"/>
  <c r="Y1502" i="25"/>
  <c r="Y1503" i="25"/>
  <c r="Y1504" i="25"/>
  <c r="Y1505" i="25"/>
  <c r="Y1506" i="25"/>
  <c r="Y1507" i="25"/>
  <c r="Y1508" i="25"/>
  <c r="Y1509" i="25"/>
  <c r="Y1510" i="25"/>
  <c r="Y1511" i="25"/>
  <c r="Y1512" i="25"/>
  <c r="Y1513" i="25"/>
  <c r="Y1514" i="25"/>
  <c r="Y1515" i="25"/>
  <c r="Y1516" i="25"/>
  <c r="Y1517" i="25"/>
  <c r="Y1518" i="25"/>
  <c r="Y1519" i="25"/>
  <c r="Y1520" i="25"/>
  <c r="Y1521" i="25"/>
  <c r="Y1522" i="25"/>
  <c r="Y1523" i="25"/>
  <c r="Y1524" i="25"/>
  <c r="Y1525" i="25"/>
  <c r="Y1526" i="25"/>
  <c r="Y1527" i="25"/>
  <c r="Y1528" i="25"/>
  <c r="Y1529" i="25"/>
  <c r="Y1530" i="25"/>
  <c r="Y1531" i="25"/>
  <c r="Y1532" i="25"/>
  <c r="Y1533" i="25"/>
  <c r="Y1534" i="25"/>
  <c r="Y1535" i="25"/>
  <c r="Y1536" i="25"/>
  <c r="Y1537" i="25"/>
  <c r="Y1538" i="25"/>
  <c r="Y1539" i="25"/>
  <c r="Y1540" i="25"/>
  <c r="Y1541" i="25"/>
  <c r="Y1542" i="25"/>
  <c r="Y1543" i="25"/>
  <c r="Y1544" i="25"/>
  <c r="Y1545" i="25"/>
  <c r="Y1546" i="25"/>
  <c r="Y1547" i="25"/>
  <c r="Y1548" i="25"/>
  <c r="Y1549" i="25"/>
  <c r="Y1550" i="25"/>
  <c r="Y1551" i="25"/>
  <c r="Y1552" i="25"/>
  <c r="Y1553" i="25"/>
  <c r="Y1554" i="25"/>
  <c r="Y1555" i="25"/>
  <c r="Y1556" i="25"/>
  <c r="Y1557" i="25"/>
  <c r="Y1558" i="25"/>
  <c r="Y1559" i="25"/>
  <c r="Y1560" i="25"/>
  <c r="Y1561" i="25"/>
  <c r="Y1562" i="25"/>
  <c r="Y1563" i="25"/>
  <c r="Y1564" i="25"/>
  <c r="Y1565" i="25"/>
  <c r="Y1566" i="25"/>
  <c r="Y1567" i="25"/>
  <c r="Y1568" i="25"/>
  <c r="Y1569" i="25"/>
  <c r="Y1570" i="25"/>
  <c r="Y1571" i="25"/>
  <c r="Y1572" i="25"/>
  <c r="Y1573" i="25"/>
  <c r="Y1574" i="25"/>
  <c r="Y1575" i="25"/>
  <c r="Y1576" i="25"/>
  <c r="Y1577" i="25"/>
  <c r="Y1578" i="25"/>
  <c r="Y1579" i="25"/>
  <c r="Y1580" i="25"/>
  <c r="Y1581" i="25"/>
  <c r="Y1582" i="25"/>
  <c r="Y1583" i="25"/>
  <c r="Y1584" i="25"/>
  <c r="Y1585" i="25"/>
  <c r="Y1586" i="25"/>
  <c r="Y1587" i="25"/>
  <c r="Y1588" i="25"/>
  <c r="Y1589" i="25"/>
  <c r="Y1590" i="25"/>
  <c r="Y1591" i="25"/>
  <c r="Y1592" i="25"/>
  <c r="Y1593" i="25"/>
  <c r="Y1594" i="25"/>
  <c r="Y1595" i="25"/>
  <c r="Y1596" i="25"/>
  <c r="Y1597" i="25"/>
  <c r="Y1598" i="25"/>
  <c r="Y1599" i="25"/>
  <c r="AA1599" i="25"/>
  <c r="X1599" i="25"/>
  <c r="AC1599" i="25"/>
  <c r="Z8" i="25"/>
  <c r="Z9" i="25"/>
  <c r="Z10" i="25"/>
  <c r="Z11" i="25"/>
  <c r="Z12" i="25"/>
  <c r="Z13" i="25"/>
  <c r="Z14" i="25"/>
  <c r="Z15" i="25"/>
  <c r="Z16" i="25"/>
  <c r="Z17" i="25"/>
  <c r="Z18" i="25"/>
  <c r="Z19" i="25"/>
  <c r="Z20" i="25"/>
  <c r="Z21" i="25"/>
  <c r="Z22" i="25"/>
  <c r="Z23" i="25"/>
  <c r="Z24" i="25"/>
  <c r="Z25" i="25"/>
  <c r="Z26" i="25"/>
  <c r="Z27" i="25"/>
  <c r="Z28" i="25"/>
  <c r="Z29" i="25"/>
  <c r="Z30" i="25"/>
  <c r="Z31" i="25"/>
  <c r="Z32" i="25"/>
  <c r="Z33" i="25"/>
  <c r="Z34" i="25"/>
  <c r="Z35" i="25"/>
  <c r="Z36" i="25"/>
  <c r="Z37" i="25"/>
  <c r="Z38" i="25"/>
  <c r="Z39" i="25"/>
  <c r="Z40" i="25"/>
  <c r="Z41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0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80" i="25"/>
  <c r="Z81" i="25"/>
  <c r="Z82" i="25"/>
  <c r="Z83" i="25"/>
  <c r="Z84" i="25"/>
  <c r="Z85" i="25"/>
  <c r="Z86" i="25"/>
  <c r="Z87" i="25"/>
  <c r="Z88" i="25"/>
  <c r="Z89" i="25"/>
  <c r="Z90" i="25"/>
  <c r="Z91" i="25"/>
  <c r="Z92" i="25"/>
  <c r="Z93" i="25"/>
  <c r="Z94" i="25"/>
  <c r="Z95" i="25"/>
  <c r="Z96" i="25"/>
  <c r="Z97" i="25"/>
  <c r="Z98" i="25"/>
  <c r="Z99" i="25"/>
  <c r="Z100" i="25"/>
  <c r="Z101" i="25"/>
  <c r="Z102" i="25"/>
  <c r="Z103" i="25"/>
  <c r="Z104" i="25"/>
  <c r="Z105" i="25"/>
  <c r="Z106" i="25"/>
  <c r="Z107" i="25"/>
  <c r="Z108" i="25"/>
  <c r="Z109" i="25"/>
  <c r="Z110" i="25"/>
  <c r="Z111" i="25"/>
  <c r="Z112" i="25"/>
  <c r="Z113" i="25"/>
  <c r="Z114" i="25"/>
  <c r="Z115" i="25"/>
  <c r="Z116" i="25"/>
  <c r="Z117" i="25"/>
  <c r="Z118" i="25"/>
  <c r="Z119" i="25"/>
  <c r="Z120" i="25"/>
  <c r="Z121" i="25"/>
  <c r="Z122" i="25"/>
  <c r="Z123" i="25"/>
  <c r="Z124" i="25"/>
  <c r="Z125" i="25"/>
  <c r="Z126" i="25"/>
  <c r="Z127" i="25"/>
  <c r="Z128" i="25"/>
  <c r="Z129" i="25"/>
  <c r="Z130" i="25"/>
  <c r="Z131" i="25"/>
  <c r="Z132" i="25"/>
  <c r="Z133" i="25"/>
  <c r="Z134" i="25"/>
  <c r="Z135" i="25"/>
  <c r="Z136" i="25"/>
  <c r="Z137" i="25"/>
  <c r="Z138" i="25"/>
  <c r="Z139" i="25"/>
  <c r="Z140" i="25"/>
  <c r="Z141" i="25"/>
  <c r="Z142" i="25"/>
  <c r="Z143" i="25"/>
  <c r="Z144" i="25"/>
  <c r="Z145" i="25"/>
  <c r="Z146" i="25"/>
  <c r="Z147" i="25"/>
  <c r="Z148" i="25"/>
  <c r="Z149" i="25"/>
  <c r="Z150" i="25"/>
  <c r="Z151" i="25"/>
  <c r="Z152" i="25"/>
  <c r="Z153" i="25"/>
  <c r="Z154" i="25"/>
  <c r="Z155" i="25"/>
  <c r="Z156" i="25"/>
  <c r="Z157" i="25"/>
  <c r="Z158" i="25"/>
  <c r="Z159" i="25"/>
  <c r="Z160" i="25"/>
  <c r="Z161" i="25"/>
  <c r="Z162" i="25"/>
  <c r="Z163" i="25"/>
  <c r="Z164" i="25"/>
  <c r="Z165" i="25"/>
  <c r="Z166" i="25"/>
  <c r="Z167" i="25"/>
  <c r="Z168" i="25"/>
  <c r="Z169" i="25"/>
  <c r="Z170" i="25"/>
  <c r="Z171" i="25"/>
  <c r="Z172" i="25"/>
  <c r="Z173" i="25"/>
  <c r="Z174" i="25"/>
  <c r="Z175" i="25"/>
  <c r="Z176" i="25"/>
  <c r="Z177" i="25"/>
  <c r="Z178" i="25"/>
  <c r="Z179" i="25"/>
  <c r="Z180" i="25"/>
  <c r="Z181" i="25"/>
  <c r="Z182" i="25"/>
  <c r="Z183" i="25"/>
  <c r="Z184" i="25"/>
  <c r="Z185" i="25"/>
  <c r="Z186" i="25"/>
  <c r="Z187" i="25"/>
  <c r="Z188" i="25"/>
  <c r="Z189" i="25"/>
  <c r="Z190" i="25"/>
  <c r="Z191" i="25"/>
  <c r="Z192" i="25"/>
  <c r="Z193" i="25"/>
  <c r="Z194" i="25"/>
  <c r="Z195" i="25"/>
  <c r="Z196" i="25"/>
  <c r="Z197" i="25"/>
  <c r="Z198" i="25"/>
  <c r="Z199" i="25"/>
  <c r="Z200" i="25"/>
  <c r="Z201" i="25"/>
  <c r="Z202" i="25"/>
  <c r="Z203" i="25"/>
  <c r="Z204" i="25"/>
  <c r="Z205" i="25"/>
  <c r="Z206" i="25"/>
  <c r="Z207" i="25"/>
  <c r="Z208" i="25"/>
  <c r="Z209" i="25"/>
  <c r="Z210" i="25"/>
  <c r="Z211" i="25"/>
  <c r="Z212" i="25"/>
  <c r="Z213" i="25"/>
  <c r="Z214" i="25"/>
  <c r="Z215" i="25"/>
  <c r="Z216" i="25"/>
  <c r="Z217" i="25"/>
  <c r="Z218" i="25"/>
  <c r="Z219" i="25"/>
  <c r="Z220" i="25"/>
  <c r="Z221" i="25"/>
  <c r="Z222" i="25"/>
  <c r="Z223" i="25"/>
  <c r="Z224" i="25"/>
  <c r="Z225" i="25"/>
  <c r="Z226" i="25"/>
  <c r="Z227" i="25"/>
  <c r="Z228" i="25"/>
  <c r="Z229" i="25"/>
  <c r="Z230" i="25"/>
  <c r="Z231" i="25"/>
  <c r="Z232" i="25"/>
  <c r="Z233" i="25"/>
  <c r="Z234" i="25"/>
  <c r="Z235" i="25"/>
  <c r="Z236" i="25"/>
  <c r="Z237" i="25"/>
  <c r="Z238" i="25"/>
  <c r="Z239" i="25"/>
  <c r="Z240" i="25"/>
  <c r="Z241" i="25"/>
  <c r="Z242" i="25"/>
  <c r="Z243" i="25"/>
  <c r="Z244" i="25"/>
  <c r="Z245" i="25"/>
  <c r="Z246" i="25"/>
  <c r="Z247" i="25"/>
  <c r="Z248" i="25"/>
  <c r="Z249" i="25"/>
  <c r="Z250" i="25"/>
  <c r="Z251" i="25"/>
  <c r="Z252" i="25"/>
  <c r="Z253" i="25"/>
  <c r="Z254" i="25"/>
  <c r="Z255" i="25"/>
  <c r="Z256" i="25"/>
  <c r="Z257" i="25"/>
  <c r="Z258" i="25"/>
  <c r="Z259" i="25"/>
  <c r="Z260" i="25"/>
  <c r="Z261" i="25"/>
  <c r="Z262" i="25"/>
  <c r="Z263" i="25"/>
  <c r="Z264" i="25"/>
  <c r="Z265" i="25"/>
  <c r="Z266" i="25"/>
  <c r="Z267" i="25"/>
  <c r="Z268" i="25"/>
  <c r="Z269" i="25"/>
  <c r="Z270" i="25"/>
  <c r="Z271" i="25"/>
  <c r="Z272" i="25"/>
  <c r="Z273" i="25"/>
  <c r="Z274" i="25"/>
  <c r="Z275" i="25"/>
  <c r="Z276" i="25"/>
  <c r="Z277" i="25"/>
  <c r="Z278" i="25"/>
  <c r="Z279" i="25"/>
  <c r="Z280" i="25"/>
  <c r="Z281" i="25"/>
  <c r="Z282" i="25"/>
  <c r="Z283" i="25"/>
  <c r="Z284" i="25"/>
  <c r="Z285" i="25"/>
  <c r="Z286" i="25"/>
  <c r="Z287" i="25"/>
  <c r="Z288" i="25"/>
  <c r="Z289" i="25"/>
  <c r="Z290" i="25"/>
  <c r="Z291" i="25"/>
  <c r="Z292" i="25"/>
  <c r="Z293" i="25"/>
  <c r="Z294" i="25"/>
  <c r="Z295" i="25"/>
  <c r="Z296" i="25"/>
  <c r="Z297" i="25"/>
  <c r="Z298" i="25"/>
  <c r="Z299" i="25"/>
  <c r="Z300" i="25"/>
  <c r="Z301" i="25"/>
  <c r="Z302" i="25"/>
  <c r="Z303" i="25"/>
  <c r="Z304" i="25"/>
  <c r="Z305" i="25"/>
  <c r="Z306" i="25"/>
  <c r="Z307" i="25"/>
  <c r="Z308" i="25"/>
  <c r="Z309" i="25"/>
  <c r="Z310" i="25"/>
  <c r="Z311" i="25"/>
  <c r="Z312" i="25"/>
  <c r="Z313" i="25"/>
  <c r="Z314" i="25"/>
  <c r="Z315" i="25"/>
  <c r="Z316" i="25"/>
  <c r="Z317" i="25"/>
  <c r="Z318" i="25"/>
  <c r="Z319" i="25"/>
  <c r="Z320" i="25"/>
  <c r="Z321" i="25"/>
  <c r="Z322" i="25"/>
  <c r="Z323" i="25"/>
  <c r="Z324" i="25"/>
  <c r="Z325" i="25"/>
  <c r="Z326" i="25"/>
  <c r="Z327" i="25"/>
  <c r="Z328" i="25"/>
  <c r="Z329" i="25"/>
  <c r="Z330" i="25"/>
  <c r="Z331" i="25"/>
  <c r="Z332" i="25"/>
  <c r="Z333" i="25"/>
  <c r="Z334" i="25"/>
  <c r="Z335" i="25"/>
  <c r="Z336" i="25"/>
  <c r="Z337" i="25"/>
  <c r="Z338" i="25"/>
  <c r="Z339" i="25"/>
  <c r="Z340" i="25"/>
  <c r="Z341" i="25"/>
  <c r="Z342" i="25"/>
  <c r="Z343" i="25"/>
  <c r="Z344" i="25"/>
  <c r="Z345" i="25"/>
  <c r="Z346" i="25"/>
  <c r="Z347" i="25"/>
  <c r="Z348" i="25"/>
  <c r="Z349" i="25"/>
  <c r="Z350" i="25"/>
  <c r="Z351" i="25"/>
  <c r="Z352" i="25"/>
  <c r="Z353" i="25"/>
  <c r="Z354" i="25"/>
  <c r="Z355" i="25"/>
  <c r="Z356" i="25"/>
  <c r="Z357" i="25"/>
  <c r="Z358" i="25"/>
  <c r="Z359" i="25"/>
  <c r="Z360" i="25"/>
  <c r="Z361" i="25"/>
  <c r="Z362" i="25"/>
  <c r="Z363" i="25"/>
  <c r="Z364" i="25"/>
  <c r="Z365" i="25"/>
  <c r="Z366" i="25"/>
  <c r="Z367" i="25"/>
  <c r="Z368" i="25"/>
  <c r="Z369" i="25"/>
  <c r="Z370" i="25"/>
  <c r="Z371" i="25"/>
  <c r="Z372" i="25"/>
  <c r="Z373" i="25"/>
  <c r="Z374" i="25"/>
  <c r="Z375" i="25"/>
  <c r="Z376" i="25"/>
  <c r="Z377" i="25"/>
  <c r="Z378" i="25"/>
  <c r="Z379" i="25"/>
  <c r="Z380" i="25"/>
  <c r="Z381" i="25"/>
  <c r="Z382" i="25"/>
  <c r="Z383" i="25"/>
  <c r="Z384" i="25"/>
  <c r="Z385" i="25"/>
  <c r="Z386" i="25"/>
  <c r="Z387" i="25"/>
  <c r="Z388" i="25"/>
  <c r="Z389" i="25"/>
  <c r="Z390" i="25"/>
  <c r="Z391" i="25"/>
  <c r="Z392" i="25"/>
  <c r="Z393" i="25"/>
  <c r="Z394" i="25"/>
  <c r="Z395" i="25"/>
  <c r="Z396" i="25"/>
  <c r="Z397" i="25"/>
  <c r="Z398" i="25"/>
  <c r="Z399" i="25"/>
  <c r="Z400" i="25"/>
  <c r="Z401" i="25"/>
  <c r="Z402" i="25"/>
  <c r="Z403" i="25"/>
  <c r="Z404" i="25"/>
  <c r="Z405" i="25"/>
  <c r="Z406" i="25"/>
  <c r="Z407" i="25"/>
  <c r="Z408" i="25"/>
  <c r="Z409" i="25"/>
  <c r="Z410" i="25"/>
  <c r="Z411" i="25"/>
  <c r="Z412" i="25"/>
  <c r="Z413" i="25"/>
  <c r="Z414" i="25"/>
  <c r="Z415" i="25"/>
  <c r="Z416" i="25"/>
  <c r="Z417" i="25"/>
  <c r="Z418" i="25"/>
  <c r="Z419" i="25"/>
  <c r="Z420" i="25"/>
  <c r="Z421" i="25"/>
  <c r="Z422" i="25"/>
  <c r="Z423" i="25"/>
  <c r="Z424" i="25"/>
  <c r="Z425" i="25"/>
  <c r="Z426" i="25"/>
  <c r="Z427" i="25"/>
  <c r="Z428" i="25"/>
  <c r="Z429" i="25"/>
  <c r="Z430" i="25"/>
  <c r="Z431" i="25"/>
  <c r="Z432" i="25"/>
  <c r="Z433" i="25"/>
  <c r="Z434" i="25"/>
  <c r="Z435" i="25"/>
  <c r="Z436" i="25"/>
  <c r="Z437" i="25"/>
  <c r="Z438" i="25"/>
  <c r="Z439" i="25"/>
  <c r="Z440" i="25"/>
  <c r="Z441" i="25"/>
  <c r="Z442" i="25"/>
  <c r="Z443" i="25"/>
  <c r="Z444" i="25"/>
  <c r="Z445" i="25"/>
  <c r="Z446" i="25"/>
  <c r="Z447" i="25"/>
  <c r="Z448" i="25"/>
  <c r="Z449" i="25"/>
  <c r="Z450" i="25"/>
  <c r="Z451" i="25"/>
  <c r="Z452" i="25"/>
  <c r="Z453" i="25"/>
  <c r="Z454" i="25"/>
  <c r="Z455" i="25"/>
  <c r="Z456" i="25"/>
  <c r="Z457" i="25"/>
  <c r="Z458" i="25"/>
  <c r="Z459" i="25"/>
  <c r="Z460" i="25"/>
  <c r="Z461" i="25"/>
  <c r="Z462" i="25"/>
  <c r="Z463" i="25"/>
  <c r="Z464" i="25"/>
  <c r="Z465" i="25"/>
  <c r="Z466" i="25"/>
  <c r="Z467" i="25"/>
  <c r="Z468" i="25"/>
  <c r="Z469" i="25"/>
  <c r="Z470" i="25"/>
  <c r="Z471" i="25"/>
  <c r="Z472" i="25"/>
  <c r="Z473" i="25"/>
  <c r="Z474" i="25"/>
  <c r="Z475" i="25"/>
  <c r="Z476" i="25"/>
  <c r="Z477" i="25"/>
  <c r="Z478" i="25"/>
  <c r="Z479" i="25"/>
  <c r="Z480" i="25"/>
  <c r="Z481" i="25"/>
  <c r="Z482" i="25"/>
  <c r="Z483" i="25"/>
  <c r="Z484" i="25"/>
  <c r="Z485" i="25"/>
  <c r="Z486" i="25"/>
  <c r="Z487" i="25"/>
  <c r="Z488" i="25"/>
  <c r="Z489" i="25"/>
  <c r="Z490" i="25"/>
  <c r="Z491" i="25"/>
  <c r="Z492" i="25"/>
  <c r="Z493" i="25"/>
  <c r="Z494" i="25"/>
  <c r="Z495" i="25"/>
  <c r="Z496" i="25"/>
  <c r="Z497" i="25"/>
  <c r="Z498" i="25"/>
  <c r="Z499" i="25"/>
  <c r="Z500" i="25"/>
  <c r="Z501" i="25"/>
  <c r="Z502" i="25"/>
  <c r="Z503" i="25"/>
  <c r="Z504" i="25"/>
  <c r="Z505" i="25"/>
  <c r="Z506" i="25"/>
  <c r="Z507" i="25"/>
  <c r="Z508" i="25"/>
  <c r="Z509" i="25"/>
  <c r="Z510" i="25"/>
  <c r="Z511" i="25"/>
  <c r="Z512" i="25"/>
  <c r="Z513" i="25"/>
  <c r="Z514" i="25"/>
  <c r="Z515" i="25"/>
  <c r="Z516" i="25"/>
  <c r="Z517" i="25"/>
  <c r="Z518" i="25"/>
  <c r="Z519" i="25"/>
  <c r="Z520" i="25"/>
  <c r="Z521" i="25"/>
  <c r="Z522" i="25"/>
  <c r="Z523" i="25"/>
  <c r="Z524" i="25"/>
  <c r="Z525" i="25"/>
  <c r="Z526" i="25"/>
  <c r="Z527" i="25"/>
  <c r="Z528" i="25"/>
  <c r="Z529" i="25"/>
  <c r="Z530" i="25"/>
  <c r="Z531" i="25"/>
  <c r="Z532" i="25"/>
  <c r="Z533" i="25"/>
  <c r="Z534" i="25"/>
  <c r="Z535" i="25"/>
  <c r="Z536" i="25"/>
  <c r="Z537" i="25"/>
  <c r="Z538" i="25"/>
  <c r="Z539" i="25"/>
  <c r="Z540" i="25"/>
  <c r="Z541" i="25"/>
  <c r="Z542" i="25"/>
  <c r="Z543" i="25"/>
  <c r="Z544" i="25"/>
  <c r="Z545" i="25"/>
  <c r="Z546" i="25"/>
  <c r="Z547" i="25"/>
  <c r="Z548" i="25"/>
  <c r="Z549" i="25"/>
  <c r="Z550" i="25"/>
  <c r="Z551" i="25"/>
  <c r="Z552" i="25"/>
  <c r="Z553" i="25"/>
  <c r="Z554" i="25"/>
  <c r="Z555" i="25"/>
  <c r="Z556" i="25"/>
  <c r="Z557" i="25"/>
  <c r="Z558" i="25"/>
  <c r="Z559" i="25"/>
  <c r="Z560" i="25"/>
  <c r="Z561" i="25"/>
  <c r="Z562" i="25"/>
  <c r="Z563" i="25"/>
  <c r="Z564" i="25"/>
  <c r="Z565" i="25"/>
  <c r="Z566" i="25"/>
  <c r="Z567" i="25"/>
  <c r="Z568" i="25"/>
  <c r="Z569" i="25"/>
  <c r="Z570" i="25"/>
  <c r="Z571" i="25"/>
  <c r="Z572" i="25"/>
  <c r="Z573" i="25"/>
  <c r="Z574" i="25"/>
  <c r="Z575" i="25"/>
  <c r="Z576" i="25"/>
  <c r="Z577" i="25"/>
  <c r="Z578" i="25"/>
  <c r="Z579" i="25"/>
  <c r="Z580" i="25"/>
  <c r="Z581" i="25"/>
  <c r="Z582" i="25"/>
  <c r="Z583" i="25"/>
  <c r="Z584" i="25"/>
  <c r="Z585" i="25"/>
  <c r="Z586" i="25"/>
  <c r="Z587" i="25"/>
  <c r="Z588" i="25"/>
  <c r="Z589" i="25"/>
  <c r="Z590" i="25"/>
  <c r="Z591" i="25"/>
  <c r="Z592" i="25"/>
  <c r="Z593" i="25"/>
  <c r="Z594" i="25"/>
  <c r="Z595" i="25"/>
  <c r="Z596" i="25"/>
  <c r="Z597" i="25"/>
  <c r="Z598" i="25"/>
  <c r="Z599" i="25"/>
  <c r="Z600" i="25"/>
  <c r="Z601" i="25"/>
  <c r="Z602" i="25"/>
  <c r="Z603" i="25"/>
  <c r="Z604" i="25"/>
  <c r="Z605" i="25"/>
  <c r="Z606" i="25"/>
  <c r="Z607" i="25"/>
  <c r="Z608" i="25"/>
  <c r="Z609" i="25"/>
  <c r="Z610" i="25"/>
  <c r="Z611" i="25"/>
  <c r="Z612" i="25"/>
  <c r="Z613" i="25"/>
  <c r="Z614" i="25"/>
  <c r="Z615" i="25"/>
  <c r="Z616" i="25"/>
  <c r="Z617" i="25"/>
  <c r="Z618" i="25"/>
  <c r="Z619" i="25"/>
  <c r="Z620" i="25"/>
  <c r="Z621" i="25"/>
  <c r="Z622" i="25"/>
  <c r="Z623" i="25"/>
  <c r="Z624" i="25"/>
  <c r="Z625" i="25"/>
  <c r="Z626" i="25"/>
  <c r="Z627" i="25"/>
  <c r="Z628" i="25"/>
  <c r="Z629" i="25"/>
  <c r="Z630" i="25"/>
  <c r="Z631" i="25"/>
  <c r="Z632" i="25"/>
  <c r="Z633" i="25"/>
  <c r="Z634" i="25"/>
  <c r="Z635" i="25"/>
  <c r="Z636" i="25"/>
  <c r="Z637" i="25"/>
  <c r="Z638" i="25"/>
  <c r="Z639" i="25"/>
  <c r="Z640" i="25"/>
  <c r="Z641" i="25"/>
  <c r="Z642" i="25"/>
  <c r="Z643" i="25"/>
  <c r="Z644" i="25"/>
  <c r="Z645" i="25"/>
  <c r="Z646" i="25"/>
  <c r="Z647" i="25"/>
  <c r="Z648" i="25"/>
  <c r="Z649" i="25"/>
  <c r="Z650" i="25"/>
  <c r="Z651" i="25"/>
  <c r="Z652" i="25"/>
  <c r="Z653" i="25"/>
  <c r="Z654" i="25"/>
  <c r="Z655" i="25"/>
  <c r="Z656" i="25"/>
  <c r="Z657" i="25"/>
  <c r="Z658" i="25"/>
  <c r="Z659" i="25"/>
  <c r="Z660" i="25"/>
  <c r="Z661" i="25"/>
  <c r="Z662" i="25"/>
  <c r="Z663" i="25"/>
  <c r="Z664" i="25"/>
  <c r="Z665" i="25"/>
  <c r="Z666" i="25"/>
  <c r="Z667" i="25"/>
  <c r="Z668" i="25"/>
  <c r="Z669" i="25"/>
  <c r="Z670" i="25"/>
  <c r="Z671" i="25"/>
  <c r="Z672" i="25"/>
  <c r="Z673" i="25"/>
  <c r="Z674" i="25"/>
  <c r="Z675" i="25"/>
  <c r="Z676" i="25"/>
  <c r="Z677" i="25"/>
  <c r="Z678" i="25"/>
  <c r="Z679" i="25"/>
  <c r="Z680" i="25"/>
  <c r="Z681" i="25"/>
  <c r="Z682" i="25"/>
  <c r="Z683" i="25"/>
  <c r="Z684" i="25"/>
  <c r="Z685" i="25"/>
  <c r="Z686" i="25"/>
  <c r="Z687" i="25"/>
  <c r="Z688" i="25"/>
  <c r="Z689" i="25"/>
  <c r="Z690" i="25"/>
  <c r="Z691" i="25"/>
  <c r="Z692" i="25"/>
  <c r="Z693" i="25"/>
  <c r="Z694" i="25"/>
  <c r="Z695" i="25"/>
  <c r="Z696" i="25"/>
  <c r="Z697" i="25"/>
  <c r="Z698" i="25"/>
  <c r="Z699" i="25"/>
  <c r="Z700" i="25"/>
  <c r="Z701" i="25"/>
  <c r="Z702" i="25"/>
  <c r="Z703" i="25"/>
  <c r="Z704" i="25"/>
  <c r="Z705" i="25"/>
  <c r="Z706" i="25"/>
  <c r="Z707" i="25"/>
  <c r="Z708" i="25"/>
  <c r="Z709" i="25"/>
  <c r="Z710" i="25"/>
  <c r="Z711" i="25"/>
  <c r="Z712" i="25"/>
  <c r="Z713" i="25"/>
  <c r="Z714" i="25"/>
  <c r="Z715" i="25"/>
  <c r="Z716" i="25"/>
  <c r="Z717" i="25"/>
  <c r="Z718" i="25"/>
  <c r="Z719" i="25"/>
  <c r="Z720" i="25"/>
  <c r="Z721" i="25"/>
  <c r="Z722" i="25"/>
  <c r="Z723" i="25"/>
  <c r="Z724" i="25"/>
  <c r="Z725" i="25"/>
  <c r="Z726" i="25"/>
  <c r="Z727" i="25"/>
  <c r="Z728" i="25"/>
  <c r="Z729" i="25"/>
  <c r="Z730" i="25"/>
  <c r="Z731" i="25"/>
  <c r="Z732" i="25"/>
  <c r="Z733" i="25"/>
  <c r="Z734" i="25"/>
  <c r="Z735" i="25"/>
  <c r="Z736" i="25"/>
  <c r="Z737" i="25"/>
  <c r="Z738" i="25"/>
  <c r="Z739" i="25"/>
  <c r="Z740" i="25"/>
  <c r="Z741" i="25"/>
  <c r="Z742" i="25"/>
  <c r="Z743" i="25"/>
  <c r="Z744" i="25"/>
  <c r="Z745" i="25"/>
  <c r="Z746" i="25"/>
  <c r="Z747" i="25"/>
  <c r="Z748" i="25"/>
  <c r="Z749" i="25"/>
  <c r="Z750" i="25"/>
  <c r="Z751" i="25"/>
  <c r="Z752" i="25"/>
  <c r="Z753" i="25"/>
  <c r="Z754" i="25"/>
  <c r="Z755" i="25"/>
  <c r="Z756" i="25"/>
  <c r="Z757" i="25"/>
  <c r="Z758" i="25"/>
  <c r="Z759" i="25"/>
  <c r="Z760" i="25"/>
  <c r="Z761" i="25"/>
  <c r="Z762" i="25"/>
  <c r="Z763" i="25"/>
  <c r="Z764" i="25"/>
  <c r="Z765" i="25"/>
  <c r="Z766" i="25"/>
  <c r="Z767" i="25"/>
  <c r="Z768" i="25"/>
  <c r="Z769" i="25"/>
  <c r="Z770" i="25"/>
  <c r="Z771" i="25"/>
  <c r="Z772" i="25"/>
  <c r="Z773" i="25"/>
  <c r="Z774" i="25"/>
  <c r="Z775" i="25"/>
  <c r="Z776" i="25"/>
  <c r="Z777" i="25"/>
  <c r="Z778" i="25"/>
  <c r="Z779" i="25"/>
  <c r="Z780" i="25"/>
  <c r="Z781" i="25"/>
  <c r="Z782" i="25"/>
  <c r="Z783" i="25"/>
  <c r="Z784" i="25"/>
  <c r="Z785" i="25"/>
  <c r="Z786" i="25"/>
  <c r="Z787" i="25"/>
  <c r="Z788" i="25"/>
  <c r="Z789" i="25"/>
  <c r="Z790" i="25"/>
  <c r="Z791" i="25"/>
  <c r="Z792" i="25"/>
  <c r="Z793" i="25"/>
  <c r="Z794" i="25"/>
  <c r="Z795" i="25"/>
  <c r="Z796" i="25"/>
  <c r="Z797" i="25"/>
  <c r="Z798" i="25"/>
  <c r="Z799" i="25"/>
  <c r="Z800" i="25"/>
  <c r="Z801" i="25"/>
  <c r="Z802" i="25"/>
  <c r="Z803" i="25"/>
  <c r="Z804" i="25"/>
  <c r="Z805" i="25"/>
  <c r="Z806" i="25"/>
  <c r="Z807" i="25"/>
  <c r="Z808" i="25"/>
  <c r="Z809" i="25"/>
  <c r="Z810" i="25"/>
  <c r="Z811" i="25"/>
  <c r="Z812" i="25"/>
  <c r="Z813" i="25"/>
  <c r="Z814" i="25"/>
  <c r="Z815" i="25"/>
  <c r="Z816" i="25"/>
  <c r="Z817" i="25"/>
  <c r="Z818" i="25"/>
  <c r="Z819" i="25"/>
  <c r="Z820" i="25"/>
  <c r="Z821" i="25"/>
  <c r="Z822" i="25"/>
  <c r="Z823" i="25"/>
  <c r="Z824" i="25"/>
  <c r="Z825" i="25"/>
  <c r="Z826" i="25"/>
  <c r="Z827" i="25"/>
  <c r="Z828" i="25"/>
  <c r="Z829" i="25"/>
  <c r="Z830" i="25"/>
  <c r="Z831" i="25"/>
  <c r="Z832" i="25"/>
  <c r="Z833" i="25"/>
  <c r="Z834" i="25"/>
  <c r="Z835" i="25"/>
  <c r="Z836" i="25"/>
  <c r="Z837" i="25"/>
  <c r="Z838" i="25"/>
  <c r="Z839" i="25"/>
  <c r="Z840" i="25"/>
  <c r="Z841" i="25"/>
  <c r="Z842" i="25"/>
  <c r="Z843" i="25"/>
  <c r="Z844" i="25"/>
  <c r="Z845" i="25"/>
  <c r="Z846" i="25"/>
  <c r="Z847" i="25"/>
  <c r="Z848" i="25"/>
  <c r="Z849" i="25"/>
  <c r="Z850" i="25"/>
  <c r="Z851" i="25"/>
  <c r="Z852" i="25"/>
  <c r="Z853" i="25"/>
  <c r="Z854" i="25"/>
  <c r="Z855" i="25"/>
  <c r="Z856" i="25"/>
  <c r="Z857" i="25"/>
  <c r="Z858" i="25"/>
  <c r="Z859" i="25"/>
  <c r="Z860" i="25"/>
  <c r="Z861" i="25"/>
  <c r="Z862" i="25"/>
  <c r="Z863" i="25"/>
  <c r="Z864" i="25"/>
  <c r="Z865" i="25"/>
  <c r="Z866" i="25"/>
  <c r="Z867" i="25"/>
  <c r="Z868" i="25"/>
  <c r="Z869" i="25"/>
  <c r="Z870" i="25"/>
  <c r="Z871" i="25"/>
  <c r="Z872" i="25"/>
  <c r="Z873" i="25"/>
  <c r="Z874" i="25"/>
  <c r="Z875" i="25"/>
  <c r="Z876" i="25"/>
  <c r="Z877" i="25"/>
  <c r="Z878" i="25"/>
  <c r="Z879" i="25"/>
  <c r="Z880" i="25"/>
  <c r="Z881" i="25"/>
  <c r="Z882" i="25"/>
  <c r="Z883" i="25"/>
  <c r="Z884" i="25"/>
  <c r="Z885" i="25"/>
  <c r="Z886" i="25"/>
  <c r="Z887" i="25"/>
  <c r="Z888" i="25"/>
  <c r="Z889" i="25"/>
  <c r="Z890" i="25"/>
  <c r="Z891" i="25"/>
  <c r="Z892" i="25"/>
  <c r="Z893" i="25"/>
  <c r="Z894" i="25"/>
  <c r="Z895" i="25"/>
  <c r="Z896" i="25"/>
  <c r="Z897" i="25"/>
  <c r="Z898" i="25"/>
  <c r="Z899" i="25"/>
  <c r="Z900" i="25"/>
  <c r="Z901" i="25"/>
  <c r="Z902" i="25"/>
  <c r="Z903" i="25"/>
  <c r="Z904" i="25"/>
  <c r="Z905" i="25"/>
  <c r="Z906" i="25"/>
  <c r="Z907" i="25"/>
  <c r="Z908" i="25"/>
  <c r="Z909" i="25"/>
  <c r="Z910" i="25"/>
  <c r="Z911" i="25"/>
  <c r="Z912" i="25"/>
  <c r="Z913" i="25"/>
  <c r="Z914" i="25"/>
  <c r="Z915" i="25"/>
  <c r="Z916" i="25"/>
  <c r="Z917" i="25"/>
  <c r="Z918" i="25"/>
  <c r="Z919" i="25"/>
  <c r="Z920" i="25"/>
  <c r="Z921" i="25"/>
  <c r="Z922" i="25"/>
  <c r="Z923" i="25"/>
  <c r="Z924" i="25"/>
  <c r="Z925" i="25"/>
  <c r="Z926" i="25"/>
  <c r="Z927" i="25"/>
  <c r="Z928" i="25"/>
  <c r="Z929" i="25"/>
  <c r="Z930" i="25"/>
  <c r="Z931" i="25"/>
  <c r="Z932" i="25"/>
  <c r="Z933" i="25"/>
  <c r="Z934" i="25"/>
  <c r="Z935" i="25"/>
  <c r="Z936" i="25"/>
  <c r="Z937" i="25"/>
  <c r="Z938" i="25"/>
  <c r="Z939" i="25"/>
  <c r="Z940" i="25"/>
  <c r="Z941" i="25"/>
  <c r="Z942" i="25"/>
  <c r="Z943" i="25"/>
  <c r="Z944" i="25"/>
  <c r="Z945" i="25"/>
  <c r="Z946" i="25"/>
  <c r="Z947" i="25"/>
  <c r="Z948" i="25"/>
  <c r="Z949" i="25"/>
  <c r="Z950" i="25"/>
  <c r="Z951" i="25"/>
  <c r="Z952" i="25"/>
  <c r="Z953" i="25"/>
  <c r="Z954" i="25"/>
  <c r="Z955" i="25"/>
  <c r="Z956" i="25"/>
  <c r="Z957" i="25"/>
  <c r="Z958" i="25"/>
  <c r="Z959" i="25"/>
  <c r="Z960" i="25"/>
  <c r="Z961" i="25"/>
  <c r="Z962" i="25"/>
  <c r="Z963" i="25"/>
  <c r="Z964" i="25"/>
  <c r="Z965" i="25"/>
  <c r="Z966" i="25"/>
  <c r="Z967" i="25"/>
  <c r="Z968" i="25"/>
  <c r="Z969" i="25"/>
  <c r="Z970" i="25"/>
  <c r="Z971" i="25"/>
  <c r="Z972" i="25"/>
  <c r="Z973" i="25"/>
  <c r="Z974" i="25"/>
  <c r="Z975" i="25"/>
  <c r="Z976" i="25"/>
  <c r="Z977" i="25"/>
  <c r="Z978" i="25"/>
  <c r="Z979" i="25"/>
  <c r="Z980" i="25"/>
  <c r="Z981" i="25"/>
  <c r="Z982" i="25"/>
  <c r="Z983" i="25"/>
  <c r="Z984" i="25"/>
  <c r="Z985" i="25"/>
  <c r="Z986" i="25"/>
  <c r="Z987" i="25"/>
  <c r="Z988" i="25"/>
  <c r="Z989" i="25"/>
  <c r="Z990" i="25"/>
  <c r="Z991" i="25"/>
  <c r="Z992" i="25"/>
  <c r="Z993" i="25"/>
  <c r="Z994" i="25"/>
  <c r="Z995" i="25"/>
  <c r="Z996" i="25"/>
  <c r="Z997" i="25"/>
  <c r="Z998" i="25"/>
  <c r="Z999" i="25"/>
  <c r="Z1000" i="25"/>
  <c r="Z1001" i="25"/>
  <c r="Z1002" i="25"/>
  <c r="Z1003" i="25"/>
  <c r="Z1004" i="25"/>
  <c r="Z1005" i="25"/>
  <c r="Z1006" i="25"/>
  <c r="Z1007" i="25"/>
  <c r="Z1008" i="25"/>
  <c r="Z1009" i="25"/>
  <c r="Z1010" i="25"/>
  <c r="Z1011" i="25"/>
  <c r="Z1012" i="25"/>
  <c r="Z1013" i="25"/>
  <c r="Z1014" i="25"/>
  <c r="Z1015" i="25"/>
  <c r="Z1016" i="25"/>
  <c r="Z1017" i="25"/>
  <c r="Z1018" i="25"/>
  <c r="Z1019" i="25"/>
  <c r="Z1020" i="25"/>
  <c r="Z1021" i="25"/>
  <c r="Z1022" i="25"/>
  <c r="Z1023" i="25"/>
  <c r="Z1024" i="25"/>
  <c r="Z1025" i="25"/>
  <c r="Z1026" i="25"/>
  <c r="Z1027" i="25"/>
  <c r="Z1028" i="25"/>
  <c r="Z1029" i="25"/>
  <c r="Z1030" i="25"/>
  <c r="Z1031" i="25"/>
  <c r="Z1032" i="25"/>
  <c r="Z1033" i="25"/>
  <c r="Z1034" i="25"/>
  <c r="Z1035" i="25"/>
  <c r="Z1036" i="25"/>
  <c r="Z1037" i="25"/>
  <c r="Z1038" i="25"/>
  <c r="Z1039" i="25"/>
  <c r="Z1040" i="25"/>
  <c r="Z1041" i="25"/>
  <c r="Z1042" i="25"/>
  <c r="Z1043" i="25"/>
  <c r="Z1044" i="25"/>
  <c r="Z1045" i="25"/>
  <c r="Z1046" i="25"/>
  <c r="Z1047" i="25"/>
  <c r="Z1048" i="25"/>
  <c r="Z1049" i="25"/>
  <c r="Z1050" i="25"/>
  <c r="Z1051" i="25"/>
  <c r="Z1052" i="25"/>
  <c r="Z1053" i="25"/>
  <c r="Z1054" i="25"/>
  <c r="Z1055" i="25"/>
  <c r="Z1056" i="25"/>
  <c r="Z1057" i="25"/>
  <c r="Z1058" i="25"/>
  <c r="Z1059" i="25"/>
  <c r="Z1060" i="25"/>
  <c r="Z1061" i="25"/>
  <c r="Z1062" i="25"/>
  <c r="Z1063" i="25"/>
  <c r="Z1064" i="25"/>
  <c r="Z1065" i="25"/>
  <c r="Z1066" i="25"/>
  <c r="Z1067" i="25"/>
  <c r="Z1068" i="25"/>
  <c r="Z1069" i="25"/>
  <c r="Z1070" i="25"/>
  <c r="Z1071" i="25"/>
  <c r="Z1072" i="25"/>
  <c r="Z1073" i="25"/>
  <c r="Z1074" i="25"/>
  <c r="Z1075" i="25"/>
  <c r="Z1076" i="25"/>
  <c r="Z1077" i="25"/>
  <c r="Z1078" i="25"/>
  <c r="Z1079" i="25"/>
  <c r="Z1080" i="25"/>
  <c r="Z1081" i="25"/>
  <c r="Z1082" i="25"/>
  <c r="Z1083" i="25"/>
  <c r="Z1084" i="25"/>
  <c r="Z1085" i="25"/>
  <c r="Z1086" i="25"/>
  <c r="Z1087" i="25"/>
  <c r="Z1088" i="25"/>
  <c r="Z1089" i="25"/>
  <c r="Z1090" i="25"/>
  <c r="Z1091" i="25"/>
  <c r="Z1092" i="25"/>
  <c r="Z1093" i="25"/>
  <c r="Z1094" i="25"/>
  <c r="Z1095" i="25"/>
  <c r="Z1096" i="25"/>
  <c r="Z1097" i="25"/>
  <c r="Z1098" i="25"/>
  <c r="Z1099" i="25"/>
  <c r="Z1100" i="25"/>
  <c r="Z1101" i="25"/>
  <c r="Z1102" i="25"/>
  <c r="Z1103" i="25"/>
  <c r="Z1104" i="25"/>
  <c r="Z1105" i="25"/>
  <c r="Z1106" i="25"/>
  <c r="Z1107" i="25"/>
  <c r="Z1108" i="25"/>
  <c r="Z1109" i="25"/>
  <c r="Z1110" i="25"/>
  <c r="Z1111" i="25"/>
  <c r="Z1112" i="25"/>
  <c r="Z1113" i="25"/>
  <c r="Z1114" i="25"/>
  <c r="Z1115" i="25"/>
  <c r="Z1116" i="25"/>
  <c r="Z1117" i="25"/>
  <c r="Z1118" i="25"/>
  <c r="Z1119" i="25"/>
  <c r="Z1120" i="25"/>
  <c r="Z1121" i="25"/>
  <c r="Z1122" i="25"/>
  <c r="Z1123" i="25"/>
  <c r="Z1124" i="25"/>
  <c r="Z1125" i="25"/>
  <c r="Z1126" i="25"/>
  <c r="Z1127" i="25"/>
  <c r="Z1128" i="25"/>
  <c r="Z1129" i="25"/>
  <c r="Z1130" i="25"/>
  <c r="Z1131" i="25"/>
  <c r="Z1132" i="25"/>
  <c r="Z1133" i="25"/>
  <c r="Z1134" i="25"/>
  <c r="Z1135" i="25"/>
  <c r="Z1136" i="25"/>
  <c r="Z1137" i="25"/>
  <c r="Z1138" i="25"/>
  <c r="Z1139" i="25"/>
  <c r="Z1140" i="25"/>
  <c r="Z1141" i="25"/>
  <c r="Z1142" i="25"/>
  <c r="Z1143" i="25"/>
  <c r="Z1144" i="25"/>
  <c r="Z1145" i="25"/>
  <c r="Z1146" i="25"/>
  <c r="Z1147" i="25"/>
  <c r="Z1148" i="25"/>
  <c r="Z1149" i="25"/>
  <c r="Z1150" i="25"/>
  <c r="Z1151" i="25"/>
  <c r="Z1152" i="25"/>
  <c r="Z1153" i="25"/>
  <c r="Z1154" i="25"/>
  <c r="Z1155" i="25"/>
  <c r="Z1156" i="25"/>
  <c r="Z1157" i="25"/>
  <c r="Z1158" i="25"/>
  <c r="Z1159" i="25"/>
  <c r="Z1160" i="25"/>
  <c r="Z1161" i="25"/>
  <c r="Z1162" i="25"/>
  <c r="Z1163" i="25"/>
  <c r="Z1164" i="25"/>
  <c r="Z1165" i="25"/>
  <c r="Z1166" i="25"/>
  <c r="Z1167" i="25"/>
  <c r="Z1168" i="25"/>
  <c r="Z1169" i="25"/>
  <c r="Z1170" i="25"/>
  <c r="Z1171" i="25"/>
  <c r="Z1172" i="25"/>
  <c r="Z1173" i="25"/>
  <c r="Z1174" i="25"/>
  <c r="Z1175" i="25"/>
  <c r="Z1176" i="25"/>
  <c r="Z1177" i="25"/>
  <c r="Z1178" i="25"/>
  <c r="Z1179" i="25"/>
  <c r="Z1180" i="25"/>
  <c r="Z1181" i="25"/>
  <c r="Z1182" i="25"/>
  <c r="Z1183" i="25"/>
  <c r="Z1184" i="25"/>
  <c r="Z1185" i="25"/>
  <c r="Z1186" i="25"/>
  <c r="Z1187" i="25"/>
  <c r="Z1188" i="25"/>
  <c r="Z1189" i="25"/>
  <c r="Z1190" i="25"/>
  <c r="Z1191" i="25"/>
  <c r="Z1192" i="25"/>
  <c r="Z1193" i="25"/>
  <c r="Z1194" i="25"/>
  <c r="Z1195" i="25"/>
  <c r="Z1196" i="25"/>
  <c r="Z1197" i="25"/>
  <c r="Z1198" i="25"/>
  <c r="Z1199" i="25"/>
  <c r="Z1200" i="25"/>
  <c r="Z1201" i="25"/>
  <c r="Z1202" i="25"/>
  <c r="Z1203" i="25"/>
  <c r="Z1204" i="25"/>
  <c r="Z1205" i="25"/>
  <c r="Z1206" i="25"/>
  <c r="Z1207" i="25"/>
  <c r="Z1208" i="25"/>
  <c r="Z1209" i="25"/>
  <c r="Z1210" i="25"/>
  <c r="Z1211" i="25"/>
  <c r="Z1212" i="25"/>
  <c r="Z1213" i="25"/>
  <c r="Z1214" i="25"/>
  <c r="Z1215" i="25"/>
  <c r="Z1216" i="25"/>
  <c r="Z1217" i="25"/>
  <c r="Z1218" i="25"/>
  <c r="Z1219" i="25"/>
  <c r="Z1220" i="25"/>
  <c r="Z1221" i="25"/>
  <c r="Z1222" i="25"/>
  <c r="Z1223" i="25"/>
  <c r="Z1224" i="25"/>
  <c r="Z1225" i="25"/>
  <c r="Z1226" i="25"/>
  <c r="Z1227" i="25"/>
  <c r="Z1228" i="25"/>
  <c r="Z1229" i="25"/>
  <c r="Z1230" i="25"/>
  <c r="Z1231" i="25"/>
  <c r="Z1232" i="25"/>
  <c r="Z1233" i="25"/>
  <c r="Z1234" i="25"/>
  <c r="Z1235" i="25"/>
  <c r="Z1236" i="25"/>
  <c r="Z1237" i="25"/>
  <c r="Z1238" i="25"/>
  <c r="Z1239" i="25"/>
  <c r="Z1240" i="25"/>
  <c r="Z1241" i="25"/>
  <c r="Z1242" i="25"/>
  <c r="Z1243" i="25"/>
  <c r="Z1244" i="25"/>
  <c r="Z1245" i="25"/>
  <c r="Z1246" i="25"/>
  <c r="Z1247" i="25"/>
  <c r="Z1248" i="25"/>
  <c r="Z1249" i="25"/>
  <c r="Z1250" i="25"/>
  <c r="Z1251" i="25"/>
  <c r="Z1252" i="25"/>
  <c r="Z1253" i="25"/>
  <c r="Z1254" i="25"/>
  <c r="Z1255" i="25"/>
  <c r="Z1256" i="25"/>
  <c r="Z1257" i="25"/>
  <c r="Z1258" i="25"/>
  <c r="Z1259" i="25"/>
  <c r="Z1260" i="25"/>
  <c r="Z1261" i="25"/>
  <c r="Z1262" i="25"/>
  <c r="Z1263" i="25"/>
  <c r="Z1264" i="25"/>
  <c r="Z1265" i="25"/>
  <c r="Z1266" i="25"/>
  <c r="Z1267" i="25"/>
  <c r="Z1268" i="25"/>
  <c r="Z1269" i="25"/>
  <c r="Z1270" i="25"/>
  <c r="Z1271" i="25"/>
  <c r="Z1272" i="25"/>
  <c r="Z1273" i="25"/>
  <c r="Z1274" i="25"/>
  <c r="Z1275" i="25"/>
  <c r="Z1276" i="25"/>
  <c r="Z1277" i="25"/>
  <c r="Z1278" i="25"/>
  <c r="Z1279" i="25"/>
  <c r="Z1280" i="25"/>
  <c r="Z1281" i="25"/>
  <c r="Z1282" i="25"/>
  <c r="Z1283" i="25"/>
  <c r="Z1284" i="25"/>
  <c r="Z1285" i="25"/>
  <c r="Z1286" i="25"/>
  <c r="Z1287" i="25"/>
  <c r="Z1288" i="25"/>
  <c r="Z1289" i="25"/>
  <c r="Z1290" i="25"/>
  <c r="Z1291" i="25"/>
  <c r="Z1292" i="25"/>
  <c r="Z1293" i="25"/>
  <c r="Z1294" i="25"/>
  <c r="Z1295" i="25"/>
  <c r="Z1296" i="25"/>
  <c r="Z1297" i="25"/>
  <c r="Z1298" i="25"/>
  <c r="Z1299" i="25"/>
  <c r="Z1300" i="25"/>
  <c r="Z1301" i="25"/>
  <c r="Z1302" i="25"/>
  <c r="Z1303" i="25"/>
  <c r="Z1304" i="25"/>
  <c r="Z1305" i="25"/>
  <c r="Z1306" i="25"/>
  <c r="Z1307" i="25"/>
  <c r="Z1308" i="25"/>
  <c r="Z1309" i="25"/>
  <c r="Z1310" i="25"/>
  <c r="Z1311" i="25"/>
  <c r="Z1312" i="25"/>
  <c r="Z1313" i="25"/>
  <c r="Z1314" i="25"/>
  <c r="Z1315" i="25"/>
  <c r="Z1316" i="25"/>
  <c r="Z1317" i="25"/>
  <c r="Z1318" i="25"/>
  <c r="Z1319" i="25"/>
  <c r="Z1320" i="25"/>
  <c r="Z1321" i="25"/>
  <c r="Z1322" i="25"/>
  <c r="Z1323" i="25"/>
  <c r="Z1324" i="25"/>
  <c r="Z1325" i="25"/>
  <c r="Z1326" i="25"/>
  <c r="Z1327" i="25"/>
  <c r="Z1328" i="25"/>
  <c r="Z1329" i="25"/>
  <c r="Z1330" i="25"/>
  <c r="Z1331" i="25"/>
  <c r="Z1332" i="25"/>
  <c r="Z1333" i="25"/>
  <c r="Z1334" i="25"/>
  <c r="Z1335" i="25"/>
  <c r="Z1336" i="25"/>
  <c r="Z1337" i="25"/>
  <c r="Z1338" i="25"/>
  <c r="Z1339" i="25"/>
  <c r="Z1340" i="25"/>
  <c r="Z1341" i="25"/>
  <c r="Z1342" i="25"/>
  <c r="Z1343" i="25"/>
  <c r="Z1344" i="25"/>
  <c r="Z1345" i="25"/>
  <c r="Z1346" i="25"/>
  <c r="Z1347" i="25"/>
  <c r="Z1348" i="25"/>
  <c r="Z1349" i="25"/>
  <c r="Z1350" i="25"/>
  <c r="Z1351" i="25"/>
  <c r="Z1352" i="25"/>
  <c r="Z1353" i="25"/>
  <c r="Z1354" i="25"/>
  <c r="Z1355" i="25"/>
  <c r="Z1356" i="25"/>
  <c r="Z1357" i="25"/>
  <c r="Z1358" i="25"/>
  <c r="Z1359" i="25"/>
  <c r="Z1360" i="25"/>
  <c r="Z1361" i="25"/>
  <c r="Z1362" i="25"/>
  <c r="Z1363" i="25"/>
  <c r="Z1364" i="25"/>
  <c r="Z1365" i="25"/>
  <c r="Z1366" i="25"/>
  <c r="Z1367" i="25"/>
  <c r="Z1368" i="25"/>
  <c r="Z1369" i="25"/>
  <c r="Z1370" i="25"/>
  <c r="Z1371" i="25"/>
  <c r="Z1372" i="25"/>
  <c r="Z1373" i="25"/>
  <c r="Z1374" i="25"/>
  <c r="Z1375" i="25"/>
  <c r="Z1376" i="25"/>
  <c r="Z1377" i="25"/>
  <c r="Z1378" i="25"/>
  <c r="Z1379" i="25"/>
  <c r="Z1380" i="25"/>
  <c r="Z1381" i="25"/>
  <c r="Z1382" i="25"/>
  <c r="Z1383" i="25"/>
  <c r="Z1384" i="25"/>
  <c r="Z1385" i="25"/>
  <c r="Z1386" i="25"/>
  <c r="Z1387" i="25"/>
  <c r="Z1388" i="25"/>
  <c r="Z1389" i="25"/>
  <c r="Z1390" i="25"/>
  <c r="Z1391" i="25"/>
  <c r="Z1392" i="25"/>
  <c r="Z1393" i="25"/>
  <c r="Z1394" i="25"/>
  <c r="Z1395" i="25"/>
  <c r="Z1396" i="25"/>
  <c r="Z1397" i="25"/>
  <c r="Z1398" i="25"/>
  <c r="Z1399" i="25"/>
  <c r="Z1400" i="25"/>
  <c r="Z1401" i="25"/>
  <c r="Z1402" i="25"/>
  <c r="Z1403" i="25"/>
  <c r="Z1404" i="25"/>
  <c r="Z1405" i="25"/>
  <c r="Z1406" i="25"/>
  <c r="Z1407" i="25"/>
  <c r="Z1408" i="25"/>
  <c r="Z1409" i="25"/>
  <c r="Z1410" i="25"/>
  <c r="Z1411" i="25"/>
  <c r="Z1412" i="25"/>
  <c r="Z1413" i="25"/>
  <c r="Z1414" i="25"/>
  <c r="Z1415" i="25"/>
  <c r="Z1416" i="25"/>
  <c r="Z1417" i="25"/>
  <c r="Z1418" i="25"/>
  <c r="Z1419" i="25"/>
  <c r="Z1420" i="25"/>
  <c r="Z1421" i="25"/>
  <c r="Z1422" i="25"/>
  <c r="Z1423" i="25"/>
  <c r="Z1424" i="25"/>
  <c r="Z1425" i="25"/>
  <c r="Z1426" i="25"/>
  <c r="Z1427" i="25"/>
  <c r="Z1428" i="25"/>
  <c r="Z1429" i="25"/>
  <c r="Z1430" i="25"/>
  <c r="Z1431" i="25"/>
  <c r="Z1432" i="25"/>
  <c r="Z1433" i="25"/>
  <c r="Z1434" i="25"/>
  <c r="Z1435" i="25"/>
  <c r="Z1436" i="25"/>
  <c r="Z1437" i="25"/>
  <c r="Z1438" i="25"/>
  <c r="Z1439" i="25"/>
  <c r="Z1440" i="25"/>
  <c r="Z1441" i="25"/>
  <c r="Z1442" i="25"/>
  <c r="Z1443" i="25"/>
  <c r="Z1444" i="25"/>
  <c r="Z1445" i="25"/>
  <c r="Z1446" i="25"/>
  <c r="Z1447" i="25"/>
  <c r="Z1448" i="25"/>
  <c r="Z1449" i="25"/>
  <c r="Z1450" i="25"/>
  <c r="Z1451" i="25"/>
  <c r="Z1452" i="25"/>
  <c r="Z1453" i="25"/>
  <c r="Z1454" i="25"/>
  <c r="Z1455" i="25"/>
  <c r="Z1456" i="25"/>
  <c r="Z1457" i="25"/>
  <c r="Z1458" i="25"/>
  <c r="Z1459" i="25"/>
  <c r="Z1460" i="25"/>
  <c r="Z1461" i="25"/>
  <c r="Z1462" i="25"/>
  <c r="Z1463" i="25"/>
  <c r="Z1464" i="25"/>
  <c r="Z1465" i="25"/>
  <c r="Z1466" i="25"/>
  <c r="Z1467" i="25"/>
  <c r="Z1468" i="25"/>
  <c r="Z1469" i="25"/>
  <c r="Z1470" i="25"/>
  <c r="Z1471" i="25"/>
  <c r="Z1472" i="25"/>
  <c r="Z1473" i="25"/>
  <c r="Z1474" i="25"/>
  <c r="Z1475" i="25"/>
  <c r="Z1476" i="25"/>
  <c r="Z1477" i="25"/>
  <c r="Z1478" i="25"/>
  <c r="Z1479" i="25"/>
  <c r="Z1480" i="25"/>
  <c r="Z1481" i="25"/>
  <c r="Z1482" i="25"/>
  <c r="Z1483" i="25"/>
  <c r="Z1484" i="25"/>
  <c r="Z1485" i="25"/>
  <c r="Z1486" i="25"/>
  <c r="Z1487" i="25"/>
  <c r="Z1488" i="25"/>
  <c r="Z1489" i="25"/>
  <c r="Z1490" i="25"/>
  <c r="Z1491" i="25"/>
  <c r="Z1492" i="25"/>
  <c r="Z1493" i="25"/>
  <c r="Z1494" i="25"/>
  <c r="Z1495" i="25"/>
  <c r="Z1496" i="25"/>
  <c r="Z1497" i="25"/>
  <c r="Z1498" i="25"/>
  <c r="Z1499" i="25"/>
  <c r="Z1500" i="25"/>
  <c r="Z1501" i="25"/>
  <c r="Z1502" i="25"/>
  <c r="Z1503" i="25"/>
  <c r="Z1504" i="25"/>
  <c r="Z1505" i="25"/>
  <c r="Z1506" i="25"/>
  <c r="Z1507" i="25"/>
  <c r="Z1508" i="25"/>
  <c r="Z1509" i="25"/>
  <c r="Z1510" i="25"/>
  <c r="Z1511" i="25"/>
  <c r="Z1512" i="25"/>
  <c r="Z1513" i="25"/>
  <c r="Z1514" i="25"/>
  <c r="Z1515" i="25"/>
  <c r="Z1516" i="25"/>
  <c r="Z1517" i="25"/>
  <c r="Z1518" i="25"/>
  <c r="Z1519" i="25"/>
  <c r="Z1520" i="25"/>
  <c r="Z1521" i="25"/>
  <c r="Z1522" i="25"/>
  <c r="Z1523" i="25"/>
  <c r="Z1524" i="25"/>
  <c r="Z1525" i="25"/>
  <c r="Z1526" i="25"/>
  <c r="Z1527" i="25"/>
  <c r="Z1528" i="25"/>
  <c r="Z1529" i="25"/>
  <c r="Z1530" i="25"/>
  <c r="Z1531" i="25"/>
  <c r="Z1532" i="25"/>
  <c r="Z1533" i="25"/>
  <c r="Z1534" i="25"/>
  <c r="Z1535" i="25"/>
  <c r="Z1536" i="25"/>
  <c r="Z1537" i="25"/>
  <c r="Z1538" i="25"/>
  <c r="Z1539" i="25"/>
  <c r="Z1540" i="25"/>
  <c r="Z1541" i="25"/>
  <c r="Z1542" i="25"/>
  <c r="Z1543" i="25"/>
  <c r="Z1544" i="25"/>
  <c r="Z1545" i="25"/>
  <c r="Z1546" i="25"/>
  <c r="Z1547" i="25"/>
  <c r="Z1548" i="25"/>
  <c r="Z1549" i="25"/>
  <c r="Z1550" i="25"/>
  <c r="Z1551" i="25"/>
  <c r="Z1552" i="25"/>
  <c r="Z1553" i="25"/>
  <c r="Z1554" i="25"/>
  <c r="Z1555" i="25"/>
  <c r="Z1556" i="25"/>
  <c r="Z1557" i="25"/>
  <c r="Z1558" i="25"/>
  <c r="Z1559" i="25"/>
  <c r="Z1560" i="25"/>
  <c r="Z1561" i="25"/>
  <c r="Z1562" i="25"/>
  <c r="Z1563" i="25"/>
  <c r="Z1564" i="25"/>
  <c r="Z1565" i="25"/>
  <c r="Z1566" i="25"/>
  <c r="Z1567" i="25"/>
  <c r="Z1568" i="25"/>
  <c r="Z1569" i="25"/>
  <c r="Z1570" i="25"/>
  <c r="Z1571" i="25"/>
  <c r="Z1572" i="25"/>
  <c r="Z1573" i="25"/>
  <c r="Z1574" i="25"/>
  <c r="Z1575" i="25"/>
  <c r="Z1576" i="25"/>
  <c r="Z1577" i="25"/>
  <c r="Z1578" i="25"/>
  <c r="Z1579" i="25"/>
  <c r="Z1580" i="25"/>
  <c r="Z1581" i="25"/>
  <c r="Z1582" i="25"/>
  <c r="Z1583" i="25"/>
  <c r="Z1584" i="25"/>
  <c r="Z1585" i="25"/>
  <c r="Z1586" i="25"/>
  <c r="Z1587" i="25"/>
  <c r="Z1588" i="25"/>
  <c r="Z1589" i="25"/>
  <c r="Z1590" i="25"/>
  <c r="Z1591" i="25"/>
  <c r="Z1592" i="25"/>
  <c r="Z1593" i="25"/>
  <c r="Z1594" i="25"/>
  <c r="Z1595" i="25"/>
  <c r="Z1596" i="25"/>
  <c r="Z1597" i="25"/>
  <c r="Z1598" i="25"/>
  <c r="Z1599" i="25"/>
  <c r="AB1599" i="25"/>
  <c r="AD1599" i="25"/>
  <c r="U1600" i="25" a="1"/>
  <c r="U1600" i="25"/>
  <c r="V1600" i="25" a="1"/>
  <c r="V1600" i="25"/>
  <c r="W1600" i="25"/>
  <c r="Y1600" i="25"/>
  <c r="AA1600" i="25"/>
  <c r="X1600" i="25"/>
  <c r="AC1600" i="25"/>
  <c r="Z1600" i="25"/>
  <c r="AB1600" i="25"/>
  <c r="AD1600" i="25"/>
  <c r="U1601" i="25" a="1"/>
  <c r="U1601" i="25"/>
  <c r="V1601" i="25" a="1"/>
  <c r="V1601" i="25"/>
  <c r="W1601" i="25"/>
  <c r="Y1601" i="25"/>
  <c r="AA1601" i="25"/>
  <c r="X1601" i="25"/>
  <c r="AC1601" i="25"/>
  <c r="Z1601" i="25"/>
  <c r="AB1601" i="25"/>
  <c r="AD1601" i="25"/>
  <c r="U1602" i="25" a="1"/>
  <c r="U1602" i="25"/>
  <c r="V1602" i="25" a="1"/>
  <c r="V1602" i="25"/>
  <c r="W1602" i="25"/>
  <c r="Y1602" i="25"/>
  <c r="AA1602" i="25"/>
  <c r="X1602" i="25"/>
  <c r="AC1602" i="25"/>
  <c r="Z1602" i="25"/>
  <c r="AB1602" i="25"/>
  <c r="AD1602" i="25"/>
  <c r="U1603" i="25" a="1"/>
  <c r="U1603" i="25"/>
  <c r="V1603" i="25" a="1"/>
  <c r="V1603" i="25"/>
  <c r="W1603" i="25"/>
  <c r="Y1603" i="25"/>
  <c r="AA1603" i="25"/>
  <c r="X1603" i="25"/>
  <c r="AC1603" i="25"/>
  <c r="Z1603" i="25"/>
  <c r="AB1603" i="25"/>
  <c r="AD1603" i="25"/>
  <c r="U1604" i="25" a="1"/>
  <c r="U1604" i="25"/>
  <c r="V1604" i="25" a="1"/>
  <c r="V1604" i="25"/>
  <c r="W1604" i="25"/>
  <c r="Y1604" i="25"/>
  <c r="AA1604" i="25"/>
  <c r="X1604" i="25"/>
  <c r="AC1604" i="25"/>
  <c r="Z1604" i="25"/>
  <c r="AB1604" i="25"/>
  <c r="AD1604" i="25"/>
  <c r="U1605" i="25" a="1"/>
  <c r="U1605" i="25"/>
  <c r="V1605" i="25" a="1"/>
  <c r="V1605" i="25"/>
  <c r="W1605" i="25"/>
  <c r="Y1605" i="25"/>
  <c r="AA1605" i="25"/>
  <c r="X1605" i="25"/>
  <c r="AC1605" i="25"/>
  <c r="Z1605" i="25"/>
  <c r="AB1605" i="25"/>
  <c r="AD1605" i="25"/>
  <c r="U1606" i="25" a="1"/>
  <c r="U1606" i="25"/>
  <c r="V1606" i="25" a="1"/>
  <c r="V1606" i="25"/>
  <c r="W1606" i="25"/>
  <c r="Y1606" i="25"/>
  <c r="AA1606" i="25"/>
  <c r="X1606" i="25"/>
  <c r="AC1606" i="25"/>
  <c r="Z1606" i="25"/>
  <c r="AB1606" i="25"/>
  <c r="AD1606" i="25"/>
  <c r="U1607" i="25" a="1"/>
  <c r="U1607" i="25"/>
  <c r="V1607" i="25" a="1"/>
  <c r="V1607" i="25"/>
  <c r="W1607" i="25"/>
  <c r="Y1607" i="25"/>
  <c r="AA1607" i="25"/>
  <c r="X1607" i="25"/>
  <c r="AC1607" i="25"/>
  <c r="Z1607" i="25"/>
  <c r="AB1607" i="25"/>
  <c r="AD1607" i="25"/>
  <c r="U1608" i="25" a="1"/>
  <c r="U1608" i="25"/>
  <c r="V1608" i="25" a="1"/>
  <c r="V1608" i="25"/>
  <c r="W1608" i="25"/>
  <c r="Y1608" i="25"/>
  <c r="AA1608" i="25"/>
  <c r="X1608" i="25"/>
  <c r="AC1608" i="25"/>
  <c r="Z1608" i="25"/>
  <c r="AB1608" i="25"/>
  <c r="AD1608" i="25"/>
  <c r="U1609" i="25" a="1"/>
  <c r="U1609" i="25"/>
  <c r="V1609" i="25" a="1"/>
  <c r="V1609" i="25"/>
  <c r="W1609" i="25"/>
  <c r="Y1609" i="25"/>
  <c r="AA1609" i="25"/>
  <c r="X1609" i="25"/>
  <c r="AC1609" i="25"/>
  <c r="Z1609" i="25"/>
  <c r="AB1609" i="25"/>
  <c r="AD1609" i="25"/>
  <c r="U1610" i="25" a="1"/>
  <c r="U1610" i="25"/>
  <c r="V1610" i="25" a="1"/>
  <c r="V1610" i="25"/>
  <c r="W1610" i="25"/>
  <c r="Y1610" i="25"/>
  <c r="AA1610" i="25"/>
  <c r="X1610" i="25"/>
  <c r="AC1610" i="25"/>
  <c r="Z1610" i="25"/>
  <c r="AB1610" i="25"/>
  <c r="AD1610" i="25"/>
  <c r="U1611" i="25" a="1"/>
  <c r="U1611" i="25"/>
  <c r="V1611" i="25" a="1"/>
  <c r="V1611" i="25"/>
  <c r="W1611" i="25"/>
  <c r="Y1611" i="25"/>
  <c r="AA1611" i="25"/>
  <c r="X1611" i="25"/>
  <c r="AC1611" i="25"/>
  <c r="Z1611" i="25"/>
  <c r="AB1611" i="25"/>
  <c r="AD1611" i="25"/>
  <c r="U1612" i="25" a="1"/>
  <c r="U1612" i="25"/>
  <c r="V1612" i="25" a="1"/>
  <c r="V1612" i="25"/>
  <c r="W1612" i="25"/>
  <c r="Y1612" i="25"/>
  <c r="AA1612" i="25"/>
  <c r="X1612" i="25"/>
  <c r="AC1612" i="25"/>
  <c r="Z1612" i="25"/>
  <c r="AB1612" i="25"/>
  <c r="AD1612" i="25"/>
  <c r="U1613" i="25" a="1"/>
  <c r="U1613" i="25"/>
  <c r="V1613" i="25" a="1"/>
  <c r="V1613" i="25"/>
  <c r="W1613" i="25"/>
  <c r="Y1613" i="25"/>
  <c r="AA1613" i="25"/>
  <c r="X1613" i="25"/>
  <c r="AC1613" i="25"/>
  <c r="Z1613" i="25"/>
  <c r="AB1613" i="25"/>
  <c r="AD1613" i="25"/>
  <c r="U1614" i="25" a="1"/>
  <c r="U1614" i="25"/>
  <c r="V1614" i="25" a="1"/>
  <c r="V1614" i="25"/>
  <c r="W1614" i="25"/>
  <c r="Y1614" i="25"/>
  <c r="AA1614" i="25"/>
  <c r="X1614" i="25"/>
  <c r="AC1614" i="25"/>
  <c r="Z1614" i="25"/>
  <c r="AB1614" i="25"/>
  <c r="AD1614" i="25"/>
  <c r="U1615" i="25" a="1"/>
  <c r="U1615" i="25"/>
  <c r="V1615" i="25" a="1"/>
  <c r="V1615" i="25"/>
  <c r="W1615" i="25"/>
  <c r="Y1615" i="25"/>
  <c r="AA1615" i="25"/>
  <c r="X1615" i="25"/>
  <c r="AC1615" i="25"/>
  <c r="Z1615" i="25"/>
  <c r="AB1615" i="25"/>
  <c r="AD1615" i="25"/>
  <c r="U1616" i="25" a="1"/>
  <c r="U1616" i="25"/>
  <c r="V1616" i="25" a="1"/>
  <c r="V1616" i="25"/>
  <c r="W1616" i="25"/>
  <c r="Y1616" i="25"/>
  <c r="AA1616" i="25"/>
  <c r="X1616" i="25"/>
  <c r="AC1616" i="25"/>
  <c r="Z1616" i="25"/>
  <c r="AB1616" i="25"/>
  <c r="AD1616" i="25"/>
  <c r="U1617" i="25" a="1"/>
  <c r="U1617" i="25"/>
  <c r="V1617" i="25" a="1"/>
  <c r="V1617" i="25"/>
  <c r="W1617" i="25"/>
  <c r="Y1617" i="25"/>
  <c r="AA1617" i="25"/>
  <c r="X1617" i="25"/>
  <c r="AC1617" i="25"/>
  <c r="Z1617" i="25"/>
  <c r="AB1617" i="25"/>
  <c r="AD1617" i="25"/>
  <c r="U1618" i="25" a="1"/>
  <c r="U1618" i="25"/>
  <c r="V1618" i="25" a="1"/>
  <c r="V1618" i="25"/>
  <c r="W1618" i="25"/>
  <c r="Y1618" i="25"/>
  <c r="AA1618" i="25"/>
  <c r="X1618" i="25"/>
  <c r="AC1618" i="25"/>
  <c r="Z1618" i="25"/>
  <c r="AB1618" i="25"/>
  <c r="AD1618" i="25"/>
  <c r="U1329" i="25" a="1"/>
  <c r="U1330" i="25" a="1"/>
  <c r="U1329" i="25"/>
  <c r="U1330" i="25"/>
  <c r="V1578" i="25" a="1"/>
  <c r="V1578" i="25"/>
  <c r="V1579" i="25" a="1"/>
  <c r="V1579" i="25"/>
  <c r="W1597" i="25"/>
  <c r="X1597" i="25"/>
  <c r="AA1597" i="25"/>
  <c r="AB1597" i="25"/>
  <c r="AC1597" i="25"/>
  <c r="AD1597" i="25"/>
  <c r="W1598" i="25"/>
  <c r="X1598" i="25"/>
  <c r="AA1598" i="25"/>
  <c r="AB1598" i="25"/>
  <c r="AC1598" i="25"/>
  <c r="AD1598" i="25"/>
  <c r="W7" i="25"/>
  <c r="AA7" i="25"/>
  <c r="X7" i="25"/>
  <c r="AC7" i="25"/>
  <c r="W8" i="25"/>
  <c r="AA8" i="25"/>
  <c r="X8" i="25"/>
  <c r="AC8" i="25"/>
  <c r="W9" i="25"/>
  <c r="AA9" i="25"/>
  <c r="X9" i="25"/>
  <c r="AC9" i="25"/>
  <c r="W10" i="25"/>
  <c r="AA10" i="25"/>
  <c r="X10" i="25"/>
  <c r="AC10" i="25"/>
  <c r="W11" i="25"/>
  <c r="AA11" i="25"/>
  <c r="X11" i="25"/>
  <c r="AC11" i="25"/>
  <c r="W12" i="25"/>
  <c r="AA12" i="25"/>
  <c r="X12" i="25"/>
  <c r="AC12" i="25"/>
  <c r="W13" i="25"/>
  <c r="AA13" i="25"/>
  <c r="X13" i="25"/>
  <c r="AC13" i="25"/>
  <c r="W14" i="25"/>
  <c r="AA14" i="25"/>
  <c r="X14" i="25"/>
  <c r="AC14" i="25"/>
  <c r="W15" i="25"/>
  <c r="AA15" i="25"/>
  <c r="X15" i="25"/>
  <c r="AC15" i="25"/>
  <c r="W16" i="25"/>
  <c r="AA16" i="25"/>
  <c r="X16" i="25"/>
  <c r="AC16" i="25"/>
  <c r="W17" i="25"/>
  <c r="AA17" i="25"/>
  <c r="X17" i="25"/>
  <c r="AC17" i="25"/>
  <c r="W18" i="25"/>
  <c r="AA18" i="25"/>
  <c r="X18" i="25"/>
  <c r="AC18" i="25"/>
  <c r="W19" i="25"/>
  <c r="AA19" i="25"/>
  <c r="X19" i="25"/>
  <c r="AC19" i="25"/>
  <c r="V7" i="25" a="1"/>
  <c r="V7" i="25"/>
  <c r="V8" i="25" a="1"/>
  <c r="V8" i="25"/>
  <c r="V9" i="25" a="1"/>
  <c r="V10" i="25" a="1"/>
  <c r="V11" i="25" a="1"/>
  <c r="V12" i="25" a="1"/>
  <c r="V13" i="25" a="1"/>
  <c r="V14" i="25" a="1"/>
  <c r="V15" i="25" a="1"/>
  <c r="V16" i="25" a="1"/>
  <c r="V17" i="25" a="1"/>
  <c r="V18" i="25" a="1"/>
  <c r="V19" i="25" a="1"/>
  <c r="V20" i="25" a="1"/>
  <c r="V9" i="25"/>
  <c r="V10" i="25"/>
  <c r="V11" i="25"/>
  <c r="V12" i="25"/>
  <c r="V13" i="25"/>
  <c r="V14" i="25"/>
  <c r="V15" i="25"/>
  <c r="V16" i="25"/>
  <c r="V17" i="25"/>
  <c r="V18" i="25"/>
  <c r="V19" i="25"/>
  <c r="V20" i="25"/>
  <c r="W20" i="25"/>
  <c r="AA20" i="25"/>
  <c r="X20" i="25"/>
  <c r="AC20" i="25"/>
  <c r="V21" i="25" a="1"/>
  <c r="V21" i="25"/>
  <c r="W21" i="25"/>
  <c r="AA21" i="25"/>
  <c r="X21" i="25"/>
  <c r="AC21" i="25"/>
  <c r="V22" i="25" a="1"/>
  <c r="V22" i="25"/>
  <c r="W22" i="25"/>
  <c r="AA22" i="25"/>
  <c r="X22" i="25"/>
  <c r="AC22" i="25"/>
  <c r="V23" i="25" a="1"/>
  <c r="V23" i="25"/>
  <c r="W23" i="25"/>
  <c r="AA23" i="25"/>
  <c r="X23" i="25"/>
  <c r="AC23" i="25"/>
  <c r="V24" i="25" a="1"/>
  <c r="V24" i="25"/>
  <c r="W24" i="25"/>
  <c r="AA24" i="25"/>
  <c r="X24" i="25"/>
  <c r="AC24" i="25"/>
  <c r="V25" i="25" a="1"/>
  <c r="V25" i="25"/>
  <c r="W25" i="25"/>
  <c r="AA25" i="25"/>
  <c r="X25" i="25"/>
  <c r="AC25" i="25"/>
  <c r="V26" i="25" a="1"/>
  <c r="V26" i="25"/>
  <c r="W26" i="25"/>
  <c r="AA26" i="25"/>
  <c r="X26" i="25"/>
  <c r="AC26" i="25"/>
  <c r="V27" i="25" a="1"/>
  <c r="V27" i="25"/>
  <c r="W27" i="25"/>
  <c r="AA27" i="25"/>
  <c r="X27" i="25"/>
  <c r="AC27" i="25"/>
  <c r="V28" i="25" a="1"/>
  <c r="V28" i="25"/>
  <c r="W28" i="25"/>
  <c r="AA28" i="25"/>
  <c r="X28" i="25"/>
  <c r="AC28" i="25"/>
  <c r="V29" i="25" a="1"/>
  <c r="V29" i="25"/>
  <c r="W29" i="25"/>
  <c r="AA29" i="25"/>
  <c r="X29" i="25"/>
  <c r="AC29" i="25"/>
  <c r="V30" i="25" a="1"/>
  <c r="V30" i="25"/>
  <c r="W30" i="25"/>
  <c r="AA30" i="25"/>
  <c r="X30" i="25"/>
  <c r="AC30" i="25"/>
  <c r="V31" i="25" a="1"/>
  <c r="V31" i="25"/>
  <c r="W31" i="25"/>
  <c r="AA31" i="25"/>
  <c r="X31" i="25"/>
  <c r="AC31" i="25"/>
  <c r="V32" i="25" a="1"/>
  <c r="V32" i="25"/>
  <c r="W32" i="25"/>
  <c r="AA32" i="25"/>
  <c r="X32" i="25"/>
  <c r="AC32" i="25"/>
  <c r="V33" i="25" a="1"/>
  <c r="V33" i="25"/>
  <c r="W33" i="25"/>
  <c r="AA33" i="25"/>
  <c r="X33" i="25"/>
  <c r="AC33" i="25"/>
  <c r="V34" i="25" a="1"/>
  <c r="V34" i="25"/>
  <c r="W34" i="25"/>
  <c r="AA34" i="25"/>
  <c r="X34" i="25"/>
  <c r="AC34" i="25"/>
  <c r="V35" i="25" a="1"/>
  <c r="V35" i="25"/>
  <c r="W35" i="25"/>
  <c r="AA35" i="25"/>
  <c r="X35" i="25"/>
  <c r="AC35" i="25"/>
  <c r="V36" i="25" a="1"/>
  <c r="V36" i="25"/>
  <c r="W36" i="25"/>
  <c r="AA36" i="25"/>
  <c r="X36" i="25"/>
  <c r="AC36" i="25"/>
  <c r="V37" i="25" a="1"/>
  <c r="V37" i="25"/>
  <c r="W37" i="25"/>
  <c r="AA37" i="25"/>
  <c r="X37" i="25"/>
  <c r="AC37" i="25"/>
  <c r="V38" i="25" a="1"/>
  <c r="V38" i="25"/>
  <c r="W38" i="25"/>
  <c r="AA38" i="25"/>
  <c r="X38" i="25"/>
  <c r="AC38" i="25"/>
  <c r="V39" i="25" a="1"/>
  <c r="V39" i="25"/>
  <c r="W39" i="25"/>
  <c r="AA39" i="25"/>
  <c r="X39" i="25"/>
  <c r="AC39" i="25"/>
  <c r="V40" i="25" a="1"/>
  <c r="V40" i="25"/>
  <c r="W40" i="25"/>
  <c r="AA40" i="25"/>
  <c r="X40" i="25"/>
  <c r="AC40" i="25"/>
  <c r="V41" i="25" a="1"/>
  <c r="V41" i="25"/>
  <c r="W41" i="25"/>
  <c r="AA41" i="25"/>
  <c r="X41" i="25"/>
  <c r="AC41" i="25"/>
  <c r="V42" i="25" a="1"/>
  <c r="V42" i="25"/>
  <c r="W42" i="25"/>
  <c r="AA42" i="25"/>
  <c r="X42" i="25"/>
  <c r="AC42" i="25"/>
  <c r="V43" i="25" a="1"/>
  <c r="V43" i="25"/>
  <c r="W43" i="25"/>
  <c r="AA43" i="25"/>
  <c r="X43" i="25"/>
  <c r="AC43" i="25"/>
  <c r="V44" i="25" a="1"/>
  <c r="V44" i="25"/>
  <c r="W44" i="25"/>
  <c r="AA44" i="25"/>
  <c r="X44" i="25"/>
  <c r="AC44" i="25"/>
  <c r="V45" i="25" a="1"/>
  <c r="V45" i="25"/>
  <c r="W45" i="25"/>
  <c r="AA45" i="25"/>
  <c r="X45" i="25"/>
  <c r="AC45" i="25"/>
  <c r="V46" i="25" a="1"/>
  <c r="V46" i="25"/>
  <c r="W46" i="25"/>
  <c r="AA46" i="25"/>
  <c r="X46" i="25"/>
  <c r="AC46" i="25"/>
  <c r="V47" i="25" a="1"/>
  <c r="V47" i="25"/>
  <c r="W47" i="25"/>
  <c r="AA47" i="25"/>
  <c r="X47" i="25"/>
  <c r="AC47" i="25"/>
  <c r="V48" i="25" a="1"/>
  <c r="V48" i="25"/>
  <c r="W48" i="25"/>
  <c r="AA48" i="25"/>
  <c r="X48" i="25"/>
  <c r="AC48" i="25"/>
  <c r="V49" i="25" a="1"/>
  <c r="V49" i="25"/>
  <c r="W49" i="25"/>
  <c r="AA49" i="25"/>
  <c r="X49" i="25"/>
  <c r="AC49" i="25"/>
  <c r="V50" i="25" a="1"/>
  <c r="V50" i="25"/>
  <c r="W50" i="25"/>
  <c r="AA50" i="25"/>
  <c r="X50" i="25"/>
  <c r="AC50" i="25"/>
  <c r="V51" i="25" a="1"/>
  <c r="V51" i="25"/>
  <c r="W51" i="25"/>
  <c r="AA51" i="25"/>
  <c r="X51" i="25"/>
  <c r="AC51" i="25"/>
  <c r="V52" i="25" a="1"/>
  <c r="V52" i="25"/>
  <c r="W52" i="25"/>
  <c r="AA52" i="25"/>
  <c r="X52" i="25"/>
  <c r="AC52" i="25"/>
  <c r="V53" i="25" a="1"/>
  <c r="V53" i="25"/>
  <c r="W53" i="25"/>
  <c r="AA53" i="25"/>
  <c r="X53" i="25"/>
  <c r="AC53" i="25"/>
  <c r="V54" i="25" a="1"/>
  <c r="V54" i="25"/>
  <c r="W54" i="25"/>
  <c r="AA54" i="25"/>
  <c r="X54" i="25"/>
  <c r="AC54" i="25"/>
  <c r="V55" i="25" a="1"/>
  <c r="V55" i="25"/>
  <c r="W55" i="25"/>
  <c r="AA55" i="25"/>
  <c r="X55" i="25"/>
  <c r="AC55" i="25"/>
  <c r="V56" i="25" a="1"/>
  <c r="V56" i="25"/>
  <c r="W56" i="25"/>
  <c r="AA56" i="25"/>
  <c r="X56" i="25"/>
  <c r="AC56" i="25"/>
  <c r="V57" i="25" a="1"/>
  <c r="V57" i="25"/>
  <c r="W57" i="25"/>
  <c r="AA57" i="25"/>
  <c r="X57" i="25"/>
  <c r="AC57" i="25"/>
  <c r="V58" i="25" a="1"/>
  <c r="V58" i="25"/>
  <c r="W58" i="25"/>
  <c r="AA58" i="25"/>
  <c r="X58" i="25"/>
  <c r="AC58" i="25"/>
  <c r="V59" i="25" a="1"/>
  <c r="V59" i="25"/>
  <c r="W59" i="25"/>
  <c r="AA59" i="25"/>
  <c r="X59" i="25"/>
  <c r="AC59" i="25"/>
  <c r="V60" i="25" a="1"/>
  <c r="V60" i="25"/>
  <c r="W60" i="25"/>
  <c r="AA60" i="25"/>
  <c r="X60" i="25"/>
  <c r="AC60" i="25"/>
  <c r="V61" i="25" a="1"/>
  <c r="V61" i="25"/>
  <c r="W61" i="25"/>
  <c r="AA61" i="25"/>
  <c r="X61" i="25"/>
  <c r="AC61" i="25"/>
  <c r="V62" i="25" a="1"/>
  <c r="V62" i="25"/>
  <c r="W62" i="25"/>
  <c r="AA62" i="25"/>
  <c r="X62" i="25"/>
  <c r="AC62" i="25"/>
  <c r="V63" i="25" a="1"/>
  <c r="V63" i="25"/>
  <c r="W63" i="25"/>
  <c r="AA63" i="25"/>
  <c r="X63" i="25"/>
  <c r="AC63" i="25"/>
  <c r="V64" i="25" a="1"/>
  <c r="V64" i="25"/>
  <c r="W64" i="25"/>
  <c r="AA64" i="25"/>
  <c r="X64" i="25"/>
  <c r="AC64" i="25"/>
  <c r="V65" i="25" a="1"/>
  <c r="V65" i="25"/>
  <c r="W65" i="25"/>
  <c r="AA65" i="25"/>
  <c r="X65" i="25"/>
  <c r="AC65" i="25"/>
  <c r="V66" i="25" a="1"/>
  <c r="V66" i="25"/>
  <c r="W66" i="25"/>
  <c r="AA66" i="25"/>
  <c r="X66" i="25"/>
  <c r="AC66" i="25"/>
  <c r="V67" i="25" a="1"/>
  <c r="V67" i="25"/>
  <c r="W67" i="25"/>
  <c r="AA67" i="25"/>
  <c r="X67" i="25"/>
  <c r="AC67" i="25"/>
  <c r="V68" i="25" a="1"/>
  <c r="V68" i="25"/>
  <c r="W68" i="25"/>
  <c r="AA68" i="25"/>
  <c r="X68" i="25"/>
  <c r="AC68" i="25"/>
  <c r="V69" i="25" a="1"/>
  <c r="V69" i="25"/>
  <c r="W69" i="25"/>
  <c r="AA69" i="25"/>
  <c r="X69" i="25"/>
  <c r="AC69" i="25"/>
  <c r="V70" i="25" a="1"/>
  <c r="V70" i="25"/>
  <c r="W70" i="25"/>
  <c r="AA70" i="25"/>
  <c r="X70" i="25"/>
  <c r="AC70" i="25"/>
  <c r="V71" i="25" a="1"/>
  <c r="V71" i="25"/>
  <c r="W71" i="25"/>
  <c r="AA71" i="25"/>
  <c r="X71" i="25"/>
  <c r="AC71" i="25"/>
  <c r="V72" i="25" a="1"/>
  <c r="V72" i="25"/>
  <c r="W72" i="25"/>
  <c r="AA72" i="25"/>
  <c r="X72" i="25"/>
  <c r="AC72" i="25"/>
  <c r="V73" i="25" a="1"/>
  <c r="V73" i="25"/>
  <c r="W73" i="25"/>
  <c r="AA73" i="25"/>
  <c r="X73" i="25"/>
  <c r="AC73" i="25"/>
  <c r="V74" i="25" a="1"/>
  <c r="V74" i="25"/>
  <c r="W74" i="25"/>
  <c r="AA74" i="25"/>
  <c r="X74" i="25"/>
  <c r="AC74" i="25"/>
  <c r="V75" i="25" a="1"/>
  <c r="V75" i="25"/>
  <c r="W75" i="25"/>
  <c r="AA75" i="25"/>
  <c r="X75" i="25"/>
  <c r="AC75" i="25"/>
  <c r="V76" i="25" a="1"/>
  <c r="V76" i="25"/>
  <c r="W76" i="25"/>
  <c r="AA76" i="25"/>
  <c r="X76" i="25"/>
  <c r="AC76" i="25"/>
  <c r="V77" i="25" a="1"/>
  <c r="V77" i="25"/>
  <c r="W77" i="25"/>
  <c r="AA77" i="25"/>
  <c r="X77" i="25"/>
  <c r="AC77" i="25"/>
  <c r="V78" i="25" a="1"/>
  <c r="V78" i="25"/>
  <c r="W78" i="25"/>
  <c r="AA78" i="25"/>
  <c r="X78" i="25"/>
  <c r="AC78" i="25"/>
  <c r="V79" i="25" a="1"/>
  <c r="V79" i="25"/>
  <c r="W79" i="25"/>
  <c r="AA79" i="25"/>
  <c r="X79" i="25"/>
  <c r="AC79" i="25"/>
  <c r="V80" i="25" a="1"/>
  <c r="V80" i="25"/>
  <c r="W80" i="25"/>
  <c r="AA80" i="25"/>
  <c r="X80" i="25"/>
  <c r="AC80" i="25"/>
  <c r="V81" i="25" a="1"/>
  <c r="V81" i="25"/>
  <c r="W81" i="25"/>
  <c r="AA81" i="25"/>
  <c r="X81" i="25"/>
  <c r="AC81" i="25"/>
  <c r="V82" i="25" a="1"/>
  <c r="V82" i="25"/>
  <c r="W82" i="25"/>
  <c r="AA82" i="25"/>
  <c r="X82" i="25"/>
  <c r="AC82" i="25"/>
  <c r="V83" i="25" a="1"/>
  <c r="V83" i="25"/>
  <c r="W83" i="25"/>
  <c r="AA83" i="25"/>
  <c r="X83" i="25"/>
  <c r="AC83" i="25"/>
  <c r="V84" i="25" a="1"/>
  <c r="V84" i="25"/>
  <c r="W84" i="25"/>
  <c r="AA84" i="25"/>
  <c r="X84" i="25"/>
  <c r="AC84" i="25"/>
  <c r="V85" i="25" a="1"/>
  <c r="V85" i="25"/>
  <c r="W85" i="25"/>
  <c r="AA85" i="25"/>
  <c r="X85" i="25"/>
  <c r="AC85" i="25"/>
  <c r="V86" i="25" a="1"/>
  <c r="V86" i="25"/>
  <c r="W86" i="25"/>
  <c r="AA86" i="25"/>
  <c r="X86" i="25"/>
  <c r="AC86" i="25"/>
  <c r="V87" i="25" a="1"/>
  <c r="V87" i="25"/>
  <c r="W87" i="25"/>
  <c r="AA87" i="25"/>
  <c r="X87" i="25"/>
  <c r="AC87" i="25"/>
  <c r="V88" i="25" a="1"/>
  <c r="V88" i="25"/>
  <c r="W88" i="25"/>
  <c r="AA88" i="25"/>
  <c r="X88" i="25"/>
  <c r="AC88" i="25"/>
  <c r="V89" i="25" a="1"/>
  <c r="V89" i="25"/>
  <c r="W89" i="25"/>
  <c r="AA89" i="25"/>
  <c r="X89" i="25"/>
  <c r="AC89" i="25"/>
  <c r="V90" i="25" a="1"/>
  <c r="V90" i="25"/>
  <c r="W90" i="25"/>
  <c r="AA90" i="25"/>
  <c r="X90" i="25"/>
  <c r="AC90" i="25"/>
  <c r="V91" i="25" a="1"/>
  <c r="V91" i="25"/>
  <c r="W91" i="25"/>
  <c r="AA91" i="25"/>
  <c r="X91" i="25"/>
  <c r="AC91" i="25"/>
  <c r="V92" i="25" a="1"/>
  <c r="V92" i="25"/>
  <c r="W92" i="25"/>
  <c r="AA92" i="25"/>
  <c r="X92" i="25"/>
  <c r="AC92" i="25"/>
  <c r="V93" i="25" a="1"/>
  <c r="V93" i="25"/>
  <c r="W93" i="25"/>
  <c r="AA93" i="25"/>
  <c r="X93" i="25"/>
  <c r="AC93" i="25"/>
  <c r="V94" i="25" a="1"/>
  <c r="V94" i="25"/>
  <c r="W94" i="25"/>
  <c r="AA94" i="25"/>
  <c r="X94" i="25"/>
  <c r="AC94" i="25"/>
  <c r="V95" i="25" a="1"/>
  <c r="V95" i="25"/>
  <c r="W95" i="25"/>
  <c r="AA95" i="25"/>
  <c r="X95" i="25"/>
  <c r="AC95" i="25"/>
  <c r="V96" i="25" a="1"/>
  <c r="V96" i="25"/>
  <c r="W96" i="25"/>
  <c r="AA96" i="25"/>
  <c r="X96" i="25"/>
  <c r="AC96" i="25"/>
  <c r="V97" i="25" a="1"/>
  <c r="V97" i="25"/>
  <c r="W97" i="25"/>
  <c r="AA97" i="25"/>
  <c r="X97" i="25"/>
  <c r="AC97" i="25"/>
  <c r="V98" i="25" a="1"/>
  <c r="V98" i="25"/>
  <c r="W98" i="25"/>
  <c r="AA98" i="25"/>
  <c r="X98" i="25"/>
  <c r="AC98" i="25"/>
  <c r="V99" i="25" a="1"/>
  <c r="V99" i="25"/>
  <c r="W99" i="25"/>
  <c r="AA99" i="25"/>
  <c r="X99" i="25"/>
  <c r="AC99" i="25"/>
  <c r="V100" i="25" a="1"/>
  <c r="V100" i="25"/>
  <c r="W100" i="25"/>
  <c r="AA100" i="25"/>
  <c r="X100" i="25"/>
  <c r="AC100" i="25"/>
  <c r="V101" i="25" a="1"/>
  <c r="V101" i="25"/>
  <c r="W101" i="25"/>
  <c r="AA101" i="25"/>
  <c r="X101" i="25"/>
  <c r="AC101" i="25"/>
  <c r="V102" i="25" a="1"/>
  <c r="V102" i="25"/>
  <c r="W102" i="25"/>
  <c r="AA102" i="25"/>
  <c r="X102" i="25"/>
  <c r="AC102" i="25"/>
  <c r="V103" i="25" a="1"/>
  <c r="V103" i="25"/>
  <c r="W103" i="25"/>
  <c r="AA103" i="25"/>
  <c r="X103" i="25"/>
  <c r="AC103" i="25"/>
  <c r="V104" i="25" a="1"/>
  <c r="V104" i="25"/>
  <c r="W104" i="25"/>
  <c r="AA104" i="25"/>
  <c r="X104" i="25"/>
  <c r="AC104" i="25"/>
  <c r="V105" i="25" a="1"/>
  <c r="V105" i="25"/>
  <c r="W105" i="25"/>
  <c r="AA105" i="25"/>
  <c r="X105" i="25"/>
  <c r="AC105" i="25"/>
  <c r="V106" i="25" a="1"/>
  <c r="V106" i="25"/>
  <c r="W106" i="25"/>
  <c r="AA106" i="25"/>
  <c r="X106" i="25"/>
  <c r="AC106" i="25"/>
  <c r="V107" i="25" a="1"/>
  <c r="V107" i="25"/>
  <c r="W107" i="25"/>
  <c r="AA107" i="25"/>
  <c r="X107" i="25"/>
  <c r="AC107" i="25"/>
  <c r="V108" i="25" a="1"/>
  <c r="V108" i="25"/>
  <c r="W108" i="25"/>
  <c r="AA108" i="25"/>
  <c r="X108" i="25"/>
  <c r="AC108" i="25"/>
  <c r="V109" i="25" a="1"/>
  <c r="V109" i="25"/>
  <c r="W109" i="25"/>
  <c r="AA109" i="25"/>
  <c r="X109" i="25"/>
  <c r="AC109" i="25"/>
  <c r="V110" i="25" a="1"/>
  <c r="V110" i="25"/>
  <c r="W110" i="25"/>
  <c r="AA110" i="25"/>
  <c r="X110" i="25"/>
  <c r="AC110" i="25"/>
  <c r="V111" i="25" a="1"/>
  <c r="V111" i="25"/>
  <c r="W111" i="25"/>
  <c r="AA111" i="25"/>
  <c r="X111" i="25"/>
  <c r="AC111" i="25"/>
  <c r="V112" i="25" a="1"/>
  <c r="V112" i="25"/>
  <c r="W112" i="25"/>
  <c r="AA112" i="25"/>
  <c r="X112" i="25"/>
  <c r="AC112" i="25"/>
  <c r="V113" i="25" a="1"/>
  <c r="V113" i="25"/>
  <c r="W113" i="25"/>
  <c r="AA113" i="25"/>
  <c r="X113" i="25"/>
  <c r="AC113" i="25"/>
  <c r="V114" i="25" a="1"/>
  <c r="V114" i="25"/>
  <c r="W114" i="25"/>
  <c r="AA114" i="25"/>
  <c r="X114" i="25"/>
  <c r="AC114" i="25"/>
  <c r="V115" i="25" a="1"/>
  <c r="V115" i="25"/>
  <c r="W115" i="25"/>
  <c r="AA115" i="25"/>
  <c r="X115" i="25"/>
  <c r="AC115" i="25"/>
  <c r="V116" i="25" a="1"/>
  <c r="V116" i="25"/>
  <c r="W116" i="25"/>
  <c r="AA116" i="25"/>
  <c r="X116" i="25"/>
  <c r="AC116" i="25"/>
  <c r="V117" i="25" a="1"/>
  <c r="V117" i="25"/>
  <c r="W117" i="25"/>
  <c r="AA117" i="25"/>
  <c r="X117" i="25"/>
  <c r="AC117" i="25"/>
  <c r="V118" i="25" a="1"/>
  <c r="V118" i="25"/>
  <c r="W118" i="25"/>
  <c r="AA118" i="25"/>
  <c r="X118" i="25"/>
  <c r="AC118" i="25"/>
  <c r="V119" i="25" a="1"/>
  <c r="V119" i="25"/>
  <c r="W119" i="25"/>
  <c r="AA119" i="25"/>
  <c r="X119" i="25"/>
  <c r="AC119" i="25"/>
  <c r="V120" i="25" a="1"/>
  <c r="V120" i="25"/>
  <c r="W120" i="25"/>
  <c r="AA120" i="25"/>
  <c r="X120" i="25"/>
  <c r="AC120" i="25"/>
  <c r="V121" i="25" a="1"/>
  <c r="V121" i="25"/>
  <c r="W121" i="25"/>
  <c r="AA121" i="25"/>
  <c r="X121" i="25"/>
  <c r="AC121" i="25"/>
  <c r="V122" i="25" a="1"/>
  <c r="V122" i="25"/>
  <c r="W122" i="25"/>
  <c r="AA122" i="25"/>
  <c r="X122" i="25"/>
  <c r="AC122" i="25"/>
  <c r="V123" i="25" a="1"/>
  <c r="V123" i="25"/>
  <c r="W123" i="25"/>
  <c r="AA123" i="25"/>
  <c r="X123" i="25"/>
  <c r="AC123" i="25"/>
  <c r="V124" i="25" a="1"/>
  <c r="V124" i="25"/>
  <c r="W124" i="25"/>
  <c r="AA124" i="25"/>
  <c r="X124" i="25"/>
  <c r="AC124" i="25"/>
  <c r="V125" i="25" a="1"/>
  <c r="V125" i="25"/>
  <c r="W125" i="25"/>
  <c r="AA125" i="25"/>
  <c r="X125" i="25"/>
  <c r="AC125" i="25"/>
  <c r="V126" i="25" a="1"/>
  <c r="V126" i="25"/>
  <c r="W126" i="25"/>
  <c r="AA126" i="25"/>
  <c r="X126" i="25"/>
  <c r="AC126" i="25"/>
  <c r="V127" i="25" a="1"/>
  <c r="V127" i="25"/>
  <c r="W127" i="25"/>
  <c r="AA127" i="25"/>
  <c r="X127" i="25"/>
  <c r="AC127" i="25"/>
  <c r="V128" i="25" a="1"/>
  <c r="V128" i="25"/>
  <c r="W128" i="25"/>
  <c r="AA128" i="25"/>
  <c r="X128" i="25"/>
  <c r="AC128" i="25"/>
  <c r="V129" i="25" a="1"/>
  <c r="V129" i="25"/>
  <c r="W129" i="25"/>
  <c r="AA129" i="25"/>
  <c r="X129" i="25"/>
  <c r="AC129" i="25"/>
  <c r="V130" i="25" a="1"/>
  <c r="V130" i="25"/>
  <c r="W130" i="25"/>
  <c r="AA130" i="25"/>
  <c r="X130" i="25"/>
  <c r="AC130" i="25"/>
  <c r="V131" i="25" a="1"/>
  <c r="V131" i="25"/>
  <c r="W131" i="25"/>
  <c r="AA131" i="25"/>
  <c r="X131" i="25"/>
  <c r="AC131" i="25"/>
  <c r="V132" i="25" a="1"/>
  <c r="V132" i="25"/>
  <c r="W132" i="25"/>
  <c r="AA132" i="25"/>
  <c r="X132" i="25"/>
  <c r="AC132" i="25"/>
  <c r="V133" i="25" a="1"/>
  <c r="V133" i="25"/>
  <c r="W133" i="25"/>
  <c r="AA133" i="25"/>
  <c r="X133" i="25"/>
  <c r="AC133" i="25"/>
  <c r="V134" i="25" a="1"/>
  <c r="V134" i="25"/>
  <c r="W134" i="25"/>
  <c r="AA134" i="25"/>
  <c r="X134" i="25"/>
  <c r="AC134" i="25"/>
  <c r="V135" i="25" a="1"/>
  <c r="V135" i="25"/>
  <c r="W135" i="25"/>
  <c r="AA135" i="25"/>
  <c r="X135" i="25"/>
  <c r="AC135" i="25"/>
  <c r="V136" i="25" a="1"/>
  <c r="V136" i="25"/>
  <c r="W136" i="25"/>
  <c r="AA136" i="25"/>
  <c r="X136" i="25"/>
  <c r="AC136" i="25"/>
  <c r="V137" i="25" a="1"/>
  <c r="V137" i="25"/>
  <c r="W137" i="25"/>
  <c r="AA137" i="25"/>
  <c r="X137" i="25"/>
  <c r="AC137" i="25"/>
  <c r="V138" i="25" a="1"/>
  <c r="V138" i="25"/>
  <c r="W138" i="25"/>
  <c r="AA138" i="25"/>
  <c r="X138" i="25"/>
  <c r="AC138" i="25"/>
  <c r="V139" i="25" a="1"/>
  <c r="V139" i="25"/>
  <c r="W139" i="25"/>
  <c r="AA139" i="25"/>
  <c r="X139" i="25"/>
  <c r="AC139" i="25"/>
  <c r="V140" i="25" a="1"/>
  <c r="V140" i="25"/>
  <c r="W140" i="25"/>
  <c r="AA140" i="25"/>
  <c r="X140" i="25"/>
  <c r="AC140" i="25"/>
  <c r="V141" i="25" a="1"/>
  <c r="V141" i="25"/>
  <c r="W141" i="25"/>
  <c r="AA141" i="25"/>
  <c r="X141" i="25"/>
  <c r="AC141" i="25"/>
  <c r="V142" i="25" a="1"/>
  <c r="V142" i="25"/>
  <c r="W142" i="25"/>
  <c r="AA142" i="25"/>
  <c r="X142" i="25"/>
  <c r="AC142" i="25"/>
  <c r="V143" i="25" a="1"/>
  <c r="V143" i="25"/>
  <c r="W143" i="25"/>
  <c r="AA143" i="25"/>
  <c r="X143" i="25"/>
  <c r="AC143" i="25"/>
  <c r="V144" i="25" a="1"/>
  <c r="V144" i="25"/>
  <c r="W144" i="25"/>
  <c r="AA144" i="25"/>
  <c r="X144" i="25"/>
  <c r="AC144" i="25"/>
  <c r="V145" i="25" a="1"/>
  <c r="V145" i="25"/>
  <c r="W145" i="25"/>
  <c r="AA145" i="25"/>
  <c r="X145" i="25"/>
  <c r="AC145" i="25"/>
  <c r="V146" i="25" a="1"/>
  <c r="V146" i="25"/>
  <c r="W146" i="25"/>
  <c r="AA146" i="25"/>
  <c r="X146" i="25"/>
  <c r="AC146" i="25"/>
  <c r="V147" i="25" a="1"/>
  <c r="V147" i="25"/>
  <c r="W147" i="25"/>
  <c r="AA147" i="25"/>
  <c r="X147" i="25"/>
  <c r="AC147" i="25"/>
  <c r="V148" i="25" a="1"/>
  <c r="V148" i="25"/>
  <c r="W148" i="25"/>
  <c r="AA148" i="25"/>
  <c r="X148" i="25"/>
  <c r="AC148" i="25"/>
  <c r="V149" i="25" a="1"/>
  <c r="V149" i="25"/>
  <c r="W149" i="25"/>
  <c r="AA149" i="25"/>
  <c r="X149" i="25"/>
  <c r="AC149" i="25"/>
  <c r="V150" i="25" a="1"/>
  <c r="V150" i="25"/>
  <c r="W150" i="25"/>
  <c r="AA150" i="25"/>
  <c r="X150" i="25"/>
  <c r="AC150" i="25"/>
  <c r="V151" i="25" a="1"/>
  <c r="V151" i="25"/>
  <c r="W151" i="25"/>
  <c r="AA151" i="25"/>
  <c r="X151" i="25"/>
  <c r="AC151" i="25"/>
  <c r="V152" i="25" a="1"/>
  <c r="V152" i="25"/>
  <c r="W152" i="25"/>
  <c r="AA152" i="25"/>
  <c r="X152" i="25"/>
  <c r="AC152" i="25"/>
  <c r="V153" i="25" a="1"/>
  <c r="V153" i="25"/>
  <c r="W153" i="25"/>
  <c r="AA153" i="25"/>
  <c r="X153" i="25"/>
  <c r="AC153" i="25"/>
  <c r="V154" i="25" a="1"/>
  <c r="V154" i="25"/>
  <c r="W154" i="25"/>
  <c r="AA154" i="25"/>
  <c r="X154" i="25"/>
  <c r="AC154" i="25"/>
  <c r="V155" i="25" a="1"/>
  <c r="V155" i="25"/>
  <c r="W155" i="25"/>
  <c r="AA155" i="25"/>
  <c r="X155" i="25"/>
  <c r="AC155" i="25"/>
  <c r="V156" i="25" a="1"/>
  <c r="V156" i="25"/>
  <c r="W156" i="25"/>
  <c r="AA156" i="25"/>
  <c r="X156" i="25"/>
  <c r="AC156" i="25"/>
  <c r="V157" i="25" a="1"/>
  <c r="V157" i="25"/>
  <c r="W157" i="25"/>
  <c r="AA157" i="25"/>
  <c r="X157" i="25"/>
  <c r="AC157" i="25"/>
  <c r="V158" i="25" a="1"/>
  <c r="V158" i="25"/>
  <c r="W158" i="25"/>
  <c r="AA158" i="25"/>
  <c r="X158" i="25"/>
  <c r="AC158" i="25"/>
  <c r="V159" i="25" a="1"/>
  <c r="V159" i="25"/>
  <c r="W159" i="25"/>
  <c r="AA159" i="25"/>
  <c r="X159" i="25"/>
  <c r="AC159" i="25"/>
  <c r="V160" i="25" a="1"/>
  <c r="V160" i="25"/>
  <c r="W160" i="25"/>
  <c r="AA160" i="25"/>
  <c r="X160" i="25"/>
  <c r="AC160" i="25"/>
  <c r="V161" i="25" a="1"/>
  <c r="V161" i="25"/>
  <c r="W161" i="25"/>
  <c r="AA161" i="25"/>
  <c r="X161" i="25"/>
  <c r="AC161" i="25"/>
  <c r="V162" i="25" a="1"/>
  <c r="V162" i="25"/>
  <c r="W162" i="25"/>
  <c r="AA162" i="25"/>
  <c r="X162" i="25"/>
  <c r="AC162" i="25"/>
  <c r="V163" i="25" a="1"/>
  <c r="V163" i="25"/>
  <c r="W163" i="25"/>
  <c r="AA163" i="25"/>
  <c r="X163" i="25"/>
  <c r="AC163" i="25"/>
  <c r="V164" i="25" a="1"/>
  <c r="V164" i="25"/>
  <c r="W164" i="25"/>
  <c r="AA164" i="25"/>
  <c r="X164" i="25"/>
  <c r="AC164" i="25"/>
  <c r="V165" i="25" a="1"/>
  <c r="V165" i="25"/>
  <c r="W165" i="25"/>
  <c r="AA165" i="25"/>
  <c r="X165" i="25"/>
  <c r="AC165" i="25"/>
  <c r="V166" i="25" a="1"/>
  <c r="V166" i="25"/>
  <c r="W166" i="25"/>
  <c r="AA166" i="25"/>
  <c r="X166" i="25"/>
  <c r="AC166" i="25"/>
  <c r="V167" i="25" a="1"/>
  <c r="V167" i="25"/>
  <c r="W167" i="25"/>
  <c r="AA167" i="25"/>
  <c r="X167" i="25"/>
  <c r="AC167" i="25"/>
  <c r="V168" i="25" a="1"/>
  <c r="V168" i="25"/>
  <c r="W168" i="25"/>
  <c r="AA168" i="25"/>
  <c r="X168" i="25"/>
  <c r="AC168" i="25"/>
  <c r="V169" i="25" a="1"/>
  <c r="V169" i="25"/>
  <c r="W169" i="25"/>
  <c r="AA169" i="25"/>
  <c r="X169" i="25"/>
  <c r="AC169" i="25"/>
  <c r="V170" i="25" a="1"/>
  <c r="V170" i="25"/>
  <c r="W170" i="25"/>
  <c r="AA170" i="25"/>
  <c r="X170" i="25"/>
  <c r="AC170" i="25"/>
  <c r="V171" i="25" a="1"/>
  <c r="V171" i="25"/>
  <c r="W171" i="25"/>
  <c r="AA171" i="25"/>
  <c r="X171" i="25"/>
  <c r="AC171" i="25"/>
  <c r="V172" i="25" a="1"/>
  <c r="V172" i="25"/>
  <c r="W172" i="25"/>
  <c r="AA172" i="25"/>
  <c r="X172" i="25"/>
  <c r="AC172" i="25"/>
  <c r="V173" i="25" a="1"/>
  <c r="V173" i="25"/>
  <c r="W173" i="25"/>
  <c r="AA173" i="25"/>
  <c r="X173" i="25"/>
  <c r="AC173" i="25"/>
  <c r="V174" i="25" a="1"/>
  <c r="V174" i="25"/>
  <c r="W174" i="25"/>
  <c r="AA174" i="25"/>
  <c r="X174" i="25"/>
  <c r="AC174" i="25"/>
  <c r="V175" i="25" a="1"/>
  <c r="V175" i="25"/>
  <c r="W175" i="25"/>
  <c r="AA175" i="25"/>
  <c r="X175" i="25"/>
  <c r="AC175" i="25"/>
  <c r="V176" i="25" a="1"/>
  <c r="V176" i="25"/>
  <c r="W176" i="25"/>
  <c r="AA176" i="25"/>
  <c r="X176" i="25"/>
  <c r="AC176" i="25"/>
  <c r="V177" i="25" a="1"/>
  <c r="V177" i="25"/>
  <c r="W177" i="25"/>
  <c r="AA177" i="25"/>
  <c r="X177" i="25"/>
  <c r="AC177" i="25"/>
  <c r="V178" i="25" a="1"/>
  <c r="V178" i="25"/>
  <c r="W178" i="25"/>
  <c r="AA178" i="25"/>
  <c r="X178" i="25"/>
  <c r="AC178" i="25"/>
  <c r="V179" i="25" a="1"/>
  <c r="V179" i="25"/>
  <c r="W179" i="25"/>
  <c r="AA179" i="25"/>
  <c r="X179" i="25"/>
  <c r="AC179" i="25"/>
  <c r="V180" i="25" a="1"/>
  <c r="V180" i="25"/>
  <c r="W180" i="25"/>
  <c r="AA180" i="25"/>
  <c r="X180" i="25"/>
  <c r="AC180" i="25"/>
  <c r="V181" i="25" a="1"/>
  <c r="V181" i="25"/>
  <c r="W181" i="25"/>
  <c r="AA181" i="25"/>
  <c r="X181" i="25"/>
  <c r="AC181" i="25"/>
  <c r="V182" i="25" a="1"/>
  <c r="V182" i="25"/>
  <c r="W182" i="25"/>
  <c r="AA182" i="25"/>
  <c r="X182" i="25"/>
  <c r="AC182" i="25"/>
  <c r="V183" i="25" a="1"/>
  <c r="V183" i="25"/>
  <c r="W183" i="25"/>
  <c r="AA183" i="25"/>
  <c r="X183" i="25"/>
  <c r="AC183" i="25"/>
  <c r="V184" i="25" a="1"/>
  <c r="V184" i="25"/>
  <c r="W184" i="25"/>
  <c r="AA184" i="25"/>
  <c r="X184" i="25"/>
  <c r="AC184" i="25"/>
  <c r="V185" i="25" a="1"/>
  <c r="V185" i="25"/>
  <c r="W185" i="25"/>
  <c r="AA185" i="25"/>
  <c r="X185" i="25"/>
  <c r="AC185" i="25"/>
  <c r="V186" i="25" a="1"/>
  <c r="V186" i="25"/>
  <c r="W186" i="25"/>
  <c r="AA186" i="25"/>
  <c r="X186" i="25"/>
  <c r="AC186" i="25"/>
  <c r="V187" i="25" a="1"/>
  <c r="V187" i="25"/>
  <c r="W187" i="25"/>
  <c r="AA187" i="25"/>
  <c r="X187" i="25"/>
  <c r="AC187" i="25"/>
  <c r="V188" i="25" a="1"/>
  <c r="V188" i="25"/>
  <c r="W188" i="25"/>
  <c r="AA188" i="25"/>
  <c r="X188" i="25"/>
  <c r="AC188" i="25"/>
  <c r="V189" i="25" a="1"/>
  <c r="V189" i="25"/>
  <c r="W189" i="25"/>
  <c r="AA189" i="25"/>
  <c r="X189" i="25"/>
  <c r="AC189" i="25"/>
  <c r="V190" i="25" a="1"/>
  <c r="V190" i="25"/>
  <c r="W190" i="25"/>
  <c r="AA190" i="25"/>
  <c r="X190" i="25"/>
  <c r="AC190" i="25"/>
  <c r="V191" i="25" a="1"/>
  <c r="V191" i="25"/>
  <c r="W191" i="25"/>
  <c r="AA191" i="25"/>
  <c r="X191" i="25"/>
  <c r="AC191" i="25"/>
  <c r="V192" i="25" a="1"/>
  <c r="V192" i="25"/>
  <c r="W192" i="25"/>
  <c r="AA192" i="25"/>
  <c r="X192" i="25"/>
  <c r="AC192" i="25"/>
  <c r="V193" i="25" a="1"/>
  <c r="V193" i="25"/>
  <c r="W193" i="25"/>
  <c r="AA193" i="25"/>
  <c r="X193" i="25"/>
  <c r="AC193" i="25"/>
  <c r="V194" i="25" a="1"/>
  <c r="V194" i="25"/>
  <c r="W194" i="25"/>
  <c r="AA194" i="25"/>
  <c r="X194" i="25"/>
  <c r="AC194" i="25"/>
  <c r="V195" i="25" a="1"/>
  <c r="V195" i="25"/>
  <c r="W195" i="25"/>
  <c r="AA195" i="25"/>
  <c r="X195" i="25"/>
  <c r="AC195" i="25"/>
  <c r="V196" i="25" a="1"/>
  <c r="V196" i="25"/>
  <c r="W196" i="25"/>
  <c r="AA196" i="25"/>
  <c r="X196" i="25"/>
  <c r="AC196" i="25"/>
  <c r="V197" i="25" a="1"/>
  <c r="V197" i="25"/>
  <c r="W197" i="25"/>
  <c r="AA197" i="25"/>
  <c r="X197" i="25"/>
  <c r="AC197" i="25"/>
  <c r="V198" i="25" a="1"/>
  <c r="V198" i="25"/>
  <c r="W198" i="25"/>
  <c r="AA198" i="25"/>
  <c r="X198" i="25"/>
  <c r="AC198" i="25"/>
  <c r="V199" i="25" a="1"/>
  <c r="V199" i="25"/>
  <c r="W199" i="25"/>
  <c r="AA199" i="25"/>
  <c r="X199" i="25"/>
  <c r="AC199" i="25"/>
  <c r="V200" i="25" a="1"/>
  <c r="V200" i="25"/>
  <c r="W200" i="25"/>
  <c r="AA200" i="25"/>
  <c r="X200" i="25"/>
  <c r="AC200" i="25"/>
  <c r="V201" i="25" a="1"/>
  <c r="V201" i="25"/>
  <c r="W201" i="25"/>
  <c r="AA201" i="25"/>
  <c r="X201" i="25"/>
  <c r="AC201" i="25"/>
  <c r="V202" i="25" a="1"/>
  <c r="V202" i="25"/>
  <c r="W202" i="25"/>
  <c r="AA202" i="25"/>
  <c r="X202" i="25"/>
  <c r="AC202" i="25"/>
  <c r="V203" i="25" a="1"/>
  <c r="V203" i="25"/>
  <c r="W203" i="25"/>
  <c r="AA203" i="25"/>
  <c r="X203" i="25"/>
  <c r="AC203" i="25"/>
  <c r="V204" i="25" a="1"/>
  <c r="V204" i="25"/>
  <c r="W204" i="25"/>
  <c r="AA204" i="25"/>
  <c r="X204" i="25"/>
  <c r="AC204" i="25"/>
  <c r="V205" i="25" a="1"/>
  <c r="V205" i="25"/>
  <c r="W205" i="25"/>
  <c r="AA205" i="25"/>
  <c r="X205" i="25"/>
  <c r="AC205" i="25"/>
  <c r="V206" i="25" a="1"/>
  <c r="V206" i="25"/>
  <c r="W206" i="25"/>
  <c r="AA206" i="25"/>
  <c r="X206" i="25"/>
  <c r="AC206" i="25"/>
  <c r="V207" i="25" a="1"/>
  <c r="V207" i="25"/>
  <c r="W207" i="25"/>
  <c r="AA207" i="25"/>
  <c r="X207" i="25"/>
  <c r="AC207" i="25"/>
  <c r="V208" i="25" a="1"/>
  <c r="V208" i="25"/>
  <c r="W208" i="25"/>
  <c r="AA208" i="25"/>
  <c r="X208" i="25"/>
  <c r="AC208" i="25"/>
  <c r="V209" i="25" a="1"/>
  <c r="V209" i="25"/>
  <c r="W209" i="25"/>
  <c r="AA209" i="25"/>
  <c r="X209" i="25"/>
  <c r="AC209" i="25"/>
  <c r="V210" i="25" a="1"/>
  <c r="V210" i="25"/>
  <c r="W210" i="25"/>
  <c r="AA210" i="25"/>
  <c r="X210" i="25"/>
  <c r="AC210" i="25"/>
  <c r="V211" i="25" a="1"/>
  <c r="V211" i="25"/>
  <c r="W211" i="25"/>
  <c r="AA211" i="25"/>
  <c r="X211" i="25"/>
  <c r="AC211" i="25"/>
  <c r="V212" i="25" a="1"/>
  <c r="V212" i="25"/>
  <c r="W212" i="25"/>
  <c r="AA212" i="25"/>
  <c r="X212" i="25"/>
  <c r="AC212" i="25"/>
  <c r="V213" i="25" a="1"/>
  <c r="V213" i="25"/>
  <c r="W213" i="25"/>
  <c r="AA213" i="25"/>
  <c r="X213" i="25"/>
  <c r="AC213" i="25"/>
  <c r="V214" i="25" a="1"/>
  <c r="V214" i="25"/>
  <c r="W214" i="25"/>
  <c r="AA214" i="25"/>
  <c r="X214" i="25"/>
  <c r="AC214" i="25"/>
  <c r="V215" i="25" a="1"/>
  <c r="V215" i="25"/>
  <c r="W215" i="25"/>
  <c r="AA215" i="25"/>
  <c r="X215" i="25"/>
  <c r="AC215" i="25"/>
  <c r="V216" i="25" a="1"/>
  <c r="V216" i="25"/>
  <c r="W216" i="25"/>
  <c r="AA216" i="25"/>
  <c r="X216" i="25"/>
  <c r="AC216" i="25"/>
  <c r="V217" i="25" a="1"/>
  <c r="V217" i="25"/>
  <c r="W217" i="25"/>
  <c r="AA217" i="25"/>
  <c r="X217" i="25"/>
  <c r="AC217" i="25"/>
  <c r="V218" i="25" a="1"/>
  <c r="V218" i="25"/>
  <c r="W218" i="25"/>
  <c r="AA218" i="25"/>
  <c r="X218" i="25"/>
  <c r="AC218" i="25"/>
  <c r="V219" i="25" a="1"/>
  <c r="V219" i="25"/>
  <c r="W219" i="25"/>
  <c r="AA219" i="25"/>
  <c r="X219" i="25"/>
  <c r="AC219" i="25"/>
  <c r="V220" i="25" a="1"/>
  <c r="V220" i="25"/>
  <c r="W220" i="25"/>
  <c r="AA220" i="25"/>
  <c r="X220" i="25"/>
  <c r="AC220" i="25"/>
  <c r="V221" i="25" a="1"/>
  <c r="V221" i="25"/>
  <c r="W221" i="25"/>
  <c r="AA221" i="25"/>
  <c r="X221" i="25"/>
  <c r="AC221" i="25"/>
  <c r="V222" i="25" a="1"/>
  <c r="V222" i="25"/>
  <c r="W222" i="25"/>
  <c r="AA222" i="25"/>
  <c r="X222" i="25"/>
  <c r="AC222" i="25"/>
  <c r="V223" i="25" a="1"/>
  <c r="V223" i="25"/>
  <c r="W223" i="25"/>
  <c r="AA223" i="25"/>
  <c r="X223" i="25"/>
  <c r="AC223" i="25"/>
  <c r="V224" i="25" a="1"/>
  <c r="V224" i="25"/>
  <c r="W224" i="25"/>
  <c r="AA224" i="25"/>
  <c r="X224" i="25"/>
  <c r="AC224" i="25"/>
  <c r="V225" i="25" a="1"/>
  <c r="V225" i="25"/>
  <c r="W225" i="25"/>
  <c r="AA225" i="25"/>
  <c r="X225" i="25"/>
  <c r="AC225" i="25"/>
  <c r="V226" i="25" a="1"/>
  <c r="V226" i="25"/>
  <c r="W226" i="25"/>
  <c r="AA226" i="25"/>
  <c r="X226" i="25"/>
  <c r="AC226" i="25"/>
  <c r="V227" i="25" a="1"/>
  <c r="V227" i="25"/>
  <c r="W227" i="25"/>
  <c r="AA227" i="25"/>
  <c r="X227" i="25"/>
  <c r="AC227" i="25"/>
  <c r="V228" i="25" a="1"/>
  <c r="V228" i="25"/>
  <c r="W228" i="25"/>
  <c r="AA228" i="25"/>
  <c r="X228" i="25"/>
  <c r="AC228" i="25"/>
  <c r="V229" i="25" a="1"/>
  <c r="V229" i="25"/>
  <c r="W229" i="25"/>
  <c r="AA229" i="25"/>
  <c r="X229" i="25"/>
  <c r="AC229" i="25"/>
  <c r="V230" i="25" a="1"/>
  <c r="V230" i="25"/>
  <c r="W230" i="25"/>
  <c r="AA230" i="25"/>
  <c r="X230" i="25"/>
  <c r="AC230" i="25"/>
  <c r="V231" i="25" a="1"/>
  <c r="V231" i="25"/>
  <c r="W231" i="25"/>
  <c r="AA231" i="25"/>
  <c r="X231" i="25"/>
  <c r="AC231" i="25"/>
  <c r="V232" i="25" a="1"/>
  <c r="V232" i="25"/>
  <c r="W232" i="25"/>
  <c r="AA232" i="25"/>
  <c r="X232" i="25"/>
  <c r="AC232" i="25"/>
  <c r="V233" i="25" a="1"/>
  <c r="V233" i="25"/>
  <c r="W233" i="25"/>
  <c r="AA233" i="25"/>
  <c r="X233" i="25"/>
  <c r="AC233" i="25"/>
  <c r="V234" i="25" a="1"/>
  <c r="V234" i="25"/>
  <c r="W234" i="25"/>
  <c r="AA234" i="25"/>
  <c r="X234" i="25"/>
  <c r="AC234" i="25"/>
  <c r="V235" i="25" a="1"/>
  <c r="V235" i="25"/>
  <c r="W235" i="25"/>
  <c r="AA235" i="25"/>
  <c r="X235" i="25"/>
  <c r="AC235" i="25"/>
  <c r="V236" i="25" a="1"/>
  <c r="V236" i="25"/>
  <c r="W236" i="25"/>
  <c r="AA236" i="25"/>
  <c r="X236" i="25"/>
  <c r="AC236" i="25"/>
  <c r="V237" i="25" a="1"/>
  <c r="V237" i="25"/>
  <c r="W237" i="25"/>
  <c r="AA237" i="25"/>
  <c r="X237" i="25"/>
  <c r="AC237" i="25"/>
  <c r="V238" i="25" a="1"/>
  <c r="V238" i="25"/>
  <c r="W238" i="25"/>
  <c r="AA238" i="25"/>
  <c r="X238" i="25"/>
  <c r="AC238" i="25"/>
  <c r="V239" i="25" a="1"/>
  <c r="V239" i="25"/>
  <c r="W239" i="25"/>
  <c r="AA239" i="25"/>
  <c r="X239" i="25"/>
  <c r="AC239" i="25"/>
  <c r="V240" i="25" a="1"/>
  <c r="V240" i="25"/>
  <c r="W240" i="25"/>
  <c r="AA240" i="25"/>
  <c r="X240" i="25"/>
  <c r="AC240" i="25"/>
  <c r="V241" i="25" a="1"/>
  <c r="V241" i="25"/>
  <c r="W241" i="25"/>
  <c r="AA241" i="25"/>
  <c r="X241" i="25"/>
  <c r="AC241" i="25"/>
  <c r="V242" i="25" a="1"/>
  <c r="V242" i="25"/>
  <c r="W242" i="25"/>
  <c r="AA242" i="25"/>
  <c r="X242" i="25"/>
  <c r="AC242" i="25"/>
  <c r="V243" i="25" a="1"/>
  <c r="V243" i="25"/>
  <c r="W243" i="25"/>
  <c r="AA243" i="25"/>
  <c r="X243" i="25"/>
  <c r="AC243" i="25"/>
  <c r="V244" i="25" a="1"/>
  <c r="V244" i="25"/>
  <c r="W244" i="25"/>
  <c r="AA244" i="25"/>
  <c r="X244" i="25"/>
  <c r="AC244" i="25"/>
  <c r="V245" i="25" a="1"/>
  <c r="V245" i="25"/>
  <c r="W245" i="25"/>
  <c r="AA245" i="25"/>
  <c r="X245" i="25"/>
  <c r="AC245" i="25"/>
  <c r="V246" i="25" a="1"/>
  <c r="V246" i="25"/>
  <c r="W246" i="25"/>
  <c r="AA246" i="25"/>
  <c r="X246" i="25"/>
  <c r="AC246" i="25"/>
  <c r="V247" i="25" a="1"/>
  <c r="V247" i="25"/>
  <c r="W247" i="25"/>
  <c r="AA247" i="25"/>
  <c r="X247" i="25"/>
  <c r="AC247" i="25"/>
  <c r="V248" i="25" a="1"/>
  <c r="V248" i="25"/>
  <c r="W248" i="25"/>
  <c r="AA248" i="25"/>
  <c r="X248" i="25"/>
  <c r="AC248" i="25"/>
  <c r="V249" i="25" a="1"/>
  <c r="V249" i="25"/>
  <c r="W249" i="25"/>
  <c r="AA249" i="25"/>
  <c r="X249" i="25"/>
  <c r="AC249" i="25"/>
  <c r="U250" i="25" a="1"/>
  <c r="U250" i="25"/>
  <c r="U249" i="25" a="1"/>
  <c r="U249" i="25"/>
  <c r="U7" i="25" a="1"/>
  <c r="U8" i="25" a="1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21" i="25" a="1"/>
  <c r="U22" i="25" a="1"/>
  <c r="U23" i="25" a="1"/>
  <c r="U24" i="25" a="1"/>
  <c r="U25" i="25" a="1"/>
  <c r="U26" i="25" a="1"/>
  <c r="U27" i="25" a="1"/>
  <c r="U28" i="25" a="1"/>
  <c r="U29" i="25" a="1"/>
  <c r="U30" i="25" a="1"/>
  <c r="U31" i="25" a="1"/>
  <c r="U32" i="25" a="1"/>
  <c r="U33" i="25" a="1"/>
  <c r="U34" i="25" a="1"/>
  <c r="U35" i="25" a="1"/>
  <c r="U36" i="25" a="1"/>
  <c r="U37" i="25" a="1"/>
  <c r="U38" i="25" a="1"/>
  <c r="U39" i="25" a="1"/>
  <c r="U40" i="25" a="1"/>
  <c r="U41" i="25" a="1"/>
  <c r="U42" i="25" a="1"/>
  <c r="U43" i="25" a="1"/>
  <c r="U44" i="25" a="1"/>
  <c r="U45" i="25" a="1"/>
  <c r="U46" i="25" a="1"/>
  <c r="U47" i="25" a="1"/>
  <c r="U48" i="25" a="1"/>
  <c r="U49" i="25" a="1"/>
  <c r="U50" i="25" a="1"/>
  <c r="U51" i="25" a="1"/>
  <c r="U52" i="25" a="1"/>
  <c r="U53" i="25" a="1"/>
  <c r="U54" i="25" a="1"/>
  <c r="U55" i="25" a="1"/>
  <c r="U56" i="25" a="1"/>
  <c r="U57" i="25" a="1"/>
  <c r="U58" i="25" a="1"/>
  <c r="U59" i="25" a="1"/>
  <c r="U60" i="25" a="1"/>
  <c r="U61" i="25" a="1"/>
  <c r="U62" i="25" a="1"/>
  <c r="U63" i="25" a="1"/>
  <c r="U64" i="25" a="1"/>
  <c r="U65" i="25" a="1"/>
  <c r="U66" i="25" a="1"/>
  <c r="U67" i="25" a="1"/>
  <c r="U68" i="25" a="1"/>
  <c r="U69" i="25" a="1"/>
  <c r="U70" i="25" a="1"/>
  <c r="U71" i="25" a="1"/>
  <c r="U72" i="25" a="1"/>
  <c r="U73" i="25" a="1"/>
  <c r="U74" i="25" a="1"/>
  <c r="U75" i="25" a="1"/>
  <c r="U76" i="25" a="1"/>
  <c r="U77" i="25" a="1"/>
  <c r="U78" i="25" a="1"/>
  <c r="U79" i="25" a="1"/>
  <c r="U80" i="25" a="1"/>
  <c r="U81" i="25" a="1"/>
  <c r="U82" i="25" a="1"/>
  <c r="U83" i="25" a="1"/>
  <c r="U84" i="25" a="1"/>
  <c r="U85" i="25" a="1"/>
  <c r="U86" i="25" a="1"/>
  <c r="U87" i="25" a="1"/>
  <c r="U88" i="25" a="1"/>
  <c r="U89" i="25" a="1"/>
  <c r="U90" i="25" a="1"/>
  <c r="U91" i="25" a="1"/>
  <c r="U92" i="25" a="1"/>
  <c r="U93" i="25" a="1"/>
  <c r="U94" i="25" a="1"/>
  <c r="U95" i="25" a="1"/>
  <c r="U96" i="25" a="1"/>
  <c r="U97" i="25" a="1"/>
  <c r="U98" i="25" a="1"/>
  <c r="U99" i="25" a="1"/>
  <c r="U100" i="25" a="1"/>
  <c r="U101" i="25" a="1"/>
  <c r="U102" i="25" a="1"/>
  <c r="U103" i="25" a="1"/>
  <c r="U104" i="25" a="1"/>
  <c r="U105" i="25" a="1"/>
  <c r="U106" i="25" a="1"/>
  <c r="U107" i="25" a="1"/>
  <c r="U108" i="25" a="1"/>
  <c r="U109" i="25" a="1"/>
  <c r="U110" i="25" a="1"/>
  <c r="U111" i="25" a="1"/>
  <c r="U112" i="25" a="1"/>
  <c r="U113" i="25" a="1"/>
  <c r="U114" i="25" a="1"/>
  <c r="U115" i="25" a="1"/>
  <c r="U116" i="25" a="1"/>
  <c r="U117" i="25" a="1"/>
  <c r="U118" i="25" a="1"/>
  <c r="U119" i="25" a="1"/>
  <c r="U120" i="25" a="1"/>
  <c r="U121" i="25" a="1"/>
  <c r="U122" i="25" a="1"/>
  <c r="U123" i="25" a="1"/>
  <c r="U124" i="25" a="1"/>
  <c r="U125" i="25" a="1"/>
  <c r="U126" i="25" a="1"/>
  <c r="U127" i="25" a="1"/>
  <c r="U128" i="25" a="1"/>
  <c r="U129" i="25" a="1"/>
  <c r="U130" i="25" a="1"/>
  <c r="U131" i="25" a="1"/>
  <c r="U132" i="25" a="1"/>
  <c r="U133" i="25" a="1"/>
  <c r="U134" i="25" a="1"/>
  <c r="U135" i="25" a="1"/>
  <c r="U136" i="25" a="1"/>
  <c r="U137" i="25" a="1"/>
  <c r="U138" i="25" a="1"/>
  <c r="U139" i="25" a="1"/>
  <c r="U140" i="25" a="1"/>
  <c r="U141" i="25" a="1"/>
  <c r="U142" i="25" a="1"/>
  <c r="U143" i="25" a="1"/>
  <c r="U144" i="25" a="1"/>
  <c r="U145" i="25" a="1"/>
  <c r="U146" i="25" a="1"/>
  <c r="U147" i="25" a="1"/>
  <c r="U148" i="25" a="1"/>
  <c r="U149" i="25" a="1"/>
  <c r="U150" i="25" a="1"/>
  <c r="U151" i="25" a="1"/>
  <c r="U152" i="25" a="1"/>
  <c r="U153" i="25" a="1"/>
  <c r="U154" i="25" a="1"/>
  <c r="U155" i="25" a="1"/>
  <c r="U156" i="25" a="1"/>
  <c r="U157" i="25" a="1"/>
  <c r="U158" i="25" a="1"/>
  <c r="U159" i="25" a="1"/>
  <c r="U160" i="25" a="1"/>
  <c r="U161" i="25" a="1"/>
  <c r="U162" i="25" a="1"/>
  <c r="U163" i="25" a="1"/>
  <c r="U164" i="25" a="1"/>
  <c r="U165" i="25" a="1"/>
  <c r="U166" i="25" a="1"/>
  <c r="U167" i="25" a="1"/>
  <c r="U168" i="25" a="1"/>
  <c r="U169" i="25" a="1"/>
  <c r="U170" i="25" a="1"/>
  <c r="U171" i="25" a="1"/>
  <c r="U172" i="25" a="1"/>
  <c r="U173" i="25" a="1"/>
  <c r="U174" i="25" a="1"/>
  <c r="U175" i="25" a="1"/>
  <c r="U176" i="25" a="1"/>
  <c r="U177" i="25" a="1"/>
  <c r="U178" i="25" a="1"/>
  <c r="U179" i="25" a="1"/>
  <c r="U180" i="25" a="1"/>
  <c r="U181" i="25" a="1"/>
  <c r="U182" i="25" a="1"/>
  <c r="U183" i="25" a="1"/>
  <c r="U184" i="25" a="1"/>
  <c r="U185" i="25" a="1"/>
  <c r="U186" i="25" a="1"/>
  <c r="U187" i="25" a="1"/>
  <c r="U188" i="25" a="1"/>
  <c r="U189" i="25" a="1"/>
  <c r="U190" i="25" a="1"/>
  <c r="U191" i="25" a="1"/>
  <c r="U192" i="25" a="1"/>
  <c r="U193" i="25" a="1"/>
  <c r="U194" i="25" a="1"/>
  <c r="U195" i="25" a="1"/>
  <c r="U196" i="25" a="1"/>
  <c r="U197" i="25" a="1"/>
  <c r="U198" i="25" a="1"/>
  <c r="U199" i="25" a="1"/>
  <c r="U200" i="25" a="1"/>
  <c r="U201" i="25" a="1"/>
  <c r="U202" i="25" a="1"/>
  <c r="U203" i="25" a="1"/>
  <c r="U204" i="25" a="1"/>
  <c r="U205" i="25" a="1"/>
  <c r="U206" i="25" a="1"/>
  <c r="U207" i="25" a="1"/>
  <c r="U208" i="25" a="1"/>
  <c r="U209" i="25" a="1"/>
  <c r="U210" i="25" a="1"/>
  <c r="U211" i="25" a="1"/>
  <c r="U212" i="25" a="1"/>
  <c r="U213" i="25" a="1"/>
  <c r="U214" i="25" a="1"/>
  <c r="U215" i="25" a="1"/>
  <c r="U216" i="25" a="1"/>
  <c r="U217" i="25" a="1"/>
  <c r="U218" i="25" a="1"/>
  <c r="U219" i="25" a="1"/>
  <c r="U220" i="25" a="1"/>
  <c r="U221" i="25" a="1"/>
  <c r="U222" i="25" a="1"/>
  <c r="U223" i="25" a="1"/>
  <c r="U224" i="25" a="1"/>
  <c r="U225" i="25" a="1"/>
  <c r="U226" i="25" a="1"/>
  <c r="U227" i="25" a="1"/>
  <c r="U228" i="25" a="1"/>
  <c r="U229" i="25" a="1"/>
  <c r="U230" i="25" a="1"/>
  <c r="U231" i="25" a="1"/>
  <c r="U232" i="25" a="1"/>
  <c r="U233" i="25" a="1"/>
  <c r="U234" i="25" a="1"/>
  <c r="U235" i="25" a="1"/>
  <c r="U236" i="25" a="1"/>
  <c r="U237" i="25" a="1"/>
  <c r="U238" i="25" a="1"/>
  <c r="U239" i="25" a="1"/>
  <c r="U240" i="25" a="1"/>
  <c r="U241" i="25" a="1"/>
  <c r="U242" i="25" a="1"/>
  <c r="U243" i="25" a="1"/>
  <c r="U244" i="25" a="1"/>
  <c r="U245" i="25" a="1"/>
  <c r="U246" i="25" a="1"/>
  <c r="U247" i="25" a="1"/>
  <c r="U248" i="25" a="1"/>
  <c r="U7" i="25"/>
  <c r="U8" i="25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U56" i="25"/>
  <c r="U57" i="25"/>
  <c r="U58" i="25"/>
  <c r="U59" i="25"/>
  <c r="U60" i="25"/>
  <c r="U61" i="25"/>
  <c r="U62" i="25"/>
  <c r="U63" i="25"/>
  <c r="U64" i="25"/>
  <c r="U65" i="25"/>
  <c r="U66" i="25"/>
  <c r="U67" i="25"/>
  <c r="U68" i="25"/>
  <c r="U69" i="25"/>
  <c r="U70" i="25"/>
  <c r="U71" i="25"/>
  <c r="U72" i="25"/>
  <c r="U73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U88" i="25"/>
  <c r="U89" i="25"/>
  <c r="U90" i="25"/>
  <c r="U91" i="25"/>
  <c r="U92" i="25"/>
  <c r="U93" i="25"/>
  <c r="U94" i="25"/>
  <c r="U95" i="25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187" i="25"/>
  <c r="U188" i="25"/>
  <c r="U189" i="25"/>
  <c r="U190" i="25"/>
  <c r="U191" i="25"/>
  <c r="U192" i="25"/>
  <c r="U193" i="25"/>
  <c r="U194" i="25"/>
  <c r="U195" i="25"/>
  <c r="U196" i="25"/>
  <c r="U197" i="25"/>
  <c r="U198" i="25"/>
  <c r="U199" i="25"/>
  <c r="U200" i="25"/>
  <c r="U201" i="25"/>
  <c r="U202" i="25"/>
  <c r="U203" i="25"/>
  <c r="U204" i="25"/>
  <c r="U205" i="25"/>
  <c r="U206" i="25"/>
  <c r="U207" i="25"/>
  <c r="U208" i="25"/>
  <c r="U209" i="25"/>
  <c r="U210" i="25"/>
  <c r="U211" i="25"/>
  <c r="U212" i="25"/>
  <c r="U213" i="25"/>
  <c r="U214" i="25"/>
  <c r="U215" i="25"/>
  <c r="U216" i="25"/>
  <c r="U217" i="25"/>
  <c r="U218" i="25"/>
  <c r="U219" i="25"/>
  <c r="U220" i="25"/>
  <c r="U221" i="25"/>
  <c r="U222" i="25"/>
  <c r="U223" i="25"/>
  <c r="U224" i="25"/>
  <c r="U225" i="25"/>
  <c r="U226" i="25"/>
  <c r="U227" i="25"/>
  <c r="U228" i="25"/>
  <c r="U229" i="25"/>
  <c r="U230" i="25"/>
  <c r="U231" i="25"/>
  <c r="U232" i="25"/>
  <c r="U233" i="25"/>
  <c r="U234" i="25"/>
  <c r="U235" i="25"/>
  <c r="U236" i="25"/>
  <c r="U237" i="25"/>
  <c r="U238" i="25"/>
  <c r="U239" i="25"/>
  <c r="U240" i="25"/>
  <c r="U241" i="25"/>
  <c r="U242" i="25"/>
  <c r="U243" i="25"/>
  <c r="U244" i="25"/>
  <c r="U245" i="25"/>
  <c r="U246" i="25"/>
  <c r="U247" i="25"/>
  <c r="U248" i="25"/>
  <c r="V250" i="25" a="1"/>
  <c r="V250" i="25"/>
  <c r="W250" i="25"/>
  <c r="AA250" i="25"/>
  <c r="X250" i="25"/>
  <c r="AC250" i="25"/>
  <c r="U251" i="25" a="1"/>
  <c r="U251" i="25"/>
  <c r="V251" i="25" a="1"/>
  <c r="V251" i="25"/>
  <c r="W251" i="25"/>
  <c r="AA251" i="25"/>
  <c r="X251" i="25"/>
  <c r="AC251" i="25"/>
  <c r="U252" i="25" a="1"/>
  <c r="U252" i="25"/>
  <c r="V252" i="25" a="1"/>
  <c r="V252" i="25"/>
  <c r="W252" i="25"/>
  <c r="AA252" i="25"/>
  <c r="X252" i="25"/>
  <c r="AC252" i="25"/>
  <c r="U253" i="25" a="1"/>
  <c r="U253" i="25"/>
  <c r="V253" i="25" a="1"/>
  <c r="V253" i="25"/>
  <c r="W253" i="25"/>
  <c r="AA253" i="25"/>
  <c r="X253" i="25"/>
  <c r="AC253" i="25"/>
  <c r="U254" i="25" a="1"/>
  <c r="U254" i="25"/>
  <c r="V254" i="25" a="1"/>
  <c r="V254" i="25"/>
  <c r="W254" i="25"/>
  <c r="AA254" i="25"/>
  <c r="X254" i="25"/>
  <c r="AC254" i="25"/>
  <c r="U255" i="25" a="1"/>
  <c r="U255" i="25"/>
  <c r="V255" i="25" a="1"/>
  <c r="V255" i="25"/>
  <c r="W255" i="25"/>
  <c r="AA255" i="25"/>
  <c r="X255" i="25"/>
  <c r="AC255" i="25"/>
  <c r="U256" i="25" a="1"/>
  <c r="U256" i="25"/>
  <c r="V256" i="25" a="1"/>
  <c r="V256" i="25"/>
  <c r="W256" i="25"/>
  <c r="AA256" i="25"/>
  <c r="X256" i="25"/>
  <c r="AC256" i="25"/>
  <c r="U257" i="25" a="1"/>
  <c r="U257" i="25"/>
  <c r="V257" i="25" a="1"/>
  <c r="V257" i="25"/>
  <c r="W257" i="25"/>
  <c r="AA257" i="25"/>
  <c r="X257" i="25"/>
  <c r="AC257" i="25"/>
  <c r="U258" i="25" a="1"/>
  <c r="U258" i="25"/>
  <c r="V258" i="25" a="1"/>
  <c r="V258" i="25"/>
  <c r="W258" i="25"/>
  <c r="AA258" i="25"/>
  <c r="X258" i="25"/>
  <c r="AC258" i="25"/>
  <c r="U259" i="25" a="1"/>
  <c r="U259" i="25"/>
  <c r="V259" i="25" a="1"/>
  <c r="V259" i="25"/>
  <c r="W259" i="25"/>
  <c r="AA259" i="25"/>
  <c r="X259" i="25"/>
  <c r="AC259" i="25"/>
  <c r="U260" i="25" a="1"/>
  <c r="U260" i="25"/>
  <c r="V260" i="25" a="1"/>
  <c r="V260" i="25"/>
  <c r="W260" i="25"/>
  <c r="AA260" i="25"/>
  <c r="X260" i="25"/>
  <c r="AC260" i="25"/>
  <c r="U261" i="25" a="1"/>
  <c r="U261" i="25"/>
  <c r="V261" i="25" a="1"/>
  <c r="V261" i="25"/>
  <c r="W261" i="25"/>
  <c r="AA261" i="25"/>
  <c r="X261" i="25"/>
  <c r="AC261" i="25"/>
  <c r="U262" i="25" a="1"/>
  <c r="U262" i="25"/>
  <c r="V262" i="25" a="1"/>
  <c r="V262" i="25"/>
  <c r="W262" i="25"/>
  <c r="AA262" i="25"/>
  <c r="X262" i="25"/>
  <c r="AC262" i="25"/>
  <c r="U263" i="25" a="1"/>
  <c r="U263" i="25"/>
  <c r="V263" i="25" a="1"/>
  <c r="V263" i="25"/>
  <c r="W263" i="25"/>
  <c r="AA263" i="25"/>
  <c r="X263" i="25"/>
  <c r="AC263" i="25"/>
  <c r="U264" i="25" a="1"/>
  <c r="U264" i="25"/>
  <c r="V264" i="25" a="1"/>
  <c r="V264" i="25"/>
  <c r="W264" i="25"/>
  <c r="AA264" i="25"/>
  <c r="X264" i="25"/>
  <c r="AC264" i="25"/>
  <c r="U265" i="25" a="1"/>
  <c r="U265" i="25"/>
  <c r="V265" i="25" a="1"/>
  <c r="V265" i="25"/>
  <c r="W265" i="25"/>
  <c r="AA265" i="25"/>
  <c r="X265" i="25"/>
  <c r="AC265" i="25"/>
  <c r="U266" i="25" a="1"/>
  <c r="U266" i="25"/>
  <c r="V266" i="25" a="1"/>
  <c r="V266" i="25"/>
  <c r="W266" i="25"/>
  <c r="AA266" i="25"/>
  <c r="X266" i="25"/>
  <c r="AC266" i="25"/>
  <c r="U267" i="25" a="1"/>
  <c r="U267" i="25"/>
  <c r="V267" i="25" a="1"/>
  <c r="V267" i="25"/>
  <c r="W267" i="25"/>
  <c r="AA267" i="25"/>
  <c r="X267" i="25"/>
  <c r="AC267" i="25"/>
  <c r="U268" i="25" a="1"/>
  <c r="U268" i="25"/>
  <c r="V268" i="25" a="1"/>
  <c r="V268" i="25"/>
  <c r="W268" i="25"/>
  <c r="AA268" i="25"/>
  <c r="X268" i="25"/>
  <c r="AC268" i="25"/>
  <c r="U269" i="25" a="1"/>
  <c r="U269" i="25"/>
  <c r="V269" i="25" a="1"/>
  <c r="V269" i="25"/>
  <c r="W269" i="25"/>
  <c r="AA269" i="25"/>
  <c r="X269" i="25"/>
  <c r="AC269" i="25"/>
  <c r="U270" i="25" a="1"/>
  <c r="U270" i="25"/>
  <c r="V270" i="25" a="1"/>
  <c r="V270" i="25"/>
  <c r="W270" i="25"/>
  <c r="AA270" i="25"/>
  <c r="X270" i="25"/>
  <c r="AC270" i="25"/>
  <c r="U271" i="25" a="1"/>
  <c r="U271" i="25"/>
  <c r="V271" i="25" a="1"/>
  <c r="V271" i="25"/>
  <c r="W271" i="25"/>
  <c r="AA271" i="25"/>
  <c r="X271" i="25"/>
  <c r="AC271" i="25"/>
  <c r="U272" i="25" a="1"/>
  <c r="U272" i="25"/>
  <c r="V272" i="25" a="1"/>
  <c r="V272" i="25"/>
  <c r="W272" i="25"/>
  <c r="AA272" i="25"/>
  <c r="X272" i="25"/>
  <c r="AC272" i="25"/>
  <c r="U273" i="25" a="1"/>
  <c r="U273" i="25"/>
  <c r="V273" i="25" a="1"/>
  <c r="V273" i="25"/>
  <c r="W273" i="25"/>
  <c r="AA273" i="25"/>
  <c r="X273" i="25"/>
  <c r="AC273" i="25"/>
  <c r="U274" i="25" a="1"/>
  <c r="U274" i="25"/>
  <c r="V274" i="25" a="1"/>
  <c r="V274" i="25"/>
  <c r="W274" i="25"/>
  <c r="AA274" i="25"/>
  <c r="X274" i="25"/>
  <c r="AC274" i="25"/>
  <c r="U275" i="25" a="1"/>
  <c r="U275" i="25"/>
  <c r="V275" i="25" a="1"/>
  <c r="V275" i="25"/>
  <c r="W275" i="25"/>
  <c r="AA275" i="25"/>
  <c r="X275" i="25"/>
  <c r="AC275" i="25"/>
  <c r="U276" i="25" a="1"/>
  <c r="U276" i="25"/>
  <c r="V276" i="25" a="1"/>
  <c r="V276" i="25"/>
  <c r="W276" i="25"/>
  <c r="AA276" i="25"/>
  <c r="X276" i="25"/>
  <c r="AC276" i="25"/>
  <c r="U277" i="25" a="1"/>
  <c r="U277" i="25"/>
  <c r="V277" i="25" a="1"/>
  <c r="V277" i="25"/>
  <c r="W277" i="25"/>
  <c r="AA277" i="25"/>
  <c r="X277" i="25"/>
  <c r="AC277" i="25"/>
  <c r="U278" i="25" a="1"/>
  <c r="U278" i="25"/>
  <c r="V278" i="25" a="1"/>
  <c r="V278" i="25"/>
  <c r="W278" i="25"/>
  <c r="AA278" i="25"/>
  <c r="X278" i="25"/>
  <c r="AC278" i="25"/>
  <c r="U279" i="25" a="1"/>
  <c r="U279" i="25"/>
  <c r="V279" i="25" a="1"/>
  <c r="V279" i="25"/>
  <c r="W279" i="25"/>
  <c r="AA279" i="25"/>
  <c r="X279" i="25"/>
  <c r="AC279" i="25"/>
  <c r="U280" i="25" a="1"/>
  <c r="U280" i="25"/>
  <c r="V280" i="25" a="1"/>
  <c r="V280" i="25"/>
  <c r="W280" i="25"/>
  <c r="AA280" i="25"/>
  <c r="X280" i="25"/>
  <c r="AC280" i="25"/>
  <c r="U281" i="25" a="1"/>
  <c r="U281" i="25"/>
  <c r="V281" i="25" a="1"/>
  <c r="V281" i="25"/>
  <c r="W281" i="25"/>
  <c r="AA281" i="25"/>
  <c r="X281" i="25"/>
  <c r="AC281" i="25"/>
  <c r="U282" i="25" a="1"/>
  <c r="U282" i="25"/>
  <c r="V282" i="25" a="1"/>
  <c r="V282" i="25"/>
  <c r="W282" i="25"/>
  <c r="AA282" i="25"/>
  <c r="X282" i="25"/>
  <c r="AC282" i="25"/>
  <c r="U283" i="25" a="1"/>
  <c r="U283" i="25"/>
  <c r="V283" i="25" a="1"/>
  <c r="V283" i="25"/>
  <c r="W283" i="25"/>
  <c r="AA283" i="25"/>
  <c r="X283" i="25"/>
  <c r="AC283" i="25"/>
  <c r="U284" i="25" a="1"/>
  <c r="U284" i="25"/>
  <c r="V284" i="25" a="1"/>
  <c r="V284" i="25"/>
  <c r="W284" i="25"/>
  <c r="AA284" i="25"/>
  <c r="X284" i="25"/>
  <c r="AC284" i="25"/>
  <c r="U285" i="25" a="1"/>
  <c r="U285" i="25"/>
  <c r="V285" i="25" a="1"/>
  <c r="V285" i="25"/>
  <c r="W285" i="25"/>
  <c r="AA285" i="25"/>
  <c r="X285" i="25"/>
  <c r="AC285" i="25"/>
  <c r="U286" i="25" a="1"/>
  <c r="U286" i="25"/>
  <c r="V286" i="25" a="1"/>
  <c r="V286" i="25"/>
  <c r="W286" i="25"/>
  <c r="AA286" i="25"/>
  <c r="X286" i="25"/>
  <c r="AC286" i="25"/>
  <c r="U287" i="25" a="1"/>
  <c r="U287" i="25"/>
  <c r="V287" i="25" a="1"/>
  <c r="V287" i="25"/>
  <c r="W287" i="25"/>
  <c r="AA287" i="25"/>
  <c r="X287" i="25"/>
  <c r="AC287" i="25"/>
  <c r="U288" i="25" a="1"/>
  <c r="U288" i="25"/>
  <c r="V288" i="25" a="1"/>
  <c r="V288" i="25"/>
  <c r="W288" i="25"/>
  <c r="AA288" i="25"/>
  <c r="X288" i="25"/>
  <c r="AC288" i="25"/>
  <c r="U289" i="25" a="1"/>
  <c r="U289" i="25"/>
  <c r="V289" i="25" a="1"/>
  <c r="V289" i="25"/>
  <c r="W289" i="25"/>
  <c r="AA289" i="25"/>
  <c r="X289" i="25"/>
  <c r="AC289" i="25"/>
  <c r="U290" i="25" a="1"/>
  <c r="U290" i="25"/>
  <c r="V290" i="25" a="1"/>
  <c r="V290" i="25"/>
  <c r="W290" i="25"/>
  <c r="AA290" i="25"/>
  <c r="X290" i="25"/>
  <c r="AC290" i="25"/>
  <c r="U291" i="25" a="1"/>
  <c r="U291" i="25"/>
  <c r="V291" i="25" a="1"/>
  <c r="V291" i="25"/>
  <c r="W291" i="25"/>
  <c r="AA291" i="25"/>
  <c r="X291" i="25"/>
  <c r="AC291" i="25"/>
  <c r="U292" i="25" a="1"/>
  <c r="U292" i="25"/>
  <c r="V292" i="25" a="1"/>
  <c r="V292" i="25"/>
  <c r="W292" i="25"/>
  <c r="AA292" i="25"/>
  <c r="X292" i="25"/>
  <c r="AC292" i="25"/>
  <c r="U293" i="25" a="1"/>
  <c r="U293" i="25"/>
  <c r="V293" i="25" a="1"/>
  <c r="V293" i="25"/>
  <c r="W293" i="25"/>
  <c r="AA293" i="25"/>
  <c r="X293" i="25"/>
  <c r="AC293" i="25"/>
  <c r="U294" i="25" a="1"/>
  <c r="U294" i="25"/>
  <c r="V294" i="25" a="1"/>
  <c r="V294" i="25"/>
  <c r="W294" i="25"/>
  <c r="AA294" i="25"/>
  <c r="X294" i="25"/>
  <c r="AC294" i="25"/>
  <c r="U295" i="25" a="1"/>
  <c r="U295" i="25"/>
  <c r="V295" i="25" a="1"/>
  <c r="V295" i="25"/>
  <c r="W295" i="25"/>
  <c r="AA295" i="25"/>
  <c r="X295" i="25"/>
  <c r="AC295" i="25"/>
  <c r="U296" i="25" a="1"/>
  <c r="U296" i="25"/>
  <c r="V296" i="25" a="1"/>
  <c r="V296" i="25"/>
  <c r="W296" i="25"/>
  <c r="AA296" i="25"/>
  <c r="X296" i="25"/>
  <c r="AC296" i="25"/>
  <c r="U297" i="25" a="1"/>
  <c r="U297" i="25"/>
  <c r="V297" i="25" a="1"/>
  <c r="V297" i="25"/>
  <c r="W297" i="25"/>
  <c r="AA297" i="25"/>
  <c r="X297" i="25"/>
  <c r="AC297" i="25"/>
  <c r="U298" i="25" a="1"/>
  <c r="U298" i="25"/>
  <c r="V298" i="25" a="1"/>
  <c r="V298" i="25"/>
  <c r="W298" i="25"/>
  <c r="AA298" i="25"/>
  <c r="X298" i="25"/>
  <c r="AC298" i="25"/>
  <c r="U299" i="25" a="1"/>
  <c r="U299" i="25"/>
  <c r="V299" i="25" a="1"/>
  <c r="V299" i="25"/>
  <c r="W299" i="25"/>
  <c r="AA299" i="25"/>
  <c r="X299" i="25"/>
  <c r="AC299" i="25"/>
  <c r="U300" i="25" a="1"/>
  <c r="U300" i="25"/>
  <c r="V300" i="25" a="1"/>
  <c r="V300" i="25"/>
  <c r="W300" i="25"/>
  <c r="AA300" i="25"/>
  <c r="X300" i="25"/>
  <c r="AC300" i="25"/>
  <c r="U301" i="25" a="1"/>
  <c r="U301" i="25"/>
  <c r="V301" i="25" a="1"/>
  <c r="V301" i="25"/>
  <c r="W301" i="25"/>
  <c r="AA301" i="25"/>
  <c r="X301" i="25"/>
  <c r="AC301" i="25"/>
  <c r="U302" i="25" a="1"/>
  <c r="U302" i="25"/>
  <c r="V302" i="25" a="1"/>
  <c r="V302" i="25"/>
  <c r="W302" i="25"/>
  <c r="AA302" i="25"/>
  <c r="X302" i="25"/>
  <c r="AC302" i="25"/>
  <c r="U303" i="25" a="1"/>
  <c r="U303" i="25"/>
  <c r="V303" i="25" a="1"/>
  <c r="V303" i="25"/>
  <c r="W303" i="25"/>
  <c r="AA303" i="25"/>
  <c r="X303" i="25"/>
  <c r="AC303" i="25"/>
  <c r="U304" i="25" a="1"/>
  <c r="U304" i="25"/>
  <c r="V304" i="25" a="1"/>
  <c r="V304" i="25"/>
  <c r="W304" i="25"/>
  <c r="AA304" i="25"/>
  <c r="X304" i="25"/>
  <c r="AC304" i="25"/>
  <c r="U305" i="25" a="1"/>
  <c r="U305" i="25"/>
  <c r="V305" i="25" a="1"/>
  <c r="V305" i="25"/>
  <c r="W305" i="25"/>
  <c r="AA305" i="25"/>
  <c r="X305" i="25"/>
  <c r="AC305" i="25"/>
  <c r="U306" i="25" a="1"/>
  <c r="U306" i="25"/>
  <c r="V306" i="25" a="1"/>
  <c r="V306" i="25"/>
  <c r="W306" i="25"/>
  <c r="AA306" i="25"/>
  <c r="X306" i="25"/>
  <c r="AC306" i="25"/>
  <c r="U307" i="25" a="1"/>
  <c r="U307" i="25"/>
  <c r="V307" i="25" a="1"/>
  <c r="V307" i="25"/>
  <c r="W307" i="25"/>
  <c r="AA307" i="25"/>
  <c r="X307" i="25"/>
  <c r="AC307" i="25"/>
  <c r="U308" i="25" a="1"/>
  <c r="U308" i="25"/>
  <c r="V308" i="25" a="1"/>
  <c r="V308" i="25"/>
  <c r="W308" i="25"/>
  <c r="AA308" i="25"/>
  <c r="X308" i="25"/>
  <c r="AC308" i="25"/>
  <c r="U309" i="25" a="1"/>
  <c r="U309" i="25"/>
  <c r="V309" i="25" a="1"/>
  <c r="V309" i="25"/>
  <c r="W309" i="25"/>
  <c r="AA309" i="25"/>
  <c r="X309" i="25"/>
  <c r="AC309" i="25"/>
  <c r="U310" i="25" a="1"/>
  <c r="U310" i="25"/>
  <c r="V310" i="25" a="1"/>
  <c r="V310" i="25"/>
  <c r="W310" i="25"/>
  <c r="AA310" i="25"/>
  <c r="X310" i="25"/>
  <c r="AC310" i="25"/>
  <c r="U311" i="25" a="1"/>
  <c r="U311" i="25"/>
  <c r="V311" i="25" a="1"/>
  <c r="V311" i="25"/>
  <c r="W311" i="25"/>
  <c r="AA311" i="25"/>
  <c r="X311" i="25"/>
  <c r="AC311" i="25"/>
  <c r="U312" i="25" a="1"/>
  <c r="U312" i="25"/>
  <c r="V312" i="25" a="1"/>
  <c r="V312" i="25"/>
  <c r="W312" i="25"/>
  <c r="AA312" i="25"/>
  <c r="X312" i="25"/>
  <c r="AC312" i="25"/>
  <c r="U313" i="25" a="1"/>
  <c r="U313" i="25"/>
  <c r="V313" i="25" a="1"/>
  <c r="V313" i="25"/>
  <c r="W313" i="25"/>
  <c r="AA313" i="25"/>
  <c r="X313" i="25"/>
  <c r="AC313" i="25"/>
  <c r="U314" i="25" a="1"/>
  <c r="U314" i="25"/>
  <c r="V314" i="25" a="1"/>
  <c r="V314" i="25"/>
  <c r="W314" i="25"/>
  <c r="AA314" i="25"/>
  <c r="X314" i="25"/>
  <c r="AC314" i="25"/>
  <c r="U315" i="25" a="1"/>
  <c r="U315" i="25"/>
  <c r="V315" i="25" a="1"/>
  <c r="V315" i="25"/>
  <c r="W315" i="25"/>
  <c r="AA315" i="25"/>
  <c r="X315" i="25"/>
  <c r="AC315" i="25"/>
  <c r="U316" i="25" a="1"/>
  <c r="U316" i="25"/>
  <c r="V316" i="25" a="1"/>
  <c r="V316" i="25"/>
  <c r="W316" i="25"/>
  <c r="AA316" i="25"/>
  <c r="X316" i="25"/>
  <c r="AC316" i="25"/>
  <c r="U317" i="25" a="1"/>
  <c r="U317" i="25"/>
  <c r="V317" i="25" a="1"/>
  <c r="V317" i="25"/>
  <c r="W317" i="25"/>
  <c r="AA317" i="25"/>
  <c r="X317" i="25"/>
  <c r="AC317" i="25"/>
  <c r="U318" i="25" a="1"/>
  <c r="U318" i="25"/>
  <c r="V318" i="25" a="1"/>
  <c r="V318" i="25"/>
  <c r="W318" i="25"/>
  <c r="AA318" i="25"/>
  <c r="X318" i="25"/>
  <c r="AC318" i="25"/>
  <c r="U319" i="25" a="1"/>
  <c r="U319" i="25"/>
  <c r="V319" i="25" a="1"/>
  <c r="V319" i="25"/>
  <c r="W319" i="25"/>
  <c r="AA319" i="25"/>
  <c r="X319" i="25"/>
  <c r="AC319" i="25"/>
  <c r="U320" i="25" a="1"/>
  <c r="U320" i="25"/>
  <c r="V320" i="25" a="1"/>
  <c r="V320" i="25"/>
  <c r="W320" i="25"/>
  <c r="AA320" i="25"/>
  <c r="X320" i="25"/>
  <c r="AC320" i="25"/>
  <c r="U321" i="25" a="1"/>
  <c r="U321" i="25"/>
  <c r="V321" i="25" a="1"/>
  <c r="V321" i="25"/>
  <c r="W321" i="25"/>
  <c r="AA321" i="25"/>
  <c r="X321" i="25"/>
  <c r="AC321" i="25"/>
  <c r="U322" i="25" a="1"/>
  <c r="U322" i="25"/>
  <c r="V322" i="25" a="1"/>
  <c r="V322" i="25"/>
  <c r="W322" i="25"/>
  <c r="AA322" i="25"/>
  <c r="X322" i="25"/>
  <c r="AC322" i="25"/>
  <c r="U323" i="25" a="1"/>
  <c r="U323" i="25"/>
  <c r="V323" i="25" a="1"/>
  <c r="V323" i="25"/>
  <c r="W323" i="25"/>
  <c r="AA323" i="25"/>
  <c r="X323" i="25"/>
  <c r="AC323" i="25"/>
  <c r="U324" i="25" a="1"/>
  <c r="U324" i="25"/>
  <c r="V324" i="25" a="1"/>
  <c r="V324" i="25"/>
  <c r="W324" i="25"/>
  <c r="AA324" i="25"/>
  <c r="X324" i="25"/>
  <c r="AC324" i="25"/>
  <c r="U325" i="25" a="1"/>
  <c r="U325" i="25"/>
  <c r="V325" i="25" a="1"/>
  <c r="V325" i="25"/>
  <c r="W325" i="25"/>
  <c r="AA325" i="25"/>
  <c r="X325" i="25"/>
  <c r="AC325" i="25"/>
  <c r="U326" i="25" a="1"/>
  <c r="U326" i="25"/>
  <c r="V326" i="25" a="1"/>
  <c r="V326" i="25"/>
  <c r="W326" i="25"/>
  <c r="AA326" i="25"/>
  <c r="X326" i="25"/>
  <c r="AC326" i="25"/>
  <c r="U327" i="25" a="1"/>
  <c r="U327" i="25"/>
  <c r="V327" i="25" a="1"/>
  <c r="V327" i="25"/>
  <c r="W327" i="25"/>
  <c r="AA327" i="25"/>
  <c r="X327" i="25"/>
  <c r="AC327" i="25"/>
  <c r="U328" i="25" a="1"/>
  <c r="U328" i="25"/>
  <c r="V328" i="25" a="1"/>
  <c r="V328" i="25"/>
  <c r="W328" i="25"/>
  <c r="AA328" i="25"/>
  <c r="X328" i="25"/>
  <c r="AC328" i="25"/>
  <c r="U329" i="25" a="1"/>
  <c r="U329" i="25"/>
  <c r="V329" i="25" a="1"/>
  <c r="V329" i="25"/>
  <c r="W329" i="25"/>
  <c r="AA329" i="25"/>
  <c r="X329" i="25"/>
  <c r="AC329" i="25"/>
  <c r="U330" i="25" a="1"/>
  <c r="U330" i="25"/>
  <c r="V330" i="25" a="1"/>
  <c r="V330" i="25"/>
  <c r="W330" i="25"/>
  <c r="AA330" i="25"/>
  <c r="X330" i="25"/>
  <c r="AC330" i="25"/>
  <c r="U331" i="25" a="1"/>
  <c r="U331" i="25"/>
  <c r="V331" i="25" a="1"/>
  <c r="V331" i="25"/>
  <c r="W331" i="25"/>
  <c r="AA331" i="25"/>
  <c r="X331" i="25"/>
  <c r="AC331" i="25"/>
  <c r="U332" i="25" a="1"/>
  <c r="U332" i="25"/>
  <c r="V332" i="25" a="1"/>
  <c r="V332" i="25"/>
  <c r="W332" i="25"/>
  <c r="AA332" i="25"/>
  <c r="X332" i="25"/>
  <c r="AC332" i="25"/>
  <c r="U333" i="25" a="1"/>
  <c r="U333" i="25"/>
  <c r="V333" i="25" a="1"/>
  <c r="V333" i="25"/>
  <c r="W333" i="25"/>
  <c r="AA333" i="25"/>
  <c r="X333" i="25"/>
  <c r="AC333" i="25"/>
  <c r="U334" i="25" a="1"/>
  <c r="U334" i="25"/>
  <c r="V334" i="25" a="1"/>
  <c r="V334" i="25"/>
  <c r="W334" i="25"/>
  <c r="AA334" i="25"/>
  <c r="X334" i="25"/>
  <c r="AC334" i="25"/>
  <c r="U335" i="25" a="1"/>
  <c r="U335" i="25"/>
  <c r="V335" i="25" a="1"/>
  <c r="V335" i="25"/>
  <c r="W335" i="25"/>
  <c r="AA335" i="25"/>
  <c r="X335" i="25"/>
  <c r="AC335" i="25"/>
  <c r="U336" i="25" a="1"/>
  <c r="U336" i="25"/>
  <c r="V336" i="25" a="1"/>
  <c r="V336" i="25"/>
  <c r="W336" i="25"/>
  <c r="AA336" i="25"/>
  <c r="X336" i="25"/>
  <c r="AC336" i="25"/>
  <c r="U337" i="25" a="1"/>
  <c r="U337" i="25"/>
  <c r="V337" i="25" a="1"/>
  <c r="V337" i="25"/>
  <c r="W337" i="25"/>
  <c r="AA337" i="25"/>
  <c r="X337" i="25"/>
  <c r="AC337" i="25"/>
  <c r="U338" i="25" a="1"/>
  <c r="U338" i="25"/>
  <c r="V338" i="25" a="1"/>
  <c r="V338" i="25"/>
  <c r="W338" i="25"/>
  <c r="AA338" i="25"/>
  <c r="X338" i="25"/>
  <c r="AC338" i="25"/>
  <c r="U339" i="25" a="1"/>
  <c r="U339" i="25"/>
  <c r="V339" i="25" a="1"/>
  <c r="V339" i="25"/>
  <c r="W339" i="25"/>
  <c r="AA339" i="25"/>
  <c r="X339" i="25"/>
  <c r="AC339" i="25"/>
  <c r="U340" i="25" a="1"/>
  <c r="U340" i="25"/>
  <c r="V340" i="25" a="1"/>
  <c r="V340" i="25"/>
  <c r="W340" i="25"/>
  <c r="AA340" i="25"/>
  <c r="X340" i="25"/>
  <c r="AC340" i="25"/>
  <c r="U341" i="25" a="1"/>
  <c r="U341" i="25"/>
  <c r="V341" i="25" a="1"/>
  <c r="V341" i="25"/>
  <c r="W341" i="25"/>
  <c r="AA341" i="25"/>
  <c r="X341" i="25"/>
  <c r="AC341" i="25"/>
  <c r="U342" i="25" a="1"/>
  <c r="U342" i="25"/>
  <c r="V342" i="25" a="1"/>
  <c r="V342" i="25"/>
  <c r="W342" i="25"/>
  <c r="AA342" i="25"/>
  <c r="X342" i="25"/>
  <c r="AC342" i="25"/>
  <c r="U343" i="25" a="1"/>
  <c r="U343" i="25"/>
  <c r="V343" i="25" a="1"/>
  <c r="V343" i="25"/>
  <c r="W343" i="25"/>
  <c r="AA343" i="25"/>
  <c r="X343" i="25"/>
  <c r="AC343" i="25"/>
  <c r="U344" i="25" a="1"/>
  <c r="U344" i="25"/>
  <c r="V344" i="25" a="1"/>
  <c r="V344" i="25"/>
  <c r="W344" i="25"/>
  <c r="AA344" i="25"/>
  <c r="X344" i="25"/>
  <c r="AC344" i="25"/>
  <c r="U345" i="25" a="1"/>
  <c r="U345" i="25"/>
  <c r="V345" i="25" a="1"/>
  <c r="V345" i="25"/>
  <c r="W345" i="25"/>
  <c r="AA345" i="25"/>
  <c r="X345" i="25"/>
  <c r="AC345" i="25"/>
  <c r="U346" i="25" a="1"/>
  <c r="U346" i="25"/>
  <c r="V346" i="25" a="1"/>
  <c r="V346" i="25"/>
  <c r="W346" i="25"/>
  <c r="AA346" i="25"/>
  <c r="X346" i="25"/>
  <c r="AC346" i="25"/>
  <c r="U347" i="25" a="1"/>
  <c r="U347" i="25"/>
  <c r="V347" i="25" a="1"/>
  <c r="V347" i="25"/>
  <c r="W347" i="25"/>
  <c r="AA347" i="25"/>
  <c r="X347" i="25"/>
  <c r="AC347" i="25"/>
  <c r="U348" i="25" a="1"/>
  <c r="U348" i="25"/>
  <c r="V348" i="25" a="1"/>
  <c r="V348" i="25"/>
  <c r="W348" i="25"/>
  <c r="AA348" i="25"/>
  <c r="X348" i="25"/>
  <c r="AC348" i="25"/>
  <c r="U349" i="25" a="1"/>
  <c r="U349" i="25"/>
  <c r="V349" i="25" a="1"/>
  <c r="V349" i="25"/>
  <c r="W349" i="25"/>
  <c r="AA349" i="25"/>
  <c r="X349" i="25"/>
  <c r="AC349" i="25"/>
  <c r="U350" i="25" a="1"/>
  <c r="U350" i="25"/>
  <c r="V350" i="25" a="1"/>
  <c r="V350" i="25"/>
  <c r="W350" i="25"/>
  <c r="AA350" i="25"/>
  <c r="X350" i="25"/>
  <c r="AC350" i="25"/>
  <c r="U351" i="25" a="1"/>
  <c r="U351" i="25"/>
  <c r="V351" i="25" a="1"/>
  <c r="V351" i="25"/>
  <c r="W351" i="25"/>
  <c r="AA351" i="25"/>
  <c r="X351" i="25"/>
  <c r="AC351" i="25"/>
  <c r="U352" i="25" a="1"/>
  <c r="U352" i="25"/>
  <c r="V352" i="25" a="1"/>
  <c r="V352" i="25"/>
  <c r="W352" i="25"/>
  <c r="AA352" i="25"/>
  <c r="X352" i="25"/>
  <c r="AC352" i="25"/>
  <c r="U353" i="25" a="1"/>
  <c r="U353" i="25"/>
  <c r="V353" i="25" a="1"/>
  <c r="V353" i="25"/>
  <c r="W353" i="25"/>
  <c r="AA353" i="25"/>
  <c r="X353" i="25"/>
  <c r="AC353" i="25"/>
  <c r="U354" i="25" a="1"/>
  <c r="U354" i="25"/>
  <c r="V354" i="25" a="1"/>
  <c r="V354" i="25"/>
  <c r="W354" i="25"/>
  <c r="AA354" i="25"/>
  <c r="X354" i="25"/>
  <c r="AC354" i="25"/>
  <c r="U355" i="25" a="1"/>
  <c r="U355" i="25"/>
  <c r="V355" i="25" a="1"/>
  <c r="V355" i="25"/>
  <c r="W355" i="25"/>
  <c r="AA355" i="25"/>
  <c r="X355" i="25"/>
  <c r="AC355" i="25"/>
  <c r="U356" i="25" a="1"/>
  <c r="U356" i="25"/>
  <c r="V356" i="25" a="1"/>
  <c r="V356" i="25"/>
  <c r="W356" i="25"/>
  <c r="AA356" i="25"/>
  <c r="X356" i="25"/>
  <c r="AC356" i="25"/>
  <c r="U357" i="25" a="1"/>
  <c r="U357" i="25"/>
  <c r="V357" i="25" a="1"/>
  <c r="V357" i="25"/>
  <c r="W357" i="25"/>
  <c r="AA357" i="25"/>
  <c r="X357" i="25"/>
  <c r="AC357" i="25"/>
  <c r="U358" i="25" a="1"/>
  <c r="U358" i="25"/>
  <c r="V358" i="25" a="1"/>
  <c r="V358" i="25"/>
  <c r="W358" i="25"/>
  <c r="AA358" i="25"/>
  <c r="X358" i="25"/>
  <c r="AC358" i="25"/>
  <c r="U359" i="25" a="1"/>
  <c r="U359" i="25"/>
  <c r="V359" i="25" a="1"/>
  <c r="V359" i="25"/>
  <c r="W359" i="25"/>
  <c r="AA359" i="25"/>
  <c r="X359" i="25"/>
  <c r="AC359" i="25"/>
  <c r="U360" i="25" a="1"/>
  <c r="U360" i="25"/>
  <c r="V360" i="25" a="1"/>
  <c r="V360" i="25"/>
  <c r="W360" i="25"/>
  <c r="AA360" i="25"/>
  <c r="X360" i="25"/>
  <c r="AC360" i="25"/>
  <c r="U361" i="25" a="1"/>
  <c r="U361" i="25"/>
  <c r="V361" i="25" a="1"/>
  <c r="V361" i="25"/>
  <c r="W361" i="25"/>
  <c r="AA361" i="25"/>
  <c r="X361" i="25"/>
  <c r="AC361" i="25"/>
  <c r="U362" i="25" a="1"/>
  <c r="U362" i="25"/>
  <c r="V362" i="25" a="1"/>
  <c r="V362" i="25"/>
  <c r="W362" i="25"/>
  <c r="AA362" i="25"/>
  <c r="X362" i="25"/>
  <c r="AC362" i="25"/>
  <c r="U363" i="25" a="1"/>
  <c r="U363" i="25"/>
  <c r="V363" i="25" a="1"/>
  <c r="V363" i="25"/>
  <c r="W363" i="25"/>
  <c r="AA363" i="25"/>
  <c r="X363" i="25"/>
  <c r="AC363" i="25"/>
  <c r="U364" i="25" a="1"/>
  <c r="U364" i="25"/>
  <c r="V364" i="25" a="1"/>
  <c r="V364" i="25"/>
  <c r="W364" i="25"/>
  <c r="AA364" i="25"/>
  <c r="X364" i="25"/>
  <c r="AC364" i="25"/>
  <c r="U365" i="25" a="1"/>
  <c r="U365" i="25"/>
  <c r="V365" i="25" a="1"/>
  <c r="V365" i="25"/>
  <c r="W365" i="25"/>
  <c r="AA365" i="25"/>
  <c r="X365" i="25"/>
  <c r="AC365" i="25"/>
  <c r="U366" i="25" a="1"/>
  <c r="U366" i="25"/>
  <c r="V366" i="25" a="1"/>
  <c r="V366" i="25"/>
  <c r="W366" i="25"/>
  <c r="AA366" i="25"/>
  <c r="X366" i="25"/>
  <c r="AC366" i="25"/>
  <c r="U367" i="25" a="1"/>
  <c r="U367" i="25"/>
  <c r="V367" i="25" a="1"/>
  <c r="V367" i="25"/>
  <c r="W367" i="25"/>
  <c r="AA367" i="25"/>
  <c r="X367" i="25"/>
  <c r="AC367" i="25"/>
  <c r="U368" i="25" a="1"/>
  <c r="U368" i="25"/>
  <c r="V368" i="25" a="1"/>
  <c r="V368" i="25"/>
  <c r="W368" i="25"/>
  <c r="AA368" i="25"/>
  <c r="X368" i="25"/>
  <c r="AC368" i="25"/>
  <c r="U369" i="25" a="1"/>
  <c r="U369" i="25"/>
  <c r="V369" i="25" a="1"/>
  <c r="V369" i="25"/>
  <c r="W369" i="25"/>
  <c r="AA369" i="25"/>
  <c r="X369" i="25"/>
  <c r="AC369" i="25"/>
  <c r="U370" i="25" a="1"/>
  <c r="U370" i="25"/>
  <c r="V370" i="25" a="1"/>
  <c r="V370" i="25"/>
  <c r="W370" i="25"/>
  <c r="AA370" i="25"/>
  <c r="X370" i="25"/>
  <c r="AC370" i="25"/>
  <c r="U371" i="25" a="1"/>
  <c r="U371" i="25"/>
  <c r="V371" i="25" a="1"/>
  <c r="V371" i="25"/>
  <c r="W371" i="25"/>
  <c r="AA371" i="25"/>
  <c r="X371" i="25"/>
  <c r="AC371" i="25"/>
  <c r="U372" i="25" a="1"/>
  <c r="U372" i="25"/>
  <c r="V372" i="25" a="1"/>
  <c r="V372" i="25"/>
  <c r="W372" i="25"/>
  <c r="AA372" i="25"/>
  <c r="X372" i="25"/>
  <c r="AC372" i="25"/>
  <c r="U373" i="25" a="1"/>
  <c r="U373" i="25"/>
  <c r="V373" i="25" a="1"/>
  <c r="V373" i="25"/>
  <c r="W373" i="25"/>
  <c r="AA373" i="25"/>
  <c r="X373" i="25"/>
  <c r="AC373" i="25"/>
  <c r="U374" i="25" a="1"/>
  <c r="U374" i="25"/>
  <c r="V374" i="25" a="1"/>
  <c r="V374" i="25"/>
  <c r="W374" i="25"/>
  <c r="AA374" i="25"/>
  <c r="X374" i="25"/>
  <c r="AC374" i="25"/>
  <c r="U375" i="25" a="1"/>
  <c r="U375" i="25"/>
  <c r="V375" i="25" a="1"/>
  <c r="V375" i="25"/>
  <c r="W375" i="25"/>
  <c r="AA375" i="25"/>
  <c r="X375" i="25"/>
  <c r="AC375" i="25"/>
  <c r="U376" i="25" a="1"/>
  <c r="U376" i="25"/>
  <c r="V376" i="25" a="1"/>
  <c r="V376" i="25"/>
  <c r="W376" i="25"/>
  <c r="AA376" i="25"/>
  <c r="X376" i="25"/>
  <c r="AC376" i="25"/>
  <c r="U377" i="25" a="1"/>
  <c r="U377" i="25"/>
  <c r="V377" i="25" a="1"/>
  <c r="V377" i="25"/>
  <c r="W377" i="25"/>
  <c r="AA377" i="25"/>
  <c r="X377" i="25"/>
  <c r="AC377" i="25"/>
  <c r="U378" i="25" a="1"/>
  <c r="U378" i="25"/>
  <c r="V378" i="25" a="1"/>
  <c r="V378" i="25"/>
  <c r="W378" i="25"/>
  <c r="AA378" i="25"/>
  <c r="X378" i="25"/>
  <c r="AC378" i="25"/>
  <c r="U379" i="25" a="1"/>
  <c r="U379" i="25"/>
  <c r="V379" i="25" a="1"/>
  <c r="V379" i="25"/>
  <c r="W379" i="25"/>
  <c r="AA379" i="25"/>
  <c r="X379" i="25"/>
  <c r="AC379" i="25"/>
  <c r="U380" i="25" a="1"/>
  <c r="U380" i="25"/>
  <c r="V380" i="25" a="1"/>
  <c r="V380" i="25"/>
  <c r="W380" i="25"/>
  <c r="AA380" i="25"/>
  <c r="X380" i="25"/>
  <c r="AC380" i="25"/>
  <c r="U381" i="25" a="1"/>
  <c r="U381" i="25"/>
  <c r="V381" i="25" a="1"/>
  <c r="V381" i="25"/>
  <c r="W381" i="25"/>
  <c r="AA381" i="25"/>
  <c r="X381" i="25"/>
  <c r="AC381" i="25"/>
  <c r="U382" i="25" a="1"/>
  <c r="U382" i="25"/>
  <c r="V382" i="25" a="1"/>
  <c r="V382" i="25"/>
  <c r="W382" i="25"/>
  <c r="AA382" i="25"/>
  <c r="X382" i="25"/>
  <c r="AC382" i="25"/>
  <c r="U383" i="25" a="1"/>
  <c r="U383" i="25"/>
  <c r="V383" i="25" a="1"/>
  <c r="V383" i="25"/>
  <c r="W383" i="25"/>
  <c r="AA383" i="25"/>
  <c r="X383" i="25"/>
  <c r="AC383" i="25"/>
  <c r="U384" i="25" a="1"/>
  <c r="U384" i="25"/>
  <c r="V384" i="25" a="1"/>
  <c r="V384" i="25"/>
  <c r="W384" i="25"/>
  <c r="AA384" i="25"/>
  <c r="X384" i="25"/>
  <c r="AC384" i="25"/>
  <c r="U385" i="25" a="1"/>
  <c r="U385" i="25"/>
  <c r="V385" i="25" a="1"/>
  <c r="V385" i="25"/>
  <c r="W385" i="25"/>
  <c r="AA385" i="25"/>
  <c r="X385" i="25"/>
  <c r="AC385" i="25"/>
  <c r="U386" i="25" a="1"/>
  <c r="U386" i="25"/>
  <c r="V386" i="25" a="1"/>
  <c r="V386" i="25"/>
  <c r="W386" i="25"/>
  <c r="AA386" i="25"/>
  <c r="X386" i="25"/>
  <c r="AC386" i="25"/>
  <c r="U387" i="25" a="1"/>
  <c r="U387" i="25"/>
  <c r="V387" i="25" a="1"/>
  <c r="V387" i="25"/>
  <c r="W387" i="25"/>
  <c r="AA387" i="25"/>
  <c r="X387" i="25"/>
  <c r="AC387" i="25"/>
  <c r="U388" i="25" a="1"/>
  <c r="U388" i="25"/>
  <c r="V388" i="25" a="1"/>
  <c r="V388" i="25"/>
  <c r="W388" i="25"/>
  <c r="AA388" i="25"/>
  <c r="X388" i="25"/>
  <c r="AC388" i="25"/>
  <c r="U389" i="25" a="1"/>
  <c r="U389" i="25"/>
  <c r="V389" i="25" a="1"/>
  <c r="V389" i="25"/>
  <c r="W389" i="25"/>
  <c r="AA389" i="25"/>
  <c r="X389" i="25"/>
  <c r="AC389" i="25"/>
  <c r="U390" i="25" a="1"/>
  <c r="U390" i="25"/>
  <c r="V390" i="25" a="1"/>
  <c r="V390" i="25"/>
  <c r="W390" i="25"/>
  <c r="AA390" i="25"/>
  <c r="X390" i="25"/>
  <c r="AC390" i="25"/>
  <c r="U391" i="25" a="1"/>
  <c r="U391" i="25"/>
  <c r="V391" i="25" a="1"/>
  <c r="V391" i="25"/>
  <c r="W391" i="25"/>
  <c r="AA391" i="25"/>
  <c r="X391" i="25"/>
  <c r="AC391" i="25"/>
  <c r="U392" i="25" a="1"/>
  <c r="U392" i="25"/>
  <c r="V392" i="25" a="1"/>
  <c r="V392" i="25"/>
  <c r="W392" i="25"/>
  <c r="AA392" i="25"/>
  <c r="X392" i="25"/>
  <c r="AC392" i="25"/>
  <c r="U393" i="25" a="1"/>
  <c r="U393" i="25"/>
  <c r="V393" i="25" a="1"/>
  <c r="V393" i="25"/>
  <c r="W393" i="25"/>
  <c r="AA393" i="25"/>
  <c r="X393" i="25"/>
  <c r="AC393" i="25"/>
  <c r="U394" i="25" a="1"/>
  <c r="U394" i="25"/>
  <c r="V394" i="25" a="1"/>
  <c r="V394" i="25"/>
  <c r="W394" i="25"/>
  <c r="AA394" i="25"/>
  <c r="X394" i="25"/>
  <c r="AC394" i="25"/>
  <c r="U395" i="25" a="1"/>
  <c r="U395" i="25"/>
  <c r="V395" i="25" a="1"/>
  <c r="V395" i="25"/>
  <c r="W395" i="25"/>
  <c r="AA395" i="25"/>
  <c r="X395" i="25"/>
  <c r="AC395" i="25"/>
  <c r="U396" i="25" a="1"/>
  <c r="U396" i="25"/>
  <c r="V396" i="25" a="1"/>
  <c r="V396" i="25"/>
  <c r="W396" i="25"/>
  <c r="AA396" i="25"/>
  <c r="X396" i="25"/>
  <c r="AC396" i="25"/>
  <c r="U397" i="25" a="1"/>
  <c r="U397" i="25"/>
  <c r="V397" i="25" a="1"/>
  <c r="V397" i="25"/>
  <c r="W397" i="25"/>
  <c r="AA397" i="25"/>
  <c r="X397" i="25"/>
  <c r="AC397" i="25"/>
  <c r="U398" i="25" a="1"/>
  <c r="U398" i="25"/>
  <c r="V398" i="25" a="1"/>
  <c r="V398" i="25"/>
  <c r="W398" i="25"/>
  <c r="AA398" i="25"/>
  <c r="X398" i="25"/>
  <c r="AC398" i="25"/>
  <c r="U399" i="25" a="1"/>
  <c r="U399" i="25"/>
  <c r="V399" i="25" a="1"/>
  <c r="V399" i="25"/>
  <c r="W399" i="25"/>
  <c r="AA399" i="25"/>
  <c r="X399" i="25"/>
  <c r="AC399" i="25"/>
  <c r="U400" i="25" a="1"/>
  <c r="U400" i="25"/>
  <c r="V400" i="25" a="1"/>
  <c r="V400" i="25"/>
  <c r="W400" i="25"/>
  <c r="AA400" i="25"/>
  <c r="X400" i="25"/>
  <c r="AC400" i="25"/>
  <c r="U401" i="25" a="1"/>
  <c r="U401" i="25"/>
  <c r="V401" i="25" a="1"/>
  <c r="V401" i="25"/>
  <c r="W401" i="25"/>
  <c r="AA401" i="25"/>
  <c r="X401" i="25"/>
  <c r="AC401" i="25"/>
  <c r="U402" i="25" a="1"/>
  <c r="U402" i="25"/>
  <c r="V402" i="25" a="1"/>
  <c r="V402" i="25"/>
  <c r="W402" i="25"/>
  <c r="AA402" i="25"/>
  <c r="X402" i="25"/>
  <c r="AC402" i="25"/>
  <c r="U403" i="25" a="1"/>
  <c r="U403" i="25"/>
  <c r="V403" i="25" a="1"/>
  <c r="V403" i="25"/>
  <c r="W403" i="25"/>
  <c r="AA403" i="25"/>
  <c r="X403" i="25"/>
  <c r="AC403" i="25"/>
  <c r="U404" i="25" a="1"/>
  <c r="U404" i="25"/>
  <c r="V404" i="25" a="1"/>
  <c r="V404" i="25"/>
  <c r="W404" i="25"/>
  <c r="AA404" i="25"/>
  <c r="X404" i="25"/>
  <c r="AC404" i="25"/>
  <c r="U405" i="25" a="1"/>
  <c r="U405" i="25"/>
  <c r="V405" i="25" a="1"/>
  <c r="V405" i="25"/>
  <c r="W405" i="25"/>
  <c r="AA405" i="25"/>
  <c r="X405" i="25"/>
  <c r="AC405" i="25"/>
  <c r="U406" i="25" a="1"/>
  <c r="U406" i="25"/>
  <c r="V406" i="25" a="1"/>
  <c r="V406" i="25"/>
  <c r="W406" i="25"/>
  <c r="AA406" i="25"/>
  <c r="X406" i="25"/>
  <c r="AC406" i="25"/>
  <c r="U407" i="25" a="1"/>
  <c r="U407" i="25"/>
  <c r="V407" i="25" a="1"/>
  <c r="V407" i="25"/>
  <c r="W407" i="25"/>
  <c r="AA407" i="25"/>
  <c r="X407" i="25"/>
  <c r="AC407" i="25"/>
  <c r="U408" i="25" a="1"/>
  <c r="U408" i="25"/>
  <c r="V408" i="25" a="1"/>
  <c r="V408" i="25"/>
  <c r="W408" i="25"/>
  <c r="AA408" i="25"/>
  <c r="X408" i="25"/>
  <c r="AC408" i="25"/>
  <c r="U409" i="25" a="1"/>
  <c r="U409" i="25"/>
  <c r="V409" i="25" a="1"/>
  <c r="V409" i="25"/>
  <c r="W409" i="25"/>
  <c r="AA409" i="25"/>
  <c r="X409" i="25"/>
  <c r="AC409" i="25"/>
  <c r="U410" i="25" a="1"/>
  <c r="U410" i="25"/>
  <c r="V410" i="25" a="1"/>
  <c r="V410" i="25"/>
  <c r="W410" i="25"/>
  <c r="AA410" i="25"/>
  <c r="X410" i="25"/>
  <c r="AC410" i="25"/>
  <c r="U411" i="25" a="1"/>
  <c r="U411" i="25"/>
  <c r="V411" i="25" a="1"/>
  <c r="V411" i="25"/>
  <c r="W411" i="25"/>
  <c r="AA411" i="25"/>
  <c r="X411" i="25"/>
  <c r="AC411" i="25"/>
  <c r="U412" i="25" a="1"/>
  <c r="U412" i="25"/>
  <c r="V412" i="25" a="1"/>
  <c r="V412" i="25"/>
  <c r="W412" i="25"/>
  <c r="AA412" i="25"/>
  <c r="X412" i="25"/>
  <c r="AC412" i="25"/>
  <c r="U413" i="25" a="1"/>
  <c r="U413" i="25"/>
  <c r="V413" i="25" a="1"/>
  <c r="V413" i="25"/>
  <c r="W413" i="25"/>
  <c r="AA413" i="25"/>
  <c r="X413" i="25"/>
  <c r="AC413" i="25"/>
  <c r="U414" i="25" a="1"/>
  <c r="U414" i="25"/>
  <c r="V414" i="25" a="1"/>
  <c r="V414" i="25"/>
  <c r="W414" i="25"/>
  <c r="AA414" i="25"/>
  <c r="X414" i="25"/>
  <c r="AC414" i="25"/>
  <c r="U415" i="25" a="1"/>
  <c r="U415" i="25"/>
  <c r="V415" i="25" a="1"/>
  <c r="V415" i="25"/>
  <c r="W415" i="25"/>
  <c r="AA415" i="25"/>
  <c r="X415" i="25"/>
  <c r="AC415" i="25"/>
  <c r="U416" i="25" a="1"/>
  <c r="U416" i="25"/>
  <c r="V416" i="25" a="1"/>
  <c r="V416" i="25"/>
  <c r="W416" i="25"/>
  <c r="AA416" i="25"/>
  <c r="X416" i="25"/>
  <c r="AC416" i="25"/>
  <c r="U417" i="25" a="1"/>
  <c r="U417" i="25"/>
  <c r="V417" i="25" a="1"/>
  <c r="V417" i="25"/>
  <c r="W417" i="25"/>
  <c r="AA417" i="25"/>
  <c r="X417" i="25"/>
  <c r="AC417" i="25"/>
  <c r="U418" i="25" a="1"/>
  <c r="U418" i="25"/>
  <c r="V418" i="25" a="1"/>
  <c r="V418" i="25"/>
  <c r="W418" i="25"/>
  <c r="AA418" i="25"/>
  <c r="X418" i="25"/>
  <c r="AC418" i="25"/>
  <c r="U419" i="25" a="1"/>
  <c r="U419" i="25"/>
  <c r="V419" i="25" a="1"/>
  <c r="V419" i="25"/>
  <c r="W419" i="25"/>
  <c r="AA419" i="25"/>
  <c r="X419" i="25"/>
  <c r="AC419" i="25"/>
  <c r="U420" i="25" a="1"/>
  <c r="U420" i="25"/>
  <c r="V420" i="25" a="1"/>
  <c r="V420" i="25"/>
  <c r="W420" i="25"/>
  <c r="AA420" i="25"/>
  <c r="X420" i="25"/>
  <c r="AC420" i="25"/>
  <c r="U421" i="25" a="1"/>
  <c r="U421" i="25"/>
  <c r="V421" i="25" a="1"/>
  <c r="V421" i="25"/>
  <c r="W421" i="25"/>
  <c r="AA421" i="25"/>
  <c r="X421" i="25"/>
  <c r="AC421" i="25"/>
  <c r="U422" i="25" a="1"/>
  <c r="U422" i="25"/>
  <c r="V422" i="25" a="1"/>
  <c r="V422" i="25"/>
  <c r="W422" i="25"/>
  <c r="AA422" i="25"/>
  <c r="X422" i="25"/>
  <c r="AC422" i="25"/>
  <c r="U423" i="25" a="1"/>
  <c r="U423" i="25"/>
  <c r="V423" i="25" a="1"/>
  <c r="V423" i="25"/>
  <c r="W423" i="25"/>
  <c r="AA423" i="25"/>
  <c r="X423" i="25"/>
  <c r="AC423" i="25"/>
  <c r="U424" i="25" a="1"/>
  <c r="U424" i="25"/>
  <c r="V424" i="25" a="1"/>
  <c r="V424" i="25"/>
  <c r="W424" i="25"/>
  <c r="AA424" i="25"/>
  <c r="X424" i="25"/>
  <c r="AC424" i="25"/>
  <c r="U425" i="25" a="1"/>
  <c r="U425" i="25"/>
  <c r="V425" i="25" a="1"/>
  <c r="V425" i="25"/>
  <c r="W425" i="25"/>
  <c r="AA425" i="25"/>
  <c r="X425" i="25"/>
  <c r="AC425" i="25"/>
  <c r="U426" i="25" a="1"/>
  <c r="U426" i="25"/>
  <c r="V426" i="25" a="1"/>
  <c r="V426" i="25"/>
  <c r="W426" i="25"/>
  <c r="AA426" i="25"/>
  <c r="X426" i="25"/>
  <c r="AC426" i="25"/>
  <c r="U427" i="25" a="1"/>
  <c r="U427" i="25"/>
  <c r="V427" i="25" a="1"/>
  <c r="V427" i="25"/>
  <c r="W427" i="25"/>
  <c r="AA427" i="25"/>
  <c r="X427" i="25"/>
  <c r="AC427" i="25"/>
  <c r="U428" i="25" a="1"/>
  <c r="U428" i="25"/>
  <c r="V428" i="25" a="1"/>
  <c r="V428" i="25"/>
  <c r="W428" i="25"/>
  <c r="AA428" i="25"/>
  <c r="X428" i="25"/>
  <c r="AC428" i="25"/>
  <c r="U429" i="25" a="1"/>
  <c r="U429" i="25"/>
  <c r="V429" i="25" a="1"/>
  <c r="V429" i="25"/>
  <c r="W429" i="25"/>
  <c r="AA429" i="25"/>
  <c r="X429" i="25"/>
  <c r="AC429" i="25"/>
  <c r="U430" i="25" a="1"/>
  <c r="U430" i="25"/>
  <c r="V430" i="25" a="1"/>
  <c r="V430" i="25"/>
  <c r="W430" i="25"/>
  <c r="AA430" i="25"/>
  <c r="X430" i="25"/>
  <c r="AC430" i="25"/>
  <c r="U431" i="25" a="1"/>
  <c r="U431" i="25"/>
  <c r="V431" i="25" a="1"/>
  <c r="V431" i="25"/>
  <c r="W431" i="25"/>
  <c r="AA431" i="25"/>
  <c r="X431" i="25"/>
  <c r="AC431" i="25"/>
  <c r="U432" i="25" a="1"/>
  <c r="U432" i="25"/>
  <c r="V432" i="25" a="1"/>
  <c r="V432" i="25"/>
  <c r="W432" i="25"/>
  <c r="AA432" i="25"/>
  <c r="X432" i="25"/>
  <c r="AC432" i="25"/>
  <c r="U433" i="25" a="1"/>
  <c r="U433" i="25"/>
  <c r="V433" i="25" a="1"/>
  <c r="V433" i="25"/>
  <c r="W433" i="25"/>
  <c r="AA433" i="25"/>
  <c r="X433" i="25"/>
  <c r="AC433" i="25"/>
  <c r="U434" i="25" a="1"/>
  <c r="U434" i="25"/>
  <c r="V434" i="25" a="1"/>
  <c r="V434" i="25"/>
  <c r="W434" i="25"/>
  <c r="AA434" i="25"/>
  <c r="X434" i="25"/>
  <c r="AC434" i="25"/>
  <c r="U435" i="25" a="1"/>
  <c r="U435" i="25"/>
  <c r="V435" i="25" a="1"/>
  <c r="V435" i="25"/>
  <c r="W435" i="25"/>
  <c r="AA435" i="25"/>
  <c r="X435" i="25"/>
  <c r="AC435" i="25"/>
  <c r="U436" i="25" a="1"/>
  <c r="U436" i="25"/>
  <c r="V436" i="25" a="1"/>
  <c r="V436" i="25"/>
  <c r="W436" i="25"/>
  <c r="AA436" i="25"/>
  <c r="X436" i="25"/>
  <c r="AC436" i="25"/>
  <c r="U437" i="25" a="1"/>
  <c r="U437" i="25"/>
  <c r="V437" i="25" a="1"/>
  <c r="V437" i="25"/>
  <c r="W437" i="25"/>
  <c r="AA437" i="25"/>
  <c r="X437" i="25"/>
  <c r="AC437" i="25"/>
  <c r="U438" i="25" a="1"/>
  <c r="U438" i="25"/>
  <c r="V438" i="25" a="1"/>
  <c r="V438" i="25"/>
  <c r="W438" i="25"/>
  <c r="AA438" i="25"/>
  <c r="X438" i="25"/>
  <c r="AC438" i="25"/>
  <c r="U439" i="25" a="1"/>
  <c r="U439" i="25"/>
  <c r="V439" i="25" a="1"/>
  <c r="V439" i="25"/>
  <c r="W439" i="25"/>
  <c r="AA439" i="25"/>
  <c r="X439" i="25"/>
  <c r="AC439" i="25"/>
  <c r="U440" i="25" a="1"/>
  <c r="U440" i="25"/>
  <c r="V440" i="25" a="1"/>
  <c r="V440" i="25"/>
  <c r="W440" i="25"/>
  <c r="AA440" i="25"/>
  <c r="X440" i="25"/>
  <c r="AC440" i="25"/>
  <c r="U441" i="25" a="1"/>
  <c r="U441" i="25"/>
  <c r="V441" i="25" a="1"/>
  <c r="V441" i="25"/>
  <c r="W441" i="25"/>
  <c r="AA441" i="25"/>
  <c r="X441" i="25"/>
  <c r="AC441" i="25"/>
  <c r="U442" i="25" a="1"/>
  <c r="U442" i="25"/>
  <c r="V442" i="25" a="1"/>
  <c r="V442" i="25"/>
  <c r="W442" i="25"/>
  <c r="AA442" i="25"/>
  <c r="X442" i="25"/>
  <c r="AC442" i="25"/>
  <c r="U443" i="25" a="1"/>
  <c r="U443" i="25"/>
  <c r="V443" i="25" a="1"/>
  <c r="V443" i="25"/>
  <c r="W443" i="25"/>
  <c r="AA443" i="25"/>
  <c r="X443" i="25"/>
  <c r="AC443" i="25"/>
  <c r="U444" i="25" a="1"/>
  <c r="U444" i="25"/>
  <c r="V444" i="25" a="1"/>
  <c r="V444" i="25"/>
  <c r="W444" i="25"/>
  <c r="AA444" i="25"/>
  <c r="X444" i="25"/>
  <c r="AC444" i="25"/>
  <c r="U445" i="25" a="1"/>
  <c r="U445" i="25"/>
  <c r="V445" i="25" a="1"/>
  <c r="V445" i="25"/>
  <c r="W445" i="25"/>
  <c r="AA445" i="25"/>
  <c r="X445" i="25"/>
  <c r="AC445" i="25"/>
  <c r="U446" i="25" a="1"/>
  <c r="U446" i="25"/>
  <c r="V446" i="25" a="1"/>
  <c r="V446" i="25"/>
  <c r="W446" i="25"/>
  <c r="AA446" i="25"/>
  <c r="X446" i="25"/>
  <c r="AC446" i="25"/>
  <c r="U447" i="25" a="1"/>
  <c r="U447" i="25"/>
  <c r="V447" i="25" a="1"/>
  <c r="V447" i="25"/>
  <c r="W447" i="25"/>
  <c r="AA447" i="25"/>
  <c r="X447" i="25"/>
  <c r="AC447" i="25"/>
  <c r="U448" i="25" a="1"/>
  <c r="U448" i="25"/>
  <c r="V448" i="25" a="1"/>
  <c r="V448" i="25"/>
  <c r="W448" i="25"/>
  <c r="AA448" i="25"/>
  <c r="X448" i="25"/>
  <c r="AC448" i="25"/>
  <c r="U449" i="25" a="1"/>
  <c r="U449" i="25"/>
  <c r="V449" i="25" a="1"/>
  <c r="V449" i="25"/>
  <c r="W449" i="25"/>
  <c r="AA449" i="25"/>
  <c r="X449" i="25"/>
  <c r="AC449" i="25"/>
  <c r="U450" i="25" a="1"/>
  <c r="U450" i="25"/>
  <c r="V450" i="25" a="1"/>
  <c r="V450" i="25"/>
  <c r="W450" i="25"/>
  <c r="AA450" i="25"/>
  <c r="X450" i="25"/>
  <c r="AC450" i="25"/>
  <c r="U451" i="25" a="1"/>
  <c r="U451" i="25"/>
  <c r="V451" i="25" a="1"/>
  <c r="V451" i="25"/>
  <c r="W451" i="25"/>
  <c r="AA451" i="25"/>
  <c r="X451" i="25"/>
  <c r="AC451" i="25"/>
  <c r="U452" i="25" a="1"/>
  <c r="U452" i="25"/>
  <c r="V452" i="25" a="1"/>
  <c r="V452" i="25"/>
  <c r="W452" i="25"/>
  <c r="AA452" i="25"/>
  <c r="X452" i="25"/>
  <c r="AC452" i="25"/>
  <c r="U453" i="25" a="1"/>
  <c r="U453" i="25"/>
  <c r="V453" i="25" a="1"/>
  <c r="V453" i="25"/>
  <c r="W453" i="25"/>
  <c r="AA453" i="25"/>
  <c r="X453" i="25"/>
  <c r="AC453" i="25"/>
  <c r="U454" i="25" a="1"/>
  <c r="U454" i="25"/>
  <c r="V454" i="25" a="1"/>
  <c r="V454" i="25"/>
  <c r="W454" i="25"/>
  <c r="AA454" i="25"/>
  <c r="X454" i="25"/>
  <c r="AC454" i="25"/>
  <c r="U455" i="25" a="1"/>
  <c r="U455" i="25"/>
  <c r="V455" i="25" a="1"/>
  <c r="V455" i="25"/>
  <c r="W455" i="25"/>
  <c r="AA455" i="25"/>
  <c r="X455" i="25"/>
  <c r="AC455" i="25"/>
  <c r="U456" i="25" a="1"/>
  <c r="U456" i="25"/>
  <c r="V456" i="25" a="1"/>
  <c r="V456" i="25"/>
  <c r="W456" i="25"/>
  <c r="AA456" i="25"/>
  <c r="X456" i="25"/>
  <c r="AC456" i="25"/>
  <c r="U457" i="25" a="1"/>
  <c r="U457" i="25"/>
  <c r="V457" i="25" a="1"/>
  <c r="V457" i="25"/>
  <c r="W457" i="25"/>
  <c r="AA457" i="25"/>
  <c r="X457" i="25"/>
  <c r="AC457" i="25"/>
  <c r="U458" i="25" a="1"/>
  <c r="U458" i="25"/>
  <c r="V458" i="25" a="1"/>
  <c r="V458" i="25"/>
  <c r="W458" i="25"/>
  <c r="AA458" i="25"/>
  <c r="X458" i="25"/>
  <c r="AC458" i="25"/>
  <c r="U459" i="25" a="1"/>
  <c r="U459" i="25"/>
  <c r="V459" i="25" a="1"/>
  <c r="V459" i="25"/>
  <c r="W459" i="25"/>
  <c r="AA459" i="25"/>
  <c r="X459" i="25"/>
  <c r="AC459" i="25"/>
  <c r="U460" i="25" a="1"/>
  <c r="U460" i="25"/>
  <c r="V460" i="25" a="1"/>
  <c r="V460" i="25"/>
  <c r="W460" i="25"/>
  <c r="AA460" i="25"/>
  <c r="X460" i="25"/>
  <c r="AC460" i="25"/>
  <c r="U461" i="25" a="1"/>
  <c r="U461" i="25"/>
  <c r="V461" i="25" a="1"/>
  <c r="V461" i="25"/>
  <c r="W461" i="25"/>
  <c r="AA461" i="25"/>
  <c r="X461" i="25"/>
  <c r="AC461" i="25"/>
  <c r="U462" i="25" a="1"/>
  <c r="U462" i="25"/>
  <c r="V462" i="25" a="1"/>
  <c r="V462" i="25"/>
  <c r="W462" i="25"/>
  <c r="AA462" i="25"/>
  <c r="X462" i="25"/>
  <c r="AC462" i="25"/>
  <c r="U463" i="25" a="1"/>
  <c r="U463" i="25"/>
  <c r="V463" i="25" a="1"/>
  <c r="V463" i="25"/>
  <c r="W463" i="25"/>
  <c r="AA463" i="25"/>
  <c r="X463" i="25"/>
  <c r="AC463" i="25"/>
  <c r="U464" i="25" a="1"/>
  <c r="U464" i="25"/>
  <c r="V464" i="25" a="1"/>
  <c r="V464" i="25"/>
  <c r="W464" i="25"/>
  <c r="AA464" i="25"/>
  <c r="X464" i="25"/>
  <c r="AC464" i="25"/>
  <c r="U465" i="25" a="1"/>
  <c r="U465" i="25"/>
  <c r="V465" i="25" a="1"/>
  <c r="V465" i="25"/>
  <c r="W465" i="25"/>
  <c r="AA465" i="25"/>
  <c r="X465" i="25"/>
  <c r="AC465" i="25"/>
  <c r="U466" i="25" a="1"/>
  <c r="U466" i="25"/>
  <c r="V466" i="25" a="1"/>
  <c r="V466" i="25"/>
  <c r="W466" i="25"/>
  <c r="AA466" i="25"/>
  <c r="X466" i="25"/>
  <c r="AC466" i="25"/>
  <c r="U467" i="25" a="1"/>
  <c r="U467" i="25"/>
  <c r="V467" i="25" a="1"/>
  <c r="V467" i="25"/>
  <c r="W467" i="25"/>
  <c r="AA467" i="25"/>
  <c r="X467" i="25"/>
  <c r="AC467" i="25"/>
  <c r="U468" i="25" a="1"/>
  <c r="U468" i="25"/>
  <c r="V468" i="25" a="1"/>
  <c r="V468" i="25"/>
  <c r="W468" i="25"/>
  <c r="AA468" i="25"/>
  <c r="X468" i="25"/>
  <c r="AC468" i="25"/>
  <c r="U469" i="25" a="1"/>
  <c r="U469" i="25"/>
  <c r="V469" i="25" a="1"/>
  <c r="V469" i="25"/>
  <c r="W469" i="25"/>
  <c r="AA469" i="25"/>
  <c r="X469" i="25"/>
  <c r="AC469" i="25"/>
  <c r="U470" i="25" a="1"/>
  <c r="U470" i="25"/>
  <c r="V470" i="25" a="1"/>
  <c r="V470" i="25"/>
  <c r="W470" i="25"/>
  <c r="AA470" i="25"/>
  <c r="X470" i="25"/>
  <c r="AC470" i="25"/>
  <c r="U471" i="25" a="1"/>
  <c r="U471" i="25"/>
  <c r="V471" i="25" a="1"/>
  <c r="V471" i="25"/>
  <c r="W471" i="25"/>
  <c r="AA471" i="25"/>
  <c r="X471" i="25"/>
  <c r="AC471" i="25"/>
  <c r="U472" i="25" a="1"/>
  <c r="U472" i="25"/>
  <c r="V472" i="25" a="1"/>
  <c r="V472" i="25"/>
  <c r="W472" i="25"/>
  <c r="AA472" i="25"/>
  <c r="X472" i="25"/>
  <c r="AC472" i="25"/>
  <c r="U473" i="25" a="1"/>
  <c r="U473" i="25"/>
  <c r="V473" i="25" a="1"/>
  <c r="V473" i="25"/>
  <c r="W473" i="25"/>
  <c r="AA473" i="25"/>
  <c r="X473" i="25"/>
  <c r="AC473" i="25"/>
  <c r="U474" i="25" a="1"/>
  <c r="U474" i="25"/>
  <c r="V474" i="25" a="1"/>
  <c r="V474" i="25"/>
  <c r="W474" i="25"/>
  <c r="AA474" i="25"/>
  <c r="X474" i="25"/>
  <c r="AC474" i="25"/>
  <c r="U475" i="25" a="1"/>
  <c r="U475" i="25"/>
  <c r="V475" i="25" a="1"/>
  <c r="V475" i="25"/>
  <c r="W475" i="25"/>
  <c r="AA475" i="25"/>
  <c r="X475" i="25"/>
  <c r="AC475" i="25"/>
  <c r="U476" i="25" a="1"/>
  <c r="U476" i="25"/>
  <c r="V476" i="25" a="1"/>
  <c r="V476" i="25"/>
  <c r="W476" i="25"/>
  <c r="AA476" i="25"/>
  <c r="X476" i="25"/>
  <c r="AC476" i="25"/>
  <c r="U477" i="25" a="1"/>
  <c r="U477" i="25"/>
  <c r="V477" i="25" a="1"/>
  <c r="V477" i="25"/>
  <c r="W477" i="25"/>
  <c r="AA477" i="25"/>
  <c r="X477" i="25"/>
  <c r="AC477" i="25"/>
  <c r="U478" i="25" a="1"/>
  <c r="U478" i="25"/>
  <c r="V478" i="25" a="1"/>
  <c r="V478" i="25"/>
  <c r="W478" i="25"/>
  <c r="AA478" i="25"/>
  <c r="X478" i="25"/>
  <c r="AC478" i="25"/>
  <c r="U479" i="25" a="1"/>
  <c r="U479" i="25"/>
  <c r="V479" i="25" a="1"/>
  <c r="V479" i="25"/>
  <c r="W479" i="25"/>
  <c r="AA479" i="25"/>
  <c r="X479" i="25"/>
  <c r="AC479" i="25"/>
  <c r="U480" i="25" a="1"/>
  <c r="U480" i="25"/>
  <c r="V480" i="25" a="1"/>
  <c r="V480" i="25"/>
  <c r="W480" i="25"/>
  <c r="AA480" i="25"/>
  <c r="X480" i="25"/>
  <c r="AC480" i="25"/>
  <c r="U481" i="25" a="1"/>
  <c r="U481" i="25"/>
  <c r="V481" i="25" a="1"/>
  <c r="V481" i="25"/>
  <c r="W481" i="25"/>
  <c r="AA481" i="25"/>
  <c r="X481" i="25"/>
  <c r="AC481" i="25"/>
  <c r="U482" i="25" a="1"/>
  <c r="U482" i="25"/>
  <c r="V482" i="25" a="1"/>
  <c r="V482" i="25"/>
  <c r="W482" i="25"/>
  <c r="AA482" i="25"/>
  <c r="X482" i="25"/>
  <c r="AC482" i="25"/>
  <c r="U483" i="25" a="1"/>
  <c r="U483" i="25"/>
  <c r="V483" i="25" a="1"/>
  <c r="V483" i="25"/>
  <c r="W483" i="25"/>
  <c r="AA483" i="25"/>
  <c r="X483" i="25"/>
  <c r="AC483" i="25"/>
  <c r="U484" i="25" a="1"/>
  <c r="U484" i="25"/>
  <c r="V484" i="25" a="1"/>
  <c r="V484" i="25"/>
  <c r="W484" i="25"/>
  <c r="AA484" i="25"/>
  <c r="X484" i="25"/>
  <c r="AC484" i="25"/>
  <c r="U485" i="25" a="1"/>
  <c r="U485" i="25"/>
  <c r="V485" i="25" a="1"/>
  <c r="V485" i="25"/>
  <c r="W485" i="25"/>
  <c r="AA485" i="25"/>
  <c r="X485" i="25"/>
  <c r="AC485" i="25"/>
  <c r="U486" i="25" a="1"/>
  <c r="U486" i="25"/>
  <c r="V486" i="25" a="1"/>
  <c r="V486" i="25"/>
  <c r="W486" i="25"/>
  <c r="AA486" i="25"/>
  <c r="X486" i="25"/>
  <c r="AC486" i="25"/>
  <c r="U487" i="25" a="1"/>
  <c r="U487" i="25"/>
  <c r="V487" i="25" a="1"/>
  <c r="V487" i="25"/>
  <c r="W487" i="25"/>
  <c r="AA487" i="25"/>
  <c r="X487" i="25"/>
  <c r="AC487" i="25"/>
  <c r="U488" i="25" a="1"/>
  <c r="U488" i="25"/>
  <c r="V488" i="25" a="1"/>
  <c r="V488" i="25"/>
  <c r="W488" i="25"/>
  <c r="AA488" i="25"/>
  <c r="X488" i="25"/>
  <c r="AC488" i="25"/>
  <c r="U489" i="25" a="1"/>
  <c r="U489" i="25"/>
  <c r="V489" i="25" a="1"/>
  <c r="V489" i="25"/>
  <c r="W489" i="25"/>
  <c r="AA489" i="25"/>
  <c r="X489" i="25"/>
  <c r="AC489" i="25"/>
  <c r="U490" i="25" a="1"/>
  <c r="U490" i="25"/>
  <c r="V490" i="25" a="1"/>
  <c r="V490" i="25"/>
  <c r="W490" i="25"/>
  <c r="AA490" i="25"/>
  <c r="X490" i="25"/>
  <c r="AC490" i="25"/>
  <c r="U491" i="25" a="1"/>
  <c r="U491" i="25"/>
  <c r="V491" i="25" a="1"/>
  <c r="V491" i="25"/>
  <c r="W491" i="25"/>
  <c r="AA491" i="25"/>
  <c r="X491" i="25"/>
  <c r="AC491" i="25"/>
  <c r="U492" i="25" a="1"/>
  <c r="U492" i="25"/>
  <c r="V492" i="25" a="1"/>
  <c r="V492" i="25"/>
  <c r="W492" i="25"/>
  <c r="AA492" i="25"/>
  <c r="X492" i="25"/>
  <c r="AC492" i="25"/>
  <c r="U493" i="25" a="1"/>
  <c r="U493" i="25"/>
  <c r="V493" i="25" a="1"/>
  <c r="V493" i="25"/>
  <c r="W493" i="25"/>
  <c r="AA493" i="25"/>
  <c r="X493" i="25"/>
  <c r="AC493" i="25"/>
  <c r="U494" i="25" a="1"/>
  <c r="U494" i="25"/>
  <c r="V494" i="25" a="1"/>
  <c r="V494" i="25"/>
  <c r="W494" i="25"/>
  <c r="AA494" i="25"/>
  <c r="X494" i="25"/>
  <c r="AC494" i="25"/>
  <c r="U495" i="25" a="1"/>
  <c r="U495" i="25"/>
  <c r="V495" i="25" a="1"/>
  <c r="V495" i="25"/>
  <c r="W495" i="25"/>
  <c r="AA495" i="25"/>
  <c r="X495" i="25"/>
  <c r="AC495" i="25"/>
  <c r="U496" i="25" a="1"/>
  <c r="U496" i="25"/>
  <c r="V496" i="25" a="1"/>
  <c r="V496" i="25"/>
  <c r="W496" i="25"/>
  <c r="AA496" i="25"/>
  <c r="X496" i="25"/>
  <c r="AC496" i="25"/>
  <c r="U497" i="25" a="1"/>
  <c r="U497" i="25"/>
  <c r="V497" i="25" a="1"/>
  <c r="V497" i="25"/>
  <c r="W497" i="25"/>
  <c r="AA497" i="25"/>
  <c r="X497" i="25"/>
  <c r="AC497" i="25"/>
  <c r="U498" i="25" a="1"/>
  <c r="U498" i="25"/>
  <c r="V498" i="25" a="1"/>
  <c r="V498" i="25"/>
  <c r="W498" i="25"/>
  <c r="AA498" i="25"/>
  <c r="X498" i="25"/>
  <c r="AC498" i="25"/>
  <c r="U499" i="25" a="1"/>
  <c r="U499" i="25"/>
  <c r="V499" i="25" a="1"/>
  <c r="V499" i="25"/>
  <c r="W499" i="25"/>
  <c r="AA499" i="25"/>
  <c r="X499" i="25"/>
  <c r="AC499" i="25"/>
  <c r="U500" i="25" a="1"/>
  <c r="U500" i="25"/>
  <c r="V500" i="25" a="1"/>
  <c r="V500" i="25"/>
  <c r="W500" i="25"/>
  <c r="AA500" i="25"/>
  <c r="X500" i="25"/>
  <c r="AC500" i="25"/>
  <c r="U501" i="25" a="1"/>
  <c r="U501" i="25"/>
  <c r="V501" i="25" a="1"/>
  <c r="V501" i="25"/>
  <c r="W501" i="25"/>
  <c r="AA501" i="25"/>
  <c r="X501" i="25"/>
  <c r="AC501" i="25"/>
  <c r="U502" i="25" a="1"/>
  <c r="U502" i="25"/>
  <c r="V502" i="25" a="1"/>
  <c r="V502" i="25"/>
  <c r="W502" i="25"/>
  <c r="AA502" i="25"/>
  <c r="X502" i="25"/>
  <c r="AC502" i="25"/>
  <c r="U503" i="25" a="1"/>
  <c r="U503" i="25"/>
  <c r="V503" i="25" a="1"/>
  <c r="V503" i="25"/>
  <c r="W503" i="25"/>
  <c r="AA503" i="25"/>
  <c r="X503" i="25"/>
  <c r="AC503" i="25"/>
  <c r="U504" i="25" a="1"/>
  <c r="U504" i="25"/>
  <c r="V504" i="25" a="1"/>
  <c r="V504" i="25"/>
  <c r="W504" i="25"/>
  <c r="AA504" i="25"/>
  <c r="X504" i="25"/>
  <c r="AC504" i="25"/>
  <c r="U505" i="25" a="1"/>
  <c r="U505" i="25"/>
  <c r="V505" i="25" a="1"/>
  <c r="V505" i="25"/>
  <c r="W505" i="25"/>
  <c r="AA505" i="25"/>
  <c r="X505" i="25"/>
  <c r="AC505" i="25"/>
  <c r="U506" i="25" a="1"/>
  <c r="U506" i="25"/>
  <c r="V506" i="25" a="1"/>
  <c r="V506" i="25"/>
  <c r="W506" i="25"/>
  <c r="AA506" i="25"/>
  <c r="X506" i="25"/>
  <c r="AC506" i="25"/>
  <c r="U507" i="25" a="1"/>
  <c r="U507" i="25"/>
  <c r="V507" i="25" a="1"/>
  <c r="V507" i="25"/>
  <c r="W507" i="25"/>
  <c r="AA507" i="25"/>
  <c r="X507" i="25"/>
  <c r="AC507" i="25"/>
  <c r="U508" i="25" a="1"/>
  <c r="U508" i="25"/>
  <c r="V508" i="25" a="1"/>
  <c r="V508" i="25"/>
  <c r="W508" i="25"/>
  <c r="AA508" i="25"/>
  <c r="X508" i="25"/>
  <c r="AC508" i="25"/>
  <c r="U509" i="25" a="1"/>
  <c r="U509" i="25"/>
  <c r="V509" i="25" a="1"/>
  <c r="V509" i="25"/>
  <c r="W509" i="25"/>
  <c r="AA509" i="25"/>
  <c r="X509" i="25"/>
  <c r="AC509" i="25"/>
  <c r="U510" i="25" a="1"/>
  <c r="U510" i="25"/>
  <c r="V510" i="25" a="1"/>
  <c r="V510" i="25"/>
  <c r="W510" i="25"/>
  <c r="AA510" i="25"/>
  <c r="X510" i="25"/>
  <c r="AC510" i="25"/>
  <c r="U511" i="25" a="1"/>
  <c r="U511" i="25"/>
  <c r="V511" i="25" a="1"/>
  <c r="V511" i="25"/>
  <c r="W511" i="25"/>
  <c r="AA511" i="25"/>
  <c r="X511" i="25"/>
  <c r="AC511" i="25"/>
  <c r="U512" i="25" a="1"/>
  <c r="U512" i="25"/>
  <c r="V512" i="25" a="1"/>
  <c r="V512" i="25"/>
  <c r="W512" i="25"/>
  <c r="AA512" i="25"/>
  <c r="X512" i="25"/>
  <c r="AC512" i="25"/>
  <c r="U513" i="25" a="1"/>
  <c r="U513" i="25"/>
  <c r="V513" i="25" a="1"/>
  <c r="V513" i="25"/>
  <c r="W513" i="25"/>
  <c r="AA513" i="25"/>
  <c r="X513" i="25"/>
  <c r="AC513" i="25"/>
  <c r="U514" i="25" a="1"/>
  <c r="U514" i="25"/>
  <c r="V514" i="25" a="1"/>
  <c r="V514" i="25"/>
  <c r="W514" i="25"/>
  <c r="AA514" i="25"/>
  <c r="X514" i="25"/>
  <c r="AC514" i="25"/>
  <c r="U515" i="25" a="1"/>
  <c r="U515" i="25"/>
  <c r="V515" i="25" a="1"/>
  <c r="V515" i="25"/>
  <c r="W515" i="25"/>
  <c r="AA515" i="25"/>
  <c r="X515" i="25"/>
  <c r="AC515" i="25"/>
  <c r="U516" i="25" a="1"/>
  <c r="U516" i="25"/>
  <c r="V516" i="25" a="1"/>
  <c r="V516" i="25"/>
  <c r="W516" i="25"/>
  <c r="AA516" i="25"/>
  <c r="X516" i="25"/>
  <c r="AC516" i="25"/>
  <c r="U517" i="25" a="1"/>
  <c r="U517" i="25"/>
  <c r="V517" i="25" a="1"/>
  <c r="V517" i="25"/>
  <c r="W517" i="25"/>
  <c r="AA517" i="25"/>
  <c r="X517" i="25"/>
  <c r="AC517" i="25"/>
  <c r="U518" i="25" a="1"/>
  <c r="U518" i="25"/>
  <c r="V518" i="25" a="1"/>
  <c r="V518" i="25"/>
  <c r="W518" i="25"/>
  <c r="AA518" i="25"/>
  <c r="X518" i="25"/>
  <c r="AC518" i="25"/>
  <c r="U519" i="25" a="1"/>
  <c r="U519" i="25"/>
  <c r="V519" i="25" a="1"/>
  <c r="V519" i="25"/>
  <c r="W519" i="25"/>
  <c r="AA519" i="25"/>
  <c r="X519" i="25"/>
  <c r="AC519" i="25"/>
  <c r="U520" i="25" a="1"/>
  <c r="U520" i="25"/>
  <c r="V520" i="25" a="1"/>
  <c r="V520" i="25"/>
  <c r="W520" i="25"/>
  <c r="AA520" i="25"/>
  <c r="X520" i="25"/>
  <c r="AC520" i="25"/>
  <c r="U521" i="25" a="1"/>
  <c r="U521" i="25"/>
  <c r="V521" i="25" a="1"/>
  <c r="V521" i="25"/>
  <c r="W521" i="25"/>
  <c r="AA521" i="25"/>
  <c r="X521" i="25"/>
  <c r="AC521" i="25"/>
  <c r="U522" i="25" a="1"/>
  <c r="U522" i="25"/>
  <c r="V522" i="25" a="1"/>
  <c r="V522" i="25"/>
  <c r="W522" i="25"/>
  <c r="AA522" i="25"/>
  <c r="X522" i="25"/>
  <c r="AC522" i="25"/>
  <c r="U523" i="25" a="1"/>
  <c r="U523" i="25"/>
  <c r="V523" i="25" a="1"/>
  <c r="V523" i="25"/>
  <c r="W523" i="25"/>
  <c r="AA523" i="25"/>
  <c r="X523" i="25"/>
  <c r="AC523" i="25"/>
  <c r="U524" i="25" a="1"/>
  <c r="U524" i="25"/>
  <c r="V524" i="25" a="1"/>
  <c r="V524" i="25"/>
  <c r="W524" i="25"/>
  <c r="AA524" i="25"/>
  <c r="X524" i="25"/>
  <c r="AC524" i="25"/>
  <c r="U525" i="25" a="1"/>
  <c r="U525" i="25"/>
  <c r="V525" i="25" a="1"/>
  <c r="V525" i="25"/>
  <c r="W525" i="25"/>
  <c r="AA525" i="25"/>
  <c r="X525" i="25"/>
  <c r="AC525" i="25"/>
  <c r="U526" i="25" a="1"/>
  <c r="U526" i="25"/>
  <c r="V526" i="25" a="1"/>
  <c r="V526" i="25"/>
  <c r="W526" i="25"/>
  <c r="AA526" i="25"/>
  <c r="X526" i="25"/>
  <c r="AC526" i="25"/>
  <c r="U527" i="25" a="1"/>
  <c r="U527" i="25"/>
  <c r="V527" i="25" a="1"/>
  <c r="V527" i="25"/>
  <c r="W527" i="25"/>
  <c r="AA527" i="25"/>
  <c r="X527" i="25"/>
  <c r="AC527" i="25"/>
  <c r="U528" i="25" a="1"/>
  <c r="U528" i="25"/>
  <c r="V528" i="25" a="1"/>
  <c r="V528" i="25"/>
  <c r="W528" i="25"/>
  <c r="AA528" i="25"/>
  <c r="X528" i="25"/>
  <c r="AC528" i="25"/>
  <c r="U529" i="25" a="1"/>
  <c r="U529" i="25"/>
  <c r="V529" i="25" a="1"/>
  <c r="V529" i="25"/>
  <c r="W529" i="25"/>
  <c r="AA529" i="25"/>
  <c r="X529" i="25"/>
  <c r="AC529" i="25"/>
  <c r="U530" i="25" a="1"/>
  <c r="U530" i="25"/>
  <c r="V530" i="25" a="1"/>
  <c r="V530" i="25"/>
  <c r="W530" i="25"/>
  <c r="AA530" i="25"/>
  <c r="X530" i="25"/>
  <c r="AC530" i="25"/>
  <c r="U531" i="25" a="1"/>
  <c r="U531" i="25"/>
  <c r="V531" i="25" a="1"/>
  <c r="V531" i="25"/>
  <c r="W531" i="25"/>
  <c r="AA531" i="25"/>
  <c r="X531" i="25"/>
  <c r="AC531" i="25"/>
  <c r="U532" i="25" a="1"/>
  <c r="U532" i="25"/>
  <c r="V532" i="25" a="1"/>
  <c r="V532" i="25"/>
  <c r="W532" i="25"/>
  <c r="AA532" i="25"/>
  <c r="X532" i="25"/>
  <c r="AC532" i="25"/>
  <c r="U533" i="25" a="1"/>
  <c r="U533" i="25"/>
  <c r="V533" i="25" a="1"/>
  <c r="V533" i="25"/>
  <c r="W533" i="25"/>
  <c r="AA533" i="25"/>
  <c r="X533" i="25"/>
  <c r="AC533" i="25"/>
  <c r="U534" i="25" a="1"/>
  <c r="U534" i="25"/>
  <c r="V534" i="25" a="1"/>
  <c r="V534" i="25"/>
  <c r="W534" i="25"/>
  <c r="AA534" i="25"/>
  <c r="X534" i="25"/>
  <c r="AC534" i="25"/>
  <c r="U535" i="25" a="1"/>
  <c r="U535" i="25"/>
  <c r="V535" i="25" a="1"/>
  <c r="V535" i="25"/>
  <c r="W535" i="25"/>
  <c r="AA535" i="25"/>
  <c r="X535" i="25"/>
  <c r="AC535" i="25"/>
  <c r="U536" i="25" a="1"/>
  <c r="U536" i="25"/>
  <c r="V536" i="25" a="1"/>
  <c r="V536" i="25"/>
  <c r="W536" i="25"/>
  <c r="AA536" i="25"/>
  <c r="X536" i="25"/>
  <c r="AC536" i="25"/>
  <c r="U537" i="25" a="1"/>
  <c r="U537" i="25"/>
  <c r="V537" i="25" a="1"/>
  <c r="V537" i="25"/>
  <c r="W537" i="25"/>
  <c r="AA537" i="25"/>
  <c r="X537" i="25"/>
  <c r="AC537" i="25"/>
  <c r="U538" i="25" a="1"/>
  <c r="U538" i="25"/>
  <c r="V538" i="25" a="1"/>
  <c r="V538" i="25"/>
  <c r="W538" i="25"/>
  <c r="AA538" i="25"/>
  <c r="X538" i="25"/>
  <c r="AC538" i="25"/>
  <c r="U539" i="25" a="1"/>
  <c r="U539" i="25"/>
  <c r="V539" i="25" a="1"/>
  <c r="V539" i="25"/>
  <c r="W539" i="25"/>
  <c r="AA539" i="25"/>
  <c r="X539" i="25"/>
  <c r="AC539" i="25"/>
  <c r="U540" i="25" a="1"/>
  <c r="U540" i="25"/>
  <c r="V540" i="25" a="1"/>
  <c r="V540" i="25"/>
  <c r="W540" i="25"/>
  <c r="AA540" i="25"/>
  <c r="X540" i="25"/>
  <c r="AC540" i="25"/>
  <c r="U541" i="25" a="1"/>
  <c r="U541" i="25"/>
  <c r="V541" i="25" a="1"/>
  <c r="V541" i="25"/>
  <c r="W541" i="25"/>
  <c r="AA541" i="25"/>
  <c r="X541" i="25"/>
  <c r="AC541" i="25"/>
  <c r="U542" i="25" a="1"/>
  <c r="U542" i="25"/>
  <c r="V542" i="25" a="1"/>
  <c r="V542" i="25"/>
  <c r="W542" i="25"/>
  <c r="AA542" i="25"/>
  <c r="X542" i="25"/>
  <c r="AC542" i="25"/>
  <c r="U543" i="25" a="1"/>
  <c r="U543" i="25"/>
  <c r="V543" i="25" a="1"/>
  <c r="V543" i="25"/>
  <c r="W543" i="25"/>
  <c r="AA543" i="25"/>
  <c r="X543" i="25"/>
  <c r="AC543" i="25"/>
  <c r="U544" i="25" a="1"/>
  <c r="U544" i="25"/>
  <c r="V544" i="25" a="1"/>
  <c r="V544" i="25"/>
  <c r="W544" i="25"/>
  <c r="AA544" i="25"/>
  <c r="X544" i="25"/>
  <c r="AC544" i="25"/>
  <c r="U545" i="25" a="1"/>
  <c r="U545" i="25"/>
  <c r="V545" i="25" a="1"/>
  <c r="V545" i="25"/>
  <c r="W545" i="25"/>
  <c r="AA545" i="25"/>
  <c r="X545" i="25"/>
  <c r="AC545" i="25"/>
  <c r="U546" i="25" a="1"/>
  <c r="U546" i="25"/>
  <c r="V546" i="25" a="1"/>
  <c r="V546" i="25"/>
  <c r="W546" i="25"/>
  <c r="AA546" i="25"/>
  <c r="X546" i="25"/>
  <c r="AC546" i="25"/>
  <c r="U547" i="25" a="1"/>
  <c r="U547" i="25"/>
  <c r="V547" i="25" a="1"/>
  <c r="V547" i="25"/>
  <c r="W547" i="25"/>
  <c r="AA547" i="25"/>
  <c r="X547" i="25"/>
  <c r="AC547" i="25"/>
  <c r="U548" i="25" a="1"/>
  <c r="U548" i="25"/>
  <c r="V548" i="25" a="1"/>
  <c r="V548" i="25"/>
  <c r="W548" i="25"/>
  <c r="AA548" i="25"/>
  <c r="X548" i="25"/>
  <c r="AC548" i="25"/>
  <c r="U549" i="25" a="1"/>
  <c r="U549" i="25"/>
  <c r="V549" i="25" a="1"/>
  <c r="V549" i="25"/>
  <c r="W549" i="25"/>
  <c r="AA549" i="25"/>
  <c r="X549" i="25"/>
  <c r="AC549" i="25"/>
  <c r="U550" i="25" a="1"/>
  <c r="U550" i="25"/>
  <c r="V550" i="25" a="1"/>
  <c r="V550" i="25"/>
  <c r="W550" i="25"/>
  <c r="AA550" i="25"/>
  <c r="X550" i="25"/>
  <c r="AC550" i="25"/>
  <c r="U551" i="25" a="1"/>
  <c r="U551" i="25"/>
  <c r="V551" i="25" a="1"/>
  <c r="V551" i="25"/>
  <c r="W551" i="25"/>
  <c r="AA551" i="25"/>
  <c r="X551" i="25"/>
  <c r="AC551" i="25"/>
  <c r="U552" i="25" a="1"/>
  <c r="U552" i="25"/>
  <c r="V552" i="25" a="1"/>
  <c r="V552" i="25"/>
  <c r="W552" i="25"/>
  <c r="AA552" i="25"/>
  <c r="X552" i="25"/>
  <c r="AC552" i="25"/>
  <c r="U553" i="25" a="1"/>
  <c r="U553" i="25"/>
  <c r="V553" i="25" a="1"/>
  <c r="V553" i="25"/>
  <c r="W553" i="25"/>
  <c r="AA553" i="25"/>
  <c r="X553" i="25"/>
  <c r="AC553" i="25"/>
  <c r="U554" i="25" a="1"/>
  <c r="U554" i="25"/>
  <c r="V554" i="25" a="1"/>
  <c r="V554" i="25"/>
  <c r="W554" i="25"/>
  <c r="AA554" i="25"/>
  <c r="X554" i="25"/>
  <c r="AC554" i="25"/>
  <c r="U555" i="25" a="1"/>
  <c r="U555" i="25"/>
  <c r="V555" i="25" a="1"/>
  <c r="V555" i="25"/>
  <c r="W555" i="25"/>
  <c r="AA555" i="25"/>
  <c r="X555" i="25"/>
  <c r="AC555" i="25"/>
  <c r="U556" i="25" a="1"/>
  <c r="U556" i="25"/>
  <c r="V556" i="25" a="1"/>
  <c r="V556" i="25"/>
  <c r="W556" i="25"/>
  <c r="AA556" i="25"/>
  <c r="X556" i="25"/>
  <c r="AC556" i="25"/>
  <c r="U557" i="25" a="1"/>
  <c r="U557" i="25"/>
  <c r="V557" i="25" a="1"/>
  <c r="V557" i="25"/>
  <c r="W557" i="25"/>
  <c r="AA557" i="25"/>
  <c r="X557" i="25"/>
  <c r="AC557" i="25"/>
  <c r="U558" i="25" a="1"/>
  <c r="U558" i="25"/>
  <c r="V558" i="25" a="1"/>
  <c r="V558" i="25"/>
  <c r="W558" i="25"/>
  <c r="AA558" i="25"/>
  <c r="X558" i="25"/>
  <c r="AC558" i="25"/>
  <c r="U559" i="25" a="1"/>
  <c r="U559" i="25"/>
  <c r="V559" i="25" a="1"/>
  <c r="V559" i="25"/>
  <c r="W559" i="25"/>
  <c r="AA559" i="25"/>
  <c r="X559" i="25"/>
  <c r="AC559" i="25"/>
  <c r="U560" i="25" a="1"/>
  <c r="U560" i="25"/>
  <c r="V560" i="25" a="1"/>
  <c r="V560" i="25"/>
  <c r="W560" i="25"/>
  <c r="AA560" i="25"/>
  <c r="X560" i="25"/>
  <c r="AC560" i="25"/>
  <c r="U561" i="25" a="1"/>
  <c r="U561" i="25"/>
  <c r="V561" i="25" a="1"/>
  <c r="V561" i="25"/>
  <c r="W561" i="25"/>
  <c r="AA561" i="25"/>
  <c r="X561" i="25"/>
  <c r="AC561" i="25"/>
  <c r="U562" i="25" a="1"/>
  <c r="U562" i="25"/>
  <c r="V562" i="25" a="1"/>
  <c r="V562" i="25"/>
  <c r="W562" i="25"/>
  <c r="AA562" i="25"/>
  <c r="X562" i="25"/>
  <c r="AC562" i="25"/>
  <c r="U563" i="25" a="1"/>
  <c r="U563" i="25"/>
  <c r="V563" i="25" a="1"/>
  <c r="V563" i="25"/>
  <c r="W563" i="25"/>
  <c r="AA563" i="25"/>
  <c r="X563" i="25"/>
  <c r="AC563" i="25"/>
  <c r="U564" i="25" a="1"/>
  <c r="U564" i="25"/>
  <c r="V564" i="25" a="1"/>
  <c r="V564" i="25"/>
  <c r="W564" i="25"/>
  <c r="AA564" i="25"/>
  <c r="X564" i="25"/>
  <c r="AC564" i="25"/>
  <c r="U565" i="25" a="1"/>
  <c r="U565" i="25"/>
  <c r="V565" i="25" a="1"/>
  <c r="V565" i="25"/>
  <c r="W565" i="25"/>
  <c r="AA565" i="25"/>
  <c r="X565" i="25"/>
  <c r="AC565" i="25"/>
  <c r="U566" i="25" a="1"/>
  <c r="U566" i="25"/>
  <c r="V566" i="25" a="1"/>
  <c r="V566" i="25"/>
  <c r="W566" i="25"/>
  <c r="AA566" i="25"/>
  <c r="X566" i="25"/>
  <c r="AC566" i="25"/>
  <c r="U567" i="25" a="1"/>
  <c r="U567" i="25"/>
  <c r="V567" i="25" a="1"/>
  <c r="V567" i="25"/>
  <c r="W567" i="25"/>
  <c r="AA567" i="25"/>
  <c r="X567" i="25"/>
  <c r="AC567" i="25"/>
  <c r="U568" i="25" a="1"/>
  <c r="U568" i="25"/>
  <c r="V568" i="25" a="1"/>
  <c r="V568" i="25"/>
  <c r="W568" i="25"/>
  <c r="AA568" i="25"/>
  <c r="X568" i="25"/>
  <c r="AC568" i="25"/>
  <c r="U569" i="25" a="1"/>
  <c r="U569" i="25"/>
  <c r="V569" i="25" a="1"/>
  <c r="V569" i="25"/>
  <c r="W569" i="25"/>
  <c r="AA569" i="25"/>
  <c r="X569" i="25"/>
  <c r="AC569" i="25"/>
  <c r="U570" i="25" a="1"/>
  <c r="U570" i="25"/>
  <c r="V570" i="25" a="1"/>
  <c r="V570" i="25"/>
  <c r="W570" i="25"/>
  <c r="AA570" i="25"/>
  <c r="X570" i="25"/>
  <c r="AC570" i="25"/>
  <c r="U571" i="25" a="1"/>
  <c r="U571" i="25"/>
  <c r="V571" i="25" a="1"/>
  <c r="V571" i="25"/>
  <c r="W571" i="25"/>
  <c r="AA571" i="25"/>
  <c r="X571" i="25"/>
  <c r="AC571" i="25"/>
  <c r="U572" i="25" a="1"/>
  <c r="U572" i="25"/>
  <c r="V572" i="25" a="1"/>
  <c r="V572" i="25"/>
  <c r="W572" i="25"/>
  <c r="AA572" i="25"/>
  <c r="X572" i="25"/>
  <c r="AC572" i="25"/>
  <c r="U573" i="25" a="1"/>
  <c r="U573" i="25"/>
  <c r="V573" i="25" a="1"/>
  <c r="V573" i="25"/>
  <c r="W573" i="25"/>
  <c r="AA573" i="25"/>
  <c r="X573" i="25"/>
  <c r="AC573" i="25"/>
  <c r="U574" i="25" a="1"/>
  <c r="U574" i="25"/>
  <c r="V574" i="25" a="1"/>
  <c r="V574" i="25"/>
  <c r="W574" i="25"/>
  <c r="AA574" i="25"/>
  <c r="X574" i="25"/>
  <c r="AC574" i="25"/>
  <c r="U575" i="25" a="1"/>
  <c r="U575" i="25"/>
  <c r="V575" i="25" a="1"/>
  <c r="V575" i="25"/>
  <c r="W575" i="25"/>
  <c r="AA575" i="25"/>
  <c r="X575" i="25"/>
  <c r="AC575" i="25"/>
  <c r="U576" i="25" a="1"/>
  <c r="U576" i="25"/>
  <c r="V576" i="25" a="1"/>
  <c r="V576" i="25"/>
  <c r="W576" i="25"/>
  <c r="AA576" i="25"/>
  <c r="X576" i="25"/>
  <c r="AC576" i="25"/>
  <c r="U577" i="25" a="1"/>
  <c r="U577" i="25"/>
  <c r="V577" i="25" a="1"/>
  <c r="V577" i="25"/>
  <c r="W577" i="25"/>
  <c r="AA577" i="25"/>
  <c r="X577" i="25"/>
  <c r="AC577" i="25"/>
  <c r="U578" i="25" a="1"/>
  <c r="U578" i="25"/>
  <c r="V578" i="25" a="1"/>
  <c r="V578" i="25"/>
  <c r="W578" i="25"/>
  <c r="AA578" i="25"/>
  <c r="X578" i="25"/>
  <c r="AC578" i="25"/>
  <c r="U579" i="25" a="1"/>
  <c r="U579" i="25"/>
  <c r="V579" i="25" a="1"/>
  <c r="V579" i="25"/>
  <c r="W579" i="25"/>
  <c r="AA579" i="25"/>
  <c r="X579" i="25"/>
  <c r="AC579" i="25"/>
  <c r="U580" i="25" a="1"/>
  <c r="U580" i="25"/>
  <c r="V580" i="25" a="1"/>
  <c r="V580" i="25"/>
  <c r="W580" i="25"/>
  <c r="AA580" i="25"/>
  <c r="X580" i="25"/>
  <c r="AC580" i="25"/>
  <c r="U581" i="25" a="1"/>
  <c r="U581" i="25"/>
  <c r="V581" i="25" a="1"/>
  <c r="V581" i="25"/>
  <c r="W581" i="25"/>
  <c r="AA581" i="25"/>
  <c r="X581" i="25"/>
  <c r="AC581" i="25"/>
  <c r="U582" i="25" a="1"/>
  <c r="U582" i="25"/>
  <c r="V582" i="25" a="1"/>
  <c r="V582" i="25"/>
  <c r="W582" i="25"/>
  <c r="AA582" i="25"/>
  <c r="X582" i="25"/>
  <c r="AC582" i="25"/>
  <c r="U583" i="25" a="1"/>
  <c r="U583" i="25"/>
  <c r="V583" i="25" a="1"/>
  <c r="V583" i="25"/>
  <c r="W583" i="25"/>
  <c r="AA583" i="25"/>
  <c r="X583" i="25"/>
  <c r="AC583" i="25"/>
  <c r="U584" i="25" a="1"/>
  <c r="U584" i="25"/>
  <c r="V584" i="25" a="1"/>
  <c r="V584" i="25"/>
  <c r="W584" i="25"/>
  <c r="AA584" i="25"/>
  <c r="X584" i="25"/>
  <c r="AC584" i="25"/>
  <c r="U585" i="25" a="1"/>
  <c r="U585" i="25"/>
  <c r="V585" i="25" a="1"/>
  <c r="V585" i="25"/>
  <c r="W585" i="25"/>
  <c r="AA585" i="25"/>
  <c r="X585" i="25"/>
  <c r="AC585" i="25"/>
  <c r="U586" i="25" a="1"/>
  <c r="U586" i="25"/>
  <c r="V586" i="25" a="1"/>
  <c r="V586" i="25"/>
  <c r="W586" i="25"/>
  <c r="AA586" i="25"/>
  <c r="X586" i="25"/>
  <c r="AC586" i="25"/>
  <c r="U587" i="25" a="1"/>
  <c r="U587" i="25"/>
  <c r="V587" i="25" a="1"/>
  <c r="V587" i="25"/>
  <c r="W587" i="25"/>
  <c r="AA587" i="25"/>
  <c r="X587" i="25"/>
  <c r="AC587" i="25"/>
  <c r="U588" i="25" a="1"/>
  <c r="U588" i="25"/>
  <c r="V588" i="25" a="1"/>
  <c r="V588" i="25"/>
  <c r="W588" i="25"/>
  <c r="AA588" i="25"/>
  <c r="X588" i="25"/>
  <c r="AC588" i="25"/>
  <c r="U589" i="25" a="1"/>
  <c r="U589" i="25"/>
  <c r="V589" i="25" a="1"/>
  <c r="V589" i="25"/>
  <c r="W589" i="25"/>
  <c r="AA589" i="25"/>
  <c r="X589" i="25"/>
  <c r="AC589" i="25"/>
  <c r="U590" i="25" a="1"/>
  <c r="U590" i="25"/>
  <c r="V590" i="25" a="1"/>
  <c r="V590" i="25"/>
  <c r="W590" i="25"/>
  <c r="AA590" i="25"/>
  <c r="X590" i="25"/>
  <c r="AC590" i="25"/>
  <c r="U591" i="25" a="1"/>
  <c r="U591" i="25"/>
  <c r="V591" i="25" a="1"/>
  <c r="V591" i="25"/>
  <c r="W591" i="25"/>
  <c r="AA591" i="25"/>
  <c r="X591" i="25"/>
  <c r="AC591" i="25"/>
  <c r="U592" i="25" a="1"/>
  <c r="U592" i="25"/>
  <c r="V592" i="25" a="1"/>
  <c r="V592" i="25"/>
  <c r="W592" i="25"/>
  <c r="AA592" i="25"/>
  <c r="X592" i="25"/>
  <c r="AC592" i="25"/>
  <c r="U593" i="25" a="1"/>
  <c r="U593" i="25"/>
  <c r="V593" i="25" a="1"/>
  <c r="V593" i="25"/>
  <c r="W593" i="25"/>
  <c r="AA593" i="25"/>
  <c r="X593" i="25"/>
  <c r="AC593" i="25"/>
  <c r="U594" i="25" a="1"/>
  <c r="U594" i="25"/>
  <c r="V594" i="25" a="1"/>
  <c r="V594" i="25"/>
  <c r="W594" i="25"/>
  <c r="AA594" i="25"/>
  <c r="X594" i="25"/>
  <c r="AC594" i="25"/>
  <c r="U595" i="25" a="1"/>
  <c r="U595" i="25"/>
  <c r="V595" i="25" a="1"/>
  <c r="V595" i="25"/>
  <c r="W595" i="25"/>
  <c r="AA595" i="25"/>
  <c r="X595" i="25"/>
  <c r="AC595" i="25"/>
  <c r="U596" i="25" a="1"/>
  <c r="U596" i="25"/>
  <c r="V596" i="25" a="1"/>
  <c r="V596" i="25"/>
  <c r="W596" i="25"/>
  <c r="AA596" i="25"/>
  <c r="X596" i="25"/>
  <c r="AC596" i="25"/>
  <c r="U597" i="25" a="1"/>
  <c r="U597" i="25"/>
  <c r="V597" i="25" a="1"/>
  <c r="V597" i="25"/>
  <c r="W597" i="25"/>
  <c r="AA597" i="25"/>
  <c r="X597" i="25"/>
  <c r="AC597" i="25"/>
  <c r="U598" i="25" a="1"/>
  <c r="U598" i="25"/>
  <c r="V598" i="25" a="1"/>
  <c r="V598" i="25"/>
  <c r="W598" i="25"/>
  <c r="AA598" i="25"/>
  <c r="X598" i="25"/>
  <c r="AC598" i="25"/>
  <c r="U599" i="25" a="1"/>
  <c r="U599" i="25"/>
  <c r="V599" i="25" a="1"/>
  <c r="V599" i="25"/>
  <c r="W599" i="25"/>
  <c r="AA599" i="25"/>
  <c r="X599" i="25"/>
  <c r="AC599" i="25"/>
  <c r="U600" i="25" a="1"/>
  <c r="U600" i="25"/>
  <c r="V600" i="25" a="1"/>
  <c r="V600" i="25"/>
  <c r="W600" i="25"/>
  <c r="AA600" i="25"/>
  <c r="X600" i="25"/>
  <c r="AC600" i="25"/>
  <c r="U601" i="25" a="1"/>
  <c r="U601" i="25"/>
  <c r="V601" i="25" a="1"/>
  <c r="V601" i="25"/>
  <c r="W601" i="25"/>
  <c r="AA601" i="25"/>
  <c r="X601" i="25"/>
  <c r="AC601" i="25"/>
  <c r="U602" i="25" a="1"/>
  <c r="U602" i="25"/>
  <c r="V602" i="25" a="1"/>
  <c r="V602" i="25"/>
  <c r="W602" i="25"/>
  <c r="AA602" i="25"/>
  <c r="X602" i="25"/>
  <c r="AC602" i="25"/>
  <c r="U603" i="25" a="1"/>
  <c r="U603" i="25"/>
  <c r="V603" i="25" a="1"/>
  <c r="V603" i="25"/>
  <c r="W603" i="25"/>
  <c r="AA603" i="25"/>
  <c r="X603" i="25"/>
  <c r="AC603" i="25"/>
  <c r="U604" i="25" a="1"/>
  <c r="U604" i="25"/>
  <c r="V604" i="25" a="1"/>
  <c r="V604" i="25"/>
  <c r="W604" i="25"/>
  <c r="AA604" i="25"/>
  <c r="X604" i="25"/>
  <c r="AC604" i="25"/>
  <c r="U605" i="25" a="1"/>
  <c r="U605" i="25"/>
  <c r="V605" i="25" a="1"/>
  <c r="V605" i="25"/>
  <c r="W605" i="25"/>
  <c r="AA605" i="25"/>
  <c r="X605" i="25"/>
  <c r="AC605" i="25"/>
  <c r="U606" i="25" a="1"/>
  <c r="U606" i="25"/>
  <c r="V606" i="25" a="1"/>
  <c r="V606" i="25"/>
  <c r="W606" i="25"/>
  <c r="AA606" i="25"/>
  <c r="X606" i="25"/>
  <c r="AC606" i="25"/>
  <c r="U607" i="25" a="1"/>
  <c r="U607" i="25"/>
  <c r="V607" i="25" a="1"/>
  <c r="V607" i="25"/>
  <c r="W607" i="25"/>
  <c r="AA607" i="25"/>
  <c r="X607" i="25"/>
  <c r="AC607" i="25"/>
  <c r="U608" i="25" a="1"/>
  <c r="U608" i="25"/>
  <c r="V608" i="25" a="1"/>
  <c r="V608" i="25"/>
  <c r="W608" i="25"/>
  <c r="AA608" i="25"/>
  <c r="X608" i="25"/>
  <c r="AC608" i="25"/>
  <c r="U609" i="25" a="1"/>
  <c r="U609" i="25"/>
  <c r="V609" i="25" a="1"/>
  <c r="V609" i="25"/>
  <c r="W609" i="25"/>
  <c r="AA609" i="25"/>
  <c r="X609" i="25"/>
  <c r="AC609" i="25"/>
  <c r="U610" i="25" a="1"/>
  <c r="U610" i="25"/>
  <c r="V610" i="25" a="1"/>
  <c r="V610" i="25"/>
  <c r="W610" i="25"/>
  <c r="AA610" i="25"/>
  <c r="X610" i="25"/>
  <c r="AC610" i="25"/>
  <c r="U611" i="25" a="1"/>
  <c r="U611" i="25"/>
  <c r="V611" i="25" a="1"/>
  <c r="V611" i="25"/>
  <c r="W611" i="25"/>
  <c r="AA611" i="25"/>
  <c r="X611" i="25"/>
  <c r="AC611" i="25"/>
  <c r="U612" i="25" a="1"/>
  <c r="U612" i="25"/>
  <c r="V612" i="25" a="1"/>
  <c r="V612" i="25"/>
  <c r="W612" i="25"/>
  <c r="AA612" i="25"/>
  <c r="X612" i="25"/>
  <c r="AC612" i="25"/>
  <c r="U613" i="25" a="1"/>
  <c r="U613" i="25"/>
  <c r="V613" i="25" a="1"/>
  <c r="V613" i="25"/>
  <c r="W613" i="25"/>
  <c r="AA613" i="25"/>
  <c r="X613" i="25"/>
  <c r="AC613" i="25"/>
  <c r="U614" i="25" a="1"/>
  <c r="U614" i="25"/>
  <c r="V614" i="25" a="1"/>
  <c r="V614" i="25"/>
  <c r="W614" i="25"/>
  <c r="AA614" i="25"/>
  <c r="X614" i="25"/>
  <c r="AC614" i="25"/>
  <c r="U615" i="25" a="1"/>
  <c r="U615" i="25"/>
  <c r="V615" i="25" a="1"/>
  <c r="V615" i="25"/>
  <c r="W615" i="25"/>
  <c r="AA615" i="25"/>
  <c r="X615" i="25"/>
  <c r="AC615" i="25"/>
  <c r="U616" i="25" a="1"/>
  <c r="U616" i="25"/>
  <c r="V616" i="25" a="1"/>
  <c r="V616" i="25"/>
  <c r="W616" i="25"/>
  <c r="AA616" i="25"/>
  <c r="X616" i="25"/>
  <c r="AC616" i="25"/>
  <c r="U617" i="25" a="1"/>
  <c r="U617" i="25"/>
  <c r="V617" i="25" a="1"/>
  <c r="V617" i="25"/>
  <c r="W617" i="25"/>
  <c r="AA617" i="25"/>
  <c r="X617" i="25"/>
  <c r="AC617" i="25"/>
  <c r="U618" i="25" a="1"/>
  <c r="U618" i="25"/>
  <c r="V618" i="25" a="1"/>
  <c r="V618" i="25"/>
  <c r="W618" i="25"/>
  <c r="AA618" i="25"/>
  <c r="X618" i="25"/>
  <c r="AC618" i="25"/>
  <c r="U619" i="25" a="1"/>
  <c r="U619" i="25"/>
  <c r="V619" i="25" a="1"/>
  <c r="V619" i="25"/>
  <c r="W619" i="25"/>
  <c r="AA619" i="25"/>
  <c r="X619" i="25"/>
  <c r="AC619" i="25"/>
  <c r="U620" i="25" a="1"/>
  <c r="U620" i="25"/>
  <c r="V620" i="25" a="1"/>
  <c r="V620" i="25"/>
  <c r="W620" i="25"/>
  <c r="AA620" i="25"/>
  <c r="X620" i="25"/>
  <c r="AC620" i="25"/>
  <c r="U621" i="25" a="1"/>
  <c r="U621" i="25"/>
  <c r="V621" i="25" a="1"/>
  <c r="V621" i="25"/>
  <c r="W621" i="25"/>
  <c r="AA621" i="25"/>
  <c r="X621" i="25"/>
  <c r="AC621" i="25"/>
  <c r="U622" i="25" a="1"/>
  <c r="U622" i="25"/>
  <c r="V622" i="25" a="1"/>
  <c r="V622" i="25"/>
  <c r="W622" i="25"/>
  <c r="AA622" i="25"/>
  <c r="X622" i="25"/>
  <c r="AC622" i="25"/>
  <c r="U623" i="25" a="1"/>
  <c r="U623" i="25"/>
  <c r="V623" i="25" a="1"/>
  <c r="V623" i="25"/>
  <c r="W623" i="25"/>
  <c r="AA623" i="25"/>
  <c r="X623" i="25"/>
  <c r="AC623" i="25"/>
  <c r="U624" i="25" a="1"/>
  <c r="U624" i="25"/>
  <c r="V624" i="25" a="1"/>
  <c r="V624" i="25"/>
  <c r="W624" i="25"/>
  <c r="AA624" i="25"/>
  <c r="X624" i="25"/>
  <c r="AC624" i="25"/>
  <c r="U625" i="25" a="1"/>
  <c r="U625" i="25"/>
  <c r="V625" i="25" a="1"/>
  <c r="V625" i="25"/>
  <c r="W625" i="25"/>
  <c r="AA625" i="25"/>
  <c r="X625" i="25"/>
  <c r="AC625" i="25"/>
  <c r="U626" i="25" a="1"/>
  <c r="U626" i="25"/>
  <c r="V626" i="25" a="1"/>
  <c r="V626" i="25"/>
  <c r="W626" i="25"/>
  <c r="AA626" i="25"/>
  <c r="X626" i="25"/>
  <c r="AC626" i="25"/>
  <c r="U627" i="25" a="1"/>
  <c r="U627" i="25"/>
  <c r="V627" i="25" a="1"/>
  <c r="V627" i="25"/>
  <c r="W627" i="25"/>
  <c r="AA627" i="25"/>
  <c r="X627" i="25"/>
  <c r="AC627" i="25"/>
  <c r="U628" i="25" a="1"/>
  <c r="U628" i="25"/>
  <c r="V628" i="25" a="1"/>
  <c r="V628" i="25"/>
  <c r="W628" i="25"/>
  <c r="AA628" i="25"/>
  <c r="X628" i="25"/>
  <c r="AC628" i="25"/>
  <c r="U629" i="25" a="1"/>
  <c r="U629" i="25"/>
  <c r="V629" i="25" a="1"/>
  <c r="V629" i="25"/>
  <c r="W629" i="25"/>
  <c r="AA629" i="25"/>
  <c r="X629" i="25"/>
  <c r="AC629" i="25"/>
  <c r="U630" i="25" a="1"/>
  <c r="U630" i="25"/>
  <c r="V630" i="25" a="1"/>
  <c r="V630" i="25"/>
  <c r="W630" i="25"/>
  <c r="AA630" i="25"/>
  <c r="X630" i="25"/>
  <c r="AC630" i="25"/>
  <c r="U631" i="25" a="1"/>
  <c r="U631" i="25"/>
  <c r="V631" i="25" a="1"/>
  <c r="V631" i="25"/>
  <c r="W631" i="25"/>
  <c r="AA631" i="25"/>
  <c r="X631" i="25"/>
  <c r="AC631" i="25"/>
  <c r="U632" i="25" a="1"/>
  <c r="U632" i="25"/>
  <c r="V632" i="25" a="1"/>
  <c r="V632" i="25"/>
  <c r="W632" i="25"/>
  <c r="AA632" i="25"/>
  <c r="X632" i="25"/>
  <c r="AC632" i="25"/>
  <c r="U633" i="25" a="1"/>
  <c r="U633" i="25"/>
  <c r="V633" i="25" a="1"/>
  <c r="V633" i="25"/>
  <c r="W633" i="25"/>
  <c r="AA633" i="25"/>
  <c r="X633" i="25"/>
  <c r="AC633" i="25"/>
  <c r="U634" i="25" a="1"/>
  <c r="U634" i="25"/>
  <c r="V634" i="25" a="1"/>
  <c r="V634" i="25"/>
  <c r="W634" i="25"/>
  <c r="AA634" i="25"/>
  <c r="X634" i="25"/>
  <c r="AC634" i="25"/>
  <c r="U635" i="25" a="1"/>
  <c r="U635" i="25"/>
  <c r="V635" i="25" a="1"/>
  <c r="V635" i="25"/>
  <c r="W635" i="25"/>
  <c r="AA635" i="25"/>
  <c r="X635" i="25"/>
  <c r="AC635" i="25"/>
  <c r="U636" i="25" a="1"/>
  <c r="U636" i="25"/>
  <c r="V636" i="25" a="1"/>
  <c r="V636" i="25"/>
  <c r="W636" i="25"/>
  <c r="AA636" i="25"/>
  <c r="X636" i="25"/>
  <c r="AC636" i="25"/>
  <c r="U637" i="25" a="1"/>
  <c r="U637" i="25"/>
  <c r="V637" i="25" a="1"/>
  <c r="V637" i="25"/>
  <c r="W637" i="25"/>
  <c r="AA637" i="25"/>
  <c r="X637" i="25"/>
  <c r="AC637" i="25"/>
  <c r="U638" i="25" a="1"/>
  <c r="U638" i="25"/>
  <c r="V638" i="25" a="1"/>
  <c r="V638" i="25"/>
  <c r="W638" i="25"/>
  <c r="AA638" i="25"/>
  <c r="X638" i="25"/>
  <c r="AC638" i="25"/>
  <c r="U639" i="25" a="1"/>
  <c r="U639" i="25"/>
  <c r="V639" i="25" a="1"/>
  <c r="V639" i="25"/>
  <c r="W639" i="25"/>
  <c r="AA639" i="25"/>
  <c r="X639" i="25"/>
  <c r="AC639" i="25"/>
  <c r="U640" i="25" a="1"/>
  <c r="U640" i="25"/>
  <c r="V640" i="25" a="1"/>
  <c r="V640" i="25"/>
  <c r="W640" i="25"/>
  <c r="AA640" i="25"/>
  <c r="X640" i="25"/>
  <c r="AC640" i="25"/>
  <c r="U641" i="25" a="1"/>
  <c r="U641" i="25"/>
  <c r="V641" i="25" a="1"/>
  <c r="V641" i="25"/>
  <c r="W641" i="25"/>
  <c r="AA641" i="25"/>
  <c r="X641" i="25"/>
  <c r="AC641" i="25"/>
  <c r="U642" i="25" a="1"/>
  <c r="U642" i="25"/>
  <c r="V642" i="25" a="1"/>
  <c r="V642" i="25"/>
  <c r="W642" i="25"/>
  <c r="AA642" i="25"/>
  <c r="X642" i="25"/>
  <c r="AC642" i="25"/>
  <c r="U643" i="25" a="1"/>
  <c r="U643" i="25"/>
  <c r="V643" i="25" a="1"/>
  <c r="V643" i="25"/>
  <c r="W643" i="25"/>
  <c r="AA643" i="25"/>
  <c r="X643" i="25"/>
  <c r="AC643" i="25"/>
  <c r="U644" i="25" a="1"/>
  <c r="U644" i="25"/>
  <c r="V644" i="25" a="1"/>
  <c r="V644" i="25"/>
  <c r="W644" i="25"/>
  <c r="AA644" i="25"/>
  <c r="X644" i="25"/>
  <c r="AC644" i="25"/>
  <c r="U645" i="25" a="1"/>
  <c r="U645" i="25"/>
  <c r="V645" i="25" a="1"/>
  <c r="V645" i="25"/>
  <c r="W645" i="25"/>
  <c r="AA645" i="25"/>
  <c r="X645" i="25"/>
  <c r="AC645" i="25"/>
  <c r="U646" i="25" a="1"/>
  <c r="U646" i="25"/>
  <c r="V646" i="25" a="1"/>
  <c r="V646" i="25"/>
  <c r="W646" i="25"/>
  <c r="AA646" i="25"/>
  <c r="X646" i="25"/>
  <c r="AC646" i="25"/>
  <c r="U647" i="25" a="1"/>
  <c r="U647" i="25"/>
  <c r="V647" i="25" a="1"/>
  <c r="V647" i="25"/>
  <c r="W647" i="25"/>
  <c r="AA647" i="25"/>
  <c r="X647" i="25"/>
  <c r="AC647" i="25"/>
  <c r="U648" i="25" a="1"/>
  <c r="U648" i="25"/>
  <c r="V648" i="25" a="1"/>
  <c r="V648" i="25"/>
  <c r="W648" i="25"/>
  <c r="AA648" i="25"/>
  <c r="X648" i="25"/>
  <c r="AC648" i="25"/>
  <c r="U649" i="25" a="1"/>
  <c r="U649" i="25"/>
  <c r="V649" i="25" a="1"/>
  <c r="V649" i="25"/>
  <c r="W649" i="25"/>
  <c r="AA649" i="25"/>
  <c r="X649" i="25"/>
  <c r="AC649" i="25"/>
  <c r="U650" i="25" a="1"/>
  <c r="U650" i="25"/>
  <c r="V650" i="25" a="1"/>
  <c r="V650" i="25"/>
  <c r="W650" i="25"/>
  <c r="AA650" i="25"/>
  <c r="X650" i="25"/>
  <c r="AC650" i="25"/>
  <c r="U651" i="25" a="1"/>
  <c r="U651" i="25"/>
  <c r="V651" i="25" a="1"/>
  <c r="V651" i="25"/>
  <c r="W651" i="25"/>
  <c r="AA651" i="25"/>
  <c r="X651" i="25"/>
  <c r="AC651" i="25"/>
  <c r="U652" i="25" a="1"/>
  <c r="U652" i="25"/>
  <c r="V652" i="25" a="1"/>
  <c r="V652" i="25"/>
  <c r="W652" i="25"/>
  <c r="AA652" i="25"/>
  <c r="X652" i="25"/>
  <c r="AC652" i="25"/>
  <c r="U653" i="25" a="1"/>
  <c r="U653" i="25"/>
  <c r="V653" i="25" a="1"/>
  <c r="V653" i="25"/>
  <c r="W653" i="25"/>
  <c r="AA653" i="25"/>
  <c r="X653" i="25"/>
  <c r="AC653" i="25"/>
  <c r="U654" i="25" a="1"/>
  <c r="U654" i="25"/>
  <c r="V654" i="25" a="1"/>
  <c r="V654" i="25"/>
  <c r="W654" i="25"/>
  <c r="AA654" i="25"/>
  <c r="X654" i="25"/>
  <c r="AC654" i="25"/>
  <c r="U655" i="25" a="1"/>
  <c r="U655" i="25"/>
  <c r="V655" i="25" a="1"/>
  <c r="V655" i="25"/>
  <c r="W655" i="25"/>
  <c r="AA655" i="25"/>
  <c r="X655" i="25"/>
  <c r="AC655" i="25"/>
  <c r="U656" i="25" a="1"/>
  <c r="U656" i="25"/>
  <c r="V656" i="25" a="1"/>
  <c r="V656" i="25"/>
  <c r="W656" i="25"/>
  <c r="AA656" i="25"/>
  <c r="X656" i="25"/>
  <c r="AC656" i="25"/>
  <c r="U657" i="25" a="1"/>
  <c r="U657" i="25"/>
  <c r="V657" i="25" a="1"/>
  <c r="V657" i="25"/>
  <c r="W657" i="25"/>
  <c r="AA657" i="25"/>
  <c r="X657" i="25"/>
  <c r="AC657" i="25"/>
  <c r="U658" i="25" a="1"/>
  <c r="U658" i="25"/>
  <c r="V658" i="25" a="1"/>
  <c r="V658" i="25"/>
  <c r="W658" i="25"/>
  <c r="AA658" i="25"/>
  <c r="X658" i="25"/>
  <c r="AC658" i="25"/>
  <c r="U659" i="25" a="1"/>
  <c r="U659" i="25"/>
  <c r="V659" i="25" a="1"/>
  <c r="V659" i="25"/>
  <c r="W659" i="25"/>
  <c r="AA659" i="25"/>
  <c r="X659" i="25"/>
  <c r="AC659" i="25"/>
  <c r="U660" i="25" a="1"/>
  <c r="U660" i="25"/>
  <c r="V660" i="25" a="1"/>
  <c r="V660" i="25"/>
  <c r="W660" i="25"/>
  <c r="AA660" i="25"/>
  <c r="X660" i="25"/>
  <c r="AC660" i="25"/>
  <c r="U661" i="25" a="1"/>
  <c r="U661" i="25"/>
  <c r="V661" i="25" a="1"/>
  <c r="V661" i="25"/>
  <c r="W661" i="25"/>
  <c r="AA661" i="25"/>
  <c r="X661" i="25"/>
  <c r="AC661" i="25"/>
  <c r="U662" i="25" a="1"/>
  <c r="U662" i="25"/>
  <c r="V662" i="25" a="1"/>
  <c r="V662" i="25"/>
  <c r="W662" i="25"/>
  <c r="AA662" i="25"/>
  <c r="X662" i="25"/>
  <c r="AC662" i="25"/>
  <c r="U663" i="25" a="1"/>
  <c r="U663" i="25"/>
  <c r="V663" i="25" a="1"/>
  <c r="V663" i="25"/>
  <c r="W663" i="25"/>
  <c r="AA663" i="25"/>
  <c r="X663" i="25"/>
  <c r="AC663" i="25"/>
  <c r="U664" i="25" a="1"/>
  <c r="U664" i="25"/>
  <c r="V664" i="25" a="1"/>
  <c r="V664" i="25"/>
  <c r="W664" i="25"/>
  <c r="AA664" i="25"/>
  <c r="X664" i="25"/>
  <c r="AC664" i="25"/>
  <c r="U665" i="25" a="1"/>
  <c r="U665" i="25"/>
  <c r="V665" i="25" a="1"/>
  <c r="V665" i="25"/>
  <c r="W665" i="25"/>
  <c r="AA665" i="25"/>
  <c r="X665" i="25"/>
  <c r="AC665" i="25"/>
  <c r="U666" i="25" a="1"/>
  <c r="U666" i="25"/>
  <c r="V666" i="25" a="1"/>
  <c r="V666" i="25"/>
  <c r="W666" i="25"/>
  <c r="AA666" i="25"/>
  <c r="X666" i="25"/>
  <c r="AC666" i="25"/>
  <c r="U667" i="25" a="1"/>
  <c r="U667" i="25"/>
  <c r="V667" i="25" a="1"/>
  <c r="V667" i="25"/>
  <c r="W667" i="25"/>
  <c r="AA667" i="25"/>
  <c r="X667" i="25"/>
  <c r="AC667" i="25"/>
  <c r="U668" i="25" a="1"/>
  <c r="U668" i="25"/>
  <c r="V668" i="25" a="1"/>
  <c r="V668" i="25"/>
  <c r="W668" i="25"/>
  <c r="AA668" i="25"/>
  <c r="X668" i="25"/>
  <c r="AC668" i="25"/>
  <c r="U669" i="25" a="1"/>
  <c r="U669" i="25"/>
  <c r="V669" i="25" a="1"/>
  <c r="V669" i="25"/>
  <c r="W669" i="25"/>
  <c r="AA669" i="25"/>
  <c r="X669" i="25"/>
  <c r="AC669" i="25"/>
  <c r="U670" i="25" a="1"/>
  <c r="U670" i="25"/>
  <c r="V670" i="25" a="1"/>
  <c r="V670" i="25"/>
  <c r="W670" i="25"/>
  <c r="AA670" i="25"/>
  <c r="X670" i="25"/>
  <c r="AC670" i="25"/>
  <c r="U671" i="25" a="1"/>
  <c r="U671" i="25"/>
  <c r="V671" i="25" a="1"/>
  <c r="V671" i="25"/>
  <c r="W671" i="25"/>
  <c r="AA671" i="25"/>
  <c r="X671" i="25"/>
  <c r="AC671" i="25"/>
  <c r="U672" i="25" a="1"/>
  <c r="U672" i="25"/>
  <c r="V672" i="25" a="1"/>
  <c r="V672" i="25"/>
  <c r="W672" i="25"/>
  <c r="AA672" i="25"/>
  <c r="X672" i="25"/>
  <c r="AC672" i="25"/>
  <c r="U673" i="25" a="1"/>
  <c r="U673" i="25"/>
  <c r="V673" i="25" a="1"/>
  <c r="V673" i="25"/>
  <c r="W673" i="25"/>
  <c r="AA673" i="25"/>
  <c r="X673" i="25"/>
  <c r="AC673" i="25"/>
  <c r="U674" i="25" a="1"/>
  <c r="U674" i="25"/>
  <c r="V674" i="25" a="1"/>
  <c r="V674" i="25"/>
  <c r="W674" i="25"/>
  <c r="AA674" i="25"/>
  <c r="X674" i="25"/>
  <c r="AC674" i="25"/>
  <c r="U675" i="25" a="1"/>
  <c r="U675" i="25"/>
  <c r="V675" i="25" a="1"/>
  <c r="V675" i="25"/>
  <c r="W675" i="25"/>
  <c r="AA675" i="25"/>
  <c r="X675" i="25"/>
  <c r="AC675" i="25"/>
  <c r="U676" i="25" a="1"/>
  <c r="U676" i="25"/>
  <c r="V676" i="25" a="1"/>
  <c r="V676" i="25"/>
  <c r="W676" i="25"/>
  <c r="AA676" i="25"/>
  <c r="X676" i="25"/>
  <c r="AC676" i="25"/>
  <c r="U677" i="25" a="1"/>
  <c r="U677" i="25"/>
  <c r="V677" i="25" a="1"/>
  <c r="V677" i="25"/>
  <c r="W677" i="25"/>
  <c r="AA677" i="25"/>
  <c r="X677" i="25"/>
  <c r="AC677" i="25"/>
  <c r="U678" i="25" a="1"/>
  <c r="U678" i="25"/>
  <c r="V678" i="25" a="1"/>
  <c r="V678" i="25"/>
  <c r="W678" i="25"/>
  <c r="AA678" i="25"/>
  <c r="X678" i="25"/>
  <c r="AC678" i="25"/>
  <c r="U679" i="25" a="1"/>
  <c r="U679" i="25"/>
  <c r="V679" i="25" a="1"/>
  <c r="V679" i="25"/>
  <c r="W679" i="25"/>
  <c r="AA679" i="25"/>
  <c r="X679" i="25"/>
  <c r="AC679" i="25"/>
  <c r="U680" i="25" a="1"/>
  <c r="U680" i="25"/>
  <c r="V680" i="25" a="1"/>
  <c r="V680" i="25"/>
  <c r="W680" i="25"/>
  <c r="AA680" i="25"/>
  <c r="X680" i="25"/>
  <c r="AC680" i="25"/>
  <c r="U681" i="25" a="1"/>
  <c r="U681" i="25"/>
  <c r="V681" i="25" a="1"/>
  <c r="V681" i="25"/>
  <c r="W681" i="25"/>
  <c r="AA681" i="25"/>
  <c r="X681" i="25"/>
  <c r="AC681" i="25"/>
  <c r="U682" i="25" a="1"/>
  <c r="U682" i="25"/>
  <c r="V682" i="25" a="1"/>
  <c r="V682" i="25"/>
  <c r="W682" i="25"/>
  <c r="AA682" i="25"/>
  <c r="X682" i="25"/>
  <c r="AC682" i="25"/>
  <c r="U683" i="25" a="1"/>
  <c r="U683" i="25"/>
  <c r="V683" i="25" a="1"/>
  <c r="V683" i="25"/>
  <c r="W683" i="25"/>
  <c r="AA683" i="25"/>
  <c r="X683" i="25"/>
  <c r="AC683" i="25"/>
  <c r="U684" i="25" a="1"/>
  <c r="U684" i="25"/>
  <c r="V684" i="25" a="1"/>
  <c r="V684" i="25"/>
  <c r="W684" i="25"/>
  <c r="AA684" i="25"/>
  <c r="X684" i="25"/>
  <c r="AC684" i="25"/>
  <c r="U685" i="25" a="1"/>
  <c r="U685" i="25"/>
  <c r="V685" i="25" a="1"/>
  <c r="V685" i="25"/>
  <c r="W685" i="25"/>
  <c r="AA685" i="25"/>
  <c r="X685" i="25"/>
  <c r="AC685" i="25"/>
  <c r="U686" i="25" a="1"/>
  <c r="U686" i="25"/>
  <c r="V686" i="25" a="1"/>
  <c r="V686" i="25"/>
  <c r="W686" i="25"/>
  <c r="AA686" i="25"/>
  <c r="X686" i="25"/>
  <c r="AC686" i="25"/>
  <c r="U687" i="25" a="1"/>
  <c r="U687" i="25"/>
  <c r="V687" i="25" a="1"/>
  <c r="V687" i="25"/>
  <c r="W687" i="25"/>
  <c r="AA687" i="25"/>
  <c r="X687" i="25"/>
  <c r="AC687" i="25"/>
  <c r="U688" i="25" a="1"/>
  <c r="U688" i="25"/>
  <c r="V688" i="25" a="1"/>
  <c r="V688" i="25"/>
  <c r="W688" i="25"/>
  <c r="AA688" i="25"/>
  <c r="X688" i="25"/>
  <c r="AC688" i="25"/>
  <c r="U689" i="25" a="1"/>
  <c r="U689" i="25"/>
  <c r="V689" i="25" a="1"/>
  <c r="V689" i="25"/>
  <c r="W689" i="25"/>
  <c r="AA689" i="25"/>
  <c r="X689" i="25"/>
  <c r="AC689" i="25"/>
  <c r="U690" i="25" a="1"/>
  <c r="U690" i="25"/>
  <c r="V690" i="25" a="1"/>
  <c r="V690" i="25"/>
  <c r="W690" i="25"/>
  <c r="AA690" i="25"/>
  <c r="X690" i="25"/>
  <c r="AC690" i="25"/>
  <c r="U691" i="25" a="1"/>
  <c r="U691" i="25"/>
  <c r="V691" i="25" a="1"/>
  <c r="V691" i="25"/>
  <c r="W691" i="25"/>
  <c r="AA691" i="25"/>
  <c r="X691" i="25"/>
  <c r="AC691" i="25"/>
  <c r="U692" i="25" a="1"/>
  <c r="U692" i="25"/>
  <c r="V692" i="25" a="1"/>
  <c r="V692" i="25"/>
  <c r="W692" i="25"/>
  <c r="AA692" i="25"/>
  <c r="X692" i="25"/>
  <c r="AC692" i="25"/>
  <c r="U693" i="25" a="1"/>
  <c r="U693" i="25"/>
  <c r="V693" i="25" a="1"/>
  <c r="V693" i="25"/>
  <c r="W693" i="25"/>
  <c r="AA693" i="25"/>
  <c r="X693" i="25"/>
  <c r="AC693" i="25"/>
  <c r="U694" i="25" a="1"/>
  <c r="U694" i="25"/>
  <c r="V694" i="25" a="1"/>
  <c r="V694" i="25"/>
  <c r="W694" i="25"/>
  <c r="AA694" i="25"/>
  <c r="X694" i="25"/>
  <c r="AC694" i="25"/>
  <c r="U695" i="25" a="1"/>
  <c r="U695" i="25"/>
  <c r="V695" i="25" a="1"/>
  <c r="V695" i="25"/>
  <c r="W695" i="25"/>
  <c r="AA695" i="25"/>
  <c r="X695" i="25"/>
  <c r="AC695" i="25"/>
  <c r="U696" i="25" a="1"/>
  <c r="U696" i="25"/>
  <c r="V696" i="25" a="1"/>
  <c r="V696" i="25"/>
  <c r="W696" i="25"/>
  <c r="AA696" i="25"/>
  <c r="X696" i="25"/>
  <c r="AC696" i="25"/>
  <c r="U697" i="25" a="1"/>
  <c r="U697" i="25"/>
  <c r="V697" i="25" a="1"/>
  <c r="V697" i="25"/>
  <c r="W697" i="25"/>
  <c r="AA697" i="25"/>
  <c r="X697" i="25"/>
  <c r="AC697" i="25"/>
  <c r="U698" i="25" a="1"/>
  <c r="U698" i="25"/>
  <c r="V698" i="25" a="1"/>
  <c r="V698" i="25"/>
  <c r="W698" i="25"/>
  <c r="AA698" i="25"/>
  <c r="X698" i="25"/>
  <c r="AC698" i="25"/>
  <c r="U699" i="25" a="1"/>
  <c r="U699" i="25"/>
  <c r="V699" i="25" a="1"/>
  <c r="V699" i="25"/>
  <c r="W699" i="25"/>
  <c r="AA699" i="25"/>
  <c r="X699" i="25"/>
  <c r="AC699" i="25"/>
  <c r="U700" i="25" a="1"/>
  <c r="U700" i="25"/>
  <c r="V700" i="25" a="1"/>
  <c r="V700" i="25"/>
  <c r="W700" i="25"/>
  <c r="AA700" i="25"/>
  <c r="X700" i="25"/>
  <c r="AC700" i="25"/>
  <c r="U701" i="25" a="1"/>
  <c r="U701" i="25"/>
  <c r="V701" i="25" a="1"/>
  <c r="V701" i="25"/>
  <c r="W701" i="25"/>
  <c r="AA701" i="25"/>
  <c r="X701" i="25"/>
  <c r="AC701" i="25"/>
  <c r="U702" i="25" a="1"/>
  <c r="U702" i="25"/>
  <c r="V702" i="25" a="1"/>
  <c r="V702" i="25"/>
  <c r="W702" i="25"/>
  <c r="AA702" i="25"/>
  <c r="X702" i="25"/>
  <c r="AC702" i="25"/>
  <c r="U703" i="25" a="1"/>
  <c r="U703" i="25"/>
  <c r="V703" i="25" a="1"/>
  <c r="V703" i="25"/>
  <c r="W703" i="25"/>
  <c r="AA703" i="25"/>
  <c r="X703" i="25"/>
  <c r="AC703" i="25"/>
  <c r="U704" i="25" a="1"/>
  <c r="U704" i="25"/>
  <c r="V704" i="25" a="1"/>
  <c r="V704" i="25"/>
  <c r="W704" i="25"/>
  <c r="AA704" i="25"/>
  <c r="X704" i="25"/>
  <c r="AC704" i="25"/>
  <c r="U705" i="25" a="1"/>
  <c r="U705" i="25"/>
  <c r="V705" i="25" a="1"/>
  <c r="V705" i="25"/>
  <c r="W705" i="25"/>
  <c r="AA705" i="25"/>
  <c r="X705" i="25"/>
  <c r="AC705" i="25"/>
  <c r="U706" i="25" a="1"/>
  <c r="U706" i="25"/>
  <c r="V706" i="25" a="1"/>
  <c r="V706" i="25"/>
  <c r="W706" i="25"/>
  <c r="AA706" i="25"/>
  <c r="X706" i="25"/>
  <c r="AC706" i="25"/>
  <c r="U707" i="25" a="1"/>
  <c r="U707" i="25"/>
  <c r="V707" i="25" a="1"/>
  <c r="V707" i="25"/>
  <c r="W707" i="25"/>
  <c r="AA707" i="25"/>
  <c r="X707" i="25"/>
  <c r="AC707" i="25"/>
  <c r="U708" i="25" a="1"/>
  <c r="U708" i="25"/>
  <c r="V708" i="25" a="1"/>
  <c r="V708" i="25"/>
  <c r="W708" i="25"/>
  <c r="AA708" i="25"/>
  <c r="X708" i="25"/>
  <c r="AC708" i="25"/>
  <c r="U709" i="25" a="1"/>
  <c r="U709" i="25"/>
  <c r="V709" i="25" a="1"/>
  <c r="V709" i="25"/>
  <c r="W709" i="25"/>
  <c r="AA709" i="25"/>
  <c r="X709" i="25"/>
  <c r="AC709" i="25"/>
  <c r="U710" i="25" a="1"/>
  <c r="U710" i="25"/>
  <c r="V710" i="25" a="1"/>
  <c r="V710" i="25"/>
  <c r="W710" i="25"/>
  <c r="AA710" i="25"/>
  <c r="X710" i="25"/>
  <c r="AC710" i="25"/>
  <c r="U711" i="25" a="1"/>
  <c r="U711" i="25"/>
  <c r="V711" i="25" a="1"/>
  <c r="V711" i="25"/>
  <c r="W711" i="25"/>
  <c r="AA711" i="25"/>
  <c r="X711" i="25"/>
  <c r="AC711" i="25"/>
  <c r="U712" i="25" a="1"/>
  <c r="U712" i="25"/>
  <c r="V712" i="25" a="1"/>
  <c r="V712" i="25"/>
  <c r="W712" i="25"/>
  <c r="AA712" i="25"/>
  <c r="X712" i="25"/>
  <c r="AC712" i="25"/>
  <c r="U713" i="25" a="1"/>
  <c r="U713" i="25"/>
  <c r="V713" i="25" a="1"/>
  <c r="V713" i="25"/>
  <c r="W713" i="25"/>
  <c r="AA713" i="25"/>
  <c r="X713" i="25"/>
  <c r="AC713" i="25"/>
  <c r="U714" i="25" a="1"/>
  <c r="U714" i="25"/>
  <c r="V714" i="25" a="1"/>
  <c r="V714" i="25"/>
  <c r="W714" i="25"/>
  <c r="AA714" i="25"/>
  <c r="X714" i="25"/>
  <c r="AC714" i="25"/>
  <c r="U715" i="25" a="1"/>
  <c r="U715" i="25"/>
  <c r="V715" i="25" a="1"/>
  <c r="V715" i="25"/>
  <c r="W715" i="25"/>
  <c r="AA715" i="25"/>
  <c r="X715" i="25"/>
  <c r="AC715" i="25"/>
  <c r="U716" i="25" a="1"/>
  <c r="U716" i="25"/>
  <c r="V716" i="25" a="1"/>
  <c r="V716" i="25"/>
  <c r="W716" i="25"/>
  <c r="AA716" i="25"/>
  <c r="X716" i="25"/>
  <c r="AC716" i="25"/>
  <c r="U717" i="25" a="1"/>
  <c r="U717" i="25"/>
  <c r="V717" i="25" a="1"/>
  <c r="V717" i="25"/>
  <c r="W717" i="25"/>
  <c r="AA717" i="25"/>
  <c r="X717" i="25"/>
  <c r="AC717" i="25"/>
  <c r="U718" i="25" a="1"/>
  <c r="U718" i="25"/>
  <c r="V718" i="25" a="1"/>
  <c r="V718" i="25"/>
  <c r="W718" i="25"/>
  <c r="AA718" i="25"/>
  <c r="X718" i="25"/>
  <c r="AC718" i="25"/>
  <c r="U719" i="25" a="1"/>
  <c r="U719" i="25"/>
  <c r="V719" i="25" a="1"/>
  <c r="V719" i="25"/>
  <c r="W719" i="25"/>
  <c r="AA719" i="25"/>
  <c r="X719" i="25"/>
  <c r="AC719" i="25"/>
  <c r="U720" i="25" a="1"/>
  <c r="U720" i="25"/>
  <c r="V720" i="25" a="1"/>
  <c r="V720" i="25"/>
  <c r="W720" i="25"/>
  <c r="AA720" i="25"/>
  <c r="X720" i="25"/>
  <c r="AC720" i="25"/>
  <c r="U721" i="25" a="1"/>
  <c r="U721" i="25"/>
  <c r="V721" i="25" a="1"/>
  <c r="V721" i="25"/>
  <c r="W721" i="25"/>
  <c r="AA721" i="25"/>
  <c r="X721" i="25"/>
  <c r="AC721" i="25"/>
  <c r="U722" i="25" a="1"/>
  <c r="U722" i="25"/>
  <c r="V722" i="25" a="1"/>
  <c r="V722" i="25"/>
  <c r="W722" i="25"/>
  <c r="AA722" i="25"/>
  <c r="X722" i="25"/>
  <c r="AC722" i="25"/>
  <c r="U723" i="25" a="1"/>
  <c r="U723" i="25"/>
  <c r="V723" i="25" a="1"/>
  <c r="V723" i="25"/>
  <c r="W723" i="25"/>
  <c r="AA723" i="25"/>
  <c r="X723" i="25"/>
  <c r="AC723" i="25"/>
  <c r="U724" i="25" a="1"/>
  <c r="U724" i="25"/>
  <c r="V724" i="25" a="1"/>
  <c r="V724" i="25"/>
  <c r="W724" i="25"/>
  <c r="AA724" i="25"/>
  <c r="X724" i="25"/>
  <c r="AC724" i="25"/>
  <c r="U725" i="25" a="1"/>
  <c r="U725" i="25"/>
  <c r="V725" i="25" a="1"/>
  <c r="V725" i="25"/>
  <c r="W725" i="25"/>
  <c r="AA725" i="25"/>
  <c r="X725" i="25"/>
  <c r="AC725" i="25"/>
  <c r="U726" i="25" a="1"/>
  <c r="U726" i="25"/>
  <c r="V726" i="25" a="1"/>
  <c r="V726" i="25"/>
  <c r="W726" i="25"/>
  <c r="AA726" i="25"/>
  <c r="X726" i="25"/>
  <c r="AC726" i="25"/>
  <c r="U727" i="25" a="1"/>
  <c r="U727" i="25"/>
  <c r="V727" i="25" a="1"/>
  <c r="V727" i="25"/>
  <c r="W727" i="25"/>
  <c r="AA727" i="25"/>
  <c r="X727" i="25"/>
  <c r="AC727" i="25"/>
  <c r="U728" i="25" a="1"/>
  <c r="U728" i="25"/>
  <c r="V728" i="25" a="1"/>
  <c r="V728" i="25"/>
  <c r="W728" i="25"/>
  <c r="AA728" i="25"/>
  <c r="X728" i="25"/>
  <c r="AC728" i="25"/>
  <c r="U729" i="25" a="1"/>
  <c r="U729" i="25"/>
  <c r="V729" i="25" a="1"/>
  <c r="V729" i="25"/>
  <c r="W729" i="25"/>
  <c r="AA729" i="25"/>
  <c r="X729" i="25"/>
  <c r="AC729" i="25"/>
  <c r="U730" i="25" a="1"/>
  <c r="U730" i="25"/>
  <c r="V730" i="25" a="1"/>
  <c r="V730" i="25"/>
  <c r="W730" i="25"/>
  <c r="AA730" i="25"/>
  <c r="X730" i="25"/>
  <c r="AC730" i="25"/>
  <c r="U731" i="25" a="1"/>
  <c r="U731" i="25"/>
  <c r="V731" i="25" a="1"/>
  <c r="V731" i="25"/>
  <c r="W731" i="25"/>
  <c r="AA731" i="25"/>
  <c r="X731" i="25"/>
  <c r="AC731" i="25"/>
  <c r="U732" i="25" a="1"/>
  <c r="U732" i="25"/>
  <c r="V732" i="25" a="1"/>
  <c r="V732" i="25"/>
  <c r="W732" i="25"/>
  <c r="AA732" i="25"/>
  <c r="X732" i="25"/>
  <c r="AC732" i="25"/>
  <c r="U733" i="25" a="1"/>
  <c r="U733" i="25"/>
  <c r="V733" i="25" a="1"/>
  <c r="V733" i="25"/>
  <c r="W733" i="25"/>
  <c r="AA733" i="25"/>
  <c r="X733" i="25"/>
  <c r="AC733" i="25"/>
  <c r="U734" i="25" a="1"/>
  <c r="U734" i="25"/>
  <c r="V734" i="25" a="1"/>
  <c r="V734" i="25"/>
  <c r="W734" i="25"/>
  <c r="AA734" i="25"/>
  <c r="X734" i="25"/>
  <c r="AC734" i="25"/>
  <c r="U735" i="25" a="1"/>
  <c r="U735" i="25"/>
  <c r="V735" i="25" a="1"/>
  <c r="V735" i="25"/>
  <c r="W735" i="25"/>
  <c r="AA735" i="25"/>
  <c r="X735" i="25"/>
  <c r="AC735" i="25"/>
  <c r="U736" i="25" a="1"/>
  <c r="U736" i="25"/>
  <c r="V736" i="25" a="1"/>
  <c r="V736" i="25"/>
  <c r="W736" i="25"/>
  <c r="AA736" i="25"/>
  <c r="X736" i="25"/>
  <c r="AC736" i="25"/>
  <c r="U737" i="25" a="1"/>
  <c r="U737" i="25"/>
  <c r="V737" i="25" a="1"/>
  <c r="V737" i="25"/>
  <c r="W737" i="25"/>
  <c r="AA737" i="25"/>
  <c r="X737" i="25"/>
  <c r="AC737" i="25"/>
  <c r="U738" i="25" a="1"/>
  <c r="U738" i="25"/>
  <c r="V738" i="25" a="1"/>
  <c r="V738" i="25"/>
  <c r="W738" i="25"/>
  <c r="AA738" i="25"/>
  <c r="X738" i="25"/>
  <c r="AC738" i="25"/>
  <c r="U739" i="25" a="1"/>
  <c r="U739" i="25"/>
  <c r="V739" i="25" a="1"/>
  <c r="V739" i="25"/>
  <c r="W739" i="25"/>
  <c r="AA739" i="25"/>
  <c r="X739" i="25"/>
  <c r="AC739" i="25"/>
  <c r="U740" i="25" a="1"/>
  <c r="U740" i="25"/>
  <c r="V740" i="25" a="1"/>
  <c r="V740" i="25"/>
  <c r="W740" i="25"/>
  <c r="AA740" i="25"/>
  <c r="X740" i="25"/>
  <c r="AC740" i="25"/>
  <c r="U741" i="25" a="1"/>
  <c r="U741" i="25"/>
  <c r="V741" i="25" a="1"/>
  <c r="V741" i="25"/>
  <c r="W741" i="25"/>
  <c r="AA741" i="25"/>
  <c r="X741" i="25"/>
  <c r="AC741" i="25"/>
  <c r="U742" i="25" a="1"/>
  <c r="U742" i="25"/>
  <c r="V742" i="25" a="1"/>
  <c r="V742" i="25"/>
  <c r="W742" i="25"/>
  <c r="AA742" i="25"/>
  <c r="X742" i="25"/>
  <c r="AC742" i="25"/>
  <c r="U743" i="25" a="1"/>
  <c r="U743" i="25"/>
  <c r="V743" i="25" a="1"/>
  <c r="V743" i="25"/>
  <c r="W743" i="25"/>
  <c r="AA743" i="25"/>
  <c r="X743" i="25"/>
  <c r="AC743" i="25"/>
  <c r="U744" i="25" a="1"/>
  <c r="U744" i="25"/>
  <c r="V744" i="25" a="1"/>
  <c r="V744" i="25"/>
  <c r="W744" i="25"/>
  <c r="AA744" i="25"/>
  <c r="X744" i="25"/>
  <c r="AC744" i="25"/>
  <c r="U745" i="25" a="1"/>
  <c r="U745" i="25"/>
  <c r="V745" i="25" a="1"/>
  <c r="V745" i="25"/>
  <c r="W745" i="25"/>
  <c r="AA745" i="25"/>
  <c r="X745" i="25"/>
  <c r="AC745" i="25"/>
  <c r="U746" i="25" a="1"/>
  <c r="U746" i="25"/>
  <c r="V746" i="25" a="1"/>
  <c r="V746" i="25"/>
  <c r="W746" i="25"/>
  <c r="AA746" i="25"/>
  <c r="X746" i="25"/>
  <c r="AC746" i="25"/>
  <c r="U747" i="25" a="1"/>
  <c r="U747" i="25"/>
  <c r="V747" i="25" a="1"/>
  <c r="V747" i="25"/>
  <c r="W747" i="25"/>
  <c r="AA747" i="25"/>
  <c r="X747" i="25"/>
  <c r="AC747" i="25"/>
  <c r="U748" i="25" a="1"/>
  <c r="U748" i="25"/>
  <c r="V748" i="25" a="1"/>
  <c r="V748" i="25"/>
  <c r="W748" i="25"/>
  <c r="AA748" i="25"/>
  <c r="X748" i="25"/>
  <c r="AC748" i="25"/>
  <c r="U749" i="25" a="1"/>
  <c r="U749" i="25"/>
  <c r="V749" i="25" a="1"/>
  <c r="V749" i="25"/>
  <c r="W749" i="25"/>
  <c r="AA749" i="25"/>
  <c r="X749" i="25"/>
  <c r="AC749" i="25"/>
  <c r="U750" i="25" a="1"/>
  <c r="U750" i="25"/>
  <c r="V750" i="25" a="1"/>
  <c r="V750" i="25"/>
  <c r="W750" i="25"/>
  <c r="AA750" i="25"/>
  <c r="X750" i="25"/>
  <c r="AC750" i="25"/>
  <c r="U751" i="25" a="1"/>
  <c r="U751" i="25"/>
  <c r="V751" i="25" a="1"/>
  <c r="V751" i="25"/>
  <c r="W751" i="25"/>
  <c r="AA751" i="25"/>
  <c r="X751" i="25"/>
  <c r="AC751" i="25"/>
  <c r="U752" i="25" a="1"/>
  <c r="U752" i="25"/>
  <c r="V752" i="25" a="1"/>
  <c r="V752" i="25"/>
  <c r="W752" i="25"/>
  <c r="AA752" i="25"/>
  <c r="X752" i="25"/>
  <c r="AC752" i="25"/>
  <c r="U753" i="25" a="1"/>
  <c r="U753" i="25"/>
  <c r="V753" i="25" a="1"/>
  <c r="V753" i="25"/>
  <c r="W753" i="25"/>
  <c r="AA753" i="25"/>
  <c r="X753" i="25"/>
  <c r="AC753" i="25"/>
  <c r="U754" i="25" a="1"/>
  <c r="U754" i="25"/>
  <c r="V754" i="25" a="1"/>
  <c r="V754" i="25"/>
  <c r="W754" i="25"/>
  <c r="AA754" i="25"/>
  <c r="X754" i="25"/>
  <c r="AC754" i="25"/>
  <c r="U755" i="25" a="1"/>
  <c r="U755" i="25"/>
  <c r="V755" i="25" a="1"/>
  <c r="V755" i="25"/>
  <c r="W755" i="25"/>
  <c r="AA755" i="25"/>
  <c r="X755" i="25"/>
  <c r="AC755" i="25"/>
  <c r="U756" i="25" a="1"/>
  <c r="U756" i="25"/>
  <c r="V756" i="25" a="1"/>
  <c r="V756" i="25"/>
  <c r="W756" i="25"/>
  <c r="AA756" i="25"/>
  <c r="X756" i="25"/>
  <c r="AC756" i="25"/>
  <c r="U757" i="25" a="1"/>
  <c r="U757" i="25"/>
  <c r="V757" i="25" a="1"/>
  <c r="V757" i="25"/>
  <c r="W757" i="25"/>
  <c r="AA757" i="25"/>
  <c r="X757" i="25"/>
  <c r="AC757" i="25"/>
  <c r="U758" i="25" a="1"/>
  <c r="U758" i="25"/>
  <c r="V758" i="25" a="1"/>
  <c r="V758" i="25"/>
  <c r="W758" i="25"/>
  <c r="AA758" i="25"/>
  <c r="X758" i="25"/>
  <c r="AC758" i="25"/>
  <c r="U759" i="25" a="1"/>
  <c r="U759" i="25"/>
  <c r="V759" i="25" a="1"/>
  <c r="V759" i="25"/>
  <c r="W759" i="25"/>
  <c r="AA759" i="25"/>
  <c r="X759" i="25"/>
  <c r="AC759" i="25"/>
  <c r="U760" i="25" a="1"/>
  <c r="U760" i="25"/>
  <c r="V760" i="25" a="1"/>
  <c r="V760" i="25"/>
  <c r="W760" i="25"/>
  <c r="AA760" i="25"/>
  <c r="X760" i="25"/>
  <c r="AC760" i="25"/>
  <c r="U761" i="25" a="1"/>
  <c r="U761" i="25"/>
  <c r="V761" i="25" a="1"/>
  <c r="V761" i="25"/>
  <c r="W761" i="25"/>
  <c r="AA761" i="25"/>
  <c r="X761" i="25"/>
  <c r="AC761" i="25"/>
  <c r="U762" i="25" a="1"/>
  <c r="U762" i="25"/>
  <c r="V762" i="25" a="1"/>
  <c r="V762" i="25"/>
  <c r="W762" i="25"/>
  <c r="AA762" i="25"/>
  <c r="X762" i="25"/>
  <c r="AC762" i="25"/>
  <c r="U763" i="25" a="1"/>
  <c r="U763" i="25"/>
  <c r="V763" i="25" a="1"/>
  <c r="V763" i="25"/>
  <c r="W763" i="25"/>
  <c r="AA763" i="25"/>
  <c r="X763" i="25"/>
  <c r="AC763" i="25"/>
  <c r="U764" i="25" a="1"/>
  <c r="U764" i="25"/>
  <c r="V764" i="25" a="1"/>
  <c r="V764" i="25"/>
  <c r="W764" i="25"/>
  <c r="AA764" i="25"/>
  <c r="X764" i="25"/>
  <c r="AC764" i="25"/>
  <c r="U765" i="25" a="1"/>
  <c r="U765" i="25"/>
  <c r="V765" i="25" a="1"/>
  <c r="V765" i="25"/>
  <c r="W765" i="25"/>
  <c r="AA765" i="25"/>
  <c r="X765" i="25"/>
  <c r="AC765" i="25"/>
  <c r="U766" i="25" a="1"/>
  <c r="U766" i="25"/>
  <c r="V766" i="25" a="1"/>
  <c r="V766" i="25"/>
  <c r="W766" i="25"/>
  <c r="AA766" i="25"/>
  <c r="X766" i="25"/>
  <c r="AC766" i="25"/>
  <c r="U767" i="25" a="1"/>
  <c r="U767" i="25"/>
  <c r="V767" i="25" a="1"/>
  <c r="V767" i="25"/>
  <c r="W767" i="25"/>
  <c r="AA767" i="25"/>
  <c r="X767" i="25"/>
  <c r="AC767" i="25"/>
  <c r="U768" i="25" a="1"/>
  <c r="U768" i="25"/>
  <c r="V768" i="25" a="1"/>
  <c r="V768" i="25"/>
  <c r="W768" i="25"/>
  <c r="AA768" i="25"/>
  <c r="X768" i="25"/>
  <c r="AC768" i="25"/>
  <c r="U769" i="25" a="1"/>
  <c r="U769" i="25"/>
  <c r="V769" i="25" a="1"/>
  <c r="V769" i="25"/>
  <c r="W769" i="25"/>
  <c r="AA769" i="25"/>
  <c r="X769" i="25"/>
  <c r="AC769" i="25"/>
  <c r="U770" i="25" a="1"/>
  <c r="U770" i="25"/>
  <c r="V770" i="25" a="1"/>
  <c r="V770" i="25"/>
  <c r="W770" i="25"/>
  <c r="AA770" i="25"/>
  <c r="X770" i="25"/>
  <c r="AC770" i="25"/>
  <c r="U771" i="25" a="1"/>
  <c r="U771" i="25"/>
  <c r="V771" i="25" a="1"/>
  <c r="V771" i="25"/>
  <c r="W771" i="25"/>
  <c r="AA771" i="25"/>
  <c r="X771" i="25"/>
  <c r="AC771" i="25"/>
  <c r="U772" i="25" a="1"/>
  <c r="U772" i="25"/>
  <c r="V772" i="25" a="1"/>
  <c r="V772" i="25"/>
  <c r="W772" i="25"/>
  <c r="AA772" i="25"/>
  <c r="X772" i="25"/>
  <c r="AC772" i="25"/>
  <c r="U773" i="25" a="1"/>
  <c r="U773" i="25"/>
  <c r="V773" i="25" a="1"/>
  <c r="V773" i="25"/>
  <c r="W773" i="25"/>
  <c r="AA773" i="25"/>
  <c r="X773" i="25"/>
  <c r="AC773" i="25"/>
  <c r="U774" i="25" a="1"/>
  <c r="U774" i="25"/>
  <c r="V774" i="25" a="1"/>
  <c r="V774" i="25"/>
  <c r="W774" i="25"/>
  <c r="AA774" i="25"/>
  <c r="X774" i="25"/>
  <c r="AC774" i="25"/>
  <c r="U775" i="25" a="1"/>
  <c r="U775" i="25"/>
  <c r="V775" i="25" a="1"/>
  <c r="V775" i="25"/>
  <c r="W775" i="25"/>
  <c r="AA775" i="25"/>
  <c r="X775" i="25"/>
  <c r="AC775" i="25"/>
  <c r="U776" i="25" a="1"/>
  <c r="U776" i="25"/>
  <c r="V776" i="25" a="1"/>
  <c r="V776" i="25"/>
  <c r="W776" i="25"/>
  <c r="AA776" i="25"/>
  <c r="X776" i="25"/>
  <c r="AC776" i="25"/>
  <c r="U777" i="25" a="1"/>
  <c r="U777" i="25"/>
  <c r="V777" i="25" a="1"/>
  <c r="V777" i="25"/>
  <c r="W777" i="25"/>
  <c r="AA777" i="25"/>
  <c r="X777" i="25"/>
  <c r="AC777" i="25"/>
  <c r="U778" i="25" a="1"/>
  <c r="U778" i="25"/>
  <c r="V778" i="25" a="1"/>
  <c r="V778" i="25"/>
  <c r="W778" i="25"/>
  <c r="AA778" i="25"/>
  <c r="X778" i="25"/>
  <c r="AC778" i="25"/>
  <c r="U779" i="25" a="1"/>
  <c r="U779" i="25"/>
  <c r="V779" i="25" a="1"/>
  <c r="V779" i="25"/>
  <c r="W779" i="25"/>
  <c r="AA779" i="25"/>
  <c r="X779" i="25"/>
  <c r="AC779" i="25"/>
  <c r="U780" i="25" a="1"/>
  <c r="U780" i="25"/>
  <c r="V780" i="25" a="1"/>
  <c r="V780" i="25"/>
  <c r="W780" i="25"/>
  <c r="AA780" i="25"/>
  <c r="X780" i="25"/>
  <c r="AC780" i="25"/>
  <c r="U781" i="25" a="1"/>
  <c r="U781" i="25"/>
  <c r="V781" i="25" a="1"/>
  <c r="V781" i="25"/>
  <c r="W781" i="25"/>
  <c r="AA781" i="25"/>
  <c r="X781" i="25"/>
  <c r="AC781" i="25"/>
  <c r="U782" i="25" a="1"/>
  <c r="U782" i="25"/>
  <c r="V782" i="25" a="1"/>
  <c r="V782" i="25"/>
  <c r="W782" i="25"/>
  <c r="AA782" i="25"/>
  <c r="X782" i="25"/>
  <c r="AC782" i="25"/>
  <c r="U783" i="25" a="1"/>
  <c r="U783" i="25"/>
  <c r="V783" i="25" a="1"/>
  <c r="V783" i="25"/>
  <c r="W783" i="25"/>
  <c r="AA783" i="25"/>
  <c r="X783" i="25"/>
  <c r="AC783" i="25"/>
  <c r="U784" i="25" a="1"/>
  <c r="U784" i="25"/>
  <c r="V784" i="25" a="1"/>
  <c r="V784" i="25"/>
  <c r="W784" i="25"/>
  <c r="AA784" i="25"/>
  <c r="X784" i="25"/>
  <c r="AC784" i="25"/>
  <c r="U785" i="25" a="1"/>
  <c r="U785" i="25"/>
  <c r="V785" i="25" a="1"/>
  <c r="V785" i="25"/>
  <c r="W785" i="25"/>
  <c r="AA785" i="25"/>
  <c r="X785" i="25"/>
  <c r="AC785" i="25"/>
  <c r="U786" i="25" a="1"/>
  <c r="U786" i="25"/>
  <c r="V786" i="25" a="1"/>
  <c r="V786" i="25"/>
  <c r="W786" i="25"/>
  <c r="AA786" i="25"/>
  <c r="X786" i="25"/>
  <c r="AC786" i="25"/>
  <c r="U787" i="25" a="1"/>
  <c r="U787" i="25"/>
  <c r="V787" i="25" a="1"/>
  <c r="V787" i="25"/>
  <c r="W787" i="25"/>
  <c r="AA787" i="25"/>
  <c r="X787" i="25"/>
  <c r="AC787" i="25"/>
  <c r="U788" i="25" a="1"/>
  <c r="U788" i="25"/>
  <c r="V788" i="25" a="1"/>
  <c r="V788" i="25"/>
  <c r="W788" i="25"/>
  <c r="AA788" i="25"/>
  <c r="X788" i="25"/>
  <c r="AC788" i="25"/>
  <c r="U789" i="25" a="1"/>
  <c r="U789" i="25"/>
  <c r="V789" i="25" a="1"/>
  <c r="V789" i="25"/>
  <c r="W789" i="25"/>
  <c r="AA789" i="25"/>
  <c r="X789" i="25"/>
  <c r="AC789" i="25"/>
  <c r="U790" i="25" a="1"/>
  <c r="U790" i="25"/>
  <c r="V790" i="25" a="1"/>
  <c r="V790" i="25"/>
  <c r="W790" i="25"/>
  <c r="AA790" i="25"/>
  <c r="X790" i="25"/>
  <c r="AC790" i="25"/>
  <c r="U791" i="25" a="1"/>
  <c r="U791" i="25"/>
  <c r="V791" i="25" a="1"/>
  <c r="V791" i="25"/>
  <c r="W791" i="25"/>
  <c r="AA791" i="25"/>
  <c r="X791" i="25"/>
  <c r="AC791" i="25"/>
  <c r="U792" i="25" a="1"/>
  <c r="U792" i="25"/>
  <c r="V792" i="25" a="1"/>
  <c r="V792" i="25"/>
  <c r="W792" i="25"/>
  <c r="AA792" i="25"/>
  <c r="X792" i="25"/>
  <c r="AC792" i="25"/>
  <c r="U793" i="25" a="1"/>
  <c r="U793" i="25"/>
  <c r="V793" i="25" a="1"/>
  <c r="V793" i="25"/>
  <c r="W793" i="25"/>
  <c r="AA793" i="25"/>
  <c r="X793" i="25"/>
  <c r="AC793" i="25"/>
  <c r="U794" i="25" a="1"/>
  <c r="U794" i="25"/>
  <c r="V794" i="25" a="1"/>
  <c r="V794" i="25"/>
  <c r="W794" i="25"/>
  <c r="AA794" i="25"/>
  <c r="X794" i="25"/>
  <c r="AC794" i="25"/>
  <c r="U795" i="25" a="1"/>
  <c r="U795" i="25"/>
  <c r="V795" i="25" a="1"/>
  <c r="V795" i="25"/>
  <c r="W795" i="25"/>
  <c r="AA795" i="25"/>
  <c r="X795" i="25"/>
  <c r="AC795" i="25"/>
  <c r="U796" i="25" a="1"/>
  <c r="U796" i="25"/>
  <c r="V796" i="25" a="1"/>
  <c r="V796" i="25"/>
  <c r="W796" i="25"/>
  <c r="AA796" i="25"/>
  <c r="X796" i="25"/>
  <c r="AC796" i="25"/>
  <c r="U797" i="25" a="1"/>
  <c r="U797" i="25"/>
  <c r="V797" i="25" a="1"/>
  <c r="V797" i="25"/>
  <c r="W797" i="25"/>
  <c r="AA797" i="25"/>
  <c r="X797" i="25"/>
  <c r="AC797" i="25"/>
  <c r="U798" i="25" a="1"/>
  <c r="U798" i="25"/>
  <c r="V798" i="25" a="1"/>
  <c r="V798" i="25"/>
  <c r="W798" i="25"/>
  <c r="AA798" i="25"/>
  <c r="X798" i="25"/>
  <c r="AC798" i="25"/>
  <c r="U799" i="25" a="1"/>
  <c r="U799" i="25"/>
  <c r="V799" i="25" a="1"/>
  <c r="V799" i="25"/>
  <c r="W799" i="25"/>
  <c r="AA799" i="25"/>
  <c r="X799" i="25"/>
  <c r="AC799" i="25"/>
  <c r="U800" i="25" a="1"/>
  <c r="U800" i="25"/>
  <c r="V800" i="25" a="1"/>
  <c r="V800" i="25"/>
  <c r="W800" i="25"/>
  <c r="AA800" i="25"/>
  <c r="X800" i="25"/>
  <c r="AC800" i="25"/>
  <c r="U801" i="25" a="1"/>
  <c r="U801" i="25"/>
  <c r="V801" i="25" a="1"/>
  <c r="V801" i="25"/>
  <c r="W801" i="25"/>
  <c r="AA801" i="25"/>
  <c r="X801" i="25"/>
  <c r="AC801" i="25"/>
  <c r="U802" i="25" a="1"/>
  <c r="U802" i="25"/>
  <c r="V802" i="25" a="1"/>
  <c r="V802" i="25"/>
  <c r="W802" i="25"/>
  <c r="AA802" i="25"/>
  <c r="X802" i="25"/>
  <c r="AC802" i="25"/>
  <c r="U803" i="25" a="1"/>
  <c r="U803" i="25"/>
  <c r="V803" i="25" a="1"/>
  <c r="V803" i="25"/>
  <c r="W803" i="25"/>
  <c r="AA803" i="25"/>
  <c r="X803" i="25"/>
  <c r="AC803" i="25"/>
  <c r="U804" i="25" a="1"/>
  <c r="U804" i="25"/>
  <c r="V804" i="25" a="1"/>
  <c r="V804" i="25"/>
  <c r="W804" i="25"/>
  <c r="AA804" i="25"/>
  <c r="X804" i="25"/>
  <c r="AC804" i="25"/>
  <c r="U805" i="25" a="1"/>
  <c r="U805" i="25"/>
  <c r="V805" i="25" a="1"/>
  <c r="V805" i="25"/>
  <c r="W805" i="25"/>
  <c r="AA805" i="25"/>
  <c r="X805" i="25"/>
  <c r="AC805" i="25"/>
  <c r="U806" i="25" a="1"/>
  <c r="U806" i="25"/>
  <c r="V806" i="25" a="1"/>
  <c r="V806" i="25"/>
  <c r="W806" i="25"/>
  <c r="AA806" i="25"/>
  <c r="X806" i="25"/>
  <c r="AC806" i="25"/>
  <c r="U807" i="25" a="1"/>
  <c r="U807" i="25"/>
  <c r="V807" i="25" a="1"/>
  <c r="V807" i="25"/>
  <c r="W807" i="25"/>
  <c r="AA807" i="25"/>
  <c r="X807" i="25"/>
  <c r="AC807" i="25"/>
  <c r="U808" i="25" a="1"/>
  <c r="U808" i="25"/>
  <c r="V808" i="25" a="1"/>
  <c r="V808" i="25"/>
  <c r="W808" i="25"/>
  <c r="AA808" i="25"/>
  <c r="X808" i="25"/>
  <c r="AC808" i="25"/>
  <c r="U809" i="25" a="1"/>
  <c r="U809" i="25"/>
  <c r="V809" i="25" a="1"/>
  <c r="V809" i="25"/>
  <c r="W809" i="25"/>
  <c r="AA809" i="25"/>
  <c r="X809" i="25"/>
  <c r="AC809" i="25"/>
  <c r="U810" i="25" a="1"/>
  <c r="U810" i="25"/>
  <c r="V810" i="25" a="1"/>
  <c r="V810" i="25"/>
  <c r="W810" i="25"/>
  <c r="AA810" i="25"/>
  <c r="X810" i="25"/>
  <c r="AC810" i="25"/>
  <c r="U811" i="25" a="1"/>
  <c r="U811" i="25"/>
  <c r="V811" i="25" a="1"/>
  <c r="V811" i="25"/>
  <c r="W811" i="25"/>
  <c r="AA811" i="25"/>
  <c r="X811" i="25"/>
  <c r="AC811" i="25"/>
  <c r="U812" i="25" a="1"/>
  <c r="U812" i="25"/>
  <c r="V812" i="25" a="1"/>
  <c r="V812" i="25"/>
  <c r="W812" i="25"/>
  <c r="AA812" i="25"/>
  <c r="X812" i="25"/>
  <c r="AC812" i="25"/>
  <c r="U813" i="25" a="1"/>
  <c r="U813" i="25"/>
  <c r="V813" i="25" a="1"/>
  <c r="V813" i="25"/>
  <c r="W813" i="25"/>
  <c r="AA813" i="25"/>
  <c r="X813" i="25"/>
  <c r="AC813" i="25"/>
  <c r="U814" i="25" a="1"/>
  <c r="U814" i="25"/>
  <c r="V814" i="25" a="1"/>
  <c r="V814" i="25"/>
  <c r="W814" i="25"/>
  <c r="AA814" i="25"/>
  <c r="X814" i="25"/>
  <c r="AC814" i="25"/>
  <c r="U815" i="25" a="1"/>
  <c r="U815" i="25"/>
  <c r="V815" i="25" a="1"/>
  <c r="V815" i="25"/>
  <c r="W815" i="25"/>
  <c r="AA815" i="25"/>
  <c r="X815" i="25"/>
  <c r="AC815" i="25"/>
  <c r="U816" i="25" a="1"/>
  <c r="U816" i="25"/>
  <c r="V816" i="25" a="1"/>
  <c r="V816" i="25"/>
  <c r="W816" i="25"/>
  <c r="AA816" i="25"/>
  <c r="X816" i="25"/>
  <c r="AC816" i="25"/>
  <c r="U817" i="25" a="1"/>
  <c r="U817" i="25"/>
  <c r="V817" i="25" a="1"/>
  <c r="V817" i="25"/>
  <c r="W817" i="25"/>
  <c r="AA817" i="25"/>
  <c r="X817" i="25"/>
  <c r="AC817" i="25"/>
  <c r="U818" i="25" a="1"/>
  <c r="U818" i="25"/>
  <c r="V818" i="25" a="1"/>
  <c r="V818" i="25"/>
  <c r="W818" i="25"/>
  <c r="AA818" i="25"/>
  <c r="X818" i="25"/>
  <c r="AC818" i="25"/>
  <c r="U819" i="25" a="1"/>
  <c r="U819" i="25"/>
  <c r="V819" i="25" a="1"/>
  <c r="V819" i="25"/>
  <c r="W819" i="25"/>
  <c r="AA819" i="25"/>
  <c r="X819" i="25"/>
  <c r="AC819" i="25"/>
  <c r="U820" i="25" a="1"/>
  <c r="U820" i="25"/>
  <c r="V820" i="25" a="1"/>
  <c r="V820" i="25"/>
  <c r="W820" i="25"/>
  <c r="AA820" i="25"/>
  <c r="X820" i="25"/>
  <c r="AC820" i="25"/>
  <c r="U821" i="25" a="1"/>
  <c r="U821" i="25"/>
  <c r="V821" i="25" a="1"/>
  <c r="V821" i="25"/>
  <c r="W821" i="25"/>
  <c r="AA821" i="25"/>
  <c r="X821" i="25"/>
  <c r="AC821" i="25"/>
  <c r="U822" i="25" a="1"/>
  <c r="U822" i="25"/>
  <c r="V822" i="25" a="1"/>
  <c r="V822" i="25"/>
  <c r="W822" i="25"/>
  <c r="AA822" i="25"/>
  <c r="X822" i="25"/>
  <c r="AC822" i="25"/>
  <c r="U823" i="25" a="1"/>
  <c r="U823" i="25"/>
  <c r="V823" i="25" a="1"/>
  <c r="V823" i="25"/>
  <c r="W823" i="25"/>
  <c r="AA823" i="25"/>
  <c r="X823" i="25"/>
  <c r="AC823" i="25"/>
  <c r="U824" i="25" a="1"/>
  <c r="U824" i="25"/>
  <c r="V824" i="25" a="1"/>
  <c r="V824" i="25"/>
  <c r="W824" i="25"/>
  <c r="AA824" i="25"/>
  <c r="X824" i="25"/>
  <c r="AC824" i="25"/>
  <c r="U825" i="25" a="1"/>
  <c r="U825" i="25"/>
  <c r="V825" i="25" a="1"/>
  <c r="V825" i="25"/>
  <c r="W825" i="25"/>
  <c r="AA825" i="25"/>
  <c r="X825" i="25"/>
  <c r="AC825" i="25"/>
  <c r="U826" i="25" a="1"/>
  <c r="U826" i="25"/>
  <c r="V826" i="25" a="1"/>
  <c r="V826" i="25"/>
  <c r="W826" i="25"/>
  <c r="AA826" i="25"/>
  <c r="X826" i="25"/>
  <c r="AC826" i="25"/>
  <c r="U827" i="25" a="1"/>
  <c r="U827" i="25"/>
  <c r="V827" i="25" a="1"/>
  <c r="V827" i="25"/>
  <c r="W827" i="25"/>
  <c r="AA827" i="25"/>
  <c r="X827" i="25"/>
  <c r="AC827" i="25"/>
  <c r="U828" i="25" a="1"/>
  <c r="U828" i="25"/>
  <c r="V828" i="25" a="1"/>
  <c r="V828" i="25"/>
  <c r="W828" i="25"/>
  <c r="AA828" i="25"/>
  <c r="X828" i="25"/>
  <c r="AC828" i="25"/>
  <c r="U829" i="25" a="1"/>
  <c r="U829" i="25"/>
  <c r="V829" i="25" a="1"/>
  <c r="V829" i="25"/>
  <c r="W829" i="25"/>
  <c r="AA829" i="25"/>
  <c r="X829" i="25"/>
  <c r="AC829" i="25"/>
  <c r="U830" i="25" a="1"/>
  <c r="U830" i="25"/>
  <c r="V830" i="25" a="1"/>
  <c r="V830" i="25"/>
  <c r="W830" i="25"/>
  <c r="AA830" i="25"/>
  <c r="X830" i="25"/>
  <c r="AC830" i="25"/>
  <c r="U831" i="25" a="1"/>
  <c r="U831" i="25"/>
  <c r="V831" i="25" a="1"/>
  <c r="V831" i="25"/>
  <c r="W831" i="25"/>
  <c r="AA831" i="25"/>
  <c r="X831" i="25"/>
  <c r="AC831" i="25"/>
  <c r="U832" i="25" a="1"/>
  <c r="U832" i="25"/>
  <c r="V832" i="25" a="1"/>
  <c r="V832" i="25"/>
  <c r="W832" i="25"/>
  <c r="AA832" i="25"/>
  <c r="X832" i="25"/>
  <c r="AC832" i="25"/>
  <c r="U833" i="25" a="1"/>
  <c r="U833" i="25"/>
  <c r="V833" i="25" a="1"/>
  <c r="V833" i="25"/>
  <c r="W833" i="25"/>
  <c r="AA833" i="25"/>
  <c r="X833" i="25"/>
  <c r="AC833" i="25"/>
  <c r="U834" i="25" a="1"/>
  <c r="U834" i="25"/>
  <c r="V834" i="25" a="1"/>
  <c r="V834" i="25"/>
  <c r="W834" i="25"/>
  <c r="AA834" i="25"/>
  <c r="X834" i="25"/>
  <c r="AC834" i="25"/>
  <c r="U835" i="25" a="1"/>
  <c r="U835" i="25"/>
  <c r="V835" i="25" a="1"/>
  <c r="V835" i="25"/>
  <c r="W835" i="25"/>
  <c r="AA835" i="25"/>
  <c r="X835" i="25"/>
  <c r="AC835" i="25"/>
  <c r="U836" i="25" a="1"/>
  <c r="U836" i="25"/>
  <c r="V836" i="25" a="1"/>
  <c r="V836" i="25"/>
  <c r="W836" i="25"/>
  <c r="AA836" i="25"/>
  <c r="X836" i="25"/>
  <c r="AC836" i="25"/>
  <c r="U837" i="25" a="1"/>
  <c r="U837" i="25"/>
  <c r="V837" i="25" a="1"/>
  <c r="V837" i="25"/>
  <c r="W837" i="25"/>
  <c r="AA837" i="25"/>
  <c r="X837" i="25"/>
  <c r="AC837" i="25"/>
  <c r="U838" i="25" a="1"/>
  <c r="U838" i="25"/>
  <c r="V838" i="25" a="1"/>
  <c r="V838" i="25"/>
  <c r="W838" i="25"/>
  <c r="AA838" i="25"/>
  <c r="X838" i="25"/>
  <c r="AC838" i="25"/>
  <c r="U839" i="25" a="1"/>
  <c r="U839" i="25"/>
  <c r="V839" i="25" a="1"/>
  <c r="V839" i="25"/>
  <c r="W839" i="25"/>
  <c r="AA839" i="25"/>
  <c r="X839" i="25"/>
  <c r="AC839" i="25"/>
  <c r="U840" i="25" a="1"/>
  <c r="U840" i="25"/>
  <c r="V840" i="25" a="1"/>
  <c r="V840" i="25"/>
  <c r="W840" i="25"/>
  <c r="AA840" i="25"/>
  <c r="X840" i="25"/>
  <c r="AC840" i="25"/>
  <c r="U841" i="25" a="1"/>
  <c r="U841" i="25"/>
  <c r="V841" i="25" a="1"/>
  <c r="V841" i="25"/>
  <c r="W841" i="25"/>
  <c r="AA841" i="25"/>
  <c r="X841" i="25"/>
  <c r="AC841" i="25"/>
  <c r="U842" i="25" a="1"/>
  <c r="U842" i="25"/>
  <c r="V842" i="25" a="1"/>
  <c r="V842" i="25"/>
  <c r="W842" i="25"/>
  <c r="AA842" i="25"/>
  <c r="X842" i="25"/>
  <c r="AC842" i="25"/>
  <c r="U843" i="25" a="1"/>
  <c r="U843" i="25"/>
  <c r="V843" i="25" a="1"/>
  <c r="V843" i="25"/>
  <c r="W843" i="25"/>
  <c r="AA843" i="25"/>
  <c r="X843" i="25"/>
  <c r="AC843" i="25"/>
  <c r="U844" i="25" a="1"/>
  <c r="U844" i="25"/>
  <c r="V844" i="25" a="1"/>
  <c r="V844" i="25"/>
  <c r="W844" i="25"/>
  <c r="AA844" i="25"/>
  <c r="X844" i="25"/>
  <c r="AC844" i="25"/>
  <c r="U845" i="25" a="1"/>
  <c r="U845" i="25"/>
  <c r="V845" i="25" a="1"/>
  <c r="V845" i="25"/>
  <c r="W845" i="25"/>
  <c r="AA845" i="25"/>
  <c r="X845" i="25"/>
  <c r="AC845" i="25"/>
  <c r="U846" i="25" a="1"/>
  <c r="U846" i="25"/>
  <c r="V846" i="25" a="1"/>
  <c r="V846" i="25"/>
  <c r="W846" i="25"/>
  <c r="AA846" i="25"/>
  <c r="X846" i="25"/>
  <c r="AC846" i="25"/>
  <c r="U847" i="25" a="1"/>
  <c r="U847" i="25"/>
  <c r="V847" i="25" a="1"/>
  <c r="V847" i="25"/>
  <c r="W847" i="25"/>
  <c r="AA847" i="25"/>
  <c r="X847" i="25"/>
  <c r="AC847" i="25"/>
  <c r="U848" i="25" a="1"/>
  <c r="U848" i="25"/>
  <c r="V848" i="25" a="1"/>
  <c r="V848" i="25"/>
  <c r="W848" i="25"/>
  <c r="AA848" i="25"/>
  <c r="X848" i="25"/>
  <c r="AC848" i="25"/>
  <c r="U849" i="25" a="1"/>
  <c r="U849" i="25"/>
  <c r="V849" i="25" a="1"/>
  <c r="V849" i="25"/>
  <c r="W849" i="25"/>
  <c r="AA849" i="25"/>
  <c r="X849" i="25"/>
  <c r="AC849" i="25"/>
  <c r="U850" i="25" a="1"/>
  <c r="U850" i="25"/>
  <c r="V850" i="25" a="1"/>
  <c r="V850" i="25"/>
  <c r="W850" i="25"/>
  <c r="AA850" i="25"/>
  <c r="X850" i="25"/>
  <c r="AC850" i="25"/>
  <c r="U851" i="25" a="1"/>
  <c r="U851" i="25"/>
  <c r="V851" i="25" a="1"/>
  <c r="V851" i="25"/>
  <c r="W851" i="25"/>
  <c r="AA851" i="25"/>
  <c r="X851" i="25"/>
  <c r="AC851" i="25"/>
  <c r="U852" i="25" a="1"/>
  <c r="U852" i="25"/>
  <c r="V852" i="25" a="1"/>
  <c r="V852" i="25"/>
  <c r="W852" i="25"/>
  <c r="AA852" i="25"/>
  <c r="X852" i="25"/>
  <c r="AC852" i="25"/>
  <c r="U853" i="25" a="1"/>
  <c r="U853" i="25"/>
  <c r="V853" i="25" a="1"/>
  <c r="V853" i="25"/>
  <c r="W853" i="25"/>
  <c r="AA853" i="25"/>
  <c r="X853" i="25"/>
  <c r="AC853" i="25"/>
  <c r="U854" i="25" a="1"/>
  <c r="U854" i="25"/>
  <c r="V854" i="25" a="1"/>
  <c r="V854" i="25"/>
  <c r="W854" i="25"/>
  <c r="AA854" i="25"/>
  <c r="X854" i="25"/>
  <c r="AC854" i="25"/>
  <c r="U855" i="25" a="1"/>
  <c r="U855" i="25"/>
  <c r="V855" i="25" a="1"/>
  <c r="V855" i="25"/>
  <c r="W855" i="25"/>
  <c r="AA855" i="25"/>
  <c r="X855" i="25"/>
  <c r="AC855" i="25"/>
  <c r="U856" i="25" a="1"/>
  <c r="U856" i="25"/>
  <c r="V856" i="25" a="1"/>
  <c r="V856" i="25"/>
  <c r="W856" i="25"/>
  <c r="AA856" i="25"/>
  <c r="X856" i="25"/>
  <c r="AC856" i="25"/>
  <c r="U857" i="25" a="1"/>
  <c r="U857" i="25"/>
  <c r="V857" i="25" a="1"/>
  <c r="V857" i="25"/>
  <c r="W857" i="25"/>
  <c r="AA857" i="25"/>
  <c r="X857" i="25"/>
  <c r="AC857" i="25"/>
  <c r="U858" i="25" a="1"/>
  <c r="U858" i="25"/>
  <c r="V858" i="25" a="1"/>
  <c r="V858" i="25"/>
  <c r="W858" i="25"/>
  <c r="AA858" i="25"/>
  <c r="X858" i="25"/>
  <c r="AC858" i="25"/>
  <c r="U859" i="25" a="1"/>
  <c r="U859" i="25"/>
  <c r="V859" i="25" a="1"/>
  <c r="V859" i="25"/>
  <c r="W859" i="25"/>
  <c r="AA859" i="25"/>
  <c r="X859" i="25"/>
  <c r="AC859" i="25"/>
  <c r="U860" i="25" a="1"/>
  <c r="U860" i="25"/>
  <c r="V860" i="25" a="1"/>
  <c r="V860" i="25"/>
  <c r="W860" i="25"/>
  <c r="AA860" i="25"/>
  <c r="X860" i="25"/>
  <c r="AC860" i="25"/>
  <c r="U861" i="25" a="1"/>
  <c r="U861" i="25"/>
  <c r="V861" i="25" a="1"/>
  <c r="V861" i="25"/>
  <c r="W861" i="25"/>
  <c r="AA861" i="25"/>
  <c r="X861" i="25"/>
  <c r="AC861" i="25"/>
  <c r="U862" i="25" a="1"/>
  <c r="U862" i="25"/>
  <c r="V862" i="25" a="1"/>
  <c r="V862" i="25"/>
  <c r="W862" i="25"/>
  <c r="AA862" i="25"/>
  <c r="X862" i="25"/>
  <c r="AC862" i="25"/>
  <c r="U863" i="25" a="1"/>
  <c r="U863" i="25"/>
  <c r="V863" i="25" a="1"/>
  <c r="V863" i="25"/>
  <c r="W863" i="25"/>
  <c r="AA863" i="25"/>
  <c r="X863" i="25"/>
  <c r="AC863" i="25"/>
  <c r="U864" i="25" a="1"/>
  <c r="U864" i="25"/>
  <c r="V864" i="25" a="1"/>
  <c r="V864" i="25"/>
  <c r="W864" i="25"/>
  <c r="AA864" i="25"/>
  <c r="X864" i="25"/>
  <c r="AC864" i="25"/>
  <c r="U865" i="25" a="1"/>
  <c r="U865" i="25"/>
  <c r="V865" i="25" a="1"/>
  <c r="V865" i="25"/>
  <c r="W865" i="25"/>
  <c r="AA865" i="25"/>
  <c r="X865" i="25"/>
  <c r="AC865" i="25"/>
  <c r="U866" i="25" a="1"/>
  <c r="U866" i="25"/>
  <c r="V866" i="25" a="1"/>
  <c r="V866" i="25"/>
  <c r="W866" i="25"/>
  <c r="AA866" i="25"/>
  <c r="X866" i="25"/>
  <c r="AC866" i="25"/>
  <c r="U867" i="25" a="1"/>
  <c r="U867" i="25"/>
  <c r="V867" i="25" a="1"/>
  <c r="V867" i="25"/>
  <c r="W867" i="25"/>
  <c r="AA867" i="25"/>
  <c r="X867" i="25"/>
  <c r="AC867" i="25"/>
  <c r="U868" i="25" a="1"/>
  <c r="U868" i="25"/>
  <c r="V868" i="25" a="1"/>
  <c r="V868" i="25"/>
  <c r="W868" i="25"/>
  <c r="AA868" i="25"/>
  <c r="X868" i="25"/>
  <c r="AC868" i="25"/>
  <c r="U869" i="25" a="1"/>
  <c r="U869" i="25"/>
  <c r="V869" i="25" a="1"/>
  <c r="V869" i="25"/>
  <c r="W869" i="25"/>
  <c r="AA869" i="25"/>
  <c r="X869" i="25"/>
  <c r="AC869" i="25"/>
  <c r="U870" i="25" a="1"/>
  <c r="U870" i="25"/>
  <c r="V870" i="25" a="1"/>
  <c r="V870" i="25"/>
  <c r="W870" i="25"/>
  <c r="AA870" i="25"/>
  <c r="X870" i="25"/>
  <c r="AC870" i="25"/>
  <c r="U871" i="25" a="1"/>
  <c r="U871" i="25"/>
  <c r="V871" i="25" a="1"/>
  <c r="V871" i="25"/>
  <c r="W871" i="25"/>
  <c r="AA871" i="25"/>
  <c r="X871" i="25"/>
  <c r="AC871" i="25"/>
  <c r="U872" i="25" a="1"/>
  <c r="U872" i="25"/>
  <c r="V872" i="25" a="1"/>
  <c r="V872" i="25"/>
  <c r="W872" i="25"/>
  <c r="AA872" i="25"/>
  <c r="X872" i="25"/>
  <c r="AC872" i="25"/>
  <c r="U873" i="25" a="1"/>
  <c r="U873" i="25"/>
  <c r="V873" i="25" a="1"/>
  <c r="V873" i="25"/>
  <c r="W873" i="25"/>
  <c r="AA873" i="25"/>
  <c r="X873" i="25"/>
  <c r="AC873" i="25"/>
  <c r="U874" i="25" a="1"/>
  <c r="U874" i="25"/>
  <c r="V874" i="25" a="1"/>
  <c r="V874" i="25"/>
  <c r="W874" i="25"/>
  <c r="AA874" i="25"/>
  <c r="X874" i="25"/>
  <c r="AC874" i="25"/>
  <c r="U875" i="25" a="1"/>
  <c r="U875" i="25"/>
  <c r="V875" i="25" a="1"/>
  <c r="V875" i="25"/>
  <c r="W875" i="25"/>
  <c r="AA875" i="25"/>
  <c r="X875" i="25"/>
  <c r="AC875" i="25"/>
  <c r="U876" i="25" a="1"/>
  <c r="U876" i="25"/>
  <c r="V876" i="25" a="1"/>
  <c r="V876" i="25"/>
  <c r="W876" i="25"/>
  <c r="AA876" i="25"/>
  <c r="X876" i="25"/>
  <c r="AC876" i="25"/>
  <c r="U877" i="25" a="1"/>
  <c r="U877" i="25"/>
  <c r="V877" i="25" a="1"/>
  <c r="V877" i="25"/>
  <c r="W877" i="25"/>
  <c r="AA877" i="25"/>
  <c r="X877" i="25"/>
  <c r="AC877" i="25"/>
  <c r="U878" i="25" a="1"/>
  <c r="U878" i="25"/>
  <c r="V878" i="25" a="1"/>
  <c r="V878" i="25"/>
  <c r="W878" i="25"/>
  <c r="AA878" i="25"/>
  <c r="X878" i="25"/>
  <c r="AC878" i="25"/>
  <c r="U879" i="25" a="1"/>
  <c r="U879" i="25"/>
  <c r="V879" i="25" a="1"/>
  <c r="V879" i="25"/>
  <c r="W879" i="25"/>
  <c r="AA879" i="25"/>
  <c r="X879" i="25"/>
  <c r="AC879" i="25"/>
  <c r="U880" i="25" a="1"/>
  <c r="U880" i="25"/>
  <c r="V880" i="25" a="1"/>
  <c r="V880" i="25"/>
  <c r="W880" i="25"/>
  <c r="AA880" i="25"/>
  <c r="X880" i="25"/>
  <c r="AC880" i="25"/>
  <c r="U881" i="25" a="1"/>
  <c r="U881" i="25"/>
  <c r="V881" i="25" a="1"/>
  <c r="V881" i="25"/>
  <c r="W881" i="25"/>
  <c r="AA881" i="25"/>
  <c r="X881" i="25"/>
  <c r="AC881" i="25"/>
  <c r="U882" i="25" a="1"/>
  <c r="U882" i="25"/>
  <c r="V882" i="25" a="1"/>
  <c r="V882" i="25"/>
  <c r="W882" i="25"/>
  <c r="AA882" i="25"/>
  <c r="X882" i="25"/>
  <c r="AC882" i="25"/>
  <c r="U883" i="25" a="1"/>
  <c r="U883" i="25"/>
  <c r="V883" i="25" a="1"/>
  <c r="V883" i="25"/>
  <c r="W883" i="25"/>
  <c r="AA883" i="25"/>
  <c r="X883" i="25"/>
  <c r="AC883" i="25"/>
  <c r="U884" i="25" a="1"/>
  <c r="U884" i="25"/>
  <c r="V884" i="25" a="1"/>
  <c r="V884" i="25"/>
  <c r="W884" i="25"/>
  <c r="AA884" i="25"/>
  <c r="X884" i="25"/>
  <c r="AC884" i="25"/>
  <c r="U885" i="25" a="1"/>
  <c r="U885" i="25"/>
  <c r="V885" i="25" a="1"/>
  <c r="V885" i="25"/>
  <c r="W885" i="25"/>
  <c r="AA885" i="25"/>
  <c r="X885" i="25"/>
  <c r="AC885" i="25"/>
  <c r="U886" i="25" a="1"/>
  <c r="U886" i="25"/>
  <c r="V886" i="25" a="1"/>
  <c r="V886" i="25"/>
  <c r="W886" i="25"/>
  <c r="AA886" i="25"/>
  <c r="X886" i="25"/>
  <c r="AC886" i="25"/>
  <c r="U887" i="25" a="1"/>
  <c r="U887" i="25"/>
  <c r="V887" i="25" a="1"/>
  <c r="V887" i="25"/>
  <c r="W887" i="25"/>
  <c r="AA887" i="25"/>
  <c r="X887" i="25"/>
  <c r="AC887" i="25"/>
  <c r="U888" i="25" a="1"/>
  <c r="U888" i="25"/>
  <c r="V888" i="25" a="1"/>
  <c r="V888" i="25"/>
  <c r="W888" i="25"/>
  <c r="AA888" i="25"/>
  <c r="X888" i="25"/>
  <c r="AC888" i="25"/>
  <c r="U889" i="25" a="1"/>
  <c r="U889" i="25"/>
  <c r="V889" i="25" a="1"/>
  <c r="V889" i="25"/>
  <c r="W889" i="25"/>
  <c r="AA889" i="25"/>
  <c r="X889" i="25"/>
  <c r="AC889" i="25"/>
  <c r="U890" i="25" a="1"/>
  <c r="U890" i="25"/>
  <c r="V890" i="25" a="1"/>
  <c r="V890" i="25"/>
  <c r="W890" i="25"/>
  <c r="AA890" i="25"/>
  <c r="X890" i="25"/>
  <c r="AC890" i="25"/>
  <c r="U891" i="25" a="1"/>
  <c r="U891" i="25"/>
  <c r="V891" i="25" a="1"/>
  <c r="V891" i="25"/>
  <c r="W891" i="25"/>
  <c r="AA891" i="25"/>
  <c r="X891" i="25"/>
  <c r="AC891" i="25"/>
  <c r="U892" i="25" a="1"/>
  <c r="U892" i="25"/>
  <c r="V892" i="25" a="1"/>
  <c r="V892" i="25"/>
  <c r="W892" i="25"/>
  <c r="AA892" i="25"/>
  <c r="X892" i="25"/>
  <c r="AC892" i="25"/>
  <c r="U893" i="25" a="1"/>
  <c r="U893" i="25"/>
  <c r="V893" i="25" a="1"/>
  <c r="V893" i="25"/>
  <c r="W893" i="25"/>
  <c r="AA893" i="25"/>
  <c r="X893" i="25"/>
  <c r="AC893" i="25"/>
  <c r="U894" i="25" a="1"/>
  <c r="U894" i="25"/>
  <c r="V894" i="25" a="1"/>
  <c r="V894" i="25"/>
  <c r="W894" i="25"/>
  <c r="AA894" i="25"/>
  <c r="X894" i="25"/>
  <c r="AC894" i="25"/>
  <c r="U895" i="25" a="1"/>
  <c r="U895" i="25"/>
  <c r="V895" i="25" a="1"/>
  <c r="V895" i="25"/>
  <c r="W895" i="25"/>
  <c r="AA895" i="25"/>
  <c r="X895" i="25"/>
  <c r="AC895" i="25"/>
  <c r="U896" i="25" a="1"/>
  <c r="U896" i="25"/>
  <c r="V896" i="25" a="1"/>
  <c r="V896" i="25"/>
  <c r="W896" i="25"/>
  <c r="AA896" i="25"/>
  <c r="X896" i="25"/>
  <c r="AC896" i="25"/>
  <c r="U897" i="25" a="1"/>
  <c r="U897" i="25"/>
  <c r="V897" i="25" a="1"/>
  <c r="V897" i="25"/>
  <c r="W897" i="25"/>
  <c r="AA897" i="25"/>
  <c r="X897" i="25"/>
  <c r="AC897" i="25"/>
  <c r="U898" i="25" a="1"/>
  <c r="U898" i="25"/>
  <c r="V898" i="25" a="1"/>
  <c r="V898" i="25"/>
  <c r="W898" i="25"/>
  <c r="AA898" i="25"/>
  <c r="X898" i="25"/>
  <c r="AC898" i="25"/>
  <c r="U899" i="25" a="1"/>
  <c r="U899" i="25"/>
  <c r="V899" i="25" a="1"/>
  <c r="V899" i="25"/>
  <c r="W899" i="25"/>
  <c r="AA899" i="25"/>
  <c r="X899" i="25"/>
  <c r="AC899" i="25"/>
  <c r="U900" i="25" a="1"/>
  <c r="U900" i="25"/>
  <c r="V900" i="25" a="1"/>
  <c r="V900" i="25"/>
  <c r="W900" i="25"/>
  <c r="AA900" i="25"/>
  <c r="X900" i="25"/>
  <c r="AC900" i="25"/>
  <c r="U901" i="25" a="1"/>
  <c r="U901" i="25"/>
  <c r="V901" i="25" a="1"/>
  <c r="V901" i="25"/>
  <c r="W901" i="25"/>
  <c r="AA901" i="25"/>
  <c r="X901" i="25"/>
  <c r="AC901" i="25"/>
  <c r="U902" i="25" a="1"/>
  <c r="U902" i="25"/>
  <c r="V902" i="25" a="1"/>
  <c r="V902" i="25"/>
  <c r="W902" i="25"/>
  <c r="AA902" i="25"/>
  <c r="X902" i="25"/>
  <c r="AC902" i="25"/>
  <c r="U903" i="25" a="1"/>
  <c r="U903" i="25"/>
  <c r="V903" i="25" a="1"/>
  <c r="V903" i="25"/>
  <c r="W903" i="25"/>
  <c r="AA903" i="25"/>
  <c r="X903" i="25"/>
  <c r="AC903" i="25"/>
  <c r="U904" i="25" a="1"/>
  <c r="U904" i="25"/>
  <c r="V904" i="25" a="1"/>
  <c r="V904" i="25"/>
  <c r="W904" i="25"/>
  <c r="AA904" i="25"/>
  <c r="X904" i="25"/>
  <c r="AC904" i="25"/>
  <c r="U905" i="25" a="1"/>
  <c r="U905" i="25"/>
  <c r="V905" i="25" a="1"/>
  <c r="V905" i="25"/>
  <c r="W905" i="25"/>
  <c r="AA905" i="25"/>
  <c r="X905" i="25"/>
  <c r="AC905" i="25"/>
  <c r="U906" i="25" a="1"/>
  <c r="U906" i="25"/>
  <c r="V906" i="25" a="1"/>
  <c r="V906" i="25"/>
  <c r="W906" i="25"/>
  <c r="AA906" i="25"/>
  <c r="X906" i="25"/>
  <c r="AC906" i="25"/>
  <c r="U907" i="25" a="1"/>
  <c r="U907" i="25"/>
  <c r="V907" i="25" a="1"/>
  <c r="V907" i="25"/>
  <c r="W907" i="25"/>
  <c r="AA907" i="25"/>
  <c r="X907" i="25"/>
  <c r="AC907" i="25"/>
  <c r="U908" i="25" a="1"/>
  <c r="U908" i="25"/>
  <c r="V908" i="25" a="1"/>
  <c r="V908" i="25"/>
  <c r="W908" i="25"/>
  <c r="AA908" i="25"/>
  <c r="X908" i="25"/>
  <c r="AC908" i="25"/>
  <c r="U909" i="25" a="1"/>
  <c r="U909" i="25"/>
  <c r="V909" i="25" a="1"/>
  <c r="V909" i="25"/>
  <c r="W909" i="25"/>
  <c r="AA909" i="25"/>
  <c r="X909" i="25"/>
  <c r="AC909" i="25"/>
  <c r="U910" i="25" a="1"/>
  <c r="U910" i="25"/>
  <c r="V910" i="25" a="1"/>
  <c r="V910" i="25"/>
  <c r="W910" i="25"/>
  <c r="AA910" i="25"/>
  <c r="X910" i="25"/>
  <c r="AC910" i="25"/>
  <c r="U911" i="25" a="1"/>
  <c r="U911" i="25"/>
  <c r="V911" i="25" a="1"/>
  <c r="V911" i="25"/>
  <c r="W911" i="25"/>
  <c r="AA911" i="25"/>
  <c r="X911" i="25"/>
  <c r="AC911" i="25"/>
  <c r="U912" i="25" a="1"/>
  <c r="U912" i="25"/>
  <c r="V912" i="25" a="1"/>
  <c r="V912" i="25"/>
  <c r="W912" i="25"/>
  <c r="AA912" i="25"/>
  <c r="X912" i="25"/>
  <c r="AC912" i="25"/>
  <c r="U913" i="25" a="1"/>
  <c r="U913" i="25"/>
  <c r="V913" i="25" a="1"/>
  <c r="V913" i="25"/>
  <c r="W913" i="25"/>
  <c r="AA913" i="25"/>
  <c r="X913" i="25"/>
  <c r="AC913" i="25"/>
  <c r="U914" i="25" a="1"/>
  <c r="U914" i="25"/>
  <c r="V914" i="25" a="1"/>
  <c r="V914" i="25"/>
  <c r="W914" i="25"/>
  <c r="AA914" i="25"/>
  <c r="X914" i="25"/>
  <c r="AC914" i="25"/>
  <c r="U915" i="25" a="1"/>
  <c r="U915" i="25"/>
  <c r="V915" i="25" a="1"/>
  <c r="V915" i="25"/>
  <c r="W915" i="25"/>
  <c r="AA915" i="25"/>
  <c r="X915" i="25"/>
  <c r="AC915" i="25"/>
  <c r="U916" i="25" a="1"/>
  <c r="U916" i="25"/>
  <c r="V916" i="25" a="1"/>
  <c r="V916" i="25"/>
  <c r="W916" i="25"/>
  <c r="AA916" i="25"/>
  <c r="X916" i="25"/>
  <c r="AC916" i="25"/>
  <c r="U917" i="25" a="1"/>
  <c r="U917" i="25"/>
  <c r="V917" i="25" a="1"/>
  <c r="V917" i="25"/>
  <c r="W917" i="25"/>
  <c r="AA917" i="25"/>
  <c r="X917" i="25"/>
  <c r="AC917" i="25"/>
  <c r="U918" i="25" a="1"/>
  <c r="U918" i="25"/>
  <c r="V918" i="25" a="1"/>
  <c r="V918" i="25"/>
  <c r="W918" i="25"/>
  <c r="AA918" i="25"/>
  <c r="X918" i="25"/>
  <c r="AC918" i="25"/>
  <c r="U919" i="25" a="1"/>
  <c r="U919" i="25"/>
  <c r="V919" i="25" a="1"/>
  <c r="V919" i="25"/>
  <c r="W919" i="25"/>
  <c r="AA919" i="25"/>
  <c r="X919" i="25"/>
  <c r="AC919" i="25"/>
  <c r="U920" i="25" a="1"/>
  <c r="U920" i="25"/>
  <c r="V920" i="25" a="1"/>
  <c r="V920" i="25"/>
  <c r="W920" i="25"/>
  <c r="AA920" i="25"/>
  <c r="X920" i="25"/>
  <c r="AC920" i="25"/>
  <c r="U921" i="25" a="1"/>
  <c r="U921" i="25"/>
  <c r="V921" i="25" a="1"/>
  <c r="V921" i="25"/>
  <c r="W921" i="25"/>
  <c r="AA921" i="25"/>
  <c r="X921" i="25"/>
  <c r="AC921" i="25"/>
  <c r="U922" i="25" a="1"/>
  <c r="U922" i="25"/>
  <c r="V922" i="25" a="1"/>
  <c r="V922" i="25"/>
  <c r="W922" i="25"/>
  <c r="AA922" i="25"/>
  <c r="X922" i="25"/>
  <c r="AC922" i="25"/>
  <c r="U923" i="25" a="1"/>
  <c r="U923" i="25"/>
  <c r="V923" i="25" a="1"/>
  <c r="V923" i="25"/>
  <c r="W923" i="25"/>
  <c r="AA923" i="25"/>
  <c r="X923" i="25"/>
  <c r="AC923" i="25"/>
  <c r="U924" i="25" a="1"/>
  <c r="U924" i="25"/>
  <c r="V924" i="25" a="1"/>
  <c r="V924" i="25"/>
  <c r="W924" i="25"/>
  <c r="AA924" i="25"/>
  <c r="X924" i="25"/>
  <c r="AC924" i="25"/>
  <c r="U925" i="25" a="1"/>
  <c r="U925" i="25"/>
  <c r="V925" i="25" a="1"/>
  <c r="V925" i="25"/>
  <c r="W925" i="25"/>
  <c r="AA925" i="25"/>
  <c r="X925" i="25"/>
  <c r="AC925" i="25"/>
  <c r="U926" i="25" a="1"/>
  <c r="U926" i="25"/>
  <c r="V926" i="25" a="1"/>
  <c r="V926" i="25"/>
  <c r="W926" i="25"/>
  <c r="AA926" i="25"/>
  <c r="X926" i="25"/>
  <c r="AC926" i="25"/>
  <c r="U927" i="25" a="1"/>
  <c r="U927" i="25"/>
  <c r="V927" i="25" a="1"/>
  <c r="V927" i="25"/>
  <c r="W927" i="25"/>
  <c r="AA927" i="25"/>
  <c r="X927" i="25"/>
  <c r="AC927" i="25"/>
  <c r="U928" i="25" a="1"/>
  <c r="U928" i="25"/>
  <c r="V928" i="25" a="1"/>
  <c r="V928" i="25"/>
  <c r="W928" i="25"/>
  <c r="AA928" i="25"/>
  <c r="X928" i="25"/>
  <c r="AC928" i="25"/>
  <c r="U929" i="25" a="1"/>
  <c r="U929" i="25"/>
  <c r="V929" i="25" a="1"/>
  <c r="V929" i="25"/>
  <c r="W929" i="25"/>
  <c r="AA929" i="25"/>
  <c r="X929" i="25"/>
  <c r="AC929" i="25"/>
  <c r="U930" i="25" a="1"/>
  <c r="U930" i="25"/>
  <c r="V930" i="25" a="1"/>
  <c r="V930" i="25"/>
  <c r="W930" i="25"/>
  <c r="AA930" i="25"/>
  <c r="X930" i="25"/>
  <c r="AC930" i="25"/>
  <c r="U931" i="25" a="1"/>
  <c r="U931" i="25"/>
  <c r="V931" i="25" a="1"/>
  <c r="V931" i="25"/>
  <c r="W931" i="25"/>
  <c r="AA931" i="25"/>
  <c r="X931" i="25"/>
  <c r="AC931" i="25"/>
  <c r="U932" i="25" a="1"/>
  <c r="U932" i="25"/>
  <c r="V932" i="25" a="1"/>
  <c r="V932" i="25"/>
  <c r="W932" i="25"/>
  <c r="AA932" i="25"/>
  <c r="X932" i="25"/>
  <c r="AC932" i="25"/>
  <c r="U933" i="25" a="1"/>
  <c r="U933" i="25"/>
  <c r="V933" i="25" a="1"/>
  <c r="V933" i="25"/>
  <c r="W933" i="25"/>
  <c r="AA933" i="25"/>
  <c r="X933" i="25"/>
  <c r="AC933" i="25"/>
  <c r="U934" i="25" a="1"/>
  <c r="U934" i="25"/>
  <c r="V934" i="25" a="1"/>
  <c r="V934" i="25"/>
  <c r="W934" i="25"/>
  <c r="AA934" i="25"/>
  <c r="X934" i="25"/>
  <c r="AC934" i="25"/>
  <c r="U935" i="25" a="1"/>
  <c r="U935" i="25"/>
  <c r="V935" i="25" a="1"/>
  <c r="V935" i="25"/>
  <c r="W935" i="25"/>
  <c r="AA935" i="25"/>
  <c r="X935" i="25"/>
  <c r="AC935" i="25"/>
  <c r="U936" i="25" a="1"/>
  <c r="U936" i="25"/>
  <c r="V936" i="25" a="1"/>
  <c r="V936" i="25"/>
  <c r="W936" i="25"/>
  <c r="AA936" i="25"/>
  <c r="X936" i="25"/>
  <c r="AC936" i="25"/>
  <c r="U937" i="25" a="1"/>
  <c r="U937" i="25"/>
  <c r="V937" i="25" a="1"/>
  <c r="V937" i="25"/>
  <c r="W937" i="25"/>
  <c r="AA937" i="25"/>
  <c r="X937" i="25"/>
  <c r="AC937" i="25"/>
  <c r="U938" i="25" a="1"/>
  <c r="U938" i="25"/>
  <c r="V938" i="25" a="1"/>
  <c r="V938" i="25"/>
  <c r="W938" i="25"/>
  <c r="AA938" i="25"/>
  <c r="X938" i="25"/>
  <c r="AC938" i="25"/>
  <c r="U939" i="25" a="1"/>
  <c r="U939" i="25"/>
  <c r="V939" i="25" a="1"/>
  <c r="V939" i="25"/>
  <c r="W939" i="25"/>
  <c r="AA939" i="25"/>
  <c r="X939" i="25"/>
  <c r="AC939" i="25"/>
  <c r="U940" i="25" a="1"/>
  <c r="U940" i="25"/>
  <c r="V940" i="25" a="1"/>
  <c r="V940" i="25"/>
  <c r="W940" i="25"/>
  <c r="AA940" i="25"/>
  <c r="X940" i="25"/>
  <c r="AC940" i="25"/>
  <c r="U941" i="25" a="1"/>
  <c r="U941" i="25"/>
  <c r="V941" i="25" a="1"/>
  <c r="V941" i="25"/>
  <c r="W941" i="25"/>
  <c r="AA941" i="25"/>
  <c r="X941" i="25"/>
  <c r="AC941" i="25"/>
  <c r="U942" i="25" a="1"/>
  <c r="U942" i="25"/>
  <c r="V942" i="25" a="1"/>
  <c r="V942" i="25"/>
  <c r="W942" i="25"/>
  <c r="AA942" i="25"/>
  <c r="X942" i="25"/>
  <c r="AC942" i="25"/>
  <c r="U943" i="25" a="1"/>
  <c r="U943" i="25"/>
  <c r="V943" i="25" a="1"/>
  <c r="V943" i="25"/>
  <c r="W943" i="25"/>
  <c r="AA943" i="25"/>
  <c r="X943" i="25"/>
  <c r="AC943" i="25"/>
  <c r="U944" i="25" a="1"/>
  <c r="U944" i="25"/>
  <c r="V944" i="25" a="1"/>
  <c r="V944" i="25"/>
  <c r="W944" i="25"/>
  <c r="AA944" i="25"/>
  <c r="X944" i="25"/>
  <c r="AC944" i="25"/>
  <c r="U945" i="25" a="1"/>
  <c r="U945" i="25"/>
  <c r="V945" i="25" a="1"/>
  <c r="V945" i="25"/>
  <c r="W945" i="25"/>
  <c r="AA945" i="25"/>
  <c r="X945" i="25"/>
  <c r="AC945" i="25"/>
  <c r="U946" i="25" a="1"/>
  <c r="U946" i="25"/>
  <c r="V946" i="25" a="1"/>
  <c r="V946" i="25"/>
  <c r="W946" i="25"/>
  <c r="AA946" i="25"/>
  <c r="X946" i="25"/>
  <c r="AC946" i="25"/>
  <c r="U947" i="25" a="1"/>
  <c r="U947" i="25"/>
  <c r="V947" i="25" a="1"/>
  <c r="V947" i="25"/>
  <c r="W947" i="25"/>
  <c r="AA947" i="25"/>
  <c r="X947" i="25"/>
  <c r="AC947" i="25"/>
  <c r="U948" i="25" a="1"/>
  <c r="U948" i="25"/>
  <c r="V948" i="25" a="1"/>
  <c r="V948" i="25"/>
  <c r="W948" i="25"/>
  <c r="AA948" i="25"/>
  <c r="X948" i="25"/>
  <c r="AC948" i="25"/>
  <c r="U949" i="25" a="1"/>
  <c r="U949" i="25"/>
  <c r="V949" i="25" a="1"/>
  <c r="V949" i="25"/>
  <c r="W949" i="25"/>
  <c r="AA949" i="25"/>
  <c r="X949" i="25"/>
  <c r="AC949" i="25"/>
  <c r="U950" i="25" a="1"/>
  <c r="U950" i="25"/>
  <c r="V950" i="25" a="1"/>
  <c r="V950" i="25"/>
  <c r="W950" i="25"/>
  <c r="AA950" i="25"/>
  <c r="X950" i="25"/>
  <c r="AC950" i="25"/>
  <c r="U951" i="25" a="1"/>
  <c r="U951" i="25"/>
  <c r="V951" i="25" a="1"/>
  <c r="V951" i="25"/>
  <c r="W951" i="25"/>
  <c r="AA951" i="25"/>
  <c r="X951" i="25"/>
  <c r="AC951" i="25"/>
  <c r="U952" i="25" a="1"/>
  <c r="U952" i="25"/>
  <c r="V952" i="25" a="1"/>
  <c r="V952" i="25"/>
  <c r="W952" i="25"/>
  <c r="AA952" i="25"/>
  <c r="X952" i="25"/>
  <c r="AC952" i="25"/>
  <c r="U953" i="25" a="1"/>
  <c r="U953" i="25"/>
  <c r="V953" i="25" a="1"/>
  <c r="V953" i="25"/>
  <c r="W953" i="25"/>
  <c r="AA953" i="25"/>
  <c r="X953" i="25"/>
  <c r="AC953" i="25"/>
  <c r="U954" i="25" a="1"/>
  <c r="U954" i="25"/>
  <c r="V954" i="25" a="1"/>
  <c r="V954" i="25"/>
  <c r="W954" i="25"/>
  <c r="AA954" i="25"/>
  <c r="X954" i="25"/>
  <c r="AC954" i="25"/>
  <c r="U955" i="25" a="1"/>
  <c r="U955" i="25"/>
  <c r="V955" i="25" a="1"/>
  <c r="V955" i="25"/>
  <c r="W955" i="25"/>
  <c r="AA955" i="25"/>
  <c r="X955" i="25"/>
  <c r="AC955" i="25"/>
  <c r="U956" i="25" a="1"/>
  <c r="U956" i="25"/>
  <c r="V956" i="25" a="1"/>
  <c r="V956" i="25"/>
  <c r="W956" i="25"/>
  <c r="AA956" i="25"/>
  <c r="X956" i="25"/>
  <c r="AC956" i="25"/>
  <c r="U957" i="25" a="1"/>
  <c r="U957" i="25"/>
  <c r="V957" i="25" a="1"/>
  <c r="V957" i="25"/>
  <c r="W957" i="25"/>
  <c r="AA957" i="25"/>
  <c r="X957" i="25"/>
  <c r="AC957" i="25"/>
  <c r="U958" i="25" a="1"/>
  <c r="U958" i="25"/>
  <c r="V958" i="25" a="1"/>
  <c r="V958" i="25"/>
  <c r="W958" i="25"/>
  <c r="AA958" i="25"/>
  <c r="X958" i="25"/>
  <c r="AC958" i="25"/>
  <c r="U959" i="25" a="1"/>
  <c r="U959" i="25"/>
  <c r="V959" i="25" a="1"/>
  <c r="V959" i="25"/>
  <c r="W959" i="25"/>
  <c r="AA959" i="25"/>
  <c r="X959" i="25"/>
  <c r="AC959" i="25"/>
  <c r="U960" i="25" a="1"/>
  <c r="U960" i="25"/>
  <c r="V960" i="25" a="1"/>
  <c r="V960" i="25"/>
  <c r="W960" i="25"/>
  <c r="AA960" i="25"/>
  <c r="X960" i="25"/>
  <c r="AC960" i="25"/>
  <c r="U961" i="25" a="1"/>
  <c r="U961" i="25"/>
  <c r="V961" i="25" a="1"/>
  <c r="V961" i="25"/>
  <c r="W961" i="25"/>
  <c r="AA961" i="25"/>
  <c r="X961" i="25"/>
  <c r="AC961" i="25"/>
  <c r="U962" i="25" a="1"/>
  <c r="U962" i="25"/>
  <c r="V962" i="25" a="1"/>
  <c r="V962" i="25"/>
  <c r="W962" i="25"/>
  <c r="AA962" i="25"/>
  <c r="X962" i="25"/>
  <c r="AC962" i="25"/>
  <c r="U963" i="25" a="1"/>
  <c r="U963" i="25"/>
  <c r="V963" i="25" a="1"/>
  <c r="V963" i="25"/>
  <c r="W963" i="25"/>
  <c r="AA963" i="25"/>
  <c r="X963" i="25"/>
  <c r="AC963" i="25"/>
  <c r="U964" i="25" a="1"/>
  <c r="U964" i="25"/>
  <c r="V964" i="25" a="1"/>
  <c r="V964" i="25"/>
  <c r="W964" i="25"/>
  <c r="AA964" i="25"/>
  <c r="X964" i="25"/>
  <c r="AC964" i="25"/>
  <c r="U965" i="25" a="1"/>
  <c r="U965" i="25"/>
  <c r="V965" i="25" a="1"/>
  <c r="V965" i="25"/>
  <c r="W965" i="25"/>
  <c r="AA965" i="25"/>
  <c r="X965" i="25"/>
  <c r="AC965" i="25"/>
  <c r="U966" i="25" a="1"/>
  <c r="U966" i="25"/>
  <c r="V966" i="25" a="1"/>
  <c r="V966" i="25"/>
  <c r="W966" i="25"/>
  <c r="AA966" i="25"/>
  <c r="X966" i="25"/>
  <c r="AC966" i="25"/>
  <c r="U967" i="25" a="1"/>
  <c r="U967" i="25"/>
  <c r="V967" i="25" a="1"/>
  <c r="V967" i="25"/>
  <c r="W967" i="25"/>
  <c r="AA967" i="25"/>
  <c r="X967" i="25"/>
  <c r="AC967" i="25"/>
  <c r="U968" i="25" a="1"/>
  <c r="U968" i="25"/>
  <c r="V968" i="25" a="1"/>
  <c r="V968" i="25"/>
  <c r="W968" i="25"/>
  <c r="AA968" i="25"/>
  <c r="X968" i="25"/>
  <c r="AC968" i="25"/>
  <c r="U969" i="25" a="1"/>
  <c r="U969" i="25"/>
  <c r="V969" i="25" a="1"/>
  <c r="V969" i="25"/>
  <c r="W969" i="25"/>
  <c r="AA969" i="25"/>
  <c r="X969" i="25"/>
  <c r="AC969" i="25"/>
  <c r="U970" i="25" a="1"/>
  <c r="U970" i="25"/>
  <c r="V970" i="25" a="1"/>
  <c r="V970" i="25"/>
  <c r="W970" i="25"/>
  <c r="AA970" i="25"/>
  <c r="X970" i="25"/>
  <c r="AC970" i="25"/>
  <c r="U971" i="25" a="1"/>
  <c r="U971" i="25"/>
  <c r="V971" i="25" a="1"/>
  <c r="V971" i="25"/>
  <c r="W971" i="25"/>
  <c r="AA971" i="25"/>
  <c r="X971" i="25"/>
  <c r="AC971" i="25"/>
  <c r="U972" i="25" a="1"/>
  <c r="U972" i="25"/>
  <c r="V972" i="25" a="1"/>
  <c r="V972" i="25"/>
  <c r="W972" i="25"/>
  <c r="AA972" i="25"/>
  <c r="X972" i="25"/>
  <c r="AC972" i="25"/>
  <c r="U973" i="25" a="1"/>
  <c r="U973" i="25"/>
  <c r="V973" i="25" a="1"/>
  <c r="V973" i="25"/>
  <c r="W973" i="25"/>
  <c r="AA973" i="25"/>
  <c r="X973" i="25"/>
  <c r="AC973" i="25"/>
  <c r="U974" i="25" a="1"/>
  <c r="U974" i="25"/>
  <c r="V974" i="25" a="1"/>
  <c r="V974" i="25"/>
  <c r="W974" i="25"/>
  <c r="AA974" i="25"/>
  <c r="X974" i="25"/>
  <c r="AC974" i="25"/>
  <c r="U975" i="25" a="1"/>
  <c r="U975" i="25"/>
  <c r="V975" i="25" a="1"/>
  <c r="V975" i="25"/>
  <c r="W975" i="25"/>
  <c r="AA975" i="25"/>
  <c r="X975" i="25"/>
  <c r="AC975" i="25"/>
  <c r="U976" i="25" a="1"/>
  <c r="U976" i="25"/>
  <c r="V976" i="25" a="1"/>
  <c r="V976" i="25"/>
  <c r="W976" i="25"/>
  <c r="AA976" i="25"/>
  <c r="X976" i="25"/>
  <c r="AC976" i="25"/>
  <c r="U977" i="25" a="1"/>
  <c r="U977" i="25"/>
  <c r="V977" i="25" a="1"/>
  <c r="V977" i="25"/>
  <c r="W977" i="25"/>
  <c r="AA977" i="25"/>
  <c r="X977" i="25"/>
  <c r="AC977" i="25"/>
  <c r="U978" i="25" a="1"/>
  <c r="U978" i="25"/>
  <c r="V978" i="25" a="1"/>
  <c r="V978" i="25"/>
  <c r="W978" i="25"/>
  <c r="AA978" i="25"/>
  <c r="X978" i="25"/>
  <c r="AC978" i="25"/>
  <c r="U979" i="25" a="1"/>
  <c r="U979" i="25"/>
  <c r="V979" i="25" a="1"/>
  <c r="V979" i="25"/>
  <c r="W979" i="25"/>
  <c r="AA979" i="25"/>
  <c r="X979" i="25"/>
  <c r="AC979" i="25"/>
  <c r="U980" i="25" a="1"/>
  <c r="U980" i="25"/>
  <c r="V980" i="25" a="1"/>
  <c r="V980" i="25"/>
  <c r="W980" i="25"/>
  <c r="AA980" i="25"/>
  <c r="X980" i="25"/>
  <c r="AC980" i="25"/>
  <c r="U981" i="25" a="1"/>
  <c r="U981" i="25"/>
  <c r="V981" i="25" a="1"/>
  <c r="V981" i="25"/>
  <c r="W981" i="25"/>
  <c r="AA981" i="25"/>
  <c r="X981" i="25"/>
  <c r="AC981" i="25"/>
  <c r="U982" i="25" a="1"/>
  <c r="U982" i="25"/>
  <c r="V982" i="25" a="1"/>
  <c r="V982" i="25"/>
  <c r="W982" i="25"/>
  <c r="AA982" i="25"/>
  <c r="X982" i="25"/>
  <c r="AC982" i="25"/>
  <c r="U983" i="25" a="1"/>
  <c r="U983" i="25"/>
  <c r="V983" i="25" a="1"/>
  <c r="V983" i="25"/>
  <c r="W983" i="25"/>
  <c r="AA983" i="25"/>
  <c r="X983" i="25"/>
  <c r="AC983" i="25"/>
  <c r="U984" i="25" a="1"/>
  <c r="U984" i="25"/>
  <c r="V984" i="25" a="1"/>
  <c r="V984" i="25"/>
  <c r="W984" i="25"/>
  <c r="AA984" i="25"/>
  <c r="X984" i="25"/>
  <c r="AC984" i="25"/>
  <c r="U985" i="25" a="1"/>
  <c r="U985" i="25"/>
  <c r="V985" i="25" a="1"/>
  <c r="V985" i="25"/>
  <c r="W985" i="25"/>
  <c r="AA985" i="25"/>
  <c r="X985" i="25"/>
  <c r="AC985" i="25"/>
  <c r="U986" i="25" a="1"/>
  <c r="U986" i="25"/>
  <c r="V986" i="25" a="1"/>
  <c r="V986" i="25"/>
  <c r="W986" i="25"/>
  <c r="AA986" i="25"/>
  <c r="X986" i="25"/>
  <c r="AC986" i="25"/>
  <c r="U987" i="25" a="1"/>
  <c r="U987" i="25"/>
  <c r="V987" i="25" a="1"/>
  <c r="V987" i="25"/>
  <c r="W987" i="25"/>
  <c r="AA987" i="25"/>
  <c r="X987" i="25"/>
  <c r="AC987" i="25"/>
  <c r="U988" i="25" a="1"/>
  <c r="U988" i="25"/>
  <c r="V988" i="25" a="1"/>
  <c r="V988" i="25"/>
  <c r="W988" i="25"/>
  <c r="AA988" i="25"/>
  <c r="X988" i="25"/>
  <c r="AC988" i="25"/>
  <c r="U989" i="25" a="1"/>
  <c r="U989" i="25"/>
  <c r="V989" i="25" a="1"/>
  <c r="V989" i="25"/>
  <c r="W989" i="25"/>
  <c r="AA989" i="25"/>
  <c r="X989" i="25"/>
  <c r="AC989" i="25"/>
  <c r="U990" i="25" a="1"/>
  <c r="U990" i="25"/>
  <c r="V990" i="25" a="1"/>
  <c r="V990" i="25"/>
  <c r="W990" i="25"/>
  <c r="AA990" i="25"/>
  <c r="X990" i="25"/>
  <c r="AC990" i="25"/>
  <c r="U991" i="25" a="1"/>
  <c r="U991" i="25"/>
  <c r="V991" i="25" a="1"/>
  <c r="V991" i="25"/>
  <c r="W991" i="25"/>
  <c r="AA991" i="25"/>
  <c r="X991" i="25"/>
  <c r="AC991" i="25"/>
  <c r="U992" i="25" a="1"/>
  <c r="U992" i="25"/>
  <c r="V992" i="25" a="1"/>
  <c r="V992" i="25"/>
  <c r="W992" i="25"/>
  <c r="AA992" i="25"/>
  <c r="X992" i="25"/>
  <c r="AC992" i="25"/>
  <c r="U993" i="25" a="1"/>
  <c r="U993" i="25"/>
  <c r="V993" i="25" a="1"/>
  <c r="V993" i="25"/>
  <c r="W993" i="25"/>
  <c r="AA993" i="25"/>
  <c r="X993" i="25"/>
  <c r="AC993" i="25"/>
  <c r="U994" i="25" a="1"/>
  <c r="U994" i="25"/>
  <c r="V994" i="25" a="1"/>
  <c r="V994" i="25"/>
  <c r="W994" i="25"/>
  <c r="AA994" i="25"/>
  <c r="X994" i="25"/>
  <c r="AC994" i="25"/>
  <c r="U995" i="25" a="1"/>
  <c r="U995" i="25"/>
  <c r="V995" i="25" a="1"/>
  <c r="V995" i="25"/>
  <c r="W995" i="25"/>
  <c r="AA995" i="25"/>
  <c r="X995" i="25"/>
  <c r="AC995" i="25"/>
  <c r="U996" i="25" a="1"/>
  <c r="U996" i="25"/>
  <c r="V996" i="25" a="1"/>
  <c r="V996" i="25"/>
  <c r="W996" i="25"/>
  <c r="AA996" i="25"/>
  <c r="X996" i="25"/>
  <c r="AC996" i="25"/>
  <c r="U997" i="25" a="1"/>
  <c r="U997" i="25"/>
  <c r="V997" i="25" a="1"/>
  <c r="V997" i="25"/>
  <c r="W997" i="25"/>
  <c r="AA997" i="25"/>
  <c r="X997" i="25"/>
  <c r="AC997" i="25"/>
  <c r="U998" i="25" a="1"/>
  <c r="U998" i="25"/>
  <c r="V998" i="25" a="1"/>
  <c r="V998" i="25"/>
  <c r="W998" i="25"/>
  <c r="AA998" i="25"/>
  <c r="X998" i="25"/>
  <c r="AC998" i="25"/>
  <c r="U999" i="25" a="1"/>
  <c r="U999" i="25"/>
  <c r="V999" i="25" a="1"/>
  <c r="V999" i="25"/>
  <c r="W999" i="25"/>
  <c r="AA999" i="25"/>
  <c r="X999" i="25"/>
  <c r="AC999" i="25"/>
  <c r="U1000" i="25" a="1"/>
  <c r="U1000" i="25"/>
  <c r="V1000" i="25" a="1"/>
  <c r="V1000" i="25"/>
  <c r="W1000" i="25"/>
  <c r="AA1000" i="25"/>
  <c r="X1000" i="25"/>
  <c r="AC1000" i="25"/>
  <c r="U1001" i="25" a="1"/>
  <c r="U1001" i="25"/>
  <c r="V1001" i="25" a="1"/>
  <c r="V1001" i="25"/>
  <c r="W1001" i="25"/>
  <c r="AA1001" i="25"/>
  <c r="X1001" i="25"/>
  <c r="AC1001" i="25"/>
  <c r="U1002" i="25" a="1"/>
  <c r="U1002" i="25"/>
  <c r="V1002" i="25" a="1"/>
  <c r="V1002" i="25"/>
  <c r="W1002" i="25"/>
  <c r="AA1002" i="25"/>
  <c r="X1002" i="25"/>
  <c r="AC1002" i="25"/>
  <c r="U1003" i="25" a="1"/>
  <c r="U1003" i="25"/>
  <c r="V1003" i="25" a="1"/>
  <c r="V1003" i="25"/>
  <c r="W1003" i="25"/>
  <c r="AA1003" i="25"/>
  <c r="X1003" i="25"/>
  <c r="AC1003" i="25"/>
  <c r="U1004" i="25" a="1"/>
  <c r="U1004" i="25"/>
  <c r="V1004" i="25" a="1"/>
  <c r="V1004" i="25"/>
  <c r="W1004" i="25"/>
  <c r="AA1004" i="25"/>
  <c r="X1004" i="25"/>
  <c r="AC1004" i="25"/>
  <c r="U1005" i="25" a="1"/>
  <c r="U1005" i="25"/>
  <c r="V1005" i="25" a="1"/>
  <c r="V1005" i="25"/>
  <c r="W1005" i="25"/>
  <c r="AA1005" i="25"/>
  <c r="X1005" i="25"/>
  <c r="AC1005" i="25"/>
  <c r="U1006" i="25" a="1"/>
  <c r="U1006" i="25"/>
  <c r="V1006" i="25" a="1"/>
  <c r="V1006" i="25"/>
  <c r="W1006" i="25"/>
  <c r="AA1006" i="25"/>
  <c r="X1006" i="25"/>
  <c r="AC1006" i="25"/>
  <c r="U1007" i="25" a="1"/>
  <c r="U1007" i="25"/>
  <c r="V1007" i="25" a="1"/>
  <c r="V1007" i="25"/>
  <c r="W1007" i="25"/>
  <c r="AA1007" i="25"/>
  <c r="X1007" i="25"/>
  <c r="AC1007" i="25"/>
  <c r="U1008" i="25" a="1"/>
  <c r="U1008" i="25"/>
  <c r="V1008" i="25" a="1"/>
  <c r="V1008" i="25"/>
  <c r="W1008" i="25"/>
  <c r="AA1008" i="25"/>
  <c r="X1008" i="25"/>
  <c r="AC1008" i="25"/>
  <c r="U1009" i="25" a="1"/>
  <c r="U1009" i="25"/>
  <c r="V1009" i="25" a="1"/>
  <c r="V1009" i="25"/>
  <c r="W1009" i="25"/>
  <c r="AA1009" i="25"/>
  <c r="X1009" i="25"/>
  <c r="AC1009" i="25"/>
  <c r="U1010" i="25" a="1"/>
  <c r="U1010" i="25"/>
  <c r="V1010" i="25" a="1"/>
  <c r="V1010" i="25"/>
  <c r="W1010" i="25"/>
  <c r="AA1010" i="25"/>
  <c r="X1010" i="25"/>
  <c r="AC1010" i="25"/>
  <c r="U1011" i="25" a="1"/>
  <c r="U1011" i="25"/>
  <c r="V1011" i="25" a="1"/>
  <c r="V1011" i="25"/>
  <c r="W1011" i="25"/>
  <c r="AA1011" i="25"/>
  <c r="X1011" i="25"/>
  <c r="AC1011" i="25"/>
  <c r="U1012" i="25" a="1"/>
  <c r="U1012" i="25"/>
  <c r="V1012" i="25" a="1"/>
  <c r="V1012" i="25"/>
  <c r="W1012" i="25"/>
  <c r="AA1012" i="25"/>
  <c r="X1012" i="25"/>
  <c r="AC1012" i="25"/>
  <c r="U1013" i="25" a="1"/>
  <c r="U1013" i="25"/>
  <c r="V1013" i="25" a="1"/>
  <c r="V1013" i="25"/>
  <c r="W1013" i="25"/>
  <c r="AA1013" i="25"/>
  <c r="X1013" i="25"/>
  <c r="AC1013" i="25"/>
  <c r="U1014" i="25" a="1"/>
  <c r="U1014" i="25"/>
  <c r="V1014" i="25" a="1"/>
  <c r="V1014" i="25"/>
  <c r="W1014" i="25"/>
  <c r="AA1014" i="25"/>
  <c r="X1014" i="25"/>
  <c r="AC1014" i="25"/>
  <c r="U1015" i="25" a="1"/>
  <c r="U1015" i="25"/>
  <c r="V1015" i="25" a="1"/>
  <c r="V1015" i="25"/>
  <c r="W1015" i="25"/>
  <c r="AA1015" i="25"/>
  <c r="X1015" i="25"/>
  <c r="AC1015" i="25"/>
  <c r="U1016" i="25" a="1"/>
  <c r="U1016" i="25"/>
  <c r="V1016" i="25" a="1"/>
  <c r="V1016" i="25"/>
  <c r="W1016" i="25"/>
  <c r="AA1016" i="25"/>
  <c r="X1016" i="25"/>
  <c r="AC1016" i="25"/>
  <c r="U1017" i="25" a="1"/>
  <c r="U1017" i="25"/>
  <c r="V1017" i="25" a="1"/>
  <c r="V1017" i="25"/>
  <c r="W1017" i="25"/>
  <c r="AA1017" i="25"/>
  <c r="X1017" i="25"/>
  <c r="AC1017" i="25"/>
  <c r="U1018" i="25" a="1"/>
  <c r="U1018" i="25"/>
  <c r="V1018" i="25" a="1"/>
  <c r="V1018" i="25"/>
  <c r="W1018" i="25"/>
  <c r="AA1018" i="25"/>
  <c r="X1018" i="25"/>
  <c r="AC1018" i="25"/>
  <c r="U1019" i="25" a="1"/>
  <c r="U1019" i="25"/>
  <c r="V1019" i="25" a="1"/>
  <c r="V1019" i="25"/>
  <c r="W1019" i="25"/>
  <c r="AA1019" i="25"/>
  <c r="X1019" i="25"/>
  <c r="AC1019" i="25"/>
  <c r="U1020" i="25" a="1"/>
  <c r="U1020" i="25"/>
  <c r="V1020" i="25" a="1"/>
  <c r="V1020" i="25"/>
  <c r="W1020" i="25"/>
  <c r="AA1020" i="25"/>
  <c r="X1020" i="25"/>
  <c r="AC1020" i="25"/>
  <c r="U1021" i="25" a="1"/>
  <c r="U1021" i="25"/>
  <c r="V1021" i="25" a="1"/>
  <c r="V1021" i="25"/>
  <c r="W1021" i="25"/>
  <c r="AA1021" i="25"/>
  <c r="X1021" i="25"/>
  <c r="AC1021" i="25"/>
  <c r="U1022" i="25" a="1"/>
  <c r="U1022" i="25"/>
  <c r="V1022" i="25" a="1"/>
  <c r="V1022" i="25"/>
  <c r="W1022" i="25"/>
  <c r="AA1022" i="25"/>
  <c r="X1022" i="25"/>
  <c r="AC1022" i="25"/>
  <c r="U1023" i="25" a="1"/>
  <c r="U1023" i="25"/>
  <c r="V1023" i="25" a="1"/>
  <c r="V1023" i="25"/>
  <c r="W1023" i="25"/>
  <c r="AA1023" i="25"/>
  <c r="X1023" i="25"/>
  <c r="AC1023" i="25"/>
  <c r="U1024" i="25" a="1"/>
  <c r="U1024" i="25"/>
  <c r="V1024" i="25" a="1"/>
  <c r="V1024" i="25"/>
  <c r="W1024" i="25"/>
  <c r="AA1024" i="25"/>
  <c r="X1024" i="25"/>
  <c r="AC1024" i="25"/>
  <c r="U1025" i="25" a="1"/>
  <c r="U1025" i="25"/>
  <c r="V1025" i="25" a="1"/>
  <c r="V1025" i="25"/>
  <c r="W1025" i="25"/>
  <c r="AA1025" i="25"/>
  <c r="X1025" i="25"/>
  <c r="AC1025" i="25"/>
  <c r="U1026" i="25" a="1"/>
  <c r="U1026" i="25"/>
  <c r="V1026" i="25" a="1"/>
  <c r="V1026" i="25"/>
  <c r="W1026" i="25"/>
  <c r="AA1026" i="25"/>
  <c r="X1026" i="25"/>
  <c r="AC1026" i="25"/>
  <c r="U1027" i="25" a="1"/>
  <c r="U1027" i="25"/>
  <c r="V1027" i="25" a="1"/>
  <c r="V1027" i="25"/>
  <c r="W1027" i="25"/>
  <c r="AA1027" i="25"/>
  <c r="X1027" i="25"/>
  <c r="AC1027" i="25"/>
  <c r="U1028" i="25" a="1"/>
  <c r="U1028" i="25"/>
  <c r="V1028" i="25" a="1"/>
  <c r="V1028" i="25"/>
  <c r="W1028" i="25"/>
  <c r="AA1028" i="25"/>
  <c r="X1028" i="25"/>
  <c r="AC1028" i="25"/>
  <c r="U1029" i="25" a="1"/>
  <c r="U1029" i="25"/>
  <c r="V1029" i="25" a="1"/>
  <c r="V1029" i="25"/>
  <c r="W1029" i="25"/>
  <c r="AA1029" i="25"/>
  <c r="X1029" i="25"/>
  <c r="AC1029" i="25"/>
  <c r="U1030" i="25" a="1"/>
  <c r="U1030" i="25"/>
  <c r="V1030" i="25" a="1"/>
  <c r="V1030" i="25"/>
  <c r="W1030" i="25"/>
  <c r="AA1030" i="25"/>
  <c r="X1030" i="25"/>
  <c r="AC1030" i="25"/>
  <c r="U1031" i="25" a="1"/>
  <c r="U1031" i="25"/>
  <c r="V1031" i="25" a="1"/>
  <c r="V1031" i="25"/>
  <c r="W1031" i="25"/>
  <c r="AA1031" i="25"/>
  <c r="X1031" i="25"/>
  <c r="AC1031" i="25"/>
  <c r="U1032" i="25" a="1"/>
  <c r="U1032" i="25"/>
  <c r="V1032" i="25" a="1"/>
  <c r="V1032" i="25"/>
  <c r="W1032" i="25"/>
  <c r="AA1032" i="25"/>
  <c r="X1032" i="25"/>
  <c r="AC1032" i="25"/>
  <c r="U1033" i="25" a="1"/>
  <c r="U1033" i="25"/>
  <c r="V1033" i="25" a="1"/>
  <c r="V1033" i="25"/>
  <c r="W1033" i="25"/>
  <c r="AA1033" i="25"/>
  <c r="X1033" i="25"/>
  <c r="AC1033" i="25"/>
  <c r="U1034" i="25" a="1"/>
  <c r="U1034" i="25"/>
  <c r="V1034" i="25" a="1"/>
  <c r="V1034" i="25"/>
  <c r="W1034" i="25"/>
  <c r="AA1034" i="25"/>
  <c r="X1034" i="25"/>
  <c r="AC1034" i="25"/>
  <c r="U1035" i="25" a="1"/>
  <c r="U1035" i="25"/>
  <c r="V1035" i="25" a="1"/>
  <c r="V1035" i="25"/>
  <c r="W1035" i="25"/>
  <c r="AA1035" i="25"/>
  <c r="X1035" i="25"/>
  <c r="AC1035" i="25"/>
  <c r="U1036" i="25" a="1"/>
  <c r="U1036" i="25"/>
  <c r="V1036" i="25" a="1"/>
  <c r="V1036" i="25"/>
  <c r="W1036" i="25"/>
  <c r="AA1036" i="25"/>
  <c r="X1036" i="25"/>
  <c r="AC1036" i="25"/>
  <c r="U1037" i="25" a="1"/>
  <c r="U1037" i="25"/>
  <c r="V1037" i="25" a="1"/>
  <c r="V1037" i="25"/>
  <c r="W1037" i="25"/>
  <c r="AA1037" i="25"/>
  <c r="X1037" i="25"/>
  <c r="AC1037" i="25"/>
  <c r="U1038" i="25" a="1"/>
  <c r="U1038" i="25"/>
  <c r="V1038" i="25" a="1"/>
  <c r="V1038" i="25"/>
  <c r="W1038" i="25"/>
  <c r="AA1038" i="25"/>
  <c r="X1038" i="25"/>
  <c r="AC1038" i="25"/>
  <c r="U1039" i="25" a="1"/>
  <c r="U1039" i="25"/>
  <c r="V1039" i="25" a="1"/>
  <c r="V1039" i="25"/>
  <c r="W1039" i="25"/>
  <c r="AA1039" i="25"/>
  <c r="X1039" i="25"/>
  <c r="AC1039" i="25"/>
  <c r="U1040" i="25" a="1"/>
  <c r="U1040" i="25"/>
  <c r="V1040" i="25" a="1"/>
  <c r="V1040" i="25"/>
  <c r="W1040" i="25"/>
  <c r="AA1040" i="25"/>
  <c r="X1040" i="25"/>
  <c r="AC1040" i="25"/>
  <c r="U1041" i="25" a="1"/>
  <c r="U1041" i="25"/>
  <c r="V1041" i="25" a="1"/>
  <c r="V1041" i="25"/>
  <c r="W1041" i="25"/>
  <c r="AA1041" i="25"/>
  <c r="X1041" i="25"/>
  <c r="AC1041" i="25"/>
  <c r="U1042" i="25" a="1"/>
  <c r="U1042" i="25"/>
  <c r="V1042" i="25" a="1"/>
  <c r="V1042" i="25"/>
  <c r="W1042" i="25"/>
  <c r="AA1042" i="25"/>
  <c r="X1042" i="25"/>
  <c r="AC1042" i="25"/>
  <c r="U1043" i="25" a="1"/>
  <c r="U1043" i="25"/>
  <c r="V1043" i="25" a="1"/>
  <c r="V1043" i="25"/>
  <c r="W1043" i="25"/>
  <c r="AA1043" i="25"/>
  <c r="X1043" i="25"/>
  <c r="AC1043" i="25"/>
  <c r="U1044" i="25" a="1"/>
  <c r="U1044" i="25"/>
  <c r="V1044" i="25" a="1"/>
  <c r="V1044" i="25"/>
  <c r="W1044" i="25"/>
  <c r="AA1044" i="25"/>
  <c r="X1044" i="25"/>
  <c r="AC1044" i="25"/>
  <c r="U1045" i="25" a="1"/>
  <c r="U1045" i="25"/>
  <c r="V1045" i="25" a="1"/>
  <c r="V1045" i="25"/>
  <c r="W1045" i="25"/>
  <c r="AA1045" i="25"/>
  <c r="X1045" i="25"/>
  <c r="AC1045" i="25"/>
  <c r="U1046" i="25" a="1"/>
  <c r="U1046" i="25"/>
  <c r="V1046" i="25" a="1"/>
  <c r="V1046" i="25"/>
  <c r="W1046" i="25"/>
  <c r="AA1046" i="25"/>
  <c r="X1046" i="25"/>
  <c r="AC1046" i="25"/>
  <c r="U1047" i="25" a="1"/>
  <c r="U1047" i="25"/>
  <c r="V1047" i="25" a="1"/>
  <c r="V1047" i="25"/>
  <c r="W1047" i="25"/>
  <c r="AA1047" i="25"/>
  <c r="X1047" i="25"/>
  <c r="AC1047" i="25"/>
  <c r="U1048" i="25" a="1"/>
  <c r="U1048" i="25"/>
  <c r="V1048" i="25" a="1"/>
  <c r="V1048" i="25"/>
  <c r="W1048" i="25"/>
  <c r="AA1048" i="25"/>
  <c r="X1048" i="25"/>
  <c r="AC1048" i="25"/>
  <c r="U1049" i="25" a="1"/>
  <c r="U1049" i="25"/>
  <c r="V1049" i="25" a="1"/>
  <c r="V1049" i="25"/>
  <c r="W1049" i="25"/>
  <c r="AA1049" i="25"/>
  <c r="X1049" i="25"/>
  <c r="AC1049" i="25"/>
  <c r="U1050" i="25" a="1"/>
  <c r="U1050" i="25"/>
  <c r="V1050" i="25" a="1"/>
  <c r="V1050" i="25"/>
  <c r="W1050" i="25"/>
  <c r="AA1050" i="25"/>
  <c r="X1050" i="25"/>
  <c r="AC1050" i="25"/>
  <c r="U1051" i="25" a="1"/>
  <c r="U1051" i="25"/>
  <c r="V1051" i="25" a="1"/>
  <c r="V1051" i="25"/>
  <c r="W1051" i="25"/>
  <c r="AA1051" i="25"/>
  <c r="X1051" i="25"/>
  <c r="AC1051" i="25"/>
  <c r="U1052" i="25" a="1"/>
  <c r="U1052" i="25"/>
  <c r="V1052" i="25" a="1"/>
  <c r="V1052" i="25"/>
  <c r="W1052" i="25"/>
  <c r="AA1052" i="25"/>
  <c r="X1052" i="25"/>
  <c r="AC1052" i="25"/>
  <c r="U1053" i="25" a="1"/>
  <c r="U1053" i="25"/>
  <c r="V1053" i="25" a="1"/>
  <c r="V1053" i="25"/>
  <c r="W1053" i="25"/>
  <c r="AA1053" i="25"/>
  <c r="X1053" i="25"/>
  <c r="AC1053" i="25"/>
  <c r="U1054" i="25" a="1"/>
  <c r="U1054" i="25"/>
  <c r="V1054" i="25" a="1"/>
  <c r="V1054" i="25"/>
  <c r="W1054" i="25"/>
  <c r="AA1054" i="25"/>
  <c r="X1054" i="25"/>
  <c r="AC1054" i="25"/>
  <c r="U1055" i="25" a="1"/>
  <c r="U1055" i="25"/>
  <c r="V1055" i="25" a="1"/>
  <c r="V1055" i="25"/>
  <c r="W1055" i="25"/>
  <c r="AA1055" i="25"/>
  <c r="X1055" i="25"/>
  <c r="AC1055" i="25"/>
  <c r="U1056" i="25" a="1"/>
  <c r="U1056" i="25"/>
  <c r="V1056" i="25" a="1"/>
  <c r="V1056" i="25"/>
  <c r="W1056" i="25"/>
  <c r="AA1056" i="25"/>
  <c r="X1056" i="25"/>
  <c r="AC1056" i="25"/>
  <c r="U1057" i="25" a="1"/>
  <c r="U1057" i="25"/>
  <c r="V1057" i="25" a="1"/>
  <c r="V1057" i="25"/>
  <c r="W1057" i="25"/>
  <c r="AA1057" i="25"/>
  <c r="X1057" i="25"/>
  <c r="AC1057" i="25"/>
  <c r="U1058" i="25" a="1"/>
  <c r="U1058" i="25"/>
  <c r="V1058" i="25" a="1"/>
  <c r="V1058" i="25"/>
  <c r="W1058" i="25"/>
  <c r="AA1058" i="25"/>
  <c r="X1058" i="25"/>
  <c r="AC1058" i="25"/>
  <c r="U1059" i="25" a="1"/>
  <c r="U1059" i="25"/>
  <c r="V1059" i="25" a="1"/>
  <c r="V1059" i="25"/>
  <c r="W1059" i="25"/>
  <c r="AA1059" i="25"/>
  <c r="X1059" i="25"/>
  <c r="AC1059" i="25"/>
  <c r="U1060" i="25" a="1"/>
  <c r="U1060" i="25"/>
  <c r="V1060" i="25" a="1"/>
  <c r="V1060" i="25"/>
  <c r="W1060" i="25"/>
  <c r="AA1060" i="25"/>
  <c r="X1060" i="25"/>
  <c r="AC1060" i="25"/>
  <c r="U1061" i="25" a="1"/>
  <c r="U1061" i="25"/>
  <c r="V1061" i="25" a="1"/>
  <c r="V1061" i="25"/>
  <c r="W1061" i="25"/>
  <c r="AA1061" i="25"/>
  <c r="X1061" i="25"/>
  <c r="AC1061" i="25"/>
  <c r="U1062" i="25" a="1"/>
  <c r="U1062" i="25"/>
  <c r="V1062" i="25" a="1"/>
  <c r="V1062" i="25"/>
  <c r="W1062" i="25"/>
  <c r="AA1062" i="25"/>
  <c r="X1062" i="25"/>
  <c r="AC1062" i="25"/>
  <c r="U1063" i="25" a="1"/>
  <c r="U1063" i="25"/>
  <c r="V1063" i="25" a="1"/>
  <c r="V1063" i="25"/>
  <c r="W1063" i="25"/>
  <c r="AA1063" i="25"/>
  <c r="X1063" i="25"/>
  <c r="AC1063" i="25"/>
  <c r="U1064" i="25" a="1"/>
  <c r="U1064" i="25"/>
  <c r="V1064" i="25" a="1"/>
  <c r="V1064" i="25"/>
  <c r="W1064" i="25"/>
  <c r="AA1064" i="25"/>
  <c r="X1064" i="25"/>
  <c r="AC1064" i="25"/>
  <c r="U1065" i="25" a="1"/>
  <c r="U1065" i="25"/>
  <c r="V1065" i="25" a="1"/>
  <c r="V1065" i="25"/>
  <c r="W1065" i="25"/>
  <c r="AA1065" i="25"/>
  <c r="X1065" i="25"/>
  <c r="AC1065" i="25"/>
  <c r="U1066" i="25" a="1"/>
  <c r="U1066" i="25"/>
  <c r="V1066" i="25" a="1"/>
  <c r="V1066" i="25"/>
  <c r="W1066" i="25"/>
  <c r="AA1066" i="25"/>
  <c r="X1066" i="25"/>
  <c r="AC1066" i="25"/>
  <c r="U1067" i="25" a="1"/>
  <c r="U1067" i="25"/>
  <c r="V1067" i="25" a="1"/>
  <c r="V1067" i="25"/>
  <c r="W1067" i="25"/>
  <c r="AA1067" i="25"/>
  <c r="X1067" i="25"/>
  <c r="AC1067" i="25"/>
  <c r="U1068" i="25" a="1"/>
  <c r="U1068" i="25"/>
  <c r="V1068" i="25" a="1"/>
  <c r="V1068" i="25"/>
  <c r="W1068" i="25"/>
  <c r="AA1068" i="25"/>
  <c r="X1068" i="25"/>
  <c r="AC1068" i="25"/>
  <c r="U1069" i="25" a="1"/>
  <c r="U1069" i="25"/>
  <c r="V1069" i="25" a="1"/>
  <c r="V1069" i="25"/>
  <c r="W1069" i="25"/>
  <c r="AA1069" i="25"/>
  <c r="X1069" i="25"/>
  <c r="AC1069" i="25"/>
  <c r="U1070" i="25" a="1"/>
  <c r="U1070" i="25"/>
  <c r="V1070" i="25" a="1"/>
  <c r="V1070" i="25"/>
  <c r="W1070" i="25"/>
  <c r="AA1070" i="25"/>
  <c r="X1070" i="25"/>
  <c r="AC1070" i="25"/>
  <c r="U1071" i="25" a="1"/>
  <c r="U1071" i="25"/>
  <c r="V1071" i="25" a="1"/>
  <c r="V1071" i="25"/>
  <c r="W1071" i="25"/>
  <c r="AA1071" i="25"/>
  <c r="X1071" i="25"/>
  <c r="AC1071" i="25"/>
  <c r="U1072" i="25" a="1"/>
  <c r="U1072" i="25"/>
  <c r="V1072" i="25" a="1"/>
  <c r="V1072" i="25"/>
  <c r="W1072" i="25"/>
  <c r="AA1072" i="25"/>
  <c r="X1072" i="25"/>
  <c r="AC1072" i="25"/>
  <c r="U1073" i="25" a="1"/>
  <c r="U1073" i="25"/>
  <c r="V1073" i="25" a="1"/>
  <c r="V1073" i="25"/>
  <c r="W1073" i="25"/>
  <c r="AA1073" i="25"/>
  <c r="X1073" i="25"/>
  <c r="AC1073" i="25"/>
  <c r="U1074" i="25" a="1"/>
  <c r="U1074" i="25"/>
  <c r="V1074" i="25" a="1"/>
  <c r="V1074" i="25"/>
  <c r="W1074" i="25"/>
  <c r="AA1074" i="25"/>
  <c r="X1074" i="25"/>
  <c r="AC1074" i="25"/>
  <c r="U1075" i="25" a="1"/>
  <c r="U1075" i="25"/>
  <c r="V1075" i="25" a="1"/>
  <c r="V1075" i="25"/>
  <c r="W1075" i="25"/>
  <c r="AA1075" i="25"/>
  <c r="X1075" i="25"/>
  <c r="AC1075" i="25"/>
  <c r="U1076" i="25" a="1"/>
  <c r="U1076" i="25"/>
  <c r="V1076" i="25" a="1"/>
  <c r="V1076" i="25"/>
  <c r="W1076" i="25"/>
  <c r="AA1076" i="25"/>
  <c r="X1076" i="25"/>
  <c r="AC1076" i="25"/>
  <c r="U1077" i="25" a="1"/>
  <c r="U1077" i="25"/>
  <c r="V1077" i="25" a="1"/>
  <c r="V1077" i="25"/>
  <c r="W1077" i="25"/>
  <c r="AA1077" i="25"/>
  <c r="X1077" i="25"/>
  <c r="AC1077" i="25"/>
  <c r="U1078" i="25" a="1"/>
  <c r="U1078" i="25"/>
  <c r="V1078" i="25" a="1"/>
  <c r="V1078" i="25"/>
  <c r="W1078" i="25"/>
  <c r="AA1078" i="25"/>
  <c r="X1078" i="25"/>
  <c r="AC1078" i="25"/>
  <c r="U1079" i="25" a="1"/>
  <c r="U1079" i="25"/>
  <c r="V1079" i="25" a="1"/>
  <c r="V1079" i="25"/>
  <c r="W1079" i="25"/>
  <c r="AA1079" i="25"/>
  <c r="X1079" i="25"/>
  <c r="AC1079" i="25"/>
  <c r="U1080" i="25" a="1"/>
  <c r="U1080" i="25"/>
  <c r="V1080" i="25" a="1"/>
  <c r="V1080" i="25"/>
  <c r="W1080" i="25"/>
  <c r="AA1080" i="25"/>
  <c r="X1080" i="25"/>
  <c r="AC1080" i="25"/>
  <c r="U1081" i="25" a="1"/>
  <c r="U1081" i="25"/>
  <c r="V1081" i="25" a="1"/>
  <c r="V1081" i="25"/>
  <c r="W1081" i="25"/>
  <c r="AA1081" i="25"/>
  <c r="X1081" i="25"/>
  <c r="AC1081" i="25"/>
  <c r="U1082" i="25" a="1"/>
  <c r="U1082" i="25"/>
  <c r="V1082" i="25" a="1"/>
  <c r="V1082" i="25"/>
  <c r="W1082" i="25"/>
  <c r="AA1082" i="25"/>
  <c r="X1082" i="25"/>
  <c r="AC1082" i="25"/>
  <c r="U1083" i="25" a="1"/>
  <c r="U1083" i="25"/>
  <c r="V1083" i="25" a="1"/>
  <c r="V1083" i="25"/>
  <c r="W1083" i="25"/>
  <c r="AA1083" i="25"/>
  <c r="X1083" i="25"/>
  <c r="AC1083" i="25"/>
  <c r="U1084" i="25" a="1"/>
  <c r="U1084" i="25"/>
  <c r="V1084" i="25" a="1"/>
  <c r="V1084" i="25"/>
  <c r="W1084" i="25"/>
  <c r="AA1084" i="25"/>
  <c r="X1084" i="25"/>
  <c r="AC1084" i="25"/>
  <c r="U1085" i="25" a="1"/>
  <c r="U1085" i="25"/>
  <c r="V1085" i="25" a="1"/>
  <c r="V1085" i="25"/>
  <c r="W1085" i="25"/>
  <c r="AA1085" i="25"/>
  <c r="X1085" i="25"/>
  <c r="AC1085" i="25"/>
  <c r="U1086" i="25" a="1"/>
  <c r="U1086" i="25"/>
  <c r="V1086" i="25" a="1"/>
  <c r="V1086" i="25"/>
  <c r="W1086" i="25"/>
  <c r="AA1086" i="25"/>
  <c r="X1086" i="25"/>
  <c r="AC1086" i="25"/>
  <c r="U1087" i="25" a="1"/>
  <c r="U1087" i="25"/>
  <c r="V1087" i="25" a="1"/>
  <c r="V1087" i="25"/>
  <c r="W1087" i="25"/>
  <c r="AA1087" i="25"/>
  <c r="X1087" i="25"/>
  <c r="AC1087" i="25"/>
  <c r="U1088" i="25" a="1"/>
  <c r="U1088" i="25"/>
  <c r="V1088" i="25" a="1"/>
  <c r="V1088" i="25"/>
  <c r="W1088" i="25"/>
  <c r="AA1088" i="25"/>
  <c r="X1088" i="25"/>
  <c r="AC1088" i="25"/>
  <c r="U1089" i="25" a="1"/>
  <c r="U1089" i="25"/>
  <c r="V1089" i="25" a="1"/>
  <c r="V1089" i="25"/>
  <c r="W1089" i="25"/>
  <c r="AA1089" i="25"/>
  <c r="X1089" i="25"/>
  <c r="AC1089" i="25"/>
  <c r="U1090" i="25" a="1"/>
  <c r="U1090" i="25"/>
  <c r="V1090" i="25" a="1"/>
  <c r="V1090" i="25"/>
  <c r="W1090" i="25"/>
  <c r="AA1090" i="25"/>
  <c r="X1090" i="25"/>
  <c r="AC1090" i="25"/>
  <c r="U1091" i="25" a="1"/>
  <c r="U1091" i="25"/>
  <c r="V1091" i="25" a="1"/>
  <c r="V1091" i="25"/>
  <c r="W1091" i="25"/>
  <c r="AA1091" i="25"/>
  <c r="X1091" i="25"/>
  <c r="AC1091" i="25"/>
  <c r="U1092" i="25" a="1"/>
  <c r="U1092" i="25"/>
  <c r="V1092" i="25" a="1"/>
  <c r="V1092" i="25"/>
  <c r="W1092" i="25"/>
  <c r="AA1092" i="25"/>
  <c r="X1092" i="25"/>
  <c r="AC1092" i="25"/>
  <c r="U1093" i="25" a="1"/>
  <c r="U1093" i="25"/>
  <c r="V1093" i="25" a="1"/>
  <c r="V1093" i="25"/>
  <c r="W1093" i="25"/>
  <c r="AA1093" i="25"/>
  <c r="X1093" i="25"/>
  <c r="AC1093" i="25"/>
  <c r="U1094" i="25" a="1"/>
  <c r="U1094" i="25"/>
  <c r="V1094" i="25" a="1"/>
  <c r="V1094" i="25"/>
  <c r="W1094" i="25"/>
  <c r="AA1094" i="25"/>
  <c r="X1094" i="25"/>
  <c r="AC1094" i="25"/>
  <c r="U1095" i="25" a="1"/>
  <c r="U1095" i="25"/>
  <c r="V1095" i="25" a="1"/>
  <c r="V1095" i="25"/>
  <c r="W1095" i="25"/>
  <c r="AA1095" i="25"/>
  <c r="X1095" i="25"/>
  <c r="AC1095" i="25"/>
  <c r="U1096" i="25" a="1"/>
  <c r="U1096" i="25"/>
  <c r="V1096" i="25" a="1"/>
  <c r="V1096" i="25"/>
  <c r="W1096" i="25"/>
  <c r="AA1096" i="25"/>
  <c r="X1096" i="25"/>
  <c r="AC1096" i="25"/>
  <c r="U1097" i="25" a="1"/>
  <c r="U1097" i="25"/>
  <c r="V1097" i="25" a="1"/>
  <c r="V1097" i="25"/>
  <c r="W1097" i="25"/>
  <c r="AA1097" i="25"/>
  <c r="X1097" i="25"/>
  <c r="AC1097" i="25"/>
  <c r="U1098" i="25" a="1"/>
  <c r="U1098" i="25"/>
  <c r="V1098" i="25" a="1"/>
  <c r="V1098" i="25"/>
  <c r="W1098" i="25"/>
  <c r="AA1098" i="25"/>
  <c r="X1098" i="25"/>
  <c r="AC1098" i="25"/>
  <c r="U1099" i="25" a="1"/>
  <c r="U1099" i="25"/>
  <c r="V1099" i="25" a="1"/>
  <c r="V1099" i="25"/>
  <c r="W1099" i="25"/>
  <c r="AA1099" i="25"/>
  <c r="X1099" i="25"/>
  <c r="AC1099" i="25"/>
  <c r="U1100" i="25" a="1"/>
  <c r="U1100" i="25"/>
  <c r="V1100" i="25" a="1"/>
  <c r="V1100" i="25"/>
  <c r="W1100" i="25"/>
  <c r="AA1100" i="25"/>
  <c r="X1100" i="25"/>
  <c r="AC1100" i="25"/>
  <c r="U1101" i="25" a="1"/>
  <c r="U1101" i="25"/>
  <c r="V1101" i="25" a="1"/>
  <c r="V1101" i="25"/>
  <c r="W1101" i="25"/>
  <c r="AA1101" i="25"/>
  <c r="X1101" i="25"/>
  <c r="AC1101" i="25"/>
  <c r="U1102" i="25" a="1"/>
  <c r="U1102" i="25"/>
  <c r="V1102" i="25" a="1"/>
  <c r="V1102" i="25"/>
  <c r="W1102" i="25"/>
  <c r="AA1102" i="25"/>
  <c r="X1102" i="25"/>
  <c r="AC1102" i="25"/>
  <c r="U1103" i="25" a="1"/>
  <c r="U1103" i="25"/>
  <c r="V1103" i="25" a="1"/>
  <c r="V1103" i="25"/>
  <c r="W1103" i="25"/>
  <c r="AA1103" i="25"/>
  <c r="X1103" i="25"/>
  <c r="AC1103" i="25"/>
  <c r="U1104" i="25" a="1"/>
  <c r="U1104" i="25"/>
  <c r="V1104" i="25" a="1"/>
  <c r="V1104" i="25"/>
  <c r="W1104" i="25"/>
  <c r="AA1104" i="25"/>
  <c r="X1104" i="25"/>
  <c r="AC1104" i="25"/>
  <c r="U1105" i="25" a="1"/>
  <c r="U1105" i="25"/>
  <c r="V1105" i="25" a="1"/>
  <c r="V1105" i="25"/>
  <c r="W1105" i="25"/>
  <c r="AA1105" i="25"/>
  <c r="X1105" i="25"/>
  <c r="AC1105" i="25"/>
  <c r="U1106" i="25" a="1"/>
  <c r="U1106" i="25"/>
  <c r="V1106" i="25" a="1"/>
  <c r="V1106" i="25"/>
  <c r="W1106" i="25"/>
  <c r="AA1106" i="25"/>
  <c r="X1106" i="25"/>
  <c r="AC1106" i="25"/>
  <c r="U1107" i="25" a="1"/>
  <c r="U1107" i="25"/>
  <c r="V1107" i="25" a="1"/>
  <c r="V1107" i="25"/>
  <c r="W1107" i="25"/>
  <c r="AA1107" i="25"/>
  <c r="X1107" i="25"/>
  <c r="AC1107" i="25"/>
  <c r="U1108" i="25" a="1"/>
  <c r="U1108" i="25"/>
  <c r="V1108" i="25" a="1"/>
  <c r="V1108" i="25"/>
  <c r="W1108" i="25"/>
  <c r="AA1108" i="25"/>
  <c r="X1108" i="25"/>
  <c r="AC1108" i="25"/>
  <c r="U1109" i="25" a="1"/>
  <c r="U1109" i="25"/>
  <c r="V1109" i="25" a="1"/>
  <c r="V1109" i="25"/>
  <c r="W1109" i="25"/>
  <c r="AA1109" i="25"/>
  <c r="X1109" i="25"/>
  <c r="AC1109" i="25"/>
  <c r="U1110" i="25" a="1"/>
  <c r="U1110" i="25"/>
  <c r="V1110" i="25" a="1"/>
  <c r="V1110" i="25"/>
  <c r="W1110" i="25"/>
  <c r="AA1110" i="25"/>
  <c r="X1110" i="25"/>
  <c r="AC1110" i="25"/>
  <c r="U1111" i="25" a="1"/>
  <c r="U1111" i="25"/>
  <c r="V1111" i="25" a="1"/>
  <c r="V1111" i="25"/>
  <c r="W1111" i="25"/>
  <c r="AA1111" i="25"/>
  <c r="X1111" i="25"/>
  <c r="AC1111" i="25"/>
  <c r="U1112" i="25" a="1"/>
  <c r="U1112" i="25"/>
  <c r="V1112" i="25" a="1"/>
  <c r="V1112" i="25"/>
  <c r="W1112" i="25"/>
  <c r="AA1112" i="25"/>
  <c r="X1112" i="25"/>
  <c r="AC1112" i="25"/>
  <c r="U1113" i="25" a="1"/>
  <c r="U1113" i="25"/>
  <c r="V1113" i="25" a="1"/>
  <c r="V1113" i="25"/>
  <c r="W1113" i="25"/>
  <c r="AA1113" i="25"/>
  <c r="X1113" i="25"/>
  <c r="AC1113" i="25"/>
  <c r="U1114" i="25" a="1"/>
  <c r="U1114" i="25"/>
  <c r="V1114" i="25" a="1"/>
  <c r="V1114" i="25"/>
  <c r="W1114" i="25"/>
  <c r="AA1114" i="25"/>
  <c r="X1114" i="25"/>
  <c r="AC1114" i="25"/>
  <c r="U1115" i="25" a="1"/>
  <c r="U1115" i="25"/>
  <c r="V1115" i="25" a="1"/>
  <c r="V1115" i="25"/>
  <c r="W1115" i="25"/>
  <c r="AA1115" i="25"/>
  <c r="X1115" i="25"/>
  <c r="AC1115" i="25"/>
  <c r="U1116" i="25" a="1"/>
  <c r="U1116" i="25"/>
  <c r="V1116" i="25" a="1"/>
  <c r="V1116" i="25"/>
  <c r="W1116" i="25"/>
  <c r="AA1116" i="25"/>
  <c r="X1116" i="25"/>
  <c r="AC1116" i="25"/>
  <c r="U1117" i="25" a="1"/>
  <c r="U1117" i="25"/>
  <c r="V1117" i="25" a="1"/>
  <c r="V1117" i="25"/>
  <c r="W1117" i="25"/>
  <c r="AA1117" i="25"/>
  <c r="X1117" i="25"/>
  <c r="AC1117" i="25"/>
  <c r="U1118" i="25" a="1"/>
  <c r="U1118" i="25"/>
  <c r="V1118" i="25" a="1"/>
  <c r="V1118" i="25"/>
  <c r="W1118" i="25"/>
  <c r="AA1118" i="25"/>
  <c r="X1118" i="25"/>
  <c r="AC1118" i="25"/>
  <c r="U1119" i="25" a="1"/>
  <c r="U1119" i="25"/>
  <c r="V1119" i="25" a="1"/>
  <c r="V1119" i="25"/>
  <c r="W1119" i="25"/>
  <c r="AA1119" i="25"/>
  <c r="X1119" i="25"/>
  <c r="AC1119" i="25"/>
  <c r="U1120" i="25" a="1"/>
  <c r="U1120" i="25"/>
  <c r="V1120" i="25" a="1"/>
  <c r="V1120" i="25"/>
  <c r="W1120" i="25"/>
  <c r="AA1120" i="25"/>
  <c r="X1120" i="25"/>
  <c r="AC1120" i="25"/>
  <c r="U1121" i="25" a="1"/>
  <c r="U1121" i="25"/>
  <c r="V1121" i="25" a="1"/>
  <c r="V1121" i="25"/>
  <c r="W1121" i="25"/>
  <c r="AA1121" i="25"/>
  <c r="X1121" i="25"/>
  <c r="AC1121" i="25"/>
  <c r="U1122" i="25" a="1"/>
  <c r="U1122" i="25"/>
  <c r="V1122" i="25" a="1"/>
  <c r="V1122" i="25"/>
  <c r="W1122" i="25"/>
  <c r="AA1122" i="25"/>
  <c r="X1122" i="25"/>
  <c r="AC1122" i="25"/>
  <c r="U1123" i="25" a="1"/>
  <c r="U1123" i="25"/>
  <c r="V1123" i="25" a="1"/>
  <c r="V1123" i="25"/>
  <c r="W1123" i="25"/>
  <c r="AA1123" i="25"/>
  <c r="X1123" i="25"/>
  <c r="AC1123" i="25"/>
  <c r="U1124" i="25" a="1"/>
  <c r="U1124" i="25"/>
  <c r="V1124" i="25" a="1"/>
  <c r="V1124" i="25"/>
  <c r="W1124" i="25"/>
  <c r="AA1124" i="25"/>
  <c r="X1124" i="25"/>
  <c r="AC1124" i="25"/>
  <c r="U1125" i="25" a="1"/>
  <c r="U1125" i="25"/>
  <c r="V1125" i="25" a="1"/>
  <c r="V1125" i="25"/>
  <c r="W1125" i="25"/>
  <c r="AA1125" i="25"/>
  <c r="X1125" i="25"/>
  <c r="AC1125" i="25"/>
  <c r="U1126" i="25" a="1"/>
  <c r="U1126" i="25"/>
  <c r="V1126" i="25" a="1"/>
  <c r="V1126" i="25"/>
  <c r="W1126" i="25"/>
  <c r="AA1126" i="25"/>
  <c r="X1126" i="25"/>
  <c r="AC1126" i="25"/>
  <c r="U1127" i="25" a="1"/>
  <c r="U1127" i="25"/>
  <c r="V1127" i="25" a="1"/>
  <c r="V1127" i="25"/>
  <c r="W1127" i="25"/>
  <c r="AA1127" i="25"/>
  <c r="X1127" i="25"/>
  <c r="AC1127" i="25"/>
  <c r="U1128" i="25" a="1"/>
  <c r="U1128" i="25"/>
  <c r="V1128" i="25" a="1"/>
  <c r="V1128" i="25"/>
  <c r="W1128" i="25"/>
  <c r="AA1128" i="25"/>
  <c r="X1128" i="25"/>
  <c r="AC1128" i="25"/>
  <c r="U1129" i="25" a="1"/>
  <c r="U1129" i="25"/>
  <c r="V1129" i="25" a="1"/>
  <c r="V1129" i="25"/>
  <c r="W1129" i="25"/>
  <c r="AA1129" i="25"/>
  <c r="X1129" i="25"/>
  <c r="AC1129" i="25"/>
  <c r="U1130" i="25" a="1"/>
  <c r="U1130" i="25"/>
  <c r="V1130" i="25" a="1"/>
  <c r="V1130" i="25"/>
  <c r="W1130" i="25"/>
  <c r="AA1130" i="25"/>
  <c r="X1130" i="25"/>
  <c r="AC1130" i="25"/>
  <c r="U1131" i="25" a="1"/>
  <c r="U1131" i="25"/>
  <c r="V1131" i="25" a="1"/>
  <c r="V1131" i="25"/>
  <c r="W1131" i="25"/>
  <c r="AA1131" i="25"/>
  <c r="X1131" i="25"/>
  <c r="AC1131" i="25"/>
  <c r="U1132" i="25" a="1"/>
  <c r="U1132" i="25"/>
  <c r="V1132" i="25" a="1"/>
  <c r="V1132" i="25"/>
  <c r="W1132" i="25"/>
  <c r="AA1132" i="25"/>
  <c r="X1132" i="25"/>
  <c r="AC1132" i="25"/>
  <c r="U1133" i="25" a="1"/>
  <c r="U1133" i="25"/>
  <c r="V1133" i="25" a="1"/>
  <c r="V1133" i="25"/>
  <c r="W1133" i="25"/>
  <c r="AA1133" i="25"/>
  <c r="X1133" i="25"/>
  <c r="AC1133" i="25"/>
  <c r="U1134" i="25" a="1"/>
  <c r="U1134" i="25"/>
  <c r="V1134" i="25" a="1"/>
  <c r="V1134" i="25"/>
  <c r="W1134" i="25"/>
  <c r="AA1134" i="25"/>
  <c r="X1134" i="25"/>
  <c r="AC1134" i="25"/>
  <c r="U1135" i="25" a="1"/>
  <c r="U1135" i="25"/>
  <c r="V1135" i="25" a="1"/>
  <c r="V1135" i="25"/>
  <c r="W1135" i="25"/>
  <c r="AA1135" i="25"/>
  <c r="X1135" i="25"/>
  <c r="AC1135" i="25"/>
  <c r="U1136" i="25" a="1"/>
  <c r="U1136" i="25"/>
  <c r="V1136" i="25" a="1"/>
  <c r="V1136" i="25"/>
  <c r="W1136" i="25"/>
  <c r="AA1136" i="25"/>
  <c r="X1136" i="25"/>
  <c r="AC1136" i="25"/>
  <c r="U1137" i="25" a="1"/>
  <c r="U1137" i="25"/>
  <c r="V1137" i="25" a="1"/>
  <c r="V1137" i="25"/>
  <c r="W1137" i="25"/>
  <c r="AA1137" i="25"/>
  <c r="X1137" i="25"/>
  <c r="AC1137" i="25"/>
  <c r="U1138" i="25" a="1"/>
  <c r="U1138" i="25"/>
  <c r="V1138" i="25" a="1"/>
  <c r="V1138" i="25"/>
  <c r="W1138" i="25"/>
  <c r="AA1138" i="25"/>
  <c r="X1138" i="25"/>
  <c r="AC1138" i="25"/>
  <c r="U1139" i="25" a="1"/>
  <c r="U1139" i="25"/>
  <c r="V1139" i="25" a="1"/>
  <c r="V1139" i="25"/>
  <c r="W1139" i="25"/>
  <c r="AA1139" i="25"/>
  <c r="X1139" i="25"/>
  <c r="AC1139" i="25"/>
  <c r="U1140" i="25" a="1"/>
  <c r="U1140" i="25"/>
  <c r="V1140" i="25" a="1"/>
  <c r="V1140" i="25"/>
  <c r="W1140" i="25"/>
  <c r="AA1140" i="25"/>
  <c r="X1140" i="25"/>
  <c r="AC1140" i="25"/>
  <c r="U1141" i="25" a="1"/>
  <c r="U1141" i="25"/>
  <c r="V1141" i="25" a="1"/>
  <c r="V1141" i="25"/>
  <c r="W1141" i="25"/>
  <c r="AA1141" i="25"/>
  <c r="X1141" i="25"/>
  <c r="AC1141" i="25"/>
  <c r="U1142" i="25" a="1"/>
  <c r="U1142" i="25"/>
  <c r="V1142" i="25" a="1"/>
  <c r="V1142" i="25"/>
  <c r="W1142" i="25"/>
  <c r="AA1142" i="25"/>
  <c r="X1142" i="25"/>
  <c r="AC1142" i="25"/>
  <c r="U1143" i="25" a="1"/>
  <c r="U1143" i="25"/>
  <c r="V1143" i="25" a="1"/>
  <c r="V1143" i="25"/>
  <c r="W1143" i="25"/>
  <c r="AA1143" i="25"/>
  <c r="X1143" i="25"/>
  <c r="AC1143" i="25"/>
  <c r="U1144" i="25" a="1"/>
  <c r="U1144" i="25"/>
  <c r="V1144" i="25" a="1"/>
  <c r="V1144" i="25"/>
  <c r="W1144" i="25"/>
  <c r="AA1144" i="25"/>
  <c r="X1144" i="25"/>
  <c r="AC1144" i="25"/>
  <c r="U1145" i="25" a="1"/>
  <c r="U1145" i="25"/>
  <c r="V1145" i="25" a="1"/>
  <c r="V1145" i="25"/>
  <c r="W1145" i="25"/>
  <c r="AA1145" i="25"/>
  <c r="X1145" i="25"/>
  <c r="AC1145" i="25"/>
  <c r="U1146" i="25" a="1"/>
  <c r="U1146" i="25"/>
  <c r="V1146" i="25" a="1"/>
  <c r="V1146" i="25"/>
  <c r="W1146" i="25"/>
  <c r="AA1146" i="25"/>
  <c r="X1146" i="25"/>
  <c r="AC1146" i="25"/>
  <c r="U1147" i="25" a="1"/>
  <c r="U1147" i="25"/>
  <c r="V1147" i="25" a="1"/>
  <c r="V1147" i="25"/>
  <c r="W1147" i="25"/>
  <c r="AA1147" i="25"/>
  <c r="X1147" i="25"/>
  <c r="AC1147" i="25"/>
  <c r="U1148" i="25" a="1"/>
  <c r="U1148" i="25"/>
  <c r="V1148" i="25" a="1"/>
  <c r="V1148" i="25"/>
  <c r="W1148" i="25"/>
  <c r="AA1148" i="25"/>
  <c r="X1148" i="25"/>
  <c r="AC1148" i="25"/>
  <c r="U1149" i="25" a="1"/>
  <c r="U1149" i="25"/>
  <c r="V1149" i="25" a="1"/>
  <c r="V1149" i="25"/>
  <c r="W1149" i="25"/>
  <c r="AA1149" i="25"/>
  <c r="X1149" i="25"/>
  <c r="AC1149" i="25"/>
  <c r="U1150" i="25" a="1"/>
  <c r="U1150" i="25"/>
  <c r="V1150" i="25" a="1"/>
  <c r="V1150" i="25"/>
  <c r="W1150" i="25"/>
  <c r="AA1150" i="25"/>
  <c r="X1150" i="25"/>
  <c r="AC1150" i="25"/>
  <c r="U1151" i="25" a="1"/>
  <c r="U1151" i="25"/>
  <c r="V1151" i="25" a="1"/>
  <c r="V1151" i="25"/>
  <c r="W1151" i="25"/>
  <c r="AA1151" i="25"/>
  <c r="X1151" i="25"/>
  <c r="AC1151" i="25"/>
  <c r="U1152" i="25" a="1"/>
  <c r="U1152" i="25"/>
  <c r="V1152" i="25" a="1"/>
  <c r="V1152" i="25"/>
  <c r="W1152" i="25"/>
  <c r="AA1152" i="25"/>
  <c r="X1152" i="25"/>
  <c r="AC1152" i="25"/>
  <c r="U1153" i="25" a="1"/>
  <c r="U1153" i="25"/>
  <c r="V1153" i="25" a="1"/>
  <c r="V1153" i="25"/>
  <c r="W1153" i="25"/>
  <c r="AA1153" i="25"/>
  <c r="X1153" i="25"/>
  <c r="AC1153" i="25"/>
  <c r="U1154" i="25" a="1"/>
  <c r="U1154" i="25"/>
  <c r="V1154" i="25" a="1"/>
  <c r="V1154" i="25"/>
  <c r="W1154" i="25"/>
  <c r="AA1154" i="25"/>
  <c r="X1154" i="25"/>
  <c r="AC1154" i="25"/>
  <c r="U1155" i="25" a="1"/>
  <c r="U1155" i="25"/>
  <c r="V1155" i="25" a="1"/>
  <c r="V1155" i="25"/>
  <c r="W1155" i="25"/>
  <c r="AA1155" i="25"/>
  <c r="X1155" i="25"/>
  <c r="AC1155" i="25"/>
  <c r="U1156" i="25" a="1"/>
  <c r="U1156" i="25"/>
  <c r="V1156" i="25" a="1"/>
  <c r="V1156" i="25"/>
  <c r="W1156" i="25"/>
  <c r="AA1156" i="25"/>
  <c r="X1156" i="25"/>
  <c r="AC1156" i="25"/>
  <c r="U1157" i="25" a="1"/>
  <c r="U1157" i="25"/>
  <c r="V1157" i="25" a="1"/>
  <c r="V1157" i="25"/>
  <c r="W1157" i="25"/>
  <c r="AA1157" i="25"/>
  <c r="X1157" i="25"/>
  <c r="AC1157" i="25"/>
  <c r="U1158" i="25" a="1"/>
  <c r="U1158" i="25"/>
  <c r="V1158" i="25" a="1"/>
  <c r="V1158" i="25"/>
  <c r="W1158" i="25"/>
  <c r="AA1158" i="25"/>
  <c r="X1158" i="25"/>
  <c r="AC1158" i="25"/>
  <c r="U1159" i="25" a="1"/>
  <c r="U1159" i="25"/>
  <c r="V1159" i="25" a="1"/>
  <c r="V1159" i="25"/>
  <c r="W1159" i="25"/>
  <c r="AA1159" i="25"/>
  <c r="X1159" i="25"/>
  <c r="AC1159" i="25"/>
  <c r="U1160" i="25" a="1"/>
  <c r="U1160" i="25"/>
  <c r="V1160" i="25" a="1"/>
  <c r="V1160" i="25"/>
  <c r="W1160" i="25"/>
  <c r="AA1160" i="25"/>
  <c r="X1160" i="25"/>
  <c r="AC1160" i="25"/>
  <c r="U1161" i="25" a="1"/>
  <c r="U1161" i="25"/>
  <c r="V1161" i="25" a="1"/>
  <c r="V1161" i="25"/>
  <c r="W1161" i="25"/>
  <c r="AA1161" i="25"/>
  <c r="X1161" i="25"/>
  <c r="AC1161" i="25"/>
  <c r="U1162" i="25" a="1"/>
  <c r="U1162" i="25"/>
  <c r="V1162" i="25" a="1"/>
  <c r="V1162" i="25"/>
  <c r="W1162" i="25"/>
  <c r="AA1162" i="25"/>
  <c r="X1162" i="25"/>
  <c r="AC1162" i="25"/>
  <c r="U1163" i="25" a="1"/>
  <c r="U1163" i="25"/>
  <c r="V1163" i="25" a="1"/>
  <c r="V1163" i="25"/>
  <c r="W1163" i="25"/>
  <c r="AA1163" i="25"/>
  <c r="X1163" i="25"/>
  <c r="AC1163" i="25"/>
  <c r="U1164" i="25" a="1"/>
  <c r="U1164" i="25"/>
  <c r="V1164" i="25" a="1"/>
  <c r="V1164" i="25"/>
  <c r="W1164" i="25"/>
  <c r="AA1164" i="25"/>
  <c r="X1164" i="25"/>
  <c r="AC1164" i="25"/>
  <c r="U1165" i="25" a="1"/>
  <c r="U1165" i="25"/>
  <c r="V1165" i="25" a="1"/>
  <c r="V1165" i="25"/>
  <c r="W1165" i="25"/>
  <c r="AA1165" i="25"/>
  <c r="X1165" i="25"/>
  <c r="AC1165" i="25"/>
  <c r="U1166" i="25" a="1"/>
  <c r="U1166" i="25"/>
  <c r="V1166" i="25" a="1"/>
  <c r="V1166" i="25"/>
  <c r="W1166" i="25"/>
  <c r="AA1166" i="25"/>
  <c r="X1166" i="25"/>
  <c r="AC1166" i="25"/>
  <c r="U1167" i="25" a="1"/>
  <c r="U1167" i="25"/>
  <c r="V1167" i="25" a="1"/>
  <c r="V1167" i="25"/>
  <c r="W1167" i="25"/>
  <c r="AA1167" i="25"/>
  <c r="X1167" i="25"/>
  <c r="AC1167" i="25"/>
  <c r="U1168" i="25" a="1"/>
  <c r="U1168" i="25"/>
  <c r="V1168" i="25" a="1"/>
  <c r="V1168" i="25"/>
  <c r="W1168" i="25"/>
  <c r="AA1168" i="25"/>
  <c r="X1168" i="25"/>
  <c r="AC1168" i="25"/>
  <c r="U1169" i="25" a="1"/>
  <c r="U1169" i="25"/>
  <c r="V1169" i="25" a="1"/>
  <c r="V1169" i="25"/>
  <c r="W1169" i="25"/>
  <c r="AA1169" i="25"/>
  <c r="X1169" i="25"/>
  <c r="AC1169" i="25"/>
  <c r="U1170" i="25" a="1"/>
  <c r="U1170" i="25"/>
  <c r="V1170" i="25" a="1"/>
  <c r="V1170" i="25"/>
  <c r="W1170" i="25"/>
  <c r="AA1170" i="25"/>
  <c r="X1170" i="25"/>
  <c r="AC1170" i="25"/>
  <c r="U1171" i="25" a="1"/>
  <c r="U1171" i="25"/>
  <c r="V1171" i="25" a="1"/>
  <c r="V1171" i="25"/>
  <c r="W1171" i="25"/>
  <c r="AA1171" i="25"/>
  <c r="X1171" i="25"/>
  <c r="AC1171" i="25"/>
  <c r="U1172" i="25" a="1"/>
  <c r="U1172" i="25"/>
  <c r="V1172" i="25" a="1"/>
  <c r="V1172" i="25"/>
  <c r="W1172" i="25"/>
  <c r="AA1172" i="25"/>
  <c r="X1172" i="25"/>
  <c r="AC1172" i="25"/>
  <c r="U1173" i="25" a="1"/>
  <c r="U1173" i="25"/>
  <c r="V1173" i="25" a="1"/>
  <c r="V1173" i="25"/>
  <c r="W1173" i="25"/>
  <c r="AA1173" i="25"/>
  <c r="X1173" i="25"/>
  <c r="AC1173" i="25"/>
  <c r="U1174" i="25" a="1"/>
  <c r="U1174" i="25"/>
  <c r="V1174" i="25" a="1"/>
  <c r="V1174" i="25"/>
  <c r="W1174" i="25"/>
  <c r="AA1174" i="25"/>
  <c r="X1174" i="25"/>
  <c r="AC1174" i="25"/>
  <c r="U1175" i="25" a="1"/>
  <c r="U1175" i="25"/>
  <c r="V1175" i="25" a="1"/>
  <c r="V1175" i="25"/>
  <c r="W1175" i="25"/>
  <c r="AA1175" i="25"/>
  <c r="X1175" i="25"/>
  <c r="AC1175" i="25"/>
  <c r="U1176" i="25" a="1"/>
  <c r="U1176" i="25"/>
  <c r="V1176" i="25" a="1"/>
  <c r="V1176" i="25"/>
  <c r="W1176" i="25"/>
  <c r="AA1176" i="25"/>
  <c r="X1176" i="25"/>
  <c r="AC1176" i="25"/>
  <c r="U1177" i="25" a="1"/>
  <c r="U1177" i="25"/>
  <c r="V1177" i="25" a="1"/>
  <c r="V1177" i="25"/>
  <c r="W1177" i="25"/>
  <c r="AA1177" i="25"/>
  <c r="X1177" i="25"/>
  <c r="AC1177" i="25"/>
  <c r="U1178" i="25" a="1"/>
  <c r="U1178" i="25"/>
  <c r="V1178" i="25" a="1"/>
  <c r="V1178" i="25"/>
  <c r="W1178" i="25"/>
  <c r="AA1178" i="25"/>
  <c r="X1178" i="25"/>
  <c r="AC1178" i="25"/>
  <c r="U1179" i="25" a="1"/>
  <c r="U1179" i="25"/>
  <c r="V1179" i="25" a="1"/>
  <c r="V1179" i="25"/>
  <c r="W1179" i="25"/>
  <c r="AA1179" i="25"/>
  <c r="X1179" i="25"/>
  <c r="AC1179" i="25"/>
  <c r="U1180" i="25" a="1"/>
  <c r="U1180" i="25"/>
  <c r="V1180" i="25" a="1"/>
  <c r="V1180" i="25"/>
  <c r="W1180" i="25"/>
  <c r="AA1180" i="25"/>
  <c r="X1180" i="25"/>
  <c r="AC1180" i="25"/>
  <c r="U1181" i="25" a="1"/>
  <c r="U1181" i="25"/>
  <c r="V1181" i="25" a="1"/>
  <c r="V1181" i="25"/>
  <c r="W1181" i="25"/>
  <c r="AA1181" i="25"/>
  <c r="X1181" i="25"/>
  <c r="AC1181" i="25"/>
  <c r="U1182" i="25" a="1"/>
  <c r="U1182" i="25"/>
  <c r="V1182" i="25" a="1"/>
  <c r="V1182" i="25"/>
  <c r="W1182" i="25"/>
  <c r="AA1182" i="25"/>
  <c r="X1182" i="25"/>
  <c r="AC1182" i="25"/>
  <c r="U1183" i="25" a="1"/>
  <c r="U1183" i="25"/>
  <c r="V1183" i="25" a="1"/>
  <c r="V1183" i="25"/>
  <c r="W1183" i="25"/>
  <c r="AA1183" i="25"/>
  <c r="X1183" i="25"/>
  <c r="AC1183" i="25"/>
  <c r="U1184" i="25" a="1"/>
  <c r="U1184" i="25"/>
  <c r="V1184" i="25" a="1"/>
  <c r="V1184" i="25"/>
  <c r="W1184" i="25"/>
  <c r="AA1184" i="25"/>
  <c r="X1184" i="25"/>
  <c r="AC1184" i="25"/>
  <c r="U1185" i="25" a="1"/>
  <c r="U1185" i="25"/>
  <c r="V1185" i="25" a="1"/>
  <c r="V1185" i="25"/>
  <c r="W1185" i="25"/>
  <c r="AA1185" i="25"/>
  <c r="X1185" i="25"/>
  <c r="AC1185" i="25"/>
  <c r="U1186" i="25" a="1"/>
  <c r="U1186" i="25"/>
  <c r="V1186" i="25" a="1"/>
  <c r="V1186" i="25"/>
  <c r="W1186" i="25"/>
  <c r="AA1186" i="25"/>
  <c r="X1186" i="25"/>
  <c r="AC1186" i="25"/>
  <c r="U1187" i="25" a="1"/>
  <c r="U1187" i="25"/>
  <c r="V1187" i="25" a="1"/>
  <c r="V1187" i="25"/>
  <c r="W1187" i="25"/>
  <c r="AA1187" i="25"/>
  <c r="X1187" i="25"/>
  <c r="AC1187" i="25"/>
  <c r="U1188" i="25" a="1"/>
  <c r="U1188" i="25"/>
  <c r="V1188" i="25" a="1"/>
  <c r="V1188" i="25"/>
  <c r="W1188" i="25"/>
  <c r="AA1188" i="25"/>
  <c r="X1188" i="25"/>
  <c r="AC1188" i="25"/>
  <c r="U1189" i="25" a="1"/>
  <c r="U1189" i="25"/>
  <c r="V1189" i="25" a="1"/>
  <c r="V1189" i="25"/>
  <c r="W1189" i="25"/>
  <c r="AA1189" i="25"/>
  <c r="X1189" i="25"/>
  <c r="AC1189" i="25"/>
  <c r="U1190" i="25" a="1"/>
  <c r="U1190" i="25"/>
  <c r="V1190" i="25" a="1"/>
  <c r="V1190" i="25"/>
  <c r="W1190" i="25"/>
  <c r="AA1190" i="25"/>
  <c r="X1190" i="25"/>
  <c r="AC1190" i="25"/>
  <c r="U1191" i="25" a="1"/>
  <c r="U1191" i="25"/>
  <c r="V1191" i="25" a="1"/>
  <c r="V1191" i="25"/>
  <c r="W1191" i="25"/>
  <c r="AA1191" i="25"/>
  <c r="X1191" i="25"/>
  <c r="AC1191" i="25"/>
  <c r="U1192" i="25" a="1"/>
  <c r="U1192" i="25"/>
  <c r="V1192" i="25" a="1"/>
  <c r="V1192" i="25"/>
  <c r="W1192" i="25"/>
  <c r="AA1192" i="25"/>
  <c r="X1192" i="25"/>
  <c r="AC1192" i="25"/>
  <c r="U1193" i="25" a="1"/>
  <c r="U1193" i="25"/>
  <c r="V1193" i="25" a="1"/>
  <c r="V1193" i="25"/>
  <c r="W1193" i="25"/>
  <c r="AA1193" i="25"/>
  <c r="X1193" i="25"/>
  <c r="AC1193" i="25"/>
  <c r="U1194" i="25" a="1"/>
  <c r="U1194" i="25"/>
  <c r="V1194" i="25" a="1"/>
  <c r="V1194" i="25"/>
  <c r="W1194" i="25"/>
  <c r="AA1194" i="25"/>
  <c r="X1194" i="25"/>
  <c r="AC1194" i="25"/>
  <c r="U1195" i="25" a="1"/>
  <c r="U1195" i="25"/>
  <c r="V1195" i="25" a="1"/>
  <c r="V1195" i="25"/>
  <c r="W1195" i="25"/>
  <c r="AA1195" i="25"/>
  <c r="X1195" i="25"/>
  <c r="AC1195" i="25"/>
  <c r="U1196" i="25" a="1"/>
  <c r="U1196" i="25"/>
  <c r="V1196" i="25" a="1"/>
  <c r="V1196" i="25"/>
  <c r="W1196" i="25"/>
  <c r="AA1196" i="25"/>
  <c r="X1196" i="25"/>
  <c r="AC1196" i="25"/>
  <c r="U1197" i="25" a="1"/>
  <c r="U1197" i="25"/>
  <c r="V1197" i="25" a="1"/>
  <c r="V1197" i="25"/>
  <c r="W1197" i="25"/>
  <c r="AA1197" i="25"/>
  <c r="X1197" i="25"/>
  <c r="AC1197" i="25"/>
  <c r="U1198" i="25" a="1"/>
  <c r="U1198" i="25"/>
  <c r="V1198" i="25" a="1"/>
  <c r="V1198" i="25"/>
  <c r="W1198" i="25"/>
  <c r="AA1198" i="25"/>
  <c r="X1198" i="25"/>
  <c r="AC1198" i="25"/>
  <c r="U1199" i="25" a="1"/>
  <c r="U1199" i="25"/>
  <c r="V1199" i="25" a="1"/>
  <c r="V1199" i="25"/>
  <c r="W1199" i="25"/>
  <c r="AA1199" i="25"/>
  <c r="X1199" i="25"/>
  <c r="AC1199" i="25"/>
  <c r="U1200" i="25" a="1"/>
  <c r="U1200" i="25"/>
  <c r="V1200" i="25" a="1"/>
  <c r="V1200" i="25"/>
  <c r="W1200" i="25"/>
  <c r="AA1200" i="25"/>
  <c r="X1200" i="25"/>
  <c r="AC1200" i="25"/>
  <c r="U1201" i="25" a="1"/>
  <c r="U1201" i="25"/>
  <c r="V1201" i="25" a="1"/>
  <c r="V1201" i="25"/>
  <c r="W1201" i="25"/>
  <c r="AA1201" i="25"/>
  <c r="X1201" i="25"/>
  <c r="AC1201" i="25"/>
  <c r="U1202" i="25" a="1"/>
  <c r="U1202" i="25"/>
  <c r="V1202" i="25" a="1"/>
  <c r="V1202" i="25"/>
  <c r="W1202" i="25"/>
  <c r="AA1202" i="25"/>
  <c r="X1202" i="25"/>
  <c r="AC1202" i="25"/>
  <c r="U1203" i="25" a="1"/>
  <c r="U1203" i="25"/>
  <c r="V1203" i="25" a="1"/>
  <c r="V1203" i="25"/>
  <c r="W1203" i="25"/>
  <c r="AA1203" i="25"/>
  <c r="X1203" i="25"/>
  <c r="AC1203" i="25"/>
  <c r="U1204" i="25" a="1"/>
  <c r="U1204" i="25"/>
  <c r="V1204" i="25" a="1"/>
  <c r="V1204" i="25"/>
  <c r="W1204" i="25"/>
  <c r="AA1204" i="25"/>
  <c r="X1204" i="25"/>
  <c r="AC1204" i="25"/>
  <c r="U1205" i="25" a="1"/>
  <c r="U1205" i="25"/>
  <c r="V1205" i="25" a="1"/>
  <c r="V1205" i="25"/>
  <c r="W1205" i="25"/>
  <c r="AA1205" i="25"/>
  <c r="X1205" i="25"/>
  <c r="AC1205" i="25"/>
  <c r="U1206" i="25" a="1"/>
  <c r="U1206" i="25"/>
  <c r="V1206" i="25" a="1"/>
  <c r="V1206" i="25"/>
  <c r="W1206" i="25"/>
  <c r="AA1206" i="25"/>
  <c r="X1206" i="25"/>
  <c r="AC1206" i="25"/>
  <c r="U1207" i="25" a="1"/>
  <c r="U1207" i="25"/>
  <c r="V1207" i="25" a="1"/>
  <c r="V1207" i="25"/>
  <c r="W1207" i="25"/>
  <c r="AA1207" i="25"/>
  <c r="X1207" i="25"/>
  <c r="AC1207" i="25"/>
  <c r="U1208" i="25" a="1"/>
  <c r="U1208" i="25"/>
  <c r="V1208" i="25" a="1"/>
  <c r="V1208" i="25"/>
  <c r="W1208" i="25"/>
  <c r="AA1208" i="25"/>
  <c r="X1208" i="25"/>
  <c r="AC1208" i="25"/>
  <c r="U1209" i="25" a="1"/>
  <c r="U1209" i="25"/>
  <c r="V1209" i="25" a="1"/>
  <c r="V1209" i="25"/>
  <c r="W1209" i="25"/>
  <c r="AA1209" i="25"/>
  <c r="X1209" i="25"/>
  <c r="AC1209" i="25"/>
  <c r="U1210" i="25" a="1"/>
  <c r="U1210" i="25"/>
  <c r="V1210" i="25" a="1"/>
  <c r="V1210" i="25"/>
  <c r="W1210" i="25"/>
  <c r="AA1210" i="25"/>
  <c r="X1210" i="25"/>
  <c r="AC1210" i="25"/>
  <c r="U1211" i="25" a="1"/>
  <c r="U1211" i="25"/>
  <c r="V1211" i="25" a="1"/>
  <c r="V1211" i="25"/>
  <c r="W1211" i="25"/>
  <c r="AA1211" i="25"/>
  <c r="X1211" i="25"/>
  <c r="AC1211" i="25"/>
  <c r="U1212" i="25" a="1"/>
  <c r="U1212" i="25"/>
  <c r="V1212" i="25" a="1"/>
  <c r="V1212" i="25"/>
  <c r="W1212" i="25"/>
  <c r="AA1212" i="25"/>
  <c r="X1212" i="25"/>
  <c r="AC1212" i="25"/>
  <c r="U1213" i="25" a="1"/>
  <c r="U1213" i="25"/>
  <c r="V1213" i="25" a="1"/>
  <c r="V1213" i="25"/>
  <c r="W1213" i="25"/>
  <c r="AA1213" i="25"/>
  <c r="X1213" i="25"/>
  <c r="AC1213" i="25"/>
  <c r="U1214" i="25" a="1"/>
  <c r="U1214" i="25"/>
  <c r="V1214" i="25" a="1"/>
  <c r="V1214" i="25"/>
  <c r="W1214" i="25"/>
  <c r="AA1214" i="25"/>
  <c r="X1214" i="25"/>
  <c r="AC1214" i="25"/>
  <c r="U1215" i="25" a="1"/>
  <c r="U1215" i="25"/>
  <c r="V1215" i="25" a="1"/>
  <c r="V1215" i="25"/>
  <c r="W1215" i="25"/>
  <c r="AA1215" i="25"/>
  <c r="X1215" i="25"/>
  <c r="AC1215" i="25"/>
  <c r="U1216" i="25" a="1"/>
  <c r="U1216" i="25"/>
  <c r="V1216" i="25" a="1"/>
  <c r="V1216" i="25"/>
  <c r="W1216" i="25"/>
  <c r="AA1216" i="25"/>
  <c r="X1216" i="25"/>
  <c r="AC1216" i="25"/>
  <c r="U1217" i="25" a="1"/>
  <c r="U1217" i="25"/>
  <c r="V1217" i="25" a="1"/>
  <c r="V1217" i="25"/>
  <c r="W1217" i="25"/>
  <c r="AA1217" i="25"/>
  <c r="X1217" i="25"/>
  <c r="AC1217" i="25"/>
  <c r="U1218" i="25" a="1"/>
  <c r="U1218" i="25"/>
  <c r="V1218" i="25" a="1"/>
  <c r="V1218" i="25"/>
  <c r="W1218" i="25"/>
  <c r="AA1218" i="25"/>
  <c r="X1218" i="25"/>
  <c r="AC1218" i="25"/>
  <c r="U1219" i="25" a="1"/>
  <c r="U1219" i="25"/>
  <c r="V1219" i="25" a="1"/>
  <c r="V1219" i="25"/>
  <c r="W1219" i="25"/>
  <c r="AA1219" i="25"/>
  <c r="X1219" i="25"/>
  <c r="AC1219" i="25"/>
  <c r="U1220" i="25" a="1"/>
  <c r="U1220" i="25"/>
  <c r="V1220" i="25" a="1"/>
  <c r="V1220" i="25"/>
  <c r="W1220" i="25"/>
  <c r="AA1220" i="25"/>
  <c r="X1220" i="25"/>
  <c r="AC1220" i="25"/>
  <c r="U1221" i="25" a="1"/>
  <c r="U1221" i="25"/>
  <c r="V1221" i="25" a="1"/>
  <c r="V1221" i="25"/>
  <c r="W1221" i="25"/>
  <c r="AA1221" i="25"/>
  <c r="X1221" i="25"/>
  <c r="AC1221" i="25"/>
  <c r="U1222" i="25" a="1"/>
  <c r="U1222" i="25"/>
  <c r="V1222" i="25" a="1"/>
  <c r="V1222" i="25"/>
  <c r="W1222" i="25"/>
  <c r="AA1222" i="25"/>
  <c r="X1222" i="25"/>
  <c r="AC1222" i="25"/>
  <c r="U1223" i="25" a="1"/>
  <c r="U1223" i="25"/>
  <c r="V1223" i="25" a="1"/>
  <c r="V1223" i="25"/>
  <c r="W1223" i="25"/>
  <c r="AA1223" i="25"/>
  <c r="X1223" i="25"/>
  <c r="AC1223" i="25"/>
  <c r="U1224" i="25" a="1"/>
  <c r="U1224" i="25"/>
  <c r="V1224" i="25" a="1"/>
  <c r="V1224" i="25"/>
  <c r="W1224" i="25"/>
  <c r="AA1224" i="25"/>
  <c r="X1224" i="25"/>
  <c r="AC1224" i="25"/>
  <c r="U1225" i="25" a="1"/>
  <c r="U1225" i="25"/>
  <c r="V1225" i="25" a="1"/>
  <c r="V1225" i="25"/>
  <c r="W1225" i="25"/>
  <c r="AA1225" i="25"/>
  <c r="X1225" i="25"/>
  <c r="AC1225" i="25"/>
  <c r="U1226" i="25" a="1"/>
  <c r="U1226" i="25"/>
  <c r="V1226" i="25" a="1"/>
  <c r="V1226" i="25"/>
  <c r="W1226" i="25"/>
  <c r="AA1226" i="25"/>
  <c r="X1226" i="25"/>
  <c r="AC1226" i="25"/>
  <c r="U1227" i="25" a="1"/>
  <c r="U1227" i="25"/>
  <c r="V1227" i="25" a="1"/>
  <c r="V1227" i="25"/>
  <c r="W1227" i="25"/>
  <c r="AA1227" i="25"/>
  <c r="X1227" i="25"/>
  <c r="AC1227" i="25"/>
  <c r="U1228" i="25" a="1"/>
  <c r="U1228" i="25"/>
  <c r="V1228" i="25" a="1"/>
  <c r="V1228" i="25"/>
  <c r="W1228" i="25"/>
  <c r="AA1228" i="25"/>
  <c r="X1228" i="25"/>
  <c r="AC1228" i="25"/>
  <c r="U1229" i="25" a="1"/>
  <c r="U1229" i="25"/>
  <c r="V1229" i="25" a="1"/>
  <c r="V1229" i="25"/>
  <c r="W1229" i="25"/>
  <c r="AA1229" i="25"/>
  <c r="X1229" i="25"/>
  <c r="AC1229" i="25"/>
  <c r="U1230" i="25" a="1"/>
  <c r="U1230" i="25"/>
  <c r="V1230" i="25" a="1"/>
  <c r="V1230" i="25"/>
  <c r="W1230" i="25"/>
  <c r="AA1230" i="25"/>
  <c r="X1230" i="25"/>
  <c r="AC1230" i="25"/>
  <c r="U1231" i="25" a="1"/>
  <c r="U1231" i="25"/>
  <c r="V1231" i="25" a="1"/>
  <c r="V1231" i="25"/>
  <c r="W1231" i="25"/>
  <c r="AA1231" i="25"/>
  <c r="X1231" i="25"/>
  <c r="AC1231" i="25"/>
  <c r="U1232" i="25" a="1"/>
  <c r="U1232" i="25"/>
  <c r="V1232" i="25" a="1"/>
  <c r="V1232" i="25"/>
  <c r="W1232" i="25"/>
  <c r="AA1232" i="25"/>
  <c r="X1232" i="25"/>
  <c r="AC1232" i="25"/>
  <c r="U1233" i="25" a="1"/>
  <c r="U1233" i="25"/>
  <c r="V1233" i="25" a="1"/>
  <c r="V1233" i="25"/>
  <c r="W1233" i="25"/>
  <c r="AA1233" i="25"/>
  <c r="X1233" i="25"/>
  <c r="AC1233" i="25"/>
  <c r="U1234" i="25" a="1"/>
  <c r="U1234" i="25"/>
  <c r="V1234" i="25" a="1"/>
  <c r="V1234" i="25"/>
  <c r="W1234" i="25"/>
  <c r="AA1234" i="25"/>
  <c r="X1234" i="25"/>
  <c r="AC1234" i="25"/>
  <c r="U1235" i="25" a="1"/>
  <c r="U1235" i="25"/>
  <c r="V1235" i="25" a="1"/>
  <c r="V1235" i="25"/>
  <c r="W1235" i="25"/>
  <c r="AA1235" i="25"/>
  <c r="X1235" i="25"/>
  <c r="AC1235" i="25"/>
  <c r="U1236" i="25" a="1"/>
  <c r="U1236" i="25"/>
  <c r="V1236" i="25" a="1"/>
  <c r="V1236" i="25"/>
  <c r="W1236" i="25"/>
  <c r="AA1236" i="25"/>
  <c r="X1236" i="25"/>
  <c r="AC1236" i="25"/>
  <c r="U1237" i="25" a="1"/>
  <c r="U1237" i="25"/>
  <c r="V1237" i="25" a="1"/>
  <c r="V1237" i="25"/>
  <c r="W1237" i="25"/>
  <c r="AA1237" i="25"/>
  <c r="X1237" i="25"/>
  <c r="AC1237" i="25"/>
  <c r="U1238" i="25" a="1"/>
  <c r="U1238" i="25"/>
  <c r="V1238" i="25" a="1"/>
  <c r="V1238" i="25"/>
  <c r="W1238" i="25"/>
  <c r="AA1238" i="25"/>
  <c r="X1238" i="25"/>
  <c r="AC1238" i="25"/>
  <c r="U1239" i="25" a="1"/>
  <c r="U1239" i="25"/>
  <c r="V1239" i="25" a="1"/>
  <c r="V1239" i="25"/>
  <c r="W1239" i="25"/>
  <c r="AA1239" i="25"/>
  <c r="X1239" i="25"/>
  <c r="AC1239" i="25"/>
  <c r="U1240" i="25" a="1"/>
  <c r="U1240" i="25"/>
  <c r="V1240" i="25" a="1"/>
  <c r="V1240" i="25"/>
  <c r="W1240" i="25"/>
  <c r="AA1240" i="25"/>
  <c r="X1240" i="25"/>
  <c r="AC1240" i="25"/>
  <c r="U1241" i="25" a="1"/>
  <c r="U1241" i="25"/>
  <c r="V1241" i="25" a="1"/>
  <c r="V1241" i="25"/>
  <c r="W1241" i="25"/>
  <c r="AA1241" i="25"/>
  <c r="X1241" i="25"/>
  <c r="AC1241" i="25"/>
  <c r="U1242" i="25" a="1"/>
  <c r="U1242" i="25"/>
  <c r="V1242" i="25" a="1"/>
  <c r="V1242" i="25"/>
  <c r="W1242" i="25"/>
  <c r="AA1242" i="25"/>
  <c r="X1242" i="25"/>
  <c r="AC1242" i="25"/>
  <c r="U1243" i="25" a="1"/>
  <c r="U1243" i="25"/>
  <c r="V1243" i="25" a="1"/>
  <c r="V1243" i="25"/>
  <c r="W1243" i="25"/>
  <c r="AA1243" i="25"/>
  <c r="X1243" i="25"/>
  <c r="AC1243" i="25"/>
  <c r="U1244" i="25" a="1"/>
  <c r="U1244" i="25"/>
  <c r="V1244" i="25" a="1"/>
  <c r="V1244" i="25"/>
  <c r="W1244" i="25"/>
  <c r="AA1244" i="25"/>
  <c r="X1244" i="25"/>
  <c r="AC1244" i="25"/>
  <c r="U1245" i="25" a="1"/>
  <c r="U1245" i="25"/>
  <c r="V1245" i="25" a="1"/>
  <c r="V1245" i="25"/>
  <c r="W1245" i="25"/>
  <c r="AA1245" i="25"/>
  <c r="X1245" i="25"/>
  <c r="AC1245" i="25"/>
  <c r="U1246" i="25" a="1"/>
  <c r="U1246" i="25"/>
  <c r="V1246" i="25" a="1"/>
  <c r="V1246" i="25"/>
  <c r="W1246" i="25"/>
  <c r="AA1246" i="25"/>
  <c r="X1246" i="25"/>
  <c r="AC1246" i="25"/>
  <c r="U1247" i="25" a="1"/>
  <c r="U1247" i="25"/>
  <c r="V1247" i="25" a="1"/>
  <c r="V1247" i="25"/>
  <c r="W1247" i="25"/>
  <c r="AA1247" i="25"/>
  <c r="X1247" i="25"/>
  <c r="AC1247" i="25"/>
  <c r="U1248" i="25" a="1"/>
  <c r="U1248" i="25"/>
  <c r="V1248" i="25" a="1"/>
  <c r="V1248" i="25"/>
  <c r="W1248" i="25"/>
  <c r="AA1248" i="25"/>
  <c r="X1248" i="25"/>
  <c r="AC1248" i="25"/>
  <c r="U1249" i="25" a="1"/>
  <c r="U1249" i="25"/>
  <c r="V1249" i="25" a="1"/>
  <c r="V1249" i="25"/>
  <c r="W1249" i="25"/>
  <c r="AA1249" i="25"/>
  <c r="X1249" i="25"/>
  <c r="AC1249" i="25"/>
  <c r="U1250" i="25" a="1"/>
  <c r="U1250" i="25"/>
  <c r="V1250" i="25" a="1"/>
  <c r="V1250" i="25"/>
  <c r="W1250" i="25"/>
  <c r="AA1250" i="25"/>
  <c r="X1250" i="25"/>
  <c r="AC1250" i="25"/>
  <c r="U1251" i="25" a="1"/>
  <c r="U1251" i="25"/>
  <c r="V1251" i="25" a="1"/>
  <c r="V1251" i="25"/>
  <c r="W1251" i="25"/>
  <c r="AA1251" i="25"/>
  <c r="X1251" i="25"/>
  <c r="AC1251" i="25"/>
  <c r="U1252" i="25" a="1"/>
  <c r="U1252" i="25"/>
  <c r="V1252" i="25" a="1"/>
  <c r="V1252" i="25"/>
  <c r="W1252" i="25"/>
  <c r="AA1252" i="25"/>
  <c r="X1252" i="25"/>
  <c r="AC1252" i="25"/>
  <c r="U1253" i="25" a="1"/>
  <c r="U1253" i="25"/>
  <c r="V1253" i="25" a="1"/>
  <c r="V1253" i="25"/>
  <c r="W1253" i="25"/>
  <c r="AA1253" i="25"/>
  <c r="X1253" i="25"/>
  <c r="AC1253" i="25"/>
  <c r="U1254" i="25" a="1"/>
  <c r="U1254" i="25"/>
  <c r="V1254" i="25" a="1"/>
  <c r="V1254" i="25"/>
  <c r="W1254" i="25"/>
  <c r="AA1254" i="25"/>
  <c r="X1254" i="25"/>
  <c r="AC1254" i="25"/>
  <c r="U1255" i="25" a="1"/>
  <c r="U1255" i="25"/>
  <c r="V1255" i="25" a="1"/>
  <c r="V1255" i="25"/>
  <c r="W1255" i="25"/>
  <c r="AA1255" i="25"/>
  <c r="X1255" i="25"/>
  <c r="AC1255" i="25"/>
  <c r="U1256" i="25" a="1"/>
  <c r="U1256" i="25"/>
  <c r="V1256" i="25" a="1"/>
  <c r="V1256" i="25"/>
  <c r="W1256" i="25"/>
  <c r="AA1256" i="25"/>
  <c r="X1256" i="25"/>
  <c r="AC1256" i="25"/>
  <c r="U1257" i="25" a="1"/>
  <c r="U1257" i="25"/>
  <c r="V1257" i="25" a="1"/>
  <c r="V1257" i="25"/>
  <c r="W1257" i="25"/>
  <c r="AA1257" i="25"/>
  <c r="X1257" i="25"/>
  <c r="AC1257" i="25"/>
  <c r="U1258" i="25" a="1"/>
  <c r="U1258" i="25"/>
  <c r="V1258" i="25" a="1"/>
  <c r="V1258" i="25"/>
  <c r="W1258" i="25"/>
  <c r="AA1258" i="25"/>
  <c r="X1258" i="25"/>
  <c r="AC1258" i="25"/>
  <c r="U1259" i="25" a="1"/>
  <c r="U1259" i="25"/>
  <c r="V1259" i="25" a="1"/>
  <c r="V1259" i="25"/>
  <c r="W1259" i="25"/>
  <c r="AA1259" i="25"/>
  <c r="X1259" i="25"/>
  <c r="AC1259" i="25"/>
  <c r="U1260" i="25" a="1"/>
  <c r="U1260" i="25"/>
  <c r="V1260" i="25" a="1"/>
  <c r="V1260" i="25"/>
  <c r="W1260" i="25"/>
  <c r="AA1260" i="25"/>
  <c r="X1260" i="25"/>
  <c r="AC1260" i="25"/>
  <c r="U1261" i="25" a="1"/>
  <c r="U1261" i="25"/>
  <c r="V1261" i="25" a="1"/>
  <c r="V1261" i="25"/>
  <c r="W1261" i="25"/>
  <c r="AA1261" i="25"/>
  <c r="X1261" i="25"/>
  <c r="AC1261" i="25"/>
  <c r="U1262" i="25" a="1"/>
  <c r="U1262" i="25"/>
  <c r="V1262" i="25" a="1"/>
  <c r="V1262" i="25"/>
  <c r="W1262" i="25"/>
  <c r="AA1262" i="25"/>
  <c r="X1262" i="25"/>
  <c r="AC1262" i="25"/>
  <c r="U1263" i="25" a="1"/>
  <c r="U1263" i="25"/>
  <c r="V1263" i="25" a="1"/>
  <c r="V1263" i="25"/>
  <c r="W1263" i="25"/>
  <c r="AA1263" i="25"/>
  <c r="X1263" i="25"/>
  <c r="AC1263" i="25"/>
  <c r="U1264" i="25" a="1"/>
  <c r="U1264" i="25"/>
  <c r="V1264" i="25" a="1"/>
  <c r="V1264" i="25"/>
  <c r="W1264" i="25"/>
  <c r="AA1264" i="25"/>
  <c r="X1264" i="25"/>
  <c r="AC1264" i="25"/>
  <c r="U1265" i="25" a="1"/>
  <c r="U1265" i="25"/>
  <c r="V1265" i="25" a="1"/>
  <c r="V1265" i="25"/>
  <c r="W1265" i="25"/>
  <c r="AA1265" i="25"/>
  <c r="X1265" i="25"/>
  <c r="AC1265" i="25"/>
  <c r="U1266" i="25" a="1"/>
  <c r="U1266" i="25"/>
  <c r="V1266" i="25" a="1"/>
  <c r="V1266" i="25"/>
  <c r="W1266" i="25"/>
  <c r="AA1266" i="25"/>
  <c r="X1266" i="25"/>
  <c r="AC1266" i="25"/>
  <c r="U1267" i="25" a="1"/>
  <c r="U1267" i="25"/>
  <c r="V1267" i="25" a="1"/>
  <c r="V1267" i="25"/>
  <c r="W1267" i="25"/>
  <c r="AA1267" i="25"/>
  <c r="X1267" i="25"/>
  <c r="AC1267" i="25"/>
  <c r="U1268" i="25" a="1"/>
  <c r="U1268" i="25"/>
  <c r="V1268" i="25" a="1"/>
  <c r="V1268" i="25"/>
  <c r="W1268" i="25"/>
  <c r="AA1268" i="25"/>
  <c r="X1268" i="25"/>
  <c r="AC1268" i="25"/>
  <c r="U1269" i="25" a="1"/>
  <c r="U1269" i="25"/>
  <c r="V1269" i="25" a="1"/>
  <c r="V1269" i="25"/>
  <c r="W1269" i="25"/>
  <c r="AA1269" i="25"/>
  <c r="X1269" i="25"/>
  <c r="AC1269" i="25"/>
  <c r="U1270" i="25" a="1"/>
  <c r="U1270" i="25"/>
  <c r="V1270" i="25" a="1"/>
  <c r="V1270" i="25"/>
  <c r="W1270" i="25"/>
  <c r="AA1270" i="25"/>
  <c r="X1270" i="25"/>
  <c r="AC1270" i="25"/>
  <c r="U1271" i="25" a="1"/>
  <c r="U1271" i="25"/>
  <c r="V1271" i="25" a="1"/>
  <c r="V1271" i="25"/>
  <c r="W1271" i="25"/>
  <c r="AA1271" i="25"/>
  <c r="X1271" i="25"/>
  <c r="AC1271" i="25"/>
  <c r="U1272" i="25" a="1"/>
  <c r="U1272" i="25"/>
  <c r="V1272" i="25" a="1"/>
  <c r="V1272" i="25"/>
  <c r="W1272" i="25"/>
  <c r="AA1272" i="25"/>
  <c r="X1272" i="25"/>
  <c r="AC1272" i="25"/>
  <c r="U1273" i="25" a="1"/>
  <c r="U1273" i="25"/>
  <c r="V1273" i="25" a="1"/>
  <c r="V1273" i="25"/>
  <c r="W1273" i="25"/>
  <c r="AA1273" i="25"/>
  <c r="X1273" i="25"/>
  <c r="AC1273" i="25"/>
  <c r="U1274" i="25" a="1"/>
  <c r="U1274" i="25"/>
  <c r="V1274" i="25" a="1"/>
  <c r="V1274" i="25"/>
  <c r="W1274" i="25"/>
  <c r="AA1274" i="25"/>
  <c r="X1274" i="25"/>
  <c r="AC1274" i="25"/>
  <c r="U1275" i="25" a="1"/>
  <c r="U1275" i="25"/>
  <c r="V1275" i="25" a="1"/>
  <c r="V1275" i="25"/>
  <c r="W1275" i="25"/>
  <c r="AA1275" i="25"/>
  <c r="X1275" i="25"/>
  <c r="AC1275" i="25"/>
  <c r="U1276" i="25" a="1"/>
  <c r="U1276" i="25"/>
  <c r="V1276" i="25" a="1"/>
  <c r="V1276" i="25"/>
  <c r="W1276" i="25"/>
  <c r="AA1276" i="25"/>
  <c r="X1276" i="25"/>
  <c r="AC1276" i="25"/>
  <c r="U1277" i="25" a="1"/>
  <c r="U1277" i="25"/>
  <c r="V1277" i="25" a="1"/>
  <c r="V1277" i="25"/>
  <c r="W1277" i="25"/>
  <c r="AA1277" i="25"/>
  <c r="X1277" i="25"/>
  <c r="AC1277" i="25"/>
  <c r="U1278" i="25" a="1"/>
  <c r="U1278" i="25"/>
  <c r="V1278" i="25" a="1"/>
  <c r="V1278" i="25"/>
  <c r="W1278" i="25"/>
  <c r="AA1278" i="25"/>
  <c r="X1278" i="25"/>
  <c r="AC1278" i="25"/>
  <c r="U1279" i="25" a="1"/>
  <c r="U1279" i="25"/>
  <c r="V1279" i="25" a="1"/>
  <c r="V1279" i="25"/>
  <c r="W1279" i="25"/>
  <c r="AA1279" i="25"/>
  <c r="X1279" i="25"/>
  <c r="AC1279" i="25"/>
  <c r="U1280" i="25" a="1"/>
  <c r="U1280" i="25"/>
  <c r="V1280" i="25" a="1"/>
  <c r="V1280" i="25"/>
  <c r="W1280" i="25"/>
  <c r="AA1280" i="25"/>
  <c r="X1280" i="25"/>
  <c r="AC1280" i="25"/>
  <c r="U1281" i="25" a="1"/>
  <c r="U1281" i="25"/>
  <c r="V1281" i="25" a="1"/>
  <c r="V1281" i="25"/>
  <c r="W1281" i="25"/>
  <c r="AA1281" i="25"/>
  <c r="X1281" i="25"/>
  <c r="AC1281" i="25"/>
  <c r="U1282" i="25" a="1"/>
  <c r="U1282" i="25"/>
  <c r="V1282" i="25" a="1"/>
  <c r="V1282" i="25"/>
  <c r="W1282" i="25"/>
  <c r="AA1282" i="25"/>
  <c r="X1282" i="25"/>
  <c r="AC1282" i="25"/>
  <c r="U1283" i="25" a="1"/>
  <c r="U1283" i="25"/>
  <c r="V1283" i="25" a="1"/>
  <c r="V1283" i="25"/>
  <c r="W1283" i="25"/>
  <c r="AA1283" i="25"/>
  <c r="X1283" i="25"/>
  <c r="AC1283" i="25"/>
  <c r="U1284" i="25" a="1"/>
  <c r="U1284" i="25"/>
  <c r="V1284" i="25" a="1"/>
  <c r="V1284" i="25"/>
  <c r="W1284" i="25"/>
  <c r="AA1284" i="25"/>
  <c r="X1284" i="25"/>
  <c r="AC1284" i="25"/>
  <c r="U1285" i="25" a="1"/>
  <c r="U1285" i="25"/>
  <c r="V1285" i="25" a="1"/>
  <c r="V1285" i="25"/>
  <c r="W1285" i="25"/>
  <c r="AA1285" i="25"/>
  <c r="X1285" i="25"/>
  <c r="AC1285" i="25"/>
  <c r="U1286" i="25" a="1"/>
  <c r="U1286" i="25"/>
  <c r="V1286" i="25" a="1"/>
  <c r="V1286" i="25"/>
  <c r="W1286" i="25"/>
  <c r="AA1286" i="25"/>
  <c r="X1286" i="25"/>
  <c r="AC1286" i="25"/>
  <c r="U1287" i="25" a="1"/>
  <c r="U1287" i="25"/>
  <c r="V1287" i="25" a="1"/>
  <c r="V1287" i="25"/>
  <c r="W1287" i="25"/>
  <c r="AA1287" i="25"/>
  <c r="X1287" i="25"/>
  <c r="AC1287" i="25"/>
  <c r="U1288" i="25" a="1"/>
  <c r="U1288" i="25"/>
  <c r="V1288" i="25" a="1"/>
  <c r="V1288" i="25"/>
  <c r="W1288" i="25"/>
  <c r="AA1288" i="25"/>
  <c r="X1288" i="25"/>
  <c r="AC1288" i="25"/>
  <c r="U1289" i="25" a="1"/>
  <c r="U1289" i="25"/>
  <c r="V1289" i="25" a="1"/>
  <c r="V1289" i="25"/>
  <c r="W1289" i="25"/>
  <c r="AA1289" i="25"/>
  <c r="X1289" i="25"/>
  <c r="AC1289" i="25"/>
  <c r="U1290" i="25" a="1"/>
  <c r="U1290" i="25"/>
  <c r="V1290" i="25" a="1"/>
  <c r="V1290" i="25"/>
  <c r="W1290" i="25"/>
  <c r="AA1290" i="25"/>
  <c r="X1290" i="25"/>
  <c r="AC1290" i="25"/>
  <c r="U1291" i="25" a="1"/>
  <c r="U1291" i="25"/>
  <c r="V1291" i="25" a="1"/>
  <c r="V1291" i="25"/>
  <c r="W1291" i="25"/>
  <c r="AA1291" i="25"/>
  <c r="X1291" i="25"/>
  <c r="AC1291" i="25"/>
  <c r="U1292" i="25" a="1"/>
  <c r="U1292" i="25"/>
  <c r="V1292" i="25" a="1"/>
  <c r="V1292" i="25"/>
  <c r="W1292" i="25"/>
  <c r="AA1292" i="25"/>
  <c r="X1292" i="25"/>
  <c r="AC1292" i="25"/>
  <c r="U1293" i="25" a="1"/>
  <c r="U1293" i="25"/>
  <c r="V1293" i="25" a="1"/>
  <c r="V1293" i="25"/>
  <c r="W1293" i="25"/>
  <c r="AA1293" i="25"/>
  <c r="X1293" i="25"/>
  <c r="AC1293" i="25"/>
  <c r="U1294" i="25" a="1"/>
  <c r="U1294" i="25"/>
  <c r="V1294" i="25" a="1"/>
  <c r="V1294" i="25"/>
  <c r="W1294" i="25"/>
  <c r="AA1294" i="25"/>
  <c r="X1294" i="25"/>
  <c r="AC1294" i="25"/>
  <c r="U1295" i="25" a="1"/>
  <c r="U1295" i="25"/>
  <c r="V1295" i="25" a="1"/>
  <c r="V1295" i="25"/>
  <c r="W1295" i="25"/>
  <c r="AA1295" i="25"/>
  <c r="X1295" i="25"/>
  <c r="AC1295" i="25"/>
  <c r="U1296" i="25" a="1"/>
  <c r="U1296" i="25"/>
  <c r="V1296" i="25" a="1"/>
  <c r="V1296" i="25"/>
  <c r="W1296" i="25"/>
  <c r="AA1296" i="25"/>
  <c r="X1296" i="25"/>
  <c r="AC1296" i="25"/>
  <c r="U1297" i="25" a="1"/>
  <c r="U1297" i="25"/>
  <c r="V1297" i="25" a="1"/>
  <c r="V1297" i="25"/>
  <c r="W1297" i="25"/>
  <c r="AA1297" i="25"/>
  <c r="X1297" i="25"/>
  <c r="AC1297" i="25"/>
  <c r="U1298" i="25" a="1"/>
  <c r="U1298" i="25"/>
  <c r="V1298" i="25" a="1"/>
  <c r="V1298" i="25"/>
  <c r="W1298" i="25"/>
  <c r="AA1298" i="25"/>
  <c r="X1298" i="25"/>
  <c r="AC1298" i="25"/>
  <c r="U1299" i="25" a="1"/>
  <c r="U1299" i="25"/>
  <c r="V1299" i="25" a="1"/>
  <c r="V1299" i="25"/>
  <c r="W1299" i="25"/>
  <c r="AA1299" i="25"/>
  <c r="X1299" i="25"/>
  <c r="AC1299" i="25"/>
  <c r="U1300" i="25" a="1"/>
  <c r="U1300" i="25"/>
  <c r="V1300" i="25" a="1"/>
  <c r="V1300" i="25"/>
  <c r="W1300" i="25"/>
  <c r="AA1300" i="25"/>
  <c r="X1300" i="25"/>
  <c r="AC1300" i="25"/>
  <c r="U1301" i="25" a="1"/>
  <c r="U1301" i="25"/>
  <c r="V1301" i="25" a="1"/>
  <c r="V1301" i="25"/>
  <c r="W1301" i="25"/>
  <c r="AA1301" i="25"/>
  <c r="X1301" i="25"/>
  <c r="AC1301" i="25"/>
  <c r="U1302" i="25" a="1"/>
  <c r="U1302" i="25"/>
  <c r="V1302" i="25" a="1"/>
  <c r="V1302" i="25"/>
  <c r="W1302" i="25"/>
  <c r="AA1302" i="25"/>
  <c r="X1302" i="25"/>
  <c r="AC1302" i="25"/>
  <c r="U1303" i="25" a="1"/>
  <c r="U1303" i="25"/>
  <c r="V1303" i="25" a="1"/>
  <c r="V1303" i="25"/>
  <c r="W1303" i="25"/>
  <c r="AA1303" i="25"/>
  <c r="X1303" i="25"/>
  <c r="AC1303" i="25"/>
  <c r="U1304" i="25" a="1"/>
  <c r="U1304" i="25"/>
  <c r="V1304" i="25" a="1"/>
  <c r="V1304" i="25"/>
  <c r="W1304" i="25"/>
  <c r="AA1304" i="25"/>
  <c r="X1304" i="25"/>
  <c r="AC1304" i="25"/>
  <c r="U1305" i="25" a="1"/>
  <c r="U1305" i="25"/>
  <c r="V1305" i="25" a="1"/>
  <c r="V1305" i="25"/>
  <c r="W1305" i="25"/>
  <c r="AA1305" i="25"/>
  <c r="X1305" i="25"/>
  <c r="AC1305" i="25"/>
  <c r="U1306" i="25" a="1"/>
  <c r="U1306" i="25"/>
  <c r="V1306" i="25" a="1"/>
  <c r="V1306" i="25"/>
  <c r="W1306" i="25"/>
  <c r="AA1306" i="25"/>
  <c r="X1306" i="25"/>
  <c r="AC1306" i="25"/>
  <c r="U1307" i="25" a="1"/>
  <c r="U1307" i="25"/>
  <c r="V1307" i="25" a="1"/>
  <c r="V1307" i="25"/>
  <c r="W1307" i="25"/>
  <c r="AA1307" i="25"/>
  <c r="X1307" i="25"/>
  <c r="AC1307" i="25"/>
  <c r="U1308" i="25" a="1"/>
  <c r="U1308" i="25"/>
  <c r="V1308" i="25" a="1"/>
  <c r="V1308" i="25"/>
  <c r="W1308" i="25"/>
  <c r="AA1308" i="25"/>
  <c r="X1308" i="25"/>
  <c r="AC1308" i="25"/>
  <c r="U1309" i="25" a="1"/>
  <c r="U1309" i="25"/>
  <c r="V1309" i="25" a="1"/>
  <c r="V1309" i="25"/>
  <c r="W1309" i="25"/>
  <c r="AA1309" i="25"/>
  <c r="X1309" i="25"/>
  <c r="AC1309" i="25"/>
  <c r="U1310" i="25" a="1"/>
  <c r="U1310" i="25"/>
  <c r="V1310" i="25" a="1"/>
  <c r="V1310" i="25"/>
  <c r="W1310" i="25"/>
  <c r="AA1310" i="25"/>
  <c r="X1310" i="25"/>
  <c r="AC1310" i="25"/>
  <c r="U1311" i="25" a="1"/>
  <c r="U1311" i="25"/>
  <c r="V1311" i="25" a="1"/>
  <c r="V1311" i="25"/>
  <c r="W1311" i="25"/>
  <c r="AA1311" i="25"/>
  <c r="X1311" i="25"/>
  <c r="AC1311" i="25"/>
  <c r="U1312" i="25" a="1"/>
  <c r="U1312" i="25"/>
  <c r="V1312" i="25" a="1"/>
  <c r="V1312" i="25"/>
  <c r="W1312" i="25"/>
  <c r="AA1312" i="25"/>
  <c r="X1312" i="25"/>
  <c r="AC1312" i="25"/>
  <c r="U1313" i="25" a="1"/>
  <c r="U1313" i="25"/>
  <c r="V1313" i="25" a="1"/>
  <c r="V1313" i="25"/>
  <c r="W1313" i="25"/>
  <c r="AA1313" i="25"/>
  <c r="X1313" i="25"/>
  <c r="AC1313" i="25"/>
  <c r="U1314" i="25" a="1"/>
  <c r="U1314" i="25"/>
  <c r="V1314" i="25" a="1"/>
  <c r="V1314" i="25"/>
  <c r="W1314" i="25"/>
  <c r="AA1314" i="25"/>
  <c r="X1314" i="25"/>
  <c r="AC1314" i="25"/>
  <c r="U1315" i="25" a="1"/>
  <c r="U1315" i="25"/>
  <c r="V1315" i="25" a="1"/>
  <c r="V1315" i="25"/>
  <c r="W1315" i="25"/>
  <c r="AA1315" i="25"/>
  <c r="X1315" i="25"/>
  <c r="AC1315" i="25"/>
  <c r="U1316" i="25" a="1"/>
  <c r="U1316" i="25"/>
  <c r="V1316" i="25" a="1"/>
  <c r="V1316" i="25"/>
  <c r="W1316" i="25"/>
  <c r="AA1316" i="25"/>
  <c r="X1316" i="25"/>
  <c r="AC1316" i="25"/>
  <c r="U1317" i="25" a="1"/>
  <c r="U1317" i="25"/>
  <c r="V1317" i="25" a="1"/>
  <c r="V1317" i="25"/>
  <c r="W1317" i="25"/>
  <c r="AA1317" i="25"/>
  <c r="X1317" i="25"/>
  <c r="AC1317" i="25"/>
  <c r="U1318" i="25" a="1"/>
  <c r="U1318" i="25"/>
  <c r="V1318" i="25" a="1"/>
  <c r="V1318" i="25"/>
  <c r="W1318" i="25"/>
  <c r="AA1318" i="25"/>
  <c r="X1318" i="25"/>
  <c r="AC1318" i="25"/>
  <c r="U1319" i="25" a="1"/>
  <c r="U1319" i="25"/>
  <c r="V1319" i="25" a="1"/>
  <c r="V1319" i="25"/>
  <c r="W1319" i="25"/>
  <c r="AA1319" i="25"/>
  <c r="X1319" i="25"/>
  <c r="AC1319" i="25"/>
  <c r="U1320" i="25" a="1"/>
  <c r="U1320" i="25"/>
  <c r="V1320" i="25" a="1"/>
  <c r="V1320" i="25"/>
  <c r="W1320" i="25"/>
  <c r="AA1320" i="25"/>
  <c r="X1320" i="25"/>
  <c r="AC1320" i="25"/>
  <c r="U1321" i="25" a="1"/>
  <c r="U1321" i="25"/>
  <c r="V1321" i="25" a="1"/>
  <c r="V1321" i="25"/>
  <c r="W1321" i="25"/>
  <c r="AA1321" i="25"/>
  <c r="X1321" i="25"/>
  <c r="AC1321" i="25"/>
  <c r="U1322" i="25" a="1"/>
  <c r="U1322" i="25"/>
  <c r="V1322" i="25" a="1"/>
  <c r="V1322" i="25"/>
  <c r="W1322" i="25"/>
  <c r="AA1322" i="25"/>
  <c r="X1322" i="25"/>
  <c r="AC1322" i="25"/>
  <c r="U1323" i="25" a="1"/>
  <c r="U1323" i="25"/>
  <c r="V1323" i="25" a="1"/>
  <c r="V1323" i="25"/>
  <c r="W1323" i="25"/>
  <c r="AA1323" i="25"/>
  <c r="X1323" i="25"/>
  <c r="AC1323" i="25"/>
  <c r="U1324" i="25" a="1"/>
  <c r="U1324" i="25"/>
  <c r="V1324" i="25" a="1"/>
  <c r="V1324" i="25"/>
  <c r="W1324" i="25"/>
  <c r="AA1324" i="25"/>
  <c r="X1324" i="25"/>
  <c r="AC1324" i="25"/>
  <c r="U1325" i="25" a="1"/>
  <c r="U1325" i="25"/>
  <c r="V1325" i="25" a="1"/>
  <c r="V1325" i="25"/>
  <c r="W1325" i="25"/>
  <c r="AA1325" i="25"/>
  <c r="X1325" i="25"/>
  <c r="AC1325" i="25"/>
  <c r="U1326" i="25" a="1"/>
  <c r="U1326" i="25"/>
  <c r="V1326" i="25" a="1"/>
  <c r="V1326" i="25"/>
  <c r="W1326" i="25"/>
  <c r="AA1326" i="25"/>
  <c r="X1326" i="25"/>
  <c r="AC1326" i="25"/>
  <c r="U1327" i="25" a="1"/>
  <c r="U1327" i="25"/>
  <c r="V1327" i="25" a="1"/>
  <c r="V1327" i="25"/>
  <c r="W1327" i="25"/>
  <c r="AA1327" i="25"/>
  <c r="X1327" i="25"/>
  <c r="AC1327" i="25"/>
  <c r="U1328" i="25" a="1"/>
  <c r="U1328" i="25"/>
  <c r="V1328" i="25" a="1"/>
  <c r="V1328" i="25"/>
  <c r="W1328" i="25"/>
  <c r="AA1328" i="25"/>
  <c r="X1328" i="25"/>
  <c r="AC1328" i="25"/>
  <c r="V1329" i="25" a="1"/>
  <c r="V1329" i="25"/>
  <c r="W1329" i="25"/>
  <c r="AA1329" i="25"/>
  <c r="X1329" i="25"/>
  <c r="AC1329" i="25"/>
  <c r="V1330" i="25" a="1"/>
  <c r="V1330" i="25"/>
  <c r="W1330" i="25"/>
  <c r="AA1330" i="25"/>
  <c r="X1330" i="25"/>
  <c r="AC1330" i="25"/>
  <c r="V1331" i="25" a="1"/>
  <c r="V1331" i="25"/>
  <c r="W1331" i="25"/>
  <c r="AA1331" i="25"/>
  <c r="X1331" i="25"/>
  <c r="AC1331" i="25"/>
  <c r="V1332" i="25" a="1"/>
  <c r="V1332" i="25"/>
  <c r="W1332" i="25"/>
  <c r="AA1332" i="25"/>
  <c r="X1332" i="25"/>
  <c r="AC1332" i="25"/>
  <c r="V1333" i="25" a="1"/>
  <c r="V1333" i="25"/>
  <c r="W1333" i="25"/>
  <c r="AA1333" i="25"/>
  <c r="X1333" i="25"/>
  <c r="AC1333" i="25"/>
  <c r="V1334" i="25" a="1"/>
  <c r="V1334" i="25"/>
  <c r="W1334" i="25"/>
  <c r="AA1334" i="25"/>
  <c r="X1334" i="25"/>
  <c r="AC1334" i="25"/>
  <c r="V1335" i="25" a="1"/>
  <c r="V1335" i="25"/>
  <c r="W1335" i="25"/>
  <c r="AA1335" i="25"/>
  <c r="X1335" i="25"/>
  <c r="AC1335" i="25"/>
  <c r="V1336" i="25" a="1"/>
  <c r="V1336" i="25"/>
  <c r="W1336" i="25"/>
  <c r="AA1336" i="25"/>
  <c r="X1336" i="25"/>
  <c r="AC1336" i="25"/>
  <c r="V1337" i="25" a="1"/>
  <c r="V1337" i="25"/>
  <c r="W1337" i="25"/>
  <c r="AA1337" i="25"/>
  <c r="X1337" i="25"/>
  <c r="AC1337" i="25"/>
  <c r="V1338" i="25" a="1"/>
  <c r="V1338" i="25"/>
  <c r="W1338" i="25"/>
  <c r="AA1338" i="25"/>
  <c r="X1338" i="25"/>
  <c r="AC1338" i="25"/>
  <c r="V1339" i="25" a="1"/>
  <c r="V1339" i="25"/>
  <c r="W1339" i="25"/>
  <c r="AA1339" i="25"/>
  <c r="X1339" i="25"/>
  <c r="AC1339" i="25"/>
  <c r="V1340" i="25" a="1"/>
  <c r="V1340" i="25"/>
  <c r="W1340" i="25"/>
  <c r="AA1340" i="25"/>
  <c r="X1340" i="25"/>
  <c r="AC1340" i="25"/>
  <c r="V1341" i="25" a="1"/>
  <c r="V1341" i="25"/>
  <c r="W1341" i="25"/>
  <c r="AA1341" i="25"/>
  <c r="X1341" i="25"/>
  <c r="AC1341" i="25"/>
  <c r="V1342" i="25" a="1"/>
  <c r="V1342" i="25"/>
  <c r="W1342" i="25"/>
  <c r="AA1342" i="25"/>
  <c r="X1342" i="25"/>
  <c r="AC1342" i="25"/>
  <c r="V1343" i="25" a="1"/>
  <c r="V1343" i="25"/>
  <c r="W1343" i="25"/>
  <c r="AA1343" i="25"/>
  <c r="X1343" i="25"/>
  <c r="AC1343" i="25"/>
  <c r="V1344" i="25" a="1"/>
  <c r="V1344" i="25"/>
  <c r="W1344" i="25"/>
  <c r="AA1344" i="25"/>
  <c r="X1344" i="25"/>
  <c r="AC1344" i="25"/>
  <c r="V1345" i="25" a="1"/>
  <c r="V1345" i="25"/>
  <c r="W1345" i="25"/>
  <c r="AA1345" i="25"/>
  <c r="X1345" i="25"/>
  <c r="AC1345" i="25"/>
  <c r="V1346" i="25" a="1"/>
  <c r="V1346" i="25"/>
  <c r="W1346" i="25"/>
  <c r="AA1346" i="25"/>
  <c r="X1346" i="25"/>
  <c r="AC1346" i="25"/>
  <c r="V1347" i="25" a="1"/>
  <c r="V1347" i="25"/>
  <c r="W1347" i="25"/>
  <c r="AA1347" i="25"/>
  <c r="X1347" i="25"/>
  <c r="AC1347" i="25"/>
  <c r="V1348" i="25" a="1"/>
  <c r="V1348" i="25"/>
  <c r="W1348" i="25"/>
  <c r="AA1348" i="25"/>
  <c r="X1348" i="25"/>
  <c r="AC1348" i="25"/>
  <c r="V1349" i="25" a="1"/>
  <c r="V1349" i="25"/>
  <c r="W1349" i="25"/>
  <c r="AA1349" i="25"/>
  <c r="X1349" i="25"/>
  <c r="AC1349" i="25"/>
  <c r="V1350" i="25" a="1"/>
  <c r="V1350" i="25"/>
  <c r="W1350" i="25"/>
  <c r="AA1350" i="25"/>
  <c r="X1350" i="25"/>
  <c r="AC1350" i="25"/>
  <c r="V1351" i="25" a="1"/>
  <c r="V1351" i="25"/>
  <c r="W1351" i="25"/>
  <c r="AA1351" i="25"/>
  <c r="X1351" i="25"/>
  <c r="AC1351" i="25"/>
  <c r="V1352" i="25" a="1"/>
  <c r="V1352" i="25"/>
  <c r="W1352" i="25"/>
  <c r="AA1352" i="25"/>
  <c r="X1352" i="25"/>
  <c r="AC1352" i="25"/>
  <c r="V1353" i="25" a="1"/>
  <c r="V1353" i="25"/>
  <c r="W1353" i="25"/>
  <c r="AA1353" i="25"/>
  <c r="X1353" i="25"/>
  <c r="AC1353" i="25"/>
  <c r="V1354" i="25" a="1"/>
  <c r="V1354" i="25"/>
  <c r="W1354" i="25"/>
  <c r="AA1354" i="25"/>
  <c r="X1354" i="25"/>
  <c r="AC1354" i="25"/>
  <c r="V1355" i="25" a="1"/>
  <c r="V1355" i="25"/>
  <c r="W1355" i="25"/>
  <c r="AA1355" i="25"/>
  <c r="X1355" i="25"/>
  <c r="AC1355" i="25"/>
  <c r="V1356" i="25" a="1"/>
  <c r="V1356" i="25"/>
  <c r="W1356" i="25"/>
  <c r="AA1356" i="25"/>
  <c r="X1356" i="25"/>
  <c r="AC1356" i="25"/>
  <c r="V1357" i="25" a="1"/>
  <c r="V1357" i="25"/>
  <c r="W1357" i="25"/>
  <c r="AA1357" i="25"/>
  <c r="X1357" i="25"/>
  <c r="AC1357" i="25"/>
  <c r="V1358" i="25" a="1"/>
  <c r="V1358" i="25"/>
  <c r="W1358" i="25"/>
  <c r="AA1358" i="25"/>
  <c r="X1358" i="25"/>
  <c r="AC1358" i="25"/>
  <c r="V1359" i="25" a="1"/>
  <c r="V1359" i="25"/>
  <c r="W1359" i="25"/>
  <c r="AA1359" i="25"/>
  <c r="X1359" i="25"/>
  <c r="AC1359" i="25"/>
  <c r="V1360" i="25" a="1"/>
  <c r="V1360" i="25"/>
  <c r="W1360" i="25"/>
  <c r="AA1360" i="25"/>
  <c r="X1360" i="25"/>
  <c r="AC1360" i="25"/>
  <c r="V1361" i="25" a="1"/>
  <c r="V1361" i="25"/>
  <c r="W1361" i="25"/>
  <c r="AA1361" i="25"/>
  <c r="X1361" i="25"/>
  <c r="AC1361" i="25"/>
  <c r="V1362" i="25" a="1"/>
  <c r="V1362" i="25"/>
  <c r="W1362" i="25"/>
  <c r="AA1362" i="25"/>
  <c r="X1362" i="25"/>
  <c r="AC1362" i="25"/>
  <c r="V1363" i="25" a="1"/>
  <c r="V1363" i="25"/>
  <c r="W1363" i="25"/>
  <c r="AA1363" i="25"/>
  <c r="X1363" i="25"/>
  <c r="AC1363" i="25"/>
  <c r="V1364" i="25" a="1"/>
  <c r="V1364" i="25"/>
  <c r="W1364" i="25"/>
  <c r="AA1364" i="25"/>
  <c r="X1364" i="25"/>
  <c r="AC1364" i="25"/>
  <c r="V1365" i="25" a="1"/>
  <c r="V1365" i="25"/>
  <c r="W1365" i="25"/>
  <c r="AA1365" i="25"/>
  <c r="X1365" i="25"/>
  <c r="AC1365" i="25"/>
  <c r="V1366" i="25" a="1"/>
  <c r="V1366" i="25"/>
  <c r="W1366" i="25"/>
  <c r="AA1366" i="25"/>
  <c r="X1366" i="25"/>
  <c r="AC1366" i="25"/>
  <c r="V1367" i="25" a="1"/>
  <c r="V1367" i="25"/>
  <c r="W1367" i="25"/>
  <c r="AA1367" i="25"/>
  <c r="X1367" i="25"/>
  <c r="AC1367" i="25"/>
  <c r="V1368" i="25" a="1"/>
  <c r="V1368" i="25"/>
  <c r="W1368" i="25"/>
  <c r="AA1368" i="25"/>
  <c r="X1368" i="25"/>
  <c r="AC1368" i="25"/>
  <c r="V1369" i="25" a="1"/>
  <c r="V1369" i="25"/>
  <c r="W1369" i="25"/>
  <c r="AA1369" i="25"/>
  <c r="X1369" i="25"/>
  <c r="AC1369" i="25"/>
  <c r="V1370" i="25" a="1"/>
  <c r="V1370" i="25"/>
  <c r="W1370" i="25"/>
  <c r="AA1370" i="25"/>
  <c r="X1370" i="25"/>
  <c r="AC1370" i="25"/>
  <c r="V1371" i="25" a="1"/>
  <c r="V1371" i="25"/>
  <c r="W1371" i="25"/>
  <c r="AA1371" i="25"/>
  <c r="X1371" i="25"/>
  <c r="AC1371" i="25"/>
  <c r="V1372" i="25" a="1"/>
  <c r="V1372" i="25"/>
  <c r="W1372" i="25"/>
  <c r="AA1372" i="25"/>
  <c r="X1372" i="25"/>
  <c r="AC1372" i="25"/>
  <c r="V1373" i="25" a="1"/>
  <c r="V1373" i="25"/>
  <c r="W1373" i="25"/>
  <c r="AA1373" i="25"/>
  <c r="X1373" i="25"/>
  <c r="AC1373" i="25"/>
  <c r="V1374" i="25" a="1"/>
  <c r="V1374" i="25"/>
  <c r="W1374" i="25"/>
  <c r="AA1374" i="25"/>
  <c r="X1374" i="25"/>
  <c r="AC1374" i="25"/>
  <c r="V1375" i="25" a="1"/>
  <c r="V1375" i="25"/>
  <c r="W1375" i="25"/>
  <c r="AA1375" i="25"/>
  <c r="X1375" i="25"/>
  <c r="AC1375" i="25"/>
  <c r="V1376" i="25" a="1"/>
  <c r="V1376" i="25"/>
  <c r="W1376" i="25"/>
  <c r="AA1376" i="25"/>
  <c r="X1376" i="25"/>
  <c r="AC1376" i="25"/>
  <c r="V1377" i="25" a="1"/>
  <c r="V1377" i="25"/>
  <c r="W1377" i="25"/>
  <c r="AA1377" i="25"/>
  <c r="X1377" i="25"/>
  <c r="AC1377" i="25"/>
  <c r="V1378" i="25" a="1"/>
  <c r="V1378" i="25"/>
  <c r="W1378" i="25"/>
  <c r="AA1378" i="25"/>
  <c r="X1378" i="25"/>
  <c r="AC1378" i="25"/>
  <c r="V1379" i="25" a="1"/>
  <c r="V1379" i="25"/>
  <c r="W1379" i="25"/>
  <c r="AA1379" i="25"/>
  <c r="X1379" i="25"/>
  <c r="AC1379" i="25"/>
  <c r="V1380" i="25" a="1"/>
  <c r="V1380" i="25"/>
  <c r="W1380" i="25"/>
  <c r="AA1380" i="25"/>
  <c r="X1380" i="25"/>
  <c r="AC1380" i="25"/>
  <c r="V1381" i="25" a="1"/>
  <c r="V1381" i="25"/>
  <c r="W1381" i="25"/>
  <c r="AA1381" i="25"/>
  <c r="X1381" i="25"/>
  <c r="AC1381" i="25"/>
  <c r="V1382" i="25" a="1"/>
  <c r="V1382" i="25"/>
  <c r="W1382" i="25"/>
  <c r="AA1382" i="25"/>
  <c r="X1382" i="25"/>
  <c r="AC1382" i="25"/>
  <c r="V1383" i="25" a="1"/>
  <c r="V1383" i="25"/>
  <c r="W1383" i="25"/>
  <c r="AA1383" i="25"/>
  <c r="X1383" i="25"/>
  <c r="AC1383" i="25"/>
  <c r="V1384" i="25" a="1"/>
  <c r="V1384" i="25"/>
  <c r="W1384" i="25"/>
  <c r="AA1384" i="25"/>
  <c r="X1384" i="25"/>
  <c r="AC1384" i="25"/>
  <c r="V1385" i="25" a="1"/>
  <c r="V1385" i="25"/>
  <c r="W1385" i="25"/>
  <c r="AA1385" i="25"/>
  <c r="X1385" i="25"/>
  <c r="AC1385" i="25"/>
  <c r="V1386" i="25" a="1"/>
  <c r="V1386" i="25"/>
  <c r="W1386" i="25"/>
  <c r="AA1386" i="25"/>
  <c r="X1386" i="25"/>
  <c r="AC1386" i="25"/>
  <c r="V1387" i="25" a="1"/>
  <c r="V1387" i="25"/>
  <c r="W1387" i="25"/>
  <c r="AA1387" i="25"/>
  <c r="X1387" i="25"/>
  <c r="AC1387" i="25"/>
  <c r="V1388" i="25" a="1"/>
  <c r="V1388" i="25"/>
  <c r="W1388" i="25"/>
  <c r="AA1388" i="25"/>
  <c r="X1388" i="25"/>
  <c r="AC1388" i="25"/>
  <c r="V1389" i="25" a="1"/>
  <c r="V1389" i="25"/>
  <c r="W1389" i="25"/>
  <c r="AA1389" i="25"/>
  <c r="X1389" i="25"/>
  <c r="AC1389" i="25"/>
  <c r="V1390" i="25" a="1"/>
  <c r="V1390" i="25"/>
  <c r="W1390" i="25"/>
  <c r="AA1390" i="25"/>
  <c r="X1390" i="25"/>
  <c r="AC1390" i="25"/>
  <c r="V1391" i="25" a="1"/>
  <c r="V1391" i="25"/>
  <c r="W1391" i="25"/>
  <c r="AA1391" i="25"/>
  <c r="X1391" i="25"/>
  <c r="AC1391" i="25"/>
  <c r="V1392" i="25" a="1"/>
  <c r="V1392" i="25"/>
  <c r="W1392" i="25"/>
  <c r="AA1392" i="25"/>
  <c r="X1392" i="25"/>
  <c r="AC1392" i="25"/>
  <c r="V1393" i="25" a="1"/>
  <c r="V1393" i="25"/>
  <c r="W1393" i="25"/>
  <c r="AA1393" i="25"/>
  <c r="X1393" i="25"/>
  <c r="AC1393" i="25"/>
  <c r="V1394" i="25" a="1"/>
  <c r="V1394" i="25"/>
  <c r="W1394" i="25"/>
  <c r="AA1394" i="25"/>
  <c r="X1394" i="25"/>
  <c r="AC1394" i="25"/>
  <c r="V1395" i="25" a="1"/>
  <c r="V1395" i="25"/>
  <c r="W1395" i="25"/>
  <c r="AA1395" i="25"/>
  <c r="X1395" i="25"/>
  <c r="AC1395" i="25"/>
  <c r="V1396" i="25" a="1"/>
  <c r="V1396" i="25"/>
  <c r="W1396" i="25"/>
  <c r="AA1396" i="25"/>
  <c r="X1396" i="25"/>
  <c r="AC1396" i="25"/>
  <c r="V1397" i="25" a="1"/>
  <c r="V1397" i="25"/>
  <c r="W1397" i="25"/>
  <c r="AA1397" i="25"/>
  <c r="X1397" i="25"/>
  <c r="AC1397" i="25"/>
  <c r="V1398" i="25" a="1"/>
  <c r="V1398" i="25"/>
  <c r="W1398" i="25"/>
  <c r="AA1398" i="25"/>
  <c r="X1398" i="25"/>
  <c r="AC1398" i="25"/>
  <c r="V1399" i="25" a="1"/>
  <c r="V1399" i="25"/>
  <c r="W1399" i="25"/>
  <c r="AA1399" i="25"/>
  <c r="X1399" i="25"/>
  <c r="AC1399" i="25"/>
  <c r="V1400" i="25" a="1"/>
  <c r="V1400" i="25"/>
  <c r="W1400" i="25"/>
  <c r="AA1400" i="25"/>
  <c r="X1400" i="25"/>
  <c r="AC1400" i="25"/>
  <c r="V1401" i="25" a="1"/>
  <c r="V1401" i="25"/>
  <c r="W1401" i="25"/>
  <c r="AA1401" i="25"/>
  <c r="X1401" i="25"/>
  <c r="AC1401" i="25"/>
  <c r="V1402" i="25" a="1"/>
  <c r="V1402" i="25"/>
  <c r="W1402" i="25"/>
  <c r="AA1402" i="25"/>
  <c r="X1402" i="25"/>
  <c r="AC1402" i="25"/>
  <c r="V1403" i="25" a="1"/>
  <c r="V1403" i="25"/>
  <c r="W1403" i="25"/>
  <c r="AA1403" i="25"/>
  <c r="X1403" i="25"/>
  <c r="AC1403" i="25"/>
  <c r="V1404" i="25" a="1"/>
  <c r="V1404" i="25"/>
  <c r="W1404" i="25"/>
  <c r="AA1404" i="25"/>
  <c r="X1404" i="25"/>
  <c r="AC1404" i="25"/>
  <c r="V1405" i="25" a="1"/>
  <c r="V1405" i="25"/>
  <c r="W1405" i="25"/>
  <c r="AA1405" i="25"/>
  <c r="X1405" i="25"/>
  <c r="AC1405" i="25"/>
  <c r="V1406" i="25" a="1"/>
  <c r="V1406" i="25"/>
  <c r="W1406" i="25"/>
  <c r="AA1406" i="25"/>
  <c r="X1406" i="25"/>
  <c r="AC1406" i="25"/>
  <c r="V1407" i="25" a="1"/>
  <c r="V1407" i="25"/>
  <c r="W1407" i="25"/>
  <c r="AA1407" i="25"/>
  <c r="X1407" i="25"/>
  <c r="AC1407" i="25"/>
  <c r="V1408" i="25" a="1"/>
  <c r="V1408" i="25"/>
  <c r="W1408" i="25"/>
  <c r="AA1408" i="25"/>
  <c r="X1408" i="25"/>
  <c r="AC1408" i="25"/>
  <c r="V1409" i="25" a="1"/>
  <c r="V1409" i="25"/>
  <c r="W1409" i="25"/>
  <c r="AA1409" i="25"/>
  <c r="X1409" i="25"/>
  <c r="AC1409" i="25"/>
  <c r="V1410" i="25" a="1"/>
  <c r="V1410" i="25"/>
  <c r="W1410" i="25"/>
  <c r="AA1410" i="25"/>
  <c r="X1410" i="25"/>
  <c r="AC1410" i="25"/>
  <c r="V1411" i="25" a="1"/>
  <c r="V1411" i="25"/>
  <c r="W1411" i="25"/>
  <c r="AA1411" i="25"/>
  <c r="X1411" i="25"/>
  <c r="AC1411" i="25"/>
  <c r="V1412" i="25" a="1"/>
  <c r="V1412" i="25"/>
  <c r="W1412" i="25"/>
  <c r="AA1412" i="25"/>
  <c r="X1412" i="25"/>
  <c r="AC1412" i="25"/>
  <c r="V1413" i="25" a="1"/>
  <c r="V1413" i="25"/>
  <c r="W1413" i="25"/>
  <c r="AA1413" i="25"/>
  <c r="X1413" i="25"/>
  <c r="AC1413" i="25"/>
  <c r="V1414" i="25" a="1"/>
  <c r="V1414" i="25"/>
  <c r="W1414" i="25"/>
  <c r="AA1414" i="25"/>
  <c r="X1414" i="25"/>
  <c r="AC1414" i="25"/>
  <c r="V1415" i="25" a="1"/>
  <c r="V1415" i="25"/>
  <c r="W1415" i="25"/>
  <c r="AA1415" i="25"/>
  <c r="X1415" i="25"/>
  <c r="AC1415" i="25"/>
  <c r="V1416" i="25" a="1"/>
  <c r="V1416" i="25"/>
  <c r="W1416" i="25"/>
  <c r="AA1416" i="25"/>
  <c r="X1416" i="25"/>
  <c r="AC1416" i="25"/>
  <c r="V1417" i="25" a="1"/>
  <c r="V1417" i="25"/>
  <c r="W1417" i="25"/>
  <c r="AA1417" i="25"/>
  <c r="X1417" i="25"/>
  <c r="AC1417" i="25"/>
  <c r="V1418" i="25" a="1"/>
  <c r="V1418" i="25"/>
  <c r="W1418" i="25"/>
  <c r="AA1418" i="25"/>
  <c r="X1418" i="25"/>
  <c r="AC1418" i="25"/>
  <c r="V1419" i="25" a="1"/>
  <c r="V1419" i="25"/>
  <c r="W1419" i="25"/>
  <c r="AA1419" i="25"/>
  <c r="X1419" i="25"/>
  <c r="AC1419" i="25"/>
  <c r="V1420" i="25" a="1"/>
  <c r="V1420" i="25"/>
  <c r="W1420" i="25"/>
  <c r="AA1420" i="25"/>
  <c r="X1420" i="25"/>
  <c r="AC1420" i="25"/>
  <c r="V1421" i="25" a="1"/>
  <c r="V1421" i="25"/>
  <c r="W1421" i="25"/>
  <c r="AA1421" i="25"/>
  <c r="X1421" i="25"/>
  <c r="AC1421" i="25"/>
  <c r="V1422" i="25" a="1"/>
  <c r="V1422" i="25"/>
  <c r="W1422" i="25"/>
  <c r="AA1422" i="25"/>
  <c r="X1422" i="25"/>
  <c r="AC1422" i="25"/>
  <c r="V1423" i="25" a="1"/>
  <c r="V1423" i="25"/>
  <c r="W1423" i="25"/>
  <c r="AA1423" i="25"/>
  <c r="X1423" i="25"/>
  <c r="AC1423" i="25"/>
  <c r="V1424" i="25" a="1"/>
  <c r="V1424" i="25"/>
  <c r="W1424" i="25"/>
  <c r="AA1424" i="25"/>
  <c r="X1424" i="25"/>
  <c r="AC1424" i="25"/>
  <c r="V1425" i="25" a="1"/>
  <c r="V1425" i="25"/>
  <c r="W1425" i="25"/>
  <c r="AA1425" i="25"/>
  <c r="X1425" i="25"/>
  <c r="AC1425" i="25"/>
  <c r="V1426" i="25" a="1"/>
  <c r="V1426" i="25"/>
  <c r="W1426" i="25"/>
  <c r="AA1426" i="25"/>
  <c r="X1426" i="25"/>
  <c r="AC1426" i="25"/>
  <c r="V1427" i="25" a="1"/>
  <c r="V1427" i="25"/>
  <c r="W1427" i="25"/>
  <c r="AA1427" i="25"/>
  <c r="X1427" i="25"/>
  <c r="AC1427" i="25"/>
  <c r="V1428" i="25" a="1"/>
  <c r="V1428" i="25"/>
  <c r="W1428" i="25"/>
  <c r="AA1428" i="25"/>
  <c r="X1428" i="25"/>
  <c r="AC1428" i="25"/>
  <c r="V1429" i="25" a="1"/>
  <c r="V1429" i="25"/>
  <c r="W1429" i="25"/>
  <c r="AA1429" i="25"/>
  <c r="X1429" i="25"/>
  <c r="AC1429" i="25"/>
  <c r="V1430" i="25" a="1"/>
  <c r="V1430" i="25"/>
  <c r="W1430" i="25"/>
  <c r="AA1430" i="25"/>
  <c r="X1430" i="25"/>
  <c r="AC1430" i="25"/>
  <c r="V1431" i="25" a="1"/>
  <c r="V1431" i="25"/>
  <c r="W1431" i="25"/>
  <c r="AA1431" i="25"/>
  <c r="X1431" i="25"/>
  <c r="AC1431" i="25"/>
  <c r="V1432" i="25" a="1"/>
  <c r="V1432" i="25"/>
  <c r="W1432" i="25"/>
  <c r="AA1432" i="25"/>
  <c r="X1432" i="25"/>
  <c r="AC1432" i="25"/>
  <c r="V1433" i="25" a="1"/>
  <c r="V1433" i="25"/>
  <c r="W1433" i="25"/>
  <c r="AA1433" i="25"/>
  <c r="X1433" i="25"/>
  <c r="AC1433" i="25"/>
  <c r="V1434" i="25" a="1"/>
  <c r="V1434" i="25"/>
  <c r="W1434" i="25"/>
  <c r="AA1434" i="25"/>
  <c r="X1434" i="25"/>
  <c r="AC1434" i="25"/>
  <c r="V1435" i="25" a="1"/>
  <c r="V1435" i="25"/>
  <c r="W1435" i="25"/>
  <c r="AA1435" i="25"/>
  <c r="X1435" i="25"/>
  <c r="AC1435" i="25"/>
  <c r="V1436" i="25" a="1"/>
  <c r="V1436" i="25"/>
  <c r="W1436" i="25"/>
  <c r="AA1436" i="25"/>
  <c r="X1436" i="25"/>
  <c r="AC1436" i="25"/>
  <c r="V1437" i="25" a="1"/>
  <c r="V1437" i="25"/>
  <c r="W1437" i="25"/>
  <c r="AA1437" i="25"/>
  <c r="X1437" i="25"/>
  <c r="AC1437" i="25"/>
  <c r="V1438" i="25" a="1"/>
  <c r="V1438" i="25"/>
  <c r="W1438" i="25"/>
  <c r="AA1438" i="25"/>
  <c r="X1438" i="25"/>
  <c r="AC1438" i="25"/>
  <c r="V1439" i="25" a="1"/>
  <c r="V1439" i="25"/>
  <c r="W1439" i="25"/>
  <c r="AA1439" i="25"/>
  <c r="X1439" i="25"/>
  <c r="AC1439" i="25"/>
  <c r="V1440" i="25" a="1"/>
  <c r="V1440" i="25"/>
  <c r="W1440" i="25"/>
  <c r="AA1440" i="25"/>
  <c r="X1440" i="25"/>
  <c r="AC1440" i="25"/>
  <c r="V1441" i="25" a="1"/>
  <c r="V1441" i="25"/>
  <c r="W1441" i="25"/>
  <c r="AA1441" i="25"/>
  <c r="X1441" i="25"/>
  <c r="AC1441" i="25"/>
  <c r="V1442" i="25" a="1"/>
  <c r="V1442" i="25"/>
  <c r="W1442" i="25"/>
  <c r="AA1442" i="25"/>
  <c r="X1442" i="25"/>
  <c r="AC1442" i="25"/>
  <c r="V1443" i="25" a="1"/>
  <c r="V1443" i="25"/>
  <c r="W1443" i="25"/>
  <c r="AA1443" i="25"/>
  <c r="X1443" i="25"/>
  <c r="AC1443" i="25"/>
  <c r="V1444" i="25" a="1"/>
  <c r="V1444" i="25"/>
  <c r="W1444" i="25"/>
  <c r="AA1444" i="25"/>
  <c r="X1444" i="25"/>
  <c r="AC1444" i="25"/>
  <c r="V1445" i="25" a="1"/>
  <c r="V1445" i="25"/>
  <c r="W1445" i="25"/>
  <c r="AA1445" i="25"/>
  <c r="X1445" i="25"/>
  <c r="AC1445" i="25"/>
  <c r="V1446" i="25" a="1"/>
  <c r="V1446" i="25"/>
  <c r="W1446" i="25"/>
  <c r="AA1446" i="25"/>
  <c r="X1446" i="25"/>
  <c r="AC1446" i="25"/>
  <c r="V1447" i="25" a="1"/>
  <c r="V1447" i="25"/>
  <c r="W1447" i="25"/>
  <c r="AA1447" i="25"/>
  <c r="X1447" i="25"/>
  <c r="AC1447" i="25"/>
  <c r="V1448" i="25" a="1"/>
  <c r="V1448" i="25"/>
  <c r="W1448" i="25"/>
  <c r="AA1448" i="25"/>
  <c r="X1448" i="25"/>
  <c r="AC1448" i="25"/>
  <c r="V1449" i="25" a="1"/>
  <c r="V1449" i="25"/>
  <c r="W1449" i="25"/>
  <c r="AA1449" i="25"/>
  <c r="X1449" i="25"/>
  <c r="AC1449" i="25"/>
  <c r="V1450" i="25" a="1"/>
  <c r="V1450" i="25"/>
  <c r="W1450" i="25"/>
  <c r="AA1450" i="25"/>
  <c r="X1450" i="25"/>
  <c r="AC1450" i="25"/>
  <c r="V1451" i="25" a="1"/>
  <c r="V1451" i="25"/>
  <c r="W1451" i="25"/>
  <c r="AA1451" i="25"/>
  <c r="X1451" i="25"/>
  <c r="AC1451" i="25"/>
  <c r="V1452" i="25" a="1"/>
  <c r="V1452" i="25"/>
  <c r="W1452" i="25"/>
  <c r="AA1452" i="25"/>
  <c r="X1452" i="25"/>
  <c r="AC1452" i="25"/>
  <c r="V1453" i="25" a="1"/>
  <c r="V1453" i="25"/>
  <c r="W1453" i="25"/>
  <c r="AA1453" i="25"/>
  <c r="X1453" i="25"/>
  <c r="AC1453" i="25"/>
  <c r="V1454" i="25" a="1"/>
  <c r="V1454" i="25"/>
  <c r="W1454" i="25"/>
  <c r="AA1454" i="25"/>
  <c r="X1454" i="25"/>
  <c r="AC1454" i="25"/>
  <c r="V1455" i="25" a="1"/>
  <c r="V1455" i="25"/>
  <c r="W1455" i="25"/>
  <c r="AA1455" i="25"/>
  <c r="X1455" i="25"/>
  <c r="AC1455" i="25"/>
  <c r="V1456" i="25" a="1"/>
  <c r="V1456" i="25"/>
  <c r="W1456" i="25"/>
  <c r="AA1456" i="25"/>
  <c r="X1456" i="25"/>
  <c r="AC1456" i="25"/>
  <c r="V1457" i="25" a="1"/>
  <c r="V1457" i="25"/>
  <c r="W1457" i="25"/>
  <c r="AA1457" i="25"/>
  <c r="X1457" i="25"/>
  <c r="AC1457" i="25"/>
  <c r="V1458" i="25" a="1"/>
  <c r="V1458" i="25"/>
  <c r="W1458" i="25"/>
  <c r="AA1458" i="25"/>
  <c r="X1458" i="25"/>
  <c r="AC1458" i="25"/>
  <c r="V1459" i="25" a="1"/>
  <c r="V1459" i="25"/>
  <c r="W1459" i="25"/>
  <c r="AA1459" i="25"/>
  <c r="X1459" i="25"/>
  <c r="AC1459" i="25"/>
  <c r="V1460" i="25" a="1"/>
  <c r="V1460" i="25"/>
  <c r="W1460" i="25"/>
  <c r="AA1460" i="25"/>
  <c r="X1460" i="25"/>
  <c r="AC1460" i="25"/>
  <c r="V1461" i="25" a="1"/>
  <c r="V1461" i="25"/>
  <c r="W1461" i="25"/>
  <c r="AA1461" i="25"/>
  <c r="X1461" i="25"/>
  <c r="AC1461" i="25"/>
  <c r="V1462" i="25" a="1"/>
  <c r="V1462" i="25"/>
  <c r="W1462" i="25"/>
  <c r="AA1462" i="25"/>
  <c r="X1462" i="25"/>
  <c r="AC1462" i="25"/>
  <c r="V1463" i="25" a="1"/>
  <c r="V1463" i="25"/>
  <c r="W1463" i="25"/>
  <c r="AA1463" i="25"/>
  <c r="X1463" i="25"/>
  <c r="AC1463" i="25"/>
  <c r="V1464" i="25" a="1"/>
  <c r="V1464" i="25"/>
  <c r="W1464" i="25"/>
  <c r="AA1464" i="25"/>
  <c r="X1464" i="25"/>
  <c r="AC1464" i="25"/>
  <c r="V1465" i="25" a="1"/>
  <c r="V1465" i="25"/>
  <c r="W1465" i="25"/>
  <c r="AA1465" i="25"/>
  <c r="X1465" i="25"/>
  <c r="AC1465" i="25"/>
  <c r="V1466" i="25" a="1"/>
  <c r="V1466" i="25"/>
  <c r="W1466" i="25"/>
  <c r="AA1466" i="25"/>
  <c r="X1466" i="25"/>
  <c r="AC1466" i="25"/>
  <c r="V1467" i="25" a="1"/>
  <c r="V1467" i="25"/>
  <c r="W1467" i="25"/>
  <c r="AA1467" i="25"/>
  <c r="X1467" i="25"/>
  <c r="AC1467" i="25"/>
  <c r="V1468" i="25" a="1"/>
  <c r="V1468" i="25"/>
  <c r="W1468" i="25"/>
  <c r="AA1468" i="25"/>
  <c r="X1468" i="25"/>
  <c r="AC1468" i="25"/>
  <c r="V1469" i="25" a="1"/>
  <c r="V1469" i="25"/>
  <c r="W1469" i="25"/>
  <c r="AA1469" i="25"/>
  <c r="X1469" i="25"/>
  <c r="AC1469" i="25"/>
  <c r="V1470" i="25" a="1"/>
  <c r="V1470" i="25"/>
  <c r="W1470" i="25"/>
  <c r="AA1470" i="25"/>
  <c r="X1470" i="25"/>
  <c r="AC1470" i="25"/>
  <c r="V1471" i="25" a="1"/>
  <c r="V1471" i="25"/>
  <c r="W1471" i="25"/>
  <c r="AA1471" i="25"/>
  <c r="X1471" i="25"/>
  <c r="AC1471" i="25"/>
  <c r="V1472" i="25" a="1"/>
  <c r="V1472" i="25"/>
  <c r="W1472" i="25"/>
  <c r="AA1472" i="25"/>
  <c r="X1472" i="25"/>
  <c r="AC1472" i="25"/>
  <c r="V1473" i="25" a="1"/>
  <c r="V1473" i="25"/>
  <c r="W1473" i="25"/>
  <c r="AA1473" i="25"/>
  <c r="X1473" i="25"/>
  <c r="AC1473" i="25"/>
  <c r="V1474" i="25" a="1"/>
  <c r="V1474" i="25"/>
  <c r="W1474" i="25"/>
  <c r="AA1474" i="25"/>
  <c r="X1474" i="25"/>
  <c r="AC1474" i="25"/>
  <c r="V1475" i="25" a="1"/>
  <c r="V1475" i="25"/>
  <c r="W1475" i="25"/>
  <c r="AA1475" i="25"/>
  <c r="X1475" i="25"/>
  <c r="AC1475" i="25"/>
  <c r="V1476" i="25" a="1"/>
  <c r="V1476" i="25"/>
  <c r="W1476" i="25"/>
  <c r="AA1476" i="25"/>
  <c r="X1476" i="25"/>
  <c r="AC1476" i="25"/>
  <c r="V1477" i="25" a="1"/>
  <c r="V1477" i="25"/>
  <c r="W1477" i="25"/>
  <c r="AA1477" i="25"/>
  <c r="X1477" i="25"/>
  <c r="AC1477" i="25"/>
  <c r="V1478" i="25" a="1"/>
  <c r="V1478" i="25"/>
  <c r="W1478" i="25"/>
  <c r="AA1478" i="25"/>
  <c r="X1478" i="25"/>
  <c r="AC1478" i="25"/>
  <c r="V1479" i="25" a="1"/>
  <c r="V1479" i="25"/>
  <c r="W1479" i="25"/>
  <c r="AA1479" i="25"/>
  <c r="X1479" i="25"/>
  <c r="AC1479" i="25"/>
  <c r="V1480" i="25" a="1"/>
  <c r="V1480" i="25"/>
  <c r="W1480" i="25"/>
  <c r="AA1480" i="25"/>
  <c r="X1480" i="25"/>
  <c r="AC1480" i="25"/>
  <c r="V1481" i="25" a="1"/>
  <c r="V1481" i="25"/>
  <c r="W1481" i="25"/>
  <c r="AA1481" i="25"/>
  <c r="X1481" i="25"/>
  <c r="AC1481" i="25"/>
  <c r="V1482" i="25" a="1"/>
  <c r="V1482" i="25"/>
  <c r="W1482" i="25"/>
  <c r="AA1482" i="25"/>
  <c r="X1482" i="25"/>
  <c r="AC1482" i="25"/>
  <c r="V1483" i="25" a="1"/>
  <c r="V1483" i="25"/>
  <c r="W1483" i="25"/>
  <c r="AA1483" i="25"/>
  <c r="X1483" i="25"/>
  <c r="AC1483" i="25"/>
  <c r="V1484" i="25" a="1"/>
  <c r="V1484" i="25"/>
  <c r="W1484" i="25"/>
  <c r="AA1484" i="25"/>
  <c r="X1484" i="25"/>
  <c r="AC1484" i="25"/>
  <c r="V1485" i="25" a="1"/>
  <c r="V1485" i="25"/>
  <c r="W1485" i="25"/>
  <c r="AA1485" i="25"/>
  <c r="X1485" i="25"/>
  <c r="AC1485" i="25"/>
  <c r="V1486" i="25" a="1"/>
  <c r="V1486" i="25"/>
  <c r="W1486" i="25"/>
  <c r="AA1486" i="25"/>
  <c r="X1486" i="25"/>
  <c r="AC1486" i="25"/>
  <c r="V1487" i="25" a="1"/>
  <c r="V1487" i="25"/>
  <c r="W1487" i="25"/>
  <c r="AA1487" i="25"/>
  <c r="X1487" i="25"/>
  <c r="AC1487" i="25"/>
  <c r="V1488" i="25" a="1"/>
  <c r="V1488" i="25"/>
  <c r="W1488" i="25"/>
  <c r="AA1488" i="25"/>
  <c r="X1488" i="25"/>
  <c r="AC1488" i="25"/>
  <c r="V1489" i="25" a="1"/>
  <c r="V1489" i="25"/>
  <c r="W1489" i="25"/>
  <c r="AA1489" i="25"/>
  <c r="X1489" i="25"/>
  <c r="AC1489" i="25"/>
  <c r="V1490" i="25" a="1"/>
  <c r="V1490" i="25"/>
  <c r="W1490" i="25"/>
  <c r="AA1490" i="25"/>
  <c r="X1490" i="25"/>
  <c r="AC1490" i="25"/>
  <c r="V1491" i="25" a="1"/>
  <c r="V1491" i="25"/>
  <c r="W1491" i="25"/>
  <c r="AA1491" i="25"/>
  <c r="X1491" i="25"/>
  <c r="AC1491" i="25"/>
  <c r="V1492" i="25" a="1"/>
  <c r="V1492" i="25"/>
  <c r="W1492" i="25"/>
  <c r="AA1492" i="25"/>
  <c r="X1492" i="25"/>
  <c r="AC1492" i="25"/>
  <c r="V1493" i="25" a="1"/>
  <c r="V1493" i="25"/>
  <c r="W1493" i="25"/>
  <c r="AA1493" i="25"/>
  <c r="X1493" i="25"/>
  <c r="AC1493" i="25"/>
  <c r="V1494" i="25" a="1"/>
  <c r="V1494" i="25"/>
  <c r="W1494" i="25"/>
  <c r="AA1494" i="25"/>
  <c r="X1494" i="25"/>
  <c r="AC1494" i="25"/>
  <c r="V1495" i="25" a="1"/>
  <c r="V1495" i="25"/>
  <c r="W1495" i="25"/>
  <c r="AA1495" i="25"/>
  <c r="X1495" i="25"/>
  <c r="AC1495" i="25"/>
  <c r="V1496" i="25" a="1"/>
  <c r="V1496" i="25"/>
  <c r="W1496" i="25"/>
  <c r="AA1496" i="25"/>
  <c r="X1496" i="25"/>
  <c r="AC1496" i="25"/>
  <c r="V1497" i="25" a="1"/>
  <c r="V1497" i="25"/>
  <c r="W1497" i="25"/>
  <c r="AA1497" i="25"/>
  <c r="X1497" i="25"/>
  <c r="AC1497" i="25"/>
  <c r="V1498" i="25" a="1"/>
  <c r="V1498" i="25"/>
  <c r="W1498" i="25"/>
  <c r="AA1498" i="25"/>
  <c r="X1498" i="25"/>
  <c r="AC1498" i="25"/>
  <c r="V1499" i="25" a="1"/>
  <c r="V1499" i="25"/>
  <c r="W1499" i="25"/>
  <c r="AA1499" i="25"/>
  <c r="X1499" i="25"/>
  <c r="AC1499" i="25"/>
  <c r="V1500" i="25" a="1"/>
  <c r="V1500" i="25"/>
  <c r="W1500" i="25"/>
  <c r="AA1500" i="25"/>
  <c r="X1500" i="25"/>
  <c r="AC1500" i="25"/>
  <c r="V1501" i="25" a="1"/>
  <c r="V1501" i="25"/>
  <c r="W1501" i="25"/>
  <c r="AA1501" i="25"/>
  <c r="X1501" i="25"/>
  <c r="AC1501" i="25"/>
  <c r="V1502" i="25" a="1"/>
  <c r="V1502" i="25"/>
  <c r="W1502" i="25"/>
  <c r="AA1502" i="25"/>
  <c r="X1502" i="25"/>
  <c r="AC1502" i="25"/>
  <c r="V1503" i="25" a="1"/>
  <c r="V1503" i="25"/>
  <c r="W1503" i="25"/>
  <c r="AA1503" i="25"/>
  <c r="X1503" i="25"/>
  <c r="AC1503" i="25"/>
  <c r="V1504" i="25" a="1"/>
  <c r="V1504" i="25"/>
  <c r="W1504" i="25"/>
  <c r="AA1504" i="25"/>
  <c r="X1504" i="25"/>
  <c r="AC1504" i="25"/>
  <c r="V1505" i="25" a="1"/>
  <c r="V1505" i="25"/>
  <c r="W1505" i="25"/>
  <c r="AA1505" i="25"/>
  <c r="X1505" i="25"/>
  <c r="AC1505" i="25"/>
  <c r="V1506" i="25" a="1"/>
  <c r="V1506" i="25"/>
  <c r="W1506" i="25"/>
  <c r="AA1506" i="25"/>
  <c r="X1506" i="25"/>
  <c r="AC1506" i="25"/>
  <c r="V1507" i="25" a="1"/>
  <c r="V1507" i="25"/>
  <c r="W1507" i="25"/>
  <c r="AA1507" i="25"/>
  <c r="X1507" i="25"/>
  <c r="AC1507" i="25"/>
  <c r="V1508" i="25" a="1"/>
  <c r="V1508" i="25"/>
  <c r="W1508" i="25"/>
  <c r="AA1508" i="25"/>
  <c r="X1508" i="25"/>
  <c r="AC1508" i="25"/>
  <c r="V1509" i="25" a="1"/>
  <c r="V1509" i="25"/>
  <c r="W1509" i="25"/>
  <c r="AA1509" i="25"/>
  <c r="X1509" i="25"/>
  <c r="AC1509" i="25"/>
  <c r="V1510" i="25" a="1"/>
  <c r="V1510" i="25"/>
  <c r="W1510" i="25"/>
  <c r="AA1510" i="25"/>
  <c r="X1510" i="25"/>
  <c r="AC1510" i="25"/>
  <c r="V1511" i="25" a="1"/>
  <c r="V1511" i="25"/>
  <c r="W1511" i="25"/>
  <c r="AA1511" i="25"/>
  <c r="X1511" i="25"/>
  <c r="AC1511" i="25"/>
  <c r="V1512" i="25" a="1"/>
  <c r="V1512" i="25"/>
  <c r="W1512" i="25"/>
  <c r="AA1512" i="25"/>
  <c r="X1512" i="25"/>
  <c r="AC1512" i="25"/>
  <c r="V1513" i="25" a="1"/>
  <c r="V1513" i="25"/>
  <c r="W1513" i="25"/>
  <c r="AA1513" i="25"/>
  <c r="X1513" i="25"/>
  <c r="AC1513" i="25"/>
  <c r="V1514" i="25" a="1"/>
  <c r="V1514" i="25"/>
  <c r="W1514" i="25"/>
  <c r="AA1514" i="25"/>
  <c r="X1514" i="25"/>
  <c r="AC1514" i="25"/>
  <c r="V1515" i="25" a="1"/>
  <c r="V1515" i="25"/>
  <c r="W1515" i="25"/>
  <c r="AA1515" i="25"/>
  <c r="X1515" i="25"/>
  <c r="AC1515" i="25"/>
  <c r="V1516" i="25" a="1"/>
  <c r="V1516" i="25"/>
  <c r="W1516" i="25"/>
  <c r="AA1516" i="25"/>
  <c r="X1516" i="25"/>
  <c r="AC1516" i="25"/>
  <c r="V1517" i="25" a="1"/>
  <c r="V1517" i="25"/>
  <c r="W1517" i="25"/>
  <c r="AA1517" i="25"/>
  <c r="X1517" i="25"/>
  <c r="AC1517" i="25"/>
  <c r="V1518" i="25" a="1"/>
  <c r="V1518" i="25"/>
  <c r="W1518" i="25"/>
  <c r="AA1518" i="25"/>
  <c r="X1518" i="25"/>
  <c r="AC1518" i="25"/>
  <c r="V1519" i="25" a="1"/>
  <c r="V1519" i="25"/>
  <c r="W1519" i="25"/>
  <c r="AA1519" i="25"/>
  <c r="X1519" i="25"/>
  <c r="AC1519" i="25"/>
  <c r="V1520" i="25" a="1"/>
  <c r="V1520" i="25"/>
  <c r="W1520" i="25"/>
  <c r="AA1520" i="25"/>
  <c r="X1520" i="25"/>
  <c r="AC1520" i="25"/>
  <c r="V1521" i="25" a="1"/>
  <c r="V1521" i="25"/>
  <c r="W1521" i="25"/>
  <c r="AA1521" i="25"/>
  <c r="X1521" i="25"/>
  <c r="AC1521" i="25"/>
  <c r="V1522" i="25" a="1"/>
  <c r="V1522" i="25"/>
  <c r="W1522" i="25"/>
  <c r="AA1522" i="25"/>
  <c r="X1522" i="25"/>
  <c r="AC1522" i="25"/>
  <c r="V1523" i="25" a="1"/>
  <c r="V1523" i="25"/>
  <c r="W1523" i="25"/>
  <c r="AA1523" i="25"/>
  <c r="X1523" i="25"/>
  <c r="AC1523" i="25"/>
  <c r="V1524" i="25" a="1"/>
  <c r="V1524" i="25"/>
  <c r="W1524" i="25"/>
  <c r="AA1524" i="25"/>
  <c r="X1524" i="25"/>
  <c r="AC1524" i="25"/>
  <c r="V1525" i="25" a="1"/>
  <c r="V1525" i="25"/>
  <c r="W1525" i="25"/>
  <c r="AA1525" i="25"/>
  <c r="X1525" i="25"/>
  <c r="AC1525" i="25"/>
  <c r="V1526" i="25" a="1"/>
  <c r="V1526" i="25"/>
  <c r="W1526" i="25"/>
  <c r="AA1526" i="25"/>
  <c r="X1526" i="25"/>
  <c r="AC1526" i="25"/>
  <c r="V1527" i="25" a="1"/>
  <c r="V1527" i="25"/>
  <c r="W1527" i="25"/>
  <c r="AA1527" i="25"/>
  <c r="X1527" i="25"/>
  <c r="AC1527" i="25"/>
  <c r="V1528" i="25" a="1"/>
  <c r="V1528" i="25"/>
  <c r="W1528" i="25"/>
  <c r="AA1528" i="25"/>
  <c r="X1528" i="25"/>
  <c r="AC1528" i="25"/>
  <c r="V1529" i="25" a="1"/>
  <c r="V1529" i="25"/>
  <c r="W1529" i="25"/>
  <c r="AA1529" i="25"/>
  <c r="X1529" i="25"/>
  <c r="AC1529" i="25"/>
  <c r="V1530" i="25" a="1"/>
  <c r="V1530" i="25"/>
  <c r="W1530" i="25"/>
  <c r="AA1530" i="25"/>
  <c r="X1530" i="25"/>
  <c r="AC1530" i="25"/>
  <c r="V1531" i="25" a="1"/>
  <c r="V1531" i="25"/>
  <c r="W1531" i="25"/>
  <c r="AA1531" i="25"/>
  <c r="X1531" i="25"/>
  <c r="AC1531" i="25"/>
  <c r="V1532" i="25" a="1"/>
  <c r="V1532" i="25"/>
  <c r="W1532" i="25"/>
  <c r="AA1532" i="25"/>
  <c r="X1532" i="25"/>
  <c r="AC1532" i="25"/>
  <c r="V1533" i="25" a="1"/>
  <c r="V1533" i="25"/>
  <c r="W1533" i="25"/>
  <c r="AA1533" i="25"/>
  <c r="X1533" i="25"/>
  <c r="AC1533" i="25"/>
  <c r="V1534" i="25" a="1"/>
  <c r="V1534" i="25"/>
  <c r="W1534" i="25"/>
  <c r="AA1534" i="25"/>
  <c r="X1534" i="25"/>
  <c r="AC1534" i="25"/>
  <c r="V1535" i="25" a="1"/>
  <c r="V1535" i="25"/>
  <c r="W1535" i="25"/>
  <c r="AA1535" i="25"/>
  <c r="X1535" i="25"/>
  <c r="AC1535" i="25"/>
  <c r="V1536" i="25" a="1"/>
  <c r="V1536" i="25"/>
  <c r="W1536" i="25"/>
  <c r="AA1536" i="25"/>
  <c r="X1536" i="25"/>
  <c r="AC1536" i="25"/>
  <c r="V1537" i="25" a="1"/>
  <c r="V1537" i="25"/>
  <c r="W1537" i="25"/>
  <c r="AA1537" i="25"/>
  <c r="X1537" i="25"/>
  <c r="AC1537" i="25"/>
  <c r="V1538" i="25" a="1"/>
  <c r="V1538" i="25"/>
  <c r="W1538" i="25"/>
  <c r="AA1538" i="25"/>
  <c r="X1538" i="25"/>
  <c r="AC1538" i="25"/>
  <c r="V1539" i="25" a="1"/>
  <c r="V1539" i="25"/>
  <c r="W1539" i="25"/>
  <c r="AA1539" i="25"/>
  <c r="X1539" i="25"/>
  <c r="AC1539" i="25"/>
  <c r="V1540" i="25" a="1"/>
  <c r="V1540" i="25"/>
  <c r="W1540" i="25"/>
  <c r="AA1540" i="25"/>
  <c r="X1540" i="25"/>
  <c r="AC1540" i="25"/>
  <c r="V1541" i="25" a="1"/>
  <c r="V1541" i="25"/>
  <c r="W1541" i="25"/>
  <c r="AA1541" i="25"/>
  <c r="X1541" i="25"/>
  <c r="AC1541" i="25"/>
  <c r="V1542" i="25" a="1"/>
  <c r="V1542" i="25"/>
  <c r="W1542" i="25"/>
  <c r="AA1542" i="25"/>
  <c r="X1542" i="25"/>
  <c r="AC1542" i="25"/>
  <c r="V1543" i="25" a="1"/>
  <c r="V1543" i="25"/>
  <c r="W1543" i="25"/>
  <c r="AA1543" i="25"/>
  <c r="X1543" i="25"/>
  <c r="AC1543" i="25"/>
  <c r="V1544" i="25" a="1"/>
  <c r="V1544" i="25"/>
  <c r="W1544" i="25"/>
  <c r="AA1544" i="25"/>
  <c r="X1544" i="25"/>
  <c r="AC1544" i="25"/>
  <c r="V1545" i="25" a="1"/>
  <c r="V1545" i="25"/>
  <c r="W1545" i="25"/>
  <c r="AA1545" i="25"/>
  <c r="X1545" i="25"/>
  <c r="AC1545" i="25"/>
  <c r="V1546" i="25" a="1"/>
  <c r="V1546" i="25"/>
  <c r="W1546" i="25"/>
  <c r="AA1546" i="25"/>
  <c r="X1546" i="25"/>
  <c r="AC1546" i="25"/>
  <c r="V1547" i="25" a="1"/>
  <c r="V1547" i="25"/>
  <c r="W1547" i="25"/>
  <c r="AA1547" i="25"/>
  <c r="X1547" i="25"/>
  <c r="AC1547" i="25"/>
  <c r="V1548" i="25" a="1"/>
  <c r="V1548" i="25"/>
  <c r="W1548" i="25"/>
  <c r="AA1548" i="25"/>
  <c r="X1548" i="25"/>
  <c r="AC1548" i="25"/>
  <c r="V1549" i="25" a="1"/>
  <c r="V1549" i="25"/>
  <c r="W1549" i="25"/>
  <c r="AA1549" i="25"/>
  <c r="X1549" i="25"/>
  <c r="AC1549" i="25"/>
  <c r="V1550" i="25" a="1"/>
  <c r="V1550" i="25"/>
  <c r="W1550" i="25"/>
  <c r="AA1550" i="25"/>
  <c r="X1550" i="25"/>
  <c r="AC1550" i="25"/>
  <c r="V1551" i="25" a="1"/>
  <c r="V1551" i="25"/>
  <c r="W1551" i="25"/>
  <c r="AA1551" i="25"/>
  <c r="X1551" i="25"/>
  <c r="AC1551" i="25"/>
  <c r="V1552" i="25" a="1"/>
  <c r="V1552" i="25"/>
  <c r="W1552" i="25"/>
  <c r="AA1552" i="25"/>
  <c r="X1552" i="25"/>
  <c r="AC1552" i="25"/>
  <c r="V1553" i="25" a="1"/>
  <c r="V1553" i="25"/>
  <c r="W1553" i="25"/>
  <c r="AA1553" i="25"/>
  <c r="X1553" i="25"/>
  <c r="AC1553" i="25"/>
  <c r="V1554" i="25" a="1"/>
  <c r="V1554" i="25"/>
  <c r="W1554" i="25"/>
  <c r="AA1554" i="25"/>
  <c r="X1554" i="25"/>
  <c r="AC1554" i="25"/>
  <c r="V1555" i="25" a="1"/>
  <c r="V1555" i="25"/>
  <c r="W1555" i="25"/>
  <c r="AA1555" i="25"/>
  <c r="X1555" i="25"/>
  <c r="AC1555" i="25"/>
  <c r="V1556" i="25" a="1"/>
  <c r="V1556" i="25"/>
  <c r="W1556" i="25"/>
  <c r="AA1556" i="25"/>
  <c r="X1556" i="25"/>
  <c r="AC1556" i="25"/>
  <c r="V1557" i="25" a="1"/>
  <c r="V1557" i="25"/>
  <c r="W1557" i="25"/>
  <c r="AA1557" i="25"/>
  <c r="X1557" i="25"/>
  <c r="AC1557" i="25"/>
  <c r="V1558" i="25" a="1"/>
  <c r="V1558" i="25"/>
  <c r="W1558" i="25"/>
  <c r="AA1558" i="25"/>
  <c r="X1558" i="25"/>
  <c r="AC1558" i="25"/>
  <c r="V1559" i="25" a="1"/>
  <c r="V1559" i="25"/>
  <c r="W1559" i="25"/>
  <c r="AA1559" i="25"/>
  <c r="X1559" i="25"/>
  <c r="AC1559" i="25"/>
  <c r="V1560" i="25" a="1"/>
  <c r="V1560" i="25"/>
  <c r="W1560" i="25"/>
  <c r="AA1560" i="25"/>
  <c r="X1560" i="25"/>
  <c r="AC1560" i="25"/>
  <c r="V1561" i="25" a="1"/>
  <c r="V1561" i="25"/>
  <c r="W1561" i="25"/>
  <c r="AA1561" i="25"/>
  <c r="X1561" i="25"/>
  <c r="AC1561" i="25"/>
  <c r="V1562" i="25" a="1"/>
  <c r="V1562" i="25"/>
  <c r="W1562" i="25"/>
  <c r="AA1562" i="25"/>
  <c r="X1562" i="25"/>
  <c r="AC1562" i="25"/>
  <c r="V1563" i="25" a="1"/>
  <c r="V1563" i="25"/>
  <c r="W1563" i="25"/>
  <c r="AA1563" i="25"/>
  <c r="X1563" i="25"/>
  <c r="AC1563" i="25"/>
  <c r="V1564" i="25" a="1"/>
  <c r="V1564" i="25"/>
  <c r="W1564" i="25"/>
  <c r="AA1564" i="25"/>
  <c r="X1564" i="25"/>
  <c r="AC1564" i="25"/>
  <c r="V1565" i="25" a="1"/>
  <c r="V1565" i="25"/>
  <c r="W1565" i="25"/>
  <c r="AA1565" i="25"/>
  <c r="X1565" i="25"/>
  <c r="AC1565" i="25"/>
  <c r="V1566" i="25" a="1"/>
  <c r="V1566" i="25"/>
  <c r="W1566" i="25"/>
  <c r="AA1566" i="25"/>
  <c r="X1566" i="25"/>
  <c r="AC1566" i="25"/>
  <c r="V1567" i="25" a="1"/>
  <c r="V1567" i="25"/>
  <c r="W1567" i="25"/>
  <c r="AA1567" i="25"/>
  <c r="X1567" i="25"/>
  <c r="AC1567" i="25"/>
  <c r="V1568" i="25" a="1"/>
  <c r="V1568" i="25"/>
  <c r="W1568" i="25"/>
  <c r="AA1568" i="25"/>
  <c r="X1568" i="25"/>
  <c r="AC1568" i="25"/>
  <c r="V1569" i="25" a="1"/>
  <c r="V1569" i="25"/>
  <c r="W1569" i="25"/>
  <c r="AA1569" i="25"/>
  <c r="X1569" i="25"/>
  <c r="AC1569" i="25"/>
  <c r="V1570" i="25" a="1"/>
  <c r="V1570" i="25"/>
  <c r="W1570" i="25"/>
  <c r="AA1570" i="25"/>
  <c r="X1570" i="25"/>
  <c r="AC1570" i="25"/>
  <c r="V1571" i="25" a="1"/>
  <c r="V1571" i="25"/>
  <c r="W1571" i="25"/>
  <c r="AA1571" i="25"/>
  <c r="X1571" i="25"/>
  <c r="AC1571" i="25"/>
  <c r="V1572" i="25" a="1"/>
  <c r="V1572" i="25"/>
  <c r="W1572" i="25"/>
  <c r="AA1572" i="25"/>
  <c r="X1572" i="25"/>
  <c r="AC1572" i="25"/>
  <c r="V1573" i="25" a="1"/>
  <c r="V1573" i="25"/>
  <c r="W1573" i="25"/>
  <c r="AA1573" i="25"/>
  <c r="X1573" i="25"/>
  <c r="AC1573" i="25"/>
  <c r="V1574" i="25" a="1"/>
  <c r="V1574" i="25"/>
  <c r="W1574" i="25"/>
  <c r="AA1574" i="25"/>
  <c r="X1574" i="25"/>
  <c r="AC1574" i="25"/>
  <c r="V1575" i="25" a="1"/>
  <c r="V1575" i="25"/>
  <c r="W1575" i="25"/>
  <c r="AA1575" i="25"/>
  <c r="X1575" i="25"/>
  <c r="AC1575" i="25"/>
  <c r="V1576" i="25" a="1"/>
  <c r="V1576" i="25"/>
  <c r="W1576" i="25"/>
  <c r="AA1576" i="25"/>
  <c r="X1576" i="25"/>
  <c r="AC1576" i="25"/>
  <c r="V1577" i="25" a="1"/>
  <c r="V1577" i="25"/>
  <c r="W1577" i="25"/>
  <c r="AA1577" i="25"/>
  <c r="X1577" i="25"/>
  <c r="AC1577" i="25"/>
  <c r="W1578" i="25"/>
  <c r="AA1578" i="25"/>
  <c r="X1578" i="25"/>
  <c r="AC1578" i="25"/>
  <c r="W1579" i="25"/>
  <c r="AA1579" i="25"/>
  <c r="X1579" i="25"/>
  <c r="AC1579" i="25"/>
  <c r="W1580" i="25"/>
  <c r="AA1580" i="25"/>
  <c r="X1580" i="25"/>
  <c r="AC1580" i="25"/>
  <c r="W1581" i="25"/>
  <c r="AA1581" i="25"/>
  <c r="X1581" i="25"/>
  <c r="AC1581" i="25"/>
  <c r="W1582" i="25"/>
  <c r="AA1582" i="25"/>
  <c r="X1582" i="25"/>
  <c r="AC1582" i="25"/>
  <c r="W1583" i="25"/>
  <c r="AA1583" i="25"/>
  <c r="X1583" i="25"/>
  <c r="AC1583" i="25"/>
  <c r="W1584" i="25"/>
  <c r="AA1584" i="25"/>
  <c r="X1584" i="25"/>
  <c r="AC1584" i="25"/>
  <c r="W1585" i="25"/>
  <c r="AA1585" i="25"/>
  <c r="X1585" i="25"/>
  <c r="AC1585" i="25"/>
  <c r="W1586" i="25"/>
  <c r="AA1586" i="25"/>
  <c r="X1586" i="25"/>
  <c r="AC1586" i="25"/>
  <c r="W1587" i="25"/>
  <c r="AA1587" i="25"/>
  <c r="X1587" i="25"/>
  <c r="AC1587" i="25"/>
  <c r="W1588" i="25"/>
  <c r="AA1588" i="25"/>
  <c r="X1588" i="25"/>
  <c r="AC1588" i="25"/>
  <c r="W1589" i="25"/>
  <c r="AA1589" i="25"/>
  <c r="X1589" i="25"/>
  <c r="AC1589" i="25"/>
  <c r="W1590" i="25"/>
  <c r="AA1590" i="25"/>
  <c r="X1590" i="25"/>
  <c r="AC1590" i="25"/>
  <c r="W1591" i="25"/>
  <c r="AA1591" i="25"/>
  <c r="X1591" i="25"/>
  <c r="AC1591" i="25"/>
  <c r="W1592" i="25"/>
  <c r="AA1592" i="25"/>
  <c r="X1592" i="25"/>
  <c r="AC1592" i="25"/>
  <c r="W1593" i="25"/>
  <c r="AA1593" i="25"/>
  <c r="X1593" i="25"/>
  <c r="AC1593" i="25"/>
  <c r="W1594" i="25"/>
  <c r="AA1594" i="25"/>
  <c r="X1594" i="25"/>
  <c r="AC1594" i="25"/>
  <c r="W1595" i="25"/>
  <c r="AA1595" i="25"/>
  <c r="X1595" i="25"/>
  <c r="AC1595" i="25"/>
  <c r="W1596" i="25"/>
  <c r="AA1596" i="25"/>
  <c r="X1596" i="25"/>
  <c r="AC1596" i="25"/>
  <c r="AB7" i="25"/>
  <c r="AD7" i="25"/>
  <c r="AB8" i="25"/>
  <c r="AD8" i="25"/>
  <c r="AB9" i="25"/>
  <c r="AD9" i="25"/>
  <c r="AB10" i="25"/>
  <c r="AD10" i="25"/>
  <c r="AB11" i="25"/>
  <c r="AD11" i="25"/>
  <c r="AB12" i="25"/>
  <c r="AD12" i="25"/>
  <c r="AB13" i="25"/>
  <c r="AD13" i="25"/>
  <c r="AB14" i="25"/>
  <c r="AD14" i="25"/>
  <c r="AB15" i="25"/>
  <c r="AD15" i="25"/>
  <c r="AB16" i="25"/>
  <c r="AD16" i="25"/>
  <c r="AB17" i="25"/>
  <c r="AD17" i="25"/>
  <c r="AB18" i="25"/>
  <c r="AD18" i="25"/>
  <c r="AB19" i="25"/>
  <c r="AD19" i="25"/>
  <c r="AB20" i="25"/>
  <c r="AD20" i="25"/>
  <c r="AB21" i="25"/>
  <c r="AD21" i="25"/>
  <c r="AB22" i="25"/>
  <c r="AD22" i="25"/>
  <c r="AB23" i="25"/>
  <c r="AD23" i="25"/>
  <c r="AB24" i="25"/>
  <c r="AD24" i="25"/>
  <c r="AB25" i="25"/>
  <c r="AD25" i="25"/>
  <c r="AB26" i="25"/>
  <c r="AD26" i="25"/>
  <c r="AB27" i="25"/>
  <c r="AD27" i="25"/>
  <c r="AB28" i="25"/>
  <c r="AD28" i="25"/>
  <c r="AB29" i="25"/>
  <c r="AD29" i="25"/>
  <c r="AB30" i="25"/>
  <c r="AD30" i="25"/>
  <c r="AB31" i="25"/>
  <c r="AD31" i="25"/>
  <c r="AB32" i="25"/>
  <c r="AD32" i="25"/>
  <c r="AB33" i="25"/>
  <c r="AD33" i="25"/>
  <c r="AB34" i="25"/>
  <c r="AD34" i="25"/>
  <c r="AB35" i="25"/>
  <c r="AD35" i="25"/>
  <c r="AB36" i="25"/>
  <c r="AD36" i="25"/>
  <c r="AB37" i="25"/>
  <c r="AD37" i="25"/>
  <c r="AB38" i="25"/>
  <c r="AD38" i="25"/>
  <c r="AB39" i="25"/>
  <c r="AD39" i="25"/>
  <c r="AB40" i="25"/>
  <c r="AD40" i="25"/>
  <c r="AB41" i="25"/>
  <c r="AD41" i="25"/>
  <c r="AB42" i="25"/>
  <c r="AD42" i="25"/>
  <c r="AB43" i="25"/>
  <c r="AD43" i="25"/>
  <c r="AB44" i="25"/>
  <c r="AD44" i="25"/>
  <c r="AB45" i="25"/>
  <c r="AD45" i="25"/>
  <c r="AB46" i="25"/>
  <c r="AD46" i="25"/>
  <c r="AB47" i="25"/>
  <c r="AD47" i="25"/>
  <c r="AB48" i="25"/>
  <c r="AD48" i="25"/>
  <c r="AB49" i="25"/>
  <c r="AD49" i="25"/>
  <c r="AB50" i="25"/>
  <c r="AD50" i="25"/>
  <c r="AB51" i="25"/>
  <c r="AD51" i="25"/>
  <c r="AB52" i="25"/>
  <c r="AD52" i="25"/>
  <c r="AB53" i="25"/>
  <c r="AD53" i="25"/>
  <c r="AB54" i="25"/>
  <c r="AD54" i="25"/>
  <c r="AB55" i="25"/>
  <c r="AD55" i="25"/>
  <c r="AB56" i="25"/>
  <c r="AD56" i="25"/>
  <c r="AB57" i="25"/>
  <c r="AD57" i="25"/>
  <c r="AB58" i="25"/>
  <c r="AD58" i="25"/>
  <c r="AB59" i="25"/>
  <c r="AD59" i="25"/>
  <c r="AB60" i="25"/>
  <c r="AD60" i="25"/>
  <c r="AB61" i="25"/>
  <c r="AD61" i="25"/>
  <c r="AB62" i="25"/>
  <c r="AD62" i="25"/>
  <c r="AB63" i="25"/>
  <c r="AD63" i="25"/>
  <c r="AB64" i="25"/>
  <c r="AD64" i="25"/>
  <c r="AB65" i="25"/>
  <c r="AD65" i="25"/>
  <c r="AB66" i="25"/>
  <c r="AD66" i="25"/>
  <c r="AB67" i="25"/>
  <c r="AD67" i="25"/>
  <c r="AB68" i="25"/>
  <c r="AD68" i="25"/>
  <c r="AB69" i="25"/>
  <c r="AD69" i="25"/>
  <c r="AB70" i="25"/>
  <c r="AD70" i="25"/>
  <c r="AB71" i="25"/>
  <c r="AD71" i="25"/>
  <c r="AB72" i="25"/>
  <c r="AD72" i="25"/>
  <c r="AB73" i="25"/>
  <c r="AD73" i="25"/>
  <c r="AB74" i="25"/>
  <c r="AD74" i="25"/>
  <c r="AB75" i="25"/>
  <c r="AD75" i="25"/>
  <c r="AB76" i="25"/>
  <c r="AD76" i="25"/>
  <c r="AB77" i="25"/>
  <c r="AD77" i="25"/>
  <c r="AB78" i="25"/>
  <c r="AD78" i="25"/>
  <c r="AB79" i="25"/>
  <c r="AD79" i="25"/>
  <c r="AB80" i="25"/>
  <c r="AD80" i="25"/>
  <c r="AB81" i="25"/>
  <c r="AD81" i="25"/>
  <c r="AB82" i="25"/>
  <c r="AD82" i="25"/>
  <c r="AB83" i="25"/>
  <c r="AD83" i="25"/>
  <c r="AB84" i="25"/>
  <c r="AD84" i="25"/>
  <c r="AB85" i="25"/>
  <c r="AD85" i="25"/>
  <c r="AB86" i="25"/>
  <c r="AD86" i="25"/>
  <c r="AB87" i="25"/>
  <c r="AD87" i="25"/>
  <c r="AB88" i="25"/>
  <c r="AD88" i="25"/>
  <c r="AB89" i="25"/>
  <c r="AD89" i="25"/>
  <c r="AB90" i="25"/>
  <c r="AD90" i="25"/>
  <c r="AB91" i="25"/>
  <c r="AD91" i="25"/>
  <c r="AB92" i="25"/>
  <c r="AD92" i="25"/>
  <c r="AB93" i="25"/>
  <c r="AD93" i="25"/>
  <c r="AB94" i="25"/>
  <c r="AD94" i="25"/>
  <c r="AB95" i="25"/>
  <c r="AD95" i="25"/>
  <c r="AB96" i="25"/>
  <c r="AD96" i="25"/>
  <c r="AB97" i="25"/>
  <c r="AD97" i="25"/>
  <c r="AB98" i="25"/>
  <c r="AD98" i="25"/>
  <c r="AB99" i="25"/>
  <c r="AD99" i="25"/>
  <c r="AB100" i="25"/>
  <c r="AD100" i="25"/>
  <c r="AB101" i="25"/>
  <c r="AD101" i="25"/>
  <c r="AB102" i="25"/>
  <c r="AD102" i="25"/>
  <c r="AB103" i="25"/>
  <c r="AD103" i="25"/>
  <c r="AB104" i="25"/>
  <c r="AD104" i="25"/>
  <c r="AB105" i="25"/>
  <c r="AD105" i="25"/>
  <c r="AB106" i="25"/>
  <c r="AD106" i="25"/>
  <c r="AB107" i="25"/>
  <c r="AD107" i="25"/>
  <c r="AB108" i="25"/>
  <c r="AD108" i="25"/>
  <c r="AB109" i="25"/>
  <c r="AD109" i="25"/>
  <c r="AB110" i="25"/>
  <c r="AD110" i="25"/>
  <c r="AB111" i="25"/>
  <c r="AD111" i="25"/>
  <c r="AB112" i="25"/>
  <c r="AD112" i="25"/>
  <c r="AB113" i="25"/>
  <c r="AD113" i="25"/>
  <c r="AB114" i="25"/>
  <c r="AD114" i="25"/>
  <c r="AB115" i="25"/>
  <c r="AD115" i="25"/>
  <c r="AB116" i="25"/>
  <c r="AD116" i="25"/>
  <c r="AB117" i="25"/>
  <c r="AD117" i="25"/>
  <c r="AB118" i="25"/>
  <c r="AD118" i="25"/>
  <c r="AB119" i="25"/>
  <c r="AD119" i="25"/>
  <c r="AB120" i="25"/>
  <c r="AD120" i="25"/>
  <c r="AB121" i="25"/>
  <c r="AD121" i="25"/>
  <c r="AB122" i="25"/>
  <c r="AD122" i="25"/>
  <c r="AB123" i="25"/>
  <c r="AD123" i="25"/>
  <c r="AB124" i="25"/>
  <c r="AD124" i="25"/>
  <c r="AB125" i="25"/>
  <c r="AD125" i="25"/>
  <c r="AB126" i="25"/>
  <c r="AD126" i="25"/>
  <c r="AB127" i="25"/>
  <c r="AD127" i="25"/>
  <c r="AB128" i="25"/>
  <c r="AD128" i="25"/>
  <c r="AB129" i="25"/>
  <c r="AD129" i="25"/>
  <c r="AB130" i="25"/>
  <c r="AD130" i="25"/>
  <c r="AB131" i="25"/>
  <c r="AD131" i="25"/>
  <c r="AB132" i="25"/>
  <c r="AD132" i="25"/>
  <c r="AB133" i="25"/>
  <c r="AD133" i="25"/>
  <c r="AB134" i="25"/>
  <c r="AD134" i="25"/>
  <c r="AB135" i="25"/>
  <c r="AD135" i="25"/>
  <c r="AB136" i="25"/>
  <c r="AD136" i="25"/>
  <c r="AB137" i="25"/>
  <c r="AD137" i="25"/>
  <c r="AB138" i="25"/>
  <c r="AD138" i="25"/>
  <c r="AB139" i="25"/>
  <c r="AD139" i="25"/>
  <c r="AB140" i="25"/>
  <c r="AD140" i="25"/>
  <c r="AB141" i="25"/>
  <c r="AD141" i="25"/>
  <c r="AB142" i="25"/>
  <c r="AD142" i="25"/>
  <c r="AB143" i="25"/>
  <c r="AD143" i="25"/>
  <c r="AB144" i="25"/>
  <c r="AD144" i="25"/>
  <c r="AB145" i="25"/>
  <c r="AD145" i="25"/>
  <c r="AB146" i="25"/>
  <c r="AD146" i="25"/>
  <c r="AB147" i="25"/>
  <c r="AD147" i="25"/>
  <c r="AB148" i="25"/>
  <c r="AD148" i="25"/>
  <c r="AB149" i="25"/>
  <c r="AD149" i="25"/>
  <c r="AB150" i="25"/>
  <c r="AD150" i="25"/>
  <c r="AB151" i="25"/>
  <c r="AD151" i="25"/>
  <c r="AB152" i="25"/>
  <c r="AD152" i="25"/>
  <c r="AB153" i="25"/>
  <c r="AD153" i="25"/>
  <c r="AB154" i="25"/>
  <c r="AD154" i="25"/>
  <c r="AB155" i="25"/>
  <c r="AD155" i="25"/>
  <c r="AB156" i="25"/>
  <c r="AD156" i="25"/>
  <c r="AB157" i="25"/>
  <c r="AD157" i="25"/>
  <c r="AB158" i="25"/>
  <c r="AD158" i="25"/>
  <c r="AB159" i="25"/>
  <c r="AD159" i="25"/>
  <c r="AB160" i="25"/>
  <c r="AD160" i="25"/>
  <c r="AB161" i="25"/>
  <c r="AD161" i="25"/>
  <c r="AB162" i="25"/>
  <c r="AD162" i="25"/>
  <c r="AB163" i="25"/>
  <c r="AD163" i="25"/>
  <c r="AB164" i="25"/>
  <c r="AD164" i="25"/>
  <c r="AB165" i="25"/>
  <c r="AD165" i="25"/>
  <c r="AB166" i="25"/>
  <c r="AD166" i="25"/>
  <c r="AB167" i="25"/>
  <c r="AD167" i="25"/>
  <c r="AB168" i="25"/>
  <c r="AD168" i="25"/>
  <c r="AB169" i="25"/>
  <c r="AD169" i="25"/>
  <c r="AB170" i="25"/>
  <c r="AD170" i="25"/>
  <c r="AB171" i="25"/>
  <c r="AD171" i="25"/>
  <c r="AB172" i="25"/>
  <c r="AD172" i="25"/>
  <c r="AB173" i="25"/>
  <c r="AD173" i="25"/>
  <c r="AB174" i="25"/>
  <c r="AD174" i="25"/>
  <c r="AB175" i="25"/>
  <c r="AD175" i="25"/>
  <c r="AB176" i="25"/>
  <c r="AD176" i="25"/>
  <c r="AB177" i="25"/>
  <c r="AD177" i="25"/>
  <c r="AB178" i="25"/>
  <c r="AD178" i="25"/>
  <c r="AB179" i="25"/>
  <c r="AD179" i="25"/>
  <c r="AB180" i="25"/>
  <c r="AD180" i="25"/>
  <c r="AB181" i="25"/>
  <c r="AD181" i="25"/>
  <c r="AB182" i="25"/>
  <c r="AD182" i="25"/>
  <c r="AB183" i="25"/>
  <c r="AD183" i="25"/>
  <c r="AB184" i="25"/>
  <c r="AD184" i="25"/>
  <c r="AB185" i="25"/>
  <c r="AD185" i="25"/>
  <c r="AB186" i="25"/>
  <c r="AD186" i="25"/>
  <c r="AB187" i="25"/>
  <c r="AD187" i="25"/>
  <c r="AB188" i="25"/>
  <c r="AD188" i="25"/>
  <c r="AB189" i="25"/>
  <c r="AD189" i="25"/>
  <c r="AB190" i="25"/>
  <c r="AD190" i="25"/>
  <c r="AB191" i="25"/>
  <c r="AD191" i="25"/>
  <c r="AB192" i="25"/>
  <c r="AD192" i="25"/>
  <c r="AB193" i="25"/>
  <c r="AD193" i="25"/>
  <c r="AB194" i="25"/>
  <c r="AD194" i="25"/>
  <c r="AB195" i="25"/>
  <c r="AD195" i="25"/>
  <c r="AB196" i="25"/>
  <c r="AD196" i="25"/>
  <c r="AB197" i="25"/>
  <c r="AD197" i="25"/>
  <c r="AB198" i="25"/>
  <c r="AD198" i="25"/>
  <c r="AB199" i="25"/>
  <c r="AD199" i="25"/>
  <c r="AB200" i="25"/>
  <c r="AD200" i="25"/>
  <c r="AB201" i="25"/>
  <c r="AD201" i="25"/>
  <c r="AB202" i="25"/>
  <c r="AD202" i="25"/>
  <c r="AB203" i="25"/>
  <c r="AD203" i="25"/>
  <c r="AB204" i="25"/>
  <c r="AD204" i="25"/>
  <c r="AB205" i="25"/>
  <c r="AD205" i="25"/>
  <c r="AB206" i="25"/>
  <c r="AD206" i="25"/>
  <c r="AB207" i="25"/>
  <c r="AD207" i="25"/>
  <c r="AB208" i="25"/>
  <c r="AD208" i="25"/>
  <c r="AB209" i="25"/>
  <c r="AD209" i="25"/>
  <c r="AB210" i="25"/>
  <c r="AD210" i="25"/>
  <c r="AB211" i="25"/>
  <c r="AD211" i="25"/>
  <c r="AB212" i="25"/>
  <c r="AD212" i="25"/>
  <c r="AB213" i="25"/>
  <c r="AD213" i="25"/>
  <c r="AB214" i="25"/>
  <c r="AD214" i="25"/>
  <c r="AB215" i="25"/>
  <c r="AD215" i="25"/>
  <c r="AB216" i="25"/>
  <c r="AD216" i="25"/>
  <c r="AB217" i="25"/>
  <c r="AD217" i="25"/>
  <c r="AB218" i="25"/>
  <c r="AD218" i="25"/>
  <c r="AB219" i="25"/>
  <c r="AD219" i="25"/>
  <c r="AB220" i="25"/>
  <c r="AD220" i="25"/>
  <c r="AB221" i="25"/>
  <c r="AD221" i="25"/>
  <c r="AB222" i="25"/>
  <c r="AD222" i="25"/>
  <c r="AB223" i="25"/>
  <c r="AD223" i="25"/>
  <c r="AB224" i="25"/>
  <c r="AD224" i="25"/>
  <c r="AB225" i="25"/>
  <c r="AD225" i="25"/>
  <c r="AB226" i="25"/>
  <c r="AD226" i="25"/>
  <c r="AB227" i="25"/>
  <c r="AD227" i="25"/>
  <c r="AB228" i="25"/>
  <c r="AD228" i="25"/>
  <c r="AB229" i="25"/>
  <c r="AD229" i="25"/>
  <c r="AB230" i="25"/>
  <c r="AD230" i="25"/>
  <c r="AB231" i="25"/>
  <c r="AD231" i="25"/>
  <c r="AB232" i="25"/>
  <c r="AD232" i="25"/>
  <c r="AB233" i="25"/>
  <c r="AD233" i="25"/>
  <c r="AB234" i="25"/>
  <c r="AD234" i="25"/>
  <c r="AB235" i="25"/>
  <c r="AD235" i="25"/>
  <c r="AB236" i="25"/>
  <c r="AD236" i="25"/>
  <c r="AB237" i="25"/>
  <c r="AD237" i="25"/>
  <c r="AB238" i="25"/>
  <c r="AD238" i="25"/>
  <c r="AB239" i="25"/>
  <c r="AD239" i="25"/>
  <c r="AB240" i="25"/>
  <c r="AD240" i="25"/>
  <c r="AB241" i="25"/>
  <c r="AD241" i="25"/>
  <c r="AB242" i="25"/>
  <c r="AD242" i="25"/>
  <c r="AB243" i="25"/>
  <c r="AD243" i="25"/>
  <c r="AB244" i="25"/>
  <c r="AD244" i="25"/>
  <c r="AB245" i="25"/>
  <c r="AD245" i="25"/>
  <c r="AB246" i="25"/>
  <c r="AD246" i="25"/>
  <c r="AB247" i="25"/>
  <c r="AD247" i="25"/>
  <c r="AB248" i="25"/>
  <c r="AD248" i="25"/>
  <c r="AB249" i="25"/>
  <c r="AD249" i="25"/>
  <c r="AB250" i="25"/>
  <c r="AD250" i="25"/>
  <c r="AB251" i="25"/>
  <c r="AD251" i="25"/>
  <c r="AB252" i="25"/>
  <c r="AD252" i="25"/>
  <c r="AB253" i="25"/>
  <c r="AD253" i="25"/>
  <c r="AB254" i="25"/>
  <c r="AD254" i="25"/>
  <c r="AB255" i="25"/>
  <c r="AD255" i="25"/>
  <c r="AB256" i="25"/>
  <c r="AD256" i="25"/>
  <c r="AB257" i="25"/>
  <c r="AD257" i="25"/>
  <c r="AB258" i="25"/>
  <c r="AD258" i="25"/>
  <c r="AB259" i="25"/>
  <c r="AD259" i="25"/>
  <c r="AB260" i="25"/>
  <c r="AD260" i="25"/>
  <c r="AB261" i="25"/>
  <c r="AD261" i="25"/>
  <c r="AB262" i="25"/>
  <c r="AD262" i="25"/>
  <c r="AB263" i="25"/>
  <c r="AD263" i="25"/>
  <c r="AB264" i="25"/>
  <c r="AD264" i="25"/>
  <c r="AB265" i="25"/>
  <c r="AD265" i="25"/>
  <c r="AB266" i="25"/>
  <c r="AD266" i="25"/>
  <c r="AB267" i="25"/>
  <c r="AD267" i="25"/>
  <c r="AB268" i="25"/>
  <c r="AD268" i="25"/>
  <c r="AB269" i="25"/>
  <c r="AD269" i="25"/>
  <c r="AB270" i="25"/>
  <c r="AD270" i="25"/>
  <c r="AB271" i="25"/>
  <c r="AD271" i="25"/>
  <c r="AB272" i="25"/>
  <c r="AD272" i="25"/>
  <c r="AB273" i="25"/>
  <c r="AD273" i="25"/>
  <c r="AB274" i="25"/>
  <c r="AD274" i="25"/>
  <c r="AB275" i="25"/>
  <c r="AD275" i="25"/>
  <c r="AB276" i="25"/>
  <c r="AD276" i="25"/>
  <c r="AB277" i="25"/>
  <c r="AD277" i="25"/>
  <c r="AB278" i="25"/>
  <c r="AD278" i="25"/>
  <c r="AB279" i="25"/>
  <c r="AD279" i="25"/>
  <c r="AB280" i="25"/>
  <c r="AD280" i="25"/>
  <c r="AB281" i="25"/>
  <c r="AD281" i="25"/>
  <c r="AB282" i="25"/>
  <c r="AD282" i="25"/>
  <c r="AB283" i="25"/>
  <c r="AD283" i="25"/>
  <c r="AB284" i="25"/>
  <c r="AD284" i="25"/>
  <c r="AB285" i="25"/>
  <c r="AD285" i="25"/>
  <c r="AB286" i="25"/>
  <c r="AD286" i="25"/>
  <c r="AB287" i="25"/>
  <c r="AD287" i="25"/>
  <c r="AB288" i="25"/>
  <c r="AD288" i="25"/>
  <c r="AB289" i="25"/>
  <c r="AD289" i="25"/>
  <c r="AB290" i="25"/>
  <c r="AD290" i="25"/>
  <c r="AB291" i="25"/>
  <c r="AD291" i="25"/>
  <c r="AB292" i="25"/>
  <c r="AD292" i="25"/>
  <c r="AB293" i="25"/>
  <c r="AD293" i="25"/>
  <c r="AB294" i="25"/>
  <c r="AD294" i="25"/>
  <c r="AB295" i="25"/>
  <c r="AD295" i="25"/>
  <c r="AB296" i="25"/>
  <c r="AD296" i="25"/>
  <c r="AB297" i="25"/>
  <c r="AD297" i="25"/>
  <c r="AB298" i="25"/>
  <c r="AD298" i="25"/>
  <c r="AB299" i="25"/>
  <c r="AD299" i="25"/>
  <c r="AB300" i="25"/>
  <c r="AD300" i="25"/>
  <c r="AB301" i="25"/>
  <c r="AD301" i="25"/>
  <c r="AB302" i="25"/>
  <c r="AD302" i="25"/>
  <c r="AB303" i="25"/>
  <c r="AD303" i="25"/>
  <c r="AB304" i="25"/>
  <c r="AD304" i="25"/>
  <c r="AB305" i="25"/>
  <c r="AD305" i="25"/>
  <c r="AB306" i="25"/>
  <c r="AD306" i="25"/>
  <c r="AB307" i="25"/>
  <c r="AD307" i="25"/>
  <c r="AB308" i="25"/>
  <c r="AD308" i="25"/>
  <c r="AB309" i="25"/>
  <c r="AD309" i="25"/>
  <c r="AB310" i="25"/>
  <c r="AD310" i="25"/>
  <c r="AB311" i="25"/>
  <c r="AD311" i="25"/>
  <c r="AB312" i="25"/>
  <c r="AD312" i="25"/>
  <c r="AB313" i="25"/>
  <c r="AD313" i="25"/>
  <c r="AB314" i="25"/>
  <c r="AD314" i="25"/>
  <c r="AB315" i="25"/>
  <c r="AD315" i="25"/>
  <c r="AB316" i="25"/>
  <c r="AD316" i="25"/>
  <c r="AB317" i="25"/>
  <c r="AD317" i="25"/>
  <c r="AB318" i="25"/>
  <c r="AD318" i="25"/>
  <c r="AB319" i="25"/>
  <c r="AD319" i="25"/>
  <c r="AB320" i="25"/>
  <c r="AD320" i="25"/>
  <c r="AB321" i="25"/>
  <c r="AD321" i="25"/>
  <c r="AB322" i="25"/>
  <c r="AD322" i="25"/>
  <c r="AB323" i="25"/>
  <c r="AD323" i="25"/>
  <c r="AB324" i="25"/>
  <c r="AD324" i="25"/>
  <c r="AB325" i="25"/>
  <c r="AD325" i="25"/>
  <c r="AB326" i="25"/>
  <c r="AD326" i="25"/>
  <c r="AB327" i="25"/>
  <c r="AD327" i="25"/>
  <c r="AB328" i="25"/>
  <c r="AD328" i="25"/>
  <c r="AB329" i="25"/>
  <c r="AD329" i="25"/>
  <c r="AB330" i="25"/>
  <c r="AD330" i="25"/>
  <c r="AB331" i="25"/>
  <c r="AD331" i="25"/>
  <c r="AB332" i="25"/>
  <c r="AD332" i="25"/>
  <c r="AB333" i="25"/>
  <c r="AD333" i="25"/>
  <c r="AB334" i="25"/>
  <c r="AD334" i="25"/>
  <c r="AB335" i="25"/>
  <c r="AD335" i="25"/>
  <c r="AB336" i="25"/>
  <c r="AD336" i="25"/>
  <c r="AB337" i="25"/>
  <c r="AD337" i="25"/>
  <c r="AB338" i="25"/>
  <c r="AD338" i="25"/>
  <c r="AB339" i="25"/>
  <c r="AD339" i="25"/>
  <c r="AB340" i="25"/>
  <c r="AD340" i="25"/>
  <c r="AB341" i="25"/>
  <c r="AD341" i="25"/>
  <c r="AB342" i="25"/>
  <c r="AD342" i="25"/>
  <c r="AB343" i="25"/>
  <c r="AD343" i="25"/>
  <c r="AB344" i="25"/>
  <c r="AD344" i="25"/>
  <c r="AB345" i="25"/>
  <c r="AD345" i="25"/>
  <c r="AB346" i="25"/>
  <c r="AD346" i="25"/>
  <c r="AB347" i="25"/>
  <c r="AD347" i="25"/>
  <c r="AB348" i="25"/>
  <c r="AD348" i="25"/>
  <c r="AB349" i="25"/>
  <c r="AD349" i="25"/>
  <c r="AB350" i="25"/>
  <c r="AD350" i="25"/>
  <c r="AB351" i="25"/>
  <c r="AD351" i="25"/>
  <c r="AB352" i="25"/>
  <c r="AD352" i="25"/>
  <c r="AB353" i="25"/>
  <c r="AD353" i="25"/>
  <c r="AB354" i="25"/>
  <c r="AD354" i="25"/>
  <c r="AB355" i="25"/>
  <c r="AD355" i="25"/>
  <c r="AB356" i="25"/>
  <c r="AD356" i="25"/>
  <c r="AB357" i="25"/>
  <c r="AD357" i="25"/>
  <c r="AB358" i="25"/>
  <c r="AD358" i="25"/>
  <c r="AB359" i="25"/>
  <c r="AD359" i="25"/>
  <c r="AB360" i="25"/>
  <c r="AD360" i="25"/>
  <c r="AB361" i="25"/>
  <c r="AD361" i="25"/>
  <c r="AB362" i="25"/>
  <c r="AD362" i="25"/>
  <c r="AB363" i="25"/>
  <c r="AD363" i="25"/>
  <c r="AB364" i="25"/>
  <c r="AD364" i="25"/>
  <c r="AB365" i="25"/>
  <c r="AD365" i="25"/>
  <c r="AB366" i="25"/>
  <c r="AD366" i="25"/>
  <c r="AB367" i="25"/>
  <c r="AD367" i="25"/>
  <c r="AB368" i="25"/>
  <c r="AD368" i="25"/>
  <c r="AB369" i="25"/>
  <c r="AD369" i="25"/>
  <c r="AB370" i="25"/>
  <c r="AD370" i="25"/>
  <c r="AB371" i="25"/>
  <c r="AD371" i="25"/>
  <c r="AB372" i="25"/>
  <c r="AD372" i="25"/>
  <c r="AB373" i="25"/>
  <c r="AD373" i="25"/>
  <c r="AB374" i="25"/>
  <c r="AD374" i="25"/>
  <c r="AB375" i="25"/>
  <c r="AD375" i="25"/>
  <c r="AB376" i="25"/>
  <c r="AD376" i="25"/>
  <c r="AB377" i="25"/>
  <c r="AD377" i="25"/>
  <c r="AB378" i="25"/>
  <c r="AD378" i="25"/>
  <c r="AB379" i="25"/>
  <c r="AD379" i="25"/>
  <c r="AB380" i="25"/>
  <c r="AD380" i="25"/>
  <c r="AB381" i="25"/>
  <c r="AD381" i="25"/>
  <c r="AB382" i="25"/>
  <c r="AD382" i="25"/>
  <c r="AB383" i="25"/>
  <c r="AD383" i="25"/>
  <c r="AB384" i="25"/>
  <c r="AD384" i="25"/>
  <c r="AB385" i="25"/>
  <c r="AD385" i="25"/>
  <c r="AB386" i="25"/>
  <c r="AD386" i="25"/>
  <c r="AB387" i="25"/>
  <c r="AD387" i="25"/>
  <c r="AB388" i="25"/>
  <c r="AD388" i="25"/>
  <c r="AB389" i="25"/>
  <c r="AD389" i="25"/>
  <c r="AB390" i="25"/>
  <c r="AD390" i="25"/>
  <c r="AB391" i="25"/>
  <c r="AD391" i="25"/>
  <c r="AB392" i="25"/>
  <c r="AD392" i="25"/>
  <c r="AB393" i="25"/>
  <c r="AD393" i="25"/>
  <c r="AB394" i="25"/>
  <c r="AD394" i="25"/>
  <c r="AB395" i="25"/>
  <c r="AD395" i="25"/>
  <c r="AB396" i="25"/>
  <c r="AD396" i="25"/>
  <c r="AB397" i="25"/>
  <c r="AD397" i="25"/>
  <c r="AB398" i="25"/>
  <c r="AD398" i="25"/>
  <c r="AB399" i="25"/>
  <c r="AD399" i="25"/>
  <c r="AB400" i="25"/>
  <c r="AD400" i="25"/>
  <c r="AB401" i="25"/>
  <c r="AD401" i="25"/>
  <c r="AB402" i="25"/>
  <c r="AD402" i="25"/>
  <c r="AB403" i="25"/>
  <c r="AD403" i="25"/>
  <c r="AB404" i="25"/>
  <c r="AD404" i="25"/>
  <c r="AB405" i="25"/>
  <c r="AD405" i="25"/>
  <c r="AB406" i="25"/>
  <c r="AD406" i="25"/>
  <c r="AB407" i="25"/>
  <c r="AD407" i="25"/>
  <c r="AB408" i="25"/>
  <c r="AD408" i="25"/>
  <c r="AB409" i="25"/>
  <c r="AD409" i="25"/>
  <c r="AB410" i="25"/>
  <c r="AD410" i="25"/>
  <c r="AB411" i="25"/>
  <c r="AD411" i="25"/>
  <c r="AB412" i="25"/>
  <c r="AD412" i="25"/>
  <c r="AB413" i="25"/>
  <c r="AD413" i="25"/>
  <c r="AB414" i="25"/>
  <c r="AD414" i="25"/>
  <c r="AB415" i="25"/>
  <c r="AD415" i="25"/>
  <c r="AB416" i="25"/>
  <c r="AD416" i="25"/>
  <c r="AB417" i="25"/>
  <c r="AD417" i="25"/>
  <c r="AB418" i="25"/>
  <c r="AD418" i="25"/>
  <c r="AB419" i="25"/>
  <c r="AD419" i="25"/>
  <c r="AB420" i="25"/>
  <c r="AD420" i="25"/>
  <c r="AB421" i="25"/>
  <c r="AD421" i="25"/>
  <c r="AB422" i="25"/>
  <c r="AD422" i="25"/>
  <c r="AB423" i="25"/>
  <c r="AD423" i="25"/>
  <c r="AB424" i="25"/>
  <c r="AD424" i="25"/>
  <c r="AB425" i="25"/>
  <c r="AD425" i="25"/>
  <c r="AB426" i="25"/>
  <c r="AD426" i="25"/>
  <c r="AB427" i="25"/>
  <c r="AD427" i="25"/>
  <c r="AB428" i="25"/>
  <c r="AD428" i="25"/>
  <c r="AB429" i="25"/>
  <c r="AD429" i="25"/>
  <c r="AB430" i="25"/>
  <c r="AD430" i="25"/>
  <c r="AB431" i="25"/>
  <c r="AD431" i="25"/>
  <c r="AB432" i="25"/>
  <c r="AD432" i="25"/>
  <c r="AB433" i="25"/>
  <c r="AD433" i="25"/>
  <c r="AB434" i="25"/>
  <c r="AD434" i="25"/>
  <c r="AB435" i="25"/>
  <c r="AD435" i="25"/>
  <c r="AB436" i="25"/>
  <c r="AD436" i="25"/>
  <c r="AB437" i="25"/>
  <c r="AD437" i="25"/>
  <c r="AB438" i="25"/>
  <c r="AD438" i="25"/>
  <c r="AB439" i="25"/>
  <c r="AD439" i="25"/>
  <c r="AB440" i="25"/>
  <c r="AD440" i="25"/>
  <c r="AB441" i="25"/>
  <c r="AD441" i="25"/>
  <c r="AB442" i="25"/>
  <c r="AD442" i="25"/>
  <c r="AB443" i="25"/>
  <c r="AD443" i="25"/>
  <c r="AB444" i="25"/>
  <c r="AD444" i="25"/>
  <c r="AB445" i="25"/>
  <c r="AD445" i="25"/>
  <c r="AB446" i="25"/>
  <c r="AD446" i="25"/>
  <c r="AB447" i="25"/>
  <c r="AD447" i="25"/>
  <c r="AB448" i="25"/>
  <c r="AD448" i="25"/>
  <c r="AB449" i="25"/>
  <c r="AD449" i="25"/>
  <c r="AB450" i="25"/>
  <c r="AD450" i="25"/>
  <c r="AB451" i="25"/>
  <c r="AD451" i="25"/>
  <c r="AB452" i="25"/>
  <c r="AD452" i="25"/>
  <c r="AB453" i="25"/>
  <c r="AD453" i="25"/>
  <c r="AB454" i="25"/>
  <c r="AD454" i="25"/>
  <c r="AB455" i="25"/>
  <c r="AD455" i="25"/>
  <c r="AB456" i="25"/>
  <c r="AD456" i="25"/>
  <c r="AB457" i="25"/>
  <c r="AD457" i="25"/>
  <c r="AB458" i="25"/>
  <c r="AD458" i="25"/>
  <c r="AB459" i="25"/>
  <c r="AD459" i="25"/>
  <c r="AB460" i="25"/>
  <c r="AD460" i="25"/>
  <c r="AB461" i="25"/>
  <c r="AD461" i="25"/>
  <c r="AB462" i="25"/>
  <c r="AD462" i="25"/>
  <c r="AB463" i="25"/>
  <c r="AD463" i="25"/>
  <c r="AB464" i="25"/>
  <c r="AD464" i="25"/>
  <c r="AB465" i="25"/>
  <c r="AD465" i="25"/>
  <c r="AB466" i="25"/>
  <c r="AD466" i="25"/>
  <c r="AB467" i="25"/>
  <c r="AD467" i="25"/>
  <c r="AB468" i="25"/>
  <c r="AD468" i="25"/>
  <c r="AB469" i="25"/>
  <c r="AD469" i="25"/>
  <c r="AB470" i="25"/>
  <c r="AD470" i="25"/>
  <c r="AB471" i="25"/>
  <c r="AD471" i="25"/>
  <c r="AB472" i="25"/>
  <c r="AD472" i="25"/>
  <c r="AB473" i="25"/>
  <c r="AD473" i="25"/>
  <c r="AB474" i="25"/>
  <c r="AD474" i="25"/>
  <c r="AB475" i="25"/>
  <c r="AD475" i="25"/>
  <c r="AB476" i="25"/>
  <c r="AD476" i="25"/>
  <c r="AB477" i="25"/>
  <c r="AD477" i="25"/>
  <c r="AB478" i="25"/>
  <c r="AD478" i="25"/>
  <c r="AB479" i="25"/>
  <c r="AD479" i="25"/>
  <c r="AB480" i="25"/>
  <c r="AD480" i="25"/>
  <c r="AB481" i="25"/>
  <c r="AD481" i="25"/>
  <c r="AB482" i="25"/>
  <c r="AD482" i="25"/>
  <c r="AB483" i="25"/>
  <c r="AD483" i="25"/>
  <c r="AB484" i="25"/>
  <c r="AD484" i="25"/>
  <c r="AB485" i="25"/>
  <c r="AD485" i="25"/>
  <c r="AB486" i="25"/>
  <c r="AD486" i="25"/>
  <c r="AB487" i="25"/>
  <c r="AD487" i="25"/>
  <c r="AB488" i="25"/>
  <c r="AD488" i="25"/>
  <c r="AB489" i="25"/>
  <c r="AD489" i="25"/>
  <c r="AB490" i="25"/>
  <c r="AD490" i="25"/>
  <c r="AB491" i="25"/>
  <c r="AD491" i="25"/>
  <c r="AB492" i="25"/>
  <c r="AD492" i="25"/>
  <c r="AB493" i="25"/>
  <c r="AD493" i="25"/>
  <c r="AB494" i="25"/>
  <c r="AD494" i="25"/>
  <c r="AB495" i="25"/>
  <c r="AD495" i="25"/>
  <c r="AB496" i="25"/>
  <c r="AD496" i="25"/>
  <c r="AB497" i="25"/>
  <c r="AD497" i="25"/>
  <c r="AB498" i="25"/>
  <c r="AD498" i="25"/>
  <c r="AB499" i="25"/>
  <c r="AD499" i="25"/>
  <c r="AB500" i="25"/>
  <c r="AD500" i="25"/>
  <c r="AB501" i="25"/>
  <c r="AD501" i="25"/>
  <c r="AB502" i="25"/>
  <c r="AD502" i="25"/>
  <c r="AB503" i="25"/>
  <c r="AD503" i="25"/>
  <c r="AB504" i="25"/>
  <c r="AD504" i="25"/>
  <c r="AB505" i="25"/>
  <c r="AD505" i="25"/>
  <c r="AB506" i="25"/>
  <c r="AD506" i="25"/>
  <c r="AB507" i="25"/>
  <c r="AD507" i="25"/>
  <c r="AB508" i="25"/>
  <c r="AD508" i="25"/>
  <c r="AB509" i="25"/>
  <c r="AD509" i="25"/>
  <c r="AB510" i="25"/>
  <c r="AD510" i="25"/>
  <c r="AB511" i="25"/>
  <c r="AD511" i="25"/>
  <c r="AB512" i="25"/>
  <c r="AD512" i="25"/>
  <c r="AB513" i="25"/>
  <c r="AD513" i="25"/>
  <c r="AB514" i="25"/>
  <c r="AD514" i="25"/>
  <c r="AB515" i="25"/>
  <c r="AD515" i="25"/>
  <c r="AB516" i="25"/>
  <c r="AD516" i="25"/>
  <c r="AB517" i="25"/>
  <c r="AD517" i="25"/>
  <c r="AB518" i="25"/>
  <c r="AD518" i="25"/>
  <c r="AB519" i="25"/>
  <c r="AD519" i="25"/>
  <c r="AB520" i="25"/>
  <c r="AD520" i="25"/>
  <c r="AB521" i="25"/>
  <c r="AD521" i="25"/>
  <c r="AB522" i="25"/>
  <c r="AD522" i="25"/>
  <c r="AB523" i="25"/>
  <c r="AD523" i="25"/>
  <c r="AB524" i="25"/>
  <c r="AD524" i="25"/>
  <c r="AB525" i="25"/>
  <c r="AD525" i="25"/>
  <c r="AB526" i="25"/>
  <c r="AD526" i="25"/>
  <c r="AB527" i="25"/>
  <c r="AD527" i="25"/>
  <c r="AB528" i="25"/>
  <c r="AD528" i="25"/>
  <c r="AB529" i="25"/>
  <c r="AD529" i="25"/>
  <c r="AB530" i="25"/>
  <c r="AD530" i="25"/>
  <c r="AB531" i="25"/>
  <c r="AD531" i="25"/>
  <c r="AB532" i="25"/>
  <c r="AD532" i="25"/>
  <c r="AB533" i="25"/>
  <c r="AD533" i="25"/>
  <c r="AB534" i="25"/>
  <c r="AD534" i="25"/>
  <c r="AB535" i="25"/>
  <c r="AD535" i="25"/>
  <c r="AB536" i="25"/>
  <c r="AD536" i="25"/>
  <c r="AB537" i="25"/>
  <c r="AD537" i="25"/>
  <c r="AB538" i="25"/>
  <c r="AD538" i="25"/>
  <c r="AB539" i="25"/>
  <c r="AD539" i="25"/>
  <c r="AB540" i="25"/>
  <c r="AD540" i="25"/>
  <c r="AB541" i="25"/>
  <c r="AD541" i="25"/>
  <c r="AB542" i="25"/>
  <c r="AD542" i="25"/>
  <c r="AB543" i="25"/>
  <c r="AD543" i="25"/>
  <c r="AB544" i="25"/>
  <c r="AD544" i="25"/>
  <c r="AB545" i="25"/>
  <c r="AD545" i="25"/>
  <c r="AB546" i="25"/>
  <c r="AD546" i="25"/>
  <c r="AB547" i="25"/>
  <c r="AD547" i="25"/>
  <c r="AB548" i="25"/>
  <c r="AD548" i="25"/>
  <c r="AB549" i="25"/>
  <c r="AD549" i="25"/>
  <c r="AB550" i="25"/>
  <c r="AD550" i="25"/>
  <c r="AB551" i="25"/>
  <c r="AD551" i="25"/>
  <c r="AB552" i="25"/>
  <c r="AD552" i="25"/>
  <c r="AB553" i="25"/>
  <c r="AD553" i="25"/>
  <c r="AB554" i="25"/>
  <c r="AD554" i="25"/>
  <c r="AB555" i="25"/>
  <c r="AD555" i="25"/>
  <c r="AB556" i="25"/>
  <c r="AD556" i="25"/>
  <c r="AB557" i="25"/>
  <c r="AD557" i="25"/>
  <c r="AB558" i="25"/>
  <c r="AD558" i="25"/>
  <c r="AB559" i="25"/>
  <c r="AD559" i="25"/>
  <c r="AB560" i="25"/>
  <c r="AD560" i="25"/>
  <c r="AB561" i="25"/>
  <c r="AD561" i="25"/>
  <c r="AB562" i="25"/>
  <c r="AD562" i="25"/>
  <c r="AB563" i="25"/>
  <c r="AD563" i="25"/>
  <c r="AB564" i="25"/>
  <c r="AD564" i="25"/>
  <c r="AB565" i="25"/>
  <c r="AD565" i="25"/>
  <c r="AB566" i="25"/>
  <c r="AD566" i="25"/>
  <c r="AB567" i="25"/>
  <c r="AD567" i="25"/>
  <c r="AB568" i="25"/>
  <c r="AD568" i="25"/>
  <c r="AB569" i="25"/>
  <c r="AD569" i="25"/>
  <c r="AB570" i="25"/>
  <c r="AD570" i="25"/>
  <c r="AB571" i="25"/>
  <c r="AD571" i="25"/>
  <c r="AB572" i="25"/>
  <c r="AD572" i="25"/>
  <c r="AB573" i="25"/>
  <c r="AD573" i="25"/>
  <c r="AB574" i="25"/>
  <c r="AD574" i="25"/>
  <c r="AB575" i="25"/>
  <c r="AD575" i="25"/>
  <c r="AB576" i="25"/>
  <c r="AD576" i="25"/>
  <c r="AB577" i="25"/>
  <c r="AD577" i="25"/>
  <c r="AB578" i="25"/>
  <c r="AD578" i="25"/>
  <c r="AB579" i="25"/>
  <c r="AD579" i="25"/>
  <c r="AB580" i="25"/>
  <c r="AD580" i="25"/>
  <c r="AB581" i="25"/>
  <c r="AD581" i="25"/>
  <c r="AB582" i="25"/>
  <c r="AD582" i="25"/>
  <c r="AB583" i="25"/>
  <c r="AD583" i="25"/>
  <c r="AB584" i="25"/>
  <c r="AD584" i="25"/>
  <c r="AB585" i="25"/>
  <c r="AD585" i="25"/>
  <c r="AB586" i="25"/>
  <c r="AD586" i="25"/>
  <c r="AB587" i="25"/>
  <c r="AD587" i="25"/>
  <c r="AB588" i="25"/>
  <c r="AD588" i="25"/>
  <c r="AB589" i="25"/>
  <c r="AD589" i="25"/>
  <c r="AB590" i="25"/>
  <c r="AD590" i="25"/>
  <c r="AB591" i="25"/>
  <c r="AD591" i="25"/>
  <c r="AB592" i="25"/>
  <c r="AD592" i="25"/>
  <c r="AB593" i="25"/>
  <c r="AD593" i="25"/>
  <c r="AB594" i="25"/>
  <c r="AD594" i="25"/>
  <c r="AB595" i="25"/>
  <c r="AD595" i="25"/>
  <c r="AB596" i="25"/>
  <c r="AD596" i="25"/>
  <c r="AB597" i="25"/>
  <c r="AD597" i="25"/>
  <c r="AB598" i="25"/>
  <c r="AD598" i="25"/>
  <c r="AB599" i="25"/>
  <c r="AD599" i="25"/>
  <c r="AB600" i="25"/>
  <c r="AD600" i="25"/>
  <c r="AB601" i="25"/>
  <c r="AD601" i="25"/>
  <c r="AB602" i="25"/>
  <c r="AD602" i="25"/>
  <c r="AB603" i="25"/>
  <c r="AD603" i="25"/>
  <c r="AB604" i="25"/>
  <c r="AD604" i="25"/>
  <c r="AB605" i="25"/>
  <c r="AD605" i="25"/>
  <c r="AB606" i="25"/>
  <c r="AD606" i="25"/>
  <c r="AB607" i="25"/>
  <c r="AD607" i="25"/>
  <c r="AB608" i="25"/>
  <c r="AD608" i="25"/>
  <c r="AB609" i="25"/>
  <c r="AD609" i="25"/>
  <c r="AB610" i="25"/>
  <c r="AD610" i="25"/>
  <c r="AB611" i="25"/>
  <c r="AD611" i="25"/>
  <c r="AB612" i="25"/>
  <c r="AD612" i="25"/>
  <c r="AB613" i="25"/>
  <c r="AD613" i="25"/>
  <c r="AB614" i="25"/>
  <c r="AD614" i="25"/>
  <c r="AB615" i="25"/>
  <c r="AD615" i="25"/>
  <c r="AB616" i="25"/>
  <c r="AD616" i="25"/>
  <c r="AB617" i="25"/>
  <c r="AD617" i="25"/>
  <c r="AB618" i="25"/>
  <c r="AD618" i="25"/>
  <c r="AB619" i="25"/>
  <c r="AD619" i="25"/>
  <c r="AB620" i="25"/>
  <c r="AD620" i="25"/>
  <c r="AB621" i="25"/>
  <c r="AD621" i="25"/>
  <c r="AB622" i="25"/>
  <c r="AD622" i="25"/>
  <c r="AB623" i="25"/>
  <c r="AD623" i="25"/>
  <c r="AB624" i="25"/>
  <c r="AD624" i="25"/>
  <c r="AB625" i="25"/>
  <c r="AD625" i="25"/>
  <c r="AB626" i="25"/>
  <c r="AD626" i="25"/>
  <c r="AB627" i="25"/>
  <c r="AD627" i="25"/>
  <c r="AB628" i="25"/>
  <c r="AD628" i="25"/>
  <c r="AB629" i="25"/>
  <c r="AD629" i="25"/>
  <c r="AB630" i="25"/>
  <c r="AD630" i="25"/>
  <c r="AB631" i="25"/>
  <c r="AD631" i="25"/>
  <c r="AB632" i="25"/>
  <c r="AD632" i="25"/>
  <c r="AB633" i="25"/>
  <c r="AD633" i="25"/>
  <c r="AB634" i="25"/>
  <c r="AD634" i="25"/>
  <c r="AB635" i="25"/>
  <c r="AD635" i="25"/>
  <c r="AB636" i="25"/>
  <c r="AD636" i="25"/>
  <c r="AB637" i="25"/>
  <c r="AD637" i="25"/>
  <c r="AB638" i="25"/>
  <c r="AD638" i="25"/>
  <c r="AB639" i="25"/>
  <c r="AD639" i="25"/>
  <c r="AB640" i="25"/>
  <c r="AD640" i="25"/>
  <c r="AB641" i="25"/>
  <c r="AD641" i="25"/>
  <c r="AB642" i="25"/>
  <c r="AD642" i="25"/>
  <c r="AB643" i="25"/>
  <c r="AD643" i="25"/>
  <c r="AB644" i="25"/>
  <c r="AD644" i="25"/>
  <c r="AB645" i="25"/>
  <c r="AD645" i="25"/>
  <c r="AB646" i="25"/>
  <c r="AD646" i="25"/>
  <c r="AB647" i="25"/>
  <c r="AD647" i="25"/>
  <c r="AB648" i="25"/>
  <c r="AD648" i="25"/>
  <c r="AB649" i="25"/>
  <c r="AD649" i="25"/>
  <c r="AB650" i="25"/>
  <c r="AD650" i="25"/>
  <c r="AB651" i="25"/>
  <c r="AD651" i="25"/>
  <c r="AB652" i="25"/>
  <c r="AD652" i="25"/>
  <c r="AB653" i="25"/>
  <c r="AD653" i="25"/>
  <c r="AB654" i="25"/>
  <c r="AD654" i="25"/>
  <c r="AB655" i="25"/>
  <c r="AD655" i="25"/>
  <c r="AB656" i="25"/>
  <c r="AD656" i="25"/>
  <c r="AB657" i="25"/>
  <c r="AD657" i="25"/>
  <c r="AB658" i="25"/>
  <c r="AD658" i="25"/>
  <c r="AB659" i="25"/>
  <c r="AD659" i="25"/>
  <c r="AB660" i="25"/>
  <c r="AD660" i="25"/>
  <c r="AB661" i="25"/>
  <c r="AD661" i="25"/>
  <c r="AB662" i="25"/>
  <c r="AD662" i="25"/>
  <c r="AB663" i="25"/>
  <c r="AD663" i="25"/>
  <c r="AB664" i="25"/>
  <c r="AD664" i="25"/>
  <c r="AB665" i="25"/>
  <c r="AD665" i="25"/>
  <c r="AB666" i="25"/>
  <c r="AD666" i="25"/>
  <c r="AB667" i="25"/>
  <c r="AD667" i="25"/>
  <c r="AB668" i="25"/>
  <c r="AD668" i="25"/>
  <c r="AB669" i="25"/>
  <c r="AD669" i="25"/>
  <c r="AB670" i="25"/>
  <c r="AD670" i="25"/>
  <c r="AB671" i="25"/>
  <c r="AD671" i="25"/>
  <c r="AB672" i="25"/>
  <c r="AD672" i="25"/>
  <c r="AB673" i="25"/>
  <c r="AD673" i="25"/>
  <c r="AB674" i="25"/>
  <c r="AD674" i="25"/>
  <c r="AB675" i="25"/>
  <c r="AD675" i="25"/>
  <c r="AB676" i="25"/>
  <c r="AD676" i="25"/>
  <c r="AB677" i="25"/>
  <c r="AD677" i="25"/>
  <c r="AB678" i="25"/>
  <c r="AD678" i="25"/>
  <c r="AB679" i="25"/>
  <c r="AD679" i="25"/>
  <c r="AB680" i="25"/>
  <c r="AD680" i="25"/>
  <c r="AB681" i="25"/>
  <c r="AD681" i="25"/>
  <c r="AB682" i="25"/>
  <c r="AD682" i="25"/>
  <c r="AB683" i="25"/>
  <c r="AD683" i="25"/>
  <c r="AB684" i="25"/>
  <c r="AD684" i="25"/>
  <c r="AB685" i="25"/>
  <c r="AD685" i="25"/>
  <c r="AB686" i="25"/>
  <c r="AD686" i="25"/>
  <c r="AB687" i="25"/>
  <c r="AD687" i="25"/>
  <c r="AB688" i="25"/>
  <c r="AD688" i="25"/>
  <c r="AB689" i="25"/>
  <c r="AD689" i="25"/>
  <c r="AB690" i="25"/>
  <c r="AD690" i="25"/>
  <c r="AB691" i="25"/>
  <c r="AD691" i="25"/>
  <c r="AB692" i="25"/>
  <c r="AD692" i="25"/>
  <c r="AB693" i="25"/>
  <c r="AD693" i="25"/>
  <c r="AB694" i="25"/>
  <c r="AD694" i="25"/>
  <c r="AB695" i="25"/>
  <c r="AD695" i="25"/>
  <c r="AB696" i="25"/>
  <c r="AD696" i="25"/>
  <c r="AB697" i="25"/>
  <c r="AD697" i="25"/>
  <c r="AB698" i="25"/>
  <c r="AD698" i="25"/>
  <c r="AB699" i="25"/>
  <c r="AD699" i="25"/>
  <c r="AB700" i="25"/>
  <c r="AD700" i="25"/>
  <c r="AB701" i="25"/>
  <c r="AD701" i="25"/>
  <c r="AB702" i="25"/>
  <c r="AD702" i="25"/>
  <c r="AB703" i="25"/>
  <c r="AD703" i="25"/>
  <c r="AB704" i="25"/>
  <c r="AD704" i="25"/>
  <c r="AB705" i="25"/>
  <c r="AD705" i="25"/>
  <c r="AB706" i="25"/>
  <c r="AD706" i="25"/>
  <c r="AB707" i="25"/>
  <c r="AD707" i="25"/>
  <c r="AB708" i="25"/>
  <c r="AD708" i="25"/>
  <c r="AB709" i="25"/>
  <c r="AD709" i="25"/>
  <c r="AB710" i="25"/>
  <c r="AD710" i="25"/>
  <c r="AB711" i="25"/>
  <c r="AD711" i="25"/>
  <c r="AB712" i="25"/>
  <c r="AD712" i="25"/>
  <c r="AB713" i="25"/>
  <c r="AD713" i="25"/>
  <c r="AB714" i="25"/>
  <c r="AD714" i="25"/>
  <c r="AB715" i="25"/>
  <c r="AD715" i="25"/>
  <c r="AB716" i="25"/>
  <c r="AD716" i="25"/>
  <c r="AB717" i="25"/>
  <c r="AD717" i="25"/>
  <c r="AB718" i="25"/>
  <c r="AD718" i="25"/>
  <c r="AB719" i="25"/>
  <c r="AD719" i="25"/>
  <c r="AB720" i="25"/>
  <c r="AD720" i="25"/>
  <c r="AB721" i="25"/>
  <c r="AD721" i="25"/>
  <c r="AB722" i="25"/>
  <c r="AD722" i="25"/>
  <c r="AB723" i="25"/>
  <c r="AD723" i="25"/>
  <c r="AB724" i="25"/>
  <c r="AD724" i="25"/>
  <c r="AB725" i="25"/>
  <c r="AD725" i="25"/>
  <c r="AB726" i="25"/>
  <c r="AD726" i="25"/>
  <c r="AB727" i="25"/>
  <c r="AD727" i="25"/>
  <c r="AB728" i="25"/>
  <c r="AD728" i="25"/>
  <c r="AB729" i="25"/>
  <c r="AD729" i="25"/>
  <c r="AB730" i="25"/>
  <c r="AD730" i="25"/>
  <c r="AB731" i="25"/>
  <c r="AD731" i="25"/>
  <c r="AB732" i="25"/>
  <c r="AD732" i="25"/>
  <c r="AB733" i="25"/>
  <c r="AD733" i="25"/>
  <c r="AB734" i="25"/>
  <c r="AD734" i="25"/>
  <c r="AB735" i="25"/>
  <c r="AD735" i="25"/>
  <c r="AB736" i="25"/>
  <c r="AD736" i="25"/>
  <c r="AB737" i="25"/>
  <c r="AD737" i="25"/>
  <c r="AB738" i="25"/>
  <c r="AD738" i="25"/>
  <c r="AB739" i="25"/>
  <c r="AD739" i="25"/>
  <c r="AB740" i="25"/>
  <c r="AD740" i="25"/>
  <c r="AB741" i="25"/>
  <c r="AD741" i="25"/>
  <c r="AB742" i="25"/>
  <c r="AD742" i="25"/>
  <c r="AB743" i="25"/>
  <c r="AD743" i="25"/>
  <c r="AB744" i="25"/>
  <c r="AD744" i="25"/>
  <c r="AB745" i="25"/>
  <c r="AD745" i="25"/>
  <c r="AB746" i="25"/>
  <c r="AD746" i="25"/>
  <c r="AB747" i="25"/>
  <c r="AD747" i="25"/>
  <c r="AB748" i="25"/>
  <c r="AD748" i="25"/>
  <c r="AB749" i="25"/>
  <c r="AD749" i="25"/>
  <c r="AB750" i="25"/>
  <c r="AD750" i="25"/>
  <c r="AB751" i="25"/>
  <c r="AD751" i="25"/>
  <c r="AB752" i="25"/>
  <c r="AD752" i="25"/>
  <c r="AB753" i="25"/>
  <c r="AD753" i="25"/>
  <c r="AB754" i="25"/>
  <c r="AD754" i="25"/>
  <c r="AB755" i="25"/>
  <c r="AD755" i="25"/>
  <c r="AB756" i="25"/>
  <c r="AD756" i="25"/>
  <c r="AB757" i="25"/>
  <c r="AD757" i="25"/>
  <c r="AB758" i="25"/>
  <c r="AD758" i="25"/>
  <c r="AB759" i="25"/>
  <c r="AD759" i="25"/>
  <c r="AB760" i="25"/>
  <c r="AD760" i="25"/>
  <c r="AB761" i="25"/>
  <c r="AD761" i="25"/>
  <c r="AB762" i="25"/>
  <c r="AD762" i="25"/>
  <c r="AB763" i="25"/>
  <c r="AD763" i="25"/>
  <c r="AB764" i="25"/>
  <c r="AD764" i="25"/>
  <c r="AB765" i="25"/>
  <c r="AD765" i="25"/>
  <c r="AB766" i="25"/>
  <c r="AD766" i="25"/>
  <c r="AB767" i="25"/>
  <c r="AD767" i="25"/>
  <c r="AB768" i="25"/>
  <c r="AD768" i="25"/>
  <c r="AB769" i="25"/>
  <c r="AD769" i="25"/>
  <c r="AB770" i="25"/>
  <c r="AD770" i="25"/>
  <c r="AB771" i="25"/>
  <c r="AD771" i="25"/>
  <c r="AB772" i="25"/>
  <c r="AD772" i="25"/>
  <c r="AB773" i="25"/>
  <c r="AD773" i="25"/>
  <c r="AB774" i="25"/>
  <c r="AD774" i="25"/>
  <c r="AB775" i="25"/>
  <c r="AD775" i="25"/>
  <c r="AB776" i="25"/>
  <c r="AD776" i="25"/>
  <c r="AB777" i="25"/>
  <c r="AD777" i="25"/>
  <c r="AB778" i="25"/>
  <c r="AD778" i="25"/>
  <c r="AB779" i="25"/>
  <c r="AD779" i="25"/>
  <c r="AB780" i="25"/>
  <c r="AD780" i="25"/>
  <c r="AB781" i="25"/>
  <c r="AD781" i="25"/>
  <c r="AB782" i="25"/>
  <c r="AD782" i="25"/>
  <c r="AB783" i="25"/>
  <c r="AD783" i="25"/>
  <c r="AB784" i="25"/>
  <c r="AD784" i="25"/>
  <c r="AB785" i="25"/>
  <c r="AD785" i="25"/>
  <c r="AB786" i="25"/>
  <c r="AD786" i="25"/>
  <c r="AB787" i="25"/>
  <c r="AD787" i="25"/>
  <c r="AB788" i="25"/>
  <c r="AD788" i="25"/>
  <c r="AB789" i="25"/>
  <c r="AD789" i="25"/>
  <c r="AB790" i="25"/>
  <c r="AD790" i="25"/>
  <c r="AB791" i="25"/>
  <c r="AD791" i="25"/>
  <c r="AB792" i="25"/>
  <c r="AD792" i="25"/>
  <c r="AB793" i="25"/>
  <c r="AD793" i="25"/>
  <c r="AB794" i="25"/>
  <c r="AD794" i="25"/>
  <c r="AB795" i="25"/>
  <c r="AD795" i="25"/>
  <c r="AB796" i="25"/>
  <c r="AD796" i="25"/>
  <c r="AB797" i="25"/>
  <c r="AD797" i="25"/>
  <c r="AB798" i="25"/>
  <c r="AD798" i="25"/>
  <c r="AB799" i="25"/>
  <c r="AD799" i="25"/>
  <c r="AB800" i="25"/>
  <c r="AD800" i="25"/>
  <c r="AB801" i="25"/>
  <c r="AD801" i="25"/>
  <c r="AB802" i="25"/>
  <c r="AD802" i="25"/>
  <c r="AB803" i="25"/>
  <c r="AD803" i="25"/>
  <c r="AB804" i="25"/>
  <c r="AD804" i="25"/>
  <c r="AB805" i="25"/>
  <c r="AD805" i="25"/>
  <c r="AB806" i="25"/>
  <c r="AD806" i="25"/>
  <c r="AB807" i="25"/>
  <c r="AD807" i="25"/>
  <c r="AB808" i="25"/>
  <c r="AD808" i="25"/>
  <c r="AB809" i="25"/>
  <c r="AD809" i="25"/>
  <c r="AB810" i="25"/>
  <c r="AD810" i="25"/>
  <c r="AB811" i="25"/>
  <c r="AD811" i="25"/>
  <c r="AB812" i="25"/>
  <c r="AD812" i="25"/>
  <c r="AB813" i="25"/>
  <c r="AD813" i="25"/>
  <c r="AB814" i="25"/>
  <c r="AD814" i="25"/>
  <c r="AB815" i="25"/>
  <c r="AD815" i="25"/>
  <c r="AB816" i="25"/>
  <c r="AD816" i="25"/>
  <c r="AB817" i="25"/>
  <c r="AD817" i="25"/>
  <c r="AB818" i="25"/>
  <c r="AD818" i="25"/>
  <c r="AB819" i="25"/>
  <c r="AD819" i="25"/>
  <c r="AB820" i="25"/>
  <c r="AD820" i="25"/>
  <c r="AB821" i="25"/>
  <c r="AD821" i="25"/>
  <c r="AB822" i="25"/>
  <c r="AD822" i="25"/>
  <c r="AB823" i="25"/>
  <c r="AD823" i="25"/>
  <c r="AB824" i="25"/>
  <c r="AD824" i="25"/>
  <c r="AB825" i="25"/>
  <c r="AD825" i="25"/>
  <c r="AB826" i="25"/>
  <c r="AD826" i="25"/>
  <c r="AB827" i="25"/>
  <c r="AD827" i="25"/>
  <c r="AB828" i="25"/>
  <c r="AD828" i="25"/>
  <c r="AB829" i="25"/>
  <c r="AD829" i="25"/>
  <c r="AB830" i="25"/>
  <c r="AD830" i="25"/>
  <c r="AB831" i="25"/>
  <c r="AD831" i="25"/>
  <c r="AB832" i="25"/>
  <c r="AD832" i="25"/>
  <c r="AB833" i="25"/>
  <c r="AD833" i="25"/>
  <c r="AB834" i="25"/>
  <c r="AD834" i="25"/>
  <c r="AB835" i="25"/>
  <c r="AD835" i="25"/>
  <c r="AB836" i="25"/>
  <c r="AD836" i="25"/>
  <c r="AB837" i="25"/>
  <c r="AD837" i="25"/>
  <c r="AB838" i="25"/>
  <c r="AD838" i="25"/>
  <c r="AB839" i="25"/>
  <c r="AD839" i="25"/>
  <c r="AB840" i="25"/>
  <c r="AD840" i="25"/>
  <c r="AB841" i="25"/>
  <c r="AD841" i="25"/>
  <c r="AB842" i="25"/>
  <c r="AD842" i="25"/>
  <c r="AB843" i="25"/>
  <c r="AD843" i="25"/>
  <c r="AB844" i="25"/>
  <c r="AD844" i="25"/>
  <c r="AB845" i="25"/>
  <c r="AD845" i="25"/>
  <c r="AB846" i="25"/>
  <c r="AD846" i="25"/>
  <c r="AB847" i="25"/>
  <c r="AD847" i="25"/>
  <c r="AB848" i="25"/>
  <c r="AD848" i="25"/>
  <c r="AB849" i="25"/>
  <c r="AD849" i="25"/>
  <c r="AB850" i="25"/>
  <c r="AD850" i="25"/>
  <c r="AB851" i="25"/>
  <c r="AD851" i="25"/>
  <c r="AB852" i="25"/>
  <c r="AD852" i="25"/>
  <c r="AB853" i="25"/>
  <c r="AD853" i="25"/>
  <c r="AB854" i="25"/>
  <c r="AD854" i="25"/>
  <c r="AB855" i="25"/>
  <c r="AD855" i="25"/>
  <c r="AB856" i="25"/>
  <c r="AD856" i="25"/>
  <c r="AB857" i="25"/>
  <c r="AD857" i="25"/>
  <c r="AB858" i="25"/>
  <c r="AD858" i="25"/>
  <c r="AB859" i="25"/>
  <c r="AD859" i="25"/>
  <c r="AB860" i="25"/>
  <c r="AD860" i="25"/>
  <c r="AB861" i="25"/>
  <c r="AD861" i="25"/>
  <c r="AB862" i="25"/>
  <c r="AD862" i="25"/>
  <c r="AB863" i="25"/>
  <c r="AD863" i="25"/>
  <c r="AB864" i="25"/>
  <c r="AD864" i="25"/>
  <c r="AB865" i="25"/>
  <c r="AD865" i="25"/>
  <c r="AB866" i="25"/>
  <c r="AD866" i="25"/>
  <c r="AB867" i="25"/>
  <c r="AD867" i="25"/>
  <c r="AB868" i="25"/>
  <c r="AD868" i="25"/>
  <c r="AB869" i="25"/>
  <c r="AD869" i="25"/>
  <c r="AB870" i="25"/>
  <c r="AD870" i="25"/>
  <c r="AB871" i="25"/>
  <c r="AD871" i="25"/>
  <c r="AB872" i="25"/>
  <c r="AD872" i="25"/>
  <c r="AB873" i="25"/>
  <c r="AD873" i="25"/>
  <c r="AB874" i="25"/>
  <c r="AD874" i="25"/>
  <c r="AB875" i="25"/>
  <c r="AD875" i="25"/>
  <c r="AB876" i="25"/>
  <c r="AD876" i="25"/>
  <c r="AB877" i="25"/>
  <c r="AD877" i="25"/>
  <c r="AB878" i="25"/>
  <c r="AD878" i="25"/>
  <c r="AB879" i="25"/>
  <c r="AD879" i="25"/>
  <c r="AB880" i="25"/>
  <c r="AD880" i="25"/>
  <c r="AB881" i="25"/>
  <c r="AD881" i="25"/>
  <c r="AB882" i="25"/>
  <c r="AD882" i="25"/>
  <c r="AB883" i="25"/>
  <c r="AD883" i="25"/>
  <c r="AB884" i="25"/>
  <c r="AD884" i="25"/>
  <c r="AB885" i="25"/>
  <c r="AD885" i="25"/>
  <c r="AB886" i="25"/>
  <c r="AD886" i="25"/>
  <c r="AB887" i="25"/>
  <c r="AD887" i="25"/>
  <c r="AB888" i="25"/>
  <c r="AD888" i="25"/>
  <c r="AB889" i="25"/>
  <c r="AD889" i="25"/>
  <c r="AB890" i="25"/>
  <c r="AD890" i="25"/>
  <c r="AB891" i="25"/>
  <c r="AD891" i="25"/>
  <c r="AB892" i="25"/>
  <c r="AD892" i="25"/>
  <c r="AB893" i="25"/>
  <c r="AD893" i="25"/>
  <c r="AB894" i="25"/>
  <c r="AD894" i="25"/>
  <c r="AB895" i="25"/>
  <c r="AD895" i="25"/>
  <c r="AB896" i="25"/>
  <c r="AD896" i="25"/>
  <c r="AB897" i="25"/>
  <c r="AD897" i="25"/>
  <c r="AB898" i="25"/>
  <c r="AD898" i="25"/>
  <c r="AB899" i="25"/>
  <c r="AD899" i="25"/>
  <c r="AB900" i="25"/>
  <c r="AD900" i="25"/>
  <c r="AB901" i="25"/>
  <c r="AD901" i="25"/>
  <c r="AB902" i="25"/>
  <c r="AD902" i="25"/>
  <c r="AB903" i="25"/>
  <c r="AD903" i="25"/>
  <c r="AB904" i="25"/>
  <c r="AD904" i="25"/>
  <c r="AB905" i="25"/>
  <c r="AD905" i="25"/>
  <c r="AB906" i="25"/>
  <c r="AD906" i="25"/>
  <c r="AB907" i="25"/>
  <c r="AD907" i="25"/>
  <c r="AB908" i="25"/>
  <c r="AD908" i="25"/>
  <c r="AB909" i="25"/>
  <c r="AD909" i="25"/>
  <c r="AB910" i="25"/>
  <c r="AD910" i="25"/>
  <c r="AB911" i="25"/>
  <c r="AD911" i="25"/>
  <c r="AB912" i="25"/>
  <c r="AD912" i="25"/>
  <c r="AB913" i="25"/>
  <c r="AD913" i="25"/>
  <c r="AB914" i="25"/>
  <c r="AD914" i="25"/>
  <c r="AB915" i="25"/>
  <c r="AD915" i="25"/>
  <c r="AB916" i="25"/>
  <c r="AD916" i="25"/>
  <c r="AB917" i="25"/>
  <c r="AD917" i="25"/>
  <c r="AB918" i="25"/>
  <c r="AD918" i="25"/>
  <c r="AB919" i="25"/>
  <c r="AD919" i="25"/>
  <c r="AB920" i="25"/>
  <c r="AD920" i="25"/>
  <c r="AB921" i="25"/>
  <c r="AD921" i="25"/>
  <c r="AB922" i="25"/>
  <c r="AD922" i="25"/>
  <c r="AB923" i="25"/>
  <c r="AD923" i="25"/>
  <c r="AB924" i="25"/>
  <c r="AD924" i="25"/>
  <c r="AB925" i="25"/>
  <c r="AD925" i="25"/>
  <c r="AB926" i="25"/>
  <c r="AD926" i="25"/>
  <c r="AB927" i="25"/>
  <c r="AD927" i="25"/>
  <c r="AB928" i="25"/>
  <c r="AD928" i="25"/>
  <c r="AB929" i="25"/>
  <c r="AD929" i="25"/>
  <c r="AB930" i="25"/>
  <c r="AD930" i="25"/>
  <c r="AB931" i="25"/>
  <c r="AD931" i="25"/>
  <c r="AB932" i="25"/>
  <c r="AD932" i="25"/>
  <c r="AB933" i="25"/>
  <c r="AD933" i="25"/>
  <c r="AB934" i="25"/>
  <c r="AD934" i="25"/>
  <c r="AB935" i="25"/>
  <c r="AD935" i="25"/>
  <c r="AB936" i="25"/>
  <c r="AD936" i="25"/>
  <c r="AB937" i="25"/>
  <c r="AD937" i="25"/>
  <c r="AB938" i="25"/>
  <c r="AD938" i="25"/>
  <c r="AB939" i="25"/>
  <c r="AD939" i="25"/>
  <c r="AB940" i="25"/>
  <c r="AD940" i="25"/>
  <c r="AB941" i="25"/>
  <c r="AD941" i="25"/>
  <c r="AB942" i="25"/>
  <c r="AD942" i="25"/>
  <c r="AB943" i="25"/>
  <c r="AD943" i="25"/>
  <c r="AB944" i="25"/>
  <c r="AD944" i="25"/>
  <c r="AB945" i="25"/>
  <c r="AD945" i="25"/>
  <c r="AB946" i="25"/>
  <c r="AD946" i="25"/>
  <c r="AB947" i="25"/>
  <c r="AD947" i="25"/>
  <c r="AB948" i="25"/>
  <c r="AD948" i="25"/>
  <c r="AB949" i="25"/>
  <c r="AD949" i="25"/>
  <c r="AB950" i="25"/>
  <c r="AD950" i="25"/>
  <c r="AB951" i="25"/>
  <c r="AD951" i="25"/>
  <c r="AB952" i="25"/>
  <c r="AD952" i="25"/>
  <c r="AB953" i="25"/>
  <c r="AD953" i="25"/>
  <c r="AB954" i="25"/>
  <c r="AD954" i="25"/>
  <c r="AB955" i="25"/>
  <c r="AD955" i="25"/>
  <c r="AB956" i="25"/>
  <c r="AD956" i="25"/>
  <c r="AB957" i="25"/>
  <c r="AD957" i="25"/>
  <c r="AB958" i="25"/>
  <c r="AD958" i="25"/>
  <c r="AB959" i="25"/>
  <c r="AD959" i="25"/>
  <c r="AB960" i="25"/>
  <c r="AD960" i="25"/>
  <c r="AB961" i="25"/>
  <c r="AD961" i="25"/>
  <c r="AB962" i="25"/>
  <c r="AD962" i="25"/>
  <c r="AB963" i="25"/>
  <c r="AD963" i="25"/>
  <c r="AB964" i="25"/>
  <c r="AD964" i="25"/>
  <c r="AB965" i="25"/>
  <c r="AD965" i="25"/>
  <c r="AB966" i="25"/>
  <c r="AD966" i="25"/>
  <c r="AB967" i="25"/>
  <c r="AD967" i="25"/>
  <c r="AB968" i="25"/>
  <c r="AD968" i="25"/>
  <c r="AB969" i="25"/>
  <c r="AD969" i="25"/>
  <c r="AB970" i="25"/>
  <c r="AD970" i="25"/>
  <c r="AB971" i="25"/>
  <c r="AD971" i="25"/>
  <c r="AB972" i="25"/>
  <c r="AD972" i="25"/>
  <c r="AB973" i="25"/>
  <c r="AD973" i="25"/>
  <c r="AB974" i="25"/>
  <c r="AD974" i="25"/>
  <c r="AB975" i="25"/>
  <c r="AD975" i="25"/>
  <c r="AB976" i="25"/>
  <c r="AD976" i="25"/>
  <c r="AB977" i="25"/>
  <c r="AD977" i="25"/>
  <c r="AB978" i="25"/>
  <c r="AD978" i="25"/>
  <c r="AB979" i="25"/>
  <c r="AD979" i="25"/>
  <c r="AB980" i="25"/>
  <c r="AD980" i="25"/>
  <c r="AB981" i="25"/>
  <c r="AD981" i="25"/>
  <c r="AB982" i="25"/>
  <c r="AD982" i="25"/>
  <c r="AB983" i="25"/>
  <c r="AD983" i="25"/>
  <c r="AB984" i="25"/>
  <c r="AD984" i="25"/>
  <c r="AB985" i="25"/>
  <c r="AD985" i="25"/>
  <c r="AB986" i="25"/>
  <c r="AD986" i="25"/>
  <c r="AB987" i="25"/>
  <c r="AD987" i="25"/>
  <c r="AB988" i="25"/>
  <c r="AD988" i="25"/>
  <c r="AB989" i="25"/>
  <c r="AD989" i="25"/>
  <c r="AB990" i="25"/>
  <c r="AD990" i="25"/>
  <c r="AB991" i="25"/>
  <c r="AD991" i="25"/>
  <c r="AB992" i="25"/>
  <c r="AD992" i="25"/>
  <c r="AB993" i="25"/>
  <c r="AD993" i="25"/>
  <c r="AB994" i="25"/>
  <c r="AD994" i="25"/>
  <c r="AB995" i="25"/>
  <c r="AD995" i="25"/>
  <c r="AB996" i="25"/>
  <c r="AD996" i="25"/>
  <c r="AB997" i="25"/>
  <c r="AD997" i="25"/>
  <c r="AB998" i="25"/>
  <c r="AD998" i="25"/>
  <c r="AB999" i="25"/>
  <c r="AD999" i="25"/>
  <c r="AB1000" i="25"/>
  <c r="AD1000" i="25"/>
  <c r="AB1001" i="25"/>
  <c r="AD1001" i="25"/>
  <c r="AB1002" i="25"/>
  <c r="AD1002" i="25"/>
  <c r="AB1003" i="25"/>
  <c r="AD1003" i="25"/>
  <c r="AB1004" i="25"/>
  <c r="AD1004" i="25"/>
  <c r="AB1005" i="25"/>
  <c r="AD1005" i="25"/>
  <c r="AB1006" i="25"/>
  <c r="AD1006" i="25"/>
  <c r="AB1007" i="25"/>
  <c r="AD1007" i="25"/>
  <c r="AB1008" i="25"/>
  <c r="AD1008" i="25"/>
  <c r="AB1009" i="25"/>
  <c r="AD1009" i="25"/>
  <c r="AB1010" i="25"/>
  <c r="AD1010" i="25"/>
  <c r="AB1011" i="25"/>
  <c r="AD1011" i="25"/>
  <c r="AB1012" i="25"/>
  <c r="AD1012" i="25"/>
  <c r="AB1013" i="25"/>
  <c r="AD1013" i="25"/>
  <c r="AB1014" i="25"/>
  <c r="AD1014" i="25"/>
  <c r="AB1015" i="25"/>
  <c r="AD1015" i="25"/>
  <c r="AB1016" i="25"/>
  <c r="AD1016" i="25"/>
  <c r="AB1017" i="25"/>
  <c r="AD1017" i="25"/>
  <c r="AB1018" i="25"/>
  <c r="AD1018" i="25"/>
  <c r="AB1019" i="25"/>
  <c r="AD1019" i="25"/>
  <c r="AB1020" i="25"/>
  <c r="AD1020" i="25"/>
  <c r="AB1021" i="25"/>
  <c r="AD1021" i="25"/>
  <c r="AB1022" i="25"/>
  <c r="AD1022" i="25"/>
  <c r="AB1023" i="25"/>
  <c r="AD1023" i="25"/>
  <c r="AB1024" i="25"/>
  <c r="AD1024" i="25"/>
  <c r="AB1025" i="25"/>
  <c r="AD1025" i="25"/>
  <c r="AB1026" i="25"/>
  <c r="AD1026" i="25"/>
  <c r="AB1027" i="25"/>
  <c r="AD1027" i="25"/>
  <c r="AB1028" i="25"/>
  <c r="AD1028" i="25"/>
  <c r="AB1029" i="25"/>
  <c r="AD1029" i="25"/>
  <c r="AB1030" i="25"/>
  <c r="AD1030" i="25"/>
  <c r="AB1031" i="25"/>
  <c r="AD1031" i="25"/>
  <c r="AB1032" i="25"/>
  <c r="AD1032" i="25"/>
  <c r="AB1033" i="25"/>
  <c r="AD1033" i="25"/>
  <c r="AB1034" i="25"/>
  <c r="AD1034" i="25"/>
  <c r="AB1035" i="25"/>
  <c r="AD1035" i="25"/>
  <c r="AB1036" i="25"/>
  <c r="AD1036" i="25"/>
  <c r="AB1037" i="25"/>
  <c r="AD1037" i="25"/>
  <c r="AB1038" i="25"/>
  <c r="AD1038" i="25"/>
  <c r="AB1039" i="25"/>
  <c r="AD1039" i="25"/>
  <c r="AB1040" i="25"/>
  <c r="AD1040" i="25"/>
  <c r="AB1041" i="25"/>
  <c r="AD1041" i="25"/>
  <c r="AB1042" i="25"/>
  <c r="AD1042" i="25"/>
  <c r="AB1043" i="25"/>
  <c r="AD1043" i="25"/>
  <c r="AB1044" i="25"/>
  <c r="AD1044" i="25"/>
  <c r="AB1045" i="25"/>
  <c r="AD1045" i="25"/>
  <c r="AB1046" i="25"/>
  <c r="AD1046" i="25"/>
  <c r="AB1047" i="25"/>
  <c r="AD1047" i="25"/>
  <c r="AB1048" i="25"/>
  <c r="AD1048" i="25"/>
  <c r="AB1049" i="25"/>
  <c r="AD1049" i="25"/>
  <c r="AB1050" i="25"/>
  <c r="AD1050" i="25"/>
  <c r="AB1051" i="25"/>
  <c r="AD1051" i="25"/>
  <c r="AB1052" i="25"/>
  <c r="AD1052" i="25"/>
  <c r="AB1053" i="25"/>
  <c r="AD1053" i="25"/>
  <c r="AB1054" i="25"/>
  <c r="AD1054" i="25"/>
  <c r="AB1055" i="25"/>
  <c r="AD1055" i="25"/>
  <c r="AB1056" i="25"/>
  <c r="AD1056" i="25"/>
  <c r="AB1057" i="25"/>
  <c r="AD1057" i="25"/>
  <c r="AB1058" i="25"/>
  <c r="AD1058" i="25"/>
  <c r="AB1059" i="25"/>
  <c r="AD1059" i="25"/>
  <c r="AB1060" i="25"/>
  <c r="AD1060" i="25"/>
  <c r="AB1061" i="25"/>
  <c r="AD1061" i="25"/>
  <c r="AB1062" i="25"/>
  <c r="AD1062" i="25"/>
  <c r="AB1063" i="25"/>
  <c r="AD1063" i="25"/>
  <c r="AB1064" i="25"/>
  <c r="AD1064" i="25"/>
  <c r="AB1065" i="25"/>
  <c r="AD1065" i="25"/>
  <c r="AB1066" i="25"/>
  <c r="AD1066" i="25"/>
  <c r="AB1067" i="25"/>
  <c r="AD1067" i="25"/>
  <c r="AB1068" i="25"/>
  <c r="AD1068" i="25"/>
  <c r="AB1069" i="25"/>
  <c r="AD1069" i="25"/>
  <c r="AB1070" i="25"/>
  <c r="AD1070" i="25"/>
  <c r="AB1071" i="25"/>
  <c r="AD1071" i="25"/>
  <c r="AB1072" i="25"/>
  <c r="AD1072" i="25"/>
  <c r="AB1073" i="25"/>
  <c r="AD1073" i="25"/>
  <c r="AB1074" i="25"/>
  <c r="AD1074" i="25"/>
  <c r="AB1075" i="25"/>
  <c r="AD1075" i="25"/>
  <c r="AB1076" i="25"/>
  <c r="AD1076" i="25"/>
  <c r="AB1077" i="25"/>
  <c r="AD1077" i="25"/>
  <c r="AB1078" i="25"/>
  <c r="AD1078" i="25"/>
  <c r="AB1079" i="25"/>
  <c r="AD1079" i="25"/>
  <c r="AB1080" i="25"/>
  <c r="AD1080" i="25"/>
  <c r="AB1081" i="25"/>
  <c r="AD1081" i="25"/>
  <c r="AB1082" i="25"/>
  <c r="AD1082" i="25"/>
  <c r="AB1083" i="25"/>
  <c r="AD1083" i="25"/>
  <c r="AB1084" i="25"/>
  <c r="AD1084" i="25"/>
  <c r="AB1085" i="25"/>
  <c r="AD1085" i="25"/>
  <c r="AB1086" i="25"/>
  <c r="AD1086" i="25"/>
  <c r="AB1087" i="25"/>
  <c r="AD1087" i="25"/>
  <c r="AB1088" i="25"/>
  <c r="AD1088" i="25"/>
  <c r="AB1089" i="25"/>
  <c r="AD1089" i="25"/>
  <c r="AB1090" i="25"/>
  <c r="AD1090" i="25"/>
  <c r="AB1091" i="25"/>
  <c r="AD1091" i="25"/>
  <c r="AB1092" i="25"/>
  <c r="AD1092" i="25"/>
  <c r="AB1093" i="25"/>
  <c r="AD1093" i="25"/>
  <c r="AB1094" i="25"/>
  <c r="AD1094" i="25"/>
  <c r="AB1095" i="25"/>
  <c r="AD1095" i="25"/>
  <c r="AB1096" i="25"/>
  <c r="AD1096" i="25"/>
  <c r="AB1097" i="25"/>
  <c r="AD1097" i="25"/>
  <c r="AB1098" i="25"/>
  <c r="AD1098" i="25"/>
  <c r="AB1099" i="25"/>
  <c r="AD1099" i="25"/>
  <c r="AB1100" i="25"/>
  <c r="AD1100" i="25"/>
  <c r="AB1101" i="25"/>
  <c r="AD1101" i="25"/>
  <c r="AB1102" i="25"/>
  <c r="AD1102" i="25"/>
  <c r="AB1103" i="25"/>
  <c r="AD1103" i="25"/>
  <c r="AB1104" i="25"/>
  <c r="AD1104" i="25"/>
  <c r="AB1105" i="25"/>
  <c r="AD1105" i="25"/>
  <c r="AB1106" i="25"/>
  <c r="AD1106" i="25"/>
  <c r="AB1107" i="25"/>
  <c r="AD1107" i="25"/>
  <c r="AB1108" i="25"/>
  <c r="AD1108" i="25"/>
  <c r="AB1109" i="25"/>
  <c r="AD1109" i="25"/>
  <c r="AB1110" i="25"/>
  <c r="AD1110" i="25"/>
  <c r="AB1111" i="25"/>
  <c r="AD1111" i="25"/>
  <c r="AB1112" i="25"/>
  <c r="AD1112" i="25"/>
  <c r="AB1113" i="25"/>
  <c r="AD1113" i="25"/>
  <c r="AB1114" i="25"/>
  <c r="AD1114" i="25"/>
  <c r="AB1115" i="25"/>
  <c r="AD1115" i="25"/>
  <c r="AB1116" i="25"/>
  <c r="AD1116" i="25"/>
  <c r="AB1117" i="25"/>
  <c r="AD1117" i="25"/>
  <c r="AB1118" i="25"/>
  <c r="AD1118" i="25"/>
  <c r="AB1119" i="25"/>
  <c r="AD1119" i="25"/>
  <c r="AB1120" i="25"/>
  <c r="AD1120" i="25"/>
  <c r="AB1121" i="25"/>
  <c r="AD1121" i="25"/>
  <c r="AB1122" i="25"/>
  <c r="AD1122" i="25"/>
  <c r="AB1123" i="25"/>
  <c r="AD1123" i="25"/>
  <c r="AB1124" i="25"/>
  <c r="AD1124" i="25"/>
  <c r="AB1125" i="25"/>
  <c r="AD1125" i="25"/>
  <c r="AB1126" i="25"/>
  <c r="AD1126" i="25"/>
  <c r="AB1127" i="25"/>
  <c r="AD1127" i="25"/>
  <c r="AB1128" i="25"/>
  <c r="AD1128" i="25"/>
  <c r="AB1129" i="25"/>
  <c r="AD1129" i="25"/>
  <c r="AB1130" i="25"/>
  <c r="AD1130" i="25"/>
  <c r="AB1131" i="25"/>
  <c r="AD1131" i="25"/>
  <c r="AB1132" i="25"/>
  <c r="AD1132" i="25"/>
  <c r="AB1133" i="25"/>
  <c r="AD1133" i="25"/>
  <c r="AB1134" i="25"/>
  <c r="AD1134" i="25"/>
  <c r="AB1135" i="25"/>
  <c r="AD1135" i="25"/>
  <c r="AB1136" i="25"/>
  <c r="AD1136" i="25"/>
  <c r="AB1137" i="25"/>
  <c r="AD1137" i="25"/>
  <c r="AB1138" i="25"/>
  <c r="AD1138" i="25"/>
  <c r="AB1139" i="25"/>
  <c r="AD1139" i="25"/>
  <c r="AB1140" i="25"/>
  <c r="AD1140" i="25"/>
  <c r="AB1141" i="25"/>
  <c r="AD1141" i="25"/>
  <c r="AB1142" i="25"/>
  <c r="AD1142" i="25"/>
  <c r="AB1143" i="25"/>
  <c r="AD1143" i="25"/>
  <c r="AB1144" i="25"/>
  <c r="AD1144" i="25"/>
  <c r="AB1145" i="25"/>
  <c r="AD1145" i="25"/>
  <c r="AB1146" i="25"/>
  <c r="AD1146" i="25"/>
  <c r="AB1147" i="25"/>
  <c r="AD1147" i="25"/>
  <c r="AB1148" i="25"/>
  <c r="AD1148" i="25"/>
  <c r="AB1149" i="25"/>
  <c r="AD1149" i="25"/>
  <c r="AB1150" i="25"/>
  <c r="AD1150" i="25"/>
  <c r="AB1151" i="25"/>
  <c r="AD1151" i="25"/>
  <c r="AB1152" i="25"/>
  <c r="AD1152" i="25"/>
  <c r="AB1153" i="25"/>
  <c r="AD1153" i="25"/>
  <c r="AB1154" i="25"/>
  <c r="AD1154" i="25"/>
  <c r="AB1155" i="25"/>
  <c r="AD1155" i="25"/>
  <c r="AB1156" i="25"/>
  <c r="AD1156" i="25"/>
  <c r="AB1157" i="25"/>
  <c r="AD1157" i="25"/>
  <c r="AB1158" i="25"/>
  <c r="AD1158" i="25"/>
  <c r="AB1159" i="25"/>
  <c r="AD1159" i="25"/>
  <c r="AB1160" i="25"/>
  <c r="AD1160" i="25"/>
  <c r="AB1161" i="25"/>
  <c r="AD1161" i="25"/>
  <c r="AB1162" i="25"/>
  <c r="AD1162" i="25"/>
  <c r="AB1163" i="25"/>
  <c r="AD1163" i="25"/>
  <c r="AB1164" i="25"/>
  <c r="AD1164" i="25"/>
  <c r="AB1165" i="25"/>
  <c r="AD1165" i="25"/>
  <c r="AB1166" i="25"/>
  <c r="AD1166" i="25"/>
  <c r="AB1167" i="25"/>
  <c r="AD1167" i="25"/>
  <c r="AB1168" i="25"/>
  <c r="AD1168" i="25"/>
  <c r="AB1169" i="25"/>
  <c r="AD1169" i="25"/>
  <c r="AB1170" i="25"/>
  <c r="AD1170" i="25"/>
  <c r="AB1171" i="25"/>
  <c r="AD1171" i="25"/>
  <c r="AB1172" i="25"/>
  <c r="AD1172" i="25"/>
  <c r="AB1173" i="25"/>
  <c r="AD1173" i="25"/>
  <c r="AB1174" i="25"/>
  <c r="AD1174" i="25"/>
  <c r="AB1175" i="25"/>
  <c r="AD1175" i="25"/>
  <c r="AB1176" i="25"/>
  <c r="AD1176" i="25"/>
  <c r="AB1177" i="25"/>
  <c r="AD1177" i="25"/>
  <c r="AB1178" i="25"/>
  <c r="AD1178" i="25"/>
  <c r="AB1179" i="25"/>
  <c r="AD1179" i="25"/>
  <c r="AB1180" i="25"/>
  <c r="AD1180" i="25"/>
  <c r="AB1181" i="25"/>
  <c r="AD1181" i="25"/>
  <c r="AB1182" i="25"/>
  <c r="AD1182" i="25"/>
  <c r="AB1183" i="25"/>
  <c r="AD1183" i="25"/>
  <c r="AB1184" i="25"/>
  <c r="AD1184" i="25"/>
  <c r="AB1185" i="25"/>
  <c r="AD1185" i="25"/>
  <c r="AB1186" i="25"/>
  <c r="AD1186" i="25"/>
  <c r="AB1187" i="25"/>
  <c r="AD1187" i="25"/>
  <c r="AB1188" i="25"/>
  <c r="AD1188" i="25"/>
  <c r="AB1189" i="25"/>
  <c r="AD1189" i="25"/>
  <c r="AB1190" i="25"/>
  <c r="AD1190" i="25"/>
  <c r="AB1191" i="25"/>
  <c r="AD1191" i="25"/>
  <c r="AB1192" i="25"/>
  <c r="AD1192" i="25"/>
  <c r="AB1193" i="25"/>
  <c r="AD1193" i="25"/>
  <c r="AB1194" i="25"/>
  <c r="AD1194" i="25"/>
  <c r="AB1195" i="25"/>
  <c r="AD1195" i="25"/>
  <c r="AB1196" i="25"/>
  <c r="AD1196" i="25"/>
  <c r="AB1197" i="25"/>
  <c r="AD1197" i="25"/>
  <c r="AB1198" i="25"/>
  <c r="AD1198" i="25"/>
  <c r="AB1199" i="25"/>
  <c r="AD1199" i="25"/>
  <c r="AB1200" i="25"/>
  <c r="AD1200" i="25"/>
  <c r="AB1201" i="25"/>
  <c r="AD1201" i="25"/>
  <c r="AB1202" i="25"/>
  <c r="AD1202" i="25"/>
  <c r="AB1203" i="25"/>
  <c r="AD1203" i="25"/>
  <c r="AB1204" i="25"/>
  <c r="AD1204" i="25"/>
  <c r="AB1205" i="25"/>
  <c r="AD1205" i="25"/>
  <c r="AB1206" i="25"/>
  <c r="AD1206" i="25"/>
  <c r="AB1207" i="25"/>
  <c r="AD1207" i="25"/>
  <c r="AB1208" i="25"/>
  <c r="AD1208" i="25"/>
  <c r="AB1209" i="25"/>
  <c r="AD1209" i="25"/>
  <c r="AB1210" i="25"/>
  <c r="AD1210" i="25"/>
  <c r="AB1211" i="25"/>
  <c r="AD1211" i="25"/>
  <c r="AB1212" i="25"/>
  <c r="AD1212" i="25"/>
  <c r="AB1213" i="25"/>
  <c r="AD1213" i="25"/>
  <c r="AB1214" i="25"/>
  <c r="AD1214" i="25"/>
  <c r="AB1215" i="25"/>
  <c r="AD1215" i="25"/>
  <c r="AB1216" i="25"/>
  <c r="AD1216" i="25"/>
  <c r="AB1217" i="25"/>
  <c r="AD1217" i="25"/>
  <c r="AB1218" i="25"/>
  <c r="AD1218" i="25"/>
  <c r="AB1219" i="25"/>
  <c r="AD1219" i="25"/>
  <c r="AB1220" i="25"/>
  <c r="AD1220" i="25"/>
  <c r="AB1221" i="25"/>
  <c r="AD1221" i="25"/>
  <c r="AB1222" i="25"/>
  <c r="AD1222" i="25"/>
  <c r="AB1223" i="25"/>
  <c r="AD1223" i="25"/>
  <c r="AB1224" i="25"/>
  <c r="AD1224" i="25"/>
  <c r="AB1225" i="25"/>
  <c r="AD1225" i="25"/>
  <c r="AB1226" i="25"/>
  <c r="AD1226" i="25"/>
  <c r="AB1227" i="25"/>
  <c r="AD1227" i="25"/>
  <c r="AB1228" i="25"/>
  <c r="AD1228" i="25"/>
  <c r="AB1229" i="25"/>
  <c r="AD1229" i="25"/>
  <c r="AB1230" i="25"/>
  <c r="AD1230" i="25"/>
  <c r="AB1231" i="25"/>
  <c r="AD1231" i="25"/>
  <c r="AB1232" i="25"/>
  <c r="AD1232" i="25"/>
  <c r="AB1233" i="25"/>
  <c r="AD1233" i="25"/>
  <c r="AB1234" i="25"/>
  <c r="AD1234" i="25"/>
  <c r="AB1235" i="25"/>
  <c r="AD1235" i="25"/>
  <c r="AB1236" i="25"/>
  <c r="AD1236" i="25"/>
  <c r="AB1237" i="25"/>
  <c r="AD1237" i="25"/>
  <c r="AB1238" i="25"/>
  <c r="AD1238" i="25"/>
  <c r="AB1239" i="25"/>
  <c r="AD1239" i="25"/>
  <c r="AB1240" i="25"/>
  <c r="AD1240" i="25"/>
  <c r="AB1241" i="25"/>
  <c r="AD1241" i="25"/>
  <c r="AB1242" i="25"/>
  <c r="AD1242" i="25"/>
  <c r="AB1243" i="25"/>
  <c r="AD1243" i="25"/>
  <c r="AB1244" i="25"/>
  <c r="AD1244" i="25"/>
  <c r="AB1245" i="25"/>
  <c r="AD1245" i="25"/>
  <c r="AB1246" i="25"/>
  <c r="AD1246" i="25"/>
  <c r="AB1247" i="25"/>
  <c r="AD1247" i="25"/>
  <c r="AB1248" i="25"/>
  <c r="AD1248" i="25"/>
  <c r="AB1249" i="25"/>
  <c r="AD1249" i="25"/>
  <c r="AB1250" i="25"/>
  <c r="AD1250" i="25"/>
  <c r="AB1251" i="25"/>
  <c r="AD1251" i="25"/>
  <c r="AB1252" i="25"/>
  <c r="AD1252" i="25"/>
  <c r="AB1253" i="25"/>
  <c r="AD1253" i="25"/>
  <c r="AB1254" i="25"/>
  <c r="AD1254" i="25"/>
  <c r="AB1255" i="25"/>
  <c r="AD1255" i="25"/>
  <c r="AB1256" i="25"/>
  <c r="AD1256" i="25"/>
  <c r="AB1257" i="25"/>
  <c r="AD1257" i="25"/>
  <c r="AB1258" i="25"/>
  <c r="AD1258" i="25"/>
  <c r="AB1259" i="25"/>
  <c r="AD1259" i="25"/>
  <c r="AB1260" i="25"/>
  <c r="AD1260" i="25"/>
  <c r="AB1261" i="25"/>
  <c r="AD1261" i="25"/>
  <c r="AB1262" i="25"/>
  <c r="AD1262" i="25"/>
  <c r="AB1263" i="25"/>
  <c r="AD1263" i="25"/>
  <c r="AB1264" i="25"/>
  <c r="AD1264" i="25"/>
  <c r="AB1265" i="25"/>
  <c r="AD1265" i="25"/>
  <c r="AB1266" i="25"/>
  <c r="AD1266" i="25"/>
  <c r="AB1267" i="25"/>
  <c r="AD1267" i="25"/>
  <c r="AB1268" i="25"/>
  <c r="AD1268" i="25"/>
  <c r="AB1269" i="25"/>
  <c r="AD1269" i="25"/>
  <c r="AB1270" i="25"/>
  <c r="AD1270" i="25"/>
  <c r="AB1271" i="25"/>
  <c r="AD1271" i="25"/>
  <c r="AB1272" i="25"/>
  <c r="AD1272" i="25"/>
  <c r="AB1273" i="25"/>
  <c r="AD1273" i="25"/>
  <c r="AB1274" i="25"/>
  <c r="AD1274" i="25"/>
  <c r="AB1275" i="25"/>
  <c r="AD1275" i="25"/>
  <c r="AB1276" i="25"/>
  <c r="AD1276" i="25"/>
  <c r="AB1277" i="25"/>
  <c r="AD1277" i="25"/>
  <c r="AB1278" i="25"/>
  <c r="AD1278" i="25"/>
  <c r="AB1279" i="25"/>
  <c r="AD1279" i="25"/>
  <c r="AB1280" i="25"/>
  <c r="AD1280" i="25"/>
  <c r="AB1281" i="25"/>
  <c r="AD1281" i="25"/>
  <c r="AB1282" i="25"/>
  <c r="AD1282" i="25"/>
  <c r="AB1283" i="25"/>
  <c r="AD1283" i="25"/>
  <c r="AB1284" i="25"/>
  <c r="AD1284" i="25"/>
  <c r="AB1285" i="25"/>
  <c r="AD1285" i="25"/>
  <c r="AB1286" i="25"/>
  <c r="AD1286" i="25"/>
  <c r="AB1287" i="25"/>
  <c r="AD1287" i="25"/>
  <c r="AB1288" i="25"/>
  <c r="AD1288" i="25"/>
  <c r="AB1289" i="25"/>
  <c r="AD1289" i="25"/>
  <c r="AB1290" i="25"/>
  <c r="AD1290" i="25"/>
  <c r="AB1291" i="25"/>
  <c r="AD1291" i="25"/>
  <c r="AB1292" i="25"/>
  <c r="AD1292" i="25"/>
  <c r="AB1293" i="25"/>
  <c r="AD1293" i="25"/>
  <c r="AB1294" i="25"/>
  <c r="AD1294" i="25"/>
  <c r="AB1295" i="25"/>
  <c r="AD1295" i="25"/>
  <c r="AB1296" i="25"/>
  <c r="AD1296" i="25"/>
  <c r="AB1297" i="25"/>
  <c r="AD1297" i="25"/>
  <c r="AB1298" i="25"/>
  <c r="AD1298" i="25"/>
  <c r="AB1299" i="25"/>
  <c r="AD1299" i="25"/>
  <c r="AB1300" i="25"/>
  <c r="AD1300" i="25"/>
  <c r="AB1301" i="25"/>
  <c r="AD1301" i="25"/>
  <c r="AB1302" i="25"/>
  <c r="AD1302" i="25"/>
  <c r="AB1303" i="25"/>
  <c r="AD1303" i="25"/>
  <c r="AB1304" i="25"/>
  <c r="AD1304" i="25"/>
  <c r="AB1305" i="25"/>
  <c r="AD1305" i="25"/>
  <c r="AB1306" i="25"/>
  <c r="AD1306" i="25"/>
  <c r="AB1307" i="25"/>
  <c r="AD1307" i="25"/>
  <c r="AB1308" i="25"/>
  <c r="AD1308" i="25"/>
  <c r="AB1309" i="25"/>
  <c r="AD1309" i="25"/>
  <c r="AB1310" i="25"/>
  <c r="AD1310" i="25"/>
  <c r="AB1311" i="25"/>
  <c r="AD1311" i="25"/>
  <c r="AB1312" i="25"/>
  <c r="AD1312" i="25"/>
  <c r="AB1313" i="25"/>
  <c r="AD1313" i="25"/>
  <c r="AB1314" i="25"/>
  <c r="AD1314" i="25"/>
  <c r="AB1315" i="25"/>
  <c r="AD1315" i="25"/>
  <c r="AB1316" i="25"/>
  <c r="AD1316" i="25"/>
  <c r="AB1317" i="25"/>
  <c r="AD1317" i="25"/>
  <c r="AB1318" i="25"/>
  <c r="AD1318" i="25"/>
  <c r="AB1319" i="25"/>
  <c r="AD1319" i="25"/>
  <c r="AB1320" i="25"/>
  <c r="AD1320" i="25"/>
  <c r="AB1321" i="25"/>
  <c r="AD1321" i="25"/>
  <c r="AB1322" i="25"/>
  <c r="AD1322" i="25"/>
  <c r="AB1323" i="25"/>
  <c r="AD1323" i="25"/>
  <c r="AB1324" i="25"/>
  <c r="AD1324" i="25"/>
  <c r="AB1325" i="25"/>
  <c r="AD1325" i="25"/>
  <c r="AB1326" i="25"/>
  <c r="AD1326" i="25"/>
  <c r="AB1327" i="25"/>
  <c r="AD1327" i="25"/>
  <c r="AB1328" i="25"/>
  <c r="AD1328" i="25"/>
  <c r="AB1329" i="25"/>
  <c r="AD1329" i="25"/>
  <c r="AB1330" i="25"/>
  <c r="AD1330" i="25"/>
  <c r="AB1331" i="25"/>
  <c r="AD1331" i="25"/>
  <c r="AB1332" i="25"/>
  <c r="AD1332" i="25"/>
  <c r="AB1333" i="25"/>
  <c r="AD1333" i="25"/>
  <c r="AB1334" i="25"/>
  <c r="AD1334" i="25"/>
  <c r="AB1335" i="25"/>
  <c r="AD1335" i="25"/>
  <c r="AB1336" i="25"/>
  <c r="AD1336" i="25"/>
  <c r="AB1337" i="25"/>
  <c r="AD1337" i="25"/>
  <c r="AB1338" i="25"/>
  <c r="AD1338" i="25"/>
  <c r="AB1339" i="25"/>
  <c r="AD1339" i="25"/>
  <c r="AB1340" i="25"/>
  <c r="AD1340" i="25"/>
  <c r="AB1341" i="25"/>
  <c r="AD1341" i="25"/>
  <c r="AB1342" i="25"/>
  <c r="AD1342" i="25"/>
  <c r="AB1343" i="25"/>
  <c r="AD1343" i="25"/>
  <c r="AB1344" i="25"/>
  <c r="AD1344" i="25"/>
  <c r="AB1345" i="25"/>
  <c r="AD1345" i="25"/>
  <c r="AB1346" i="25"/>
  <c r="AD1346" i="25"/>
  <c r="AB1347" i="25"/>
  <c r="AD1347" i="25"/>
  <c r="AB1348" i="25"/>
  <c r="AD1348" i="25"/>
  <c r="AB1349" i="25"/>
  <c r="AD1349" i="25"/>
  <c r="AB1350" i="25"/>
  <c r="AD1350" i="25"/>
  <c r="AB1351" i="25"/>
  <c r="AD1351" i="25"/>
  <c r="AB1352" i="25"/>
  <c r="AD1352" i="25"/>
  <c r="AB1353" i="25"/>
  <c r="AD1353" i="25"/>
  <c r="AB1354" i="25"/>
  <c r="AD1354" i="25"/>
  <c r="AB1355" i="25"/>
  <c r="AD1355" i="25"/>
  <c r="AB1356" i="25"/>
  <c r="AD1356" i="25"/>
  <c r="AB1357" i="25"/>
  <c r="AD1357" i="25"/>
  <c r="AB1358" i="25"/>
  <c r="AD1358" i="25"/>
  <c r="AB1359" i="25"/>
  <c r="AD1359" i="25"/>
  <c r="AB1360" i="25"/>
  <c r="AD1360" i="25"/>
  <c r="AB1361" i="25"/>
  <c r="AD1361" i="25"/>
  <c r="AB1362" i="25"/>
  <c r="AD1362" i="25"/>
  <c r="AB1363" i="25"/>
  <c r="AD1363" i="25"/>
  <c r="AB1364" i="25"/>
  <c r="AD1364" i="25"/>
  <c r="AB1365" i="25"/>
  <c r="AD1365" i="25"/>
  <c r="AB1366" i="25"/>
  <c r="AD1366" i="25"/>
  <c r="AB1367" i="25"/>
  <c r="AD1367" i="25"/>
  <c r="AB1368" i="25"/>
  <c r="AD1368" i="25"/>
  <c r="AB1369" i="25"/>
  <c r="AD1369" i="25"/>
  <c r="AB1370" i="25"/>
  <c r="AD1370" i="25"/>
  <c r="AB1371" i="25"/>
  <c r="AD1371" i="25"/>
  <c r="AB1372" i="25"/>
  <c r="AD1372" i="25"/>
  <c r="AB1373" i="25"/>
  <c r="AD1373" i="25"/>
  <c r="AB1374" i="25"/>
  <c r="AD1374" i="25"/>
  <c r="AB1375" i="25"/>
  <c r="AD1375" i="25"/>
  <c r="AB1376" i="25"/>
  <c r="AD1376" i="25"/>
  <c r="AB1377" i="25"/>
  <c r="AD1377" i="25"/>
  <c r="AB1378" i="25"/>
  <c r="AD1378" i="25"/>
  <c r="AB1379" i="25"/>
  <c r="AD1379" i="25"/>
  <c r="AB1380" i="25"/>
  <c r="AD1380" i="25"/>
  <c r="AB1381" i="25"/>
  <c r="AD1381" i="25"/>
  <c r="AB1382" i="25"/>
  <c r="AD1382" i="25"/>
  <c r="AB1383" i="25"/>
  <c r="AD1383" i="25"/>
  <c r="AB1384" i="25"/>
  <c r="AD1384" i="25"/>
  <c r="AB1385" i="25"/>
  <c r="AD1385" i="25"/>
  <c r="AB1386" i="25"/>
  <c r="AD1386" i="25"/>
  <c r="AB1387" i="25"/>
  <c r="AD1387" i="25"/>
  <c r="AB1388" i="25"/>
  <c r="AD1388" i="25"/>
  <c r="AB1389" i="25"/>
  <c r="AD1389" i="25"/>
  <c r="AB1390" i="25"/>
  <c r="AD1390" i="25"/>
  <c r="AB1391" i="25"/>
  <c r="AD1391" i="25"/>
  <c r="AB1392" i="25"/>
  <c r="AD1392" i="25"/>
  <c r="AB1393" i="25"/>
  <c r="AD1393" i="25"/>
  <c r="AB1394" i="25"/>
  <c r="AD1394" i="25"/>
  <c r="AB1395" i="25"/>
  <c r="AD1395" i="25"/>
  <c r="AB1396" i="25"/>
  <c r="AD1396" i="25"/>
  <c r="AB1397" i="25"/>
  <c r="AD1397" i="25"/>
  <c r="AB1398" i="25"/>
  <c r="AD1398" i="25"/>
  <c r="AB1399" i="25"/>
  <c r="AD1399" i="25"/>
  <c r="AB1400" i="25"/>
  <c r="AD1400" i="25"/>
  <c r="AB1401" i="25"/>
  <c r="AD1401" i="25"/>
  <c r="AB1402" i="25"/>
  <c r="AD1402" i="25"/>
  <c r="AB1403" i="25"/>
  <c r="AD1403" i="25"/>
  <c r="AB1404" i="25"/>
  <c r="AD1404" i="25"/>
  <c r="AB1405" i="25"/>
  <c r="AD1405" i="25"/>
  <c r="AB1406" i="25"/>
  <c r="AD1406" i="25"/>
  <c r="AB1407" i="25"/>
  <c r="AD1407" i="25"/>
  <c r="AB1408" i="25"/>
  <c r="AD1408" i="25"/>
  <c r="AB1409" i="25"/>
  <c r="AD1409" i="25"/>
  <c r="AB1410" i="25"/>
  <c r="AD1410" i="25"/>
  <c r="AB1411" i="25"/>
  <c r="AD1411" i="25"/>
  <c r="AB1412" i="25"/>
  <c r="AD1412" i="25"/>
  <c r="AB1413" i="25"/>
  <c r="AD1413" i="25"/>
  <c r="AB1414" i="25"/>
  <c r="AD1414" i="25"/>
  <c r="AB1415" i="25"/>
  <c r="AD1415" i="25"/>
  <c r="AB1416" i="25"/>
  <c r="AD1416" i="25"/>
  <c r="AB1417" i="25"/>
  <c r="AD1417" i="25"/>
  <c r="AB1418" i="25"/>
  <c r="AD1418" i="25"/>
  <c r="AB1419" i="25"/>
  <c r="AD1419" i="25"/>
  <c r="AB1420" i="25"/>
  <c r="AD1420" i="25"/>
  <c r="AB1421" i="25"/>
  <c r="AD1421" i="25"/>
  <c r="AB1422" i="25"/>
  <c r="AD1422" i="25"/>
  <c r="AB1423" i="25"/>
  <c r="AD1423" i="25"/>
  <c r="AB1424" i="25"/>
  <c r="AD1424" i="25"/>
  <c r="AB1425" i="25"/>
  <c r="AD1425" i="25"/>
  <c r="AB1426" i="25"/>
  <c r="AD1426" i="25"/>
  <c r="AB1427" i="25"/>
  <c r="AD1427" i="25"/>
  <c r="AB1428" i="25"/>
  <c r="AD1428" i="25"/>
  <c r="AB1429" i="25"/>
  <c r="AD1429" i="25"/>
  <c r="AB1430" i="25"/>
  <c r="AD1430" i="25"/>
  <c r="AB1431" i="25"/>
  <c r="AD1431" i="25"/>
  <c r="AB1432" i="25"/>
  <c r="AD1432" i="25"/>
  <c r="AB1433" i="25"/>
  <c r="AD1433" i="25"/>
  <c r="AB1434" i="25"/>
  <c r="AD1434" i="25"/>
  <c r="AB1435" i="25"/>
  <c r="AD1435" i="25"/>
  <c r="AB1436" i="25"/>
  <c r="AD1436" i="25"/>
  <c r="AB1437" i="25"/>
  <c r="AD1437" i="25"/>
  <c r="AB1438" i="25"/>
  <c r="AD1438" i="25"/>
  <c r="AB1439" i="25"/>
  <c r="AD1439" i="25"/>
  <c r="AB1440" i="25"/>
  <c r="AD1440" i="25"/>
  <c r="AB1441" i="25"/>
  <c r="AD1441" i="25"/>
  <c r="AB1442" i="25"/>
  <c r="AD1442" i="25"/>
  <c r="AB1443" i="25"/>
  <c r="AD1443" i="25"/>
  <c r="AB1444" i="25"/>
  <c r="AD1444" i="25"/>
  <c r="AB1445" i="25"/>
  <c r="AD1445" i="25"/>
  <c r="AB1446" i="25"/>
  <c r="AD1446" i="25"/>
  <c r="AB1447" i="25"/>
  <c r="AD1447" i="25"/>
  <c r="AB1448" i="25"/>
  <c r="AD1448" i="25"/>
  <c r="AB1449" i="25"/>
  <c r="AD1449" i="25"/>
  <c r="AB1450" i="25"/>
  <c r="AD1450" i="25"/>
  <c r="AB1451" i="25"/>
  <c r="AD1451" i="25"/>
  <c r="AB1452" i="25"/>
  <c r="AD1452" i="25"/>
  <c r="AB1453" i="25"/>
  <c r="AD1453" i="25"/>
  <c r="AB1454" i="25"/>
  <c r="AD1454" i="25"/>
  <c r="AB1455" i="25"/>
  <c r="AD1455" i="25"/>
  <c r="AB1456" i="25"/>
  <c r="AD1456" i="25"/>
  <c r="AB1457" i="25"/>
  <c r="AD1457" i="25"/>
  <c r="AB1458" i="25"/>
  <c r="AD1458" i="25"/>
  <c r="AB1459" i="25"/>
  <c r="AD1459" i="25"/>
  <c r="AB1460" i="25"/>
  <c r="AD1460" i="25"/>
  <c r="AB1461" i="25"/>
  <c r="AD1461" i="25"/>
  <c r="AB1462" i="25"/>
  <c r="AD1462" i="25"/>
  <c r="AB1463" i="25"/>
  <c r="AD1463" i="25"/>
  <c r="AB1464" i="25"/>
  <c r="AD1464" i="25"/>
  <c r="AB1465" i="25"/>
  <c r="AD1465" i="25"/>
  <c r="AB1466" i="25"/>
  <c r="AD1466" i="25"/>
  <c r="AB1467" i="25"/>
  <c r="AD1467" i="25"/>
  <c r="AB1468" i="25"/>
  <c r="AD1468" i="25"/>
  <c r="AB1469" i="25"/>
  <c r="AD1469" i="25"/>
  <c r="AB1470" i="25"/>
  <c r="AD1470" i="25"/>
  <c r="AB1471" i="25"/>
  <c r="AD1471" i="25"/>
  <c r="AB1472" i="25"/>
  <c r="AD1472" i="25"/>
  <c r="AB1473" i="25"/>
  <c r="AD1473" i="25"/>
  <c r="AB1474" i="25"/>
  <c r="AD1474" i="25"/>
  <c r="AB1475" i="25"/>
  <c r="AD1475" i="25"/>
  <c r="AB1476" i="25"/>
  <c r="AD1476" i="25"/>
  <c r="AB1477" i="25"/>
  <c r="AD1477" i="25"/>
  <c r="AB1478" i="25"/>
  <c r="AD1478" i="25"/>
  <c r="AB1479" i="25"/>
  <c r="AD1479" i="25"/>
  <c r="AB1480" i="25"/>
  <c r="AD1480" i="25"/>
  <c r="AB1481" i="25"/>
  <c r="AD1481" i="25"/>
  <c r="AB1482" i="25"/>
  <c r="AD1482" i="25"/>
  <c r="AB1483" i="25"/>
  <c r="AD1483" i="25"/>
  <c r="AB1484" i="25"/>
  <c r="AD1484" i="25"/>
  <c r="AB1485" i="25"/>
  <c r="AD1485" i="25"/>
  <c r="AB1486" i="25"/>
  <c r="AD1486" i="25"/>
  <c r="AB1487" i="25"/>
  <c r="AD1487" i="25"/>
  <c r="AB1488" i="25"/>
  <c r="AD1488" i="25"/>
  <c r="AB1489" i="25"/>
  <c r="AD1489" i="25"/>
  <c r="AB1490" i="25"/>
  <c r="AD1490" i="25"/>
  <c r="AB1491" i="25"/>
  <c r="AD1491" i="25"/>
  <c r="AB1492" i="25"/>
  <c r="AD1492" i="25"/>
  <c r="AB1493" i="25"/>
  <c r="AD1493" i="25"/>
  <c r="AB1494" i="25"/>
  <c r="AD1494" i="25"/>
  <c r="AB1495" i="25"/>
  <c r="AD1495" i="25"/>
  <c r="AB1496" i="25"/>
  <c r="AD1496" i="25"/>
  <c r="AB1497" i="25"/>
  <c r="AD1497" i="25"/>
  <c r="AB1498" i="25"/>
  <c r="AD1498" i="25"/>
  <c r="AB1499" i="25"/>
  <c r="AD1499" i="25"/>
  <c r="AB1500" i="25"/>
  <c r="AD1500" i="25"/>
  <c r="AB1501" i="25"/>
  <c r="AD1501" i="25"/>
  <c r="AB1502" i="25"/>
  <c r="AD1502" i="25"/>
  <c r="AB1503" i="25"/>
  <c r="AD1503" i="25"/>
  <c r="AB1504" i="25"/>
  <c r="AD1504" i="25"/>
  <c r="AB1505" i="25"/>
  <c r="AD1505" i="25"/>
  <c r="AB1506" i="25"/>
  <c r="AD1506" i="25"/>
  <c r="AB1507" i="25"/>
  <c r="AD1507" i="25"/>
  <c r="AB1508" i="25"/>
  <c r="AD1508" i="25"/>
  <c r="AB1509" i="25"/>
  <c r="AD1509" i="25"/>
  <c r="AB1510" i="25"/>
  <c r="AD1510" i="25"/>
  <c r="AB1511" i="25"/>
  <c r="AD1511" i="25"/>
  <c r="AB1512" i="25"/>
  <c r="AD1512" i="25"/>
  <c r="AB1513" i="25"/>
  <c r="AD1513" i="25"/>
  <c r="AB1514" i="25"/>
  <c r="AD1514" i="25"/>
  <c r="AB1515" i="25"/>
  <c r="AD1515" i="25"/>
  <c r="AB1516" i="25"/>
  <c r="AD1516" i="25"/>
  <c r="AB1517" i="25"/>
  <c r="AD1517" i="25"/>
  <c r="AB1518" i="25"/>
  <c r="AD1518" i="25"/>
  <c r="AB1519" i="25"/>
  <c r="AD1519" i="25"/>
  <c r="AB1520" i="25"/>
  <c r="AD1520" i="25"/>
  <c r="AB1521" i="25"/>
  <c r="AD1521" i="25"/>
  <c r="AB1522" i="25"/>
  <c r="AD1522" i="25"/>
  <c r="AB1523" i="25"/>
  <c r="AD1523" i="25"/>
  <c r="AB1524" i="25"/>
  <c r="AD1524" i="25"/>
  <c r="AB1525" i="25"/>
  <c r="AD1525" i="25"/>
  <c r="AB1526" i="25"/>
  <c r="AD1526" i="25"/>
  <c r="AB1527" i="25"/>
  <c r="AD1527" i="25"/>
  <c r="AB1528" i="25"/>
  <c r="AD1528" i="25"/>
  <c r="AB1529" i="25"/>
  <c r="AD1529" i="25"/>
  <c r="AB1530" i="25"/>
  <c r="AD1530" i="25"/>
  <c r="AB1531" i="25"/>
  <c r="AD1531" i="25"/>
  <c r="AB1532" i="25"/>
  <c r="AD1532" i="25"/>
  <c r="AB1533" i="25"/>
  <c r="AD1533" i="25"/>
  <c r="AB1534" i="25"/>
  <c r="AD1534" i="25"/>
  <c r="AB1535" i="25"/>
  <c r="AD1535" i="25"/>
  <c r="AB1536" i="25"/>
  <c r="AD1536" i="25"/>
  <c r="AB1537" i="25"/>
  <c r="AD1537" i="25"/>
  <c r="AB1538" i="25"/>
  <c r="AD1538" i="25"/>
  <c r="AB1539" i="25"/>
  <c r="AD1539" i="25"/>
  <c r="AB1540" i="25"/>
  <c r="AD1540" i="25"/>
  <c r="AB1541" i="25"/>
  <c r="AD1541" i="25"/>
  <c r="AB1542" i="25"/>
  <c r="AD1542" i="25"/>
  <c r="AB1543" i="25"/>
  <c r="AD1543" i="25"/>
  <c r="AB1544" i="25"/>
  <c r="AD1544" i="25"/>
  <c r="AB1545" i="25"/>
  <c r="AD1545" i="25"/>
  <c r="AB1546" i="25"/>
  <c r="AD1546" i="25"/>
  <c r="AB1547" i="25"/>
  <c r="AD1547" i="25"/>
  <c r="AB1548" i="25"/>
  <c r="AD1548" i="25"/>
  <c r="AB1549" i="25"/>
  <c r="AD1549" i="25"/>
  <c r="AB1550" i="25"/>
  <c r="AD1550" i="25"/>
  <c r="AB1551" i="25"/>
  <c r="AD1551" i="25"/>
  <c r="AB1552" i="25"/>
  <c r="AD1552" i="25"/>
  <c r="AB1553" i="25"/>
  <c r="AD1553" i="25"/>
  <c r="AB1554" i="25"/>
  <c r="AD1554" i="25"/>
  <c r="AB1555" i="25"/>
  <c r="AD1555" i="25"/>
  <c r="AB1556" i="25"/>
  <c r="AD1556" i="25"/>
  <c r="AB1557" i="25"/>
  <c r="AD1557" i="25"/>
  <c r="AB1558" i="25"/>
  <c r="AD1558" i="25"/>
  <c r="AB1559" i="25"/>
  <c r="AD1559" i="25"/>
  <c r="AB1560" i="25"/>
  <c r="AD1560" i="25"/>
  <c r="AB1561" i="25"/>
  <c r="AD1561" i="25"/>
  <c r="AB1562" i="25"/>
  <c r="AD1562" i="25"/>
  <c r="AB1563" i="25"/>
  <c r="AD1563" i="25"/>
  <c r="AB1564" i="25"/>
  <c r="AD1564" i="25"/>
  <c r="AB1565" i="25"/>
  <c r="AD1565" i="25"/>
  <c r="AB1566" i="25"/>
  <c r="AD1566" i="25"/>
  <c r="AB1567" i="25"/>
  <c r="AD1567" i="25"/>
  <c r="AB1568" i="25"/>
  <c r="AD1568" i="25"/>
  <c r="AB1569" i="25"/>
  <c r="AD1569" i="25"/>
  <c r="AB1570" i="25"/>
  <c r="AD1570" i="25"/>
  <c r="AB1571" i="25"/>
  <c r="AD1571" i="25"/>
  <c r="AB1572" i="25"/>
  <c r="AD1572" i="25"/>
  <c r="AB1573" i="25"/>
  <c r="AD1573" i="25"/>
  <c r="AB1574" i="25"/>
  <c r="AD1574" i="25"/>
  <c r="AB1575" i="25"/>
  <c r="AD1575" i="25"/>
  <c r="AB1576" i="25"/>
  <c r="AD1576" i="25"/>
  <c r="AB1577" i="25"/>
  <c r="AD1577" i="25"/>
  <c r="AB1578" i="25"/>
  <c r="AD1578" i="25"/>
  <c r="AB1579" i="25"/>
  <c r="AD1579" i="25"/>
  <c r="AB1580" i="25"/>
  <c r="AD1580" i="25"/>
  <c r="AB1581" i="25"/>
  <c r="AD1581" i="25"/>
  <c r="AB1582" i="25"/>
  <c r="AD1582" i="25"/>
  <c r="AB1583" i="25"/>
  <c r="AD1583" i="25"/>
  <c r="AB1584" i="25"/>
  <c r="AD1584" i="25"/>
  <c r="AB1585" i="25"/>
  <c r="AD1585" i="25"/>
  <c r="AB1586" i="25"/>
  <c r="AD1586" i="25"/>
  <c r="AB1587" i="25"/>
  <c r="AD1587" i="25"/>
  <c r="AB1588" i="25"/>
  <c r="AD1588" i="25"/>
  <c r="AB1589" i="25"/>
  <c r="AD1589" i="25"/>
  <c r="AB1590" i="25"/>
  <c r="AD1590" i="25"/>
  <c r="AB1591" i="25"/>
  <c r="AD1591" i="25"/>
  <c r="AB1592" i="25"/>
  <c r="AD1592" i="25"/>
  <c r="AB1593" i="25"/>
  <c r="AD1593" i="25"/>
  <c r="AB1594" i="25"/>
  <c r="AD1594" i="25"/>
  <c r="AB1595" i="25"/>
  <c r="AD1595" i="25"/>
  <c r="AB1596" i="25"/>
  <c r="AD1596" i="25"/>
  <c r="AI8" i="25"/>
  <c r="AI3" i="25"/>
  <c r="AD3" i="25" a="1"/>
  <c r="AD3" i="25"/>
  <c r="AC3" i="25" a="1"/>
  <c r="AC3" i="25"/>
  <c r="Z1" i="25"/>
  <c r="Z6" i="25"/>
  <c r="B2" i="25"/>
  <c r="AC5" i="25" a="1"/>
  <c r="AC5" i="25"/>
  <c r="AI5" i="25"/>
  <c r="AF5" i="25" a="1"/>
  <c r="AF5" i="25"/>
  <c r="AL5" i="25" a="1"/>
  <c r="AL5" i="25"/>
  <c r="AD5" i="25" a="1"/>
  <c r="AD5" i="25"/>
  <c r="AI10" i="25"/>
  <c r="AF10" i="25" a="1"/>
  <c r="AF10" i="25"/>
  <c r="AL10" i="25" a="1"/>
  <c r="AL10" i="25"/>
  <c r="AG10" i="25" a="1"/>
  <c r="AG10" i="25"/>
  <c r="AK10" i="25" a="1"/>
  <c r="AK10" i="25"/>
  <c r="AG5" i="25" a="1"/>
  <c r="AG5" i="25"/>
  <c r="AK5" i="25" a="1"/>
  <c r="AK5" i="25"/>
  <c r="AH5" i="25" a="1"/>
  <c r="AH5" i="25"/>
  <c r="AJ5" i="25" a="1"/>
  <c r="AJ5" i="25"/>
  <c r="AH10" i="25" a="1"/>
  <c r="AH10" i="25"/>
  <c r="AJ10" i="25" a="1"/>
  <c r="AJ10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<sst xmlns="http://schemas.openxmlformats.org/spreadsheetml/2006/main" count="94" uniqueCount="89">
  <si>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</si>
  <si>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</si>
  <si>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</si>
  <si>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</si>
  <si>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</si>
  <si>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</si>
  <si>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</si>
  <si>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</si>
  <si>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</si>
  <si>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</si>
  <si>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</si>
  <si>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</si>
  <si>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</si>
  <si>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</si>
  <si>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</si>
  <si>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</si>
  <si>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</si>
  <si>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</si>
  <si>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</si>
  <si>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</si>
  <si>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</si>
  <si>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</si>
  <si>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</si>
  <si>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</si>
  <si>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</si>
  <si>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</si>
  <si>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</si>
  <si>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</si>
  <si>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</si>
  <si>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</si>
  <si>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</si>
  <si>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</si>
  <si>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</si>
  <si>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</si>
  <si>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</si>
  <si>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</si>
  <si>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</si>
  <si>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</si>
  <si>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</si>
  <si>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</si>
  <si>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</si>
  <si>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</si>
  <si>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</si>
  <si>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</si>
  <si>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</si>
  <si>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</si>
  <si>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</si>
  <si>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</si>
  <si>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</si>
  <si>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</si>
  <si>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</si>
  <si>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</si>
  <si>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Brent_M24_CLOSE</t>
  </si>
  <si>
    <t>Henry_Hub_M24_CLOSE</t>
  </si>
  <si>
    <t>start</t>
  </si>
  <si>
    <t>ENDEX_M24_CLOSE</t>
  </si>
  <si>
    <t>TFMBMc6</t>
  </si>
  <si>
    <t>LCOc6</t>
  </si>
  <si>
    <t>EDXENLBMc6</t>
  </si>
  <si>
    <t>NGc6</t>
  </si>
  <si>
    <t>AFCMc6</t>
  </si>
  <si>
    <t>TTF_M6</t>
  </si>
  <si>
    <t>Brent_M6</t>
  </si>
  <si>
    <t>ENDEX_M6</t>
  </si>
  <si>
    <t>Henry Hub M6</t>
  </si>
  <si>
    <t>coal_M6</t>
  </si>
  <si>
    <t>EUR6MV=</t>
  </si>
  <si>
    <t>FVG</t>
  </si>
  <si>
    <t>MVA FVG</t>
  </si>
  <si>
    <t>p-value</t>
  </si>
  <si>
    <t>mean</t>
  </si>
  <si>
    <t/>
  </si>
  <si>
    <t>Date</t>
  </si>
  <si>
    <t>TTF_M6_CLOSE</t>
  </si>
  <si>
    <t>Brent_M6_CLOSE</t>
  </si>
  <si>
    <t>ENDEX_M6_CLOSE</t>
  </si>
  <si>
    <t>Henry Hub M6_CLOSE</t>
  </si>
  <si>
    <t>coal_M6_CLOSE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</si>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</sst>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%"/>
    <numFmt numFmtId="166" formatCode="0.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4" fontId="0" fillId="2" borderId="0" xfId="0" applyNumberFormat="1" applyFill="1"/>
    <xf numFmtId="0" fontId="0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2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'M6'!$AA$6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'M6'!$AA$7:$AA$1621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1</c:v>
                </c:pt>
                <c:pt idx="1127">
                  <c:v>1</c:v>
                </c:pt>
                <c:pt idx="1128">
                  <c:v>0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1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1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'M6'!$AB$6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'M6'!$AB$7:$AB$1621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0</c:v>
                </c:pt>
                <c:pt idx="578">
                  <c:v>0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0</c:v>
                </c:pt>
                <c:pt idx="1127">
                  <c:v>0</c:v>
                </c:pt>
                <c:pt idx="1128">
                  <c:v>1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0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0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'M6'!$V$6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'M6'!$V$7:$V$1621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-6.7529158191229621E-2</c:v>
                </c:pt>
                <c:pt idx="500">
                  <c:v>-8.7169615972945369E-2</c:v>
                </c:pt>
                <c:pt idx="501">
                  <c:v>-0.15036303280085439</c:v>
                </c:pt>
                <c:pt idx="502">
                  <c:v>-0.2185202439049394</c:v>
                </c:pt>
                <c:pt idx="503">
                  <c:v>-7.0568169262271163E-2</c:v>
                </c:pt>
                <c:pt idx="504">
                  <c:v>-8.9090373795634448E-2</c:v>
                </c:pt>
                <c:pt idx="505">
                  <c:v>-6.9418581803090795E-2</c:v>
                </c:pt>
                <c:pt idx="506">
                  <c:v>-0.14627769813500158</c:v>
                </c:pt>
                <c:pt idx="507">
                  <c:v>-0.21383443663243018</c:v>
                </c:pt>
                <c:pt idx="508">
                  <c:v>-0.2128987371796498</c:v>
                </c:pt>
                <c:pt idx="509">
                  <c:v>-0.1027490883301172</c:v>
                </c:pt>
                <c:pt idx="510">
                  <c:v>0.18243941390931595</c:v>
                </c:pt>
                <c:pt idx="511">
                  <c:v>-0.15050944891110341</c:v>
                </c:pt>
                <c:pt idx="512">
                  <c:v>-0.22926952503133102</c:v>
                </c:pt>
                <c:pt idx="513">
                  <c:v>-0.63124302291937273</c:v>
                </c:pt>
                <c:pt idx="514">
                  <c:v>-0.26843053810108342</c:v>
                </c:pt>
                <c:pt idx="515">
                  <c:v>-0.18201114213223069</c:v>
                </c:pt>
                <c:pt idx="516">
                  <c:v>-0.4081779330067371</c:v>
                </c:pt>
                <c:pt idx="517">
                  <c:v>-0.24890190708557614</c:v>
                </c:pt>
                <c:pt idx="518">
                  <c:v>-0.18024629451185914</c:v>
                </c:pt>
                <c:pt idx="519">
                  <c:v>-0.36930721504944386</c:v>
                </c:pt>
                <c:pt idx="520">
                  <c:v>-0.34535803681460775</c:v>
                </c:pt>
                <c:pt idx="521">
                  <c:v>-0.23951339378734438</c:v>
                </c:pt>
                <c:pt idx="522">
                  <c:v>-4.9142904389080311E-2</c:v>
                </c:pt>
                <c:pt idx="523">
                  <c:v>-4.0273055067439056E-2</c:v>
                </c:pt>
                <c:pt idx="524">
                  <c:v>-5.9738916786065133E-3</c:v>
                </c:pt>
                <c:pt idx="525">
                  <c:v>-5.2705473467223429E-2</c:v>
                </c:pt>
                <c:pt idx="526">
                  <c:v>-3.7795622776852555E-2</c:v>
                </c:pt>
                <c:pt idx="527">
                  <c:v>1.8581293418530764E-2</c:v>
                </c:pt>
                <c:pt idx="528">
                  <c:v>-7.3985772679664885E-2</c:v>
                </c:pt>
                <c:pt idx="529">
                  <c:v>4.047624343810674E-2</c:v>
                </c:pt>
                <c:pt idx="530">
                  <c:v>6.526336201461147E-2</c:v>
                </c:pt>
                <c:pt idx="531">
                  <c:v>9.6520118219591611E-2</c:v>
                </c:pt>
                <c:pt idx="532">
                  <c:v>9.4750035946655542E-2</c:v>
                </c:pt>
                <c:pt idx="533">
                  <c:v>8.1877980422822016E-2</c:v>
                </c:pt>
                <c:pt idx="534">
                  <c:v>-6.7387012502072796E-2</c:v>
                </c:pt>
                <c:pt idx="535">
                  <c:v>-0.23756188490844243</c:v>
                </c:pt>
                <c:pt idx="536">
                  <c:v>-0.31362960290864206</c:v>
                </c:pt>
                <c:pt idx="537">
                  <c:v>-0.27092694059327349</c:v>
                </c:pt>
                <c:pt idx="538">
                  <c:v>-0.33709346507318305</c:v>
                </c:pt>
                <c:pt idx="539">
                  <c:v>-0.24816546823936447</c:v>
                </c:pt>
                <c:pt idx="540">
                  <c:v>-0.23396402389189364</c:v>
                </c:pt>
                <c:pt idx="541">
                  <c:v>-0.19196004925015342</c:v>
                </c:pt>
                <c:pt idx="542">
                  <c:v>-9.6242767643085037E-2</c:v>
                </c:pt>
                <c:pt idx="543">
                  <c:v>-0.18010570387720071</c:v>
                </c:pt>
                <c:pt idx="544">
                  <c:v>-0.14734597757084889</c:v>
                </c:pt>
                <c:pt idx="545">
                  <c:v>-7.003512112164656E-2</c:v>
                </c:pt>
                <c:pt idx="546">
                  <c:v>-5.3511351393932149E-2</c:v>
                </c:pt>
                <c:pt idx="547">
                  <c:v>-7.8801874400931671E-2</c:v>
                </c:pt>
                <c:pt idx="548">
                  <c:v>2.4430306668267177E-3</c:v>
                </c:pt>
                <c:pt idx="549">
                  <c:v>-4.5787602704511432E-2</c:v>
                </c:pt>
                <c:pt idx="550">
                  <c:v>-0.1016675968519295</c:v>
                </c:pt>
                <c:pt idx="551">
                  <c:v>-0.18515526007994854</c:v>
                </c:pt>
                <c:pt idx="552">
                  <c:v>-0.17057558019091845</c:v>
                </c:pt>
                <c:pt idx="553">
                  <c:v>-3.8894277397428123E-2</c:v>
                </c:pt>
                <c:pt idx="554">
                  <c:v>0.1282542900854845</c:v>
                </c:pt>
                <c:pt idx="555">
                  <c:v>0.66957954638171713</c:v>
                </c:pt>
                <c:pt idx="556">
                  <c:v>0.25690373275675382</c:v>
                </c:pt>
                <c:pt idx="557">
                  <c:v>0.35124383896914674</c:v>
                </c:pt>
                <c:pt idx="558">
                  <c:v>0.22387905083090298</c:v>
                </c:pt>
                <c:pt idx="559">
                  <c:v>0.13515025440585754</c:v>
                </c:pt>
                <c:pt idx="560">
                  <c:v>0.17425900060310395</c:v>
                </c:pt>
                <c:pt idx="561">
                  <c:v>0.13418634849254327</c:v>
                </c:pt>
                <c:pt idx="562">
                  <c:v>0.16597348425497677</c:v>
                </c:pt>
                <c:pt idx="563">
                  <c:v>2.7021921091857234E-2</c:v>
                </c:pt>
                <c:pt idx="564">
                  <c:v>0.12587434451832594</c:v>
                </c:pt>
                <c:pt idx="565">
                  <c:v>-1.8090325591320136E-3</c:v>
                </c:pt>
                <c:pt idx="566">
                  <c:v>-0.13939209445904069</c:v>
                </c:pt>
                <c:pt idx="567">
                  <c:v>-0.13846102806324914</c:v>
                </c:pt>
                <c:pt idx="568">
                  <c:v>-0.14129524872874569</c:v>
                </c:pt>
                <c:pt idx="569">
                  <c:v>-9.4069482659775966E-2</c:v>
                </c:pt>
                <c:pt idx="570">
                  <c:v>-8.9686989625000546E-2</c:v>
                </c:pt>
                <c:pt idx="571">
                  <c:v>-0.23043765103268649</c:v>
                </c:pt>
                <c:pt idx="572">
                  <c:v>-0.18182415524850443</c:v>
                </c:pt>
                <c:pt idx="573">
                  <c:v>5.5220273493921557E-2</c:v>
                </c:pt>
                <c:pt idx="574">
                  <c:v>7.6060249589814388E-2</c:v>
                </c:pt>
                <c:pt idx="575">
                  <c:v>8.6247234969846542E-2</c:v>
                </c:pt>
                <c:pt idx="576">
                  <c:v>-0.14436581787299191</c:v>
                </c:pt>
                <c:pt idx="577">
                  <c:v>-0.33114526787328491</c:v>
                </c:pt>
                <c:pt idx="578">
                  <c:v>0.32361201439737269</c:v>
                </c:pt>
                <c:pt idx="579">
                  <c:v>1.2977925999267479</c:v>
                </c:pt>
                <c:pt idx="580">
                  <c:v>1.1764314978516102</c:v>
                </c:pt>
                <c:pt idx="581">
                  <c:v>0.90325785088143329</c:v>
                </c:pt>
                <c:pt idx="582">
                  <c:v>0.95184696983655215</c:v>
                </c:pt>
                <c:pt idx="583">
                  <c:v>1.1064750239005601</c:v>
                </c:pt>
                <c:pt idx="584">
                  <c:v>1.0605369492531003</c:v>
                </c:pt>
                <c:pt idx="585">
                  <c:v>0.61190608286436943</c:v>
                </c:pt>
                <c:pt idx="586">
                  <c:v>0.58530654792447989</c:v>
                </c:pt>
                <c:pt idx="587">
                  <c:v>0.50149973290147687</c:v>
                </c:pt>
                <c:pt idx="588">
                  <c:v>-0.48740007674654484</c:v>
                </c:pt>
                <c:pt idx="589">
                  <c:v>-0.28425492615620851</c:v>
                </c:pt>
                <c:pt idx="590">
                  <c:v>-0.48789081643261373</c:v>
                </c:pt>
                <c:pt idx="591">
                  <c:v>-0.78599134964709516</c:v>
                </c:pt>
                <c:pt idx="592">
                  <c:v>-0.86069177767719207</c:v>
                </c:pt>
                <c:pt idx="593">
                  <c:v>-0.57850143939745435</c:v>
                </c:pt>
                <c:pt idx="594">
                  <c:v>-0.62452377092933398</c:v>
                </c:pt>
                <c:pt idx="595">
                  <c:v>-0.49263294842757732</c:v>
                </c:pt>
                <c:pt idx="596">
                  <c:v>-1.2544102952914122</c:v>
                </c:pt>
                <c:pt idx="597">
                  <c:v>1.0967651826145248</c:v>
                </c:pt>
                <c:pt idx="598">
                  <c:v>0.34721232398538548</c:v>
                </c:pt>
                <c:pt idx="599">
                  <c:v>0.29127997191734734</c:v>
                </c:pt>
                <c:pt idx="600">
                  <c:v>0.16592133535909115</c:v>
                </c:pt>
                <c:pt idx="601">
                  <c:v>0.25432228090703946</c:v>
                </c:pt>
                <c:pt idx="602">
                  <c:v>0.27665713145180815</c:v>
                </c:pt>
                <c:pt idx="603">
                  <c:v>0.21502880638691443</c:v>
                </c:pt>
                <c:pt idx="604">
                  <c:v>0.25145393985163583</c:v>
                </c:pt>
                <c:pt idx="605">
                  <c:v>0.3461008304907931</c:v>
                </c:pt>
                <c:pt idx="606">
                  <c:v>0.25008122240518948</c:v>
                </c:pt>
                <c:pt idx="607">
                  <c:v>4.5480589036707653E-2</c:v>
                </c:pt>
                <c:pt idx="608">
                  <c:v>8.3471824871545558E-2</c:v>
                </c:pt>
                <c:pt idx="609">
                  <c:v>-4.945162048141688E-2</c:v>
                </c:pt>
                <c:pt idx="610">
                  <c:v>-0.23822844604065074</c:v>
                </c:pt>
                <c:pt idx="611">
                  <c:v>-1.6434153052474365E-2</c:v>
                </c:pt>
                <c:pt idx="612">
                  <c:v>-3.0470921800215933E-2</c:v>
                </c:pt>
                <c:pt idx="613">
                  <c:v>-8.4376702465945752E-2</c:v>
                </c:pt>
                <c:pt idx="614">
                  <c:v>-0.1154679216037735</c:v>
                </c:pt>
                <c:pt idx="615">
                  <c:v>-0.16167097655678098</c:v>
                </c:pt>
                <c:pt idx="616">
                  <c:v>-4.3581688492337345E-2</c:v>
                </c:pt>
                <c:pt idx="617">
                  <c:v>-0.10985011915131082</c:v>
                </c:pt>
                <c:pt idx="618">
                  <c:v>-0.23039054159966454</c:v>
                </c:pt>
                <c:pt idx="619">
                  <c:v>-1.3059847055127474</c:v>
                </c:pt>
                <c:pt idx="620">
                  <c:v>1.2026246015180726</c:v>
                </c:pt>
                <c:pt idx="621">
                  <c:v>1.0878767315579163</c:v>
                </c:pt>
                <c:pt idx="622">
                  <c:v>0.93058920509270115</c:v>
                </c:pt>
                <c:pt idx="623">
                  <c:v>0.70014038836325798</c:v>
                </c:pt>
                <c:pt idx="624">
                  <c:v>0.4701419913142636</c:v>
                </c:pt>
                <c:pt idx="625">
                  <c:v>8.4670758342030195E-2</c:v>
                </c:pt>
                <c:pt idx="626">
                  <c:v>0.43054119789665585</c:v>
                </c:pt>
                <c:pt idx="627">
                  <c:v>0.36938592131482806</c:v>
                </c:pt>
                <c:pt idx="628">
                  <c:v>0.19164695872062368</c:v>
                </c:pt>
                <c:pt idx="629">
                  <c:v>1.0497231275593776E-2</c:v>
                </c:pt>
                <c:pt idx="630">
                  <c:v>0.19382737287015819</c:v>
                </c:pt>
                <c:pt idx="631">
                  <c:v>0.19507130569595033</c:v>
                </c:pt>
                <c:pt idx="632">
                  <c:v>-2.2815968196961828E-2</c:v>
                </c:pt>
                <c:pt idx="633">
                  <c:v>-8.195891023511831E-2</c:v>
                </c:pt>
                <c:pt idx="634">
                  <c:v>-0.20880885179624087</c:v>
                </c:pt>
                <c:pt idx="635">
                  <c:v>-0.21546063328747239</c:v>
                </c:pt>
                <c:pt idx="636">
                  <c:v>-0.36722213912997376</c:v>
                </c:pt>
                <c:pt idx="637">
                  <c:v>-0.43579854617385794</c:v>
                </c:pt>
                <c:pt idx="638">
                  <c:v>-0.36196361261071036</c:v>
                </c:pt>
                <c:pt idx="639">
                  <c:v>-0.35972619613521817</c:v>
                </c:pt>
                <c:pt idx="640">
                  <c:v>-0.16785485106114645</c:v>
                </c:pt>
                <c:pt idx="641">
                  <c:v>3.6565849205440593E-2</c:v>
                </c:pt>
                <c:pt idx="642">
                  <c:v>1.4029163193834564</c:v>
                </c:pt>
                <c:pt idx="643">
                  <c:v>1.5025703812215343</c:v>
                </c:pt>
                <c:pt idx="644">
                  <c:v>1.2305666921997007</c:v>
                </c:pt>
                <c:pt idx="645">
                  <c:v>0.83878138437437877</c:v>
                </c:pt>
                <c:pt idx="646">
                  <c:v>0.90713642433287123</c:v>
                </c:pt>
                <c:pt idx="647">
                  <c:v>1.0057817273262779</c:v>
                </c:pt>
                <c:pt idx="648">
                  <c:v>1.0026388209111827</c:v>
                </c:pt>
                <c:pt idx="649">
                  <c:v>0.73480993236827763</c:v>
                </c:pt>
                <c:pt idx="650">
                  <c:v>0.26578633482960973</c:v>
                </c:pt>
                <c:pt idx="651">
                  <c:v>-7.6227773178754593E-2</c:v>
                </c:pt>
                <c:pt idx="652">
                  <c:v>-0.46302042279921757</c:v>
                </c:pt>
                <c:pt idx="653">
                  <c:v>-0.26190247269787276</c:v>
                </c:pt>
                <c:pt idx="654">
                  <c:v>-0.33998527827432778</c:v>
                </c:pt>
                <c:pt idx="655">
                  <c:v>-0.55453028150385375</c:v>
                </c:pt>
                <c:pt idx="656">
                  <c:v>-0.43623447428623768</c:v>
                </c:pt>
                <c:pt idx="657">
                  <c:v>-0.3969423601881068</c:v>
                </c:pt>
                <c:pt idx="658">
                  <c:v>-0.4117048858981695</c:v>
                </c:pt>
                <c:pt idx="659">
                  <c:v>-0.73208550745086365</c:v>
                </c:pt>
                <c:pt idx="660">
                  <c:v>-0.56487262453106357</c:v>
                </c:pt>
                <c:pt idx="661">
                  <c:v>-0.46968018346352153</c:v>
                </c:pt>
                <c:pt idx="662">
                  <c:v>-0.72901190265458671</c:v>
                </c:pt>
                <c:pt idx="663">
                  <c:v>0.40900269143234946</c:v>
                </c:pt>
                <c:pt idx="664">
                  <c:v>0.26691249604564943</c:v>
                </c:pt>
                <c:pt idx="665">
                  <c:v>5.8959486593570601E-2</c:v>
                </c:pt>
                <c:pt idx="666">
                  <c:v>-0.11805637240143621</c:v>
                </c:pt>
                <c:pt idx="667">
                  <c:v>-0.344952869293496</c:v>
                </c:pt>
                <c:pt idx="668">
                  <c:v>-0.2367564334007583</c:v>
                </c:pt>
                <c:pt idx="669">
                  <c:v>-0.54708918506447712</c:v>
                </c:pt>
                <c:pt idx="670">
                  <c:v>-0.55314221311398359</c:v>
                </c:pt>
                <c:pt idx="671">
                  <c:v>-0.60562526611343981</c:v>
                </c:pt>
                <c:pt idx="672">
                  <c:v>-0.48459173520557508</c:v>
                </c:pt>
                <c:pt idx="673">
                  <c:v>-7.1329157955289879E-2</c:v>
                </c:pt>
                <c:pt idx="674">
                  <c:v>-0.44631788391566574</c:v>
                </c:pt>
                <c:pt idx="675">
                  <c:v>-0.23472782579711082</c:v>
                </c:pt>
                <c:pt idx="676">
                  <c:v>-0.11790434840229458</c:v>
                </c:pt>
                <c:pt idx="677">
                  <c:v>-0.29509036442526515</c:v>
                </c:pt>
                <c:pt idx="678">
                  <c:v>-0.2635874009643977</c:v>
                </c:pt>
                <c:pt idx="679">
                  <c:v>-0.31282929518181657</c:v>
                </c:pt>
                <c:pt idx="680">
                  <c:v>-0.27033222417616309</c:v>
                </c:pt>
                <c:pt idx="681">
                  <c:v>-0.23850439713522997</c:v>
                </c:pt>
                <c:pt idx="682">
                  <c:v>-0.3386005653705203</c:v>
                </c:pt>
                <c:pt idx="683">
                  <c:v>-0.42287338373075867</c:v>
                </c:pt>
                <c:pt idx="684">
                  <c:v>-0.47607926387956301</c:v>
                </c:pt>
                <c:pt idx="685">
                  <c:v>-0.56633286419227868</c:v>
                </c:pt>
                <c:pt idx="686">
                  <c:v>0.39028791372239813</c:v>
                </c:pt>
                <c:pt idx="687">
                  <c:v>0.13660938156091496</c:v>
                </c:pt>
                <c:pt idx="688">
                  <c:v>-0.34095008710549801</c:v>
                </c:pt>
                <c:pt idx="689">
                  <c:v>-0.41981508665067291</c:v>
                </c:pt>
                <c:pt idx="690">
                  <c:v>-0.51955582264024192</c:v>
                </c:pt>
                <c:pt idx="691">
                  <c:v>-0.40161292912435043</c:v>
                </c:pt>
                <c:pt idx="692">
                  <c:v>-0.62045248118341978</c:v>
                </c:pt>
                <c:pt idx="693">
                  <c:v>-0.50779808543926586</c:v>
                </c:pt>
                <c:pt idx="694">
                  <c:v>-6.597849890172891E-2</c:v>
                </c:pt>
                <c:pt idx="695">
                  <c:v>-7.5337298703773481E-2</c:v>
                </c:pt>
                <c:pt idx="696">
                  <c:v>0.12128294861148237</c:v>
                </c:pt>
                <c:pt idx="697">
                  <c:v>0.18492738827599542</c:v>
                </c:pt>
                <c:pt idx="698">
                  <c:v>0.16075507326708172</c:v>
                </c:pt>
                <c:pt idx="699">
                  <c:v>0.2581933176369875</c:v>
                </c:pt>
                <c:pt idx="700">
                  <c:v>3.558247761280775E-3</c:v>
                </c:pt>
                <c:pt idx="701">
                  <c:v>9.5658374878112795E-2</c:v>
                </c:pt>
                <c:pt idx="702">
                  <c:v>-0.16836885221161713</c:v>
                </c:pt>
                <c:pt idx="703">
                  <c:v>-0.31147749843922989</c:v>
                </c:pt>
                <c:pt idx="704">
                  <c:v>-0.36611375399894031</c:v>
                </c:pt>
                <c:pt idx="705">
                  <c:v>-0.70154127267117206</c:v>
                </c:pt>
                <c:pt idx="706">
                  <c:v>-0.1220314078301506</c:v>
                </c:pt>
                <c:pt idx="707">
                  <c:v>-1.1551743488426351</c:v>
                </c:pt>
                <c:pt idx="708">
                  <c:v>-1.0335738784562511</c:v>
                </c:pt>
                <c:pt idx="709">
                  <c:v>-0.7070639399411327</c:v>
                </c:pt>
                <c:pt idx="710">
                  <c:v>-0.6467460325797415</c:v>
                </c:pt>
                <c:pt idx="711">
                  <c:v>-0.65585742607846265</c:v>
                </c:pt>
                <c:pt idx="712">
                  <c:v>-0.73165447537915496</c:v>
                </c:pt>
                <c:pt idx="713">
                  <c:v>-0.60566484783965302</c:v>
                </c:pt>
                <c:pt idx="714">
                  <c:v>-0.4536099838372411</c:v>
                </c:pt>
                <c:pt idx="715">
                  <c:v>-0.39446281792230431</c:v>
                </c:pt>
                <c:pt idx="716">
                  <c:v>-0.42219377305523659</c:v>
                </c:pt>
                <c:pt idx="717">
                  <c:v>-0.40601684348869793</c:v>
                </c:pt>
                <c:pt idx="718">
                  <c:v>-0.30175475146017505</c:v>
                </c:pt>
                <c:pt idx="719">
                  <c:v>-0.2376774693011876</c:v>
                </c:pt>
                <c:pt idx="720">
                  <c:v>-0.26478751627974717</c:v>
                </c:pt>
                <c:pt idx="721">
                  <c:v>-2.73048932040727E-2</c:v>
                </c:pt>
                <c:pt idx="722">
                  <c:v>0.20105798349372439</c:v>
                </c:pt>
                <c:pt idx="723">
                  <c:v>0.35926151544404472</c:v>
                </c:pt>
                <c:pt idx="724">
                  <c:v>0.16287878994503768</c:v>
                </c:pt>
                <c:pt idx="725">
                  <c:v>0.45671565635491412</c:v>
                </c:pt>
                <c:pt idx="726">
                  <c:v>0.33025682325823069</c:v>
                </c:pt>
                <c:pt idx="727">
                  <c:v>0.16326708182893312</c:v>
                </c:pt>
                <c:pt idx="728">
                  <c:v>0.52004796027350619</c:v>
                </c:pt>
                <c:pt idx="729">
                  <c:v>0.19026145679183465</c:v>
                </c:pt>
                <c:pt idx="730">
                  <c:v>0.39019347645817498</c:v>
                </c:pt>
                <c:pt idx="731">
                  <c:v>0.48773054980710795</c:v>
                </c:pt>
                <c:pt idx="732">
                  <c:v>0.16423257677638489</c:v>
                </c:pt>
                <c:pt idx="733">
                  <c:v>-0.42591021960278552</c:v>
                </c:pt>
                <c:pt idx="734">
                  <c:v>-0.53643228125463394</c:v>
                </c:pt>
                <c:pt idx="735">
                  <c:v>-0.95028843416784659</c:v>
                </c:pt>
                <c:pt idx="736">
                  <c:v>-1.2217492215211354</c:v>
                </c:pt>
                <c:pt idx="737">
                  <c:v>-1.2761459347029696</c:v>
                </c:pt>
                <c:pt idx="738">
                  <c:v>-0.9119461081459328</c:v>
                </c:pt>
                <c:pt idx="739">
                  <c:v>-0.78712047317235456</c:v>
                </c:pt>
                <c:pt idx="740">
                  <c:v>-1.2571893906635687</c:v>
                </c:pt>
                <c:pt idx="741">
                  <c:v>-1.1569280701511024</c:v>
                </c:pt>
                <c:pt idx="742">
                  <c:v>-1.3113253665559708</c:v>
                </c:pt>
                <c:pt idx="743">
                  <c:v>-1.3653245433913386</c:v>
                </c:pt>
                <c:pt idx="744">
                  <c:v>-0.8715568293703172</c:v>
                </c:pt>
                <c:pt idx="745">
                  <c:v>-0.89850001682780012</c:v>
                </c:pt>
                <c:pt idx="746">
                  <c:v>-0.97024828487894521</c:v>
                </c:pt>
                <c:pt idx="747">
                  <c:v>-0.78281319458521958</c:v>
                </c:pt>
                <c:pt idx="748">
                  <c:v>-0.32953434002946158</c:v>
                </c:pt>
                <c:pt idx="749">
                  <c:v>-0.5941181597673233</c:v>
                </c:pt>
                <c:pt idx="750">
                  <c:v>-0.68927281023434084</c:v>
                </c:pt>
                <c:pt idx="751">
                  <c:v>-1.7145166969558407</c:v>
                </c:pt>
                <c:pt idx="752">
                  <c:v>-0.99045577029249954</c:v>
                </c:pt>
                <c:pt idx="753">
                  <c:v>-0.65586661101188981</c:v>
                </c:pt>
                <c:pt idx="754">
                  <c:v>-0.45548317488981216</c:v>
                </c:pt>
                <c:pt idx="755">
                  <c:v>-0.42817104797042882</c:v>
                </c:pt>
                <c:pt idx="756">
                  <c:v>-1.6988824596782637E-2</c:v>
                </c:pt>
                <c:pt idx="757">
                  <c:v>-0.54556342147664916</c:v>
                </c:pt>
                <c:pt idx="758">
                  <c:v>-0.56471063034598823</c:v>
                </c:pt>
                <c:pt idx="759">
                  <c:v>-0.20103065994888897</c:v>
                </c:pt>
                <c:pt idx="760">
                  <c:v>-0.87058620062113745</c:v>
                </c:pt>
                <c:pt idx="761">
                  <c:v>-0.48561990398865751</c:v>
                </c:pt>
                <c:pt idx="762">
                  <c:v>-0.36424415227048113</c:v>
                </c:pt>
                <c:pt idx="763">
                  <c:v>-0.44368975334003818</c:v>
                </c:pt>
                <c:pt idx="764">
                  <c:v>-0.74970026549897062</c:v>
                </c:pt>
                <c:pt idx="765">
                  <c:v>-0.51826357618923136</c:v>
                </c:pt>
                <c:pt idx="766">
                  <c:v>-0.36663892338244652</c:v>
                </c:pt>
                <c:pt idx="767">
                  <c:v>-6.3007757367958273E-2</c:v>
                </c:pt>
                <c:pt idx="768">
                  <c:v>-0.47208981802356181</c:v>
                </c:pt>
                <c:pt idx="769">
                  <c:v>-0.55352631525281781</c:v>
                </c:pt>
                <c:pt idx="770">
                  <c:v>0.34792320962573464</c:v>
                </c:pt>
                <c:pt idx="771">
                  <c:v>7.5809163351130082E-2</c:v>
                </c:pt>
                <c:pt idx="772">
                  <c:v>-0.34210774021274115</c:v>
                </c:pt>
                <c:pt idx="773">
                  <c:v>-0.23328389977747221</c:v>
                </c:pt>
                <c:pt idx="774">
                  <c:v>-0.26387509490063887</c:v>
                </c:pt>
                <c:pt idx="775">
                  <c:v>-0.30816487409149207</c:v>
                </c:pt>
                <c:pt idx="776">
                  <c:v>-0.63964405556283943</c:v>
                </c:pt>
                <c:pt idx="777">
                  <c:v>-0.17275953664131627</c:v>
                </c:pt>
                <c:pt idx="778">
                  <c:v>-0.47488796255073717</c:v>
                </c:pt>
                <c:pt idx="779">
                  <c:v>-9.1826055693061903E-2</c:v>
                </c:pt>
                <c:pt idx="780">
                  <c:v>0.13494806873740964</c:v>
                </c:pt>
                <c:pt idx="781">
                  <c:v>0.38253945069538553</c:v>
                </c:pt>
                <c:pt idx="782">
                  <c:v>0.25406101686640165</c:v>
                </c:pt>
                <c:pt idx="783">
                  <c:v>0.25085332366774676</c:v>
                </c:pt>
                <c:pt idx="784">
                  <c:v>0.12954851759442063</c:v>
                </c:pt>
                <c:pt idx="785">
                  <c:v>0.35998176551376404</c:v>
                </c:pt>
                <c:pt idx="786">
                  <c:v>0.47167027728703248</c:v>
                </c:pt>
                <c:pt idx="787">
                  <c:v>0.46623223010951065</c:v>
                </c:pt>
                <c:pt idx="788">
                  <c:v>0.7514586732286741</c:v>
                </c:pt>
                <c:pt idx="789">
                  <c:v>0.87568593744889678</c:v>
                </c:pt>
                <c:pt idx="790">
                  <c:v>0.66000457015974012</c:v>
                </c:pt>
                <c:pt idx="791">
                  <c:v>-0.69335275161891319</c:v>
                </c:pt>
                <c:pt idx="792">
                  <c:v>0.86281064687592324</c:v>
                </c:pt>
                <c:pt idx="793">
                  <c:v>0.72733690160387221</c:v>
                </c:pt>
                <c:pt idx="794">
                  <c:v>0.81132708151069233</c:v>
                </c:pt>
                <c:pt idx="795">
                  <c:v>9.9607150532617705E-2</c:v>
                </c:pt>
                <c:pt idx="796">
                  <c:v>-0.12443347788343573</c:v>
                </c:pt>
                <c:pt idx="797">
                  <c:v>-9.6676264488198216E-2</c:v>
                </c:pt>
                <c:pt idx="798">
                  <c:v>-0.3210021539739123</c:v>
                </c:pt>
                <c:pt idx="799">
                  <c:v>-0.43779384006025501</c:v>
                </c:pt>
                <c:pt idx="800">
                  <c:v>-0.31835176405706311</c:v>
                </c:pt>
                <c:pt idx="801">
                  <c:v>-0.28646500753831994</c:v>
                </c:pt>
                <c:pt idx="802">
                  <c:v>-0.14386046104304384</c:v>
                </c:pt>
                <c:pt idx="803">
                  <c:v>-0.24493078146703529</c:v>
                </c:pt>
                <c:pt idx="804">
                  <c:v>-0.43458764141378858</c:v>
                </c:pt>
                <c:pt idx="805">
                  <c:v>-0.67661525184914473</c:v>
                </c:pt>
                <c:pt idx="806">
                  <c:v>-0.46212116748336074</c:v>
                </c:pt>
                <c:pt idx="807">
                  <c:v>-0.32765507742340916</c:v>
                </c:pt>
                <c:pt idx="808">
                  <c:v>-0.45052870441731779</c:v>
                </c:pt>
                <c:pt idx="809">
                  <c:v>-0.27977811010706016</c:v>
                </c:pt>
                <c:pt idx="810">
                  <c:v>-0.35529181661357767</c:v>
                </c:pt>
                <c:pt idx="811">
                  <c:v>0.80592253026427829</c:v>
                </c:pt>
                <c:pt idx="812">
                  <c:v>-0.50446859019276324</c:v>
                </c:pt>
                <c:pt idx="813">
                  <c:v>-1.0597536526261773</c:v>
                </c:pt>
                <c:pt idx="814">
                  <c:v>-0.92190726346202945</c:v>
                </c:pt>
                <c:pt idx="815">
                  <c:v>-0.82600953826158063</c:v>
                </c:pt>
                <c:pt idx="816">
                  <c:v>-0.95333986347736954</c:v>
                </c:pt>
                <c:pt idx="817">
                  <c:v>-1.3226320060914116</c:v>
                </c:pt>
                <c:pt idx="818">
                  <c:v>-1.0374334049661447</c:v>
                </c:pt>
                <c:pt idx="819">
                  <c:v>-1.3059544446664568</c:v>
                </c:pt>
                <c:pt idx="820">
                  <c:v>-0.88621807843668687</c:v>
                </c:pt>
                <c:pt idx="821">
                  <c:v>-0.43067447565964234</c:v>
                </c:pt>
                <c:pt idx="822">
                  <c:v>-0.71725500774969697</c:v>
                </c:pt>
                <c:pt idx="823">
                  <c:v>-0.46626266027584173</c:v>
                </c:pt>
                <c:pt idx="824">
                  <c:v>-0.92375423887187724</c:v>
                </c:pt>
                <c:pt idx="825">
                  <c:v>-0.95092075219272054</c:v>
                </c:pt>
                <c:pt idx="826">
                  <c:v>-0.60877662057025805</c:v>
                </c:pt>
                <c:pt idx="827">
                  <c:v>-0.44120460522364247</c:v>
                </c:pt>
                <c:pt idx="828">
                  <c:v>1.7593590266311354E-2</c:v>
                </c:pt>
                <c:pt idx="829">
                  <c:v>0.2026359750911324</c:v>
                </c:pt>
                <c:pt idx="830">
                  <c:v>-0.28758633351638863</c:v>
                </c:pt>
                <c:pt idx="831">
                  <c:v>8.7857672735660586E-2</c:v>
                </c:pt>
                <c:pt idx="832">
                  <c:v>1.1774815219276542</c:v>
                </c:pt>
                <c:pt idx="833">
                  <c:v>-1.7339904357741498</c:v>
                </c:pt>
                <c:pt idx="834">
                  <c:v>-1.0031288115911121</c:v>
                </c:pt>
                <c:pt idx="835">
                  <c:v>-0.62982453035938968</c:v>
                </c:pt>
                <c:pt idx="836">
                  <c:v>-0.67870153762219054</c:v>
                </c:pt>
                <c:pt idx="837">
                  <c:v>-0.837539529515126</c:v>
                </c:pt>
                <c:pt idx="838">
                  <c:v>-0.71257484381152736</c:v>
                </c:pt>
                <c:pt idx="839">
                  <c:v>-1.1259242126630875</c:v>
                </c:pt>
                <c:pt idx="840">
                  <c:v>-0.78754589124652474</c:v>
                </c:pt>
                <c:pt idx="841">
                  <c:v>-0.87769586961731827</c:v>
                </c:pt>
                <c:pt idx="842">
                  <c:v>-0.44156381312422521</c:v>
                </c:pt>
                <c:pt idx="843">
                  <c:v>-9.8940635284336942E-2</c:v>
                </c:pt>
                <c:pt idx="844">
                  <c:v>-0.2503266708302041</c:v>
                </c:pt>
                <c:pt idx="845">
                  <c:v>-0.43524631789406554</c:v>
                </c:pt>
                <c:pt idx="846">
                  <c:v>-0.5647116668181611</c:v>
                </c:pt>
                <c:pt idx="847">
                  <c:v>-0.58176453632286051</c:v>
                </c:pt>
                <c:pt idx="848">
                  <c:v>-0.28379930771359518</c:v>
                </c:pt>
                <c:pt idx="849">
                  <c:v>-0.27340292051246395</c:v>
                </c:pt>
                <c:pt idx="850">
                  <c:v>-0.36479642472543539</c:v>
                </c:pt>
                <c:pt idx="851">
                  <c:v>-0.50383434338822397</c:v>
                </c:pt>
                <c:pt idx="852">
                  <c:v>-0.43004226791856759</c:v>
                </c:pt>
                <c:pt idx="853">
                  <c:v>-3.1319964923667065E-2</c:v>
                </c:pt>
                <c:pt idx="854">
                  <c:v>0.42914761676467972</c:v>
                </c:pt>
                <c:pt idx="855">
                  <c:v>0.18585951170871962</c:v>
                </c:pt>
                <c:pt idx="856">
                  <c:v>-5.1338890123895808E-2</c:v>
                </c:pt>
                <c:pt idx="857">
                  <c:v>7.9636030491416321E-2</c:v>
                </c:pt>
                <c:pt idx="858">
                  <c:v>0.33146385999694328</c:v>
                </c:pt>
                <c:pt idx="859">
                  <c:v>0.33650649911548136</c:v>
                </c:pt>
                <c:pt idx="860">
                  <c:v>0.25468081698696832</c:v>
                </c:pt>
                <c:pt idx="861">
                  <c:v>-2.0691663416874562E-2</c:v>
                </c:pt>
                <c:pt idx="862">
                  <c:v>-3.3018748789517716E-2</c:v>
                </c:pt>
                <c:pt idx="863">
                  <c:v>0.13476627689818521</c:v>
                </c:pt>
                <c:pt idx="864">
                  <c:v>0.20698991181968562</c:v>
                </c:pt>
                <c:pt idx="865">
                  <c:v>4.2867925038610366E-2</c:v>
                </c:pt>
                <c:pt idx="866">
                  <c:v>0.14092162390873142</c:v>
                </c:pt>
                <c:pt idx="867">
                  <c:v>6.0179302755871689E-3</c:v>
                </c:pt>
                <c:pt idx="868">
                  <c:v>-4.4226525987358656E-2</c:v>
                </c:pt>
                <c:pt idx="869">
                  <c:v>0.12106324187153117</c:v>
                </c:pt>
                <c:pt idx="870">
                  <c:v>2.6756042587082529E-2</c:v>
                </c:pt>
                <c:pt idx="871">
                  <c:v>0.31605133260679352</c:v>
                </c:pt>
                <c:pt idx="872">
                  <c:v>0.17868968176714928</c:v>
                </c:pt>
                <c:pt idx="873">
                  <c:v>6.4981500490870037E-2</c:v>
                </c:pt>
                <c:pt idx="874">
                  <c:v>-3.361754044420362E-2</c:v>
                </c:pt>
                <c:pt idx="875">
                  <c:v>0.20415607790696289</c:v>
                </c:pt>
                <c:pt idx="876">
                  <c:v>0.34280524328269202</c:v>
                </c:pt>
                <c:pt idx="877">
                  <c:v>0.31690915068425296</c:v>
                </c:pt>
                <c:pt idx="878">
                  <c:v>0.33775704336808499</c:v>
                </c:pt>
                <c:pt idx="879">
                  <c:v>0.26330614122819762</c:v>
                </c:pt>
                <c:pt idx="880">
                  <c:v>0.16406179733130255</c:v>
                </c:pt>
                <c:pt idx="881">
                  <c:v>0.16991759674509854</c:v>
                </c:pt>
                <c:pt idx="882">
                  <c:v>0.10465387993833897</c:v>
                </c:pt>
                <c:pt idx="883">
                  <c:v>1.0714191365258419E-2</c:v>
                </c:pt>
                <c:pt idx="884">
                  <c:v>-0.13445940399740941</c:v>
                </c:pt>
                <c:pt idx="885">
                  <c:v>1.1238583005175773E-2</c:v>
                </c:pt>
                <c:pt idx="886">
                  <c:v>0.16625612147788704</c:v>
                </c:pt>
                <c:pt idx="887">
                  <c:v>0.18785606224448026</c:v>
                </c:pt>
                <c:pt idx="888">
                  <c:v>0.35102179745315887</c:v>
                </c:pt>
                <c:pt idx="889">
                  <c:v>0.36567037893384979</c:v>
                </c:pt>
                <c:pt idx="890">
                  <c:v>0.19100298560747797</c:v>
                </c:pt>
                <c:pt idx="891">
                  <c:v>0.20429376051553216</c:v>
                </c:pt>
                <c:pt idx="892">
                  <c:v>0.17714427619860063</c:v>
                </c:pt>
                <c:pt idx="893">
                  <c:v>0.23519711788200204</c:v>
                </c:pt>
                <c:pt idx="894">
                  <c:v>3.373794682680753E-2</c:v>
                </c:pt>
                <c:pt idx="895">
                  <c:v>6.6132252521253321E-2</c:v>
                </c:pt>
                <c:pt idx="896">
                  <c:v>-0.22563936524710448</c:v>
                </c:pt>
                <c:pt idx="897">
                  <c:v>-0.25807300470172478</c:v>
                </c:pt>
                <c:pt idx="898">
                  <c:v>-2.6055743491752548E-2</c:v>
                </c:pt>
                <c:pt idx="899">
                  <c:v>2.4307286902209402E-2</c:v>
                </c:pt>
                <c:pt idx="900">
                  <c:v>-5.8843483304578115E-3</c:v>
                </c:pt>
                <c:pt idx="901">
                  <c:v>1.582593033494506E-2</c:v>
                </c:pt>
                <c:pt idx="902">
                  <c:v>-1.6067975084930186E-2</c:v>
                </c:pt>
                <c:pt idx="903">
                  <c:v>5.7447755804298062E-2</c:v>
                </c:pt>
                <c:pt idx="904">
                  <c:v>-2.6936147896725604E-2</c:v>
                </c:pt>
                <c:pt idx="905">
                  <c:v>0.16555686540761272</c:v>
                </c:pt>
                <c:pt idx="906">
                  <c:v>-6.571311661517143E-3</c:v>
                </c:pt>
                <c:pt idx="907">
                  <c:v>5.1533568852787814E-2</c:v>
                </c:pt>
                <c:pt idx="908">
                  <c:v>3.8383731337334748E-2</c:v>
                </c:pt>
                <c:pt idx="909">
                  <c:v>1.0109786061246018E-2</c:v>
                </c:pt>
                <c:pt idx="910">
                  <c:v>6.8321318091778771E-2</c:v>
                </c:pt>
                <c:pt idx="911">
                  <c:v>0.10428106979349372</c:v>
                </c:pt>
                <c:pt idx="912">
                  <c:v>0.13379379849217687</c:v>
                </c:pt>
                <c:pt idx="913">
                  <c:v>0.12832955453767103</c:v>
                </c:pt>
                <c:pt idx="914">
                  <c:v>0.13512324660904862</c:v>
                </c:pt>
                <c:pt idx="915">
                  <c:v>8.0005540651164164E-2</c:v>
                </c:pt>
                <c:pt idx="916">
                  <c:v>7.3543834058173108E-2</c:v>
                </c:pt>
                <c:pt idx="917">
                  <c:v>3.5028148557795014E-2</c:v>
                </c:pt>
                <c:pt idx="918">
                  <c:v>6.1558985715153725E-2</c:v>
                </c:pt>
                <c:pt idx="919">
                  <c:v>3.2894547184711298E-2</c:v>
                </c:pt>
                <c:pt idx="920">
                  <c:v>9.3465131782271893E-2</c:v>
                </c:pt>
                <c:pt idx="921">
                  <c:v>-1.3954787951548919E-2</c:v>
                </c:pt>
                <c:pt idx="922">
                  <c:v>-6.2990598758665417E-3</c:v>
                </c:pt>
                <c:pt idx="923">
                  <c:v>7.2560386113462716E-3</c:v>
                </c:pt>
                <c:pt idx="924">
                  <c:v>-6.7080202005656231E-2</c:v>
                </c:pt>
                <c:pt idx="925">
                  <c:v>-8.721158572388088E-2</c:v>
                </c:pt>
                <c:pt idx="926">
                  <c:v>-7.3754017099762814E-2</c:v>
                </c:pt>
                <c:pt idx="927">
                  <c:v>-0.13860831590949929</c:v>
                </c:pt>
                <c:pt idx="928">
                  <c:v>-0.13749023161617235</c:v>
                </c:pt>
                <c:pt idx="929">
                  <c:v>-0.1010261592692181</c:v>
                </c:pt>
                <c:pt idx="930">
                  <c:v>-0.11623675990047477</c:v>
                </c:pt>
                <c:pt idx="931">
                  <c:v>-0.14088076798757898</c:v>
                </c:pt>
                <c:pt idx="932">
                  <c:v>-0.14521092094714616</c:v>
                </c:pt>
                <c:pt idx="933">
                  <c:v>-9.8960629334271744E-2</c:v>
                </c:pt>
                <c:pt idx="934">
                  <c:v>1.1522016589676998E-2</c:v>
                </c:pt>
                <c:pt idx="935">
                  <c:v>-1.9857764136197442E-2</c:v>
                </c:pt>
                <c:pt idx="936">
                  <c:v>-1.4219446606670516E-2</c:v>
                </c:pt>
                <c:pt idx="937">
                  <c:v>-8.2871299716160696E-2</c:v>
                </c:pt>
                <c:pt idx="938">
                  <c:v>-5.7691205503691556E-3</c:v>
                </c:pt>
                <c:pt idx="939">
                  <c:v>-9.6402968043823645E-2</c:v>
                </c:pt>
                <c:pt idx="940">
                  <c:v>5.5672429312107585E-2</c:v>
                </c:pt>
                <c:pt idx="941">
                  <c:v>1.1113043914535492E-2</c:v>
                </c:pt>
                <c:pt idx="942">
                  <c:v>-8.7986349757085414E-2</c:v>
                </c:pt>
                <c:pt idx="943">
                  <c:v>-2.3268845712554054E-4</c:v>
                </c:pt>
                <c:pt idx="944">
                  <c:v>-7.3862373806232728E-2</c:v>
                </c:pt>
                <c:pt idx="945">
                  <c:v>-2.0746114530483251E-2</c:v>
                </c:pt>
                <c:pt idx="946">
                  <c:v>3.461392685922382E-2</c:v>
                </c:pt>
                <c:pt idx="947">
                  <c:v>-7.3638134981578229E-2</c:v>
                </c:pt>
                <c:pt idx="948">
                  <c:v>0.10161491279880153</c:v>
                </c:pt>
                <c:pt idx="949">
                  <c:v>0.40037017041407674</c:v>
                </c:pt>
                <c:pt idx="950">
                  <c:v>0.1484197193133201</c:v>
                </c:pt>
                <c:pt idx="951">
                  <c:v>4.9833815301199014E-2</c:v>
                </c:pt>
                <c:pt idx="952">
                  <c:v>-9.0379483222658319E-2</c:v>
                </c:pt>
                <c:pt idx="953">
                  <c:v>4.8255892118683086E-2</c:v>
                </c:pt>
                <c:pt idx="954">
                  <c:v>-0.10157416016359466</c:v>
                </c:pt>
                <c:pt idx="955">
                  <c:v>7.4896856957344049E-2</c:v>
                </c:pt>
                <c:pt idx="956">
                  <c:v>-2.0104692607777253E-2</c:v>
                </c:pt>
                <c:pt idx="957">
                  <c:v>9.8709243367988364E-2</c:v>
                </c:pt>
                <c:pt idx="958">
                  <c:v>-1.2830801389601021E-2</c:v>
                </c:pt>
                <c:pt idx="959">
                  <c:v>4.9566127709236074E-2</c:v>
                </c:pt>
                <c:pt idx="960">
                  <c:v>9.8487800083886912E-2</c:v>
                </c:pt>
                <c:pt idx="961">
                  <c:v>0.41939303045638288</c:v>
                </c:pt>
                <c:pt idx="962">
                  <c:v>0.11238024652044998</c:v>
                </c:pt>
                <c:pt idx="963">
                  <c:v>0.270462127388023</c:v>
                </c:pt>
                <c:pt idx="964">
                  <c:v>0.13578011933205669</c:v>
                </c:pt>
                <c:pt idx="965">
                  <c:v>2.8866308871470236E-2</c:v>
                </c:pt>
                <c:pt idx="966">
                  <c:v>-1.3679822491818427E-2</c:v>
                </c:pt>
                <c:pt idx="967">
                  <c:v>0.19589200777519244</c:v>
                </c:pt>
                <c:pt idx="968">
                  <c:v>0.2067617632800951</c:v>
                </c:pt>
                <c:pt idx="969">
                  <c:v>0.13118617812008404</c:v>
                </c:pt>
                <c:pt idx="970">
                  <c:v>6.9557011139907865E-2</c:v>
                </c:pt>
                <c:pt idx="971">
                  <c:v>-2.1048936608676128E-2</c:v>
                </c:pt>
                <c:pt idx="972">
                  <c:v>-4.4851110073958367E-2</c:v>
                </c:pt>
                <c:pt idx="973">
                  <c:v>6.3280008600830051E-4</c:v>
                </c:pt>
                <c:pt idx="974">
                  <c:v>9.6320042854006749E-3</c:v>
                </c:pt>
                <c:pt idx="975">
                  <c:v>2.9504539611202807E-2</c:v>
                </c:pt>
                <c:pt idx="976">
                  <c:v>-9.6282490185410907E-3</c:v>
                </c:pt>
                <c:pt idx="977">
                  <c:v>5.648848011341745E-2</c:v>
                </c:pt>
                <c:pt idx="978">
                  <c:v>-6.6156123760094276E-2</c:v>
                </c:pt>
                <c:pt idx="979">
                  <c:v>4.7345831879377243E-2</c:v>
                </c:pt>
                <c:pt idx="980">
                  <c:v>4.930805051051923E-3</c:v>
                </c:pt>
                <c:pt idx="981">
                  <c:v>0.1097016258940896</c:v>
                </c:pt>
                <c:pt idx="982">
                  <c:v>-5.7827839151278315E-2</c:v>
                </c:pt>
                <c:pt idx="983">
                  <c:v>-2.0896019719385706E-2</c:v>
                </c:pt>
                <c:pt idx="984">
                  <c:v>3.3648217801261981E-2</c:v>
                </c:pt>
                <c:pt idx="985">
                  <c:v>0.44259141294842852</c:v>
                </c:pt>
                <c:pt idx="986">
                  <c:v>0.22223985606154617</c:v>
                </c:pt>
                <c:pt idx="987">
                  <c:v>0.19779515044910573</c:v>
                </c:pt>
                <c:pt idx="988">
                  <c:v>0.16178989311311476</c:v>
                </c:pt>
                <c:pt idx="989">
                  <c:v>0.16416119401552803</c:v>
                </c:pt>
                <c:pt idx="990">
                  <c:v>0.27457132224201586</c:v>
                </c:pt>
                <c:pt idx="991">
                  <c:v>0.19610532793945568</c:v>
                </c:pt>
                <c:pt idx="992">
                  <c:v>4.493131918751414E-2</c:v>
                </c:pt>
                <c:pt idx="993">
                  <c:v>8.836177838172643E-3</c:v>
                </c:pt>
                <c:pt idx="994">
                  <c:v>3.3571854881747187E-2</c:v>
                </c:pt>
                <c:pt idx="995">
                  <c:v>-2.60330498263871E-2</c:v>
                </c:pt>
                <c:pt idx="996">
                  <c:v>6.5336312633577309E-2</c:v>
                </c:pt>
                <c:pt idx="997">
                  <c:v>3.4752344204750443E-2</c:v>
                </c:pt>
                <c:pt idx="998">
                  <c:v>1.6030811221457442E-2</c:v>
                </c:pt>
                <c:pt idx="999">
                  <c:v>7.7433958622868768E-2</c:v>
                </c:pt>
                <c:pt idx="1000">
                  <c:v>3.3410306516370586E-2</c:v>
                </c:pt>
                <c:pt idx="1001">
                  <c:v>9.4917457483790019E-2</c:v>
                </c:pt>
                <c:pt idx="1002">
                  <c:v>-4.052778320754867E-2</c:v>
                </c:pt>
                <c:pt idx="1003">
                  <c:v>-8.6963642399314797E-2</c:v>
                </c:pt>
                <c:pt idx="1004">
                  <c:v>-2.1950925083728944E-2</c:v>
                </c:pt>
                <c:pt idx="1005">
                  <c:v>-2.8094765461355503E-2</c:v>
                </c:pt>
                <c:pt idx="1006">
                  <c:v>9.6930327856646972E-3</c:v>
                </c:pt>
                <c:pt idx="1007">
                  <c:v>0.40846939374230828</c:v>
                </c:pt>
                <c:pt idx="1008">
                  <c:v>0.25791098527476636</c:v>
                </c:pt>
                <c:pt idx="1009">
                  <c:v>0.23623753076955931</c:v>
                </c:pt>
                <c:pt idx="1010">
                  <c:v>0.16386174138948906</c:v>
                </c:pt>
                <c:pt idx="1011">
                  <c:v>0.1083096172240629</c:v>
                </c:pt>
                <c:pt idx="1012">
                  <c:v>8.7758125951906837E-2</c:v>
                </c:pt>
                <c:pt idx="1013">
                  <c:v>9.7033779976315016E-2</c:v>
                </c:pt>
                <c:pt idx="1014">
                  <c:v>6.8833337106830442E-2</c:v>
                </c:pt>
                <c:pt idx="1015">
                  <c:v>9.1855458477675067E-2</c:v>
                </c:pt>
                <c:pt idx="1016">
                  <c:v>5.1364071719225246E-2</c:v>
                </c:pt>
                <c:pt idx="1017">
                  <c:v>7.5741272852513808E-2</c:v>
                </c:pt>
                <c:pt idx="1018">
                  <c:v>8.3359272860407577E-2</c:v>
                </c:pt>
                <c:pt idx="1019">
                  <c:v>5.606007263952259E-2</c:v>
                </c:pt>
                <c:pt idx="1020">
                  <c:v>-5.1573042523109833E-2</c:v>
                </c:pt>
                <c:pt idx="1021">
                  <c:v>-3.8264994570601694E-2</c:v>
                </c:pt>
                <c:pt idx="1022">
                  <c:v>7.508485424824432E-2</c:v>
                </c:pt>
                <c:pt idx="1023">
                  <c:v>0.21222988479261995</c:v>
                </c:pt>
                <c:pt idx="1024">
                  <c:v>0.24459288471416585</c:v>
                </c:pt>
                <c:pt idx="1025">
                  <c:v>0.31276066118252288</c:v>
                </c:pt>
                <c:pt idx="1026">
                  <c:v>0.54759951343786573</c:v>
                </c:pt>
                <c:pt idx="1027">
                  <c:v>0.2887415290379432</c:v>
                </c:pt>
                <c:pt idx="1028">
                  <c:v>9.8495516570931252E-2</c:v>
                </c:pt>
                <c:pt idx="1029">
                  <c:v>0.13983679487950318</c:v>
                </c:pt>
                <c:pt idx="1030">
                  <c:v>3.8460189283357371E-2</c:v>
                </c:pt>
                <c:pt idx="1031">
                  <c:v>0.15062017066196154</c:v>
                </c:pt>
                <c:pt idx="1032">
                  <c:v>0.11933663897504343</c:v>
                </c:pt>
                <c:pt idx="1033">
                  <c:v>2.6030807565415148E-2</c:v>
                </c:pt>
                <c:pt idx="1034">
                  <c:v>5.297671364314116E-2</c:v>
                </c:pt>
                <c:pt idx="1035">
                  <c:v>-2.1078536101074352E-2</c:v>
                </c:pt>
                <c:pt idx="1036">
                  <c:v>-1.1100456204913123E-2</c:v>
                </c:pt>
                <c:pt idx="1037">
                  <c:v>-0.14718203017178039</c:v>
                </c:pt>
                <c:pt idx="1038">
                  <c:v>-4.4460181112275565E-2</c:v>
                </c:pt>
                <c:pt idx="1039">
                  <c:v>-2.2827115553131605E-2</c:v>
                </c:pt>
                <c:pt idx="1040">
                  <c:v>4.7030574408051529E-2</c:v>
                </c:pt>
                <c:pt idx="1041">
                  <c:v>-4.370217056067327E-2</c:v>
                </c:pt>
                <c:pt idx="1042">
                  <c:v>9.092491184064827E-2</c:v>
                </c:pt>
                <c:pt idx="1043">
                  <c:v>5.1270790036001213E-2</c:v>
                </c:pt>
                <c:pt idx="1044">
                  <c:v>2.1219772672267823E-2</c:v>
                </c:pt>
                <c:pt idx="1045">
                  <c:v>3.1975911763751697E-2</c:v>
                </c:pt>
                <c:pt idx="1046">
                  <c:v>0.1516000285694733</c:v>
                </c:pt>
                <c:pt idx="1047">
                  <c:v>0.14025855888648064</c:v>
                </c:pt>
                <c:pt idx="1048">
                  <c:v>0.79389862241798237</c:v>
                </c:pt>
                <c:pt idx="1049">
                  <c:v>0.51139034566875707</c:v>
                </c:pt>
                <c:pt idx="1050">
                  <c:v>0.54975449000923671</c:v>
                </c:pt>
                <c:pt idx="1051">
                  <c:v>0.56937080542186536</c:v>
                </c:pt>
                <c:pt idx="1052">
                  <c:v>0.43213228604599585</c:v>
                </c:pt>
                <c:pt idx="1053">
                  <c:v>0.40346490376475264</c:v>
                </c:pt>
                <c:pt idx="1054">
                  <c:v>0.26000986411279192</c:v>
                </c:pt>
                <c:pt idx="1055">
                  <c:v>0.26542449336979979</c:v>
                </c:pt>
                <c:pt idx="1056">
                  <c:v>0.10520857710747866</c:v>
                </c:pt>
                <c:pt idx="1057">
                  <c:v>0.14794800651840156</c:v>
                </c:pt>
                <c:pt idx="1058">
                  <c:v>9.0208388324554578E-2</c:v>
                </c:pt>
                <c:pt idx="1059">
                  <c:v>0.1976530418786322</c:v>
                </c:pt>
                <c:pt idx="1060">
                  <c:v>1.1613008494779864E-2</c:v>
                </c:pt>
                <c:pt idx="1061">
                  <c:v>-0.11974887824969471</c:v>
                </c:pt>
                <c:pt idx="1062">
                  <c:v>-4.4263750999505858E-2</c:v>
                </c:pt>
                <c:pt idx="1063">
                  <c:v>-1.565174137922698E-2</c:v>
                </c:pt>
                <c:pt idx="1064">
                  <c:v>-6.0903717128719892E-2</c:v>
                </c:pt>
                <c:pt idx="1065">
                  <c:v>-4.9636577056015208E-2</c:v>
                </c:pt>
                <c:pt idx="1066">
                  <c:v>-9.0333967930994019E-2</c:v>
                </c:pt>
                <c:pt idx="1067">
                  <c:v>3.2666819758502497E-2</c:v>
                </c:pt>
                <c:pt idx="1068">
                  <c:v>1.0604720582809475</c:v>
                </c:pt>
                <c:pt idx="1069">
                  <c:v>0.90465435678031525</c:v>
                </c:pt>
                <c:pt idx="1070">
                  <c:v>0.85185918171523445</c:v>
                </c:pt>
                <c:pt idx="1071">
                  <c:v>0.77233104797022345</c:v>
                </c:pt>
                <c:pt idx="1072">
                  <c:v>0.62311646077751881</c:v>
                </c:pt>
                <c:pt idx="1073">
                  <c:v>0.52078801469079461</c:v>
                </c:pt>
                <c:pt idx="1074">
                  <c:v>0.48575540817681295</c:v>
                </c:pt>
                <c:pt idx="1075">
                  <c:v>0.52983917563182259</c:v>
                </c:pt>
                <c:pt idx="1076">
                  <c:v>0.39641050992055638</c:v>
                </c:pt>
                <c:pt idx="1077">
                  <c:v>0.41621629760635859</c:v>
                </c:pt>
                <c:pt idx="1078">
                  <c:v>0.33565251962337439</c:v>
                </c:pt>
                <c:pt idx="1079">
                  <c:v>0.20559036733318559</c:v>
                </c:pt>
                <c:pt idx="1080">
                  <c:v>8.46064571143752E-2</c:v>
                </c:pt>
                <c:pt idx="1081">
                  <c:v>-0.14351348058276381</c:v>
                </c:pt>
                <c:pt idx="1082">
                  <c:v>-0.10285415240486584</c:v>
                </c:pt>
                <c:pt idx="1083">
                  <c:v>-0.23047585103150858</c:v>
                </c:pt>
                <c:pt idx="1084">
                  <c:v>-0.13774551691432535</c:v>
                </c:pt>
                <c:pt idx="1085">
                  <c:v>-0.12615722219078718</c:v>
                </c:pt>
                <c:pt idx="1086">
                  <c:v>-0.25910045497166712</c:v>
                </c:pt>
                <c:pt idx="1087">
                  <c:v>-8.7767331119576131E-2</c:v>
                </c:pt>
                <c:pt idx="1088">
                  <c:v>0.14912363248475757</c:v>
                </c:pt>
                <c:pt idx="1089">
                  <c:v>1.2721524755088836</c:v>
                </c:pt>
                <c:pt idx="1090">
                  <c:v>0.84869346235470466</c:v>
                </c:pt>
                <c:pt idx="1091">
                  <c:v>0.36610305086486661</c:v>
                </c:pt>
                <c:pt idx="1092">
                  <c:v>0.26160365545518061</c:v>
                </c:pt>
                <c:pt idx="1093">
                  <c:v>-9.5532433907120629E-2</c:v>
                </c:pt>
                <c:pt idx="1094">
                  <c:v>5.3105192950045232E-2</c:v>
                </c:pt>
                <c:pt idx="1095">
                  <c:v>-0.10395465749589849</c:v>
                </c:pt>
                <c:pt idx="1096">
                  <c:v>6.1705216091815229E-2</c:v>
                </c:pt>
                <c:pt idx="1097">
                  <c:v>7.6211177592223955E-2</c:v>
                </c:pt>
                <c:pt idx="1098">
                  <c:v>6.1044381331597286E-2</c:v>
                </c:pt>
                <c:pt idx="1099">
                  <c:v>0.2075157957158158</c:v>
                </c:pt>
                <c:pt idx="1100">
                  <c:v>0.10485845141347361</c:v>
                </c:pt>
                <c:pt idx="1101">
                  <c:v>8.9397160559351985E-2</c:v>
                </c:pt>
                <c:pt idx="1102">
                  <c:v>7.1776471216448146E-2</c:v>
                </c:pt>
                <c:pt idx="1103">
                  <c:v>-8.1107230872146996E-2</c:v>
                </c:pt>
                <c:pt idx="1104">
                  <c:v>-5.520920045719846E-2</c:v>
                </c:pt>
                <c:pt idx="1105">
                  <c:v>-0.14148972382569558</c:v>
                </c:pt>
                <c:pt idx="1106">
                  <c:v>-0.14067725645473317</c:v>
                </c:pt>
                <c:pt idx="1107">
                  <c:v>-0.15715249713281221</c:v>
                </c:pt>
                <c:pt idx="1108">
                  <c:v>-0.76048353895667842</c:v>
                </c:pt>
                <c:pt idx="1109">
                  <c:v>1.0511734240590049</c:v>
                </c:pt>
                <c:pt idx="1110">
                  <c:v>0.58142396232481597</c:v>
                </c:pt>
                <c:pt idx="1111">
                  <c:v>0.23033181251036669</c:v>
                </c:pt>
                <c:pt idx="1112">
                  <c:v>0.23079034927785635</c:v>
                </c:pt>
                <c:pt idx="1113">
                  <c:v>0.18601131725416847</c:v>
                </c:pt>
                <c:pt idx="1114">
                  <c:v>0.15413532395197405</c:v>
                </c:pt>
                <c:pt idx="1115">
                  <c:v>0.12383514707774801</c:v>
                </c:pt>
                <c:pt idx="1116">
                  <c:v>0.12038746709834763</c:v>
                </c:pt>
                <c:pt idx="1117">
                  <c:v>-5.9790895479820971E-3</c:v>
                </c:pt>
                <c:pt idx="1118">
                  <c:v>-0.16714710915742415</c:v>
                </c:pt>
                <c:pt idx="1119">
                  <c:v>-0.2542950570884942</c:v>
                </c:pt>
                <c:pt idx="1120">
                  <c:v>-0.18593500465942947</c:v>
                </c:pt>
                <c:pt idx="1121">
                  <c:v>-0.1540151641897155</c:v>
                </c:pt>
                <c:pt idx="1122">
                  <c:v>-0.25578300414524591</c:v>
                </c:pt>
                <c:pt idx="1123">
                  <c:v>-0.17429211777289422</c:v>
                </c:pt>
                <c:pt idx="1124">
                  <c:v>-0.1628664714759237</c:v>
                </c:pt>
                <c:pt idx="1125">
                  <c:v>-0.25683660647375406</c:v>
                </c:pt>
                <c:pt idx="1126">
                  <c:v>-0.18907402409895457</c:v>
                </c:pt>
                <c:pt idx="1127">
                  <c:v>-0.13193161073886317</c:v>
                </c:pt>
                <c:pt idx="1128">
                  <c:v>-0.29608850352519045</c:v>
                </c:pt>
                <c:pt idx="1129">
                  <c:v>-0.26350903963682315</c:v>
                </c:pt>
                <c:pt idx="1130">
                  <c:v>-0.23953590259468249</c:v>
                </c:pt>
                <c:pt idx="1131">
                  <c:v>-0.3595548449646907</c:v>
                </c:pt>
                <c:pt idx="1132">
                  <c:v>0.45849507268049478</c:v>
                </c:pt>
                <c:pt idx="1133">
                  <c:v>0.17650039609152879</c:v>
                </c:pt>
                <c:pt idx="1134">
                  <c:v>7.6771199556002201E-2</c:v>
                </c:pt>
                <c:pt idx="1135">
                  <c:v>5.872956080349645E-2</c:v>
                </c:pt>
                <c:pt idx="1136">
                  <c:v>-0.14199715055132434</c:v>
                </c:pt>
                <c:pt idx="1137">
                  <c:v>-0.19836315630981516</c:v>
                </c:pt>
                <c:pt idx="1138">
                  <c:v>-4.1115517110799638E-2</c:v>
                </c:pt>
                <c:pt idx="1139">
                  <c:v>-0.14919938616569539</c:v>
                </c:pt>
                <c:pt idx="1140">
                  <c:v>-0.10086473972820165</c:v>
                </c:pt>
                <c:pt idx="1141">
                  <c:v>-0.1182457904900801</c:v>
                </c:pt>
                <c:pt idx="1142">
                  <c:v>-0.12223149040975645</c:v>
                </c:pt>
                <c:pt idx="1143">
                  <c:v>-4.5152513330849242E-2</c:v>
                </c:pt>
                <c:pt idx="1144">
                  <c:v>-9.4929664089158816E-2</c:v>
                </c:pt>
                <c:pt idx="1145">
                  <c:v>-0.16739661924558569</c:v>
                </c:pt>
                <c:pt idx="1146">
                  <c:v>-0.22387185701164414</c:v>
                </c:pt>
                <c:pt idx="1147">
                  <c:v>-0.14568610972413254</c:v>
                </c:pt>
                <c:pt idx="1148">
                  <c:v>-8.8208819682541906E-2</c:v>
                </c:pt>
                <c:pt idx="1149">
                  <c:v>-0.10317835897871264</c:v>
                </c:pt>
                <c:pt idx="1150">
                  <c:v>-9.1989241624188645E-2</c:v>
                </c:pt>
                <c:pt idx="1151">
                  <c:v>0.20229974198644274</c:v>
                </c:pt>
                <c:pt idx="1152">
                  <c:v>1.064879825093098</c:v>
                </c:pt>
                <c:pt idx="1153">
                  <c:v>0.6085143686738016</c:v>
                </c:pt>
                <c:pt idx="1154">
                  <c:v>0.31569720751671482</c:v>
                </c:pt>
                <c:pt idx="1155">
                  <c:v>0.26009039509248377</c:v>
                </c:pt>
                <c:pt idx="1156">
                  <c:v>0.14050393469700195</c:v>
                </c:pt>
                <c:pt idx="1157">
                  <c:v>7.6987423589993664E-2</c:v>
                </c:pt>
                <c:pt idx="1158">
                  <c:v>-3.2009746560499375E-2</c:v>
                </c:pt>
                <c:pt idx="1159">
                  <c:v>-0.15480137927074544</c:v>
                </c:pt>
                <c:pt idx="1160">
                  <c:v>-0.38373176150333121</c:v>
                </c:pt>
                <c:pt idx="1161">
                  <c:v>-0.50733723942098874</c:v>
                </c:pt>
                <c:pt idx="1162">
                  <c:v>-0.2061017359927815</c:v>
                </c:pt>
                <c:pt idx="1163">
                  <c:v>-1.2426072024061818E-2</c:v>
                </c:pt>
                <c:pt idx="1164">
                  <c:v>-3.2415309549396698E-2</c:v>
                </c:pt>
                <c:pt idx="1165">
                  <c:v>-0.12310768808930445</c:v>
                </c:pt>
                <c:pt idx="1166">
                  <c:v>-0.15136132266598368</c:v>
                </c:pt>
                <c:pt idx="1167">
                  <c:v>-4.3168994414797934E-2</c:v>
                </c:pt>
                <c:pt idx="1168">
                  <c:v>-0.14146727573495993</c:v>
                </c:pt>
                <c:pt idx="1169">
                  <c:v>-0.17208316629514175</c:v>
                </c:pt>
                <c:pt idx="1170">
                  <c:v>-0.15320356476416697</c:v>
                </c:pt>
                <c:pt idx="1171">
                  <c:v>-0.21125398341897172</c:v>
                </c:pt>
                <c:pt idx="1172">
                  <c:v>-0.11537759467107978</c:v>
                </c:pt>
                <c:pt idx="1173">
                  <c:v>-9.0643650294563782E-2</c:v>
                </c:pt>
                <c:pt idx="1174">
                  <c:v>-0.15241099609422337</c:v>
                </c:pt>
                <c:pt idx="1175">
                  <c:v>1.012025757053542</c:v>
                </c:pt>
                <c:pt idx="1176">
                  <c:v>0.92300790392317889</c:v>
                </c:pt>
                <c:pt idx="1177">
                  <c:v>0.62965489549280673</c:v>
                </c:pt>
                <c:pt idx="1178">
                  <c:v>0.4697794816011378</c:v>
                </c:pt>
                <c:pt idx="1179">
                  <c:v>0.32541702422178803</c:v>
                </c:pt>
                <c:pt idx="1180">
                  <c:v>0.28257925153841446</c:v>
                </c:pt>
                <c:pt idx="1181">
                  <c:v>0.24918131361232732</c:v>
                </c:pt>
                <c:pt idx="1182">
                  <c:v>0.27155947220331156</c:v>
                </c:pt>
                <c:pt idx="1183">
                  <c:v>0.11873228801432123</c:v>
                </c:pt>
                <c:pt idx="1184">
                  <c:v>7.3376491375105712E-2</c:v>
                </c:pt>
                <c:pt idx="1185">
                  <c:v>-3.8879715742387799E-2</c:v>
                </c:pt>
                <c:pt idx="1186">
                  <c:v>-9.2598667620037767E-2</c:v>
                </c:pt>
                <c:pt idx="1187">
                  <c:v>-7.4431280943086597E-2</c:v>
                </c:pt>
                <c:pt idx="1188">
                  <c:v>-0.13770677232599637</c:v>
                </c:pt>
                <c:pt idx="1189">
                  <c:v>-0.23141619632600519</c:v>
                </c:pt>
                <c:pt idx="1190">
                  <c:v>-0.23057517936613237</c:v>
                </c:pt>
                <c:pt idx="1191">
                  <c:v>-0.34778722432996345</c:v>
                </c:pt>
                <c:pt idx="1192">
                  <c:v>-0.37481402086244109</c:v>
                </c:pt>
                <c:pt idx="1193">
                  <c:v>-0.38503034666222369</c:v>
                </c:pt>
                <c:pt idx="1194">
                  <c:v>-0.29444162720477085</c:v>
                </c:pt>
                <c:pt idx="1195">
                  <c:v>-0.35315421606501063</c:v>
                </c:pt>
                <c:pt idx="1196">
                  <c:v>-0.36815555692958835</c:v>
                </c:pt>
                <c:pt idx="1197">
                  <c:v>1.2720079601431509</c:v>
                </c:pt>
                <c:pt idx="1198">
                  <c:v>0.81069779655990981</c:v>
                </c:pt>
                <c:pt idx="1199">
                  <c:v>0.49838254883109456</c:v>
                </c:pt>
                <c:pt idx="1200">
                  <c:v>0.13271968294422398</c:v>
                </c:pt>
                <c:pt idx="1201">
                  <c:v>1.7908374511110936E-2</c:v>
                </c:pt>
                <c:pt idx="1202">
                  <c:v>2.0957746025095259E-2</c:v>
                </c:pt>
                <c:pt idx="1203">
                  <c:v>-0.24750091607091054</c:v>
                </c:pt>
                <c:pt idx="1204">
                  <c:v>-4.2293007703914365E-2</c:v>
                </c:pt>
                <c:pt idx="1205">
                  <c:v>-0.12203575401727335</c:v>
                </c:pt>
                <c:pt idx="1206">
                  <c:v>-0.12886932770224352</c:v>
                </c:pt>
                <c:pt idx="1207">
                  <c:v>-0.40895579041288055</c:v>
                </c:pt>
                <c:pt idx="1208">
                  <c:v>-0.11336628458962006</c:v>
                </c:pt>
                <c:pt idx="1209">
                  <c:v>-0.31315891355173558</c:v>
                </c:pt>
                <c:pt idx="1210">
                  <c:v>-0.29445926705823644</c:v>
                </c:pt>
                <c:pt idx="1211">
                  <c:v>-0.49334881938270259</c:v>
                </c:pt>
                <c:pt idx="1212">
                  <c:v>-0.39401187847199814</c:v>
                </c:pt>
                <c:pt idx="1213">
                  <c:v>-0.44245883847877143</c:v>
                </c:pt>
                <c:pt idx="1214">
                  <c:v>-0.45491662699488999</c:v>
                </c:pt>
                <c:pt idx="1215">
                  <c:v>-0.46285705591757315</c:v>
                </c:pt>
                <c:pt idx="1216">
                  <c:v>-0.64853558086049035</c:v>
                </c:pt>
                <c:pt idx="1217">
                  <c:v>-0.33739931537632428</c:v>
                </c:pt>
                <c:pt idx="1218">
                  <c:v>0.71798949571550008</c:v>
                </c:pt>
                <c:pt idx="1219">
                  <c:v>0.65522628492061807</c:v>
                </c:pt>
                <c:pt idx="1220">
                  <c:v>0.40002434601792325</c:v>
                </c:pt>
                <c:pt idx="1221">
                  <c:v>0.36637029058943094</c:v>
                </c:pt>
                <c:pt idx="1222">
                  <c:v>0.31142073551905192</c:v>
                </c:pt>
                <c:pt idx="1223">
                  <c:v>0.26104873483431867</c:v>
                </c:pt>
                <c:pt idx="1224">
                  <c:v>0.18053603164609267</c:v>
                </c:pt>
                <c:pt idx="1225">
                  <c:v>-4.0133918550918635E-2</c:v>
                </c:pt>
                <c:pt idx="1226">
                  <c:v>-9.6806218087778451E-2</c:v>
                </c:pt>
                <c:pt idx="1227">
                  <c:v>-2.0818773037128757E-2</c:v>
                </c:pt>
                <c:pt idx="1228">
                  <c:v>-5.2967161774298832E-2</c:v>
                </c:pt>
                <c:pt idx="1229">
                  <c:v>1.908381256758851E-4</c:v>
                </c:pt>
                <c:pt idx="1230">
                  <c:v>-0.17117051698609798</c:v>
                </c:pt>
                <c:pt idx="1231">
                  <c:v>-7.1033067866968835E-2</c:v>
                </c:pt>
                <c:pt idx="1232">
                  <c:v>3.8222368922067984E-2</c:v>
                </c:pt>
                <c:pt idx="1233">
                  <c:v>-8.0274627132730147E-2</c:v>
                </c:pt>
                <c:pt idx="1234">
                  <c:v>-0.11868552959765566</c:v>
                </c:pt>
                <c:pt idx="1235">
                  <c:v>-0.22877687482171694</c:v>
                </c:pt>
                <c:pt idx="1236">
                  <c:v>-0.10679883075590424</c:v>
                </c:pt>
                <c:pt idx="1237">
                  <c:v>-8.3106481828718159E-2</c:v>
                </c:pt>
                <c:pt idx="1238">
                  <c:v>-1.9489194471406845E-2</c:v>
                </c:pt>
                <c:pt idx="1239">
                  <c:v>-1.2480629117721076E-2</c:v>
                </c:pt>
                <c:pt idx="1240">
                  <c:v>-0.15011309431912956</c:v>
                </c:pt>
                <c:pt idx="1241">
                  <c:v>1.3486145011656339</c:v>
                </c:pt>
                <c:pt idx="1242">
                  <c:v>0.47666192815241826</c:v>
                </c:pt>
                <c:pt idx="1243">
                  <c:v>0.35255621423268413</c:v>
                </c:pt>
                <c:pt idx="1244">
                  <c:v>0.40891882920142675</c:v>
                </c:pt>
                <c:pt idx="1245">
                  <c:v>0.30450534260900053</c:v>
                </c:pt>
                <c:pt idx="1246">
                  <c:v>0.13409125882848327</c:v>
                </c:pt>
                <c:pt idx="1247">
                  <c:v>0.10279008234395448</c:v>
                </c:pt>
                <c:pt idx="1248">
                  <c:v>3.3041107973446504E-2</c:v>
                </c:pt>
                <c:pt idx="1249">
                  <c:v>-0.11000265694087963</c:v>
                </c:pt>
                <c:pt idx="1250">
                  <c:v>-0.31089331151338584</c:v>
                </c:pt>
                <c:pt idx="1251">
                  <c:v>-0.36873360666345856</c:v>
                </c:pt>
                <c:pt idx="1252">
                  <c:v>-0.24913808210234745</c:v>
                </c:pt>
                <c:pt idx="1253">
                  <c:v>-0.24338510055348372</c:v>
                </c:pt>
                <c:pt idx="1254">
                  <c:v>-0.37390365457191921</c:v>
                </c:pt>
                <c:pt idx="1255">
                  <c:v>-0.39932656475960293</c:v>
                </c:pt>
                <c:pt idx="1256">
                  <c:v>-0.46074476532067155</c:v>
                </c:pt>
                <c:pt idx="1257">
                  <c:v>-0.5681057290834497</c:v>
                </c:pt>
                <c:pt idx="1258">
                  <c:v>-0.42831585483407908</c:v>
                </c:pt>
                <c:pt idx="1259">
                  <c:v>-0.43422365964850385</c:v>
                </c:pt>
                <c:pt idx="1260">
                  <c:v>-0.29223255071010001</c:v>
                </c:pt>
                <c:pt idx="1261">
                  <c:v>0.50640201541036256</c:v>
                </c:pt>
                <c:pt idx="1262">
                  <c:v>1.3314852593859028</c:v>
                </c:pt>
                <c:pt idx="1263">
                  <c:v>0.87009648645365845</c:v>
                </c:pt>
                <c:pt idx="1264">
                  <c:v>0.44435506096637889</c:v>
                </c:pt>
                <c:pt idx="1265">
                  <c:v>0.32930467176942635</c:v>
                </c:pt>
                <c:pt idx="1266">
                  <c:v>0.17275563629538393</c:v>
                </c:pt>
                <c:pt idx="1267">
                  <c:v>0.11913460643397755</c:v>
                </c:pt>
                <c:pt idx="1268">
                  <c:v>-3.5125532858873321E-2</c:v>
                </c:pt>
                <c:pt idx="1269">
                  <c:v>9.5091029608370903E-2</c:v>
                </c:pt>
                <c:pt idx="1270">
                  <c:v>-0.32214423263227054</c:v>
                </c:pt>
                <c:pt idx="1271">
                  <c:v>8.173174107563197E-2</c:v>
                </c:pt>
                <c:pt idx="1272">
                  <c:v>-0.13231215900056625</c:v>
                </c:pt>
                <c:pt idx="1273">
                  <c:v>-0.39294558798455537</c:v>
                </c:pt>
                <c:pt idx="1274">
                  <c:v>-0.53312827923503781</c:v>
                </c:pt>
                <c:pt idx="1275">
                  <c:v>-0.57411615847013486</c:v>
                </c:pt>
                <c:pt idx="1276">
                  <c:v>-0.35376286869822637</c:v>
                </c:pt>
                <c:pt idx="1277">
                  <c:v>4.5292483713480713E-2</c:v>
                </c:pt>
                <c:pt idx="1278">
                  <c:v>0.15531674540395723</c:v>
                </c:pt>
                <c:pt idx="1279">
                  <c:v>0.12229864330539986</c:v>
                </c:pt>
                <c:pt idx="1280">
                  <c:v>4.5773106759614546E-2</c:v>
                </c:pt>
                <c:pt idx="1281">
                  <c:v>-0.10285306776221548</c:v>
                </c:pt>
                <c:pt idx="1282">
                  <c:v>1.2202150856223377</c:v>
                </c:pt>
                <c:pt idx="1283">
                  <c:v>9.6470312121386126E-2</c:v>
                </c:pt>
                <c:pt idx="1284">
                  <c:v>0.14261411129977386</c:v>
                </c:pt>
                <c:pt idx="1285">
                  <c:v>0.24927432986315434</c:v>
                </c:pt>
                <c:pt idx="1286">
                  <c:v>0.20844480244775321</c:v>
                </c:pt>
                <c:pt idx="1287">
                  <c:v>0.17427612852483731</c:v>
                </c:pt>
                <c:pt idx="1288">
                  <c:v>0.27645230256269171</c:v>
                </c:pt>
                <c:pt idx="1289">
                  <c:v>0.17033857288396659</c:v>
                </c:pt>
                <c:pt idx="1290">
                  <c:v>0.12038157190156618</c:v>
                </c:pt>
                <c:pt idx="1291">
                  <c:v>5.5015394258703054E-2</c:v>
                </c:pt>
                <c:pt idx="1292">
                  <c:v>-8.1535889570059084E-2</c:v>
                </c:pt>
                <c:pt idx="1293">
                  <c:v>-9.1323157927238441E-2</c:v>
                </c:pt>
                <c:pt idx="1294">
                  <c:v>-0.10927300732539091</c:v>
                </c:pt>
                <c:pt idx="1295">
                  <c:v>-0.19341050281529881</c:v>
                </c:pt>
                <c:pt idx="1296">
                  <c:v>2.3980886763696585E-2</c:v>
                </c:pt>
                <c:pt idx="1297">
                  <c:v>-5.5347737807667219E-2</c:v>
                </c:pt>
                <c:pt idx="1298">
                  <c:v>-0.15020278156278977</c:v>
                </c:pt>
                <c:pt idx="1299">
                  <c:v>-9.322980754524357E-2</c:v>
                </c:pt>
                <c:pt idx="1300">
                  <c:v>-0.17590924439930911</c:v>
                </c:pt>
                <c:pt idx="1301">
                  <c:v>-4.206834741060117E-2</c:v>
                </c:pt>
                <c:pt idx="1302">
                  <c:v>-8.9061677106034853E-2</c:v>
                </c:pt>
                <c:pt idx="1303">
                  <c:v>-0.13950081947515836</c:v>
                </c:pt>
                <c:pt idx="1304">
                  <c:v>0.92594607660280426</c:v>
                </c:pt>
                <c:pt idx="1305">
                  <c:v>0.6237935522784106</c:v>
                </c:pt>
                <c:pt idx="1306">
                  <c:v>0.51248499493749389</c:v>
                </c:pt>
                <c:pt idx="1307">
                  <c:v>0.30568701814046184</c:v>
                </c:pt>
                <c:pt idx="1308">
                  <c:v>0.28478964888957226</c:v>
                </c:pt>
                <c:pt idx="1309">
                  <c:v>0.15985792803778232</c:v>
                </c:pt>
                <c:pt idx="1310">
                  <c:v>0.16922948490722511</c:v>
                </c:pt>
                <c:pt idx="1311">
                  <c:v>2.3269635360446905E-2</c:v>
                </c:pt>
                <c:pt idx="1312">
                  <c:v>-7.6442637510500511E-2</c:v>
                </c:pt>
                <c:pt idx="1313">
                  <c:v>-9.7353381820124429E-2</c:v>
                </c:pt>
                <c:pt idx="1314">
                  <c:v>-0.30032831166053864</c:v>
                </c:pt>
                <c:pt idx="1315">
                  <c:v>-0.22787977844242802</c:v>
                </c:pt>
                <c:pt idx="1316">
                  <c:v>-0.24566778929762556</c:v>
                </c:pt>
                <c:pt idx="1317">
                  <c:v>-0.24194556247311816</c:v>
                </c:pt>
                <c:pt idx="1318">
                  <c:v>-0.22994345976505892</c:v>
                </c:pt>
                <c:pt idx="1319">
                  <c:v>-0.1483291497427266</c:v>
                </c:pt>
                <c:pt idx="1320">
                  <c:v>-7.9504872721267272E-2</c:v>
                </c:pt>
                <c:pt idx="1321">
                  <c:v>-0.1512103213372411</c:v>
                </c:pt>
                <c:pt idx="1322">
                  <c:v>-0.10116769501094192</c:v>
                </c:pt>
                <c:pt idx="1323">
                  <c:v>0.16050566189755711</c:v>
                </c:pt>
                <c:pt idx="1324">
                  <c:v>0.69287692103427267</c:v>
                </c:pt>
                <c:pt idx="1325">
                  <c:v>0.40070549004814615</c:v>
                </c:pt>
                <c:pt idx="1326">
                  <c:v>0.32693043669335919</c:v>
                </c:pt>
                <c:pt idx="1327">
                  <c:v>0.22581067225574691</c:v>
                </c:pt>
                <c:pt idx="1328">
                  <c:v>0.14853236968736661</c:v>
                </c:pt>
                <c:pt idx="1329">
                  <c:v>0.21897082369818999</c:v>
                </c:pt>
                <c:pt idx="1330">
                  <c:v>0.17706636225031613</c:v>
                </c:pt>
                <c:pt idx="1331">
                  <c:v>2.8077964880002249E-2</c:v>
                </c:pt>
                <c:pt idx="1332">
                  <c:v>-4.4785168142885468E-2</c:v>
                </c:pt>
                <c:pt idx="1333">
                  <c:v>-9.9514996040446224E-2</c:v>
                </c:pt>
                <c:pt idx="1334">
                  <c:v>-0.23941391462172956</c:v>
                </c:pt>
                <c:pt idx="1335">
                  <c:v>-0.24895727407109791</c:v>
                </c:pt>
                <c:pt idx="1336">
                  <c:v>-0.37562773203471611</c:v>
                </c:pt>
                <c:pt idx="1337">
                  <c:v>-0.37485840749670341</c:v>
                </c:pt>
                <c:pt idx="1338">
                  <c:v>-0.31697244895180243</c:v>
                </c:pt>
                <c:pt idx="1339">
                  <c:v>-0.28805841468212412</c:v>
                </c:pt>
                <c:pt idx="1340">
                  <c:v>-0.19904334597220741</c:v>
                </c:pt>
                <c:pt idx="1341">
                  <c:v>-0.18950139048829029</c:v>
                </c:pt>
                <c:pt idx="1342">
                  <c:v>-0.1248010234686745</c:v>
                </c:pt>
                <c:pt idx="1343">
                  <c:v>-8.5705042954577593E-2</c:v>
                </c:pt>
                <c:pt idx="1344">
                  <c:v>-3.003143893986282E-2</c:v>
                </c:pt>
                <c:pt idx="1345">
                  <c:v>-0.15063426542555347</c:v>
                </c:pt>
                <c:pt idx="1346">
                  <c:v>0.6103224819093398</c:v>
                </c:pt>
                <c:pt idx="1347">
                  <c:v>0.19916537583214433</c:v>
                </c:pt>
                <c:pt idx="1348">
                  <c:v>0.1464900070862718</c:v>
                </c:pt>
                <c:pt idx="1349">
                  <c:v>0.11564582543877511</c:v>
                </c:pt>
                <c:pt idx="1350">
                  <c:v>0.22177748510604811</c:v>
                </c:pt>
                <c:pt idx="1351">
                  <c:v>0.13206182898987584</c:v>
                </c:pt>
                <c:pt idx="1352">
                  <c:v>9.3490175516201424E-2</c:v>
                </c:pt>
                <c:pt idx="1353">
                  <c:v>6.3560579585720145E-2</c:v>
                </c:pt>
                <c:pt idx="1354">
                  <c:v>1.5714309667045345E-3</c:v>
                </c:pt>
                <c:pt idx="1355">
                  <c:v>0.19436897838237521</c:v>
                </c:pt>
                <c:pt idx="1356">
                  <c:v>0.14882190915971916</c:v>
                </c:pt>
                <c:pt idx="1357">
                  <c:v>3.6515303342075756E-2</c:v>
                </c:pt>
                <c:pt idx="1358">
                  <c:v>-2.4140091701773114E-2</c:v>
                </c:pt>
                <c:pt idx="1359">
                  <c:v>1.2868970894250875E-3</c:v>
                </c:pt>
                <c:pt idx="1360">
                  <c:v>-2.8016553579333747E-2</c:v>
                </c:pt>
                <c:pt idx="1361">
                  <c:v>-4.3688090436917459E-3</c:v>
                </c:pt>
                <c:pt idx="1362">
                  <c:v>-6.2933716872001666E-2</c:v>
                </c:pt>
                <c:pt idx="1363">
                  <c:v>-7.6584441590728636E-2</c:v>
                </c:pt>
                <c:pt idx="1364">
                  <c:v>-0.10155277813102015</c:v>
                </c:pt>
                <c:pt idx="1365">
                  <c:v>-0.58451268332611983</c:v>
                </c:pt>
                <c:pt idx="1366">
                  <c:v>0.72490717279253691</c:v>
                </c:pt>
                <c:pt idx="1367">
                  <c:v>0.28744575596799249</c:v>
                </c:pt>
                <c:pt idx="1368">
                  <c:v>0.16923708463562215</c:v>
                </c:pt>
                <c:pt idx="1369">
                  <c:v>5.2949785135813943E-2</c:v>
                </c:pt>
                <c:pt idx="1370">
                  <c:v>9.6752155195157785E-3</c:v>
                </c:pt>
                <c:pt idx="1371">
                  <c:v>7.1467507388869089E-2</c:v>
                </c:pt>
                <c:pt idx="1372">
                  <c:v>6.8028662263578399E-3</c:v>
                </c:pt>
                <c:pt idx="1373">
                  <c:v>-6.2618132785295932E-3</c:v>
                </c:pt>
                <c:pt idx="1374">
                  <c:v>-4.5657570036364836E-3</c:v>
                </c:pt>
                <c:pt idx="1375">
                  <c:v>-6.7173890315345708E-2</c:v>
                </c:pt>
                <c:pt idx="1376">
                  <c:v>-2.8871260664764975E-2</c:v>
                </c:pt>
                <c:pt idx="1377">
                  <c:v>-3.3916790918155248E-2</c:v>
                </c:pt>
                <c:pt idx="1378">
                  <c:v>-2.3631865130869456E-2</c:v>
                </c:pt>
                <c:pt idx="1379">
                  <c:v>1.994641072200487E-4</c:v>
                </c:pt>
                <c:pt idx="1380">
                  <c:v>8.3746561069914738E-2</c:v>
                </c:pt>
                <c:pt idx="1381">
                  <c:v>-3.4446927996504284E-3</c:v>
                </c:pt>
                <c:pt idx="1382">
                  <c:v>-0.10853142615907874</c:v>
                </c:pt>
                <c:pt idx="1383">
                  <c:v>-5.2692194536353876E-2</c:v>
                </c:pt>
                <c:pt idx="1384">
                  <c:v>-4.7293505597272523E-2</c:v>
                </c:pt>
                <c:pt idx="1385">
                  <c:v>-1.277369956116392E-2</c:v>
                </c:pt>
                <c:pt idx="1386">
                  <c:v>-0.1558838034973441</c:v>
                </c:pt>
                <c:pt idx="1387">
                  <c:v>0.88968837621868502</c:v>
                </c:pt>
                <c:pt idx="1388">
                  <c:v>0.35350817655590933</c:v>
                </c:pt>
                <c:pt idx="1389">
                  <c:v>0.24744853744103318</c:v>
                </c:pt>
                <c:pt idx="1390">
                  <c:v>0.15375119224135697</c:v>
                </c:pt>
                <c:pt idx="1391">
                  <c:v>9.8860921380485911E-2</c:v>
                </c:pt>
                <c:pt idx="1392">
                  <c:v>0.23495874651115428</c:v>
                </c:pt>
                <c:pt idx="1393">
                  <c:v>0.11968798005045822</c:v>
                </c:pt>
                <c:pt idx="1394">
                  <c:v>1.5806872535701233E-2</c:v>
                </c:pt>
                <c:pt idx="1395">
                  <c:v>-4.025012600087774E-2</c:v>
                </c:pt>
                <c:pt idx="1396">
                  <c:v>-6.1073350986680097E-2</c:v>
                </c:pt>
                <c:pt idx="1397">
                  <c:v>-0.11477805115882778</c:v>
                </c:pt>
                <c:pt idx="1398">
                  <c:v>-9.4886252808461302E-2</c:v>
                </c:pt>
                <c:pt idx="1399">
                  <c:v>-0.1666614919023448</c:v>
                </c:pt>
                <c:pt idx="1400">
                  <c:v>-0.14421780604603973</c:v>
                </c:pt>
                <c:pt idx="1401">
                  <c:v>-0.17809536209987709</c:v>
                </c:pt>
                <c:pt idx="1402">
                  <c:v>-0.22344703937947441</c:v>
                </c:pt>
                <c:pt idx="1403">
                  <c:v>-0.20009485124229226</c:v>
                </c:pt>
                <c:pt idx="1404">
                  <c:v>-0.12808837021265229</c:v>
                </c:pt>
                <c:pt idx="1405">
                  <c:v>-0.1307436440268272</c:v>
                </c:pt>
                <c:pt idx="1406">
                  <c:v>-0.13149139245210917</c:v>
                </c:pt>
                <c:pt idx="1407">
                  <c:v>-0.16640292886091568</c:v>
                </c:pt>
                <c:pt idx="1408">
                  <c:v>-0.15134600703814122</c:v>
                </c:pt>
                <c:pt idx="1409">
                  <c:v>0.83253074378724545</c:v>
                </c:pt>
                <c:pt idx="1410">
                  <c:v>0.45347455804138759</c:v>
                </c:pt>
                <c:pt idx="1411">
                  <c:v>0.23727357078746444</c:v>
                </c:pt>
                <c:pt idx="1412">
                  <c:v>0.19050759368624332</c:v>
                </c:pt>
                <c:pt idx="1413">
                  <c:v>8.8098795047459419E-2</c:v>
                </c:pt>
                <c:pt idx="1414">
                  <c:v>1.8090677677035552E-2</c:v>
                </c:pt>
                <c:pt idx="1415">
                  <c:v>1.2177485134956256E-3</c:v>
                </c:pt>
                <c:pt idx="1416">
                  <c:v>-9.8943389950805941E-2</c:v>
                </c:pt>
                <c:pt idx="1417">
                  <c:v>3.4676212895849746E-2</c:v>
                </c:pt>
                <c:pt idx="1418">
                  <c:v>-7.2541649861406515E-2</c:v>
                </c:pt>
                <c:pt idx="1419">
                  <c:v>-2.7075914978405308E-2</c:v>
                </c:pt>
                <c:pt idx="1420">
                  <c:v>-5.7558442498350043E-2</c:v>
                </c:pt>
                <c:pt idx="1421">
                  <c:v>-0.14650691251622375</c:v>
                </c:pt>
                <c:pt idx="1422">
                  <c:v>-0.1299675063883734</c:v>
                </c:pt>
                <c:pt idx="1423">
                  <c:v>-0.18705175772889238</c:v>
                </c:pt>
                <c:pt idx="1424">
                  <c:v>-0.20053085487417421</c:v>
                </c:pt>
                <c:pt idx="1425">
                  <c:v>-0.19233514840637728</c:v>
                </c:pt>
                <c:pt idx="1426">
                  <c:v>-0.22431931075965733</c:v>
                </c:pt>
                <c:pt idx="1427">
                  <c:v>-0.22918228959416903</c:v>
                </c:pt>
                <c:pt idx="1428">
                  <c:v>-0.30226032146285037</c:v>
                </c:pt>
                <c:pt idx="1429">
                  <c:v>-0.26664577635877429</c:v>
                </c:pt>
                <c:pt idx="1430">
                  <c:v>-0.20163105637531697</c:v>
                </c:pt>
                <c:pt idx="1431">
                  <c:v>-0.1622767898803314</c:v>
                </c:pt>
                <c:pt idx="1432">
                  <c:v>0.6629169747660999</c:v>
                </c:pt>
                <c:pt idx="1433">
                  <c:v>0.36362444788098114</c:v>
                </c:pt>
                <c:pt idx="1434">
                  <c:v>0.19854166458789621</c:v>
                </c:pt>
                <c:pt idx="1435">
                  <c:v>0.12126515246968522</c:v>
                </c:pt>
                <c:pt idx="1436">
                  <c:v>8.3362553928094787E-2</c:v>
                </c:pt>
                <c:pt idx="1437">
                  <c:v>5.8849349485405579E-2</c:v>
                </c:pt>
                <c:pt idx="1438">
                  <c:v>-6.7778811151847904E-2</c:v>
                </c:pt>
                <c:pt idx="1439">
                  <c:v>-0.15333200466131036</c:v>
                </c:pt>
                <c:pt idx="1440">
                  <c:v>-0.19801896285641946</c:v>
                </c:pt>
                <c:pt idx="1441">
                  <c:v>-0.42361412622541422</c:v>
                </c:pt>
                <c:pt idx="1442">
                  <c:v>-0.3041695242918625</c:v>
                </c:pt>
                <c:pt idx="1443">
                  <c:v>-0.32462365130193771</c:v>
                </c:pt>
                <c:pt idx="1444">
                  <c:v>-0.3592633130416662</c:v>
                </c:pt>
                <c:pt idx="1445">
                  <c:v>-0.38181226140143831</c:v>
                </c:pt>
                <c:pt idx="1446">
                  <c:v>-0.35967525173948339</c:v>
                </c:pt>
                <c:pt idx="1447">
                  <c:v>-0.41510331290696334</c:v>
                </c:pt>
                <c:pt idx="1448">
                  <c:v>-0.42884239830227305</c:v>
                </c:pt>
                <c:pt idx="1449">
                  <c:v>-0.41575998837109457</c:v>
                </c:pt>
                <c:pt idx="1450">
                  <c:v>-0.28286537125117023</c:v>
                </c:pt>
                <c:pt idx="1451">
                  <c:v>-0.28250600957259986</c:v>
                </c:pt>
                <c:pt idx="1452">
                  <c:v>-0.35349986050787402</c:v>
                </c:pt>
                <c:pt idx="1453">
                  <c:v>0.77363738865763332</c:v>
                </c:pt>
                <c:pt idx="1454">
                  <c:v>0.53763800034286913</c:v>
                </c:pt>
                <c:pt idx="1455">
                  <c:v>0.31786536055081582</c:v>
                </c:pt>
                <c:pt idx="1456">
                  <c:v>0.11542881576976638</c:v>
                </c:pt>
                <c:pt idx="1457">
                  <c:v>0.17596655118095877</c:v>
                </c:pt>
                <c:pt idx="1458">
                  <c:v>0.14346739415594517</c:v>
                </c:pt>
                <c:pt idx="1459">
                  <c:v>7.2618826888408816E-2</c:v>
                </c:pt>
                <c:pt idx="1460">
                  <c:v>5.5401433677566669E-2</c:v>
                </c:pt>
                <c:pt idx="1461">
                  <c:v>-1.1863716420430714E-2</c:v>
                </c:pt>
                <c:pt idx="1462">
                  <c:v>-1.5048252832069009E-2</c:v>
                </c:pt>
                <c:pt idx="1463">
                  <c:v>-2.0299400242342891E-2</c:v>
                </c:pt>
                <c:pt idx="1464">
                  <c:v>-0.20791403085816934</c:v>
                </c:pt>
                <c:pt idx="1465">
                  <c:v>-0.16272161122220535</c:v>
                </c:pt>
                <c:pt idx="1466">
                  <c:v>-0.36161913806824619</c:v>
                </c:pt>
                <c:pt idx="1467">
                  <c:v>-0.34903594737429178</c:v>
                </c:pt>
                <c:pt idx="1468">
                  <c:v>-0.412630571568327</c:v>
                </c:pt>
                <c:pt idx="1469">
                  <c:v>-0.41343433717300182</c:v>
                </c:pt>
                <c:pt idx="1470">
                  <c:v>-0.36012582571464458</c:v>
                </c:pt>
                <c:pt idx="1471">
                  <c:v>-0.453945508589923</c:v>
                </c:pt>
                <c:pt idx="1472">
                  <c:v>-0.6184194302954078</c:v>
                </c:pt>
                <c:pt idx="1473">
                  <c:v>-0.50560981563280927</c:v>
                </c:pt>
                <c:pt idx="1474">
                  <c:v>-0.53069006833035004</c:v>
                </c:pt>
                <c:pt idx="1475">
                  <c:v>0.22155873182318231</c:v>
                </c:pt>
                <c:pt idx="1476">
                  <c:v>7.6789346982981177E-2</c:v>
                </c:pt>
                <c:pt idx="1477">
                  <c:v>-7.9304067743244722E-2</c:v>
                </c:pt>
                <c:pt idx="1478">
                  <c:v>-0.13624751526708068</c:v>
                </c:pt>
                <c:pt idx="1479">
                  <c:v>-0.23059660581093389</c:v>
                </c:pt>
                <c:pt idx="1480">
                  <c:v>-0.41269844707356512</c:v>
                </c:pt>
                <c:pt idx="1481">
                  <c:v>-0.40477906143163372</c:v>
                </c:pt>
                <c:pt idx="1482">
                  <c:v>-0.5306180468298406</c:v>
                </c:pt>
                <c:pt idx="1483">
                  <c:v>-0.49609085709010775</c:v>
                </c:pt>
                <c:pt idx="1484">
                  <c:v>-0.55883360672541427</c:v>
                </c:pt>
                <c:pt idx="1485">
                  <c:v>-0.64180834808726006</c:v>
                </c:pt>
                <c:pt idx="1486">
                  <c:v>-0.70783771004662865</c:v>
                </c:pt>
                <c:pt idx="1487">
                  <c:v>-0.70695880198215433</c:v>
                </c:pt>
                <c:pt idx="1488">
                  <c:v>-0.72573028249645888</c:v>
                </c:pt>
                <c:pt idx="1489">
                  <c:v>-0.75713467398004897</c:v>
                </c:pt>
                <c:pt idx="1490">
                  <c:v>-0.8282573163309126</c:v>
                </c:pt>
                <c:pt idx="1491">
                  <c:v>-0.82789140390340399</c:v>
                </c:pt>
                <c:pt idx="1492">
                  <c:v>-0.61453635640150073</c:v>
                </c:pt>
                <c:pt idx="1493">
                  <c:v>-0.71052393537504044</c:v>
                </c:pt>
                <c:pt idx="1494">
                  <c:v>-0.55134618813963265</c:v>
                </c:pt>
                <c:pt idx="1495">
                  <c:v>-0.51695732379993542</c:v>
                </c:pt>
                <c:pt idx="1496">
                  <c:v>-7.0460186824058857E-2</c:v>
                </c:pt>
                <c:pt idx="1497">
                  <c:v>0.28710718965908516</c:v>
                </c:pt>
                <c:pt idx="1498">
                  <c:v>7.1434070283332263E-2</c:v>
                </c:pt>
                <c:pt idx="1499">
                  <c:v>-0.11632082121031273</c:v>
                </c:pt>
                <c:pt idx="1500">
                  <c:v>-0.24880099017748336</c:v>
                </c:pt>
                <c:pt idx="1501">
                  <c:v>-8.1394486229853902E-2</c:v>
                </c:pt>
                <c:pt idx="1502">
                  <c:v>-0.17328108786266538</c:v>
                </c:pt>
                <c:pt idx="1503">
                  <c:v>-0.25686324939341376</c:v>
                </c:pt>
                <c:pt idx="1504">
                  <c:v>-0.18251520069318938</c:v>
                </c:pt>
                <c:pt idx="1505">
                  <c:v>-0.26449735307688105</c:v>
                </c:pt>
                <c:pt idx="1506">
                  <c:v>-0.30732915298912566</c:v>
                </c:pt>
                <c:pt idx="1507">
                  <c:v>-0.2853117440044004</c:v>
                </c:pt>
                <c:pt idx="1508">
                  <c:v>-0.20298096625434286</c:v>
                </c:pt>
                <c:pt idx="1509">
                  <c:v>-0.17423792002056387</c:v>
                </c:pt>
                <c:pt idx="1510">
                  <c:v>4.7490085682692085E-3</c:v>
                </c:pt>
                <c:pt idx="1511">
                  <c:v>-4.9849265364070194E-2</c:v>
                </c:pt>
                <c:pt idx="1512">
                  <c:v>-9.9940215800559784E-2</c:v>
                </c:pt>
                <c:pt idx="1513">
                  <c:v>-0.14400503724293173</c:v>
                </c:pt>
                <c:pt idx="1514">
                  <c:v>-7.1223920666032559E-2</c:v>
                </c:pt>
                <c:pt idx="1515">
                  <c:v>-1.8730944655178217E-2</c:v>
                </c:pt>
                <c:pt idx="1516">
                  <c:v>-0.15994378558735778</c:v>
                </c:pt>
                <c:pt idx="1517">
                  <c:v>-4.3269513514260005E-2</c:v>
                </c:pt>
                <c:pt idx="1518">
                  <c:v>-0.56644067004250676</c:v>
                </c:pt>
                <c:pt idx="1519">
                  <c:v>-0.50005521546399923</c:v>
                </c:pt>
                <c:pt idx="1520">
                  <c:v>-0.30516083930555959</c:v>
                </c:pt>
                <c:pt idx="1521">
                  <c:v>-0.45090637007333378</c:v>
                </c:pt>
                <c:pt idx="1522">
                  <c:v>-0.39391509930580221</c:v>
                </c:pt>
                <c:pt idx="1523">
                  <c:v>-0.44324049567058466</c:v>
                </c:pt>
                <c:pt idx="1524">
                  <c:v>-0.42091722834214124</c:v>
                </c:pt>
                <c:pt idx="1525">
                  <c:v>-0.63153372847604816</c:v>
                </c:pt>
                <c:pt idx="1526">
                  <c:v>-0.82912549496018784</c:v>
                </c:pt>
                <c:pt idx="1527">
                  <c:v>-0.73171849232410446</c:v>
                </c:pt>
                <c:pt idx="1528">
                  <c:v>-0.91567491040261073</c:v>
                </c:pt>
                <c:pt idx="1529">
                  <c:v>-0.71084350344744418</c:v>
                </c:pt>
                <c:pt idx="1530">
                  <c:v>-0.64252511137953683</c:v>
                </c:pt>
                <c:pt idx="1531">
                  <c:v>-0.62530076386515754</c:v>
                </c:pt>
                <c:pt idx="1532">
                  <c:v>-0.67038902285359137</c:v>
                </c:pt>
                <c:pt idx="1533">
                  <c:v>-0.79752063273691221</c:v>
                </c:pt>
                <c:pt idx="1534">
                  <c:v>-0.8623837673436161</c:v>
                </c:pt>
                <c:pt idx="1535">
                  <c:v>-0.88963814023350962</c:v>
                </c:pt>
                <c:pt idx="1536">
                  <c:v>-1.1733765526269617</c:v>
                </c:pt>
                <c:pt idx="1537">
                  <c:v>-1.0314825234173002</c:v>
                </c:pt>
                <c:pt idx="1538">
                  <c:v>-0.94785340927038808</c:v>
                </c:pt>
                <c:pt idx="1539">
                  <c:v>-0.84557709291731187</c:v>
                </c:pt>
                <c:pt idx="1540">
                  <c:v>-1.475936312188753</c:v>
                </c:pt>
                <c:pt idx="1541">
                  <c:v>-0.89900126025576266</c:v>
                </c:pt>
                <c:pt idx="1542">
                  <c:v>-0.78549047012346773</c:v>
                </c:pt>
                <c:pt idx="1543">
                  <c:v>-0.72544637365342823</c:v>
                </c:pt>
                <c:pt idx="1544">
                  <c:v>-0.63123001020408354</c:v>
                </c:pt>
                <c:pt idx="1545">
                  <c:v>-0.68880871996094961</c:v>
                </c:pt>
                <c:pt idx="1546">
                  <c:v>-0.57334095576906208</c:v>
                </c:pt>
                <c:pt idx="1547">
                  <c:v>-0.386068196791711</c:v>
                </c:pt>
                <c:pt idx="1548">
                  <c:v>-0.43937949489475026</c:v>
                </c:pt>
                <c:pt idx="1549">
                  <c:v>-0.27017199589589747</c:v>
                </c:pt>
                <c:pt idx="1550">
                  <c:v>-0.18283127868032323</c:v>
                </c:pt>
                <c:pt idx="1551">
                  <c:v>-0.45369023767588268</c:v>
                </c:pt>
                <c:pt idx="1552">
                  <c:v>-0.35794472290691415</c:v>
                </c:pt>
                <c:pt idx="1553">
                  <c:v>-0.21517351764487391</c:v>
                </c:pt>
                <c:pt idx="1554">
                  <c:v>-0.24784091439142797</c:v>
                </c:pt>
                <c:pt idx="1555">
                  <c:v>-6.9825076204233616E-2</c:v>
                </c:pt>
                <c:pt idx="1556">
                  <c:v>-0.11539007819629221</c:v>
                </c:pt>
                <c:pt idx="1557">
                  <c:v>-8.0106029721730199E-2</c:v>
                </c:pt>
                <c:pt idx="1558">
                  <c:v>-9.8346667237284802E-2</c:v>
                </c:pt>
                <c:pt idx="1559">
                  <c:v>4.6165750502183744E-2</c:v>
                </c:pt>
                <c:pt idx="1560">
                  <c:v>-1.549994194499815</c:v>
                </c:pt>
                <c:pt idx="1561">
                  <c:v>-0.99385227087372185</c:v>
                </c:pt>
                <c:pt idx="1562">
                  <c:v>-0.6420489970092691</c:v>
                </c:pt>
                <c:pt idx="1563">
                  <c:v>-0.42837403214567815</c:v>
                </c:pt>
                <c:pt idx="1564">
                  <c:v>-0.30917894583319883</c:v>
                </c:pt>
                <c:pt idx="1565">
                  <c:v>-0.4466198203888736</c:v>
                </c:pt>
                <c:pt idx="1566">
                  <c:v>-0.28669311737922287</c:v>
                </c:pt>
                <c:pt idx="1567">
                  <c:v>-0.1107524121138983</c:v>
                </c:pt>
                <c:pt idx="1568">
                  <c:v>8.6691455951080743E-2</c:v>
                </c:pt>
                <c:pt idx="1569">
                  <c:v>-4.6155810324549629E-2</c:v>
                </c:pt>
                <c:pt idx="1570">
                  <c:v>0.15820907426098718</c:v>
                </c:pt>
                <c:pt idx="1571">
                  <c:v>0.10472702882891305</c:v>
                </c:pt>
                <c:pt idx="1572">
                  <c:v>0.14557145026954554</c:v>
                </c:pt>
                <c:pt idx="1573">
                  <c:v>-8.0035850299041922E-2</c:v>
                </c:pt>
                <c:pt idx="1574">
                  <c:v>0.29990721738792936</c:v>
                </c:pt>
                <c:pt idx="1575">
                  <c:v>0.25579761074425367</c:v>
                </c:pt>
                <c:pt idx="1576">
                  <c:v>0.12320113540570032</c:v>
                </c:pt>
                <c:pt idx="1577">
                  <c:v>0.13022053765753183</c:v>
                </c:pt>
                <c:pt idx="1578">
                  <c:v>0.33053950654477693</c:v>
                </c:pt>
                <c:pt idx="1579">
                  <c:v>0.27406055264977991</c:v>
                </c:pt>
                <c:pt idx="1580">
                  <c:v>-1.3292265747270835</c:v>
                </c:pt>
                <c:pt idx="1581">
                  <c:v>-0.79367687569702128</c:v>
                </c:pt>
                <c:pt idx="1582">
                  <c:v>-0.48904087675629404</c:v>
                </c:pt>
                <c:pt idx="1583">
                  <c:v>-0.45144832718298766</c:v>
                </c:pt>
                <c:pt idx="1584">
                  <c:v>-0.27815315237276805</c:v>
                </c:pt>
                <c:pt idx="1585">
                  <c:v>-0.12782402701042672</c:v>
                </c:pt>
                <c:pt idx="1586">
                  <c:v>-0.16272030912166047</c:v>
                </c:pt>
                <c:pt idx="1587">
                  <c:v>-8.3072314420141069E-2</c:v>
                </c:pt>
                <c:pt idx="1588">
                  <c:v>-0.11468352648110036</c:v>
                </c:pt>
                <c:pt idx="1589">
                  <c:v>-3.6975829835621532E-3</c:v>
                </c:pt>
                <c:pt idx="1590">
                  <c:v>0.24273943121383024</c:v>
                </c:pt>
                <c:pt idx="1591">
                  <c:v>0.15556332213612967</c:v>
                </c:pt>
                <c:pt idx="1592">
                  <c:v>0.20558688786468959</c:v>
                </c:pt>
                <c:pt idx="1593">
                  <c:v>0.26703430285028906</c:v>
                </c:pt>
                <c:pt idx="1594">
                  <c:v>0.37808566494037898</c:v>
                </c:pt>
                <c:pt idx="1595">
                  <c:v>0.35256221715351055</c:v>
                </c:pt>
                <c:pt idx="1596">
                  <c:v>0.23428209781904608</c:v>
                </c:pt>
                <c:pt idx="1597">
                  <c:v>0.14232511073741971</c:v>
                </c:pt>
                <c:pt idx="1598">
                  <c:v>0.29844050338681383</c:v>
                </c:pt>
                <c:pt idx="1599">
                  <c:v>0.35827398265971322</c:v>
                </c:pt>
                <c:pt idx="1600">
                  <c:v>0.29180728513681986</c:v>
                </c:pt>
                <c:pt idx="1601">
                  <c:v>0.25062647064267463</c:v>
                </c:pt>
                <c:pt idx="1602">
                  <c:v>0.4972119632234957</c:v>
                </c:pt>
                <c:pt idx="1603">
                  <c:v>-1.2713147832526788</c:v>
                </c:pt>
                <c:pt idx="1604">
                  <c:v>-0.71609700172087321</c:v>
                </c:pt>
                <c:pt idx="1605">
                  <c:v>-0.21756816564236425</c:v>
                </c:pt>
                <c:pt idx="1606">
                  <c:v>4.0846858141978526E-2</c:v>
                </c:pt>
                <c:pt idx="1607">
                  <c:v>0.12887005423790132</c:v>
                </c:pt>
                <c:pt idx="1608">
                  <c:v>0.11725724582170516</c:v>
                </c:pt>
                <c:pt idx="1609">
                  <c:v>0.24180152470115202</c:v>
                </c:pt>
                <c:pt idx="1610">
                  <c:v>0.21083544256598152</c:v>
                </c:pt>
                <c:pt idx="1611">
                  <c:v>0.15532847753665191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'M6'!$E$6</c:f>
              <c:strCache>
                <c:ptCount val="1"/>
                <c:pt idx="0">
                  <c:v>TTF_M6_CLOSE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'M6'!$D$7:$D$2132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'M6'!$E$7:$E$2132</c:f>
              <c:numCache>
                <c:formatCode>0.00</c:formatCode>
                <c:ptCount val="2126"/>
                <c:pt idx="0">
                  <c:v>19.465</c:v>
                </c:pt>
                <c:pt idx="1">
                  <c:v>19.364999999999998</c:v>
                </c:pt>
                <c:pt idx="2">
                  <c:v>18.791</c:v>
                </c:pt>
                <c:pt idx="3">
                  <c:v>18.791</c:v>
                </c:pt>
                <c:pt idx="4">
                  <c:v>18.736999999999998</c:v>
                </c:pt>
                <c:pt idx="5">
                  <c:v>18.779</c:v>
                </c:pt>
                <c:pt idx="6">
                  <c:v>18.809000000000001</c:v>
                </c:pt>
                <c:pt idx="7">
                  <c:v>19.216999999999999</c:v>
                </c:pt>
                <c:pt idx="8">
                  <c:v>19.149000000000001</c:v>
                </c:pt>
                <c:pt idx="9">
                  <c:v>19.032</c:v>
                </c:pt>
                <c:pt idx="10">
                  <c:v>18.753</c:v>
                </c:pt>
                <c:pt idx="11">
                  <c:v>18.324999999999999</c:v>
                </c:pt>
                <c:pt idx="12">
                  <c:v>18.350000000000001</c:v>
                </c:pt>
                <c:pt idx="13">
                  <c:v>18.61</c:v>
                </c:pt>
                <c:pt idx="14">
                  <c:v>18.600000000000001</c:v>
                </c:pt>
                <c:pt idx="15">
                  <c:v>18.7</c:v>
                </c:pt>
                <c:pt idx="16">
                  <c:v>18.706</c:v>
                </c:pt>
                <c:pt idx="17">
                  <c:v>18.956</c:v>
                </c:pt>
                <c:pt idx="18">
                  <c:v>19.114000000000001</c:v>
                </c:pt>
                <c:pt idx="19">
                  <c:v>19.375</c:v>
                </c:pt>
                <c:pt idx="20">
                  <c:v>19.238</c:v>
                </c:pt>
                <c:pt idx="21">
                  <c:v>19.428000000000001</c:v>
                </c:pt>
                <c:pt idx="22">
                  <c:v>19.36</c:v>
                </c:pt>
                <c:pt idx="23">
                  <c:v>19.54</c:v>
                </c:pt>
                <c:pt idx="24">
                  <c:v>20.414999999999999</c:v>
                </c:pt>
                <c:pt idx="25">
                  <c:v>20.207999999999998</c:v>
                </c:pt>
                <c:pt idx="26">
                  <c:v>20.838999999999999</c:v>
                </c:pt>
                <c:pt idx="27">
                  <c:v>21.138999999999999</c:v>
                </c:pt>
                <c:pt idx="28">
                  <c:v>21.547999999999998</c:v>
                </c:pt>
                <c:pt idx="29">
                  <c:v>22.216000000000001</c:v>
                </c:pt>
                <c:pt idx="30">
                  <c:v>21.911000000000001</c:v>
                </c:pt>
                <c:pt idx="31">
                  <c:v>21.538</c:v>
                </c:pt>
                <c:pt idx="32">
                  <c:v>21.47</c:v>
                </c:pt>
                <c:pt idx="33">
                  <c:v>21.544</c:v>
                </c:pt>
                <c:pt idx="34">
                  <c:v>20.896999999999998</c:v>
                </c:pt>
                <c:pt idx="35">
                  <c:v>21.035</c:v>
                </c:pt>
                <c:pt idx="36">
                  <c:v>20.768000000000001</c:v>
                </c:pt>
                <c:pt idx="37">
                  <c:v>21.056000000000001</c:v>
                </c:pt>
                <c:pt idx="38">
                  <c:v>21.556000000000001</c:v>
                </c:pt>
                <c:pt idx="39">
                  <c:v>21.645</c:v>
                </c:pt>
                <c:pt idx="40">
                  <c:v>21.9</c:v>
                </c:pt>
                <c:pt idx="41">
                  <c:v>21.574000000000002</c:v>
                </c:pt>
                <c:pt idx="42">
                  <c:v>21.306000000000001</c:v>
                </c:pt>
                <c:pt idx="43">
                  <c:v>21.599</c:v>
                </c:pt>
                <c:pt idx="44">
                  <c:v>21.228000000000002</c:v>
                </c:pt>
                <c:pt idx="45">
                  <c:v>20.625</c:v>
                </c:pt>
                <c:pt idx="46">
                  <c:v>21.12</c:v>
                </c:pt>
                <c:pt idx="47">
                  <c:v>21.053999999999998</c:v>
                </c:pt>
                <c:pt idx="48">
                  <c:v>21.539000000000001</c:v>
                </c:pt>
                <c:pt idx="49">
                  <c:v>21.161999999999999</c:v>
                </c:pt>
                <c:pt idx="50">
                  <c:v>21.113</c:v>
                </c:pt>
                <c:pt idx="51">
                  <c:v>20.876999999999999</c:v>
                </c:pt>
                <c:pt idx="52">
                  <c:v>20.756</c:v>
                </c:pt>
                <c:pt idx="53">
                  <c:v>20.969000000000001</c:v>
                </c:pt>
                <c:pt idx="54">
                  <c:v>20.960999999999999</c:v>
                </c:pt>
                <c:pt idx="55">
                  <c:v>20.931000000000001</c:v>
                </c:pt>
                <c:pt idx="56">
                  <c:v>20.81</c:v>
                </c:pt>
                <c:pt idx="57">
                  <c:v>21.023</c:v>
                </c:pt>
                <c:pt idx="58">
                  <c:v>20.887</c:v>
                </c:pt>
                <c:pt idx="59">
                  <c:v>21.472999999999999</c:v>
                </c:pt>
                <c:pt idx="60">
                  <c:v>21.58</c:v>
                </c:pt>
                <c:pt idx="61">
                  <c:v>21.445</c:v>
                </c:pt>
                <c:pt idx="62">
                  <c:v>21.948</c:v>
                </c:pt>
                <c:pt idx="63">
                  <c:v>22.085000000000001</c:v>
                </c:pt>
                <c:pt idx="64">
                  <c:v>22.003</c:v>
                </c:pt>
                <c:pt idx="65">
                  <c:v>21.675000000000001</c:v>
                </c:pt>
                <c:pt idx="66">
                  <c:v>21.8</c:v>
                </c:pt>
                <c:pt idx="67">
                  <c:v>21.954000000000001</c:v>
                </c:pt>
                <c:pt idx="68">
                  <c:v>21.908999999999999</c:v>
                </c:pt>
                <c:pt idx="69">
                  <c:v>22.341000000000001</c:v>
                </c:pt>
                <c:pt idx="70">
                  <c:v>22.003</c:v>
                </c:pt>
                <c:pt idx="71">
                  <c:v>22.064</c:v>
                </c:pt>
                <c:pt idx="72">
                  <c:v>21.838000000000001</c:v>
                </c:pt>
                <c:pt idx="73">
                  <c:v>21.57</c:v>
                </c:pt>
                <c:pt idx="74">
                  <c:v>21.431000000000001</c:v>
                </c:pt>
                <c:pt idx="75">
                  <c:v>21.663</c:v>
                </c:pt>
                <c:pt idx="76">
                  <c:v>21.55</c:v>
                </c:pt>
                <c:pt idx="77">
                  <c:v>21.356000000000002</c:v>
                </c:pt>
                <c:pt idx="78">
                  <c:v>21.411000000000001</c:v>
                </c:pt>
                <c:pt idx="79">
                  <c:v>21.213000000000001</c:v>
                </c:pt>
                <c:pt idx="80">
                  <c:v>21.11</c:v>
                </c:pt>
                <c:pt idx="81">
                  <c:v>21.163</c:v>
                </c:pt>
                <c:pt idx="82">
                  <c:v>21.734000000000002</c:v>
                </c:pt>
                <c:pt idx="83">
                  <c:v>21.541</c:v>
                </c:pt>
                <c:pt idx="84">
                  <c:v>21.541</c:v>
                </c:pt>
                <c:pt idx="85">
                  <c:v>21.92</c:v>
                </c:pt>
                <c:pt idx="86">
                  <c:v>21.71</c:v>
                </c:pt>
                <c:pt idx="87">
                  <c:v>21.45</c:v>
                </c:pt>
                <c:pt idx="88">
                  <c:v>21.663</c:v>
                </c:pt>
                <c:pt idx="89">
                  <c:v>22.178999999999998</c:v>
                </c:pt>
                <c:pt idx="90">
                  <c:v>22.123999999999999</c:v>
                </c:pt>
                <c:pt idx="91">
                  <c:v>22.029</c:v>
                </c:pt>
                <c:pt idx="92">
                  <c:v>21.829000000000001</c:v>
                </c:pt>
                <c:pt idx="93">
                  <c:v>21.806000000000001</c:v>
                </c:pt>
                <c:pt idx="94">
                  <c:v>21.625</c:v>
                </c:pt>
                <c:pt idx="95">
                  <c:v>21.675999999999998</c:v>
                </c:pt>
                <c:pt idx="96">
                  <c:v>21.788</c:v>
                </c:pt>
                <c:pt idx="97">
                  <c:v>21.8</c:v>
                </c:pt>
                <c:pt idx="98">
                  <c:v>21.725000000000001</c:v>
                </c:pt>
                <c:pt idx="99">
                  <c:v>21.725000000000001</c:v>
                </c:pt>
                <c:pt idx="100">
                  <c:v>21.725000000000001</c:v>
                </c:pt>
                <c:pt idx="101">
                  <c:v>21.643000000000001</c:v>
                </c:pt>
                <c:pt idx="102">
                  <c:v>21.64</c:v>
                </c:pt>
                <c:pt idx="103">
                  <c:v>22.004999999999999</c:v>
                </c:pt>
                <c:pt idx="104">
                  <c:v>21.827000000000002</c:v>
                </c:pt>
                <c:pt idx="105">
                  <c:v>21.812999999999999</c:v>
                </c:pt>
                <c:pt idx="106">
                  <c:v>21.841000000000001</c:v>
                </c:pt>
                <c:pt idx="107">
                  <c:v>21.574999999999999</c:v>
                </c:pt>
                <c:pt idx="108">
                  <c:v>21.748000000000001</c:v>
                </c:pt>
                <c:pt idx="109">
                  <c:v>21.963000000000001</c:v>
                </c:pt>
                <c:pt idx="110">
                  <c:v>21.963000000000001</c:v>
                </c:pt>
                <c:pt idx="111">
                  <c:v>22.177</c:v>
                </c:pt>
                <c:pt idx="112">
                  <c:v>21.739000000000001</c:v>
                </c:pt>
                <c:pt idx="113">
                  <c:v>21.783000000000001</c:v>
                </c:pt>
                <c:pt idx="114">
                  <c:v>21.79</c:v>
                </c:pt>
                <c:pt idx="115">
                  <c:v>21.945</c:v>
                </c:pt>
                <c:pt idx="116">
                  <c:v>21.824999999999999</c:v>
                </c:pt>
                <c:pt idx="117">
                  <c:v>21.876999999999999</c:v>
                </c:pt>
                <c:pt idx="118">
                  <c:v>22.059000000000001</c:v>
                </c:pt>
                <c:pt idx="119">
                  <c:v>22.4</c:v>
                </c:pt>
                <c:pt idx="120">
                  <c:v>22.193000000000001</c:v>
                </c:pt>
                <c:pt idx="121">
                  <c:v>22.077999999999999</c:v>
                </c:pt>
                <c:pt idx="122">
                  <c:v>22.044</c:v>
                </c:pt>
                <c:pt idx="123">
                  <c:v>22.061</c:v>
                </c:pt>
                <c:pt idx="124">
                  <c:v>21.954999999999998</c:v>
                </c:pt>
                <c:pt idx="125">
                  <c:v>22.143000000000001</c:v>
                </c:pt>
                <c:pt idx="126">
                  <c:v>22.324999999999999</c:v>
                </c:pt>
                <c:pt idx="127">
                  <c:v>22.375</c:v>
                </c:pt>
                <c:pt idx="128">
                  <c:v>22.286999999999999</c:v>
                </c:pt>
                <c:pt idx="129">
                  <c:v>22.2</c:v>
                </c:pt>
                <c:pt idx="130">
                  <c:v>22.125</c:v>
                </c:pt>
                <c:pt idx="131">
                  <c:v>21.847999999999999</c:v>
                </c:pt>
                <c:pt idx="132">
                  <c:v>22.155999999999999</c:v>
                </c:pt>
                <c:pt idx="133">
                  <c:v>22.206</c:v>
                </c:pt>
                <c:pt idx="134">
                  <c:v>22.05</c:v>
                </c:pt>
                <c:pt idx="135">
                  <c:v>22.062999999999999</c:v>
                </c:pt>
                <c:pt idx="136">
                  <c:v>22.151</c:v>
                </c:pt>
                <c:pt idx="137">
                  <c:v>22.324000000000002</c:v>
                </c:pt>
                <c:pt idx="138">
                  <c:v>22.135000000000002</c:v>
                </c:pt>
                <c:pt idx="139">
                  <c:v>22.035</c:v>
                </c:pt>
                <c:pt idx="140">
                  <c:v>21.902999999999999</c:v>
                </c:pt>
                <c:pt idx="141">
                  <c:v>21.754999999999999</c:v>
                </c:pt>
                <c:pt idx="142">
                  <c:v>21.75</c:v>
                </c:pt>
                <c:pt idx="143">
                  <c:v>21.728000000000002</c:v>
                </c:pt>
                <c:pt idx="144">
                  <c:v>21.562999999999999</c:v>
                </c:pt>
                <c:pt idx="145">
                  <c:v>21.716000000000001</c:v>
                </c:pt>
                <c:pt idx="146">
                  <c:v>21.75</c:v>
                </c:pt>
                <c:pt idx="147">
                  <c:v>21.85</c:v>
                </c:pt>
                <c:pt idx="148">
                  <c:v>21.533000000000001</c:v>
                </c:pt>
                <c:pt idx="149">
                  <c:v>21.306000000000001</c:v>
                </c:pt>
                <c:pt idx="150">
                  <c:v>21.152999999999999</c:v>
                </c:pt>
                <c:pt idx="151">
                  <c:v>21.228000000000002</c:v>
                </c:pt>
                <c:pt idx="152">
                  <c:v>21.276</c:v>
                </c:pt>
                <c:pt idx="153">
                  <c:v>21.067</c:v>
                </c:pt>
                <c:pt idx="154">
                  <c:v>21.077999999999999</c:v>
                </c:pt>
                <c:pt idx="155">
                  <c:v>21.015999999999998</c:v>
                </c:pt>
                <c:pt idx="156">
                  <c:v>20.771000000000001</c:v>
                </c:pt>
                <c:pt idx="157">
                  <c:v>20.835999999999999</c:v>
                </c:pt>
                <c:pt idx="158">
                  <c:v>20.841999999999999</c:v>
                </c:pt>
                <c:pt idx="159">
                  <c:v>20.72</c:v>
                </c:pt>
                <c:pt idx="160">
                  <c:v>20.771000000000001</c:v>
                </c:pt>
                <c:pt idx="161">
                  <c:v>20.626000000000001</c:v>
                </c:pt>
                <c:pt idx="162">
                  <c:v>20.266999999999999</c:v>
                </c:pt>
                <c:pt idx="163">
                  <c:v>20.164000000000001</c:v>
                </c:pt>
                <c:pt idx="164">
                  <c:v>19.684999999999999</c:v>
                </c:pt>
                <c:pt idx="165">
                  <c:v>20.018000000000001</c:v>
                </c:pt>
                <c:pt idx="166">
                  <c:v>19.850000000000001</c:v>
                </c:pt>
                <c:pt idx="167">
                  <c:v>20.135000000000002</c:v>
                </c:pt>
                <c:pt idx="168">
                  <c:v>20.388999999999999</c:v>
                </c:pt>
                <c:pt idx="169">
                  <c:v>19.808</c:v>
                </c:pt>
                <c:pt idx="170">
                  <c:v>19.966000000000001</c:v>
                </c:pt>
                <c:pt idx="171">
                  <c:v>20</c:v>
                </c:pt>
                <c:pt idx="172">
                  <c:v>20.172999999999998</c:v>
                </c:pt>
                <c:pt idx="173">
                  <c:v>19.847999999999999</c:v>
                </c:pt>
                <c:pt idx="174">
                  <c:v>19.791</c:v>
                </c:pt>
                <c:pt idx="175">
                  <c:v>19.780999999999999</c:v>
                </c:pt>
                <c:pt idx="176">
                  <c:v>19.896000000000001</c:v>
                </c:pt>
                <c:pt idx="177">
                  <c:v>19.901</c:v>
                </c:pt>
                <c:pt idx="178">
                  <c:v>19.8</c:v>
                </c:pt>
                <c:pt idx="179">
                  <c:v>19.62</c:v>
                </c:pt>
                <c:pt idx="180">
                  <c:v>19.471</c:v>
                </c:pt>
                <c:pt idx="181">
                  <c:v>19.818999999999999</c:v>
                </c:pt>
                <c:pt idx="182">
                  <c:v>19.646999999999998</c:v>
                </c:pt>
                <c:pt idx="183">
                  <c:v>19.582999999999998</c:v>
                </c:pt>
                <c:pt idx="184">
                  <c:v>19.405999999999999</c:v>
                </c:pt>
                <c:pt idx="185">
                  <c:v>19.492000000000001</c:v>
                </c:pt>
                <c:pt idx="186">
                  <c:v>19.385999999999999</c:v>
                </c:pt>
                <c:pt idx="187">
                  <c:v>19.141999999999999</c:v>
                </c:pt>
                <c:pt idx="188">
                  <c:v>19.262</c:v>
                </c:pt>
                <c:pt idx="189">
                  <c:v>19.015999999999998</c:v>
                </c:pt>
                <c:pt idx="190">
                  <c:v>18.966000000000001</c:v>
                </c:pt>
                <c:pt idx="191">
                  <c:v>18.57</c:v>
                </c:pt>
                <c:pt idx="192">
                  <c:v>18.32</c:v>
                </c:pt>
                <c:pt idx="193">
                  <c:v>18.117000000000001</c:v>
                </c:pt>
                <c:pt idx="194">
                  <c:v>18.321000000000002</c:v>
                </c:pt>
                <c:pt idx="195">
                  <c:v>18.798999999999999</c:v>
                </c:pt>
                <c:pt idx="196">
                  <c:v>18.716000000000001</c:v>
                </c:pt>
                <c:pt idx="197">
                  <c:v>18.71</c:v>
                </c:pt>
                <c:pt idx="198">
                  <c:v>18.709</c:v>
                </c:pt>
                <c:pt idx="199">
                  <c:v>18.459</c:v>
                </c:pt>
                <c:pt idx="200">
                  <c:v>18.184999999999999</c:v>
                </c:pt>
                <c:pt idx="201">
                  <c:v>18.038</c:v>
                </c:pt>
                <c:pt idx="202">
                  <c:v>18.143999999999998</c:v>
                </c:pt>
                <c:pt idx="203">
                  <c:v>18.164000000000001</c:v>
                </c:pt>
                <c:pt idx="204">
                  <c:v>18.303999999999998</c:v>
                </c:pt>
                <c:pt idx="205">
                  <c:v>18.030999999999999</c:v>
                </c:pt>
                <c:pt idx="206">
                  <c:v>17.896000000000001</c:v>
                </c:pt>
                <c:pt idx="207">
                  <c:v>17.954000000000001</c:v>
                </c:pt>
                <c:pt idx="208">
                  <c:v>18.065000000000001</c:v>
                </c:pt>
                <c:pt idx="209">
                  <c:v>17.899999999999999</c:v>
                </c:pt>
                <c:pt idx="210">
                  <c:v>17.899999999999999</c:v>
                </c:pt>
                <c:pt idx="211">
                  <c:v>17.925000000000001</c:v>
                </c:pt>
                <c:pt idx="212">
                  <c:v>17.945</c:v>
                </c:pt>
                <c:pt idx="213">
                  <c:v>17.440000000000001</c:v>
                </c:pt>
                <c:pt idx="214">
                  <c:v>17.324999999999999</c:v>
                </c:pt>
                <c:pt idx="215">
                  <c:v>17.376000000000001</c:v>
                </c:pt>
                <c:pt idx="216">
                  <c:v>17.495000000000001</c:v>
                </c:pt>
                <c:pt idx="217">
                  <c:v>17.248000000000001</c:v>
                </c:pt>
                <c:pt idx="218">
                  <c:v>17.347999999999999</c:v>
                </c:pt>
                <c:pt idx="219">
                  <c:v>16.885999999999999</c:v>
                </c:pt>
                <c:pt idx="220">
                  <c:v>16.756</c:v>
                </c:pt>
                <c:pt idx="221">
                  <c:v>16.599</c:v>
                </c:pt>
                <c:pt idx="222">
                  <c:v>16.547999999999998</c:v>
                </c:pt>
                <c:pt idx="223">
                  <c:v>16.704999999999998</c:v>
                </c:pt>
                <c:pt idx="224">
                  <c:v>16.995000000000001</c:v>
                </c:pt>
                <c:pt idx="225">
                  <c:v>17.513999999999999</c:v>
                </c:pt>
                <c:pt idx="226">
                  <c:v>17.193999999999999</c:v>
                </c:pt>
                <c:pt idx="227">
                  <c:v>17.263000000000002</c:v>
                </c:pt>
                <c:pt idx="228">
                  <c:v>17.11</c:v>
                </c:pt>
                <c:pt idx="229">
                  <c:v>17.082000000000001</c:v>
                </c:pt>
                <c:pt idx="230">
                  <c:v>17.288</c:v>
                </c:pt>
                <c:pt idx="231">
                  <c:v>17.495999999999999</c:v>
                </c:pt>
                <c:pt idx="232">
                  <c:v>17.507999999999999</c:v>
                </c:pt>
                <c:pt idx="233">
                  <c:v>17.452000000000002</c:v>
                </c:pt>
                <c:pt idx="234">
                  <c:v>17.565000000000001</c:v>
                </c:pt>
                <c:pt idx="235">
                  <c:v>17.748999999999999</c:v>
                </c:pt>
                <c:pt idx="236">
                  <c:v>17.364999999999998</c:v>
                </c:pt>
                <c:pt idx="237">
                  <c:v>16.904</c:v>
                </c:pt>
                <c:pt idx="238">
                  <c:v>17.018000000000001</c:v>
                </c:pt>
                <c:pt idx="239">
                  <c:v>16.440999999999999</c:v>
                </c:pt>
                <c:pt idx="240">
                  <c:v>16.445</c:v>
                </c:pt>
                <c:pt idx="241">
                  <c:v>16.233000000000001</c:v>
                </c:pt>
                <c:pt idx="242">
                  <c:v>16.190999999999999</c:v>
                </c:pt>
                <c:pt idx="243">
                  <c:v>15.999000000000001</c:v>
                </c:pt>
                <c:pt idx="244">
                  <c:v>15.606999999999999</c:v>
                </c:pt>
                <c:pt idx="245">
                  <c:v>15.814</c:v>
                </c:pt>
                <c:pt idx="246">
                  <c:v>15.435</c:v>
                </c:pt>
                <c:pt idx="247">
                  <c:v>15.441000000000001</c:v>
                </c:pt>
                <c:pt idx="248">
                  <c:v>15.224</c:v>
                </c:pt>
                <c:pt idx="249">
                  <c:v>14.92</c:v>
                </c:pt>
                <c:pt idx="250">
                  <c:v>14.879</c:v>
                </c:pt>
                <c:pt idx="251">
                  <c:v>14.61</c:v>
                </c:pt>
                <c:pt idx="252">
                  <c:v>14.457000000000001</c:v>
                </c:pt>
                <c:pt idx="253">
                  <c:v>14.824999999999999</c:v>
                </c:pt>
                <c:pt idx="254">
                  <c:v>15.228999999999999</c:v>
                </c:pt>
                <c:pt idx="255">
                  <c:v>14.911</c:v>
                </c:pt>
                <c:pt idx="256">
                  <c:v>14.471</c:v>
                </c:pt>
                <c:pt idx="257">
                  <c:v>14.231999999999999</c:v>
                </c:pt>
                <c:pt idx="258">
                  <c:v>14.395</c:v>
                </c:pt>
                <c:pt idx="259">
                  <c:v>14.569000000000001</c:v>
                </c:pt>
                <c:pt idx="260">
                  <c:v>14.872</c:v>
                </c:pt>
                <c:pt idx="261">
                  <c:v>14.266</c:v>
                </c:pt>
                <c:pt idx="262">
                  <c:v>14.131</c:v>
                </c:pt>
                <c:pt idx="263">
                  <c:v>13.616</c:v>
                </c:pt>
                <c:pt idx="264">
                  <c:v>13.672000000000001</c:v>
                </c:pt>
                <c:pt idx="265">
                  <c:v>13.29</c:v>
                </c:pt>
                <c:pt idx="266">
                  <c:v>12.852</c:v>
                </c:pt>
                <c:pt idx="267">
                  <c:v>12.916</c:v>
                </c:pt>
                <c:pt idx="268">
                  <c:v>12.904</c:v>
                </c:pt>
                <c:pt idx="269">
                  <c:v>12.425000000000001</c:v>
                </c:pt>
                <c:pt idx="270">
                  <c:v>12.244</c:v>
                </c:pt>
                <c:pt idx="271">
                  <c:v>13.327999999999999</c:v>
                </c:pt>
                <c:pt idx="272">
                  <c:v>12.702</c:v>
                </c:pt>
                <c:pt idx="273">
                  <c:v>12.897</c:v>
                </c:pt>
                <c:pt idx="274">
                  <c:v>13.24</c:v>
                </c:pt>
                <c:pt idx="275">
                  <c:v>13.634</c:v>
                </c:pt>
                <c:pt idx="276">
                  <c:v>13.567</c:v>
                </c:pt>
                <c:pt idx="277">
                  <c:v>13.026</c:v>
                </c:pt>
                <c:pt idx="278">
                  <c:v>12.895</c:v>
                </c:pt>
                <c:pt idx="279">
                  <c:v>12.961</c:v>
                </c:pt>
                <c:pt idx="280">
                  <c:v>12.545999999999999</c:v>
                </c:pt>
                <c:pt idx="281">
                  <c:v>12.442</c:v>
                </c:pt>
                <c:pt idx="282">
                  <c:v>12.317</c:v>
                </c:pt>
                <c:pt idx="283">
                  <c:v>12.186</c:v>
                </c:pt>
                <c:pt idx="284">
                  <c:v>12.055999999999999</c:v>
                </c:pt>
                <c:pt idx="285">
                  <c:v>11.939</c:v>
                </c:pt>
                <c:pt idx="286">
                  <c:v>12.192</c:v>
                </c:pt>
                <c:pt idx="287">
                  <c:v>12.12</c:v>
                </c:pt>
                <c:pt idx="288">
                  <c:v>11.840999999999999</c:v>
                </c:pt>
                <c:pt idx="289">
                  <c:v>11.949</c:v>
                </c:pt>
                <c:pt idx="290">
                  <c:v>12.161</c:v>
                </c:pt>
                <c:pt idx="291">
                  <c:v>11.973000000000001</c:v>
                </c:pt>
                <c:pt idx="292">
                  <c:v>12.345000000000001</c:v>
                </c:pt>
                <c:pt idx="293">
                  <c:v>12.228999999999999</c:v>
                </c:pt>
                <c:pt idx="294">
                  <c:v>11.887</c:v>
                </c:pt>
                <c:pt idx="295">
                  <c:v>11.782999999999999</c:v>
                </c:pt>
                <c:pt idx="296">
                  <c:v>12.099</c:v>
                </c:pt>
                <c:pt idx="297">
                  <c:v>12.288</c:v>
                </c:pt>
                <c:pt idx="298">
                  <c:v>12.247</c:v>
                </c:pt>
                <c:pt idx="299">
                  <c:v>12.29</c:v>
                </c:pt>
                <c:pt idx="300">
                  <c:v>12.131</c:v>
                </c:pt>
                <c:pt idx="301">
                  <c:v>11.968</c:v>
                </c:pt>
                <c:pt idx="302">
                  <c:v>11.987</c:v>
                </c:pt>
                <c:pt idx="303">
                  <c:v>12.097</c:v>
                </c:pt>
                <c:pt idx="304">
                  <c:v>12.225</c:v>
                </c:pt>
                <c:pt idx="305">
                  <c:v>12.052</c:v>
                </c:pt>
                <c:pt idx="306">
                  <c:v>12.164</c:v>
                </c:pt>
                <c:pt idx="307">
                  <c:v>12.05</c:v>
                </c:pt>
                <c:pt idx="308">
                  <c:v>12.022</c:v>
                </c:pt>
                <c:pt idx="309">
                  <c:v>11.994</c:v>
                </c:pt>
                <c:pt idx="310">
                  <c:v>12.106</c:v>
                </c:pt>
                <c:pt idx="311">
                  <c:v>12.217000000000001</c:v>
                </c:pt>
                <c:pt idx="312">
                  <c:v>12.018000000000001</c:v>
                </c:pt>
                <c:pt idx="313">
                  <c:v>12.028</c:v>
                </c:pt>
                <c:pt idx="314">
                  <c:v>12.045</c:v>
                </c:pt>
                <c:pt idx="315">
                  <c:v>12.132</c:v>
                </c:pt>
                <c:pt idx="316">
                  <c:v>12.064</c:v>
                </c:pt>
                <c:pt idx="317">
                  <c:v>12.086</c:v>
                </c:pt>
                <c:pt idx="318">
                  <c:v>12.535</c:v>
                </c:pt>
                <c:pt idx="319">
                  <c:v>12.308999999999999</c:v>
                </c:pt>
                <c:pt idx="320">
                  <c:v>12.135</c:v>
                </c:pt>
                <c:pt idx="321">
                  <c:v>12.034000000000001</c:v>
                </c:pt>
                <c:pt idx="322">
                  <c:v>12.19</c:v>
                </c:pt>
                <c:pt idx="323">
                  <c:v>11.981</c:v>
                </c:pt>
                <c:pt idx="324">
                  <c:v>12.108000000000001</c:v>
                </c:pt>
                <c:pt idx="325">
                  <c:v>12.138</c:v>
                </c:pt>
                <c:pt idx="326">
                  <c:v>12.205</c:v>
                </c:pt>
                <c:pt idx="327">
                  <c:v>12.262</c:v>
                </c:pt>
                <c:pt idx="328">
                  <c:v>12.122999999999999</c:v>
                </c:pt>
                <c:pt idx="329">
                  <c:v>12.103999999999999</c:v>
                </c:pt>
                <c:pt idx="330">
                  <c:v>12.217000000000001</c:v>
                </c:pt>
                <c:pt idx="331">
                  <c:v>12.579000000000001</c:v>
                </c:pt>
                <c:pt idx="332">
                  <c:v>12.749000000000001</c:v>
                </c:pt>
                <c:pt idx="333">
                  <c:v>13.446</c:v>
                </c:pt>
                <c:pt idx="334">
                  <c:v>14.029</c:v>
                </c:pt>
                <c:pt idx="335">
                  <c:v>13.888</c:v>
                </c:pt>
                <c:pt idx="336">
                  <c:v>14.664</c:v>
                </c:pt>
                <c:pt idx="337">
                  <c:v>14.757</c:v>
                </c:pt>
                <c:pt idx="338">
                  <c:v>13.635999999999999</c:v>
                </c:pt>
                <c:pt idx="339">
                  <c:v>14.506</c:v>
                </c:pt>
                <c:pt idx="340">
                  <c:v>13.93</c:v>
                </c:pt>
                <c:pt idx="341">
                  <c:v>13.914999999999999</c:v>
                </c:pt>
                <c:pt idx="342">
                  <c:v>14.319000000000001</c:v>
                </c:pt>
                <c:pt idx="343">
                  <c:v>14.615</c:v>
                </c:pt>
                <c:pt idx="344">
                  <c:v>14.506</c:v>
                </c:pt>
                <c:pt idx="345">
                  <c:v>14.702</c:v>
                </c:pt>
                <c:pt idx="346">
                  <c:v>14.6</c:v>
                </c:pt>
                <c:pt idx="347">
                  <c:v>14.773999999999999</c:v>
                </c:pt>
                <c:pt idx="348">
                  <c:v>14.645</c:v>
                </c:pt>
                <c:pt idx="349">
                  <c:v>14.599</c:v>
                </c:pt>
                <c:pt idx="350">
                  <c:v>14.891</c:v>
                </c:pt>
                <c:pt idx="351">
                  <c:v>14.975</c:v>
                </c:pt>
                <c:pt idx="352">
                  <c:v>14.906000000000001</c:v>
                </c:pt>
                <c:pt idx="353">
                  <c:v>14.718999999999999</c:v>
                </c:pt>
                <c:pt idx="354">
                  <c:v>14.763</c:v>
                </c:pt>
                <c:pt idx="355">
                  <c:v>14.599</c:v>
                </c:pt>
                <c:pt idx="356">
                  <c:v>14.603999999999999</c:v>
                </c:pt>
                <c:pt idx="357">
                  <c:v>14.898</c:v>
                </c:pt>
                <c:pt idx="358">
                  <c:v>15.039</c:v>
                </c:pt>
                <c:pt idx="359">
                  <c:v>15.25</c:v>
                </c:pt>
                <c:pt idx="360">
                  <c:v>15.37</c:v>
                </c:pt>
                <c:pt idx="361">
                  <c:v>16.068000000000001</c:v>
                </c:pt>
                <c:pt idx="362">
                  <c:v>15.808</c:v>
                </c:pt>
                <c:pt idx="363">
                  <c:v>16.146999999999998</c:v>
                </c:pt>
                <c:pt idx="364">
                  <c:v>16.126999999999999</c:v>
                </c:pt>
                <c:pt idx="365">
                  <c:v>16.603999999999999</c:v>
                </c:pt>
                <c:pt idx="366">
                  <c:v>16.826000000000001</c:v>
                </c:pt>
                <c:pt idx="367">
                  <c:v>16.738</c:v>
                </c:pt>
                <c:pt idx="368">
                  <c:v>16.52</c:v>
                </c:pt>
                <c:pt idx="369">
                  <c:v>16.196999999999999</c:v>
                </c:pt>
                <c:pt idx="370">
                  <c:v>16.12</c:v>
                </c:pt>
                <c:pt idx="371">
                  <c:v>16.329999999999998</c:v>
                </c:pt>
                <c:pt idx="372">
                  <c:v>16.427</c:v>
                </c:pt>
                <c:pt idx="373">
                  <c:v>16.41</c:v>
                </c:pt>
                <c:pt idx="374">
                  <c:v>16.773</c:v>
                </c:pt>
                <c:pt idx="375">
                  <c:v>17.472999999999999</c:v>
                </c:pt>
                <c:pt idx="376">
                  <c:v>17.186</c:v>
                </c:pt>
                <c:pt idx="377">
                  <c:v>18.018999999999998</c:v>
                </c:pt>
                <c:pt idx="378">
                  <c:v>17.654</c:v>
                </c:pt>
                <c:pt idx="379">
                  <c:v>17.321999999999999</c:v>
                </c:pt>
                <c:pt idx="380">
                  <c:v>16.672999999999998</c:v>
                </c:pt>
                <c:pt idx="381">
                  <c:v>16.640999999999998</c:v>
                </c:pt>
                <c:pt idx="382">
                  <c:v>17.067</c:v>
                </c:pt>
                <c:pt idx="383">
                  <c:v>16.887</c:v>
                </c:pt>
                <c:pt idx="384">
                  <c:v>17.085999999999999</c:v>
                </c:pt>
                <c:pt idx="385">
                  <c:v>17.472999999999999</c:v>
                </c:pt>
                <c:pt idx="386">
                  <c:v>17.094000000000001</c:v>
                </c:pt>
                <c:pt idx="387">
                  <c:v>16.952000000000002</c:v>
                </c:pt>
                <c:pt idx="388">
                  <c:v>17.231999999999999</c:v>
                </c:pt>
                <c:pt idx="389">
                  <c:v>16.936</c:v>
                </c:pt>
                <c:pt idx="390">
                  <c:v>16.931000000000001</c:v>
                </c:pt>
                <c:pt idx="391">
                  <c:v>17.117999999999999</c:v>
                </c:pt>
                <c:pt idx="392">
                  <c:v>17.018000000000001</c:v>
                </c:pt>
                <c:pt idx="393">
                  <c:v>17.013000000000002</c:v>
                </c:pt>
                <c:pt idx="394">
                  <c:v>18.36</c:v>
                </c:pt>
                <c:pt idx="395">
                  <c:v>17.652999999999999</c:v>
                </c:pt>
                <c:pt idx="396">
                  <c:v>17.608000000000001</c:v>
                </c:pt>
                <c:pt idx="397">
                  <c:v>17.645</c:v>
                </c:pt>
                <c:pt idx="398">
                  <c:v>17.831</c:v>
                </c:pt>
                <c:pt idx="399">
                  <c:v>17.587</c:v>
                </c:pt>
                <c:pt idx="400">
                  <c:v>17.512</c:v>
                </c:pt>
                <c:pt idx="401">
                  <c:v>17.364000000000001</c:v>
                </c:pt>
                <c:pt idx="402">
                  <c:v>17.274999999999999</c:v>
                </c:pt>
                <c:pt idx="403">
                  <c:v>17.015000000000001</c:v>
                </c:pt>
                <c:pt idx="404">
                  <c:v>16.79</c:v>
                </c:pt>
                <c:pt idx="405">
                  <c:v>16.477</c:v>
                </c:pt>
                <c:pt idx="406">
                  <c:v>16.248999999999999</c:v>
                </c:pt>
                <c:pt idx="407">
                  <c:v>16.21</c:v>
                </c:pt>
                <c:pt idx="408">
                  <c:v>16.175000000000001</c:v>
                </c:pt>
                <c:pt idx="409">
                  <c:v>15.965999999999999</c:v>
                </c:pt>
                <c:pt idx="410">
                  <c:v>16.053000000000001</c:v>
                </c:pt>
                <c:pt idx="411">
                  <c:v>16.065999999999999</c:v>
                </c:pt>
                <c:pt idx="412">
                  <c:v>15.974</c:v>
                </c:pt>
                <c:pt idx="413">
                  <c:v>15.95</c:v>
                </c:pt>
                <c:pt idx="414">
                  <c:v>15.897</c:v>
                </c:pt>
                <c:pt idx="415">
                  <c:v>15.807</c:v>
                </c:pt>
                <c:pt idx="416">
                  <c:v>15.94</c:v>
                </c:pt>
                <c:pt idx="417">
                  <c:v>16.135999999999999</c:v>
                </c:pt>
                <c:pt idx="418">
                  <c:v>16.108000000000001</c:v>
                </c:pt>
                <c:pt idx="419">
                  <c:v>15.792</c:v>
                </c:pt>
                <c:pt idx="420">
                  <c:v>15.518000000000001</c:v>
                </c:pt>
                <c:pt idx="421">
                  <c:v>15.577999999999999</c:v>
                </c:pt>
                <c:pt idx="422">
                  <c:v>15.41</c:v>
                </c:pt>
                <c:pt idx="423">
                  <c:v>15.39</c:v>
                </c:pt>
                <c:pt idx="424">
                  <c:v>15.696</c:v>
                </c:pt>
                <c:pt idx="425">
                  <c:v>16.018000000000001</c:v>
                </c:pt>
                <c:pt idx="426">
                  <c:v>15.561</c:v>
                </c:pt>
                <c:pt idx="427">
                  <c:v>15.268000000000001</c:v>
                </c:pt>
                <c:pt idx="428">
                  <c:v>15.178000000000001</c:v>
                </c:pt>
                <c:pt idx="429">
                  <c:v>15.157</c:v>
                </c:pt>
                <c:pt idx="430">
                  <c:v>15.096</c:v>
                </c:pt>
                <c:pt idx="431">
                  <c:v>14.984999999999999</c:v>
                </c:pt>
                <c:pt idx="432">
                  <c:v>14.81</c:v>
                </c:pt>
                <c:pt idx="433">
                  <c:v>14.81</c:v>
                </c:pt>
                <c:pt idx="434">
                  <c:v>14.724</c:v>
                </c:pt>
                <c:pt idx="435">
                  <c:v>14.737</c:v>
                </c:pt>
                <c:pt idx="436">
                  <c:v>14.743</c:v>
                </c:pt>
                <c:pt idx="437">
                  <c:v>14.663</c:v>
                </c:pt>
                <c:pt idx="438">
                  <c:v>14.952</c:v>
                </c:pt>
                <c:pt idx="439">
                  <c:v>15.013</c:v>
                </c:pt>
                <c:pt idx="440">
                  <c:v>15.422000000000001</c:v>
                </c:pt>
                <c:pt idx="441">
                  <c:v>15.089</c:v>
                </c:pt>
                <c:pt idx="442">
                  <c:v>15.31</c:v>
                </c:pt>
                <c:pt idx="443">
                  <c:v>15.534000000000001</c:v>
                </c:pt>
                <c:pt idx="444">
                  <c:v>15.898</c:v>
                </c:pt>
                <c:pt idx="445">
                  <c:v>15.784000000000001</c:v>
                </c:pt>
                <c:pt idx="446">
                  <c:v>15.275</c:v>
                </c:pt>
                <c:pt idx="447">
                  <c:v>15.76</c:v>
                </c:pt>
                <c:pt idx="448">
                  <c:v>15.976000000000001</c:v>
                </c:pt>
                <c:pt idx="449">
                  <c:v>15.205</c:v>
                </c:pt>
                <c:pt idx="450">
                  <c:v>15.349</c:v>
                </c:pt>
                <c:pt idx="451">
                  <c:v>15.614000000000001</c:v>
                </c:pt>
                <c:pt idx="452">
                  <c:v>15.832000000000001</c:v>
                </c:pt>
                <c:pt idx="453">
                  <c:v>16.173999999999999</c:v>
                </c:pt>
                <c:pt idx="454">
                  <c:v>15.791</c:v>
                </c:pt>
                <c:pt idx="455">
                  <c:v>15.686999999999999</c:v>
                </c:pt>
                <c:pt idx="456">
                  <c:v>15.369</c:v>
                </c:pt>
                <c:pt idx="457">
                  <c:v>15.297000000000001</c:v>
                </c:pt>
                <c:pt idx="458">
                  <c:v>15.593999999999999</c:v>
                </c:pt>
                <c:pt idx="459">
                  <c:v>15.945</c:v>
                </c:pt>
                <c:pt idx="460">
                  <c:v>16.085000000000001</c:v>
                </c:pt>
                <c:pt idx="461">
                  <c:v>16.545000000000002</c:v>
                </c:pt>
                <c:pt idx="462">
                  <c:v>16.491</c:v>
                </c:pt>
                <c:pt idx="463">
                  <c:v>16.45</c:v>
                </c:pt>
                <c:pt idx="464">
                  <c:v>16.417999999999999</c:v>
                </c:pt>
                <c:pt idx="465">
                  <c:v>16.678000000000001</c:v>
                </c:pt>
                <c:pt idx="466">
                  <c:v>16.849</c:v>
                </c:pt>
                <c:pt idx="467">
                  <c:v>16.706</c:v>
                </c:pt>
                <c:pt idx="468">
                  <c:v>16.911000000000001</c:v>
                </c:pt>
                <c:pt idx="469">
                  <c:v>16.824999999999999</c:v>
                </c:pt>
                <c:pt idx="470">
                  <c:v>16.542999999999999</c:v>
                </c:pt>
                <c:pt idx="471">
                  <c:v>16.942</c:v>
                </c:pt>
                <c:pt idx="472">
                  <c:v>17.013999999999999</c:v>
                </c:pt>
                <c:pt idx="473">
                  <c:v>16.891999999999999</c:v>
                </c:pt>
                <c:pt idx="474">
                  <c:v>16.53</c:v>
                </c:pt>
                <c:pt idx="475">
                  <c:v>16.344999999999999</c:v>
                </c:pt>
                <c:pt idx="476">
                  <c:v>16.106999999999999</c:v>
                </c:pt>
                <c:pt idx="477">
                  <c:v>16.204999999999998</c:v>
                </c:pt>
                <c:pt idx="478">
                  <c:v>16.440999999999999</c:v>
                </c:pt>
                <c:pt idx="479">
                  <c:v>16.175999999999998</c:v>
                </c:pt>
                <c:pt idx="480">
                  <c:v>15.798999999999999</c:v>
                </c:pt>
                <c:pt idx="481">
                  <c:v>16.073</c:v>
                </c:pt>
                <c:pt idx="482">
                  <c:v>15.965</c:v>
                </c:pt>
                <c:pt idx="483">
                  <c:v>16.023</c:v>
                </c:pt>
                <c:pt idx="484">
                  <c:v>16.167999999999999</c:v>
                </c:pt>
                <c:pt idx="485">
                  <c:v>16.067</c:v>
                </c:pt>
                <c:pt idx="486">
                  <c:v>16.285</c:v>
                </c:pt>
                <c:pt idx="487">
                  <c:v>16.440000000000001</c:v>
                </c:pt>
                <c:pt idx="488">
                  <c:v>16.495000000000001</c:v>
                </c:pt>
                <c:pt idx="489">
                  <c:v>16.309000000000001</c:v>
                </c:pt>
                <c:pt idx="490">
                  <c:v>16.378</c:v>
                </c:pt>
                <c:pt idx="491">
                  <c:v>16.3</c:v>
                </c:pt>
                <c:pt idx="492">
                  <c:v>16.335999999999999</c:v>
                </c:pt>
                <c:pt idx="493">
                  <c:v>16.498999999999999</c:v>
                </c:pt>
                <c:pt idx="494">
                  <c:v>16.236999999999998</c:v>
                </c:pt>
                <c:pt idx="495">
                  <c:v>15.803000000000001</c:v>
                </c:pt>
                <c:pt idx="496">
                  <c:v>15.265000000000001</c:v>
                </c:pt>
                <c:pt idx="497">
                  <c:v>15.231999999999999</c:v>
                </c:pt>
                <c:pt idx="498">
                  <c:v>15.500999999999999</c:v>
                </c:pt>
                <c:pt idx="499">
                  <c:v>15.504</c:v>
                </c:pt>
                <c:pt idx="500">
                  <c:v>16.029</c:v>
                </c:pt>
                <c:pt idx="501">
                  <c:v>16.193000000000001</c:v>
                </c:pt>
                <c:pt idx="502">
                  <c:v>16.27</c:v>
                </c:pt>
                <c:pt idx="503">
                  <c:v>16.29</c:v>
                </c:pt>
                <c:pt idx="504">
                  <c:v>16.516999999999999</c:v>
                </c:pt>
                <c:pt idx="505">
                  <c:v>16.445</c:v>
                </c:pt>
                <c:pt idx="506">
                  <c:v>16.649000000000001</c:v>
                </c:pt>
                <c:pt idx="507">
                  <c:v>16.826000000000001</c:v>
                </c:pt>
                <c:pt idx="508">
                  <c:v>17.196000000000002</c:v>
                </c:pt>
                <c:pt idx="509">
                  <c:v>17.059000000000001</c:v>
                </c:pt>
                <c:pt idx="510">
                  <c:v>17.265000000000001</c:v>
                </c:pt>
                <c:pt idx="511">
                  <c:v>17.518999999999998</c:v>
                </c:pt>
                <c:pt idx="512">
                  <c:v>17.677</c:v>
                </c:pt>
                <c:pt idx="513">
                  <c:v>17.875</c:v>
                </c:pt>
                <c:pt idx="514">
                  <c:v>17.617999999999999</c:v>
                </c:pt>
                <c:pt idx="515">
                  <c:v>17.178999999999998</c:v>
                </c:pt>
                <c:pt idx="516">
                  <c:v>17.384</c:v>
                </c:pt>
                <c:pt idx="517">
                  <c:v>17.295000000000002</c:v>
                </c:pt>
                <c:pt idx="518">
                  <c:v>17.05</c:v>
                </c:pt>
                <c:pt idx="519">
                  <c:v>17.277000000000001</c:v>
                </c:pt>
                <c:pt idx="520">
                  <c:v>17.512</c:v>
                </c:pt>
                <c:pt idx="521">
                  <c:v>17.829999999999998</c:v>
                </c:pt>
                <c:pt idx="522">
                  <c:v>17.661000000000001</c:v>
                </c:pt>
                <c:pt idx="523">
                  <c:v>17.513999999999999</c:v>
                </c:pt>
                <c:pt idx="524">
                  <c:v>17.181999999999999</c:v>
                </c:pt>
                <c:pt idx="525">
                  <c:v>17.498000000000001</c:v>
                </c:pt>
                <c:pt idx="526">
                  <c:v>17.619</c:v>
                </c:pt>
                <c:pt idx="527">
                  <c:v>17.620999999999999</c:v>
                </c:pt>
                <c:pt idx="528">
                  <c:v>17.888000000000002</c:v>
                </c:pt>
                <c:pt idx="529">
                  <c:v>18.042000000000002</c:v>
                </c:pt>
                <c:pt idx="530">
                  <c:v>17.768999999999998</c:v>
                </c:pt>
                <c:pt idx="531">
                  <c:v>17.481000000000002</c:v>
                </c:pt>
                <c:pt idx="532">
                  <c:v>17.535</c:v>
                </c:pt>
                <c:pt idx="533">
                  <c:v>17.347999999999999</c:v>
                </c:pt>
                <c:pt idx="534">
                  <c:v>17.553999999999998</c:v>
                </c:pt>
                <c:pt idx="535">
                  <c:v>17.513999999999999</c:v>
                </c:pt>
                <c:pt idx="536">
                  <c:v>17.678999999999998</c:v>
                </c:pt>
                <c:pt idx="537">
                  <c:v>17.724</c:v>
                </c:pt>
                <c:pt idx="538">
                  <c:v>17.757999999999999</c:v>
                </c:pt>
                <c:pt idx="539">
                  <c:v>17.649999999999999</c:v>
                </c:pt>
                <c:pt idx="540">
                  <c:v>17.617000000000001</c:v>
                </c:pt>
                <c:pt idx="541">
                  <c:v>17.584</c:v>
                </c:pt>
                <c:pt idx="542">
                  <c:v>17.643000000000001</c:v>
                </c:pt>
                <c:pt idx="543">
                  <c:v>17.683</c:v>
                </c:pt>
                <c:pt idx="544">
                  <c:v>17.484999999999999</c:v>
                </c:pt>
                <c:pt idx="545">
                  <c:v>17.314</c:v>
                </c:pt>
                <c:pt idx="546">
                  <c:v>17.338000000000001</c:v>
                </c:pt>
                <c:pt idx="547">
                  <c:v>17.353999999999999</c:v>
                </c:pt>
                <c:pt idx="548">
                  <c:v>17.231000000000002</c:v>
                </c:pt>
                <c:pt idx="549">
                  <c:v>17.512</c:v>
                </c:pt>
                <c:pt idx="550">
                  <c:v>17.425999999999998</c:v>
                </c:pt>
                <c:pt idx="551">
                  <c:v>17.385999999999999</c:v>
                </c:pt>
                <c:pt idx="552">
                  <c:v>17.536999999999999</c:v>
                </c:pt>
                <c:pt idx="553">
                  <c:v>17.286999999999999</c:v>
                </c:pt>
                <c:pt idx="554">
                  <c:v>16.87</c:v>
                </c:pt>
                <c:pt idx="555">
                  <c:v>16.635000000000002</c:v>
                </c:pt>
                <c:pt idx="556">
                  <c:v>16.841999999999999</c:v>
                </c:pt>
                <c:pt idx="557">
                  <c:v>16.568000000000001</c:v>
                </c:pt>
                <c:pt idx="558">
                  <c:v>16.599</c:v>
                </c:pt>
                <c:pt idx="559">
                  <c:v>16.576000000000001</c:v>
                </c:pt>
                <c:pt idx="560">
                  <c:v>16.428000000000001</c:v>
                </c:pt>
                <c:pt idx="561">
                  <c:v>16.247</c:v>
                </c:pt>
                <c:pt idx="562">
                  <c:v>16.033999999999999</c:v>
                </c:pt>
                <c:pt idx="563">
                  <c:v>16.123000000000001</c:v>
                </c:pt>
                <c:pt idx="564">
                  <c:v>15.901999999999999</c:v>
                </c:pt>
                <c:pt idx="565">
                  <c:v>15.933999999999999</c:v>
                </c:pt>
                <c:pt idx="566">
                  <c:v>16.155999999999999</c:v>
                </c:pt>
                <c:pt idx="567">
                  <c:v>16.050999999999998</c:v>
                </c:pt>
                <c:pt idx="568">
                  <c:v>16.044</c:v>
                </c:pt>
                <c:pt idx="569">
                  <c:v>15.868</c:v>
                </c:pt>
                <c:pt idx="570">
                  <c:v>15.685</c:v>
                </c:pt>
                <c:pt idx="571">
                  <c:v>15.689</c:v>
                </c:pt>
                <c:pt idx="572">
                  <c:v>15.662000000000001</c:v>
                </c:pt>
                <c:pt idx="573">
                  <c:v>15.406000000000001</c:v>
                </c:pt>
                <c:pt idx="574">
                  <c:v>15.15</c:v>
                </c:pt>
                <c:pt idx="575">
                  <c:v>15.282</c:v>
                </c:pt>
                <c:pt idx="576">
                  <c:v>15.776</c:v>
                </c:pt>
                <c:pt idx="577">
                  <c:v>16.13</c:v>
                </c:pt>
                <c:pt idx="578">
                  <c:v>16.233000000000001</c:v>
                </c:pt>
                <c:pt idx="579">
                  <c:v>16.417999999999999</c:v>
                </c:pt>
                <c:pt idx="580">
                  <c:v>16.462</c:v>
                </c:pt>
                <c:pt idx="581">
                  <c:v>16.533000000000001</c:v>
                </c:pt>
                <c:pt idx="582">
                  <c:v>16.533999999999999</c:v>
                </c:pt>
                <c:pt idx="583">
                  <c:v>16.157</c:v>
                </c:pt>
                <c:pt idx="584">
                  <c:v>16.026</c:v>
                </c:pt>
                <c:pt idx="585">
                  <c:v>16.058</c:v>
                </c:pt>
                <c:pt idx="586">
                  <c:v>16.172000000000001</c:v>
                </c:pt>
                <c:pt idx="587">
                  <c:v>16.132999999999999</c:v>
                </c:pt>
                <c:pt idx="588">
                  <c:v>16.716000000000001</c:v>
                </c:pt>
                <c:pt idx="589">
                  <c:v>16.579000000000001</c:v>
                </c:pt>
                <c:pt idx="590">
                  <c:v>16.437999999999999</c:v>
                </c:pt>
                <c:pt idx="591">
                  <c:v>16.657</c:v>
                </c:pt>
                <c:pt idx="592">
                  <c:v>16.434999999999999</c:v>
                </c:pt>
                <c:pt idx="593">
                  <c:v>16.085000000000001</c:v>
                </c:pt>
                <c:pt idx="594">
                  <c:v>16.309999999999999</c:v>
                </c:pt>
                <c:pt idx="595">
                  <c:v>16.241</c:v>
                </c:pt>
                <c:pt idx="596">
                  <c:v>17.091999999999999</c:v>
                </c:pt>
                <c:pt idx="597">
                  <c:v>17.085000000000001</c:v>
                </c:pt>
                <c:pt idx="598">
                  <c:v>17.396000000000001</c:v>
                </c:pt>
                <c:pt idx="599">
                  <c:v>17.321999999999999</c:v>
                </c:pt>
                <c:pt idx="600">
                  <c:v>16.95</c:v>
                </c:pt>
                <c:pt idx="601">
                  <c:v>16.899999999999999</c:v>
                </c:pt>
                <c:pt idx="602">
                  <c:v>16.696999999999999</c:v>
                </c:pt>
                <c:pt idx="603">
                  <c:v>16.655000000000001</c:v>
                </c:pt>
                <c:pt idx="604">
                  <c:v>16.72</c:v>
                </c:pt>
                <c:pt idx="605">
                  <c:v>16.635000000000002</c:v>
                </c:pt>
                <c:pt idx="606">
                  <c:v>16.605</c:v>
                </c:pt>
                <c:pt idx="607">
                  <c:v>16.768999999999998</c:v>
                </c:pt>
                <c:pt idx="608">
                  <c:v>16.649000000000001</c:v>
                </c:pt>
                <c:pt idx="609">
                  <c:v>16.847000000000001</c:v>
                </c:pt>
                <c:pt idx="610">
                  <c:v>16.991</c:v>
                </c:pt>
                <c:pt idx="611">
                  <c:v>16.864000000000001</c:v>
                </c:pt>
                <c:pt idx="612">
                  <c:v>16.88</c:v>
                </c:pt>
                <c:pt idx="613">
                  <c:v>17.029</c:v>
                </c:pt>
                <c:pt idx="614">
                  <c:v>16.972000000000001</c:v>
                </c:pt>
                <c:pt idx="615">
                  <c:v>16.849</c:v>
                </c:pt>
                <c:pt idx="616">
                  <c:v>16.759</c:v>
                </c:pt>
                <c:pt idx="617">
                  <c:v>16.834</c:v>
                </c:pt>
                <c:pt idx="618">
                  <c:v>17.036000000000001</c:v>
                </c:pt>
                <c:pt idx="619">
                  <c:v>17.035</c:v>
                </c:pt>
                <c:pt idx="620">
                  <c:v>16.895</c:v>
                </c:pt>
                <c:pt idx="621">
                  <c:v>16.792999999999999</c:v>
                </c:pt>
                <c:pt idx="622">
                  <c:v>16.911000000000001</c:v>
                </c:pt>
                <c:pt idx="623">
                  <c:v>16.811</c:v>
                </c:pt>
                <c:pt idx="624">
                  <c:v>16.826000000000001</c:v>
                </c:pt>
                <c:pt idx="625">
                  <c:v>17.05</c:v>
                </c:pt>
                <c:pt idx="626">
                  <c:v>16.798999999999999</c:v>
                </c:pt>
                <c:pt idx="627">
                  <c:v>16.61</c:v>
                </c:pt>
                <c:pt idx="628">
                  <c:v>16.561</c:v>
                </c:pt>
                <c:pt idx="629">
                  <c:v>16.527999999999999</c:v>
                </c:pt>
                <c:pt idx="630">
                  <c:v>16.433</c:v>
                </c:pt>
                <c:pt idx="631">
                  <c:v>16.361000000000001</c:v>
                </c:pt>
                <c:pt idx="632">
                  <c:v>16.475000000000001</c:v>
                </c:pt>
                <c:pt idx="633">
                  <c:v>16.478000000000002</c:v>
                </c:pt>
                <c:pt idx="634">
                  <c:v>16.398</c:v>
                </c:pt>
                <c:pt idx="635">
                  <c:v>16.315000000000001</c:v>
                </c:pt>
                <c:pt idx="636">
                  <c:v>16.331</c:v>
                </c:pt>
                <c:pt idx="637">
                  <c:v>16.446999999999999</c:v>
                </c:pt>
                <c:pt idx="638">
                  <c:v>16.544</c:v>
                </c:pt>
                <c:pt idx="639">
                  <c:v>16.625</c:v>
                </c:pt>
                <c:pt idx="640">
                  <c:v>16.477</c:v>
                </c:pt>
                <c:pt idx="641">
                  <c:v>16.61</c:v>
                </c:pt>
                <c:pt idx="642">
                  <c:v>16.861000000000001</c:v>
                </c:pt>
                <c:pt idx="643">
                  <c:v>16.728000000000002</c:v>
                </c:pt>
                <c:pt idx="644">
                  <c:v>16.661000000000001</c:v>
                </c:pt>
                <c:pt idx="645">
                  <c:v>16.760999999999999</c:v>
                </c:pt>
                <c:pt idx="646">
                  <c:v>16.54</c:v>
                </c:pt>
                <c:pt idx="647">
                  <c:v>16.38</c:v>
                </c:pt>
                <c:pt idx="648">
                  <c:v>16.244</c:v>
                </c:pt>
                <c:pt idx="649">
                  <c:v>16.256</c:v>
                </c:pt>
                <c:pt idx="650">
                  <c:v>16.474</c:v>
                </c:pt>
                <c:pt idx="651">
                  <c:v>16.646000000000001</c:v>
                </c:pt>
                <c:pt idx="652">
                  <c:v>16.859000000000002</c:v>
                </c:pt>
                <c:pt idx="653">
                  <c:v>16.702999999999999</c:v>
                </c:pt>
                <c:pt idx="654">
                  <c:v>16.707999999999998</c:v>
                </c:pt>
                <c:pt idx="655">
                  <c:v>16.745000000000001</c:v>
                </c:pt>
                <c:pt idx="656">
                  <c:v>16.510999999999999</c:v>
                </c:pt>
                <c:pt idx="657">
                  <c:v>16.327999999999999</c:v>
                </c:pt>
                <c:pt idx="658">
                  <c:v>16.420000000000002</c:v>
                </c:pt>
                <c:pt idx="659">
                  <c:v>16.649000000000001</c:v>
                </c:pt>
                <c:pt idx="660">
                  <c:v>16.643000000000001</c:v>
                </c:pt>
                <c:pt idx="661">
                  <c:v>16.587</c:v>
                </c:pt>
                <c:pt idx="662">
                  <c:v>16.613</c:v>
                </c:pt>
                <c:pt idx="663">
                  <c:v>16.408000000000001</c:v>
                </c:pt>
                <c:pt idx="664">
                  <c:v>16.398</c:v>
                </c:pt>
                <c:pt idx="665">
                  <c:v>16.518000000000001</c:v>
                </c:pt>
                <c:pt idx="666">
                  <c:v>16.702999999999999</c:v>
                </c:pt>
                <c:pt idx="667">
                  <c:v>16.853999999999999</c:v>
                </c:pt>
                <c:pt idx="668">
                  <c:v>16.731000000000002</c:v>
                </c:pt>
                <c:pt idx="669">
                  <c:v>17.04</c:v>
                </c:pt>
                <c:pt idx="670">
                  <c:v>17.175999999999998</c:v>
                </c:pt>
                <c:pt idx="671">
                  <c:v>17.294</c:v>
                </c:pt>
                <c:pt idx="672">
                  <c:v>17.164999999999999</c:v>
                </c:pt>
                <c:pt idx="673">
                  <c:v>16.882000000000001</c:v>
                </c:pt>
                <c:pt idx="674">
                  <c:v>17.170000000000002</c:v>
                </c:pt>
                <c:pt idx="675">
                  <c:v>17.247</c:v>
                </c:pt>
                <c:pt idx="676">
                  <c:v>17.152999999999999</c:v>
                </c:pt>
                <c:pt idx="677">
                  <c:v>17.125</c:v>
                </c:pt>
                <c:pt idx="678">
                  <c:v>17.062000000000001</c:v>
                </c:pt>
                <c:pt idx="679">
                  <c:v>17.23</c:v>
                </c:pt>
                <c:pt idx="680">
                  <c:v>17.231999999999999</c:v>
                </c:pt>
                <c:pt idx="681">
                  <c:v>17.222999999999999</c:v>
                </c:pt>
                <c:pt idx="682">
                  <c:v>17.274999999999999</c:v>
                </c:pt>
                <c:pt idx="683">
                  <c:v>17.282</c:v>
                </c:pt>
                <c:pt idx="684">
                  <c:v>17.329000000000001</c:v>
                </c:pt>
                <c:pt idx="685">
                  <c:v>16.971</c:v>
                </c:pt>
                <c:pt idx="686">
                  <c:v>17.048999999999999</c:v>
                </c:pt>
                <c:pt idx="687">
                  <c:v>17.111000000000001</c:v>
                </c:pt>
                <c:pt idx="688">
                  <c:v>17.494</c:v>
                </c:pt>
                <c:pt idx="689">
                  <c:v>17.616</c:v>
                </c:pt>
                <c:pt idx="690">
                  <c:v>17.623000000000001</c:v>
                </c:pt>
                <c:pt idx="691">
                  <c:v>17.66</c:v>
                </c:pt>
                <c:pt idx="692">
                  <c:v>17.983000000000001</c:v>
                </c:pt>
                <c:pt idx="693">
                  <c:v>17.898</c:v>
                </c:pt>
                <c:pt idx="694">
                  <c:v>17.977</c:v>
                </c:pt>
                <c:pt idx="695">
                  <c:v>18.244</c:v>
                </c:pt>
                <c:pt idx="696">
                  <c:v>17.867999999999999</c:v>
                </c:pt>
                <c:pt idx="697">
                  <c:v>17.777999999999999</c:v>
                </c:pt>
                <c:pt idx="698">
                  <c:v>17.850000000000001</c:v>
                </c:pt>
                <c:pt idx="699">
                  <c:v>17.760000000000002</c:v>
                </c:pt>
                <c:pt idx="700">
                  <c:v>17.655000000000001</c:v>
                </c:pt>
                <c:pt idx="701">
                  <c:v>17.542000000000002</c:v>
                </c:pt>
                <c:pt idx="702">
                  <c:v>18.050999999999998</c:v>
                </c:pt>
                <c:pt idx="703">
                  <c:v>17.989000000000001</c:v>
                </c:pt>
                <c:pt idx="704">
                  <c:v>18.021999999999998</c:v>
                </c:pt>
                <c:pt idx="705">
                  <c:v>18.09</c:v>
                </c:pt>
                <c:pt idx="706">
                  <c:v>16.681999999999999</c:v>
                </c:pt>
                <c:pt idx="707">
                  <c:v>16.863</c:v>
                </c:pt>
                <c:pt idx="708">
                  <c:v>17.053000000000001</c:v>
                </c:pt>
                <c:pt idx="709">
                  <c:v>17.018999999999998</c:v>
                </c:pt>
                <c:pt idx="710">
                  <c:v>17.116</c:v>
                </c:pt>
                <c:pt idx="711">
                  <c:v>17.036999999999999</c:v>
                </c:pt>
                <c:pt idx="712">
                  <c:v>17.113</c:v>
                </c:pt>
                <c:pt idx="713">
                  <c:v>17.146999999999998</c:v>
                </c:pt>
                <c:pt idx="714">
                  <c:v>17.155000000000001</c:v>
                </c:pt>
                <c:pt idx="715">
                  <c:v>17.146000000000001</c:v>
                </c:pt>
                <c:pt idx="716">
                  <c:v>17.312999999999999</c:v>
                </c:pt>
                <c:pt idx="717">
                  <c:v>17.442</c:v>
                </c:pt>
                <c:pt idx="718">
                  <c:v>17.419</c:v>
                </c:pt>
                <c:pt idx="719">
                  <c:v>17.53</c:v>
                </c:pt>
                <c:pt idx="720">
                  <c:v>17.36</c:v>
                </c:pt>
                <c:pt idx="721">
                  <c:v>17.11</c:v>
                </c:pt>
                <c:pt idx="722">
                  <c:v>17.029</c:v>
                </c:pt>
                <c:pt idx="723">
                  <c:v>17.018000000000001</c:v>
                </c:pt>
                <c:pt idx="724">
                  <c:v>17.170000000000002</c:v>
                </c:pt>
                <c:pt idx="725">
                  <c:v>17.059999999999999</c:v>
                </c:pt>
                <c:pt idx="726">
                  <c:v>17.218</c:v>
                </c:pt>
                <c:pt idx="727">
                  <c:v>17.254999999999999</c:v>
                </c:pt>
                <c:pt idx="728">
                  <c:v>16.878</c:v>
                </c:pt>
                <c:pt idx="729">
                  <c:v>16.995000000000001</c:v>
                </c:pt>
                <c:pt idx="730">
                  <c:v>16.818999999999999</c:v>
                </c:pt>
                <c:pt idx="731">
                  <c:v>16.623000000000001</c:v>
                </c:pt>
                <c:pt idx="732">
                  <c:v>17.010000000000002</c:v>
                </c:pt>
                <c:pt idx="733">
                  <c:v>17.263000000000002</c:v>
                </c:pt>
                <c:pt idx="734">
                  <c:v>17.274999999999999</c:v>
                </c:pt>
                <c:pt idx="735">
                  <c:v>17.428000000000001</c:v>
                </c:pt>
                <c:pt idx="736">
                  <c:v>17.664000000000001</c:v>
                </c:pt>
                <c:pt idx="737">
                  <c:v>17.716000000000001</c:v>
                </c:pt>
                <c:pt idx="738">
                  <c:v>17.263999999999999</c:v>
                </c:pt>
                <c:pt idx="739">
                  <c:v>17.128</c:v>
                </c:pt>
                <c:pt idx="740">
                  <c:v>17.311</c:v>
                </c:pt>
                <c:pt idx="741">
                  <c:v>17.227</c:v>
                </c:pt>
                <c:pt idx="742">
                  <c:v>17.434999999999999</c:v>
                </c:pt>
                <c:pt idx="743">
                  <c:v>17.678000000000001</c:v>
                </c:pt>
                <c:pt idx="744">
                  <c:v>17.556000000000001</c:v>
                </c:pt>
                <c:pt idx="745">
                  <c:v>17.643999999999998</c:v>
                </c:pt>
                <c:pt idx="746">
                  <c:v>17.742999999999999</c:v>
                </c:pt>
                <c:pt idx="747">
                  <c:v>17.64</c:v>
                </c:pt>
                <c:pt idx="748">
                  <c:v>17.382000000000001</c:v>
                </c:pt>
                <c:pt idx="749">
                  <c:v>17.539000000000001</c:v>
                </c:pt>
                <c:pt idx="750">
                  <c:v>17.189</c:v>
                </c:pt>
                <c:pt idx="751">
                  <c:v>17.259</c:v>
                </c:pt>
                <c:pt idx="752">
                  <c:v>17.199000000000002</c:v>
                </c:pt>
                <c:pt idx="753">
                  <c:v>17.085999999999999</c:v>
                </c:pt>
                <c:pt idx="754">
                  <c:v>16.882999999999999</c:v>
                </c:pt>
                <c:pt idx="755">
                  <c:v>16.887</c:v>
                </c:pt>
                <c:pt idx="756">
                  <c:v>16.79</c:v>
                </c:pt>
                <c:pt idx="757">
                  <c:v>17.164999999999999</c:v>
                </c:pt>
                <c:pt idx="758">
                  <c:v>17.303000000000001</c:v>
                </c:pt>
                <c:pt idx="759">
                  <c:v>16.942</c:v>
                </c:pt>
                <c:pt idx="760">
                  <c:v>17.283999999999999</c:v>
                </c:pt>
                <c:pt idx="761">
                  <c:v>17.257000000000001</c:v>
                </c:pt>
                <c:pt idx="762">
                  <c:v>17.254000000000001</c:v>
                </c:pt>
                <c:pt idx="763">
                  <c:v>17.288</c:v>
                </c:pt>
                <c:pt idx="764">
                  <c:v>17.489000000000001</c:v>
                </c:pt>
                <c:pt idx="765">
                  <c:v>17.420999999999999</c:v>
                </c:pt>
                <c:pt idx="766">
                  <c:v>17.355</c:v>
                </c:pt>
                <c:pt idx="767">
                  <c:v>17.257000000000001</c:v>
                </c:pt>
                <c:pt idx="768">
                  <c:v>17.484999999999999</c:v>
                </c:pt>
                <c:pt idx="769">
                  <c:v>17.350000000000001</c:v>
                </c:pt>
                <c:pt idx="770">
                  <c:v>17.292999999999999</c:v>
                </c:pt>
                <c:pt idx="771">
                  <c:v>17.288</c:v>
                </c:pt>
                <c:pt idx="772">
                  <c:v>17.308</c:v>
                </c:pt>
                <c:pt idx="773">
                  <c:v>17.225000000000001</c:v>
                </c:pt>
                <c:pt idx="774">
                  <c:v>17.346</c:v>
                </c:pt>
                <c:pt idx="775">
                  <c:v>17.526</c:v>
                </c:pt>
                <c:pt idx="776">
                  <c:v>17.728999999999999</c:v>
                </c:pt>
                <c:pt idx="777">
                  <c:v>17.492000000000001</c:v>
                </c:pt>
                <c:pt idx="778">
                  <c:v>17.536999999999999</c:v>
                </c:pt>
                <c:pt idx="779">
                  <c:v>17.277000000000001</c:v>
                </c:pt>
                <c:pt idx="780">
                  <c:v>17.079000000000001</c:v>
                </c:pt>
                <c:pt idx="781">
                  <c:v>16.870999999999999</c:v>
                </c:pt>
                <c:pt idx="782">
                  <c:v>16.948</c:v>
                </c:pt>
                <c:pt idx="783">
                  <c:v>16.907</c:v>
                </c:pt>
                <c:pt idx="784">
                  <c:v>16.986999999999998</c:v>
                </c:pt>
                <c:pt idx="785">
                  <c:v>16.838999999999999</c:v>
                </c:pt>
                <c:pt idx="786">
                  <c:v>16.629000000000001</c:v>
                </c:pt>
                <c:pt idx="787">
                  <c:v>16.623000000000001</c:v>
                </c:pt>
                <c:pt idx="788">
                  <c:v>16.46</c:v>
                </c:pt>
                <c:pt idx="789">
                  <c:v>16.324000000000002</c:v>
                </c:pt>
                <c:pt idx="790">
                  <c:v>16.196000000000002</c:v>
                </c:pt>
                <c:pt idx="791">
                  <c:v>16.629000000000001</c:v>
                </c:pt>
                <c:pt idx="792">
                  <c:v>16.576000000000001</c:v>
                </c:pt>
                <c:pt idx="793">
                  <c:v>16.440999999999999</c:v>
                </c:pt>
                <c:pt idx="794">
                  <c:v>16.148</c:v>
                </c:pt>
                <c:pt idx="795">
                  <c:v>16.295999999999999</c:v>
                </c:pt>
                <c:pt idx="796">
                  <c:v>16.457000000000001</c:v>
                </c:pt>
                <c:pt idx="797">
                  <c:v>16.271000000000001</c:v>
                </c:pt>
                <c:pt idx="798">
                  <c:v>16.201000000000001</c:v>
                </c:pt>
                <c:pt idx="799">
                  <c:v>16.253</c:v>
                </c:pt>
                <c:pt idx="800">
                  <c:v>16.364999999999998</c:v>
                </c:pt>
                <c:pt idx="801">
                  <c:v>16.399999999999999</c:v>
                </c:pt>
                <c:pt idx="802">
                  <c:v>16.260999999999999</c:v>
                </c:pt>
                <c:pt idx="803">
                  <c:v>16.443000000000001</c:v>
                </c:pt>
                <c:pt idx="804">
                  <c:v>16.835999999999999</c:v>
                </c:pt>
                <c:pt idx="805">
                  <c:v>17.013999999999999</c:v>
                </c:pt>
                <c:pt idx="806">
                  <c:v>16.93</c:v>
                </c:pt>
                <c:pt idx="807">
                  <c:v>16.902000000000001</c:v>
                </c:pt>
                <c:pt idx="808">
                  <c:v>16.972999999999999</c:v>
                </c:pt>
                <c:pt idx="809">
                  <c:v>16.72</c:v>
                </c:pt>
                <c:pt idx="810">
                  <c:v>16.75</c:v>
                </c:pt>
                <c:pt idx="811">
                  <c:v>16.623999999999999</c:v>
                </c:pt>
                <c:pt idx="812">
                  <c:v>16.64</c:v>
                </c:pt>
                <c:pt idx="813">
                  <c:v>16.885999999999999</c:v>
                </c:pt>
                <c:pt idx="814">
                  <c:v>16.943999999999999</c:v>
                </c:pt>
                <c:pt idx="815">
                  <c:v>17.088999999999999</c:v>
                </c:pt>
                <c:pt idx="816">
                  <c:v>17.119</c:v>
                </c:pt>
                <c:pt idx="817">
                  <c:v>17.434999999999999</c:v>
                </c:pt>
                <c:pt idx="818">
                  <c:v>17.690000000000001</c:v>
                </c:pt>
                <c:pt idx="819">
                  <c:v>17.922999999999998</c:v>
                </c:pt>
                <c:pt idx="820">
                  <c:v>17.800999999999998</c:v>
                </c:pt>
                <c:pt idx="821">
                  <c:v>17.427</c:v>
                </c:pt>
                <c:pt idx="822">
                  <c:v>17.693000000000001</c:v>
                </c:pt>
                <c:pt idx="823">
                  <c:v>17.614000000000001</c:v>
                </c:pt>
                <c:pt idx="824">
                  <c:v>17.686</c:v>
                </c:pt>
                <c:pt idx="825">
                  <c:v>17.975999999999999</c:v>
                </c:pt>
                <c:pt idx="826">
                  <c:v>18.149999999999999</c:v>
                </c:pt>
                <c:pt idx="827">
                  <c:v>18.085999999999999</c:v>
                </c:pt>
                <c:pt idx="828">
                  <c:v>17.870999999999999</c:v>
                </c:pt>
                <c:pt idx="829">
                  <c:v>17.699000000000002</c:v>
                </c:pt>
                <c:pt idx="830">
                  <c:v>18.099</c:v>
                </c:pt>
                <c:pt idx="831">
                  <c:v>18.027999999999999</c:v>
                </c:pt>
                <c:pt idx="832">
                  <c:v>18.373999999999999</c:v>
                </c:pt>
                <c:pt idx="833">
                  <c:v>18.280999999999999</c:v>
                </c:pt>
                <c:pt idx="834">
                  <c:v>18.305</c:v>
                </c:pt>
                <c:pt idx="835">
                  <c:v>18.260999999999999</c:v>
                </c:pt>
                <c:pt idx="836">
                  <c:v>18.327000000000002</c:v>
                </c:pt>
                <c:pt idx="837">
                  <c:v>18.658000000000001</c:v>
                </c:pt>
                <c:pt idx="838">
                  <c:v>18.827000000000002</c:v>
                </c:pt>
                <c:pt idx="839">
                  <c:v>19.274999999999999</c:v>
                </c:pt>
                <c:pt idx="840">
                  <c:v>19.282</c:v>
                </c:pt>
                <c:pt idx="841">
                  <c:v>19.628</c:v>
                </c:pt>
                <c:pt idx="842">
                  <c:v>19.484000000000002</c:v>
                </c:pt>
                <c:pt idx="843">
                  <c:v>19.087</c:v>
                </c:pt>
                <c:pt idx="844">
                  <c:v>19.300999999999998</c:v>
                </c:pt>
                <c:pt idx="845">
                  <c:v>19.829000000000001</c:v>
                </c:pt>
                <c:pt idx="846">
                  <c:v>19.846</c:v>
                </c:pt>
                <c:pt idx="847">
                  <c:v>20.07</c:v>
                </c:pt>
                <c:pt idx="848">
                  <c:v>19.823</c:v>
                </c:pt>
                <c:pt idx="849">
                  <c:v>19.928999999999998</c:v>
                </c:pt>
                <c:pt idx="850">
                  <c:v>20.347999999999999</c:v>
                </c:pt>
                <c:pt idx="851">
                  <c:v>20.465</c:v>
                </c:pt>
                <c:pt idx="852">
                  <c:v>21.280999999999999</c:v>
                </c:pt>
                <c:pt idx="853">
                  <c:v>20.905000000000001</c:v>
                </c:pt>
                <c:pt idx="854">
                  <c:v>20.585999999999999</c:v>
                </c:pt>
                <c:pt idx="855">
                  <c:v>20.634</c:v>
                </c:pt>
                <c:pt idx="856">
                  <c:v>21.125</c:v>
                </c:pt>
                <c:pt idx="857">
                  <c:v>21.417000000000002</c:v>
                </c:pt>
                <c:pt idx="858">
                  <c:v>21.347000000000001</c:v>
                </c:pt>
                <c:pt idx="859">
                  <c:v>21.734999999999999</c:v>
                </c:pt>
                <c:pt idx="860">
                  <c:v>21.824000000000002</c:v>
                </c:pt>
                <c:pt idx="861">
                  <c:v>22.274000000000001</c:v>
                </c:pt>
                <c:pt idx="862">
                  <c:v>22.6</c:v>
                </c:pt>
                <c:pt idx="863">
                  <c:v>22.678000000000001</c:v>
                </c:pt>
                <c:pt idx="864">
                  <c:v>22.625</c:v>
                </c:pt>
                <c:pt idx="865">
                  <c:v>23.216999999999999</c:v>
                </c:pt>
                <c:pt idx="866">
                  <c:v>23.01</c:v>
                </c:pt>
                <c:pt idx="867">
                  <c:v>23.292999999999999</c:v>
                </c:pt>
                <c:pt idx="868">
                  <c:v>23.821999999999999</c:v>
                </c:pt>
                <c:pt idx="869">
                  <c:v>23.728999999999999</c:v>
                </c:pt>
                <c:pt idx="870">
                  <c:v>23.663</c:v>
                </c:pt>
                <c:pt idx="871">
                  <c:v>22.878</c:v>
                </c:pt>
                <c:pt idx="872">
                  <c:v>23.026</c:v>
                </c:pt>
                <c:pt idx="873">
                  <c:v>23.481999999999999</c:v>
                </c:pt>
                <c:pt idx="874">
                  <c:v>23.751000000000001</c:v>
                </c:pt>
                <c:pt idx="875">
                  <c:v>23.4</c:v>
                </c:pt>
                <c:pt idx="876">
                  <c:v>22.678000000000001</c:v>
                </c:pt>
                <c:pt idx="877">
                  <c:v>22.779</c:v>
                </c:pt>
                <c:pt idx="878">
                  <c:v>22.324999999999999</c:v>
                </c:pt>
                <c:pt idx="879">
                  <c:v>22.161000000000001</c:v>
                </c:pt>
                <c:pt idx="880">
                  <c:v>22.472000000000001</c:v>
                </c:pt>
                <c:pt idx="881">
                  <c:v>22.44</c:v>
                </c:pt>
                <c:pt idx="882">
                  <c:v>22.248000000000001</c:v>
                </c:pt>
                <c:pt idx="883">
                  <c:v>22.696999999999999</c:v>
                </c:pt>
                <c:pt idx="884">
                  <c:v>23.216000000000001</c:v>
                </c:pt>
                <c:pt idx="885">
                  <c:v>23.247</c:v>
                </c:pt>
                <c:pt idx="886">
                  <c:v>22.512</c:v>
                </c:pt>
                <c:pt idx="887">
                  <c:v>22.922999999999998</c:v>
                </c:pt>
                <c:pt idx="888">
                  <c:v>22.495999999999999</c:v>
                </c:pt>
                <c:pt idx="889">
                  <c:v>22.228999999999999</c:v>
                </c:pt>
                <c:pt idx="890">
                  <c:v>22.268999999999998</c:v>
                </c:pt>
                <c:pt idx="891">
                  <c:v>22.446999999999999</c:v>
                </c:pt>
                <c:pt idx="892">
                  <c:v>22.324000000000002</c:v>
                </c:pt>
                <c:pt idx="893">
                  <c:v>22.294</c:v>
                </c:pt>
                <c:pt idx="894">
                  <c:v>22.99</c:v>
                </c:pt>
                <c:pt idx="895">
                  <c:v>22.995999999999999</c:v>
                </c:pt>
                <c:pt idx="896">
                  <c:v>23.036999999999999</c:v>
                </c:pt>
                <c:pt idx="897">
                  <c:v>23.294</c:v>
                </c:pt>
                <c:pt idx="898">
                  <c:v>23.245000000000001</c:v>
                </c:pt>
                <c:pt idx="899">
                  <c:v>23.117000000000001</c:v>
                </c:pt>
                <c:pt idx="900">
                  <c:v>23.352</c:v>
                </c:pt>
                <c:pt idx="901">
                  <c:v>23.222999999999999</c:v>
                </c:pt>
                <c:pt idx="902">
                  <c:v>23.562000000000001</c:v>
                </c:pt>
                <c:pt idx="903">
                  <c:v>23.643999999999998</c:v>
                </c:pt>
                <c:pt idx="904">
                  <c:v>23.48</c:v>
                </c:pt>
                <c:pt idx="905">
                  <c:v>22.841000000000001</c:v>
                </c:pt>
                <c:pt idx="906">
                  <c:v>23.166</c:v>
                </c:pt>
                <c:pt idx="907">
                  <c:v>22.818999999999999</c:v>
                </c:pt>
                <c:pt idx="908">
                  <c:v>22.713999999999999</c:v>
                </c:pt>
                <c:pt idx="909">
                  <c:v>23.01</c:v>
                </c:pt>
                <c:pt idx="910">
                  <c:v>23.07</c:v>
                </c:pt>
                <c:pt idx="911">
                  <c:v>22.777999999999999</c:v>
                </c:pt>
                <c:pt idx="912">
                  <c:v>22.946000000000002</c:v>
                </c:pt>
                <c:pt idx="913">
                  <c:v>23.042999999999999</c:v>
                </c:pt>
                <c:pt idx="914">
                  <c:v>23.102</c:v>
                </c:pt>
                <c:pt idx="915">
                  <c:v>23.122</c:v>
                </c:pt>
                <c:pt idx="916">
                  <c:v>23.038</c:v>
                </c:pt>
                <c:pt idx="917">
                  <c:v>23.158999999999999</c:v>
                </c:pt>
                <c:pt idx="918">
                  <c:v>23.004000000000001</c:v>
                </c:pt>
                <c:pt idx="919">
                  <c:v>22.882999999999999</c:v>
                </c:pt>
                <c:pt idx="920">
                  <c:v>22.859000000000002</c:v>
                </c:pt>
                <c:pt idx="921">
                  <c:v>23.206</c:v>
                </c:pt>
                <c:pt idx="922">
                  <c:v>23.411000000000001</c:v>
                </c:pt>
                <c:pt idx="923">
                  <c:v>23.515999999999998</c:v>
                </c:pt>
                <c:pt idx="924">
                  <c:v>23.513999999999999</c:v>
                </c:pt>
                <c:pt idx="925">
                  <c:v>23.663</c:v>
                </c:pt>
                <c:pt idx="926">
                  <c:v>23.867000000000001</c:v>
                </c:pt>
                <c:pt idx="927">
                  <c:v>24.396000000000001</c:v>
                </c:pt>
                <c:pt idx="928">
                  <c:v>24.675999999999998</c:v>
                </c:pt>
                <c:pt idx="929">
                  <c:v>24.436</c:v>
                </c:pt>
                <c:pt idx="930">
                  <c:v>24.678000000000001</c:v>
                </c:pt>
                <c:pt idx="931">
                  <c:v>24.995999999999999</c:v>
                </c:pt>
                <c:pt idx="932">
                  <c:v>25.053000000000001</c:v>
                </c:pt>
                <c:pt idx="933">
                  <c:v>25.263999999999999</c:v>
                </c:pt>
                <c:pt idx="934">
                  <c:v>25.318999999999999</c:v>
                </c:pt>
                <c:pt idx="935">
                  <c:v>25.632000000000001</c:v>
                </c:pt>
                <c:pt idx="936">
                  <c:v>25.859000000000002</c:v>
                </c:pt>
                <c:pt idx="937">
                  <c:v>26.292999999999999</c:v>
                </c:pt>
                <c:pt idx="938">
                  <c:v>26.181000000000001</c:v>
                </c:pt>
                <c:pt idx="939">
                  <c:v>26.574999999999999</c:v>
                </c:pt>
                <c:pt idx="940">
                  <c:v>26.699000000000002</c:v>
                </c:pt>
                <c:pt idx="941">
                  <c:v>25.988</c:v>
                </c:pt>
                <c:pt idx="942">
                  <c:v>26.321999999999999</c:v>
                </c:pt>
                <c:pt idx="943">
                  <c:v>26.768000000000001</c:v>
                </c:pt>
                <c:pt idx="944">
                  <c:v>27.146999999999998</c:v>
                </c:pt>
                <c:pt idx="945">
                  <c:v>27.527000000000001</c:v>
                </c:pt>
                <c:pt idx="946">
                  <c:v>28.053000000000001</c:v>
                </c:pt>
                <c:pt idx="947">
                  <c:v>29.231000000000002</c:v>
                </c:pt>
                <c:pt idx="948">
                  <c:v>28.949000000000002</c:v>
                </c:pt>
                <c:pt idx="949">
                  <c:v>27.763000000000002</c:v>
                </c:pt>
                <c:pt idx="950">
                  <c:v>27.052</c:v>
                </c:pt>
                <c:pt idx="951">
                  <c:v>27.106999999999999</c:v>
                </c:pt>
                <c:pt idx="952">
                  <c:v>28.18</c:v>
                </c:pt>
                <c:pt idx="953">
                  <c:v>27.634</c:v>
                </c:pt>
                <c:pt idx="954">
                  <c:v>28.498000000000001</c:v>
                </c:pt>
                <c:pt idx="955">
                  <c:v>28.646000000000001</c:v>
                </c:pt>
                <c:pt idx="956">
                  <c:v>28.754000000000001</c:v>
                </c:pt>
                <c:pt idx="957">
                  <c:v>29.279</c:v>
                </c:pt>
                <c:pt idx="958">
                  <c:v>29.257999999999999</c:v>
                </c:pt>
                <c:pt idx="959">
                  <c:v>28.314</c:v>
                </c:pt>
                <c:pt idx="960">
                  <c:v>27.564</c:v>
                </c:pt>
                <c:pt idx="961">
                  <c:v>25.116</c:v>
                </c:pt>
                <c:pt idx="962">
                  <c:v>25.681999999999999</c:v>
                </c:pt>
                <c:pt idx="963">
                  <c:v>25.434000000000001</c:v>
                </c:pt>
                <c:pt idx="964">
                  <c:v>25.405999999999999</c:v>
                </c:pt>
                <c:pt idx="965">
                  <c:v>25.893999999999998</c:v>
                </c:pt>
                <c:pt idx="966">
                  <c:v>26.135000000000002</c:v>
                </c:pt>
                <c:pt idx="967">
                  <c:v>25.614999999999998</c:v>
                </c:pt>
                <c:pt idx="968">
                  <c:v>25.198</c:v>
                </c:pt>
                <c:pt idx="969">
                  <c:v>24.54</c:v>
                </c:pt>
                <c:pt idx="970">
                  <c:v>24.047000000000001</c:v>
                </c:pt>
                <c:pt idx="971">
                  <c:v>24.715</c:v>
                </c:pt>
                <c:pt idx="972">
                  <c:v>24.846</c:v>
                </c:pt>
                <c:pt idx="973">
                  <c:v>24.613</c:v>
                </c:pt>
                <c:pt idx="974">
                  <c:v>24.300999999999998</c:v>
                </c:pt>
                <c:pt idx="975">
                  <c:v>24.227</c:v>
                </c:pt>
                <c:pt idx="976">
                  <c:v>24.91</c:v>
                </c:pt>
                <c:pt idx="977">
                  <c:v>24.425999999999998</c:v>
                </c:pt>
                <c:pt idx="978">
                  <c:v>24.334</c:v>
                </c:pt>
                <c:pt idx="979">
                  <c:v>24.055</c:v>
                </c:pt>
                <c:pt idx="980">
                  <c:v>23.891999999999999</c:v>
                </c:pt>
                <c:pt idx="981">
                  <c:v>23.251000000000001</c:v>
                </c:pt>
                <c:pt idx="982">
                  <c:v>23.587</c:v>
                </c:pt>
                <c:pt idx="983">
                  <c:v>22.96</c:v>
                </c:pt>
                <c:pt idx="984">
                  <c:v>22.346</c:v>
                </c:pt>
                <c:pt idx="985">
                  <c:v>21.556000000000001</c:v>
                </c:pt>
                <c:pt idx="986">
                  <c:v>21.995000000000001</c:v>
                </c:pt>
                <c:pt idx="987">
                  <c:v>21.875</c:v>
                </c:pt>
                <c:pt idx="988">
                  <c:v>21.895</c:v>
                </c:pt>
                <c:pt idx="989">
                  <c:v>22.259</c:v>
                </c:pt>
                <c:pt idx="990">
                  <c:v>22.010999999999999</c:v>
                </c:pt>
                <c:pt idx="991">
                  <c:v>22.012</c:v>
                </c:pt>
                <c:pt idx="992">
                  <c:v>23.056000000000001</c:v>
                </c:pt>
                <c:pt idx="993">
                  <c:v>22.992000000000001</c:v>
                </c:pt>
                <c:pt idx="994">
                  <c:v>22.59</c:v>
                </c:pt>
                <c:pt idx="995">
                  <c:v>22.736999999999998</c:v>
                </c:pt>
                <c:pt idx="996">
                  <c:v>22.364000000000001</c:v>
                </c:pt>
                <c:pt idx="997">
                  <c:v>21.721</c:v>
                </c:pt>
                <c:pt idx="998">
                  <c:v>21.702000000000002</c:v>
                </c:pt>
                <c:pt idx="999">
                  <c:v>21.561</c:v>
                </c:pt>
                <c:pt idx="1000">
                  <c:v>21.64</c:v>
                </c:pt>
                <c:pt idx="1001">
                  <c:v>21.222999999999999</c:v>
                </c:pt>
                <c:pt idx="1002">
                  <c:v>21.38</c:v>
                </c:pt>
                <c:pt idx="1003">
                  <c:v>21.942</c:v>
                </c:pt>
                <c:pt idx="1004">
                  <c:v>21.457000000000001</c:v>
                </c:pt>
                <c:pt idx="1005">
                  <c:v>21.654</c:v>
                </c:pt>
                <c:pt idx="1006">
                  <c:v>21.292999999999999</c:v>
                </c:pt>
                <c:pt idx="1007">
                  <c:v>21.41</c:v>
                </c:pt>
                <c:pt idx="1008">
                  <c:v>21.305</c:v>
                </c:pt>
                <c:pt idx="1009">
                  <c:v>21.015000000000001</c:v>
                </c:pt>
                <c:pt idx="1010">
                  <c:v>20.914000000000001</c:v>
                </c:pt>
                <c:pt idx="1011">
                  <c:v>21.117999999999999</c:v>
                </c:pt>
                <c:pt idx="1012">
                  <c:v>21.161000000000001</c:v>
                </c:pt>
                <c:pt idx="1013">
                  <c:v>21.346</c:v>
                </c:pt>
                <c:pt idx="1014">
                  <c:v>21.68</c:v>
                </c:pt>
                <c:pt idx="1015">
                  <c:v>21.931000000000001</c:v>
                </c:pt>
                <c:pt idx="1016">
                  <c:v>22.327999999999999</c:v>
                </c:pt>
                <c:pt idx="1017">
                  <c:v>22.378</c:v>
                </c:pt>
                <c:pt idx="1018">
                  <c:v>21.885999999999999</c:v>
                </c:pt>
                <c:pt idx="1019">
                  <c:v>22.158999999999999</c:v>
                </c:pt>
                <c:pt idx="1020">
                  <c:v>22.15</c:v>
                </c:pt>
                <c:pt idx="1021">
                  <c:v>21.951000000000001</c:v>
                </c:pt>
                <c:pt idx="1022">
                  <c:v>21.422000000000001</c:v>
                </c:pt>
                <c:pt idx="1023">
                  <c:v>20.911999999999999</c:v>
                </c:pt>
                <c:pt idx="1024">
                  <c:v>20.648</c:v>
                </c:pt>
                <c:pt idx="1025">
                  <c:v>20.094999999999999</c:v>
                </c:pt>
                <c:pt idx="1026">
                  <c:v>20.187999999999999</c:v>
                </c:pt>
                <c:pt idx="1027">
                  <c:v>20.001999999999999</c:v>
                </c:pt>
                <c:pt idx="1028">
                  <c:v>20.451000000000001</c:v>
                </c:pt>
                <c:pt idx="1029">
                  <c:v>19.789000000000001</c:v>
                </c:pt>
                <c:pt idx="1030">
                  <c:v>20.192</c:v>
                </c:pt>
                <c:pt idx="1031">
                  <c:v>19.823</c:v>
                </c:pt>
                <c:pt idx="1032">
                  <c:v>19.876999999999999</c:v>
                </c:pt>
                <c:pt idx="1033">
                  <c:v>20.268999999999998</c:v>
                </c:pt>
                <c:pt idx="1034">
                  <c:v>19.925000000000001</c:v>
                </c:pt>
                <c:pt idx="1035">
                  <c:v>20.245000000000001</c:v>
                </c:pt>
                <c:pt idx="1036">
                  <c:v>20.398</c:v>
                </c:pt>
                <c:pt idx="1037">
                  <c:v>21.332999999999998</c:v>
                </c:pt>
                <c:pt idx="1038">
                  <c:v>21.248999999999999</c:v>
                </c:pt>
                <c:pt idx="1039">
                  <c:v>20.817</c:v>
                </c:pt>
                <c:pt idx="1040">
                  <c:v>20.786999999999999</c:v>
                </c:pt>
                <c:pt idx="1041">
                  <c:v>21.091000000000001</c:v>
                </c:pt>
                <c:pt idx="1042">
                  <c:v>20.385000000000002</c:v>
                </c:pt>
                <c:pt idx="1043">
                  <c:v>20.146999999999998</c:v>
                </c:pt>
                <c:pt idx="1044">
                  <c:v>19.893000000000001</c:v>
                </c:pt>
                <c:pt idx="1045">
                  <c:v>19.957000000000001</c:v>
                </c:pt>
                <c:pt idx="1046">
                  <c:v>19.55</c:v>
                </c:pt>
                <c:pt idx="1047">
                  <c:v>19.425000000000001</c:v>
                </c:pt>
                <c:pt idx="1048">
                  <c:v>19.010000000000002</c:v>
                </c:pt>
                <c:pt idx="1049">
                  <c:v>18.940000000000001</c:v>
                </c:pt>
                <c:pt idx="1050">
                  <c:v>18.765000000000001</c:v>
                </c:pt>
                <c:pt idx="1051">
                  <c:v>18.565999999999999</c:v>
                </c:pt>
                <c:pt idx="1052">
                  <c:v>18.481999999999999</c:v>
                </c:pt>
                <c:pt idx="1053">
                  <c:v>18.029</c:v>
                </c:pt>
                <c:pt idx="1054">
                  <c:v>17.917000000000002</c:v>
                </c:pt>
                <c:pt idx="1055">
                  <c:v>17.683</c:v>
                </c:pt>
                <c:pt idx="1056">
                  <c:v>18.010999999999999</c:v>
                </c:pt>
                <c:pt idx="1057">
                  <c:v>17.812000000000001</c:v>
                </c:pt>
                <c:pt idx="1058">
                  <c:v>18.117000000000001</c:v>
                </c:pt>
                <c:pt idx="1059">
                  <c:v>17.631</c:v>
                </c:pt>
                <c:pt idx="1060">
                  <c:v>17.952999999999999</c:v>
                </c:pt>
                <c:pt idx="1061">
                  <c:v>18.404</c:v>
                </c:pt>
                <c:pt idx="1062">
                  <c:v>17.934999999999999</c:v>
                </c:pt>
                <c:pt idx="1063">
                  <c:v>17.713000000000001</c:v>
                </c:pt>
                <c:pt idx="1064">
                  <c:v>17.483000000000001</c:v>
                </c:pt>
                <c:pt idx="1065">
                  <c:v>17.504999999999999</c:v>
                </c:pt>
                <c:pt idx="1066">
                  <c:v>17.998000000000001</c:v>
                </c:pt>
                <c:pt idx="1067">
                  <c:v>18.533999999999999</c:v>
                </c:pt>
                <c:pt idx="1068">
                  <c:v>18.169</c:v>
                </c:pt>
                <c:pt idx="1069">
                  <c:v>18.295000000000002</c:v>
                </c:pt>
                <c:pt idx="1070">
                  <c:v>18.029</c:v>
                </c:pt>
                <c:pt idx="1071">
                  <c:v>17.684000000000001</c:v>
                </c:pt>
                <c:pt idx="1072">
                  <c:v>17.707000000000001</c:v>
                </c:pt>
                <c:pt idx="1073">
                  <c:v>17.559999999999999</c:v>
                </c:pt>
                <c:pt idx="1074">
                  <c:v>17.417000000000002</c:v>
                </c:pt>
                <c:pt idx="1075">
                  <c:v>17.047000000000001</c:v>
                </c:pt>
                <c:pt idx="1076">
                  <c:v>16.565000000000001</c:v>
                </c:pt>
                <c:pt idx="1077">
                  <c:v>16.353999999999999</c:v>
                </c:pt>
                <c:pt idx="1078">
                  <c:v>15.891</c:v>
                </c:pt>
                <c:pt idx="1079">
                  <c:v>15.627000000000001</c:v>
                </c:pt>
                <c:pt idx="1080">
                  <c:v>15.618</c:v>
                </c:pt>
                <c:pt idx="1081">
                  <c:v>15.92</c:v>
                </c:pt>
                <c:pt idx="1082">
                  <c:v>15.481999999999999</c:v>
                </c:pt>
                <c:pt idx="1083">
                  <c:v>15.394</c:v>
                </c:pt>
                <c:pt idx="1084">
                  <c:v>15.065</c:v>
                </c:pt>
                <c:pt idx="1085">
                  <c:v>15.263999999999999</c:v>
                </c:pt>
                <c:pt idx="1086">
                  <c:v>15.67</c:v>
                </c:pt>
                <c:pt idx="1087">
                  <c:v>15.263</c:v>
                </c:pt>
                <c:pt idx="1088">
                  <c:v>16.417000000000002</c:v>
                </c:pt>
                <c:pt idx="1089">
                  <c:v>16.279</c:v>
                </c:pt>
                <c:pt idx="1090">
                  <c:v>16.023</c:v>
                </c:pt>
                <c:pt idx="1091">
                  <c:v>16.608000000000001</c:v>
                </c:pt>
                <c:pt idx="1092">
                  <c:v>17.306000000000001</c:v>
                </c:pt>
                <c:pt idx="1093">
                  <c:v>18.855</c:v>
                </c:pt>
                <c:pt idx="1094">
                  <c:v>18.611000000000001</c:v>
                </c:pt>
                <c:pt idx="1095">
                  <c:v>19.446000000000002</c:v>
                </c:pt>
                <c:pt idx="1096">
                  <c:v>18.986000000000001</c:v>
                </c:pt>
                <c:pt idx="1097">
                  <c:v>19.085000000000001</c:v>
                </c:pt>
                <c:pt idx="1098">
                  <c:v>19.056000000000001</c:v>
                </c:pt>
                <c:pt idx="1099">
                  <c:v>18.462</c:v>
                </c:pt>
                <c:pt idx="1100">
                  <c:v>18.225000000000001</c:v>
                </c:pt>
                <c:pt idx="1101">
                  <c:v>18.664999999999999</c:v>
                </c:pt>
                <c:pt idx="1102">
                  <c:v>18.163</c:v>
                </c:pt>
                <c:pt idx="1103">
                  <c:v>18.274999999999999</c:v>
                </c:pt>
                <c:pt idx="1104">
                  <c:v>18.204000000000001</c:v>
                </c:pt>
                <c:pt idx="1105">
                  <c:v>18.388000000000002</c:v>
                </c:pt>
                <c:pt idx="1106">
                  <c:v>18.151</c:v>
                </c:pt>
                <c:pt idx="1107">
                  <c:v>18.12</c:v>
                </c:pt>
                <c:pt idx="1108">
                  <c:v>20.515000000000001</c:v>
                </c:pt>
                <c:pt idx="1109">
                  <c:v>19.984000000000002</c:v>
                </c:pt>
                <c:pt idx="1110">
                  <c:v>19.731000000000002</c:v>
                </c:pt>
                <c:pt idx="1111">
                  <c:v>20.49</c:v>
                </c:pt>
                <c:pt idx="1112">
                  <c:v>20.46</c:v>
                </c:pt>
                <c:pt idx="1113">
                  <c:v>20.513000000000002</c:v>
                </c:pt>
                <c:pt idx="1114">
                  <c:v>20.491</c:v>
                </c:pt>
                <c:pt idx="1115">
                  <c:v>20.341000000000001</c:v>
                </c:pt>
                <c:pt idx="1116">
                  <c:v>19.936</c:v>
                </c:pt>
                <c:pt idx="1117">
                  <c:v>19.888000000000002</c:v>
                </c:pt>
                <c:pt idx="1118">
                  <c:v>20.128</c:v>
                </c:pt>
                <c:pt idx="1119">
                  <c:v>20.471</c:v>
                </c:pt>
                <c:pt idx="1120">
                  <c:v>20.129000000000001</c:v>
                </c:pt>
                <c:pt idx="1121">
                  <c:v>19.684999999999999</c:v>
                </c:pt>
                <c:pt idx="1122">
                  <c:v>19.649000000000001</c:v>
                </c:pt>
                <c:pt idx="1123">
                  <c:v>19.521000000000001</c:v>
                </c:pt>
                <c:pt idx="1124">
                  <c:v>19.736999999999998</c:v>
                </c:pt>
                <c:pt idx="1125">
                  <c:v>19.690999999999999</c:v>
                </c:pt>
                <c:pt idx="1126">
                  <c:v>19.398</c:v>
                </c:pt>
                <c:pt idx="1127">
                  <c:v>19.247</c:v>
                </c:pt>
                <c:pt idx="1128">
                  <c:v>19.731999999999999</c:v>
                </c:pt>
                <c:pt idx="1129">
                  <c:v>19.64</c:v>
                </c:pt>
                <c:pt idx="1130">
                  <c:v>19.324000000000002</c:v>
                </c:pt>
                <c:pt idx="1131">
                  <c:v>19.411999999999999</c:v>
                </c:pt>
                <c:pt idx="1132">
                  <c:v>19.204999999999998</c:v>
                </c:pt>
                <c:pt idx="1133">
                  <c:v>19.16</c:v>
                </c:pt>
                <c:pt idx="1134">
                  <c:v>19.158000000000001</c:v>
                </c:pt>
                <c:pt idx="1135">
                  <c:v>19.015000000000001</c:v>
                </c:pt>
                <c:pt idx="1136">
                  <c:v>19.669</c:v>
                </c:pt>
                <c:pt idx="1137">
                  <c:v>20.077000000000002</c:v>
                </c:pt>
                <c:pt idx="1138">
                  <c:v>19.367999999999999</c:v>
                </c:pt>
                <c:pt idx="1139">
                  <c:v>19.303999999999998</c:v>
                </c:pt>
                <c:pt idx="1140">
                  <c:v>19.419</c:v>
                </c:pt>
                <c:pt idx="1141">
                  <c:v>19.21</c:v>
                </c:pt>
                <c:pt idx="1142">
                  <c:v>19.247</c:v>
                </c:pt>
                <c:pt idx="1143">
                  <c:v>18.896000000000001</c:v>
                </c:pt>
                <c:pt idx="1144">
                  <c:v>18.670999999999999</c:v>
                </c:pt>
                <c:pt idx="1145">
                  <c:v>18.873000000000001</c:v>
                </c:pt>
                <c:pt idx="1146">
                  <c:v>19.195</c:v>
                </c:pt>
                <c:pt idx="1147">
                  <c:v>19.318999999999999</c:v>
                </c:pt>
                <c:pt idx="1148">
                  <c:v>19.018999999999998</c:v>
                </c:pt>
                <c:pt idx="1149">
                  <c:v>19.068999999999999</c:v>
                </c:pt>
                <c:pt idx="1150">
                  <c:v>18.939</c:v>
                </c:pt>
                <c:pt idx="1151">
                  <c:v>18.827000000000002</c:v>
                </c:pt>
                <c:pt idx="1152">
                  <c:v>18.791</c:v>
                </c:pt>
                <c:pt idx="1153">
                  <c:v>18.399999999999999</c:v>
                </c:pt>
                <c:pt idx="1154">
                  <c:v>18.234999999999999</c:v>
                </c:pt>
                <c:pt idx="1155">
                  <c:v>18.321999999999999</c:v>
                </c:pt>
                <c:pt idx="1156">
                  <c:v>18.548999999999999</c:v>
                </c:pt>
                <c:pt idx="1157">
                  <c:v>18.847999999999999</c:v>
                </c:pt>
                <c:pt idx="1158">
                  <c:v>18.905000000000001</c:v>
                </c:pt>
                <c:pt idx="1159">
                  <c:v>19.529</c:v>
                </c:pt>
                <c:pt idx="1160">
                  <c:v>20.587</c:v>
                </c:pt>
                <c:pt idx="1161">
                  <c:v>21.172999999999998</c:v>
                </c:pt>
                <c:pt idx="1162">
                  <c:v>20.648</c:v>
                </c:pt>
                <c:pt idx="1163">
                  <c:v>19.561</c:v>
                </c:pt>
                <c:pt idx="1164">
                  <c:v>19.544</c:v>
                </c:pt>
                <c:pt idx="1165">
                  <c:v>19.53</c:v>
                </c:pt>
                <c:pt idx="1166">
                  <c:v>19.911999999999999</c:v>
                </c:pt>
                <c:pt idx="1167">
                  <c:v>19.62</c:v>
                </c:pt>
                <c:pt idx="1168">
                  <c:v>19.937999999999999</c:v>
                </c:pt>
                <c:pt idx="1169">
                  <c:v>19.443000000000001</c:v>
                </c:pt>
                <c:pt idx="1170">
                  <c:v>19.369</c:v>
                </c:pt>
                <c:pt idx="1171">
                  <c:v>19.207999999999998</c:v>
                </c:pt>
                <c:pt idx="1172">
                  <c:v>18.888000000000002</c:v>
                </c:pt>
                <c:pt idx="1173">
                  <c:v>18.766999999999999</c:v>
                </c:pt>
                <c:pt idx="1174">
                  <c:v>19.018000000000001</c:v>
                </c:pt>
                <c:pt idx="1175">
                  <c:v>19.548999999999999</c:v>
                </c:pt>
                <c:pt idx="1176">
                  <c:v>18.984999999999999</c:v>
                </c:pt>
                <c:pt idx="1177">
                  <c:v>18.577000000000002</c:v>
                </c:pt>
                <c:pt idx="1178">
                  <c:v>18.452000000000002</c:v>
                </c:pt>
                <c:pt idx="1179">
                  <c:v>18.452000000000002</c:v>
                </c:pt>
                <c:pt idx="1180">
                  <c:v>18.411999999999999</c:v>
                </c:pt>
                <c:pt idx="1181">
                  <c:v>18.350999999999999</c:v>
                </c:pt>
                <c:pt idx="1182">
                  <c:v>17.905999999999999</c:v>
                </c:pt>
                <c:pt idx="1183">
                  <c:v>18.28</c:v>
                </c:pt>
                <c:pt idx="1184">
                  <c:v>18.186</c:v>
                </c:pt>
                <c:pt idx="1185">
                  <c:v>18.02</c:v>
                </c:pt>
                <c:pt idx="1186">
                  <c:v>18.03</c:v>
                </c:pt>
                <c:pt idx="1187">
                  <c:v>17.875</c:v>
                </c:pt>
                <c:pt idx="1188">
                  <c:v>18</c:v>
                </c:pt>
                <c:pt idx="1189">
                  <c:v>18.13</c:v>
                </c:pt>
                <c:pt idx="1190">
                  <c:v>18.013999999999999</c:v>
                </c:pt>
                <c:pt idx="1191">
                  <c:v>17.899000000000001</c:v>
                </c:pt>
                <c:pt idx="1192">
                  <c:v>17.872</c:v>
                </c:pt>
                <c:pt idx="1193">
                  <c:v>17.675000000000001</c:v>
                </c:pt>
                <c:pt idx="1194">
                  <c:v>17.707999999999998</c:v>
                </c:pt>
                <c:pt idx="1195">
                  <c:v>17.954999999999998</c:v>
                </c:pt>
                <c:pt idx="1196">
                  <c:v>17.715</c:v>
                </c:pt>
                <c:pt idx="1197">
                  <c:v>17.103000000000002</c:v>
                </c:pt>
                <c:pt idx="1198">
                  <c:v>17.042999999999999</c:v>
                </c:pt>
                <c:pt idx="1199">
                  <c:v>16.954000000000001</c:v>
                </c:pt>
                <c:pt idx="1200">
                  <c:v>17.312999999999999</c:v>
                </c:pt>
                <c:pt idx="1201">
                  <c:v>17.440000000000001</c:v>
                </c:pt>
                <c:pt idx="1202">
                  <c:v>17.463000000000001</c:v>
                </c:pt>
                <c:pt idx="1203">
                  <c:v>19.402000000000001</c:v>
                </c:pt>
                <c:pt idx="1204">
                  <c:v>19.341000000000001</c:v>
                </c:pt>
                <c:pt idx="1205">
                  <c:v>19.042999999999999</c:v>
                </c:pt>
                <c:pt idx="1206">
                  <c:v>18.960999999999999</c:v>
                </c:pt>
                <c:pt idx="1207">
                  <c:v>20.167000000000002</c:v>
                </c:pt>
                <c:pt idx="1208">
                  <c:v>19.088999999999999</c:v>
                </c:pt>
                <c:pt idx="1209">
                  <c:v>18.72</c:v>
                </c:pt>
                <c:pt idx="1210">
                  <c:v>18.841000000000001</c:v>
                </c:pt>
                <c:pt idx="1211">
                  <c:v>19.32</c:v>
                </c:pt>
                <c:pt idx="1212">
                  <c:v>18.884</c:v>
                </c:pt>
                <c:pt idx="1213">
                  <c:v>18.763999999999999</c:v>
                </c:pt>
                <c:pt idx="1214">
                  <c:v>18.498999999999999</c:v>
                </c:pt>
                <c:pt idx="1215">
                  <c:v>18.673999999999999</c:v>
                </c:pt>
                <c:pt idx="1216">
                  <c:v>18.541</c:v>
                </c:pt>
                <c:pt idx="1217">
                  <c:v>17.738</c:v>
                </c:pt>
                <c:pt idx="1218">
                  <c:v>17.86</c:v>
                </c:pt>
                <c:pt idx="1219">
                  <c:v>17.207000000000001</c:v>
                </c:pt>
                <c:pt idx="1220">
                  <c:v>17.015000000000001</c:v>
                </c:pt>
                <c:pt idx="1221">
                  <c:v>16.998999999999999</c:v>
                </c:pt>
                <c:pt idx="1222">
                  <c:v>16.89</c:v>
                </c:pt>
                <c:pt idx="1223">
                  <c:v>16.960999999999999</c:v>
                </c:pt>
                <c:pt idx="1224">
                  <c:v>16.989999999999998</c:v>
                </c:pt>
                <c:pt idx="1225">
                  <c:v>17.228000000000002</c:v>
                </c:pt>
                <c:pt idx="1226">
                  <c:v>17.603999999999999</c:v>
                </c:pt>
                <c:pt idx="1227">
                  <c:v>17.422000000000001</c:v>
                </c:pt>
                <c:pt idx="1228">
                  <c:v>17.350999999999999</c:v>
                </c:pt>
                <c:pt idx="1229">
                  <c:v>17.297999999999998</c:v>
                </c:pt>
                <c:pt idx="1230">
                  <c:v>17.204000000000001</c:v>
                </c:pt>
                <c:pt idx="1231">
                  <c:v>17.053000000000001</c:v>
                </c:pt>
                <c:pt idx="1232">
                  <c:v>16.818999999999999</c:v>
                </c:pt>
                <c:pt idx="1233">
                  <c:v>16.699000000000002</c:v>
                </c:pt>
                <c:pt idx="1234">
                  <c:v>16.466000000000001</c:v>
                </c:pt>
                <c:pt idx="1235">
                  <c:v>16.567</c:v>
                </c:pt>
                <c:pt idx="1236">
                  <c:v>16.241</c:v>
                </c:pt>
                <c:pt idx="1237">
                  <c:v>16.004999999999999</c:v>
                </c:pt>
                <c:pt idx="1238">
                  <c:v>15.911</c:v>
                </c:pt>
                <c:pt idx="1239">
                  <c:v>15.763999999999999</c:v>
                </c:pt>
                <c:pt idx="1240">
                  <c:v>15.497999999999999</c:v>
                </c:pt>
                <c:pt idx="1241">
                  <c:v>15.64</c:v>
                </c:pt>
                <c:pt idx="1242">
                  <c:v>15.884</c:v>
                </c:pt>
                <c:pt idx="1243">
                  <c:v>16.059000000000001</c:v>
                </c:pt>
                <c:pt idx="1244">
                  <c:v>15.669</c:v>
                </c:pt>
                <c:pt idx="1245">
                  <c:v>15.505000000000001</c:v>
                </c:pt>
                <c:pt idx="1246">
                  <c:v>15.329000000000001</c:v>
                </c:pt>
                <c:pt idx="1247">
                  <c:v>15.222</c:v>
                </c:pt>
                <c:pt idx="1248">
                  <c:v>14.973000000000001</c:v>
                </c:pt>
                <c:pt idx="1249">
                  <c:v>15.034000000000001</c:v>
                </c:pt>
                <c:pt idx="1250">
                  <c:v>15.276</c:v>
                </c:pt>
                <c:pt idx="1251">
                  <c:v>15.397</c:v>
                </c:pt>
                <c:pt idx="1252">
                  <c:v>15.083</c:v>
                </c:pt>
                <c:pt idx="1253">
                  <c:v>15.106</c:v>
                </c:pt>
                <c:pt idx="1254">
                  <c:v>15.250999999999999</c:v>
                </c:pt>
                <c:pt idx="1255">
                  <c:v>15.343</c:v>
                </c:pt>
                <c:pt idx="1256">
                  <c:v>15.651</c:v>
                </c:pt>
                <c:pt idx="1257">
                  <c:v>15.718</c:v>
                </c:pt>
                <c:pt idx="1258">
                  <c:v>15.382</c:v>
                </c:pt>
                <c:pt idx="1259">
                  <c:v>15.541</c:v>
                </c:pt>
                <c:pt idx="1260">
                  <c:v>15.259</c:v>
                </c:pt>
                <c:pt idx="1261">
                  <c:v>14.894</c:v>
                </c:pt>
                <c:pt idx="1262">
                  <c:v>14.502000000000001</c:v>
                </c:pt>
                <c:pt idx="1263">
                  <c:v>14.409000000000001</c:v>
                </c:pt>
                <c:pt idx="1264">
                  <c:v>14.422000000000001</c:v>
                </c:pt>
                <c:pt idx="1265">
                  <c:v>14.082000000000001</c:v>
                </c:pt>
                <c:pt idx="1266">
                  <c:v>13.801</c:v>
                </c:pt>
                <c:pt idx="1267">
                  <c:v>13.558</c:v>
                </c:pt>
                <c:pt idx="1268">
                  <c:v>13.428000000000001</c:v>
                </c:pt>
                <c:pt idx="1269">
                  <c:v>13.095000000000001</c:v>
                </c:pt>
                <c:pt idx="1270">
                  <c:v>13.672000000000001</c:v>
                </c:pt>
                <c:pt idx="1271">
                  <c:v>12.914</c:v>
                </c:pt>
                <c:pt idx="1272">
                  <c:v>13.026</c:v>
                </c:pt>
                <c:pt idx="1273">
                  <c:v>13.436999999999999</c:v>
                </c:pt>
                <c:pt idx="1274">
                  <c:v>13.744999999999999</c:v>
                </c:pt>
                <c:pt idx="1275">
                  <c:v>13.893000000000001</c:v>
                </c:pt>
                <c:pt idx="1276">
                  <c:v>13.568</c:v>
                </c:pt>
                <c:pt idx="1277">
                  <c:v>12.581</c:v>
                </c:pt>
                <c:pt idx="1278">
                  <c:v>12.151999999999999</c:v>
                </c:pt>
                <c:pt idx="1279">
                  <c:v>12.154</c:v>
                </c:pt>
                <c:pt idx="1280">
                  <c:v>11.714</c:v>
                </c:pt>
                <c:pt idx="1281">
                  <c:v>11.46</c:v>
                </c:pt>
                <c:pt idx="1282">
                  <c:v>11.45</c:v>
                </c:pt>
                <c:pt idx="1283">
                  <c:v>12.593</c:v>
                </c:pt>
                <c:pt idx="1284">
                  <c:v>12.073</c:v>
                </c:pt>
                <c:pt idx="1285">
                  <c:v>11.725</c:v>
                </c:pt>
                <c:pt idx="1286">
                  <c:v>11.741</c:v>
                </c:pt>
                <c:pt idx="1287">
                  <c:v>11.904</c:v>
                </c:pt>
                <c:pt idx="1288">
                  <c:v>11.657999999999999</c:v>
                </c:pt>
                <c:pt idx="1289">
                  <c:v>11.741</c:v>
                </c:pt>
                <c:pt idx="1290">
                  <c:v>11.093</c:v>
                </c:pt>
                <c:pt idx="1291">
                  <c:v>11.007</c:v>
                </c:pt>
                <c:pt idx="1292">
                  <c:v>10.872</c:v>
                </c:pt>
                <c:pt idx="1293">
                  <c:v>10.815</c:v>
                </c:pt>
                <c:pt idx="1294">
                  <c:v>10.545</c:v>
                </c:pt>
                <c:pt idx="1295">
                  <c:v>10.718999999999999</c:v>
                </c:pt>
                <c:pt idx="1296">
                  <c:v>10.411</c:v>
                </c:pt>
                <c:pt idx="1297">
                  <c:v>10.337999999999999</c:v>
                </c:pt>
                <c:pt idx="1298">
                  <c:v>10.388</c:v>
                </c:pt>
                <c:pt idx="1299">
                  <c:v>10.430999999999999</c:v>
                </c:pt>
                <c:pt idx="1300">
                  <c:v>10.824999999999999</c:v>
                </c:pt>
                <c:pt idx="1301">
                  <c:v>10.244999999999999</c:v>
                </c:pt>
                <c:pt idx="1302">
                  <c:v>10.034000000000001</c:v>
                </c:pt>
                <c:pt idx="1303">
                  <c:v>10.224</c:v>
                </c:pt>
                <c:pt idx="1304">
                  <c:v>9.8879999999999999</c:v>
                </c:pt>
                <c:pt idx="1305">
                  <c:v>10.041</c:v>
                </c:pt>
                <c:pt idx="1306">
                  <c:v>9.9640000000000004</c:v>
                </c:pt>
                <c:pt idx="1307">
                  <c:v>9.9019999999999992</c:v>
                </c:pt>
                <c:pt idx="1308">
                  <c:v>9.8439999999999994</c:v>
                </c:pt>
                <c:pt idx="1309">
                  <c:v>9.5709999999999997</c:v>
                </c:pt>
                <c:pt idx="1310">
                  <c:v>9.516</c:v>
                </c:pt>
                <c:pt idx="1311">
                  <c:v>9.73</c:v>
                </c:pt>
                <c:pt idx="1312">
                  <c:v>9.9039999999999999</c:v>
                </c:pt>
                <c:pt idx="1313">
                  <c:v>10.002000000000001</c:v>
                </c:pt>
                <c:pt idx="1314">
                  <c:v>10.518000000000001</c:v>
                </c:pt>
                <c:pt idx="1315">
                  <c:v>10.438000000000001</c:v>
                </c:pt>
                <c:pt idx="1316">
                  <c:v>10.336</c:v>
                </c:pt>
                <c:pt idx="1317">
                  <c:v>10.195</c:v>
                </c:pt>
                <c:pt idx="1318">
                  <c:v>10.050000000000001</c:v>
                </c:pt>
                <c:pt idx="1319">
                  <c:v>9.5109999999999992</c:v>
                </c:pt>
                <c:pt idx="1320">
                  <c:v>9.3819999999999997</c:v>
                </c:pt>
                <c:pt idx="1321">
                  <c:v>9.4860000000000007</c:v>
                </c:pt>
                <c:pt idx="1322">
                  <c:v>9.2059999999999995</c:v>
                </c:pt>
                <c:pt idx="1323">
                  <c:v>9.6679999999999993</c:v>
                </c:pt>
                <c:pt idx="1324">
                  <c:v>9.7279999999999998</c:v>
                </c:pt>
                <c:pt idx="1325">
                  <c:v>9.9979999999999993</c:v>
                </c:pt>
                <c:pt idx="1326">
                  <c:v>9.8849999999999998</c:v>
                </c:pt>
                <c:pt idx="1327">
                  <c:v>9.86</c:v>
                </c:pt>
                <c:pt idx="1328">
                  <c:v>9.6280000000000001</c:v>
                </c:pt>
                <c:pt idx="1329">
                  <c:v>9.5</c:v>
                </c:pt>
                <c:pt idx="1330">
                  <c:v>9.7870000000000008</c:v>
                </c:pt>
                <c:pt idx="1331">
                  <c:v>9.9949999999999992</c:v>
                </c:pt>
                <c:pt idx="1332">
                  <c:v>9.8450000000000006</c:v>
                </c:pt>
                <c:pt idx="1333">
                  <c:v>9.8539999999999992</c:v>
                </c:pt>
                <c:pt idx="1334">
                  <c:v>9.4130000000000003</c:v>
                </c:pt>
                <c:pt idx="1335">
                  <c:v>9.1310000000000002</c:v>
                </c:pt>
                <c:pt idx="1336">
                  <c:v>8.9689999999999994</c:v>
                </c:pt>
                <c:pt idx="1337">
                  <c:v>9.1460000000000008</c:v>
                </c:pt>
                <c:pt idx="1338">
                  <c:v>8.9719999999999995</c:v>
                </c:pt>
                <c:pt idx="1339">
                  <c:v>8.5730000000000004</c:v>
                </c:pt>
                <c:pt idx="1340">
                  <c:v>8.6910000000000007</c:v>
                </c:pt>
                <c:pt idx="1341">
                  <c:v>8.6549999999999994</c:v>
                </c:pt>
                <c:pt idx="1342">
                  <c:v>8.6010000000000009</c:v>
                </c:pt>
                <c:pt idx="1343">
                  <c:v>8.2319999999999993</c:v>
                </c:pt>
                <c:pt idx="1344">
                  <c:v>7.9210000000000003</c:v>
                </c:pt>
                <c:pt idx="1345">
                  <c:v>9.3190000000000008</c:v>
                </c:pt>
                <c:pt idx="1346">
                  <c:v>9.2750000000000004</c:v>
                </c:pt>
                <c:pt idx="1347">
                  <c:v>9.5069999999999997</c:v>
                </c:pt>
                <c:pt idx="1348">
                  <c:v>9.5909999999999993</c:v>
                </c:pt>
                <c:pt idx="1349">
                  <c:v>10.074</c:v>
                </c:pt>
                <c:pt idx="1350">
                  <c:v>10.106999999999999</c:v>
                </c:pt>
                <c:pt idx="1351">
                  <c:v>9.9939999999999998</c:v>
                </c:pt>
                <c:pt idx="1352">
                  <c:v>10.081</c:v>
                </c:pt>
                <c:pt idx="1353">
                  <c:v>9.734</c:v>
                </c:pt>
                <c:pt idx="1354">
                  <c:v>9.4420000000000002</c:v>
                </c:pt>
                <c:pt idx="1355">
                  <c:v>9.7620000000000005</c:v>
                </c:pt>
                <c:pt idx="1356">
                  <c:v>10.067</c:v>
                </c:pt>
                <c:pt idx="1357">
                  <c:v>9.8849999999999998</c:v>
                </c:pt>
                <c:pt idx="1358">
                  <c:v>9.5879999999999992</c:v>
                </c:pt>
                <c:pt idx="1359">
                  <c:v>9.4610000000000003</c:v>
                </c:pt>
                <c:pt idx="1360">
                  <c:v>9.2420000000000009</c:v>
                </c:pt>
                <c:pt idx="1361">
                  <c:v>8.9939999999999998</c:v>
                </c:pt>
                <c:pt idx="1362">
                  <c:v>8.98</c:v>
                </c:pt>
                <c:pt idx="1363">
                  <c:v>9.0760000000000005</c:v>
                </c:pt>
                <c:pt idx="1364">
                  <c:v>8.9930000000000003</c:v>
                </c:pt>
                <c:pt idx="1365">
                  <c:v>11.496</c:v>
                </c:pt>
                <c:pt idx="1366">
                  <c:v>11.285</c:v>
                </c:pt>
                <c:pt idx="1367">
                  <c:v>11.314</c:v>
                </c:pt>
                <c:pt idx="1368">
                  <c:v>11.457000000000001</c:v>
                </c:pt>
                <c:pt idx="1369">
                  <c:v>11.561999999999999</c:v>
                </c:pt>
                <c:pt idx="1370">
                  <c:v>11.718999999999999</c:v>
                </c:pt>
                <c:pt idx="1371">
                  <c:v>11.824999999999999</c:v>
                </c:pt>
                <c:pt idx="1372">
                  <c:v>11.802</c:v>
                </c:pt>
                <c:pt idx="1373">
                  <c:v>11.523999999999999</c:v>
                </c:pt>
                <c:pt idx="1374">
                  <c:v>11.305999999999999</c:v>
                </c:pt>
                <c:pt idx="1375">
                  <c:v>11.464</c:v>
                </c:pt>
                <c:pt idx="1376">
                  <c:v>11.499000000000001</c:v>
                </c:pt>
                <c:pt idx="1377">
                  <c:v>11.486000000000001</c:v>
                </c:pt>
                <c:pt idx="1378">
                  <c:v>11.308</c:v>
                </c:pt>
                <c:pt idx="1379">
                  <c:v>11.257</c:v>
                </c:pt>
                <c:pt idx="1380">
                  <c:v>10.733000000000001</c:v>
                </c:pt>
                <c:pt idx="1381">
                  <c:v>10.638999999999999</c:v>
                </c:pt>
                <c:pt idx="1382">
                  <c:v>11.007</c:v>
                </c:pt>
                <c:pt idx="1383">
                  <c:v>10.926</c:v>
                </c:pt>
                <c:pt idx="1384">
                  <c:v>10.708</c:v>
                </c:pt>
                <c:pt idx="1385">
                  <c:v>10.487</c:v>
                </c:pt>
                <c:pt idx="1386">
                  <c:v>11.576000000000001</c:v>
                </c:pt>
                <c:pt idx="1387">
                  <c:v>11.41</c:v>
                </c:pt>
                <c:pt idx="1388">
                  <c:v>11.709</c:v>
                </c:pt>
                <c:pt idx="1389">
                  <c:v>11.675000000000001</c:v>
                </c:pt>
                <c:pt idx="1390">
                  <c:v>11.734999999999999</c:v>
                </c:pt>
                <c:pt idx="1391">
                  <c:v>12.175000000000001</c:v>
                </c:pt>
                <c:pt idx="1392">
                  <c:v>11.863</c:v>
                </c:pt>
                <c:pt idx="1393">
                  <c:v>11.606999999999999</c:v>
                </c:pt>
                <c:pt idx="1394">
                  <c:v>11.698</c:v>
                </c:pt>
                <c:pt idx="1395">
                  <c:v>11.593</c:v>
                </c:pt>
                <c:pt idx="1396">
                  <c:v>11.567</c:v>
                </c:pt>
                <c:pt idx="1397">
                  <c:v>11.41</c:v>
                </c:pt>
                <c:pt idx="1398">
                  <c:v>11.62</c:v>
                </c:pt>
                <c:pt idx="1399">
                  <c:v>11.657</c:v>
                </c:pt>
                <c:pt idx="1400">
                  <c:v>11.94</c:v>
                </c:pt>
                <c:pt idx="1401">
                  <c:v>12.134</c:v>
                </c:pt>
                <c:pt idx="1402">
                  <c:v>12.090999999999999</c:v>
                </c:pt>
                <c:pt idx="1403">
                  <c:v>12.348000000000001</c:v>
                </c:pt>
                <c:pt idx="1404">
                  <c:v>12.185</c:v>
                </c:pt>
                <c:pt idx="1405">
                  <c:v>11.972</c:v>
                </c:pt>
                <c:pt idx="1406">
                  <c:v>12.005000000000001</c:v>
                </c:pt>
                <c:pt idx="1407">
                  <c:v>12.231999999999999</c:v>
                </c:pt>
                <c:pt idx="1408">
                  <c:v>12.563000000000001</c:v>
                </c:pt>
                <c:pt idx="1409">
                  <c:v>12.45</c:v>
                </c:pt>
                <c:pt idx="1410">
                  <c:v>12.613</c:v>
                </c:pt>
                <c:pt idx="1411">
                  <c:v>12.786</c:v>
                </c:pt>
                <c:pt idx="1412">
                  <c:v>13.118</c:v>
                </c:pt>
                <c:pt idx="1413">
                  <c:v>13.260999999999999</c:v>
                </c:pt>
                <c:pt idx="1414">
                  <c:v>13.215</c:v>
                </c:pt>
                <c:pt idx="1415">
                  <c:v>13.16</c:v>
                </c:pt>
                <c:pt idx="1416">
                  <c:v>13.037000000000001</c:v>
                </c:pt>
                <c:pt idx="1417">
                  <c:v>13.12</c:v>
                </c:pt>
                <c:pt idx="1418">
                  <c:v>12.954000000000001</c:v>
                </c:pt>
                <c:pt idx="1419">
                  <c:v>12.885999999999999</c:v>
                </c:pt>
                <c:pt idx="1420">
                  <c:v>12.718999999999999</c:v>
                </c:pt>
                <c:pt idx="1421">
                  <c:v>12.727</c:v>
                </c:pt>
                <c:pt idx="1422">
                  <c:v>12.188000000000001</c:v>
                </c:pt>
                <c:pt idx="1423">
                  <c:v>12.28</c:v>
                </c:pt>
                <c:pt idx="1424">
                  <c:v>12.289</c:v>
                </c:pt>
                <c:pt idx="1425">
                  <c:v>12.311</c:v>
                </c:pt>
                <c:pt idx="1426">
                  <c:v>12.172000000000001</c:v>
                </c:pt>
                <c:pt idx="1427">
                  <c:v>11.868</c:v>
                </c:pt>
                <c:pt idx="1428">
                  <c:v>12.097</c:v>
                </c:pt>
                <c:pt idx="1429">
                  <c:v>12.226000000000001</c:v>
                </c:pt>
                <c:pt idx="1430">
                  <c:v>12.021000000000001</c:v>
                </c:pt>
                <c:pt idx="1431">
                  <c:v>12.037000000000001</c:v>
                </c:pt>
                <c:pt idx="1432">
                  <c:v>12.282999999999999</c:v>
                </c:pt>
                <c:pt idx="1433">
                  <c:v>12.51</c:v>
                </c:pt>
                <c:pt idx="1434">
                  <c:v>12.708</c:v>
                </c:pt>
                <c:pt idx="1435">
                  <c:v>12.885999999999999</c:v>
                </c:pt>
                <c:pt idx="1436">
                  <c:v>12.757</c:v>
                </c:pt>
                <c:pt idx="1437">
                  <c:v>12.728</c:v>
                </c:pt>
                <c:pt idx="1438">
                  <c:v>12.865</c:v>
                </c:pt>
                <c:pt idx="1439">
                  <c:v>12.776999999999999</c:v>
                </c:pt>
                <c:pt idx="1440">
                  <c:v>12.86</c:v>
                </c:pt>
                <c:pt idx="1441">
                  <c:v>13.173</c:v>
                </c:pt>
                <c:pt idx="1442">
                  <c:v>13.135</c:v>
                </c:pt>
                <c:pt idx="1443">
                  <c:v>13.318</c:v>
                </c:pt>
                <c:pt idx="1444">
                  <c:v>13.385999999999999</c:v>
                </c:pt>
                <c:pt idx="1445">
                  <c:v>13.336</c:v>
                </c:pt>
                <c:pt idx="1446">
                  <c:v>13.071999999999999</c:v>
                </c:pt>
                <c:pt idx="1447">
                  <c:v>13.486000000000001</c:v>
                </c:pt>
                <c:pt idx="1448">
                  <c:v>13.85</c:v>
                </c:pt>
                <c:pt idx="1449">
                  <c:v>14.073</c:v>
                </c:pt>
                <c:pt idx="1450">
                  <c:v>13.670999999999999</c:v>
                </c:pt>
                <c:pt idx="1451">
                  <c:v>14.007</c:v>
                </c:pt>
                <c:pt idx="1452">
                  <c:v>13.949</c:v>
                </c:pt>
                <c:pt idx="1453">
                  <c:v>14.145</c:v>
                </c:pt>
                <c:pt idx="1454">
                  <c:v>13.942</c:v>
                </c:pt>
                <c:pt idx="1455">
                  <c:v>14.15</c:v>
                </c:pt>
                <c:pt idx="1456">
                  <c:v>14.07</c:v>
                </c:pt>
                <c:pt idx="1457">
                  <c:v>13.513</c:v>
                </c:pt>
                <c:pt idx="1458">
                  <c:v>13.241</c:v>
                </c:pt>
                <c:pt idx="1459">
                  <c:v>13.185</c:v>
                </c:pt>
                <c:pt idx="1460">
                  <c:v>13.170999999999999</c:v>
                </c:pt>
                <c:pt idx="1461">
                  <c:v>13.228</c:v>
                </c:pt>
                <c:pt idx="1462">
                  <c:v>13.526999999999999</c:v>
                </c:pt>
                <c:pt idx="1463">
                  <c:v>13.538</c:v>
                </c:pt>
                <c:pt idx="1464">
                  <c:v>13.792999999999999</c:v>
                </c:pt>
                <c:pt idx="1465">
                  <c:v>13.597</c:v>
                </c:pt>
                <c:pt idx="1466">
                  <c:v>13.792</c:v>
                </c:pt>
                <c:pt idx="1467">
                  <c:v>13.512</c:v>
                </c:pt>
                <c:pt idx="1468">
                  <c:v>13.545</c:v>
                </c:pt>
                <c:pt idx="1469">
                  <c:v>13.734999999999999</c:v>
                </c:pt>
                <c:pt idx="1470">
                  <c:v>13.635999999999999</c:v>
                </c:pt>
                <c:pt idx="1471">
                  <c:v>13.717000000000001</c:v>
                </c:pt>
                <c:pt idx="1472">
                  <c:v>14.194000000000001</c:v>
                </c:pt>
                <c:pt idx="1473">
                  <c:v>14.069000000000001</c:v>
                </c:pt>
                <c:pt idx="1474">
                  <c:v>13.25</c:v>
                </c:pt>
                <c:pt idx="1475">
                  <c:v>13.06</c:v>
                </c:pt>
                <c:pt idx="1476">
                  <c:v>12.821</c:v>
                </c:pt>
                <c:pt idx="1477">
                  <c:v>13.093999999999999</c:v>
                </c:pt>
                <c:pt idx="1478">
                  <c:v>13.055</c:v>
                </c:pt>
                <c:pt idx="1479">
                  <c:v>13.368</c:v>
                </c:pt>
                <c:pt idx="1480">
                  <c:v>13.638</c:v>
                </c:pt>
                <c:pt idx="1481">
                  <c:v>13.521000000000001</c:v>
                </c:pt>
                <c:pt idx="1482">
                  <c:v>13.382999999999999</c:v>
                </c:pt>
                <c:pt idx="1483">
                  <c:v>13.323</c:v>
                </c:pt>
                <c:pt idx="1484">
                  <c:v>13.523999999999999</c:v>
                </c:pt>
                <c:pt idx="1485">
                  <c:v>13.63</c:v>
                </c:pt>
                <c:pt idx="1486">
                  <c:v>13.869</c:v>
                </c:pt>
                <c:pt idx="1487">
                  <c:v>14.115</c:v>
                </c:pt>
                <c:pt idx="1488">
                  <c:v>14.183999999999999</c:v>
                </c:pt>
                <c:pt idx="1489">
                  <c:v>14.164999999999999</c:v>
                </c:pt>
                <c:pt idx="1490">
                  <c:v>14.419</c:v>
                </c:pt>
                <c:pt idx="1491">
                  <c:v>14.611000000000001</c:v>
                </c:pt>
                <c:pt idx="1492">
                  <c:v>14.226000000000001</c:v>
                </c:pt>
                <c:pt idx="1493">
                  <c:v>14.163</c:v>
                </c:pt>
                <c:pt idx="1494">
                  <c:v>13.861000000000001</c:v>
                </c:pt>
                <c:pt idx="1495">
                  <c:v>13.63</c:v>
                </c:pt>
                <c:pt idx="1496">
                  <c:v>13.025</c:v>
                </c:pt>
                <c:pt idx="1497">
                  <c:v>12.781000000000001</c:v>
                </c:pt>
                <c:pt idx="1498">
                  <c:v>12.896000000000001</c:v>
                </c:pt>
                <c:pt idx="1499">
                  <c:v>13.045999999999999</c:v>
                </c:pt>
                <c:pt idx="1500">
                  <c:v>13.43</c:v>
                </c:pt>
                <c:pt idx="1501">
                  <c:v>13.067</c:v>
                </c:pt>
                <c:pt idx="1502">
                  <c:v>13.244</c:v>
                </c:pt>
                <c:pt idx="1503">
                  <c:v>13.327</c:v>
                </c:pt>
                <c:pt idx="1504">
                  <c:v>13.387</c:v>
                </c:pt>
                <c:pt idx="1505">
                  <c:v>13.247</c:v>
                </c:pt>
                <c:pt idx="1506">
                  <c:v>13.318</c:v>
                </c:pt>
                <c:pt idx="1507">
                  <c:v>13.379</c:v>
                </c:pt>
                <c:pt idx="1508">
                  <c:v>13.045999999999999</c:v>
                </c:pt>
                <c:pt idx="1509">
                  <c:v>12.945</c:v>
                </c:pt>
                <c:pt idx="1510">
                  <c:v>12.33</c:v>
                </c:pt>
                <c:pt idx="1511">
                  <c:v>12.221</c:v>
                </c:pt>
                <c:pt idx="1512">
                  <c:v>12.571</c:v>
                </c:pt>
                <c:pt idx="1513">
                  <c:v>12.813000000000001</c:v>
                </c:pt>
                <c:pt idx="1514">
                  <c:v>12.923999999999999</c:v>
                </c:pt>
                <c:pt idx="1515">
                  <c:v>12.827</c:v>
                </c:pt>
                <c:pt idx="1516">
                  <c:v>13.129</c:v>
                </c:pt>
                <c:pt idx="1517">
                  <c:v>13.278</c:v>
                </c:pt>
                <c:pt idx="1518">
                  <c:v>13.180999999999999</c:v>
                </c:pt>
                <c:pt idx="1519">
                  <c:v>13.019</c:v>
                </c:pt>
                <c:pt idx="1520">
                  <c:v>12.442</c:v>
                </c:pt>
                <c:pt idx="1521">
                  <c:v>12.795999999999999</c:v>
                </c:pt>
                <c:pt idx="1522">
                  <c:v>12.603999999999999</c:v>
                </c:pt>
                <c:pt idx="1523">
                  <c:v>12.702999999999999</c:v>
                </c:pt>
                <c:pt idx="1524">
                  <c:v>12.897</c:v>
                </c:pt>
                <c:pt idx="1525">
                  <c:v>13.468</c:v>
                </c:pt>
                <c:pt idx="1526">
                  <c:v>13.913</c:v>
                </c:pt>
                <c:pt idx="1527">
                  <c:v>14.237</c:v>
                </c:pt>
                <c:pt idx="1528">
                  <c:v>14.715</c:v>
                </c:pt>
                <c:pt idx="1529">
                  <c:v>14.17</c:v>
                </c:pt>
                <c:pt idx="1530">
                  <c:v>13.951000000000001</c:v>
                </c:pt>
                <c:pt idx="1531">
                  <c:v>13.999000000000001</c:v>
                </c:pt>
                <c:pt idx="1532">
                  <c:v>14.548999999999999</c:v>
                </c:pt>
                <c:pt idx="1533">
                  <c:v>15.041</c:v>
                </c:pt>
                <c:pt idx="1534">
                  <c:v>15.053000000000001</c:v>
                </c:pt>
                <c:pt idx="1535">
                  <c:v>15.134</c:v>
                </c:pt>
                <c:pt idx="1536">
                  <c:v>15.977</c:v>
                </c:pt>
                <c:pt idx="1537">
                  <c:v>15.871</c:v>
                </c:pt>
                <c:pt idx="1538">
                  <c:v>15.901999999999999</c:v>
                </c:pt>
                <c:pt idx="1539">
                  <c:v>15.945</c:v>
                </c:pt>
                <c:pt idx="1540">
                  <c:v>16.195</c:v>
                </c:pt>
                <c:pt idx="1541">
                  <c:v>15.538</c:v>
                </c:pt>
                <c:pt idx="1542">
                  <c:v>15.329000000000001</c:v>
                </c:pt>
                <c:pt idx="1543">
                  <c:v>16.198</c:v>
                </c:pt>
                <c:pt idx="1544">
                  <c:v>16.411000000000001</c:v>
                </c:pt>
                <c:pt idx="1545">
                  <c:v>16.876000000000001</c:v>
                </c:pt>
                <c:pt idx="1546">
                  <c:v>17.523</c:v>
                </c:pt>
                <c:pt idx="1547">
                  <c:v>16.576000000000001</c:v>
                </c:pt>
                <c:pt idx="1548">
                  <c:v>16.422999999999998</c:v>
                </c:pt>
                <c:pt idx="1549">
                  <c:v>15.86</c:v>
                </c:pt>
                <c:pt idx="1550">
                  <c:v>15.617000000000001</c:v>
                </c:pt>
                <c:pt idx="1551">
                  <c:v>16.414999999999999</c:v>
                </c:pt>
                <c:pt idx="1552">
                  <c:v>16.431000000000001</c:v>
                </c:pt>
                <c:pt idx="1553">
                  <c:v>16.526</c:v>
                </c:pt>
                <c:pt idx="1554">
                  <c:v>16.853999999999999</c:v>
                </c:pt>
                <c:pt idx="1555">
                  <c:v>16.43</c:v>
                </c:pt>
                <c:pt idx="1556">
                  <c:v>16.337</c:v>
                </c:pt>
                <c:pt idx="1557">
                  <c:v>16.602</c:v>
                </c:pt>
                <c:pt idx="1558">
                  <c:v>16.917999999999999</c:v>
                </c:pt>
                <c:pt idx="1559">
                  <c:v>16.736000000000001</c:v>
                </c:pt>
                <c:pt idx="1560">
                  <c:v>16.315999999999999</c:v>
                </c:pt>
                <c:pt idx="1561">
                  <c:v>16.423999999999999</c:v>
                </c:pt>
                <c:pt idx="1562">
                  <c:v>16.439</c:v>
                </c:pt>
                <c:pt idx="1563">
                  <c:v>16.654</c:v>
                </c:pt>
                <c:pt idx="1564">
                  <c:v>16.986999999999998</c:v>
                </c:pt>
                <c:pt idx="1565">
                  <c:v>17.748999999999999</c:v>
                </c:pt>
                <c:pt idx="1566">
                  <c:v>17.481999999999999</c:v>
                </c:pt>
                <c:pt idx="1567">
                  <c:v>17.315000000000001</c:v>
                </c:pt>
                <c:pt idx="1568">
                  <c:v>16.670999999999999</c:v>
                </c:pt>
                <c:pt idx="1569">
                  <c:v>16.751999999999999</c:v>
                </c:pt>
                <c:pt idx="1570">
                  <c:v>16.273</c:v>
                </c:pt>
                <c:pt idx="1571">
                  <c:v>16.277999999999999</c:v>
                </c:pt>
                <c:pt idx="1572">
                  <c:v>16.169</c:v>
                </c:pt>
                <c:pt idx="1573">
                  <c:v>16.722000000000001</c:v>
                </c:pt>
                <c:pt idx="1574">
                  <c:v>16.22</c:v>
                </c:pt>
                <c:pt idx="1575">
                  <c:v>15.776999999999999</c:v>
                </c:pt>
                <c:pt idx="1576">
                  <c:v>16.039000000000001</c:v>
                </c:pt>
                <c:pt idx="1577">
                  <c:v>16.172999999999998</c:v>
                </c:pt>
                <c:pt idx="1578">
                  <c:v>15.789</c:v>
                </c:pt>
                <c:pt idx="1579">
                  <c:v>15.881</c:v>
                </c:pt>
                <c:pt idx="1580">
                  <c:v>16.166</c:v>
                </c:pt>
                <c:pt idx="1581">
                  <c:v>16.007000000000001</c:v>
                </c:pt>
                <c:pt idx="1582">
                  <c:v>15.724</c:v>
                </c:pt>
                <c:pt idx="1583">
                  <c:v>16.166</c:v>
                </c:pt>
                <c:pt idx="1584">
                  <c:v>16.677</c:v>
                </c:pt>
                <c:pt idx="1585">
                  <c:v>16.495999999999999</c:v>
                </c:pt>
                <c:pt idx="1586">
                  <c:v>17.192</c:v>
                </c:pt>
                <c:pt idx="1587">
                  <c:v>17.795000000000002</c:v>
                </c:pt>
                <c:pt idx="1588">
                  <c:v>18.268000000000001</c:v>
                </c:pt>
                <c:pt idx="1589">
                  <c:v>18.635999999999999</c:v>
                </c:pt>
                <c:pt idx="1590">
                  <c:v>18.181999999999999</c:v>
                </c:pt>
                <c:pt idx="1591">
                  <c:v>17.948</c:v>
                </c:pt>
                <c:pt idx="1592">
                  <c:v>18.068000000000001</c:v>
                </c:pt>
                <c:pt idx="1593">
                  <c:v>17.954999999999998</c:v>
                </c:pt>
                <c:pt idx="1594">
                  <c:v>17.484000000000002</c:v>
                </c:pt>
                <c:pt idx="1595">
                  <c:v>18.173999999999999</c:v>
                </c:pt>
                <c:pt idx="1596">
                  <c:v>18.518999999999998</c:v>
                </c:pt>
                <c:pt idx="1597">
                  <c:v>18.661000000000001</c:v>
                </c:pt>
                <c:pt idx="1598">
                  <c:v>18.303000000000001</c:v>
                </c:pt>
                <c:pt idx="1599">
                  <c:v>18.564</c:v>
                </c:pt>
                <c:pt idx="1600">
                  <c:v>18.462</c:v>
                </c:pt>
                <c:pt idx="1601">
                  <c:v>18.71</c:v>
                </c:pt>
                <c:pt idx="1602">
                  <c:v>19.399999999999999</c:v>
                </c:pt>
                <c:pt idx="1603">
                  <c:v>19.516999999999999</c:v>
                </c:pt>
                <c:pt idx="1604">
                  <c:v>20.074000000000002</c:v>
                </c:pt>
                <c:pt idx="1605">
                  <c:v>19.652000000000001</c:v>
                </c:pt>
                <c:pt idx="1606">
                  <c:v>19.329000000000001</c:v>
                </c:pt>
                <c:pt idx="1607">
                  <c:v>19.234000000000002</c:v>
                </c:pt>
                <c:pt idx="1608">
                  <c:v>19.876000000000001</c:v>
                </c:pt>
                <c:pt idx="1609">
                  <c:v>19.655999999999999</c:v>
                </c:pt>
                <c:pt idx="1610">
                  <c:v>19.827999999999999</c:v>
                </c:pt>
                <c:pt idx="1611">
                  <c:v>20.454999999999998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'M6'!$U$6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'M6'!$D$7:$D$2132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'M6'!$U$7:$U$2132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15.409849381883154</c:v>
                </c:pt>
                <c:pt idx="251">
                  <c:v>15.677669469670541</c:v>
                </c:pt>
                <c:pt idx="252">
                  <c:v>15.644449880856833</c:v>
                </c:pt>
                <c:pt idx="253">
                  <c:v>15.698536812353572</c:v>
                </c:pt>
                <c:pt idx="254">
                  <c:v>15.890481836017257</c:v>
                </c:pt>
                <c:pt idx="255">
                  <c:v>15.646725367408909</c:v>
                </c:pt>
                <c:pt idx="256">
                  <c:v>15.417098156297644</c:v>
                </c:pt>
                <c:pt idx="257">
                  <c:v>16.175945760253111</c:v>
                </c:pt>
                <c:pt idx="258">
                  <c:v>16.068741363899207</c:v>
                </c:pt>
                <c:pt idx="259">
                  <c:v>15.70951504643001</c:v>
                </c:pt>
                <c:pt idx="260">
                  <c:v>15.321834733878459</c:v>
                </c:pt>
                <c:pt idx="261">
                  <c:v>15.214972362800594</c:v>
                </c:pt>
                <c:pt idx="262">
                  <c:v>14.793338968513535</c:v>
                </c:pt>
                <c:pt idx="263">
                  <c:v>14.367141147357621</c:v>
                </c:pt>
                <c:pt idx="264">
                  <c:v>14.047998651280269</c:v>
                </c:pt>
                <c:pt idx="265">
                  <c:v>13.889111755419062</c:v>
                </c:pt>
                <c:pt idx="266">
                  <c:v>13.54877161549091</c:v>
                </c:pt>
                <c:pt idx="267">
                  <c:v>13.426596870261626</c:v>
                </c:pt>
                <c:pt idx="268">
                  <c:v>13.416800741770174</c:v>
                </c:pt>
                <c:pt idx="269">
                  <c:v>13.210558368638317</c:v>
                </c:pt>
                <c:pt idx="270">
                  <c:v>13.054955067236875</c:v>
                </c:pt>
                <c:pt idx="271">
                  <c:v>13.32224441532102</c:v>
                </c:pt>
                <c:pt idx="272">
                  <c:v>13.099825175793258</c:v>
                </c:pt>
                <c:pt idx="273">
                  <c:v>13.136419044959796</c:v>
                </c:pt>
                <c:pt idx="274">
                  <c:v>13.505211000697527</c:v>
                </c:pt>
                <c:pt idx="275">
                  <c:v>13.575323065730668</c:v>
                </c:pt>
                <c:pt idx="276">
                  <c:v>13.506127906535053</c:v>
                </c:pt>
                <c:pt idx="277">
                  <c:v>15.895815934235126</c:v>
                </c:pt>
                <c:pt idx="278">
                  <c:v>14.970599000688344</c:v>
                </c:pt>
                <c:pt idx="279">
                  <c:v>14.686927098236273</c:v>
                </c:pt>
                <c:pt idx="280">
                  <c:v>14.15118758139468</c:v>
                </c:pt>
                <c:pt idx="281">
                  <c:v>13.865752682109992</c:v>
                </c:pt>
                <c:pt idx="282">
                  <c:v>13.350892163692308</c:v>
                </c:pt>
                <c:pt idx="283">
                  <c:v>12.632476067471167</c:v>
                </c:pt>
                <c:pt idx="284">
                  <c:v>12.493586408226665</c:v>
                </c:pt>
                <c:pt idx="285">
                  <c:v>12.252719213447605</c:v>
                </c:pt>
                <c:pt idx="286">
                  <c:v>12.785715901792216</c:v>
                </c:pt>
                <c:pt idx="287">
                  <c:v>12.706373651958803</c:v>
                </c:pt>
                <c:pt idx="288">
                  <c:v>12.299861670799096</c:v>
                </c:pt>
                <c:pt idx="289">
                  <c:v>12.438041698236919</c:v>
                </c:pt>
                <c:pt idx="290">
                  <c:v>12.246246407527744</c:v>
                </c:pt>
                <c:pt idx="291">
                  <c:v>12.004626943955733</c:v>
                </c:pt>
                <c:pt idx="292">
                  <c:v>12.276292282923478</c:v>
                </c:pt>
                <c:pt idx="293">
                  <c:v>12.143209377166722</c:v>
                </c:pt>
                <c:pt idx="294">
                  <c:v>12.16183364956073</c:v>
                </c:pt>
                <c:pt idx="295">
                  <c:v>12.163263152197247</c:v>
                </c:pt>
                <c:pt idx="296">
                  <c:v>12.210281365889022</c:v>
                </c:pt>
                <c:pt idx="297">
                  <c:v>12.502065186460168</c:v>
                </c:pt>
                <c:pt idx="298">
                  <c:v>14.743129882703533</c:v>
                </c:pt>
                <c:pt idx="299">
                  <c:v>14.051543871468148</c:v>
                </c:pt>
                <c:pt idx="300">
                  <c:v>13.478017041872185</c:v>
                </c:pt>
                <c:pt idx="301">
                  <c:v>13.417218812611477</c:v>
                </c:pt>
                <c:pt idx="302">
                  <c:v>13.429032419510225</c:v>
                </c:pt>
                <c:pt idx="303">
                  <c:v>13.120427291782324</c:v>
                </c:pt>
                <c:pt idx="304">
                  <c:v>13.086442894928352</c:v>
                </c:pt>
                <c:pt idx="305">
                  <c:v>12.671548918857418</c:v>
                </c:pt>
                <c:pt idx="306">
                  <c:v>12.782977509756037</c:v>
                </c:pt>
                <c:pt idx="307">
                  <c:v>12.536608946692908</c:v>
                </c:pt>
                <c:pt idx="308">
                  <c:v>12.399761720968579</c:v>
                </c:pt>
                <c:pt idx="309">
                  <c:v>12.54541202761628</c:v>
                </c:pt>
                <c:pt idx="310">
                  <c:v>12.544412265919057</c:v>
                </c:pt>
                <c:pt idx="311">
                  <c:v>12.432259583986534</c:v>
                </c:pt>
                <c:pt idx="312">
                  <c:v>12.278390943149756</c:v>
                </c:pt>
                <c:pt idx="313">
                  <c:v>12.204823093356106</c:v>
                </c:pt>
                <c:pt idx="314">
                  <c:v>12.039708575870122</c:v>
                </c:pt>
                <c:pt idx="315">
                  <c:v>12.058807460261722</c:v>
                </c:pt>
                <c:pt idx="316">
                  <c:v>12.036649343057952</c:v>
                </c:pt>
                <c:pt idx="317">
                  <c:v>12.144578770686634</c:v>
                </c:pt>
                <c:pt idx="318">
                  <c:v>12.412363336318002</c:v>
                </c:pt>
                <c:pt idx="319">
                  <c:v>14.909995022474821</c:v>
                </c:pt>
                <c:pt idx="320">
                  <c:v>13.331082626061207</c:v>
                </c:pt>
                <c:pt idx="321">
                  <c:v>12.741535318331341</c:v>
                </c:pt>
                <c:pt idx="322">
                  <c:v>12.833522898657939</c:v>
                </c:pt>
                <c:pt idx="323">
                  <c:v>12.656111905296145</c:v>
                </c:pt>
                <c:pt idx="324">
                  <c:v>12.833946088940118</c:v>
                </c:pt>
                <c:pt idx="325">
                  <c:v>12.848612835588034</c:v>
                </c:pt>
                <c:pt idx="326">
                  <c:v>13.076001535505409</c:v>
                </c:pt>
                <c:pt idx="327">
                  <c:v>12.935768201596952</c:v>
                </c:pt>
                <c:pt idx="328">
                  <c:v>12.788972492941838</c:v>
                </c:pt>
                <c:pt idx="329">
                  <c:v>12.549582264356474</c:v>
                </c:pt>
                <c:pt idx="330">
                  <c:v>12.44133867249915</c:v>
                </c:pt>
                <c:pt idx="331">
                  <c:v>12.72031695469888</c:v>
                </c:pt>
                <c:pt idx="332">
                  <c:v>12.956275261585366</c:v>
                </c:pt>
                <c:pt idx="333">
                  <c:v>13.018717580865651</c:v>
                </c:pt>
                <c:pt idx="334">
                  <c:v>13.412122070857716</c:v>
                </c:pt>
                <c:pt idx="335">
                  <c:v>13.43329634799453</c:v>
                </c:pt>
                <c:pt idx="336">
                  <c:v>13.812972355923002</c:v>
                </c:pt>
                <c:pt idx="337">
                  <c:v>14.106925989484871</c:v>
                </c:pt>
                <c:pt idx="338">
                  <c:v>14.115868764978151</c:v>
                </c:pt>
                <c:pt idx="339">
                  <c:v>14.435493352826034</c:v>
                </c:pt>
                <c:pt idx="340">
                  <c:v>15.933711141222117</c:v>
                </c:pt>
                <c:pt idx="341">
                  <c:v>15.017986074940021</c:v>
                </c:pt>
                <c:pt idx="342">
                  <c:v>14.783653493347124</c:v>
                </c:pt>
                <c:pt idx="343">
                  <c:v>14.726363341006387</c:v>
                </c:pt>
                <c:pt idx="344">
                  <c:v>14.87818539489551</c:v>
                </c:pt>
                <c:pt idx="345">
                  <c:v>14.696575277912441</c:v>
                </c:pt>
                <c:pt idx="346">
                  <c:v>14.896526836752745</c:v>
                </c:pt>
                <c:pt idx="347">
                  <c:v>15.069067692375386</c:v>
                </c:pt>
                <c:pt idx="348">
                  <c:v>15.214728323100408</c:v>
                </c:pt>
                <c:pt idx="349">
                  <c:v>15.010670928814454</c:v>
                </c:pt>
                <c:pt idx="350">
                  <c:v>15.177623685724223</c:v>
                </c:pt>
                <c:pt idx="351">
                  <c:v>15.422915870478901</c:v>
                </c:pt>
                <c:pt idx="352">
                  <c:v>15.309870370761885</c:v>
                </c:pt>
                <c:pt idx="353">
                  <c:v>15.206741103145784</c:v>
                </c:pt>
                <c:pt idx="354">
                  <c:v>15.063570717269938</c:v>
                </c:pt>
                <c:pt idx="355">
                  <c:v>14.908553299894892</c:v>
                </c:pt>
                <c:pt idx="356">
                  <c:v>14.916288147898104</c:v>
                </c:pt>
                <c:pt idx="357">
                  <c:v>15.220581876326293</c:v>
                </c:pt>
                <c:pt idx="358">
                  <c:v>15.323138800253867</c:v>
                </c:pt>
                <c:pt idx="359">
                  <c:v>15.771543861092425</c:v>
                </c:pt>
                <c:pt idx="360">
                  <c:v>15.731730835851563</c:v>
                </c:pt>
                <c:pt idx="361">
                  <c:v>15.453740599853816</c:v>
                </c:pt>
                <c:pt idx="362">
                  <c:v>17.708271520859597</c:v>
                </c:pt>
                <c:pt idx="363">
                  <c:v>17.171152289957455</c:v>
                </c:pt>
                <c:pt idx="364">
                  <c:v>16.718209424871226</c:v>
                </c:pt>
                <c:pt idx="365">
                  <c:v>16.973476923855074</c:v>
                </c:pt>
                <c:pt idx="366">
                  <c:v>17.242733239783103</c:v>
                </c:pt>
                <c:pt idx="367">
                  <c:v>17.42899245654392</c:v>
                </c:pt>
                <c:pt idx="368">
                  <c:v>17.191011185754782</c:v>
                </c:pt>
                <c:pt idx="369">
                  <c:v>16.865140672020637</c:v>
                </c:pt>
                <c:pt idx="370">
                  <c:v>16.642346591368067</c:v>
                </c:pt>
                <c:pt idx="371">
                  <c:v>16.347311681570275</c:v>
                </c:pt>
                <c:pt idx="372">
                  <c:v>16.48481018534687</c:v>
                </c:pt>
                <c:pt idx="373">
                  <c:v>16.262448726739631</c:v>
                </c:pt>
                <c:pt idx="374">
                  <c:v>16.563960236534612</c:v>
                </c:pt>
                <c:pt idx="375">
                  <c:v>17.014315013836001</c:v>
                </c:pt>
                <c:pt idx="376">
                  <c:v>17.028064550534737</c:v>
                </c:pt>
                <c:pt idx="377">
                  <c:v>17.186930218026255</c:v>
                </c:pt>
                <c:pt idx="378">
                  <c:v>17.465656438723421</c:v>
                </c:pt>
                <c:pt idx="379">
                  <c:v>17.256801488845447</c:v>
                </c:pt>
                <c:pt idx="380">
                  <c:v>16.989118888183629</c:v>
                </c:pt>
                <c:pt idx="381">
                  <c:v>17.123547145667871</c:v>
                </c:pt>
                <c:pt idx="382">
                  <c:v>17.293957184014211</c:v>
                </c:pt>
                <c:pt idx="383">
                  <c:v>17.483354871969482</c:v>
                </c:pt>
                <c:pt idx="384">
                  <c:v>19.189822743503978</c:v>
                </c:pt>
                <c:pt idx="385">
                  <c:v>18.506538323912977</c:v>
                </c:pt>
                <c:pt idx="386">
                  <c:v>17.770330679698368</c:v>
                </c:pt>
                <c:pt idx="387">
                  <c:v>17.590314543817204</c:v>
                </c:pt>
                <c:pt idx="388">
                  <c:v>17.361740096170191</c:v>
                </c:pt>
                <c:pt idx="389">
                  <c:v>17.324450159708071</c:v>
                </c:pt>
                <c:pt idx="390">
                  <c:v>17.099265203752083</c:v>
                </c:pt>
                <c:pt idx="391">
                  <c:v>17.253430169726954</c:v>
                </c:pt>
                <c:pt idx="392">
                  <c:v>17.109323528429844</c:v>
                </c:pt>
                <c:pt idx="393">
                  <c:v>17.154488763867516</c:v>
                </c:pt>
                <c:pt idx="394">
                  <c:v>17.093485399703702</c:v>
                </c:pt>
                <c:pt idx="395">
                  <c:v>17.533704738011998</c:v>
                </c:pt>
                <c:pt idx="396">
                  <c:v>17.44732328506916</c:v>
                </c:pt>
                <c:pt idx="397">
                  <c:v>17.575972085329497</c:v>
                </c:pt>
                <c:pt idx="398">
                  <c:v>17.507497814139217</c:v>
                </c:pt>
                <c:pt idx="399">
                  <c:v>17.482716199851179</c:v>
                </c:pt>
                <c:pt idx="400">
                  <c:v>17.390149226290163</c:v>
                </c:pt>
                <c:pt idx="401">
                  <c:v>17.341146411180723</c:v>
                </c:pt>
                <c:pt idx="402">
                  <c:v>17.238487756912026</c:v>
                </c:pt>
                <c:pt idx="403">
                  <c:v>17.208676303099764</c:v>
                </c:pt>
                <c:pt idx="404">
                  <c:v>17.101053839069202</c:v>
                </c:pt>
                <c:pt idx="405">
                  <c:v>18.952571555697311</c:v>
                </c:pt>
                <c:pt idx="406">
                  <c:v>17.433869688414259</c:v>
                </c:pt>
                <c:pt idx="407">
                  <c:v>17.175331543573158</c:v>
                </c:pt>
                <c:pt idx="408">
                  <c:v>17.025916904092085</c:v>
                </c:pt>
                <c:pt idx="409">
                  <c:v>16.800936717240798</c:v>
                </c:pt>
                <c:pt idx="410">
                  <c:v>16.776059890594002</c:v>
                </c:pt>
                <c:pt idx="411">
                  <c:v>16.539733672697249</c:v>
                </c:pt>
                <c:pt idx="412">
                  <c:v>16.506309220271007</c:v>
                </c:pt>
                <c:pt idx="413">
                  <c:v>16.443968861468704</c:v>
                </c:pt>
                <c:pt idx="414">
                  <c:v>16.430095124333661</c:v>
                </c:pt>
                <c:pt idx="415">
                  <c:v>16.197509670346243</c:v>
                </c:pt>
                <c:pt idx="416">
                  <c:v>16.285815971260341</c:v>
                </c:pt>
                <c:pt idx="417">
                  <c:v>16.189641720833436</c:v>
                </c:pt>
                <c:pt idx="418">
                  <c:v>16.383258246154412</c:v>
                </c:pt>
                <c:pt idx="419">
                  <c:v>16.202429718790288</c:v>
                </c:pt>
                <c:pt idx="420">
                  <c:v>15.486520908730416</c:v>
                </c:pt>
                <c:pt idx="421">
                  <c:v>15.805826576073764</c:v>
                </c:pt>
                <c:pt idx="422">
                  <c:v>15.684674791845236</c:v>
                </c:pt>
                <c:pt idx="423">
                  <c:v>15.626387643458937</c:v>
                </c:pt>
                <c:pt idx="424">
                  <c:v>15.79853618226241</c:v>
                </c:pt>
                <c:pt idx="425">
                  <c:v>15.786922602646703</c:v>
                </c:pt>
                <c:pt idx="426">
                  <c:v>15.779472368732982</c:v>
                </c:pt>
                <c:pt idx="427">
                  <c:v>14.476106570248298</c:v>
                </c:pt>
                <c:pt idx="428">
                  <c:v>17.582843990110302</c:v>
                </c:pt>
                <c:pt idx="429">
                  <c:v>16.227819220732258</c:v>
                </c:pt>
                <c:pt idx="430">
                  <c:v>15.954022660219064</c:v>
                </c:pt>
                <c:pt idx="431">
                  <c:v>15.413508054517806</c:v>
                </c:pt>
                <c:pt idx="432">
                  <c:v>15.350486525208639</c:v>
                </c:pt>
                <c:pt idx="433">
                  <c:v>15.463063068466152</c:v>
                </c:pt>
                <c:pt idx="434">
                  <c:v>15.119327853333665</c:v>
                </c:pt>
                <c:pt idx="435">
                  <c:v>14.910368307615217</c:v>
                </c:pt>
                <c:pt idx="436">
                  <c:v>15.022112505779495</c:v>
                </c:pt>
                <c:pt idx="437">
                  <c:v>14.827847956409778</c:v>
                </c:pt>
                <c:pt idx="438">
                  <c:v>14.916842439931253</c:v>
                </c:pt>
                <c:pt idx="439">
                  <c:v>15.173817475980318</c:v>
                </c:pt>
                <c:pt idx="440">
                  <c:v>15.268230382698505</c:v>
                </c:pt>
                <c:pt idx="441">
                  <c:v>15.210402290276164</c:v>
                </c:pt>
                <c:pt idx="442">
                  <c:v>15.373691442219769</c:v>
                </c:pt>
                <c:pt idx="443">
                  <c:v>15.609523233932357</c:v>
                </c:pt>
                <c:pt idx="444">
                  <c:v>15.569650061877805</c:v>
                </c:pt>
                <c:pt idx="445">
                  <c:v>15.707440379276441</c:v>
                </c:pt>
                <c:pt idx="446">
                  <c:v>15.563928511189403</c:v>
                </c:pt>
                <c:pt idx="447">
                  <c:v>16.231677992178383</c:v>
                </c:pt>
                <c:pt idx="448">
                  <c:v>16.313723433328569</c:v>
                </c:pt>
                <c:pt idx="449">
                  <c:v>15.99718632652041</c:v>
                </c:pt>
                <c:pt idx="450">
                  <c:v>17.863059050674963</c:v>
                </c:pt>
                <c:pt idx="451">
                  <c:v>16.446244313330709</c:v>
                </c:pt>
                <c:pt idx="452">
                  <c:v>16.309457983118406</c:v>
                </c:pt>
                <c:pt idx="453">
                  <c:v>16.767927751142864</c:v>
                </c:pt>
                <c:pt idx="454">
                  <c:v>16.336465196917423</c:v>
                </c:pt>
                <c:pt idx="455">
                  <c:v>16.10061465545494</c:v>
                </c:pt>
                <c:pt idx="456">
                  <c:v>15.944287219421177</c:v>
                </c:pt>
                <c:pt idx="457">
                  <c:v>15.795133657960916</c:v>
                </c:pt>
                <c:pt idx="458">
                  <c:v>15.871636463331001</c:v>
                </c:pt>
                <c:pt idx="459">
                  <c:v>15.922990932469736</c:v>
                </c:pt>
                <c:pt idx="460">
                  <c:v>15.977361191456156</c:v>
                </c:pt>
                <c:pt idx="461">
                  <c:v>16.146268577326776</c:v>
                </c:pt>
                <c:pt idx="462">
                  <c:v>16.18264575645907</c:v>
                </c:pt>
                <c:pt idx="463">
                  <c:v>16.259507360802623</c:v>
                </c:pt>
                <c:pt idx="464">
                  <c:v>16.242978456289816</c:v>
                </c:pt>
                <c:pt idx="465">
                  <c:v>16.569761928069632</c:v>
                </c:pt>
                <c:pt idx="466">
                  <c:v>16.502910816621785</c:v>
                </c:pt>
                <c:pt idx="467">
                  <c:v>16.780730316400494</c:v>
                </c:pt>
                <c:pt idx="468">
                  <c:v>16.73130809745356</c:v>
                </c:pt>
                <c:pt idx="469">
                  <c:v>16.634453706584821</c:v>
                </c:pt>
                <c:pt idx="470">
                  <c:v>15.982431072287806</c:v>
                </c:pt>
                <c:pt idx="471">
                  <c:v>18.525633365866639</c:v>
                </c:pt>
                <c:pt idx="472">
                  <c:v>17.682964466459747</c:v>
                </c:pt>
                <c:pt idx="473">
                  <c:v>17.473082265898483</c:v>
                </c:pt>
                <c:pt idx="474">
                  <c:v>17.097397034225782</c:v>
                </c:pt>
                <c:pt idx="475">
                  <c:v>16.930294320699353</c:v>
                </c:pt>
                <c:pt idx="476">
                  <c:v>16.483067453703619</c:v>
                </c:pt>
                <c:pt idx="477">
                  <c:v>16.820572703556024</c:v>
                </c:pt>
                <c:pt idx="478">
                  <c:v>16.758909855556723</c:v>
                </c:pt>
                <c:pt idx="479">
                  <c:v>16.715558191063302</c:v>
                </c:pt>
                <c:pt idx="480">
                  <c:v>16.710459275236055</c:v>
                </c:pt>
                <c:pt idx="481">
                  <c:v>16.748431542286703</c:v>
                </c:pt>
                <c:pt idx="482">
                  <c:v>16.657843972305244</c:v>
                </c:pt>
                <c:pt idx="483">
                  <c:v>16.423547612839521</c:v>
                </c:pt>
                <c:pt idx="484">
                  <c:v>16.355064296401263</c:v>
                </c:pt>
                <c:pt idx="485">
                  <c:v>16.22706478160471</c:v>
                </c:pt>
                <c:pt idx="486">
                  <c:v>16.49868861965366</c:v>
                </c:pt>
                <c:pt idx="487">
                  <c:v>16.758427769175192</c:v>
                </c:pt>
                <c:pt idx="488">
                  <c:v>16.683617846501917</c:v>
                </c:pt>
                <c:pt idx="489">
                  <c:v>16.373638338919317</c:v>
                </c:pt>
                <c:pt idx="490">
                  <c:v>16.156472938439109</c:v>
                </c:pt>
                <c:pt idx="491">
                  <c:v>16.151974606428354</c:v>
                </c:pt>
                <c:pt idx="492">
                  <c:v>16.329123529553616</c:v>
                </c:pt>
                <c:pt idx="493">
                  <c:v>17.445261665640263</c:v>
                </c:pt>
                <c:pt idx="494">
                  <c:v>16.726679844006355</c:v>
                </c:pt>
                <c:pt idx="495">
                  <c:v>16.278912922657057</c:v>
                </c:pt>
                <c:pt idx="496">
                  <c:v>15.788051566463315</c:v>
                </c:pt>
                <c:pt idx="497">
                  <c:v>15.575084728415606</c:v>
                </c:pt>
                <c:pt idx="498">
                  <c:v>15.562239404778506</c:v>
                </c:pt>
                <c:pt idx="499">
                  <c:v>15.808334913966581</c:v>
                </c:pt>
                <c:pt idx="500">
                  <c:v>16.279935286849394</c:v>
                </c:pt>
                <c:pt idx="501">
                  <c:v>16.324751252509312</c:v>
                </c:pt>
                <c:pt idx="502">
                  <c:v>16.275758901647393</c:v>
                </c:pt>
                <c:pt idx="503">
                  <c:v>16.548346859238528</c:v>
                </c:pt>
                <c:pt idx="504">
                  <c:v>16.732614496251976</c:v>
                </c:pt>
                <c:pt idx="505">
                  <c:v>16.695062822190131</c:v>
                </c:pt>
                <c:pt idx="506">
                  <c:v>16.754063399871956</c:v>
                </c:pt>
                <c:pt idx="507">
                  <c:v>16.797395006136288</c:v>
                </c:pt>
                <c:pt idx="508">
                  <c:v>17.145304677472794</c:v>
                </c:pt>
                <c:pt idx="509">
                  <c:v>17.200770952783543</c:v>
                </c:pt>
                <c:pt idx="510">
                  <c:v>17.901526718541877</c:v>
                </c:pt>
                <c:pt idx="511">
                  <c:v>17.556338026803154</c:v>
                </c:pt>
                <c:pt idx="512">
                  <c:v>17.563147926364515</c:v>
                </c:pt>
                <c:pt idx="513">
                  <c:v>17.029444264477679</c:v>
                </c:pt>
                <c:pt idx="514">
                  <c:v>17.418378380053618</c:v>
                </c:pt>
                <c:pt idx="515">
                  <c:v>17.148670405732481</c:v>
                </c:pt>
                <c:pt idx="516">
                  <c:v>16.938375795836134</c:v>
                </c:pt>
                <c:pt idx="517">
                  <c:v>17.131462435217102</c:v>
                </c:pt>
                <c:pt idx="518">
                  <c:v>17.017040033048513</c:v>
                </c:pt>
                <c:pt idx="519">
                  <c:v>16.895884831000064</c:v>
                </c:pt>
                <c:pt idx="520">
                  <c:v>17.158142389140181</c:v>
                </c:pt>
                <c:pt idx="521">
                  <c:v>17.640723868491506</c:v>
                </c:pt>
                <c:pt idx="522">
                  <c:v>17.813693284955779</c:v>
                </c:pt>
                <c:pt idx="523">
                  <c:v>17.688519178720099</c:v>
                </c:pt>
                <c:pt idx="524">
                  <c:v>17.433837036084594</c:v>
                </c:pt>
                <c:pt idx="525">
                  <c:v>17.649745221341476</c:v>
                </c:pt>
                <c:pt idx="526">
                  <c:v>17.788932704102827</c:v>
                </c:pt>
                <c:pt idx="527">
                  <c:v>17.886970270984431</c:v>
                </c:pt>
                <c:pt idx="528">
                  <c:v>17.975851136388542</c:v>
                </c:pt>
                <c:pt idx="529">
                  <c:v>18.327255674868148</c:v>
                </c:pt>
                <c:pt idx="530">
                  <c:v>18.115292973691538</c:v>
                </c:pt>
                <c:pt idx="531">
                  <c:v>17.899433122070562</c:v>
                </c:pt>
                <c:pt idx="532">
                  <c:v>17.951391717413994</c:v>
                </c:pt>
                <c:pt idx="533">
                  <c:v>17.749549170991287</c:v>
                </c:pt>
                <c:pt idx="534">
                  <c:v>17.681883931308203</c:v>
                </c:pt>
                <c:pt idx="535">
                  <c:v>17.34081191394549</c:v>
                </c:pt>
                <c:pt idx="536">
                  <c:v>17.363177043496172</c:v>
                </c:pt>
                <c:pt idx="537">
                  <c:v>17.479125508921172</c:v>
                </c:pt>
                <c:pt idx="538">
                  <c:v>17.394495772980687</c:v>
                </c:pt>
                <c:pt idx="539">
                  <c:v>17.443847586299384</c:v>
                </c:pt>
                <c:pt idx="540">
                  <c:v>17.433977676760676</c:v>
                </c:pt>
                <c:pt idx="541">
                  <c:v>17.471580395470788</c:v>
                </c:pt>
                <c:pt idx="542">
                  <c:v>17.686532959116807</c:v>
                </c:pt>
                <c:pt idx="543">
                  <c:v>17.579534662309307</c:v>
                </c:pt>
                <c:pt idx="544">
                  <c:v>17.446157721700672</c:v>
                </c:pt>
                <c:pt idx="545">
                  <c:v>17.412523326768103</c:v>
                </c:pt>
                <c:pt idx="546">
                  <c:v>17.460460578391523</c:v>
                </c:pt>
                <c:pt idx="547">
                  <c:v>17.43310581708867</c:v>
                </c:pt>
                <c:pt idx="548">
                  <c:v>17.451010298884086</c:v>
                </c:pt>
                <c:pt idx="549">
                  <c:v>17.641142480749739</c:v>
                </c:pt>
                <c:pt idx="550">
                  <c:v>17.471777788516974</c:v>
                </c:pt>
                <c:pt idx="551">
                  <c:v>17.30205684459473</c:v>
                </c:pt>
                <c:pt idx="552">
                  <c:v>17.472695223228236</c:v>
                </c:pt>
                <c:pt idx="553">
                  <c:v>17.444828246818592</c:v>
                </c:pt>
                <c:pt idx="554">
                  <c:v>17.309340188705558</c:v>
                </c:pt>
                <c:pt idx="555">
                  <c:v>17.934752518454697</c:v>
                </c:pt>
                <c:pt idx="556">
                  <c:v>17.488609145366809</c:v>
                </c:pt>
                <c:pt idx="557">
                  <c:v>17.366940511203097</c:v>
                </c:pt>
                <c:pt idx="558">
                  <c:v>17.198951543008612</c:v>
                </c:pt>
                <c:pt idx="559">
                  <c:v>17.040405126080032</c:v>
                </c:pt>
                <c:pt idx="560">
                  <c:v>16.95340497620812</c:v>
                </c:pt>
                <c:pt idx="561">
                  <c:v>16.716184082191511</c:v>
                </c:pt>
                <c:pt idx="562">
                  <c:v>16.553570125980592</c:v>
                </c:pt>
                <c:pt idx="563">
                  <c:v>16.439174421766651</c:v>
                </c:pt>
                <c:pt idx="564">
                  <c:v>16.36501223555771</c:v>
                </c:pt>
                <c:pt idx="565">
                  <c:v>16.219667508876341</c:v>
                </c:pt>
                <c:pt idx="566">
                  <c:v>16.248895451579639</c:v>
                </c:pt>
                <c:pt idx="567">
                  <c:v>16.15389742224518</c:v>
                </c:pt>
                <c:pt idx="568">
                  <c:v>16.148406575007527</c:v>
                </c:pt>
                <c:pt idx="569">
                  <c:v>16.030880687412232</c:v>
                </c:pt>
                <c:pt idx="570">
                  <c:v>15.855276669661192</c:v>
                </c:pt>
                <c:pt idx="571">
                  <c:v>15.679882751484293</c:v>
                </c:pt>
                <c:pt idx="572">
                  <c:v>15.715071075737853</c:v>
                </c:pt>
                <c:pt idx="573">
                  <c:v>15.75469624420203</c:v>
                </c:pt>
                <c:pt idx="574">
                  <c:v>15.523106035463305</c:v>
                </c:pt>
                <c:pt idx="575">
                  <c:v>15.658820235309596</c:v>
                </c:pt>
                <c:pt idx="576">
                  <c:v>15.871968088208474</c:v>
                </c:pt>
                <c:pt idx="577">
                  <c:v>16.010610800784182</c:v>
                </c:pt>
                <c:pt idx="578">
                  <c:v>16.850801061546463</c:v>
                </c:pt>
                <c:pt idx="579">
                  <c:v>18.098239682790325</c:v>
                </c:pt>
                <c:pt idx="580">
                  <c:v>17.985152664769977</c:v>
                </c:pt>
                <c:pt idx="581">
                  <c:v>17.748653939253931</c:v>
                </c:pt>
                <c:pt idx="582">
                  <c:v>17.78410378333168</c:v>
                </c:pt>
                <c:pt idx="583">
                  <c:v>17.540305899686736</c:v>
                </c:pt>
                <c:pt idx="584">
                  <c:v>17.35190338786262</c:v>
                </c:pt>
                <c:pt idx="585">
                  <c:v>16.940776510627412</c:v>
                </c:pt>
                <c:pt idx="586">
                  <c:v>17.02758257743286</c:v>
                </c:pt>
                <c:pt idx="587">
                  <c:v>16.911127387412328</c:v>
                </c:pt>
                <c:pt idx="588">
                  <c:v>16.566918474438822</c:v>
                </c:pt>
                <c:pt idx="589">
                  <c:v>16.621568288264356</c:v>
                </c:pt>
                <c:pt idx="590">
                  <c:v>16.29409976653443</c:v>
                </c:pt>
                <c:pt idx="591">
                  <c:v>16.241307459235529</c:v>
                </c:pt>
                <c:pt idx="592">
                  <c:v>15.956571497378103</c:v>
                </c:pt>
                <c:pt idx="593">
                  <c:v>15.862731294322934</c:v>
                </c:pt>
                <c:pt idx="594">
                  <c:v>16.046959953383279</c:v>
                </c:pt>
                <c:pt idx="595">
                  <c:v>16.097687072687378</c:v>
                </c:pt>
                <c:pt idx="596">
                  <c:v>16.284617167029786</c:v>
                </c:pt>
                <c:pt idx="597">
                  <c:v>18.312115479576125</c:v>
                </c:pt>
                <c:pt idx="598">
                  <c:v>17.980341841714118</c:v>
                </c:pt>
                <c:pt idx="599">
                  <c:v>17.85992976585392</c:v>
                </c:pt>
                <c:pt idx="600">
                  <c:v>17.378628410349219</c:v>
                </c:pt>
                <c:pt idx="601">
                  <c:v>17.404173019436847</c:v>
                </c:pt>
                <c:pt idx="602">
                  <c:v>17.218285397809264</c:v>
                </c:pt>
                <c:pt idx="603">
                  <c:v>17.122980013617155</c:v>
                </c:pt>
                <c:pt idx="604">
                  <c:v>17.218741669914351</c:v>
                </c:pt>
                <c:pt idx="605">
                  <c:v>17.210209489359652</c:v>
                </c:pt>
                <c:pt idx="606">
                  <c:v>17.099119135347358</c:v>
                </c:pt>
                <c:pt idx="607">
                  <c:v>17.097684345736511</c:v>
                </c:pt>
                <c:pt idx="608">
                  <c:v>17.006617906674137</c:v>
                </c:pt>
                <c:pt idx="609">
                  <c:v>17.099680162256305</c:v>
                </c:pt>
                <c:pt idx="610">
                  <c:v>17.093402388019697</c:v>
                </c:pt>
                <c:pt idx="611">
                  <c:v>17.14432190559026</c:v>
                </c:pt>
                <c:pt idx="612">
                  <c:v>17.142307092970295</c:v>
                </c:pt>
                <c:pt idx="613">
                  <c:v>17.24650596793256</c:v>
                </c:pt>
                <c:pt idx="614">
                  <c:v>17.162501014315492</c:v>
                </c:pt>
                <c:pt idx="615">
                  <c:v>17.000274533949064</c:v>
                </c:pt>
                <c:pt idx="616">
                  <c:v>17.002861785289433</c:v>
                </c:pt>
                <c:pt idx="617">
                  <c:v>17.023407796712601</c:v>
                </c:pt>
                <c:pt idx="618">
                  <c:v>17.12826616419397</c:v>
                </c:pt>
                <c:pt idx="619">
                  <c:v>16.2632983996562</c:v>
                </c:pt>
                <c:pt idx="620">
                  <c:v>18.134029700816289</c:v>
                </c:pt>
                <c:pt idx="621">
                  <c:v>17.947021708314978</c:v>
                </c:pt>
                <c:pt idx="622">
                  <c:v>17.948406371815718</c:v>
                </c:pt>
                <c:pt idx="623">
                  <c:v>17.665155521109895</c:v>
                </c:pt>
                <c:pt idx="624">
                  <c:v>17.498711636119946</c:v>
                </c:pt>
                <c:pt idx="625">
                  <c:v>17.420571262902914</c:v>
                </c:pt>
                <c:pt idx="626">
                  <c:v>17.447802396237456</c:v>
                </c:pt>
                <c:pt idx="627">
                  <c:v>17.210359221405966</c:v>
                </c:pt>
                <c:pt idx="628">
                  <c:v>17.017983963372934</c:v>
                </c:pt>
                <c:pt idx="629">
                  <c:v>16.83842386721367</c:v>
                </c:pt>
                <c:pt idx="630">
                  <c:v>16.888742780494788</c:v>
                </c:pt>
                <c:pt idx="631">
                  <c:v>16.814755336393237</c:v>
                </c:pt>
                <c:pt idx="632">
                  <c:v>16.757130735298343</c:v>
                </c:pt>
                <c:pt idx="633">
                  <c:v>16.71109637729483</c:v>
                </c:pt>
                <c:pt idx="634">
                  <c:v>16.522264472057675</c:v>
                </c:pt>
                <c:pt idx="635">
                  <c:v>16.431171003803257</c:v>
                </c:pt>
                <c:pt idx="636">
                  <c:v>16.326199708329309</c:v>
                </c:pt>
                <c:pt idx="637">
                  <c:v>16.387958622395807</c:v>
                </c:pt>
                <c:pt idx="638">
                  <c:v>16.544094181004727</c:v>
                </c:pt>
                <c:pt idx="639">
                  <c:v>16.626774744755959</c:v>
                </c:pt>
                <c:pt idx="640">
                  <c:v>16.626736208281088</c:v>
                </c:pt>
                <c:pt idx="641">
                  <c:v>16.922541654354362</c:v>
                </c:pt>
                <c:pt idx="642">
                  <c:v>18.261633433904379</c:v>
                </c:pt>
                <c:pt idx="643">
                  <c:v>18.218524955573173</c:v>
                </c:pt>
                <c:pt idx="644">
                  <c:v>17.951409774336241</c:v>
                </c:pt>
                <c:pt idx="645">
                  <c:v>17.751588607811279</c:v>
                </c:pt>
                <c:pt idx="646">
                  <c:v>17.579107896772062</c:v>
                </c:pt>
                <c:pt idx="647">
                  <c:v>17.492638895160692</c:v>
                </c:pt>
                <c:pt idx="648">
                  <c:v>17.34976218130652</c:v>
                </c:pt>
                <c:pt idx="649">
                  <c:v>17.15238401167851</c:v>
                </c:pt>
                <c:pt idx="650">
                  <c:v>17.016231101072773</c:v>
                </c:pt>
                <c:pt idx="651">
                  <c:v>16.931665234470227</c:v>
                </c:pt>
                <c:pt idx="652">
                  <c:v>16.855542591261681</c:v>
                </c:pt>
                <c:pt idx="653">
                  <c:v>16.846673115247444</c:v>
                </c:pt>
                <c:pt idx="654">
                  <c:v>16.78933605006193</c:v>
                </c:pt>
                <c:pt idx="655">
                  <c:v>16.650576108852633</c:v>
                </c:pt>
                <c:pt idx="656">
                  <c:v>16.489454555966461</c:v>
                </c:pt>
                <c:pt idx="657">
                  <c:v>16.321697897874952</c:v>
                </c:pt>
                <c:pt idx="658">
                  <c:v>16.404362208862615</c:v>
                </c:pt>
                <c:pt idx="659">
                  <c:v>16.393538139818794</c:v>
                </c:pt>
                <c:pt idx="660">
                  <c:v>16.514039373705156</c:v>
                </c:pt>
                <c:pt idx="661">
                  <c:v>16.526442016025744</c:v>
                </c:pt>
                <c:pt idx="662">
                  <c:v>16.3485080959817</c:v>
                </c:pt>
                <c:pt idx="663">
                  <c:v>17.018047829370765</c:v>
                </c:pt>
                <c:pt idx="664">
                  <c:v>16.896121346943175</c:v>
                </c:pt>
                <c:pt idx="665">
                  <c:v>16.861760524005966</c:v>
                </c:pt>
                <c:pt idx="666">
                  <c:v>16.921017567941803</c:v>
                </c:pt>
                <c:pt idx="667">
                  <c:v>16.905400693875098</c:v>
                </c:pt>
                <c:pt idx="668">
                  <c:v>16.857441445420665</c:v>
                </c:pt>
                <c:pt idx="669">
                  <c:v>16.943930716376727</c:v>
                </c:pt>
                <c:pt idx="670">
                  <c:v>17.083348488244745</c:v>
                </c:pt>
                <c:pt idx="671">
                  <c:v>17.165988834558732</c:v>
                </c:pt>
                <c:pt idx="672">
                  <c:v>17.121329718478904</c:v>
                </c:pt>
                <c:pt idx="673">
                  <c:v>17.138461139065093</c:v>
                </c:pt>
                <c:pt idx="674">
                  <c:v>17.155855881194395</c:v>
                </c:pt>
                <c:pt idx="675">
                  <c:v>17.397672039394937</c:v>
                </c:pt>
                <c:pt idx="676">
                  <c:v>17.386984335732421</c:v>
                </c:pt>
                <c:pt idx="677">
                  <c:v>17.221528945697258</c:v>
                </c:pt>
                <c:pt idx="678">
                  <c:v>17.172778170314341</c:v>
                </c:pt>
                <c:pt idx="679">
                  <c:v>17.311145993480174</c:v>
                </c:pt>
                <c:pt idx="680">
                  <c:v>17.345221121652635</c:v>
                </c:pt>
                <c:pt idx="681">
                  <c:v>17.360140144195693</c:v>
                </c:pt>
                <c:pt idx="682">
                  <c:v>17.343215615351212</c:v>
                </c:pt>
                <c:pt idx="683">
                  <c:v>17.291249658778071</c:v>
                </c:pt>
                <c:pt idx="684">
                  <c:v>17.305481201245584</c:v>
                </c:pt>
                <c:pt idx="685">
                  <c:v>16.862708782928792</c:v>
                </c:pt>
                <c:pt idx="686">
                  <c:v>17.622914921563467</c:v>
                </c:pt>
                <c:pt idx="687">
                  <c:v>17.510887284534938</c:v>
                </c:pt>
                <c:pt idx="688">
                  <c:v>17.591074982959107</c:v>
                </c:pt>
                <c:pt idx="689">
                  <c:v>17.667137622381112</c:v>
                </c:pt>
                <c:pt idx="690">
                  <c:v>17.603418271747657</c:v>
                </c:pt>
                <c:pt idx="691">
                  <c:v>17.719585544032398</c:v>
                </c:pt>
                <c:pt idx="692">
                  <c:v>17.908515746578821</c:v>
                </c:pt>
                <c:pt idx="693">
                  <c:v>17.887230413745215</c:v>
                </c:pt>
                <c:pt idx="694">
                  <c:v>18.250747237489445</c:v>
                </c:pt>
                <c:pt idx="695">
                  <c:v>18.515229127522073</c:v>
                </c:pt>
                <c:pt idx="696">
                  <c:v>18.258322560102808</c:v>
                </c:pt>
                <c:pt idx="697">
                  <c:v>18.210576165626023</c:v>
                </c:pt>
                <c:pt idx="698">
                  <c:v>18.272072518536604</c:v>
                </c:pt>
                <c:pt idx="699">
                  <c:v>18.251157780660439</c:v>
                </c:pt>
                <c:pt idx="700">
                  <c:v>17.970031913495667</c:v>
                </c:pt>
                <c:pt idx="701">
                  <c:v>17.914467274150461</c:v>
                </c:pt>
                <c:pt idx="702">
                  <c:v>18.277569369353458</c:v>
                </c:pt>
                <c:pt idx="703">
                  <c:v>18.112188870546433</c:v>
                </c:pt>
                <c:pt idx="704">
                  <c:v>18.107486903523657</c:v>
                </c:pt>
                <c:pt idx="705">
                  <c:v>17.947844652566388</c:v>
                </c:pt>
                <c:pt idx="706">
                  <c:v>16.847641534584241</c:v>
                </c:pt>
                <c:pt idx="707">
                  <c:v>16.349892168340368</c:v>
                </c:pt>
                <c:pt idx="708">
                  <c:v>16.634671173336564</c:v>
                </c:pt>
                <c:pt idx="709">
                  <c:v>16.81511518547768</c:v>
                </c:pt>
                <c:pt idx="710">
                  <c:v>16.959109468692702</c:v>
                </c:pt>
                <c:pt idx="711">
                  <c:v>16.87058955219554</c:v>
                </c:pt>
                <c:pt idx="712">
                  <c:v>16.902695092371779</c:v>
                </c:pt>
                <c:pt idx="713">
                  <c:v>17.020637221101055</c:v>
                </c:pt>
                <c:pt idx="714">
                  <c:v>17.127725270503511</c:v>
                </c:pt>
                <c:pt idx="715">
                  <c:v>17.156518655383287</c:v>
                </c:pt>
                <c:pt idx="716">
                  <c:v>17.314206326957763</c:v>
                </c:pt>
                <c:pt idx="717">
                  <c:v>17.458094196608286</c:v>
                </c:pt>
                <c:pt idx="718">
                  <c:v>17.501087877348283</c:v>
                </c:pt>
                <c:pt idx="719">
                  <c:v>17.657747670042973</c:v>
                </c:pt>
                <c:pt idx="720">
                  <c:v>17.463320792793386</c:v>
                </c:pt>
                <c:pt idx="721">
                  <c:v>17.348639693833981</c:v>
                </c:pt>
                <c:pt idx="722">
                  <c:v>17.408918001164157</c:v>
                </c:pt>
                <c:pt idx="723">
                  <c:v>17.497452198582003</c:v>
                </c:pt>
                <c:pt idx="724">
                  <c:v>17.528038649367392</c:v>
                </c:pt>
                <c:pt idx="725">
                  <c:v>17.602326007689879</c:v>
                </c:pt>
                <c:pt idx="726">
                  <c:v>17.685165881089571</c:v>
                </c:pt>
                <c:pt idx="727">
                  <c:v>17.617137177620798</c:v>
                </c:pt>
                <c:pt idx="728">
                  <c:v>17.456375892378116</c:v>
                </c:pt>
                <c:pt idx="729">
                  <c:v>17.36697538537446</c:v>
                </c:pt>
                <c:pt idx="730">
                  <c:v>17.309893164661528</c:v>
                </c:pt>
                <c:pt idx="731">
                  <c:v>17.166758858820529</c:v>
                </c:pt>
                <c:pt idx="732">
                  <c:v>17.363541616113217</c:v>
                </c:pt>
                <c:pt idx="733">
                  <c:v>17.252942903152679</c:v>
                </c:pt>
                <c:pt idx="734">
                  <c:v>17.1948611922992</c:v>
                </c:pt>
                <c:pt idx="735">
                  <c:v>17.092728207990532</c:v>
                </c:pt>
                <c:pt idx="736">
                  <c:v>17.164032226491052</c:v>
                </c:pt>
                <c:pt idx="737">
                  <c:v>17.178053091033497</c:v>
                </c:pt>
                <c:pt idx="738">
                  <c:v>16.935992139085933</c:v>
                </c:pt>
                <c:pt idx="739">
                  <c:v>16.872978625501439</c:v>
                </c:pt>
                <c:pt idx="740">
                  <c:v>16.769066244712782</c:v>
                </c:pt>
                <c:pt idx="741">
                  <c:v>16.745498729003945</c:v>
                </c:pt>
                <c:pt idx="742">
                  <c:v>16.862222207452803</c:v>
                </c:pt>
                <c:pt idx="743">
                  <c:v>17.06983791950276</c:v>
                </c:pt>
                <c:pt idx="744">
                  <c:v>17.246626955137444</c:v>
                </c:pt>
                <c:pt idx="745">
                  <c:v>17.318853788497822</c:v>
                </c:pt>
                <c:pt idx="746">
                  <c:v>17.379785531871335</c:v>
                </c:pt>
                <c:pt idx="747">
                  <c:v>17.392546766042042</c:v>
                </c:pt>
                <c:pt idx="748">
                  <c:v>17.401475393837242</c:v>
                </c:pt>
                <c:pt idx="749">
                  <c:v>17.407254920186475</c:v>
                </c:pt>
                <c:pt idx="750">
                  <c:v>16.99349408212872</c:v>
                </c:pt>
                <c:pt idx="751">
                  <c:v>16.464884066935475</c:v>
                </c:pt>
                <c:pt idx="752">
                  <c:v>16.82576848901936</c:v>
                </c:pt>
                <c:pt idx="753">
                  <c:v>16.903237414800053</c:v>
                </c:pt>
                <c:pt idx="754">
                  <c:v>16.810031597468861</c:v>
                </c:pt>
                <c:pt idx="755">
                  <c:v>16.828731825337478</c:v>
                </c:pt>
                <c:pt idx="756">
                  <c:v>16.967421829539077</c:v>
                </c:pt>
                <c:pt idx="757">
                  <c:v>17.046525860335546</c:v>
                </c:pt>
                <c:pt idx="758">
                  <c:v>17.17663302255772</c:v>
                </c:pt>
                <c:pt idx="759">
                  <c:v>17.016226051144535</c:v>
                </c:pt>
                <c:pt idx="760">
                  <c:v>16.976879099828736</c:v>
                </c:pt>
                <c:pt idx="761">
                  <c:v>17.17101342037542</c:v>
                </c:pt>
                <c:pt idx="762">
                  <c:v>17.238922604331979</c:v>
                </c:pt>
                <c:pt idx="763">
                  <c:v>17.232721168941843</c:v>
                </c:pt>
                <c:pt idx="764">
                  <c:v>17.264030929922495</c:v>
                </c:pt>
                <c:pt idx="765">
                  <c:v>17.326334789383491</c:v>
                </c:pt>
                <c:pt idx="766">
                  <c:v>17.347384630465207</c:v>
                </c:pt>
                <c:pt idx="767">
                  <c:v>17.422555111493029</c:v>
                </c:pt>
                <c:pt idx="768">
                  <c:v>17.421097332250351</c:v>
                </c:pt>
                <c:pt idx="769">
                  <c:v>17.23632191165342</c:v>
                </c:pt>
                <c:pt idx="770">
                  <c:v>17.700475729795635</c:v>
                </c:pt>
                <c:pt idx="771">
                  <c:v>17.54152736096983</c:v>
                </c:pt>
                <c:pt idx="772">
                  <c:v>17.321539746091297</c:v>
                </c:pt>
                <c:pt idx="773">
                  <c:v>17.298036520039908</c:v>
                </c:pt>
                <c:pt idx="774">
                  <c:v>17.404576166297538</c:v>
                </c:pt>
                <c:pt idx="775">
                  <c:v>17.564454543573852</c:v>
                </c:pt>
                <c:pt idx="776">
                  <c:v>17.581505483704419</c:v>
                </c:pt>
                <c:pt idx="777">
                  <c:v>17.603636865916449</c:v>
                </c:pt>
                <c:pt idx="778">
                  <c:v>17.477690019846268</c:v>
                </c:pt>
                <c:pt idx="779">
                  <c:v>17.427822645575901</c:v>
                </c:pt>
                <c:pt idx="780">
                  <c:v>17.351545861385873</c:v>
                </c:pt>
                <c:pt idx="781">
                  <c:v>17.276496408817536</c:v>
                </c:pt>
                <c:pt idx="782">
                  <c:v>17.282702673873601</c:v>
                </c:pt>
                <c:pt idx="783">
                  <c:v>17.238473209516233</c:v>
                </c:pt>
                <c:pt idx="784">
                  <c:v>17.253237282613117</c:v>
                </c:pt>
                <c:pt idx="785">
                  <c:v>17.231941868780211</c:v>
                </c:pt>
                <c:pt idx="786">
                  <c:v>17.081042088720629</c:v>
                </c:pt>
                <c:pt idx="787">
                  <c:v>17.07368240986635</c:v>
                </c:pt>
                <c:pt idx="788">
                  <c:v>17.066651022436062</c:v>
                </c:pt>
                <c:pt idx="789">
                  <c:v>16.998318229211645</c:v>
                </c:pt>
                <c:pt idx="790">
                  <c:v>16.749850401723119</c:v>
                </c:pt>
                <c:pt idx="791">
                  <c:v>16.443843728539555</c:v>
                </c:pt>
                <c:pt idx="792">
                  <c:v>17.255710132188849</c:v>
                </c:pt>
                <c:pt idx="793">
                  <c:v>17.042151182199454</c:v>
                </c:pt>
                <c:pt idx="794">
                  <c:v>16.788276628145152</c:v>
                </c:pt>
                <c:pt idx="795">
                  <c:v>16.548090508067411</c:v>
                </c:pt>
                <c:pt idx="796">
                  <c:v>16.590502831657076</c:v>
                </c:pt>
                <c:pt idx="797">
                  <c:v>16.411975710312539</c:v>
                </c:pt>
                <c:pt idx="798">
                  <c:v>16.211108938127264</c:v>
                </c:pt>
                <c:pt idx="799">
                  <c:v>16.196268374109899</c:v>
                </c:pt>
                <c:pt idx="800">
                  <c:v>16.378818266235264</c:v>
                </c:pt>
                <c:pt idx="801">
                  <c:v>16.432385397553873</c:v>
                </c:pt>
                <c:pt idx="802">
                  <c:v>16.365591652206824</c:v>
                </c:pt>
                <c:pt idx="803">
                  <c:v>16.499359635227702</c:v>
                </c:pt>
                <c:pt idx="804">
                  <c:v>16.805086384077605</c:v>
                </c:pt>
                <c:pt idx="805">
                  <c:v>16.850950316003598</c:v>
                </c:pt>
                <c:pt idx="806">
                  <c:v>16.881077080346483</c:v>
                </c:pt>
                <c:pt idx="807">
                  <c:v>16.924447794309806</c:v>
                </c:pt>
                <c:pt idx="808">
                  <c:v>16.927179397640508</c:v>
                </c:pt>
                <c:pt idx="809">
                  <c:v>16.755119227501226</c:v>
                </c:pt>
                <c:pt idx="810">
                  <c:v>16.741483028031102</c:v>
                </c:pt>
                <c:pt idx="811">
                  <c:v>17.264665478507666</c:v>
                </c:pt>
                <c:pt idx="812">
                  <c:v>16.537389865816607</c:v>
                </c:pt>
                <c:pt idx="813">
                  <c:v>16.4823091402112</c:v>
                </c:pt>
                <c:pt idx="814">
                  <c:v>16.619901561656857</c:v>
                </c:pt>
                <c:pt idx="815">
                  <c:v>16.829442781446634</c:v>
                </c:pt>
                <c:pt idx="816">
                  <c:v>16.790297406079848</c:v>
                </c:pt>
                <c:pt idx="817">
                  <c:v>16.923406855278031</c:v>
                </c:pt>
                <c:pt idx="818">
                  <c:v>17.35274537209359</c:v>
                </c:pt>
                <c:pt idx="819">
                  <c:v>17.448353353377072</c:v>
                </c:pt>
                <c:pt idx="820">
                  <c:v>17.548591993788396</c:v>
                </c:pt>
                <c:pt idx="821">
                  <c:v>17.401764947097494</c:v>
                </c:pt>
                <c:pt idx="822">
                  <c:v>17.528390431667844</c:v>
                </c:pt>
                <c:pt idx="823">
                  <c:v>17.581910614575683</c:v>
                </c:pt>
                <c:pt idx="824">
                  <c:v>17.42703462110331</c:v>
                </c:pt>
                <c:pt idx="825">
                  <c:v>17.725087289016386</c:v>
                </c:pt>
                <c:pt idx="826">
                  <c:v>18.076742032102818</c:v>
                </c:pt>
                <c:pt idx="827">
                  <c:v>18.085747897233265</c:v>
                </c:pt>
                <c:pt idx="828">
                  <c:v>18.093515269620596</c:v>
                </c:pt>
                <c:pt idx="829">
                  <c:v>17.99857011877722</c:v>
                </c:pt>
                <c:pt idx="830">
                  <c:v>18.157745094826105</c:v>
                </c:pt>
                <c:pt idx="831">
                  <c:v>18.26980154770483</c:v>
                </c:pt>
                <c:pt idx="832">
                  <c:v>19.222121778395092</c:v>
                </c:pt>
                <c:pt idx="833">
                  <c:v>17.581698180251934</c:v>
                </c:pt>
                <c:pt idx="834">
                  <c:v>17.980031961214546</c:v>
                </c:pt>
                <c:pt idx="835">
                  <c:v>18.126258920388899</c:v>
                </c:pt>
                <c:pt idx="836">
                  <c:v>18.162960353460761</c:v>
                </c:pt>
                <c:pt idx="837">
                  <c:v>18.412733481397634</c:v>
                </c:pt>
                <c:pt idx="838">
                  <c:v>18.632980655500994</c:v>
                </c:pt>
                <c:pt idx="839">
                  <c:v>18.823339643087447</c:v>
                </c:pt>
                <c:pt idx="840">
                  <c:v>18.978297553704007</c:v>
                </c:pt>
                <c:pt idx="841">
                  <c:v>19.217512473062037</c:v>
                </c:pt>
                <c:pt idx="842">
                  <c:v>19.288412788876393</c:v>
                </c:pt>
                <c:pt idx="843">
                  <c:v>19.088773011881369</c:v>
                </c:pt>
                <c:pt idx="844">
                  <c:v>19.188516387560668</c:v>
                </c:pt>
                <c:pt idx="845">
                  <c:v>19.551416853452178</c:v>
                </c:pt>
                <c:pt idx="846">
                  <c:v>19.44807612652659</c:v>
                </c:pt>
                <c:pt idx="847">
                  <c:v>19.592296913675359</c:v>
                </c:pt>
                <c:pt idx="848">
                  <c:v>19.530661765415715</c:v>
                </c:pt>
                <c:pt idx="849">
                  <c:v>19.613680602262107</c:v>
                </c:pt>
                <c:pt idx="850">
                  <c:v>19.907687829210122</c:v>
                </c:pt>
                <c:pt idx="851">
                  <c:v>19.883029228454092</c:v>
                </c:pt>
                <c:pt idx="852">
                  <c:v>20.621158202338151</c:v>
                </c:pt>
                <c:pt idx="853">
                  <c:v>20.576066714287837</c:v>
                </c:pt>
                <c:pt idx="854">
                  <c:v>20.67663371353995</c:v>
                </c:pt>
                <c:pt idx="855">
                  <c:v>20.544547378244708</c:v>
                </c:pt>
                <c:pt idx="856">
                  <c:v>20.79171810076117</c:v>
                </c:pt>
                <c:pt idx="857">
                  <c:v>21.173306034841886</c:v>
                </c:pt>
                <c:pt idx="858">
                  <c:v>21.364690093350561</c:v>
                </c:pt>
                <c:pt idx="859">
                  <c:v>21.76222200427776</c:v>
                </c:pt>
                <c:pt idx="860">
                  <c:v>21.796242363734759</c:v>
                </c:pt>
                <c:pt idx="861">
                  <c:v>21.936653632021017</c:v>
                </c:pt>
                <c:pt idx="862">
                  <c:v>22.219228727565646</c:v>
                </c:pt>
                <c:pt idx="863">
                  <c:v>22.488589632727471</c:v>
                </c:pt>
                <c:pt idx="864">
                  <c:v>22.548143454360549</c:v>
                </c:pt>
                <c:pt idx="865">
                  <c:v>22.912389776845028</c:v>
                </c:pt>
                <c:pt idx="866">
                  <c:v>22.859194536280903</c:v>
                </c:pt>
                <c:pt idx="867">
                  <c:v>22.954608260996761</c:v>
                </c:pt>
                <c:pt idx="868">
                  <c:v>23.372966440909213</c:v>
                </c:pt>
                <c:pt idx="869">
                  <c:v>23.519756029583945</c:v>
                </c:pt>
                <c:pt idx="870">
                  <c:v>23.328635391268122</c:v>
                </c:pt>
                <c:pt idx="871">
                  <c:v>23.050155673576366</c:v>
                </c:pt>
                <c:pt idx="872">
                  <c:v>23.004952751176095</c:v>
                </c:pt>
                <c:pt idx="873">
                  <c:v>23.2682105075069</c:v>
                </c:pt>
                <c:pt idx="874">
                  <c:v>23.363781897489645</c:v>
                </c:pt>
                <c:pt idx="875">
                  <c:v>23.437255617420913</c:v>
                </c:pt>
                <c:pt idx="876">
                  <c:v>23.017832226100005</c:v>
                </c:pt>
                <c:pt idx="877">
                  <c:v>23.101818400360493</c:v>
                </c:pt>
                <c:pt idx="878">
                  <c:v>22.734702092164461</c:v>
                </c:pt>
                <c:pt idx="879">
                  <c:v>22.470110131634314</c:v>
                </c:pt>
                <c:pt idx="880">
                  <c:v>22.607967735545714</c:v>
                </c:pt>
                <c:pt idx="881">
                  <c:v>22.60158750038568</c:v>
                </c:pt>
                <c:pt idx="882">
                  <c:v>22.308193425293467</c:v>
                </c:pt>
                <c:pt idx="883">
                  <c:v>22.570906503092491</c:v>
                </c:pt>
                <c:pt idx="884">
                  <c:v>22.792746600695679</c:v>
                </c:pt>
                <c:pt idx="885">
                  <c:v>23.093237957717463</c:v>
                </c:pt>
                <c:pt idx="886">
                  <c:v>22.689739340359719</c:v>
                </c:pt>
                <c:pt idx="887">
                  <c:v>23.139955705624708</c:v>
                </c:pt>
                <c:pt idx="888">
                  <c:v>23.067104329689418</c:v>
                </c:pt>
                <c:pt idx="889">
                  <c:v>22.861162545361562</c:v>
                </c:pt>
                <c:pt idx="890">
                  <c:v>22.568798721621526</c:v>
                </c:pt>
                <c:pt idx="891">
                  <c:v>22.781537029279033</c:v>
                </c:pt>
                <c:pt idx="892">
                  <c:v>22.61657542322537</c:v>
                </c:pt>
                <c:pt idx="893">
                  <c:v>22.717404368959812</c:v>
                </c:pt>
                <c:pt idx="894">
                  <c:v>22.989755978278247</c:v>
                </c:pt>
                <c:pt idx="895">
                  <c:v>23.067495116534207</c:v>
                </c:pt>
                <c:pt idx="896">
                  <c:v>22.486654139482432</c:v>
                </c:pt>
                <c:pt idx="897">
                  <c:v>22.654469788484683</c:v>
                </c:pt>
                <c:pt idx="898">
                  <c:v>23.09806626418596</c:v>
                </c:pt>
                <c:pt idx="899">
                  <c:v>23.084183905456918</c:v>
                </c:pt>
                <c:pt idx="900">
                  <c:v>23.250612528987673</c:v>
                </c:pt>
                <c:pt idx="901">
                  <c:v>23.172906222242865</c:v>
                </c:pt>
                <c:pt idx="902">
                  <c:v>23.434567761605884</c:v>
                </c:pt>
                <c:pt idx="903">
                  <c:v>23.682819569198756</c:v>
                </c:pt>
                <c:pt idx="904">
                  <c:v>23.33110058429077</c:v>
                </c:pt>
                <c:pt idx="905">
                  <c:v>23.146994520491084</c:v>
                </c:pt>
                <c:pt idx="906">
                  <c:v>23.075101363714221</c:v>
                </c:pt>
                <c:pt idx="907">
                  <c:v>22.869224545891505</c:v>
                </c:pt>
                <c:pt idx="908">
                  <c:v>22.737469516364328</c:v>
                </c:pt>
                <c:pt idx="909">
                  <c:v>22.963220886835096</c:v>
                </c:pt>
                <c:pt idx="910">
                  <c:v>23.160784145789357</c:v>
                </c:pt>
                <c:pt idx="911">
                  <c:v>22.962481662142146</c:v>
                </c:pt>
                <c:pt idx="912">
                  <c:v>23.203478985050126</c:v>
                </c:pt>
                <c:pt idx="913">
                  <c:v>23.29465364489165</c:v>
                </c:pt>
                <c:pt idx="914">
                  <c:v>23.377864966560814</c:v>
                </c:pt>
                <c:pt idx="915">
                  <c:v>23.271092158510307</c:v>
                </c:pt>
                <c:pt idx="916">
                  <c:v>23.17667899513944</c:v>
                </c:pt>
                <c:pt idx="917">
                  <c:v>23.205380981133608</c:v>
                </c:pt>
                <c:pt idx="918">
                  <c:v>23.119557329845755</c:v>
                </c:pt>
                <c:pt idx="919">
                  <c:v>22.931090003922844</c:v>
                </c:pt>
                <c:pt idx="920">
                  <c:v>23.060151097673312</c:v>
                </c:pt>
                <c:pt idx="921">
                  <c:v>23.13892313618032</c:v>
                </c:pt>
                <c:pt idx="922">
                  <c:v>23.360698048678273</c:v>
                </c:pt>
                <c:pt idx="923">
                  <c:v>23.49931453819589</c:v>
                </c:pt>
                <c:pt idx="924">
                  <c:v>23.307717260606793</c:v>
                </c:pt>
                <c:pt idx="925">
                  <c:v>23.399988996309254</c:v>
                </c:pt>
                <c:pt idx="926">
                  <c:v>23.63190806436829</c:v>
                </c:pt>
                <c:pt idx="927">
                  <c:v>23.981582453552804</c:v>
                </c:pt>
                <c:pt idx="928">
                  <c:v>24.251430062821466</c:v>
                </c:pt>
                <c:pt idx="929">
                  <c:v>24.101267760455681</c:v>
                </c:pt>
                <c:pt idx="930">
                  <c:v>24.292508989161377</c:v>
                </c:pt>
                <c:pt idx="931">
                  <c:v>24.531111322256216</c:v>
                </c:pt>
                <c:pt idx="932">
                  <c:v>24.564573256908176</c:v>
                </c:pt>
                <c:pt idx="933">
                  <c:v>24.886435832458243</c:v>
                </c:pt>
                <c:pt idx="934">
                  <c:v>25.23637519826017</c:v>
                </c:pt>
                <c:pt idx="935">
                  <c:v>25.457400663727221</c:v>
                </c:pt>
                <c:pt idx="936">
                  <c:v>25.696115959023139</c:v>
                </c:pt>
                <c:pt idx="937">
                  <c:v>25.927127719755731</c:v>
                </c:pt>
                <c:pt idx="938">
                  <c:v>26.030380033284871</c:v>
                </c:pt>
                <c:pt idx="939">
                  <c:v>26.153328932025783</c:v>
                </c:pt>
                <c:pt idx="940">
                  <c:v>26.712361533563602</c:v>
                </c:pt>
                <c:pt idx="941">
                  <c:v>25.886801870756592</c:v>
                </c:pt>
                <c:pt idx="942">
                  <c:v>25.919825527618769</c:v>
                </c:pt>
                <c:pt idx="943">
                  <c:v>26.61403664684412</c:v>
                </c:pt>
                <c:pt idx="944">
                  <c:v>26.760600651137594</c:v>
                </c:pt>
                <c:pt idx="945">
                  <c:v>27.289551475640792</c:v>
                </c:pt>
                <c:pt idx="946">
                  <c:v>27.97903244528225</c:v>
                </c:pt>
                <c:pt idx="947">
                  <c:v>28.79251080771326</c:v>
                </c:pt>
                <c:pt idx="948">
                  <c:v>29.080663029183789</c:v>
                </c:pt>
                <c:pt idx="949">
                  <c:v>28.922008541176314</c:v>
                </c:pt>
                <c:pt idx="950">
                  <c:v>27.424909463588993</c:v>
                </c:pt>
                <c:pt idx="951">
                  <c:v>27.164429452204189</c:v>
                </c:pt>
                <c:pt idx="952">
                  <c:v>27.7550105357723</c:v>
                </c:pt>
                <c:pt idx="953">
                  <c:v>27.680945206307058</c:v>
                </c:pt>
                <c:pt idx="954">
                  <c:v>28.020482404563452</c:v>
                </c:pt>
                <c:pt idx="955">
                  <c:v>28.775750630885867</c:v>
                </c:pt>
                <c:pt idx="956">
                  <c:v>28.554771636203903</c:v>
                </c:pt>
                <c:pt idx="957">
                  <c:v>29.49838463362623</c:v>
                </c:pt>
                <c:pt idx="958">
                  <c:v>29.081835301537584</c:v>
                </c:pt>
                <c:pt idx="959">
                  <c:v>28.373890189601187</c:v>
                </c:pt>
                <c:pt idx="960">
                  <c:v>27.815803406598011</c:v>
                </c:pt>
                <c:pt idx="961">
                  <c:v>26.571770998251822</c:v>
                </c:pt>
                <c:pt idx="962">
                  <c:v>26.028818265153205</c:v>
                </c:pt>
                <c:pt idx="963">
                  <c:v>26.372051647137408</c:v>
                </c:pt>
                <c:pt idx="964">
                  <c:v>25.860589705906449</c:v>
                </c:pt>
                <c:pt idx="965">
                  <c:v>25.957525282000375</c:v>
                </c:pt>
                <c:pt idx="966">
                  <c:v>26.040820098954661</c:v>
                </c:pt>
                <c:pt idx="967">
                  <c:v>26.30466009302625</c:v>
                </c:pt>
                <c:pt idx="968">
                  <c:v>25.939418299391271</c:v>
                </c:pt>
                <c:pt idx="969">
                  <c:v>25.007908711932817</c:v>
                </c:pt>
                <c:pt idx="970">
                  <c:v>24.289012202333438</c:v>
                </c:pt>
                <c:pt idx="971">
                  <c:v>24.619975278938668</c:v>
                </c:pt>
                <c:pt idx="972">
                  <c:v>24.661076273765918</c:v>
                </c:pt>
                <c:pt idx="973">
                  <c:v>24.596968305724662</c:v>
                </c:pt>
                <c:pt idx="974">
                  <c:v>24.318418278025831</c:v>
                </c:pt>
                <c:pt idx="975">
                  <c:v>24.318767769016727</c:v>
                </c:pt>
                <c:pt idx="976">
                  <c:v>24.856828376245371</c:v>
                </c:pt>
                <c:pt idx="977">
                  <c:v>24.619606590510308</c:v>
                </c:pt>
                <c:pt idx="978">
                  <c:v>24.068739712948176</c:v>
                </c:pt>
                <c:pt idx="979">
                  <c:v>24.212475083184046</c:v>
                </c:pt>
                <c:pt idx="980">
                  <c:v>23.890770770465114</c:v>
                </c:pt>
                <c:pt idx="981">
                  <c:v>23.638090728528919</c:v>
                </c:pt>
                <c:pt idx="982">
                  <c:v>23.351644294713722</c:v>
                </c:pt>
                <c:pt idx="983">
                  <c:v>22.858055562270323</c:v>
                </c:pt>
                <c:pt idx="984">
                  <c:v>22.443384971188721</c:v>
                </c:pt>
                <c:pt idx="985">
                  <c:v>23.1676668757435</c:v>
                </c:pt>
                <c:pt idx="986">
                  <c:v>22.798578804020117</c:v>
                </c:pt>
                <c:pt idx="987">
                  <c:v>22.591085613260972</c:v>
                </c:pt>
                <c:pt idx="988">
                  <c:v>22.480738371574411</c:v>
                </c:pt>
                <c:pt idx="989">
                  <c:v>22.857243223043511</c:v>
                </c:pt>
                <c:pt idx="990">
                  <c:v>23.016163459174891</c:v>
                </c:pt>
                <c:pt idx="991">
                  <c:v>22.732906977260122</c:v>
                </c:pt>
                <c:pt idx="992">
                  <c:v>23.231757876142819</c:v>
                </c:pt>
                <c:pt idx="993">
                  <c:v>23.037415390145142</c:v>
                </c:pt>
                <c:pt idx="994">
                  <c:v>22.724981269535164</c:v>
                </c:pt>
                <c:pt idx="995">
                  <c:v>22.656926187921268</c:v>
                </c:pt>
                <c:pt idx="996">
                  <c:v>22.614957206266055</c:v>
                </c:pt>
                <c:pt idx="997">
                  <c:v>21.861299126372835</c:v>
                </c:pt>
                <c:pt idx="998">
                  <c:v>21.774913605494916</c:v>
                </c:pt>
                <c:pt idx="999">
                  <c:v>21.855188317267611</c:v>
                </c:pt>
                <c:pt idx="1000">
                  <c:v>21.777440950443008</c:v>
                </c:pt>
                <c:pt idx="1001">
                  <c:v>21.583038990693431</c:v>
                </c:pt>
                <c:pt idx="1002">
                  <c:v>21.259453355848542</c:v>
                </c:pt>
                <c:pt idx="1003">
                  <c:v>21.657025255971142</c:v>
                </c:pt>
                <c:pt idx="1004">
                  <c:v>21.402515197469924</c:v>
                </c:pt>
                <c:pt idx="1005">
                  <c:v>21.577990055024149</c:v>
                </c:pt>
                <c:pt idx="1006">
                  <c:v>21.349366881683824</c:v>
                </c:pt>
                <c:pt idx="1007">
                  <c:v>22.864427827408601</c:v>
                </c:pt>
                <c:pt idx="1008">
                  <c:v>22.235513255939683</c:v>
                </c:pt>
                <c:pt idx="1009">
                  <c:v>21.870622450968632</c:v>
                </c:pt>
                <c:pt idx="1010">
                  <c:v>21.520678196553174</c:v>
                </c:pt>
                <c:pt idx="1011">
                  <c:v>21.533346324522199</c:v>
                </c:pt>
                <c:pt idx="1012">
                  <c:v>21.506029990830445</c:v>
                </c:pt>
                <c:pt idx="1013">
                  <c:v>21.723328288430174</c:v>
                </c:pt>
                <c:pt idx="1014">
                  <c:v>21.961516032618327</c:v>
                </c:pt>
                <c:pt idx="1015">
                  <c:v>22.291393713935321</c:v>
                </c:pt>
                <c:pt idx="1016">
                  <c:v>22.550200921368493</c:v>
                </c:pt>
                <c:pt idx="1017">
                  <c:v>22.682767351888181</c:v>
                </c:pt>
                <c:pt idx="1018">
                  <c:v>22.218183754640876</c:v>
                </c:pt>
                <c:pt idx="1019">
                  <c:v>22.399294700363846</c:v>
                </c:pt>
                <c:pt idx="1020">
                  <c:v>22.027473211957584</c:v>
                </c:pt>
                <c:pt idx="1021">
                  <c:v>21.87258986469713</c:v>
                </c:pt>
                <c:pt idx="1022">
                  <c:v>21.723115845300374</c:v>
                </c:pt>
                <c:pt idx="1023">
                  <c:v>21.670423812881609</c:v>
                </c:pt>
                <c:pt idx="1024">
                  <c:v>21.514782907687483</c:v>
                </c:pt>
                <c:pt idx="1025">
                  <c:v>21.189680816395654</c:v>
                </c:pt>
                <c:pt idx="1026">
                  <c:v>22.058855519272928</c:v>
                </c:pt>
                <c:pt idx="1027">
                  <c:v>21.025532748151534</c:v>
                </c:pt>
                <c:pt idx="1028">
                  <c:v>20.852040038988914</c:v>
                </c:pt>
                <c:pt idx="1029">
                  <c:v>20.327957673103725</c:v>
                </c:pt>
                <c:pt idx="1030">
                  <c:v>20.398907295504248</c:v>
                </c:pt>
                <c:pt idx="1031">
                  <c:v>20.39288941671348</c:v>
                </c:pt>
                <c:pt idx="1032">
                  <c:v>20.344606033172688</c:v>
                </c:pt>
                <c:pt idx="1033">
                  <c:v>20.433806352260927</c:v>
                </c:pt>
                <c:pt idx="1034">
                  <c:v>20.176112093786259</c:v>
                </c:pt>
                <c:pt idx="1035">
                  <c:v>20.256718657606122</c:v>
                </c:pt>
                <c:pt idx="1036">
                  <c:v>20.438457504411879</c:v>
                </c:pt>
                <c:pt idx="1037">
                  <c:v>20.939737865548235</c:v>
                </c:pt>
                <c:pt idx="1038">
                  <c:v>21.17642025172557</c:v>
                </c:pt>
                <c:pt idx="1039">
                  <c:v>20.808039031625512</c:v>
                </c:pt>
                <c:pt idx="1040">
                  <c:v>20.992324581101144</c:v>
                </c:pt>
                <c:pt idx="1041">
                  <c:v>21.017498001767386</c:v>
                </c:pt>
                <c:pt idx="1042">
                  <c:v>20.720035209848291</c:v>
                </c:pt>
                <c:pt idx="1043">
                  <c:v>20.354934546906133</c:v>
                </c:pt>
                <c:pt idx="1044">
                  <c:v>20.002340262339313</c:v>
                </c:pt>
                <c:pt idx="1045">
                  <c:v>20.097288464161313</c:v>
                </c:pt>
                <c:pt idx="1046">
                  <c:v>20.048020741535218</c:v>
                </c:pt>
                <c:pt idx="1047">
                  <c:v>19.887158577499239</c:v>
                </c:pt>
                <c:pt idx="1048">
                  <c:v>21.417627071241959</c:v>
                </c:pt>
                <c:pt idx="1049">
                  <c:v>20.512138385281268</c:v>
                </c:pt>
                <c:pt idx="1050">
                  <c:v>20.451520005059034</c:v>
                </c:pt>
                <c:pt idx="1051">
                  <c:v>20.313044595793393</c:v>
                </c:pt>
                <c:pt idx="1052">
                  <c:v>19.834655307195504</c:v>
                </c:pt>
                <c:pt idx="1053">
                  <c:v>19.307816980903958</c:v>
                </c:pt>
                <c:pt idx="1054">
                  <c:v>18.794279257223224</c:v>
                </c:pt>
                <c:pt idx="1055">
                  <c:v>18.589191775693727</c:v>
                </c:pt>
                <c:pt idx="1056">
                  <c:v>18.46499788342993</c:v>
                </c:pt>
                <c:pt idx="1057">
                  <c:v>18.395314128584332</c:v>
                </c:pt>
                <c:pt idx="1058">
                  <c:v>18.539192068564574</c:v>
                </c:pt>
                <c:pt idx="1059">
                  <c:v>18.369354019531528</c:v>
                </c:pt>
                <c:pt idx="1060">
                  <c:v>18.169856245255566</c:v>
                </c:pt>
                <c:pt idx="1061">
                  <c:v>18.238427162488481</c:v>
                </c:pt>
                <c:pt idx="1062">
                  <c:v>17.989485955068186</c:v>
                </c:pt>
                <c:pt idx="1063">
                  <c:v>17.859593746963593</c:v>
                </c:pt>
                <c:pt idx="1064">
                  <c:v>17.515423866782172</c:v>
                </c:pt>
                <c:pt idx="1065">
                  <c:v>17.57413049929049</c:v>
                </c:pt>
                <c:pt idx="1066">
                  <c:v>17.952265460890189</c:v>
                </c:pt>
                <c:pt idx="1067">
                  <c:v>18.825389463443489</c:v>
                </c:pt>
                <c:pt idx="1068">
                  <c:v>21.286545433546813</c:v>
                </c:pt>
                <c:pt idx="1069">
                  <c:v>21.005042866019348</c:v>
                </c:pt>
                <c:pt idx="1070">
                  <c:v>20.62433223191751</c:v>
                </c:pt>
                <c:pt idx="1071">
                  <c:v>20.098497904985379</c:v>
                </c:pt>
                <c:pt idx="1072">
                  <c:v>19.744214266966406</c:v>
                </c:pt>
                <c:pt idx="1073">
                  <c:v>19.35255416314866</c:v>
                </c:pt>
                <c:pt idx="1074">
                  <c:v>19.148164530557786</c:v>
                </c:pt>
                <c:pt idx="1075">
                  <c:v>18.943227411753757</c:v>
                </c:pt>
                <c:pt idx="1076">
                  <c:v>18.167737972308842</c:v>
                </c:pt>
                <c:pt idx="1077">
                  <c:v>18.051657718671986</c:v>
                </c:pt>
                <c:pt idx="1078">
                  <c:v>17.435184826024802</c:v>
                </c:pt>
                <c:pt idx="1079">
                  <c:v>16.867865745869526</c:v>
                </c:pt>
                <c:pt idx="1080">
                  <c:v>16.55582988797163</c:v>
                </c:pt>
                <c:pt idx="1081">
                  <c:v>16.225375335315089</c:v>
                </c:pt>
                <c:pt idx="1082">
                  <c:v>15.91272520900687</c:v>
                </c:pt>
                <c:pt idx="1083">
                  <c:v>15.489717573723652</c:v>
                </c:pt>
                <c:pt idx="1084">
                  <c:v>15.437027895660773</c:v>
                </c:pt>
                <c:pt idx="1085">
                  <c:v>15.652819244395285</c:v>
                </c:pt>
                <c:pt idx="1086">
                  <c:v>15.652826014128919</c:v>
                </c:pt>
                <c:pt idx="1087">
                  <c:v>15.752390358556131</c:v>
                </c:pt>
                <c:pt idx="1088">
                  <c:v>17.499785195207696</c:v>
                </c:pt>
                <c:pt idx="1089">
                  <c:v>20.559326659136801</c:v>
                </c:pt>
                <c:pt idx="1090">
                  <c:v>19.192683022218333</c:v>
                </c:pt>
                <c:pt idx="1091">
                  <c:v>18.409563643531431</c:v>
                </c:pt>
                <c:pt idx="1092">
                  <c:v>18.769637556699426</c:v>
                </c:pt>
                <c:pt idx="1093">
                  <c:v>19.179938660048283</c:v>
                </c:pt>
                <c:pt idx="1094">
                  <c:v>19.380437825316292</c:v>
                </c:pt>
                <c:pt idx="1095">
                  <c:v>19.701582671706433</c:v>
                </c:pt>
                <c:pt idx="1096">
                  <c:v>19.755438721198544</c:v>
                </c:pt>
                <c:pt idx="1097">
                  <c:v>19.893684288832581</c:v>
                </c:pt>
                <c:pt idx="1098">
                  <c:v>19.832420688934008</c:v>
                </c:pt>
                <c:pt idx="1099">
                  <c:v>19.716689355380545</c:v>
                </c:pt>
                <c:pt idx="1100">
                  <c:v>19.227607500587048</c:v>
                </c:pt>
                <c:pt idx="1101">
                  <c:v>19.589264342448026</c:v>
                </c:pt>
                <c:pt idx="1102">
                  <c:v>19.098695049329553</c:v>
                </c:pt>
                <c:pt idx="1103">
                  <c:v>18.773966221242436</c:v>
                </c:pt>
                <c:pt idx="1104">
                  <c:v>18.783533388634048</c:v>
                </c:pt>
                <c:pt idx="1105">
                  <c:v>18.704976307502733</c:v>
                </c:pt>
                <c:pt idx="1106">
                  <c:v>18.494164158608619</c:v>
                </c:pt>
                <c:pt idx="1107">
                  <c:v>18.417242787378676</c:v>
                </c:pt>
                <c:pt idx="1108">
                  <c:v>18.840018737654141</c:v>
                </c:pt>
                <c:pt idx="1109">
                  <c:v>23.524209047938513</c:v>
                </c:pt>
                <c:pt idx="1110">
                  <c:v>21.971982038796831</c:v>
                </c:pt>
                <c:pt idx="1111">
                  <c:v>21.661427733996362</c:v>
                </c:pt>
                <c:pt idx="1112">
                  <c:v>21.641495829985452</c:v>
                </c:pt>
                <c:pt idx="1113">
                  <c:v>21.566084194703798</c:v>
                </c:pt>
                <c:pt idx="1114">
                  <c:v>21.45925529049628</c:v>
                </c:pt>
                <c:pt idx="1115">
                  <c:v>21.242166977160323</c:v>
                </c:pt>
                <c:pt idx="1116">
                  <c:v>20.872370131589602</c:v>
                </c:pt>
                <c:pt idx="1117">
                  <c:v>20.471637453325297</c:v>
                </c:pt>
                <c:pt idx="1118">
                  <c:v>20.227363612855818</c:v>
                </c:pt>
                <c:pt idx="1119">
                  <c:v>20.28463456397218</c:v>
                </c:pt>
                <c:pt idx="1120">
                  <c:v>20.170434973470286</c:v>
                </c:pt>
                <c:pt idx="1121">
                  <c:v>19.859255659123026</c:v>
                </c:pt>
                <c:pt idx="1122">
                  <c:v>19.531707937980158</c:v>
                </c:pt>
                <c:pt idx="1123">
                  <c:v>19.646829691752764</c:v>
                </c:pt>
                <c:pt idx="1124">
                  <c:v>19.872798160795139</c:v>
                </c:pt>
                <c:pt idx="1125">
                  <c:v>19.557394807927633</c:v>
                </c:pt>
                <c:pt idx="1126">
                  <c:v>19.482689193822612</c:v>
                </c:pt>
                <c:pt idx="1127">
                  <c:v>19.5072437388358</c:v>
                </c:pt>
                <c:pt idx="1128">
                  <c:v>19.467172600810475</c:v>
                </c:pt>
                <c:pt idx="1129">
                  <c:v>19.472186070245819</c:v>
                </c:pt>
                <c:pt idx="1130">
                  <c:v>19.249966285204174</c:v>
                </c:pt>
                <c:pt idx="1131">
                  <c:v>18.974418881976792</c:v>
                </c:pt>
                <c:pt idx="1132">
                  <c:v>21.164795688524645</c:v>
                </c:pt>
                <c:pt idx="1133">
                  <c:v>20.311831703096278</c:v>
                </c:pt>
                <c:pt idx="1134">
                  <c:v>20.024414314801554</c:v>
                </c:pt>
                <c:pt idx="1135">
                  <c:v>19.844703175825074</c:v>
                </c:pt>
                <c:pt idx="1136">
                  <c:v>19.852860952622869</c:v>
                </c:pt>
                <c:pt idx="1137">
                  <c:v>20.056272353968083</c:v>
                </c:pt>
                <c:pt idx="1138">
                  <c:v>19.868367596570529</c:v>
                </c:pt>
                <c:pt idx="1139">
                  <c:v>19.49160613918102</c:v>
                </c:pt>
                <c:pt idx="1140">
                  <c:v>19.735018053438036</c:v>
                </c:pt>
                <c:pt idx="1141">
                  <c:v>19.491879779653509</c:v>
                </c:pt>
                <c:pt idx="1142">
                  <c:v>19.511393708429075</c:v>
                </c:pt>
                <c:pt idx="1143">
                  <c:v>19.416369605366196</c:v>
                </c:pt>
                <c:pt idx="1144">
                  <c:v>19.064332497835018</c:v>
                </c:pt>
                <c:pt idx="1145">
                  <c:v>19.032018258345428</c:v>
                </c:pt>
                <c:pt idx="1146">
                  <c:v>19.156630557978552</c:v>
                </c:pt>
                <c:pt idx="1147">
                  <c:v>19.499216210593318</c:v>
                </c:pt>
                <c:pt idx="1148">
                  <c:v>19.393944453798269</c:v>
                </c:pt>
                <c:pt idx="1149">
                  <c:v>19.394079657420161</c:v>
                </c:pt>
                <c:pt idx="1150">
                  <c:v>19.307221384811214</c:v>
                </c:pt>
                <c:pt idx="1151">
                  <c:v>20.078584207236499</c:v>
                </c:pt>
                <c:pt idx="1152">
                  <c:v>22.608151621592278</c:v>
                </c:pt>
                <c:pt idx="1153">
                  <c:v>20.913971155213009</c:v>
                </c:pt>
                <c:pt idx="1154">
                  <c:v>19.906997028874091</c:v>
                </c:pt>
                <c:pt idx="1155">
                  <c:v>19.827767327558199</c:v>
                </c:pt>
                <c:pt idx="1156">
                  <c:v>19.685180516980068</c:v>
                </c:pt>
                <c:pt idx="1157">
                  <c:v>19.771979103577184</c:v>
                </c:pt>
                <c:pt idx="1158">
                  <c:v>19.501968775124883</c:v>
                </c:pt>
                <c:pt idx="1159">
                  <c:v>19.705255185582885</c:v>
                </c:pt>
                <c:pt idx="1160">
                  <c:v>19.987196280509313</c:v>
                </c:pt>
                <c:pt idx="1161">
                  <c:v>20.149880668756243</c:v>
                </c:pt>
                <c:pt idx="1162">
                  <c:v>20.560696490849793</c:v>
                </c:pt>
                <c:pt idx="1163">
                  <c:v>20.142149603932527</c:v>
                </c:pt>
                <c:pt idx="1164">
                  <c:v>20.067101078744653</c:v>
                </c:pt>
                <c:pt idx="1165">
                  <c:v>19.784488819250342</c:v>
                </c:pt>
                <c:pt idx="1166">
                  <c:v>20.04807030738418</c:v>
                </c:pt>
                <c:pt idx="1167">
                  <c:v>20.101716111515579</c:v>
                </c:pt>
                <c:pt idx="1168">
                  <c:v>20.100071533515504</c:v>
                </c:pt>
                <c:pt idx="1169">
                  <c:v>19.555007597866336</c:v>
                </c:pt>
                <c:pt idx="1170">
                  <c:v>19.541022056456171</c:v>
                </c:pt>
                <c:pt idx="1171">
                  <c:v>19.218877938092106</c:v>
                </c:pt>
                <c:pt idx="1172">
                  <c:v>19.208553962306603</c:v>
                </c:pt>
                <c:pt idx="1173">
                  <c:v>19.169878624920766</c:v>
                </c:pt>
                <c:pt idx="1174">
                  <c:v>19.215134592808148</c:v>
                </c:pt>
                <c:pt idx="1175">
                  <c:v>23.170061496919782</c:v>
                </c:pt>
                <c:pt idx="1176">
                  <c:v>22.398691287688209</c:v>
                </c:pt>
                <c:pt idx="1177">
                  <c:v>21.16240044111548</c:v>
                </c:pt>
                <c:pt idx="1178">
                  <c:v>20.580515083442837</c:v>
                </c:pt>
                <c:pt idx="1179">
                  <c:v>20.158873874267382</c:v>
                </c:pt>
                <c:pt idx="1180">
                  <c:v>19.999902613263608</c:v>
                </c:pt>
                <c:pt idx="1181">
                  <c:v>19.848879725087858</c:v>
                </c:pt>
                <c:pt idx="1182">
                  <c:v>19.509884208067842</c:v>
                </c:pt>
                <c:pt idx="1183">
                  <c:v>19.406060912351535</c:v>
                </c:pt>
                <c:pt idx="1184">
                  <c:v>19.187372405203231</c:v>
                </c:pt>
                <c:pt idx="1185">
                  <c:v>18.705442202589289</c:v>
                </c:pt>
                <c:pt idx="1186">
                  <c:v>18.55633385647554</c:v>
                </c:pt>
                <c:pt idx="1187">
                  <c:v>18.464410980466731</c:v>
                </c:pt>
                <c:pt idx="1188">
                  <c:v>18.394356662400885</c:v>
                </c:pt>
                <c:pt idx="1189">
                  <c:v>18.240674836080878</c:v>
                </c:pt>
                <c:pt idx="1190">
                  <c:v>18.134070836610348</c:v>
                </c:pt>
                <c:pt idx="1191">
                  <c:v>17.686323548976276</c:v>
                </c:pt>
                <c:pt idx="1192">
                  <c:v>17.57746674833977</c:v>
                </c:pt>
                <c:pt idx="1193">
                  <c:v>17.359349173156524</c:v>
                </c:pt>
                <c:pt idx="1194">
                  <c:v>17.643069112849723</c:v>
                </c:pt>
                <c:pt idx="1195">
                  <c:v>17.707718142497132</c:v>
                </c:pt>
                <c:pt idx="1196">
                  <c:v>17.440742949323301</c:v>
                </c:pt>
                <c:pt idx="1197">
                  <c:v>21.372446293575567</c:v>
                </c:pt>
                <c:pt idx="1198">
                  <c:v>20.033120462980346</c:v>
                </c:pt>
                <c:pt idx="1199">
                  <c:v>19.109151900926612</c:v>
                </c:pt>
                <c:pt idx="1200">
                  <c:v>18.481967467719571</c:v>
                </c:pt>
                <c:pt idx="1201">
                  <c:v>18.300826599296229</c:v>
                </c:pt>
                <c:pt idx="1202">
                  <c:v>18.326121649160008</c:v>
                </c:pt>
                <c:pt idx="1203">
                  <c:v>19.464506123636433</c:v>
                </c:pt>
                <c:pt idx="1204">
                  <c:v>19.923286544563446</c:v>
                </c:pt>
                <c:pt idx="1205">
                  <c:v>19.452250041663302</c:v>
                </c:pt>
                <c:pt idx="1206">
                  <c:v>19.363612423498548</c:v>
                </c:pt>
                <c:pt idx="1207">
                  <c:v>19.862465826977246</c:v>
                </c:pt>
                <c:pt idx="1208">
                  <c:v>19.530519796560576</c:v>
                </c:pt>
                <c:pt idx="1209">
                  <c:v>18.751460679897082</c:v>
                </c:pt>
                <c:pt idx="1210">
                  <c:v>18.917527991382858</c:v>
                </c:pt>
                <c:pt idx="1211">
                  <c:v>18.958292749952637</c:v>
                </c:pt>
                <c:pt idx="1212">
                  <c:v>18.762956139547533</c:v>
                </c:pt>
                <c:pt idx="1213">
                  <c:v>18.560630320084282</c:v>
                </c:pt>
                <c:pt idx="1214">
                  <c:v>18.293905527598245</c:v>
                </c:pt>
                <c:pt idx="1215">
                  <c:v>18.450622017713304</c:v>
                </c:pt>
                <c:pt idx="1216">
                  <c:v>17.970128943452082</c:v>
                </c:pt>
                <c:pt idx="1217">
                  <c:v>17.824018658159964</c:v>
                </c:pt>
                <c:pt idx="1218">
                  <c:v>19.939706807394455</c:v>
                </c:pt>
                <c:pt idx="1219">
                  <c:v>19.203030729509166</c:v>
                </c:pt>
                <c:pt idx="1220">
                  <c:v>18.550495502015522</c:v>
                </c:pt>
                <c:pt idx="1221">
                  <c:v>18.469360067686662</c:v>
                </c:pt>
                <c:pt idx="1222">
                  <c:v>18.262050084849914</c:v>
                </c:pt>
                <c:pt idx="1223">
                  <c:v>18.234420402632054</c:v>
                </c:pt>
                <c:pt idx="1224">
                  <c:v>18.115721005114207</c:v>
                </c:pt>
                <c:pt idx="1225">
                  <c:v>17.948816072499685</c:v>
                </c:pt>
                <c:pt idx="1226">
                  <c:v>18.202363210538486</c:v>
                </c:pt>
                <c:pt idx="1227">
                  <c:v>18.159737006826781</c:v>
                </c:pt>
                <c:pt idx="1228">
                  <c:v>18.032923228812816</c:v>
                </c:pt>
                <c:pt idx="1229">
                  <c:v>18.069802406949407</c:v>
                </c:pt>
                <c:pt idx="1230">
                  <c:v>17.690667219908313</c:v>
                </c:pt>
                <c:pt idx="1231">
                  <c:v>17.710477994958282</c:v>
                </c:pt>
                <c:pt idx="1232">
                  <c:v>17.65946943020386</c:v>
                </c:pt>
                <c:pt idx="1233">
                  <c:v>17.344320683654484</c:v>
                </c:pt>
                <c:pt idx="1234">
                  <c:v>17.050708310464842</c:v>
                </c:pt>
                <c:pt idx="1235">
                  <c:v>16.971712807497838</c:v>
                </c:pt>
                <c:pt idx="1236">
                  <c:v>16.854576897065911</c:v>
                </c:pt>
                <c:pt idx="1237">
                  <c:v>16.66406880839428</c:v>
                </c:pt>
                <c:pt idx="1238">
                  <c:v>16.676189619025934</c:v>
                </c:pt>
                <c:pt idx="1239">
                  <c:v>16.545713417545517</c:v>
                </c:pt>
                <c:pt idx="1240">
                  <c:v>16.064808546802041</c:v>
                </c:pt>
                <c:pt idx="1241">
                  <c:v>18.660348936675604</c:v>
                </c:pt>
                <c:pt idx="1242">
                  <c:v>17.485349738934655</c:v>
                </c:pt>
                <c:pt idx="1243">
                  <c:v>17.452433829995243</c:v>
                </c:pt>
                <c:pt idx="1244">
                  <c:v>17.173708636099487</c:v>
                </c:pt>
                <c:pt idx="1245">
                  <c:v>16.850662295773326</c:v>
                </c:pt>
                <c:pt idx="1246">
                  <c:v>16.411737962695646</c:v>
                </c:pt>
                <c:pt idx="1247">
                  <c:v>16.25924823389488</c:v>
                </c:pt>
                <c:pt idx="1248">
                  <c:v>15.90532682625582</c:v>
                </c:pt>
                <c:pt idx="1249">
                  <c:v>15.725494293385179</c:v>
                </c:pt>
                <c:pt idx="1250">
                  <c:v>15.614587804446478</c:v>
                </c:pt>
                <c:pt idx="1251">
                  <c:v>15.618454964000181</c:v>
                </c:pt>
                <c:pt idx="1252">
                  <c:v>15.490637679372341</c:v>
                </c:pt>
                <c:pt idx="1253">
                  <c:v>15.501193597355279</c:v>
                </c:pt>
                <c:pt idx="1254">
                  <c:v>15.402222737756677</c:v>
                </c:pt>
                <c:pt idx="1255">
                  <c:v>15.425718300032889</c:v>
                </c:pt>
                <c:pt idx="1256">
                  <c:v>15.605427374406107</c:v>
                </c:pt>
                <c:pt idx="1257">
                  <c:v>15.478808283056829</c:v>
                </c:pt>
                <c:pt idx="1258">
                  <c:v>15.365298326653775</c:v>
                </c:pt>
                <c:pt idx="1259">
                  <c:v>15.499031032800762</c:v>
                </c:pt>
                <c:pt idx="1260">
                  <c:v>15.44559886397874</c:v>
                </c:pt>
                <c:pt idx="1261">
                  <c:v>16.471298927861739</c:v>
                </c:pt>
                <c:pt idx="1262">
                  <c:v>17.537450819547811</c:v>
                </c:pt>
                <c:pt idx="1263">
                  <c:v>16.675951981355048</c:v>
                </c:pt>
                <c:pt idx="1264">
                  <c:v>15.967704785598864</c:v>
                </c:pt>
                <c:pt idx="1265">
                  <c:v>15.442465298384402</c:v>
                </c:pt>
                <c:pt idx="1266">
                  <c:v>14.894154367376247</c:v>
                </c:pt>
                <c:pt idx="1267">
                  <c:v>14.559378072722374</c:v>
                </c:pt>
                <c:pt idx="1268">
                  <c:v>14.15184723993141</c:v>
                </c:pt>
                <c:pt idx="1269">
                  <c:v>14.046723426193742</c:v>
                </c:pt>
                <c:pt idx="1270">
                  <c:v>13.844146453040512</c:v>
                </c:pt>
                <c:pt idx="1271">
                  <c:v>13.797201902196578</c:v>
                </c:pt>
                <c:pt idx="1272">
                  <c:v>13.503485194515676</c:v>
                </c:pt>
                <c:pt idx="1273">
                  <c:v>13.408516360746091</c:v>
                </c:pt>
                <c:pt idx="1274">
                  <c:v>13.420839712191007</c:v>
                </c:pt>
                <c:pt idx="1275">
                  <c:v>13.454308598589851</c:v>
                </c:pt>
                <c:pt idx="1276">
                  <c:v>13.525177708620308</c:v>
                </c:pt>
                <c:pt idx="1277">
                  <c:v>13.284032544373352</c:v>
                </c:pt>
                <c:pt idx="1278">
                  <c:v>13.070102337972454</c:v>
                </c:pt>
                <c:pt idx="1279">
                  <c:v>13.018439806597611</c:v>
                </c:pt>
                <c:pt idx="1280">
                  <c:v>12.415948349226637</c:v>
                </c:pt>
                <c:pt idx="1281">
                  <c:v>11.83837086560872</c:v>
                </c:pt>
                <c:pt idx="1282">
                  <c:v>14.670243717045615</c:v>
                </c:pt>
                <c:pt idx="1283">
                  <c:v>13.491020581614217</c:v>
                </c:pt>
                <c:pt idx="1284">
                  <c:v>13.071362414755317</c:v>
                </c:pt>
                <c:pt idx="1285">
                  <c:v>12.964844877454182</c:v>
                </c:pt>
                <c:pt idx="1286">
                  <c:v>12.907149419784909</c:v>
                </c:pt>
                <c:pt idx="1287">
                  <c:v>12.999284565028699</c:v>
                </c:pt>
                <c:pt idx="1288">
                  <c:v>12.988948248255317</c:v>
                </c:pt>
                <c:pt idx="1289">
                  <c:v>12.844965831892257</c:v>
                </c:pt>
                <c:pt idx="1290">
                  <c:v>12.083505774235825</c:v>
                </c:pt>
                <c:pt idx="1291">
                  <c:v>11.843241353633424</c:v>
                </c:pt>
                <c:pt idx="1292">
                  <c:v>11.377725149091606</c:v>
                </c:pt>
                <c:pt idx="1293">
                  <c:v>11.280295100668834</c:v>
                </c:pt>
                <c:pt idx="1294">
                  <c:v>10.942998333028564</c:v>
                </c:pt>
                <c:pt idx="1295">
                  <c:v>10.888055463166889</c:v>
                </c:pt>
                <c:pt idx="1296">
                  <c:v>11.105621908196181</c:v>
                </c:pt>
                <c:pt idx="1297">
                  <c:v>10.824364928153773</c:v>
                </c:pt>
                <c:pt idx="1298">
                  <c:v>10.629399477610814</c:v>
                </c:pt>
                <c:pt idx="1299">
                  <c:v>10.811545972764723</c:v>
                </c:pt>
                <c:pt idx="1300">
                  <c:v>10.985175104218573</c:v>
                </c:pt>
                <c:pt idx="1301">
                  <c:v>10.739927873249515</c:v>
                </c:pt>
                <c:pt idx="1302">
                  <c:v>10.388759038116067</c:v>
                </c:pt>
                <c:pt idx="1303">
                  <c:v>10.430565960991668</c:v>
                </c:pt>
                <c:pt idx="1304">
                  <c:v>13.082946548436954</c:v>
                </c:pt>
                <c:pt idx="1305">
                  <c:v>12.467061763902908</c:v>
                </c:pt>
                <c:pt idx="1306">
                  <c:v>12.131673732931322</c:v>
                </c:pt>
                <c:pt idx="1307">
                  <c:v>11.524603537783836</c:v>
                </c:pt>
                <c:pt idx="1308">
                  <c:v>11.437711236668013</c:v>
                </c:pt>
                <c:pt idx="1309">
                  <c:v>10.827375280157419</c:v>
                </c:pt>
                <c:pt idx="1310">
                  <c:v>10.819540552422573</c:v>
                </c:pt>
                <c:pt idx="1311">
                  <c:v>10.611715747318302</c:v>
                </c:pt>
                <c:pt idx="1312">
                  <c:v>10.484939970088707</c:v>
                </c:pt>
                <c:pt idx="1313">
                  <c:v>10.511652518227681</c:v>
                </c:pt>
                <c:pt idx="1314">
                  <c:v>10.389969029538365</c:v>
                </c:pt>
                <c:pt idx="1315">
                  <c:v>10.509469441880837</c:v>
                </c:pt>
                <c:pt idx="1316">
                  <c:v>10.328538133377048</c:v>
                </c:pt>
                <c:pt idx="1317">
                  <c:v>10.172685650107281</c:v>
                </c:pt>
                <c:pt idx="1318">
                  <c:v>10.049330302135935</c:v>
                </c:pt>
                <c:pt idx="1319">
                  <c:v>9.7534739023353367</c:v>
                </c:pt>
                <c:pt idx="1320">
                  <c:v>9.8392984161083099</c:v>
                </c:pt>
                <c:pt idx="1321">
                  <c:v>9.6998241996318786</c:v>
                </c:pt>
                <c:pt idx="1322">
                  <c:v>9.5697802775112635</c:v>
                </c:pt>
                <c:pt idx="1323">
                  <c:v>10.90890692439833</c:v>
                </c:pt>
                <c:pt idx="1324">
                  <c:v>12.772605366173359</c:v>
                </c:pt>
                <c:pt idx="1325">
                  <c:v>12.103495359957499</c:v>
                </c:pt>
                <c:pt idx="1326">
                  <c:v>11.768024619041734</c:v>
                </c:pt>
                <c:pt idx="1327">
                  <c:v>11.420633723727422</c:v>
                </c:pt>
                <c:pt idx="1328">
                  <c:v>10.940042496850943</c:v>
                </c:pt>
                <c:pt idx="1329">
                  <c:v>11.067073401991761</c:v>
                </c:pt>
                <c:pt idx="1330">
                  <c:v>11.222594523048228</c:v>
                </c:pt>
                <c:pt idx="1331">
                  <c:v>10.92405336655853</c:v>
                </c:pt>
                <c:pt idx="1332">
                  <c:v>10.523122458009162</c:v>
                </c:pt>
                <c:pt idx="1333">
                  <c:v>10.338483288742573</c:v>
                </c:pt>
                <c:pt idx="1334">
                  <c:v>9.392424355712965</c:v>
                </c:pt>
                <c:pt idx="1335">
                  <c:v>9.0546753139822336</c:v>
                </c:pt>
                <c:pt idx="1336">
                  <c:v>8.4046997977240281</c:v>
                </c:pt>
                <c:pt idx="1337">
                  <c:v>8.5444110633646613</c:v>
                </c:pt>
                <c:pt idx="1338">
                  <c:v>8.5437735474479553</c:v>
                </c:pt>
                <c:pt idx="1339">
                  <c:v>8.2187267493653113</c:v>
                </c:pt>
                <c:pt idx="1340">
                  <c:v>8.6416690335255986</c:v>
                </c:pt>
                <c:pt idx="1341">
                  <c:v>8.6188940031949937</c:v>
                </c:pt>
                <c:pt idx="1342">
                  <c:v>8.7944840704856198</c:v>
                </c:pt>
                <c:pt idx="1343">
                  <c:v>8.5607297329540692</c:v>
                </c:pt>
                <c:pt idx="1344">
                  <c:v>8.4564777644822016</c:v>
                </c:pt>
                <c:pt idx="1345">
                  <c:v>9.3887027684872102</c:v>
                </c:pt>
                <c:pt idx="1346">
                  <c:v>12.322428859069712</c:v>
                </c:pt>
                <c:pt idx="1347">
                  <c:v>10.976073413647196</c:v>
                </c:pt>
                <c:pt idx="1348">
                  <c:v>10.865130297725965</c:v>
                </c:pt>
                <c:pt idx="1349">
                  <c:v>11.236783229120539</c:v>
                </c:pt>
                <c:pt idx="1350">
                  <c:v>11.694969410612666</c:v>
                </c:pt>
                <c:pt idx="1351">
                  <c:v>11.238540458519738</c:v>
                </c:pt>
                <c:pt idx="1352">
                  <c:v>11.179749385294436</c:v>
                </c:pt>
                <c:pt idx="1353">
                  <c:v>10.719065102464342</c:v>
                </c:pt>
                <c:pt idx="1354">
                  <c:v>10.183198726682766</c:v>
                </c:pt>
                <c:pt idx="1355">
                  <c:v>11.275274902969253</c:v>
                </c:pt>
                <c:pt idx="1356">
                  <c:v>11.407776254925945</c:v>
                </c:pt>
                <c:pt idx="1357">
                  <c:v>10.782856868483231</c:v>
                </c:pt>
                <c:pt idx="1358">
                  <c:v>10.239011868957149</c:v>
                </c:pt>
                <c:pt idx="1359">
                  <c:v>10.22713057818051</c:v>
                </c:pt>
                <c:pt idx="1360">
                  <c:v>9.8965507346918429</c:v>
                </c:pt>
                <c:pt idx="1361">
                  <c:v>9.7455535767729167</c:v>
                </c:pt>
                <c:pt idx="1362">
                  <c:v>9.4969344017622657</c:v>
                </c:pt>
                <c:pt idx="1363">
                  <c:v>9.5352609138815065</c:v>
                </c:pt>
                <c:pt idx="1364">
                  <c:v>9.3483577976969379</c:v>
                </c:pt>
                <c:pt idx="1365">
                  <c:v>9.8910254661379664</c:v>
                </c:pt>
                <c:pt idx="1366">
                  <c:v>14.919017343396993</c:v>
                </c:pt>
                <c:pt idx="1367">
                  <c:v>13.211442455689426</c:v>
                </c:pt>
                <c:pt idx="1368">
                  <c:v>12.887301387603973</c:v>
                </c:pt>
                <c:pt idx="1369">
                  <c:v>12.531428317671093</c:v>
                </c:pt>
                <c:pt idx="1370">
                  <c:v>12.516745224459164</c:v>
                </c:pt>
                <c:pt idx="1371">
                  <c:v>12.868338595303079</c:v>
                </c:pt>
                <c:pt idx="1372">
                  <c:v>12.590807364586876</c:v>
                </c:pt>
                <c:pt idx="1373">
                  <c:v>12.261759106781213</c:v>
                </c:pt>
                <c:pt idx="1374">
                  <c:v>12.050420737089139</c:v>
                </c:pt>
                <c:pt idx="1375">
                  <c:v>11.960559350660812</c:v>
                </c:pt>
                <c:pt idx="1376">
                  <c:v>12.145894757335075</c:v>
                </c:pt>
                <c:pt idx="1377">
                  <c:v>12.112501189276932</c:v>
                </c:pt>
                <c:pt idx="1378">
                  <c:v>11.973863260849528</c:v>
                </c:pt>
                <c:pt idx="1379">
                  <c:v>12.016191762402171</c:v>
                </c:pt>
                <c:pt idx="1380">
                  <c:v>11.818938183646232</c:v>
                </c:pt>
                <c:pt idx="1381">
                  <c:v>11.382100944082467</c:v>
                </c:pt>
                <c:pt idx="1382">
                  <c:v>11.340016955133613</c:v>
                </c:pt>
                <c:pt idx="1383">
                  <c:v>11.475799206724183</c:v>
                </c:pt>
                <c:pt idx="1384">
                  <c:v>11.276379856632653</c:v>
                </c:pt>
                <c:pt idx="1385">
                  <c:v>11.188224693507522</c:v>
                </c:pt>
                <c:pt idx="1386">
                  <c:v>11.724109596142657</c:v>
                </c:pt>
                <c:pt idx="1387">
                  <c:v>15.627438545311467</c:v>
                </c:pt>
                <c:pt idx="1388">
                  <c:v>13.854270864630688</c:v>
                </c:pt>
                <c:pt idx="1389">
                  <c:v>13.413587187167746</c:v>
                </c:pt>
                <c:pt idx="1390">
                  <c:v>13.114924224564396</c:v>
                </c:pt>
                <c:pt idx="1391">
                  <c:v>13.349268429566568</c:v>
                </c:pt>
                <c:pt idx="1392">
                  <c:v>13.559341981909899</c:v>
                </c:pt>
                <c:pt idx="1393">
                  <c:v>12.86185673441123</c:v>
                </c:pt>
                <c:pt idx="1394">
                  <c:v>12.557975508929076</c:v>
                </c:pt>
                <c:pt idx="1395">
                  <c:v>12.238357751406976</c:v>
                </c:pt>
                <c:pt idx="1396">
                  <c:v>12.132573061963726</c:v>
                </c:pt>
                <c:pt idx="1397">
                  <c:v>11.768072448016675</c:v>
                </c:pt>
                <c:pt idx="1398">
                  <c:v>12.055459130158729</c:v>
                </c:pt>
                <c:pt idx="1399">
                  <c:v>11.819483955797185</c:v>
                </c:pt>
                <c:pt idx="1400">
                  <c:v>12.190760847758284</c:v>
                </c:pt>
                <c:pt idx="1401">
                  <c:v>12.258732606988556</c:v>
                </c:pt>
                <c:pt idx="1402">
                  <c:v>12.045003542611175</c:v>
                </c:pt>
                <c:pt idx="1403">
                  <c:v>12.389504216322241</c:v>
                </c:pt>
                <c:pt idx="1404">
                  <c:v>12.489846305729662</c:v>
                </c:pt>
                <c:pt idx="1405">
                  <c:v>12.263420260165804</c:v>
                </c:pt>
                <c:pt idx="1406">
                  <c:v>12.292631124675443</c:v>
                </c:pt>
                <c:pt idx="1407">
                  <c:v>12.392340973871585</c:v>
                </c:pt>
                <c:pt idx="1408">
                  <c:v>12.780970005485949</c:v>
                </c:pt>
                <c:pt idx="1409">
                  <c:v>16.254595223002458</c:v>
                </c:pt>
                <c:pt idx="1410">
                  <c:v>15.044882165569081</c:v>
                </c:pt>
                <c:pt idx="1411">
                  <c:v>14.442411232018401</c:v>
                </c:pt>
                <c:pt idx="1412">
                  <c:v>14.613679214201577</c:v>
                </c:pt>
                <c:pt idx="1413">
                  <c:v>14.394207589702901</c:v>
                </c:pt>
                <c:pt idx="1414">
                  <c:v>14.099796067388251</c:v>
                </c:pt>
                <c:pt idx="1415">
                  <c:v>13.986393580760303</c:v>
                </c:pt>
                <c:pt idx="1416">
                  <c:v>13.51129173457038</c:v>
                </c:pt>
                <c:pt idx="1417">
                  <c:v>14.065544376828903</c:v>
                </c:pt>
                <c:pt idx="1418">
                  <c:v>13.5251906808321</c:v>
                </c:pt>
                <c:pt idx="1419">
                  <c:v>13.615566714330019</c:v>
                </c:pt>
                <c:pt idx="1420">
                  <c:v>13.341290074118323</c:v>
                </c:pt>
                <c:pt idx="1421">
                  <c:v>13.047455880920527</c:v>
                </c:pt>
                <c:pt idx="1422">
                  <c:v>12.548756756869182</c:v>
                </c:pt>
                <c:pt idx="1423">
                  <c:v>12.450768380789327</c:v>
                </c:pt>
                <c:pt idx="1424">
                  <c:v>12.416037106481568</c:v>
                </c:pt>
                <c:pt idx="1425">
                  <c:v>12.469298060006057</c:v>
                </c:pt>
                <c:pt idx="1426">
                  <c:v>12.222459483936884</c:v>
                </c:pt>
                <c:pt idx="1427">
                  <c:v>11.896881280029618</c:v>
                </c:pt>
                <c:pt idx="1428">
                  <c:v>11.893745347220289</c:v>
                </c:pt>
                <c:pt idx="1429">
                  <c:v>12.140633884937211</c:v>
                </c:pt>
                <c:pt idx="1430">
                  <c:v>12.141054599390301</c:v>
                </c:pt>
                <c:pt idx="1431">
                  <c:v>12.282698365058332</c:v>
                </c:pt>
                <c:pt idx="1432">
                  <c:v>15.135898578610687</c:v>
                </c:pt>
                <c:pt idx="1433">
                  <c:v>14.421269441426384</c:v>
                </c:pt>
                <c:pt idx="1434">
                  <c:v>14.104116293491318</c:v>
                </c:pt>
                <c:pt idx="1435">
                  <c:v>14.044420701737049</c:v>
                </c:pt>
                <c:pt idx="1436">
                  <c:v>13.797727415290097</c:v>
                </c:pt>
                <c:pt idx="1437">
                  <c:v>13.693810769612814</c:v>
                </c:pt>
                <c:pt idx="1438">
                  <c:v>13.447250210545846</c:v>
                </c:pt>
                <c:pt idx="1439">
                  <c:v>13.100645318719648</c:v>
                </c:pt>
                <c:pt idx="1440">
                  <c:v>13.052790137796238</c:v>
                </c:pt>
                <c:pt idx="1441">
                  <c:v>12.695087203342425</c:v>
                </c:pt>
                <c:pt idx="1442">
                  <c:v>13.020619797849704</c:v>
                </c:pt>
                <c:pt idx="1443">
                  <c:v>13.15180881325503</c:v>
                </c:pt>
                <c:pt idx="1444">
                  <c:v>13.122892077467391</c:v>
                </c:pt>
                <c:pt idx="1445">
                  <c:v>13.010536154808856</c:v>
                </c:pt>
                <c:pt idx="1446">
                  <c:v>12.8094735070783</c:v>
                </c:pt>
                <c:pt idx="1447">
                  <c:v>13.064476486801579</c:v>
                </c:pt>
                <c:pt idx="1448">
                  <c:v>13.3888382228747</c:v>
                </c:pt>
                <c:pt idx="1449">
                  <c:v>13.647093499616235</c:v>
                </c:pt>
                <c:pt idx="1450">
                  <c:v>13.619499627805959</c:v>
                </c:pt>
                <c:pt idx="1451">
                  <c:v>13.960822090017901</c:v>
                </c:pt>
                <c:pt idx="1452">
                  <c:v>13.702575286728084</c:v>
                </c:pt>
                <c:pt idx="1453">
                  <c:v>17.073719496389064</c:v>
                </c:pt>
                <c:pt idx="1454">
                  <c:v>16.205646747691489</c:v>
                </c:pt>
                <c:pt idx="1455">
                  <c:v>15.811500387220246</c:v>
                </c:pt>
                <c:pt idx="1456">
                  <c:v>15.177706762833704</c:v>
                </c:pt>
                <c:pt idx="1457">
                  <c:v>14.779535432162454</c:v>
                </c:pt>
                <c:pt idx="1458">
                  <c:v>14.413529124923267</c:v>
                </c:pt>
                <c:pt idx="1459">
                  <c:v>14.172461783214928</c:v>
                </c:pt>
                <c:pt idx="1460">
                  <c:v>14.117892420939267</c:v>
                </c:pt>
                <c:pt idx="1461">
                  <c:v>14.011180876490144</c:v>
                </c:pt>
                <c:pt idx="1462">
                  <c:v>14.324716189094316</c:v>
                </c:pt>
                <c:pt idx="1463">
                  <c:v>14.333861649008965</c:v>
                </c:pt>
                <c:pt idx="1464">
                  <c:v>14.138172288809209</c:v>
                </c:pt>
                <c:pt idx="1465">
                  <c:v>14.059128410745343</c:v>
                </c:pt>
                <c:pt idx="1466">
                  <c:v>13.787011768191626</c:v>
                </c:pt>
                <c:pt idx="1467">
                  <c:v>13.530295949327728</c:v>
                </c:pt>
                <c:pt idx="1468">
                  <c:v>13.410894807536147</c:v>
                </c:pt>
                <c:pt idx="1469">
                  <c:v>13.610487090333585</c:v>
                </c:pt>
                <c:pt idx="1470">
                  <c:v>13.633580456736825</c:v>
                </c:pt>
                <c:pt idx="1471">
                  <c:v>13.498233299590154</c:v>
                </c:pt>
                <c:pt idx="1472">
                  <c:v>13.617782013505856</c:v>
                </c:pt>
                <c:pt idx="1473">
                  <c:v>13.7503246404378</c:v>
                </c:pt>
                <c:pt idx="1474">
                  <c:v>12.836109070089357</c:v>
                </c:pt>
                <c:pt idx="1475">
                  <c:v>14.35304051641112</c:v>
                </c:pt>
                <c:pt idx="1476">
                  <c:v>13.775750826264597</c:v>
                </c:pt>
                <c:pt idx="1477">
                  <c:v>13.718154627041342</c:v>
                </c:pt>
                <c:pt idx="1478">
                  <c:v>13.555619747035607</c:v>
                </c:pt>
                <c:pt idx="1479">
                  <c:v>13.685856319537583</c:v>
                </c:pt>
                <c:pt idx="1480">
                  <c:v>13.587160934157119</c:v>
                </c:pt>
                <c:pt idx="1481">
                  <c:v>13.488246123347835</c:v>
                </c:pt>
                <c:pt idx="1482">
                  <c:v>13.082350938803025</c:v>
                </c:pt>
                <c:pt idx="1483">
                  <c:v>13.099347105889683</c:v>
                </c:pt>
                <c:pt idx="1484">
                  <c:v>13.190054747902868</c:v>
                </c:pt>
                <c:pt idx="1485">
                  <c:v>13.141591145909299</c:v>
                </c:pt>
                <c:pt idx="1486">
                  <c:v>13.267713472506571</c:v>
                </c:pt>
                <c:pt idx="1487">
                  <c:v>13.535349885486267</c:v>
                </c:pt>
                <c:pt idx="1488">
                  <c:v>13.573072912980161</c:v>
                </c:pt>
                <c:pt idx="1489">
                  <c:v>13.491274874385153</c:v>
                </c:pt>
                <c:pt idx="1490">
                  <c:v>13.618411834857607</c:v>
                </c:pt>
                <c:pt idx="1491">
                  <c:v>13.797949567886793</c:v>
                </c:pt>
                <c:pt idx="1492">
                  <c:v>13.803636698131442</c:v>
                </c:pt>
                <c:pt idx="1493">
                  <c:v>13.550872230166668</c:v>
                </c:pt>
                <c:pt idx="1494">
                  <c:v>13.536043099440347</c:v>
                </c:pt>
                <c:pt idx="1495">
                  <c:v>13.359786223872526</c:v>
                </c:pt>
                <c:pt idx="1496">
                  <c:v>13.568570321670446</c:v>
                </c:pt>
                <c:pt idx="1497">
                  <c:v>13.976134753555677</c:v>
                </c:pt>
                <c:pt idx="1498">
                  <c:v>13.696344055371483</c:v>
                </c:pt>
                <c:pt idx="1499">
                  <c:v>13.507286439418598</c:v>
                </c:pt>
                <c:pt idx="1500">
                  <c:v>13.66195027846816</c:v>
                </c:pt>
                <c:pt idx="1501">
                  <c:v>13.597666404877707</c:v>
                </c:pt>
                <c:pt idx="1502">
                  <c:v>13.616201608911695</c:v>
                </c:pt>
                <c:pt idx="1503">
                  <c:v>13.554303639852122</c:v>
                </c:pt>
                <c:pt idx="1504">
                  <c:v>13.753085911068288</c:v>
                </c:pt>
                <c:pt idx="1505">
                  <c:v>13.469904999131138</c:v>
                </c:pt>
                <c:pt idx="1506">
                  <c:v>13.475459211149978</c:v>
                </c:pt>
                <c:pt idx="1507">
                  <c:v>13.58723240683608</c:v>
                </c:pt>
                <c:pt idx="1508">
                  <c:v>13.393199259329371</c:v>
                </c:pt>
                <c:pt idx="1509">
                  <c:v>13.345871412883124</c:v>
                </c:pt>
                <c:pt idx="1510">
                  <c:v>13.018187241316586</c:v>
                </c:pt>
                <c:pt idx="1511">
                  <c:v>12.806467182588806</c:v>
                </c:pt>
                <c:pt idx="1512">
                  <c:v>13.069098642433175</c:v>
                </c:pt>
                <c:pt idx="1513">
                  <c:v>13.231838909388028</c:v>
                </c:pt>
                <c:pt idx="1514">
                  <c:v>13.457503767952929</c:v>
                </c:pt>
                <c:pt idx="1515">
                  <c:v>13.439368444437067</c:v>
                </c:pt>
                <c:pt idx="1516">
                  <c:v>13.510916486955434</c:v>
                </c:pt>
                <c:pt idx="1517">
                  <c:v>13.847109278688382</c:v>
                </c:pt>
                <c:pt idx="1518">
                  <c:v>12.898988109118175</c:v>
                </c:pt>
                <c:pt idx="1519">
                  <c:v>12.837856591167533</c:v>
                </c:pt>
                <c:pt idx="1520">
                  <c:v>12.5727252083941</c:v>
                </c:pt>
                <c:pt idx="1521">
                  <c:v>12.690465999612849</c:v>
                </c:pt>
                <c:pt idx="1522">
                  <c:v>12.587412697180936</c:v>
                </c:pt>
                <c:pt idx="1523">
                  <c:v>12.608662286315166</c:v>
                </c:pt>
                <c:pt idx="1524">
                  <c:v>12.842618693734501</c:v>
                </c:pt>
                <c:pt idx="1525">
                  <c:v>13.082160642609058</c:v>
                </c:pt>
                <c:pt idx="1526">
                  <c:v>13.20892119822809</c:v>
                </c:pt>
                <c:pt idx="1527">
                  <c:v>13.676592722361065</c:v>
                </c:pt>
                <c:pt idx="1528">
                  <c:v>13.837222469091765</c:v>
                </c:pt>
                <c:pt idx="1529">
                  <c:v>13.607738349507825</c:v>
                </c:pt>
                <c:pt idx="1530">
                  <c:v>13.488873075778496</c:v>
                </c:pt>
                <c:pt idx="1531">
                  <c:v>13.554530884237781</c:v>
                </c:pt>
                <c:pt idx="1532">
                  <c:v>13.994003041484618</c:v>
                </c:pt>
                <c:pt idx="1533">
                  <c:v>14.247680077493069</c:v>
                </c:pt>
                <c:pt idx="1534">
                  <c:v>14.128323767049979</c:v>
                </c:pt>
                <c:pt idx="1535">
                  <c:v>14.134298391971097</c:v>
                </c:pt>
                <c:pt idx="1536">
                  <c:v>14.440738882311532</c:v>
                </c:pt>
                <c:pt idx="1537">
                  <c:v>14.52568800960486</c:v>
                </c:pt>
                <c:pt idx="1538">
                  <c:v>14.649402344248687</c:v>
                </c:pt>
                <c:pt idx="1539">
                  <c:v>14.8188427045297</c:v>
                </c:pt>
                <c:pt idx="1540">
                  <c:v>13.969774850070976</c:v>
                </c:pt>
                <c:pt idx="1541">
                  <c:v>14.277307168195943</c:v>
                </c:pt>
                <c:pt idx="1542">
                  <c:v>14.249467618698324</c:v>
                </c:pt>
                <c:pt idx="1543">
                  <c:v>15.115346914494179</c:v>
                </c:pt>
                <c:pt idx="1544">
                  <c:v>15.434622362692803</c:v>
                </c:pt>
                <c:pt idx="1545">
                  <c:v>15.721301987415858</c:v>
                </c:pt>
                <c:pt idx="1546">
                  <c:v>16.455024145745057</c:v>
                </c:pt>
                <c:pt idx="1547">
                  <c:v>15.90027119928237</c:v>
                </c:pt>
                <c:pt idx="1548">
                  <c:v>15.651847565910074</c:v>
                </c:pt>
                <c:pt idx="1549">
                  <c:v>15.427788103147988</c:v>
                </c:pt>
                <c:pt idx="1550">
                  <c:v>15.354082243132284</c:v>
                </c:pt>
                <c:pt idx="1551">
                  <c:v>15.578047385982007</c:v>
                </c:pt>
                <c:pt idx="1552">
                  <c:v>15.73925823255853</c:v>
                </c:pt>
                <c:pt idx="1553">
                  <c:v>16.055268647759384</c:v>
                </c:pt>
                <c:pt idx="1554">
                  <c:v>16.273676160350504</c:v>
                </c:pt>
                <c:pt idx="1555">
                  <c:v>16.210781871719409</c:v>
                </c:pt>
                <c:pt idx="1556">
                  <c:v>16.047141033984914</c:v>
                </c:pt>
                <c:pt idx="1557">
                  <c:v>16.34225167459249</c:v>
                </c:pt>
                <c:pt idx="1558">
                  <c:v>16.58711663335399</c:v>
                </c:pt>
                <c:pt idx="1559">
                  <c:v>16.691648236547472</c:v>
                </c:pt>
                <c:pt idx="1560">
                  <c:v>13.416276001476181</c:v>
                </c:pt>
                <c:pt idx="1561">
                  <c:v>14.48913339294878</c:v>
                </c:pt>
                <c:pt idx="1562">
                  <c:v>15.115807628132412</c:v>
                </c:pt>
                <c:pt idx="1563">
                  <c:v>15.670831964811825</c:v>
                </c:pt>
                <c:pt idx="1564">
                  <c:v>16.156487184884039</c:v>
                </c:pt>
                <c:pt idx="1565">
                  <c:v>16.537559880448523</c:v>
                </c:pt>
                <c:pt idx="1566">
                  <c:v>16.578537599974823</c:v>
                </c:pt>
                <c:pt idx="1567">
                  <c:v>16.744881712491864</c:v>
                </c:pt>
                <c:pt idx="1568">
                  <c:v>16.55495924118356</c:v>
                </c:pt>
                <c:pt idx="1569">
                  <c:v>16.374604711491983</c:v>
                </c:pt>
                <c:pt idx="1570">
                  <c:v>16.343987265458164</c:v>
                </c:pt>
                <c:pt idx="1571">
                  <c:v>16.248842181298251</c:v>
                </c:pt>
                <c:pt idx="1572">
                  <c:v>16.230925530445273</c:v>
                </c:pt>
                <c:pt idx="1573">
                  <c:v>16.286820699675534</c:v>
                </c:pt>
                <c:pt idx="1574">
                  <c:v>16.57202040131779</c:v>
                </c:pt>
                <c:pt idx="1575">
                  <c:v>16.122200794401707</c:v>
                </c:pt>
                <c:pt idx="1576">
                  <c:v>16.107396257285213</c:v>
                </c:pt>
                <c:pt idx="1577">
                  <c:v>16.242454737232425</c:v>
                </c:pt>
                <c:pt idx="1578">
                  <c:v>16.296050311700704</c:v>
                </c:pt>
                <c:pt idx="1579">
                  <c:v>16.280405134113586</c:v>
                </c:pt>
                <c:pt idx="1580">
                  <c:v>13.507095391171706</c:v>
                </c:pt>
                <c:pt idx="1581">
                  <c:v>14.362122530550147</c:v>
                </c:pt>
                <c:pt idx="1582">
                  <c:v>14.680923330642806</c:v>
                </c:pt>
                <c:pt idx="1583">
                  <c:v>15.124984948418446</c:v>
                </c:pt>
                <c:pt idx="1584">
                  <c:v>15.875046308518895</c:v>
                </c:pt>
                <c:pt idx="1585">
                  <c:v>15.987776923488614</c:v>
                </c:pt>
                <c:pt idx="1586">
                  <c:v>16.495343376686137</c:v>
                </c:pt>
                <c:pt idx="1587">
                  <c:v>17.124409002543011</c:v>
                </c:pt>
                <c:pt idx="1588">
                  <c:v>17.43522524224181</c:v>
                </c:pt>
                <c:pt idx="1589">
                  <c:v>17.910681565242953</c:v>
                </c:pt>
                <c:pt idx="1590">
                  <c:v>17.966933311189699</c:v>
                </c:pt>
                <c:pt idx="1591">
                  <c:v>17.605255474407429</c:v>
                </c:pt>
                <c:pt idx="1592">
                  <c:v>17.783914646746094</c:v>
                </c:pt>
                <c:pt idx="1593">
                  <c:v>17.793076493335519</c:v>
                </c:pt>
                <c:pt idx="1594">
                  <c:v>17.600951311271896</c:v>
                </c:pt>
                <c:pt idx="1595">
                  <c:v>18.118302032985067</c:v>
                </c:pt>
                <c:pt idx="1596">
                  <c:v>18.226231582259711</c:v>
                </c:pt>
                <c:pt idx="1597">
                  <c:v>18.195656665137133</c:v>
                </c:pt>
                <c:pt idx="1598">
                  <c:v>18.200337158705487</c:v>
                </c:pt>
                <c:pt idx="1599">
                  <c:v>18.549940535838381</c:v>
                </c:pt>
                <c:pt idx="1600">
                  <c:v>18.370271148515705</c:v>
                </c:pt>
                <c:pt idx="1601">
                  <c:v>18.522675033578228</c:v>
                </c:pt>
                <c:pt idx="1602">
                  <c:v>19.603047195967445</c:v>
                </c:pt>
                <c:pt idx="1603">
                  <c:v>16.346705397182419</c:v>
                </c:pt>
                <c:pt idx="1604">
                  <c:v>17.802047791041396</c:v>
                </c:pt>
                <c:pt idx="1605">
                  <c:v>18.376269830398829</c:v>
                </c:pt>
                <c:pt idx="1606">
                  <c:v>18.602776149917581</c:v>
                </c:pt>
                <c:pt idx="1607">
                  <c:v>18.699750248010957</c:v>
                </c:pt>
                <c:pt idx="1608">
                  <c:v>19.217088872549372</c:v>
                </c:pt>
                <c:pt idx="1609">
                  <c:v>19.28786009603003</c:v>
                </c:pt>
                <c:pt idx="1610">
                  <c:v>19.381794019569639</c:v>
                </c:pt>
                <c:pt idx="1611">
                  <c:v>19.806589246725686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'M6'!$Y$6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'M6'!$Y$7:$Y$1621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'M6'!$Z$6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'M6'!$Z$7:$Z$1621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347661</xdr:colOff>
      <xdr:row>10</xdr:row>
      <xdr:rowOff>9525</xdr:rowOff>
    </xdr:from>
    <xdr:to>
      <xdr:col>17</xdr:col>
      <xdr:colOff>609599</xdr:colOff>
      <xdr:row>55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52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55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53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L2132"/>
  <sheetViews>
    <sheetView tabSelected="1" topLeftCell="H1" workbookViewId="0">
      <selection activeCell="AJ11" sqref="AJ11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6" width="14.75" style="7" bestFit="1" customWidth="1"/>
    <col min="7" max="7" width="14.75" style="7" customWidth="1"/>
    <col min="8" max="8" width="21.875" style="7" bestFit="1" customWidth="1"/>
    <col min="9" max="9" width="21" style="7" bestFit="1" customWidth="1"/>
    <col min="10" max="10" width="15.125" style="7" bestFit="1" customWidth="1"/>
    <col min="11" max="20" width="15.125" style="7" customWidth="1"/>
    <col min="21" max="21" width="15.125" style="7" bestFit="1" customWidth="1"/>
    <col min="22" max="22" width="14.25" style="8" bestFit="1" customWidth="1"/>
    <col min="23" max="23" width="18.75" style="8" bestFit="1" customWidth="1"/>
    <col min="24" max="24" width="9" style="14"/>
    <col min="29" max="29" width="13.375" bestFit="1" customWidth="1"/>
    <col min="30" max="30" width="14" bestFit="1" customWidth="1"/>
    <col min="32" max="33" width="5.375" bestFit="1" customWidth="1"/>
    <col min="34" max="34" width="5.375" customWidth="1"/>
    <col min="35" max="35" width="13.25" bestFit="1" customWidth="1"/>
    <col min="36" max="36" width="13.25" customWidth="1"/>
    <col min="37" max="38" width="5.375" bestFit="1" customWidth="1"/>
  </cols>
  <sheetData>
    <row r="1" spans="1:38" x14ac:dyDescent="0.25">
      <c r="Z1" s="6">
        <f>+COUNT(C:C)</f>
        <v>1612</v>
      </c>
      <c r="AA1" s="6">
        <f>+COUNT(F7:T7)</f>
        <v>15</v>
      </c>
      <c r="AC1">
        <v>0</v>
      </c>
      <c r="AD1">
        <v>0</v>
      </c>
    </row>
    <row r="2" spans="1:38" x14ac:dyDescent="0.25">
      <c r="A2" t="s">
        <v>54</v>
      </c>
      <c r="B2" s="27" t="str">
        <f>+"2015-01-01"</f>
        <v>2015-01-01</v>
      </c>
      <c r="D2" s="11" t="s">
        <v>15</v>
      </c>
      <c r="E2" s="30" t="s">
        <v>56</v>
      </c>
      <c r="F2" s="30" t="s">
        <v>57</v>
      </c>
      <c r="G2" s="30" t="s">
        <v>58</v>
      </c>
      <c r="H2" s="30" t="s">
        <v>59</v>
      </c>
      <c r="I2" s="30" t="s">
        <v>60</v>
      </c>
      <c r="J2" s="7" t="s">
        <v>66</v>
      </c>
      <c r="AC2">
        <v>0</v>
      </c>
      <c r="AD2">
        <v>0</v>
      </c>
    </row>
    <row r="3" spans="1:38" x14ac:dyDescent="0.25">
      <c r="D3" s="11" t="s">
        <v>16</v>
      </c>
      <c r="E3" s="30" t="s">
        <v>61</v>
      </c>
      <c r="F3" s="30" t="s">
        <v>62</v>
      </c>
      <c r="G3" s="30" t="s">
        <v>63</v>
      </c>
      <c r="H3" s="30" t="s">
        <v>64</v>
      </c>
      <c r="I3" s="30" t="s">
        <v>65</v>
      </c>
      <c r="J3" s="7" t="s">
        <v>20</v>
      </c>
      <c r="W3" s="8" t="s">
        <v>47</v>
      </c>
      <c r="X3" s="18">
        <v>20</v>
      </c>
      <c r="AB3" t="s">
        <v>69</v>
      </c>
      <c r="AC3" s="22" cm="1">
        <f t="array" aca="1" ref="AC3" ca="1">+_xlfn.T.TEST(IF($AA$7:$AA$1607=1,$AC$7:$AC$1607,""),AC1:AC2,1,3)</f>
        <v>5.5607340770693313E-4</v>
      </c>
      <c r="AD3" s="22" cm="1">
        <f t="array" aca="1" ref="AD3" ca="1">+_xlfn.T.TEST(IF($AB$7:$AB$1607=1,$AD$7:$AD$1607,""),AD1:AD2,1,3)</f>
        <v>1.4335734408865283E-2</v>
      </c>
      <c r="AI3" t="str">
        <f>+AC6</f>
        <v>bullish returns</v>
      </c>
    </row>
    <row r="4" spans="1:38" x14ac:dyDescent="0.25">
      <c r="D4" s="11" t="s">
        <v>17</v>
      </c>
      <c r="E4" s="30" t="s">
        <v>19</v>
      </c>
      <c r="F4" s="30" t="s">
        <v>18</v>
      </c>
      <c r="G4" s="30" t="s">
        <v>19</v>
      </c>
      <c r="H4" s="30" t="s">
        <v>18</v>
      </c>
      <c r="I4" s="30" t="s">
        <v>18</v>
      </c>
      <c r="AF4" s="32">
        <v>0.99</v>
      </c>
      <c r="AG4" s="32">
        <v>0.95</v>
      </c>
      <c r="AH4" s="32">
        <v>0.9</v>
      </c>
      <c r="AI4" s="7" t="s">
        <v>70</v>
      </c>
      <c r="AJ4" s="32">
        <v>0.9</v>
      </c>
      <c r="AK4" s="32">
        <v>0.95</v>
      </c>
      <c r="AL4" s="32">
        <v>0.99</v>
      </c>
    </row>
    <row r="5" spans="1:38" x14ac:dyDescent="0.25">
      <c r="J5" s="10">
        <v>250</v>
      </c>
      <c r="W5" s="31">
        <v>20</v>
      </c>
      <c r="Y5" s="6">
        <v>0</v>
      </c>
      <c r="AC5" s="23">
        <f t="array" aca="1" ref="AC5" ca="1">+SUM(IF($AA$7:$AA$1608=1,$AC$7:$AC$1608,""))/SUM(IF($AA$7:$AA$1608=1,1,""))</f>
        <v>1.2401675173712517E-2</v>
      </c>
      <c r="AD5" s="23">
        <f t="array" aca="1" ref="AD5" ca="1">+SUM(IF($AB$7:$AB$1608=1,$AD$7:$AD$1608,""))/SUM(IF($AB$7:$AB$1608=1,1,""))</f>
        <v>-8.0958840572002005E-3</v>
      </c>
      <c r="AF5" s="33" cm="1">
        <f t="array" aca="1" ref="AF5" ca="1">AI5-(2.58*(STDEV(IF($AA$7:$AA$1608=1,$AC$7:$AC$1608,""))/SQRT(SUM(IF($AA$7:$AA$1608=1,1,"")))))</f>
        <v>2.5693152208994575E-3</v>
      </c>
      <c r="AG5" s="33" cm="1">
        <f t="array" aca="1" ref="AG5" ca="1">AI5-(1.96*(STDEV(IF($AA$7:$AA$1608=1,$AC$7:$AC$1608,""))/SQRT(SUM(IF($AA$7:$AA$1608=1,1,"")))))</f>
        <v>4.9321304033584108E-3</v>
      </c>
      <c r="AH5" s="33" cm="1">
        <f t="array" aca="1" ref="AH5" ca="1">AI5-(1.645*(STDEV(IF($AA$7:$AA$1608=1,$AC$7:$AC$1608,""))/SQRT(SUM(IF($AA$7:$AA$1608=1,1,"")))))</f>
        <v>6.1325929557367494E-3</v>
      </c>
      <c r="AI5" s="34">
        <f ca="1">+AC5</f>
        <v>1.2401675173712517E-2</v>
      </c>
      <c r="AJ5" s="34" cm="1">
        <f t="array" aca="1" ref="AJ5" ca="1">AI5+(1.645*(STDEV(IF($AA$7:$AA$1608=1,$AC$7:$AC$1608,""))/SQRT(SUM(IF($AA$7:$AA$1608=1,1,"")))))</f>
        <v>1.8670757391688286E-2</v>
      </c>
      <c r="AK5" s="33" cm="1">
        <f t="array" aca="1" ref="AK5" ca="1">AI5+(1.96*(STDEV(IF($AA$7:$AA$1608=1,$AC$7:$AC$1608,""))/SQRT(SUM(IF($AA$7:$AA$1608=1,1,"")))))</f>
        <v>1.9871219944066626E-2</v>
      </c>
      <c r="AL5" s="33" cm="1">
        <f t="array" aca="1" ref="AL5" ca="1">AI5+(2.58*(STDEV(IF($AA$7:$AA$1608=1,$AC$7:$AC$1608,""))/SQRT(SUM(IF($AA$7:$AA$1608=1,1,"")))))</f>
        <v>2.2234035126525577E-2</v>
      </c>
    </row>
    <row r="6" spans="1:38" x14ac:dyDescent="0.25">
      <c r="C6" s="6" t="s">
        <v>71</v>
      </c>
      <c r="D6" s="35" t="s">
        <v>72</v>
      </c>
      <c r="E6" s="10" t="s">
        <v>73</v>
      </c>
      <c r="F6" s="10" t="s">
        <v>74</v>
      </c>
      <c r="G6" s="10" t="s">
        <v>75</v>
      </c>
      <c r="H6" s="10" t="s">
        <v>76</v>
      </c>
      <c r="I6" s="10" t="s">
        <v>77</v>
      </c>
      <c r="J6" s="36" t="s">
        <v>78</v>
      </c>
      <c r="K6" s="36" t="s">
        <v>79</v>
      </c>
      <c r="L6" s="36" t="s">
        <v>80</v>
      </c>
      <c r="M6" s="36" t="s">
        <v>81</v>
      </c>
      <c r="N6" s="36" t="s">
        <v>82</v>
      </c>
      <c r="O6" s="36" t="s">
        <v>83</v>
      </c>
      <c r="P6" s="36" t="s">
        <v>84</v>
      </c>
      <c r="Q6" s="36" t="s">
        <v>85</v>
      </c>
      <c r="R6" s="36" t="s">
        <v>86</v>
      </c>
      <c r="S6" s="36" t="s">
        <v>87</v>
      </c>
      <c r="T6" s="36" t="s">
        <v>88</v>
      </c>
      <c r="U6" s="8" t="s">
        <v>45</v>
      </c>
      <c r="V6" s="8" t="s">
        <v>67</v>
      </c>
      <c r="W6" s="8" t="s">
        <v>68</v>
      </c>
      <c r="X6" s="16" t="s">
        <v>46</v>
      </c>
      <c r="Y6" s="19">
        <v>0.1</v>
      </c>
      <c r="Z6" s="19">
        <f>1-Y6</f>
        <v>0.9</v>
      </c>
      <c r="AA6" s="7" t="s">
        <v>48</v>
      </c>
      <c r="AB6" t="s">
        <v>49</v>
      </c>
      <c r="AC6" s="16" t="s">
        <v>50</v>
      </c>
      <c r="AD6" s="16" t="s">
        <v>51</v>
      </c>
    </row>
    <row r="7" spans="1:38" x14ac:dyDescent="0.25">
      <c r="C7" s="6">
        <v>0</v>
      </c>
      <c r="D7" s="35">
        <v>42006</v>
      </c>
      <c r="E7" s="37">
        <v>19.465</v>
      </c>
      <c r="F7" s="37">
        <v>50.819972057747322</v>
      </c>
      <c r="G7" s="37">
        <v>37.6</v>
      </c>
      <c r="H7" s="37">
        <v>2.5538886301643271</v>
      </c>
      <c r="I7" s="37">
        <v>50.853236644268513</v>
      </c>
      <c r="J7" s="10">
        <v>1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v>0</v>
      </c>
      <c r="S7" s="38">
        <v>0</v>
      </c>
      <c r="T7" s="38">
        <v>0</v>
      </c>
      <c r="U7" s="29" t="str" cm="1">
        <f t="array" aca="1" ref="U7" ca="1">+fair_value_gap(OFFSET(T6,0,0,-1*$J$5,-1*$AA$1),OFFSET(E6,0,0,-1*$J$5,1),F7:T7,0)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" s="9" t="str" cm="1">
        <f t="array" aca="1" ref="V7" ca="1">z_score_diff(OFFSET(U7,0,0,$J$5*-1,1),OFFSET(E7,0,0,$J$5*-1,1))</f>
        <v/>
      </c>
      <c r="W7" s="9" t="str">
        <f ca="1">+IF(ISERROR(AVERAGE(OFFSET(V7,0,0,$W$5*-1,1))),"",AVERAGE(OFFSET(V7,0,0,$W$5*-1,1)))</f>
        <v/>
      </c>
      <c r="X7" s="17">
        <f t="shared" ref="X7:X70" ca="1" si="0">+LN(OFFSET(E7,$X$3,0,1,1)/E7)</f>
        <v>-1.1730491331995193E-2</v>
      </c>
      <c r="Y7" s="13">
        <v>0</v>
      </c>
      <c r="Z7" s="13">
        <v>0</v>
      </c>
      <c r="AA7" t="str">
        <f ca="1">+IF(W7="","",IF(W7&lt;Y7,1,0))</f>
        <v/>
      </c>
      <c r="AB7" t="str">
        <f ca="1">+IF(W7="","",IF(W7&gt;Z7,1,0))</f>
        <v/>
      </c>
      <c r="AC7" s="24" t="str">
        <f ca="1">+IF(ISERROR(AA7*X7),"",AA7*X7)</f>
        <v/>
      </c>
      <c r="AD7" s="24" t="str">
        <f ca="1">+IF(ISERROR(AB7*X7),"",AB7*X7)</f>
        <v/>
      </c>
    </row>
    <row r="8" spans="1:38" x14ac:dyDescent="0.25">
      <c r="C8" s="6">
        <v>1</v>
      </c>
      <c r="D8" s="35">
        <v>42009</v>
      </c>
      <c r="E8" s="37">
        <v>19.364999999999998</v>
      </c>
      <c r="F8" s="37">
        <v>48.867497216117151</v>
      </c>
      <c r="G8" s="37">
        <v>36</v>
      </c>
      <c r="H8" s="37">
        <v>2.4789315913603001</v>
      </c>
      <c r="I8" s="37">
        <v>49.904917119352646</v>
      </c>
      <c r="J8" s="10">
        <v>1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29" t="str" cm="1">
        <f t="array" aca="1" ref="U8" ca="1">+fair_value_gap(OFFSET(T7,0,0,-1*$J$5,-1*$AA$1),OFFSET(E7,0,0,-1*$J$5,1),F8:T8,0)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" s="9" t="str" cm="1">
        <f t="array" aca="1" ref="V8" ca="1">z_score_diff(OFFSET(U8,0,0,$J$5*-1,1),OFFSET(E8,0,0,$J$5*-1,1))</f>
        <v/>
      </c>
      <c r="W8" s="9" t="str">
        <f t="shared" ref="W8:W71" ca="1" si="1">+IF(ISERROR(AVERAGE(OFFSET(V8,0,0,$W$5*-1,1))),"",AVERAGE(OFFSET(V8,0,0,$W$5*-1,1)))</f>
        <v/>
      </c>
      <c r="X8" s="17">
        <f t="shared" ca="1" si="0"/>
        <v>3.2480115167830416E-3</v>
      </c>
      <c r="Y8" s="13">
        <f>+Y7</f>
        <v>0</v>
      </c>
      <c r="Z8" s="13">
        <f>+Z7</f>
        <v>0</v>
      </c>
      <c r="AA8" t="str">
        <f t="shared" ref="AA8:AA71" ca="1" si="2">+IF(W8="","",IF(W8&lt;Y8,1,0))</f>
        <v/>
      </c>
      <c r="AB8" t="str">
        <f t="shared" ref="AB8:AB71" ca="1" si="3">+IF(W8="","",IF(W8&gt;Z8,1,0))</f>
        <v/>
      </c>
      <c r="AC8" s="24" t="str">
        <f t="shared" ref="AC8:AC71" ca="1" si="4">+IF(ISERROR(AA8*X8),"",AA8*X8)</f>
        <v/>
      </c>
      <c r="AD8" s="24" t="str">
        <f t="shared" ref="AD8:AD71" ca="1" si="5">+IF(ISERROR(AB8*X8),"",AB8*X8)</f>
        <v/>
      </c>
      <c r="AI8" t="str">
        <f>+AD6</f>
        <v>bearish returns</v>
      </c>
    </row>
    <row r="9" spans="1:38" x14ac:dyDescent="0.25">
      <c r="C9" s="6">
        <v>2</v>
      </c>
      <c r="D9" s="35">
        <v>42010</v>
      </c>
      <c r="E9" s="37">
        <v>18.791</v>
      </c>
      <c r="F9" s="37">
        <v>47.332608540521939</v>
      </c>
      <c r="G9" s="37">
        <v>35.64</v>
      </c>
      <c r="H9" s="37">
        <v>2.5034735485604189</v>
      </c>
      <c r="I9" s="37">
        <v>49.490196407658182</v>
      </c>
      <c r="J9" s="10">
        <v>1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29" t="str" cm="1">
        <f t="array" aca="1" ref="U9" ca="1">+fair_value_gap(OFFSET(T8,0,0,-1*$J$5,-1*$AA$1),OFFSET(E8,0,0,-1*$J$5,1),F9:T9,0)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" s="9" t="str" cm="1">
        <f t="array" aca="1" ref="V9" ca="1">z_score_diff(OFFSET(U9,0,0,$J$5*-1,1),OFFSET(E9,0,0,$J$5*-1,1))</f>
        <v/>
      </c>
      <c r="W9" s="9" t="str">
        <f t="shared" ca="1" si="1"/>
        <v/>
      </c>
      <c r="X9" s="17">
        <f t="shared" ca="1" si="0"/>
        <v>2.9831050041415362E-2</v>
      </c>
      <c r="Y9" s="13">
        <f t="shared" ref="Y9:Z24" si="6">+Y8</f>
        <v>0</v>
      </c>
      <c r="Z9" s="13">
        <f t="shared" si="6"/>
        <v>0</v>
      </c>
      <c r="AA9" t="str">
        <f t="shared" ca="1" si="2"/>
        <v/>
      </c>
      <c r="AB9" t="str">
        <f t="shared" ca="1" si="3"/>
        <v/>
      </c>
      <c r="AC9" s="24" t="str">
        <f t="shared" ca="1" si="4"/>
        <v/>
      </c>
      <c r="AD9" s="24" t="str">
        <f t="shared" ca="1" si="5"/>
        <v/>
      </c>
      <c r="AF9" s="32">
        <v>0.99</v>
      </c>
      <c r="AG9" s="32">
        <v>0.95</v>
      </c>
      <c r="AH9" s="32">
        <v>0.9</v>
      </c>
      <c r="AI9" s="7" t="s">
        <v>70</v>
      </c>
      <c r="AJ9" s="32">
        <v>0.9</v>
      </c>
      <c r="AK9" s="32">
        <v>0.95</v>
      </c>
      <c r="AL9" s="32">
        <v>0.99</v>
      </c>
    </row>
    <row r="10" spans="1:38" x14ac:dyDescent="0.25">
      <c r="C10" s="6">
        <v>3</v>
      </c>
      <c r="D10" s="35">
        <v>42011</v>
      </c>
      <c r="E10" s="37">
        <v>18.791</v>
      </c>
      <c r="F10" s="37">
        <v>47.441370899589607</v>
      </c>
      <c r="G10" s="37">
        <v>35.25</v>
      </c>
      <c r="H10" s="37">
        <v>2.4804457211678761</v>
      </c>
      <c r="I10" s="37">
        <v>48.495623586247149</v>
      </c>
      <c r="J10" s="10">
        <v>1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29" t="str" cm="1">
        <f t="array" aca="1" ref="U10" ca="1">+fair_value_gap(OFFSET(T9,0,0,-1*$J$5,-1*$AA$1),OFFSET(E9,0,0,-1*$J$5,1),F10:T10,0)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" s="9" t="str" cm="1">
        <f t="array" aca="1" ref="V10" ca="1">z_score_diff(OFFSET(U10,0,0,$J$5*-1,1),OFFSET(E10,0,0,$J$5*-1,1))</f>
        <v/>
      </c>
      <c r="W10" s="9" t="str">
        <f t="shared" ca="1" si="1"/>
        <v/>
      </c>
      <c r="X10" s="17">
        <f t="shared" ca="1" si="0"/>
        <v>3.908561480762103E-2</v>
      </c>
      <c r="Y10" s="13">
        <f t="shared" si="6"/>
        <v>0</v>
      </c>
      <c r="Z10" s="13">
        <f t="shared" si="6"/>
        <v>0</v>
      </c>
      <c r="AA10" t="str">
        <f t="shared" ca="1" si="2"/>
        <v/>
      </c>
      <c r="AB10" t="str">
        <f t="shared" ca="1" si="3"/>
        <v/>
      </c>
      <c r="AC10" s="24" t="str">
        <f t="shared" ca="1" si="4"/>
        <v/>
      </c>
      <c r="AD10" s="24" t="str">
        <f t="shared" ca="1" si="5"/>
        <v/>
      </c>
      <c r="AF10" s="33" cm="1">
        <f t="array" aca="1" ref="AF10" ca="1">AI10-(2.58*(STDEV(IF($AB$7:$AB$1608=1,$AD$7:$AD$1608,""))/SQRT(SUM(IF($AB$7:$AB$1608=1,1,"")))))</f>
        <v>-1.7634485015338382E-2</v>
      </c>
      <c r="AG10" s="33" cm="1">
        <f t="array" aca="1" ref="AG10" ca="1">AI10-(1.96*(STDEV(IF($AB$7:$AB$1608=1,$AD$7:$AD$1608,""))/SQRT(SUM(IF($AB$7:$AB$1608=1,1,"")))))</f>
        <v>-1.5342263079661763E-2</v>
      </c>
      <c r="AH10" s="33" cm="1">
        <f t="array" aca="1" ref="AH10" ca="1">AI10-(1.645*(STDEV(IF($AB$7:$AB$1608=1,$AD$7:$AD$1608,""))/SQRT(SUM(IF($AB$7:$AB$1608=1,1,"")))))</f>
        <v>-1.417766645105187E-2</v>
      </c>
      <c r="AI10" s="34">
        <f ca="1">+AD5</f>
        <v>-8.0958840572002005E-3</v>
      </c>
      <c r="AJ10" s="34" cm="1">
        <f t="array" aca="1" ref="AJ10" ca="1">AI10+(1.645*(STDEV(IF($AB$7:$AB$1608=1,$AD$7:$AD$1608,""))/SQRT(SUM(IF($AB$7:$AB$1608=1,1,"")))))</f>
        <v>-2.0141016633485314E-3</v>
      </c>
      <c r="AK10" s="33" cm="1">
        <f t="array" aca="1" ref="AK10" ca="1">AI10+(1.96*(STDEV(IF($AB$7:$AB$1608=1,$AD$7:$AD$1608,""))/SQRT(SUM(IF($AB$7:$AB$1608=1,1,"")))))</f>
        <v>-8.4950503473863771E-4</v>
      </c>
      <c r="AL10" s="33" cm="1">
        <f t="array" aca="1" ref="AL10" ca="1">AI10+(2.58*(STDEV(IF($AB$7:$AB$1608=1,$AD$7:$AD$1608,""))/SQRT(SUM(IF($AB$7:$AB$1608=1,1,"")))))</f>
        <v>1.4427169009379789E-3</v>
      </c>
    </row>
    <row r="11" spans="1:38" x14ac:dyDescent="0.25">
      <c r="C11" s="6">
        <v>4</v>
      </c>
      <c r="D11" s="35">
        <v>42012</v>
      </c>
      <c r="E11" s="37">
        <v>18.736999999999998</v>
      </c>
      <c r="F11" s="37">
        <v>47.69284285737259</v>
      </c>
      <c r="G11" s="37">
        <v>35.65</v>
      </c>
      <c r="H11" s="37">
        <v>2.5458752673465259</v>
      </c>
      <c r="I11" s="37">
        <v>48.539210964868111</v>
      </c>
      <c r="J11" s="10">
        <v>1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29" t="str" cm="1">
        <f t="array" aca="1" ref="U11" ca="1">+fair_value_gap(OFFSET(T10,0,0,-1*$J$5,-1*$AA$1),OFFSET(E10,0,0,-1*$J$5,1),F11:T11,0)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" s="9" t="str" cm="1">
        <f t="array" aca="1" ref="V11" ca="1">z_score_diff(OFFSET(U11,0,0,$J$5*-1,1),OFFSET(E11,0,0,$J$5*-1,1))</f>
        <v/>
      </c>
      <c r="W11" s="9" t="str">
        <f t="shared" ca="1" si="1"/>
        <v/>
      </c>
      <c r="X11" s="17">
        <f t="shared" ca="1" si="0"/>
        <v>8.576974615516364E-2</v>
      </c>
      <c r="Y11" s="13">
        <f t="shared" si="6"/>
        <v>0</v>
      </c>
      <c r="Z11" s="13">
        <f t="shared" si="6"/>
        <v>0</v>
      </c>
      <c r="AA11" t="str">
        <f t="shared" ca="1" si="2"/>
        <v/>
      </c>
      <c r="AB11" t="str">
        <f t="shared" ca="1" si="3"/>
        <v/>
      </c>
      <c r="AC11" s="24" t="str">
        <f t="shared" ca="1" si="4"/>
        <v/>
      </c>
      <c r="AD11" s="24" t="str">
        <f t="shared" ca="1" si="5"/>
        <v/>
      </c>
    </row>
    <row r="12" spans="1:38" x14ac:dyDescent="0.25">
      <c r="C12" s="6">
        <v>5</v>
      </c>
      <c r="D12" s="35">
        <v>42013</v>
      </c>
      <c r="E12" s="37">
        <v>18.779</v>
      </c>
      <c r="F12" s="37">
        <v>47.209696197174672</v>
      </c>
      <c r="G12" s="37">
        <v>35.75</v>
      </c>
      <c r="H12" s="37">
        <v>2.57461450332449</v>
      </c>
      <c r="I12" s="37">
        <v>48.221332544256988</v>
      </c>
      <c r="J12" s="10">
        <v>1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29" t="str" cm="1">
        <f t="array" aca="1" ref="U12" ca="1">+fair_value_gap(OFFSET(T11,0,0,-1*$J$5,-1*$AA$1),OFFSET(E11,0,0,-1*$J$5,1),F12:T12,0)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" s="9" t="str" cm="1">
        <f t="array" aca="1" ref="V12" ca="1">z_score_diff(OFFSET(U12,0,0,$J$5*-1,1),OFFSET(E12,0,0,$J$5*-1,1))</f>
        <v/>
      </c>
      <c r="W12" s="9" t="str">
        <f t="shared" ca="1" si="1"/>
        <v/>
      </c>
      <c r="X12" s="17">
        <f t="shared" ca="1" si="0"/>
        <v>7.3339341382065951E-2</v>
      </c>
      <c r="Y12" s="13">
        <f t="shared" si="6"/>
        <v>0</v>
      </c>
      <c r="Z12" s="13">
        <f t="shared" si="6"/>
        <v>0</v>
      </c>
      <c r="AA12" t="str">
        <f t="shared" ca="1" si="2"/>
        <v/>
      </c>
      <c r="AB12" t="str">
        <f t="shared" ca="1" si="3"/>
        <v/>
      </c>
      <c r="AC12" s="24" t="str">
        <f t="shared" ca="1" si="4"/>
        <v/>
      </c>
      <c r="AD12" s="24" t="str">
        <f t="shared" ca="1" si="5"/>
        <v/>
      </c>
    </row>
    <row r="13" spans="1:38" x14ac:dyDescent="0.25">
      <c r="C13" s="6">
        <v>6</v>
      </c>
      <c r="D13" s="35">
        <v>42016</v>
      </c>
      <c r="E13" s="37">
        <v>18.809000000000001</v>
      </c>
      <c r="F13" s="37">
        <v>45.349618825363059</v>
      </c>
      <c r="G13" s="37">
        <v>35.75</v>
      </c>
      <c r="H13" s="37">
        <v>2.456824244714201</v>
      </c>
      <c r="I13" s="37">
        <v>47.35691086189577</v>
      </c>
      <c r="J13" s="10">
        <v>1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29" t="str" cm="1">
        <f t="array" aca="1" ref="U13" ca="1">+fair_value_gap(OFFSET(T12,0,0,-1*$J$5,-1*$AA$1),OFFSET(E12,0,0,-1*$J$5,1),F13:T13,0)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" s="9" t="str" cm="1">
        <f t="array" aca="1" ref="V13" ca="1">z_score_diff(OFFSET(U13,0,0,$J$5*-1,1),OFFSET(E13,0,0,$J$5*-1,1))</f>
        <v/>
      </c>
      <c r="W13" s="9" t="str">
        <f t="shared" ca="1" si="1"/>
        <v/>
      </c>
      <c r="X13" s="17">
        <f t="shared" ca="1" si="0"/>
        <v>0.10249075240028506</v>
      </c>
      <c r="Y13" s="13">
        <f t="shared" si="6"/>
        <v>0</v>
      </c>
      <c r="Z13" s="13">
        <f t="shared" si="6"/>
        <v>0</v>
      </c>
      <c r="AA13" t="str">
        <f t="shared" ca="1" si="2"/>
        <v/>
      </c>
      <c r="AB13" t="str">
        <f t="shared" ca="1" si="3"/>
        <v/>
      </c>
      <c r="AC13" s="24" t="str">
        <f t="shared" ca="1" si="4"/>
        <v/>
      </c>
      <c r="AD13" s="24" t="str">
        <f t="shared" ca="1" si="5"/>
        <v/>
      </c>
    </row>
    <row r="14" spans="1:38" x14ac:dyDescent="0.25">
      <c r="C14" s="6">
        <v>7</v>
      </c>
      <c r="D14" s="35">
        <v>42017</v>
      </c>
      <c r="E14" s="37">
        <v>19.216999999999999</v>
      </c>
      <c r="F14" s="37">
        <v>44.866620997442972</v>
      </c>
      <c r="G14" s="37">
        <v>35.950000000000003</v>
      </c>
      <c r="H14" s="37">
        <v>2.5553287166722054</v>
      </c>
      <c r="I14" s="37">
        <v>48.537680500824074</v>
      </c>
      <c r="J14" s="10">
        <v>1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29" t="str" cm="1">
        <f t="array" aca="1" ref="U14" ca="1">+fair_value_gap(OFFSET(T13,0,0,-1*$J$5,-1*$AA$1),OFFSET(E13,0,0,-1*$J$5,1),F14:T14,0)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" s="9" t="str" cm="1">
        <f t="array" aca="1" ref="V14" ca="1">z_score_diff(OFFSET(U14,0,0,$J$5*-1,1),OFFSET(E14,0,0,$J$5*-1,1))</f>
        <v/>
      </c>
      <c r="W14" s="9" t="str">
        <f t="shared" ca="1" si="1"/>
        <v/>
      </c>
      <c r="X14" s="17">
        <f t="shared" ca="1" si="0"/>
        <v>9.5324371683258899E-2</v>
      </c>
      <c r="Y14" s="13">
        <f t="shared" si="6"/>
        <v>0</v>
      </c>
      <c r="Z14" s="13">
        <f t="shared" si="6"/>
        <v>0</v>
      </c>
      <c r="AA14" t="str">
        <f t="shared" ca="1" si="2"/>
        <v/>
      </c>
      <c r="AB14" t="str">
        <f t="shared" ca="1" si="3"/>
        <v/>
      </c>
      <c r="AC14" s="24" t="str">
        <f t="shared" ca="1" si="4"/>
        <v/>
      </c>
      <c r="AD14" s="24" t="str">
        <f t="shared" ca="1" si="5"/>
        <v/>
      </c>
    </row>
    <row r="15" spans="1:38" x14ac:dyDescent="0.25">
      <c r="C15" s="6">
        <v>8</v>
      </c>
      <c r="D15" s="35">
        <v>42018</v>
      </c>
      <c r="E15" s="37">
        <v>19.149000000000001</v>
      </c>
      <c r="F15" s="37">
        <v>46.291748942410933</v>
      </c>
      <c r="G15" s="37">
        <v>36.33</v>
      </c>
      <c r="H15" s="37">
        <v>2.7087489457979252</v>
      </c>
      <c r="I15" s="37">
        <v>47.841298980175921</v>
      </c>
      <c r="J15" s="10">
        <v>1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T15" s="38">
        <v>0</v>
      </c>
      <c r="U15" s="29" t="str" cm="1">
        <f t="array" aca="1" ref="U15" ca="1">+fair_value_gap(OFFSET(T14,0,0,-1*$J$5,-1*$AA$1),OFFSET(E14,0,0,-1*$J$5,1),F15:T15,0)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" s="9" t="str" cm="1">
        <f t="array" aca="1" ref="V15" ca="1">z_score_diff(OFFSET(U15,0,0,$J$5*-1,1),OFFSET(E15,0,0,$J$5*-1,1))</f>
        <v/>
      </c>
      <c r="W15" s="9" t="str">
        <f t="shared" ca="1" si="1"/>
        <v/>
      </c>
      <c r="X15" s="17">
        <f t="shared" ca="1" si="0"/>
        <v>0.1180325098762573</v>
      </c>
      <c r="Y15" s="13">
        <f t="shared" si="6"/>
        <v>0</v>
      </c>
      <c r="Z15" s="13">
        <f t="shared" si="6"/>
        <v>0</v>
      </c>
      <c r="AA15" t="str">
        <f t="shared" ca="1" si="2"/>
        <v/>
      </c>
      <c r="AB15" t="str">
        <f t="shared" ca="1" si="3"/>
        <v/>
      </c>
      <c r="AC15" s="24" t="str">
        <f t="shared" ca="1" si="4"/>
        <v/>
      </c>
      <c r="AD15" s="24" t="str">
        <f t="shared" ca="1" si="5"/>
        <v/>
      </c>
    </row>
    <row r="16" spans="1:38" x14ac:dyDescent="0.25">
      <c r="C16" s="6">
        <v>9</v>
      </c>
      <c r="D16" s="35">
        <v>42019</v>
      </c>
      <c r="E16" s="37">
        <v>19.032</v>
      </c>
      <c r="F16" s="37">
        <v>45.716338670487396</v>
      </c>
      <c r="G16" s="37">
        <v>35.78</v>
      </c>
      <c r="H16" s="37">
        <v>2.6824721374429621</v>
      </c>
      <c r="I16" s="37">
        <v>47.443916048334351</v>
      </c>
      <c r="J16" s="10">
        <v>1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29" t="str" cm="1">
        <f t="array" aca="1" ref="U16" ca="1">+fair_value_gap(OFFSET(T15,0,0,-1*$J$5,-1*$AA$1),OFFSET(E15,0,0,-1*$J$5,1),F16:T16,0)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" s="9" t="str" cm="1">
        <f t="array" aca="1" ref="V16" ca="1">z_score_diff(OFFSET(U16,0,0,$J$5*-1,1),OFFSET(E16,0,0,$J$5*-1,1))</f>
        <v/>
      </c>
      <c r="W16" s="9" t="str">
        <f t="shared" ca="1" si="1"/>
        <v/>
      </c>
      <c r="X16" s="17">
        <f t="shared" ca="1" si="0"/>
        <v>0.15469097700384185</v>
      </c>
      <c r="Y16" s="13">
        <f t="shared" si="6"/>
        <v>0</v>
      </c>
      <c r="Z16" s="13">
        <f t="shared" si="6"/>
        <v>0</v>
      </c>
      <c r="AA16" t="str">
        <f t="shared" ca="1" si="2"/>
        <v/>
      </c>
      <c r="AB16" t="str">
        <f t="shared" ca="1" si="3"/>
        <v/>
      </c>
      <c r="AC16" s="24" t="str">
        <f t="shared" ca="1" si="4"/>
        <v/>
      </c>
      <c r="AD16" s="24" t="str">
        <f t="shared" ca="1" si="5"/>
        <v/>
      </c>
    </row>
    <row r="17" spans="2:30" x14ac:dyDescent="0.25">
      <c r="C17" s="6">
        <v>10</v>
      </c>
      <c r="D17" s="35">
        <v>42020</v>
      </c>
      <c r="E17" s="37">
        <v>18.753</v>
      </c>
      <c r="F17" s="37">
        <v>48.253902508478085</v>
      </c>
      <c r="G17" s="37">
        <v>35</v>
      </c>
      <c r="H17" s="37">
        <v>2.6767454503093528</v>
      </c>
      <c r="I17" s="37">
        <v>47.416880236782383</v>
      </c>
      <c r="J17" s="10">
        <v>1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29" t="str" cm="1">
        <f t="array" aca="1" ref="U17" ca="1">+fair_value_gap(OFFSET(T16,0,0,-1*$J$5,-1*$AA$1),OFFSET(E16,0,0,-1*$J$5,1),F17:T17,0)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" s="9" t="str" cm="1">
        <f t="array" aca="1" ref="V17" ca="1">z_score_diff(OFFSET(U17,0,0,$J$5*-1,1),OFFSET(E17,0,0,$J$5*-1,1))</f>
        <v/>
      </c>
      <c r="W17" s="9" t="str">
        <f t="shared" ca="1" si="1"/>
        <v/>
      </c>
      <c r="X17" s="17">
        <f t="shared" ca="1" si="0"/>
        <v>0.15563505420775839</v>
      </c>
      <c r="Y17" s="13">
        <f t="shared" si="6"/>
        <v>0</v>
      </c>
      <c r="Z17" s="13">
        <f t="shared" si="6"/>
        <v>0</v>
      </c>
      <c r="AA17" t="str">
        <f t="shared" ca="1" si="2"/>
        <v/>
      </c>
      <c r="AB17" t="str">
        <f t="shared" ca="1" si="3"/>
        <v/>
      </c>
      <c r="AC17" s="24" t="str">
        <f t="shared" ca="1" si="4"/>
        <v/>
      </c>
      <c r="AD17" s="24" t="str">
        <f t="shared" ca="1" si="5"/>
        <v/>
      </c>
    </row>
    <row r="18" spans="2:30" x14ac:dyDescent="0.25">
      <c r="C18" s="6">
        <v>11</v>
      </c>
      <c r="D18" s="35">
        <v>42023</v>
      </c>
      <c r="E18" s="37">
        <v>18.324999999999999</v>
      </c>
      <c r="F18" s="37">
        <v>46.909122173501849</v>
      </c>
      <c r="G18" s="37">
        <v>34.700000000000003</v>
      </c>
      <c r="H18" s="37">
        <v>2.6670105751870001</v>
      </c>
      <c r="I18" s="37">
        <v>47.760295761327484</v>
      </c>
      <c r="J18" s="10">
        <v>1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29" t="str" cm="1">
        <f t="array" aca="1" ref="U18" ca="1">+fair_value_gap(OFFSET(T17,0,0,-1*$J$5,-1*$AA$1),OFFSET(E17,0,0,-1*$J$5,1),F18:T18,0)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" s="9" t="str" cm="1">
        <f t="array" aca="1" ref="V18" ca="1">z_score_diff(OFFSET(U18,0,0,$J$5*-1,1),OFFSET(E18,0,0,$J$5*-1,1))</f>
        <v/>
      </c>
      <c r="W18" s="9" t="str">
        <f t="shared" ca="1" si="1"/>
        <v/>
      </c>
      <c r="X18" s="17">
        <f t="shared" ca="1" si="0"/>
        <v>0.16155256913397414</v>
      </c>
      <c r="Y18" s="13">
        <f t="shared" si="6"/>
        <v>0</v>
      </c>
      <c r="Z18" s="13">
        <f t="shared" si="6"/>
        <v>0</v>
      </c>
      <c r="AA18" t="str">
        <f t="shared" ca="1" si="2"/>
        <v/>
      </c>
      <c r="AB18" t="str">
        <f t="shared" ca="1" si="3"/>
        <v/>
      </c>
      <c r="AC18" s="24" t="str">
        <f t="shared" ca="1" si="4"/>
        <v/>
      </c>
      <c r="AD18" s="24" t="str">
        <f t="shared" ca="1" si="5"/>
        <v/>
      </c>
    </row>
    <row r="19" spans="2:30" x14ac:dyDescent="0.25">
      <c r="C19" s="6">
        <v>12</v>
      </c>
      <c r="D19" s="35">
        <v>42024</v>
      </c>
      <c r="E19" s="37">
        <v>18.350000000000001</v>
      </c>
      <c r="F19" s="37">
        <v>46.225879755707624</v>
      </c>
      <c r="G19" s="37">
        <v>34.35</v>
      </c>
      <c r="H19" s="37">
        <v>2.5194486406464711</v>
      </c>
      <c r="I19" s="37">
        <v>48.886113493517406</v>
      </c>
      <c r="J19" s="10">
        <v>1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29" t="str" cm="1">
        <f t="array" aca="1" ref="U19" ca="1">+fair_value_gap(OFFSET(T18,0,0,-1*$J$5,-1*$AA$1),OFFSET(E18,0,0,-1*$J$5,1),F19:T19,0)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" s="9" t="str" cm="1">
        <f t="array" aca="1" ref="V19" ca="1">z_score_diff(OFFSET(U19,0,0,$J$5*-1,1),OFFSET(E19,0,0,$J$5*-1,1))</f>
        <v/>
      </c>
      <c r="W19" s="9" t="str">
        <f t="shared" ca="1" si="1"/>
        <v/>
      </c>
      <c r="X19" s="17">
        <f t="shared" ca="1" si="0"/>
        <v>0.15702703739011026</v>
      </c>
      <c r="Y19" s="13">
        <f t="shared" si="6"/>
        <v>0</v>
      </c>
      <c r="Z19" s="13">
        <f t="shared" si="6"/>
        <v>0</v>
      </c>
      <c r="AA19" t="str">
        <f t="shared" ca="1" si="2"/>
        <v/>
      </c>
      <c r="AB19" t="str">
        <f t="shared" ca="1" si="3"/>
        <v/>
      </c>
      <c r="AC19" s="24" t="str">
        <f t="shared" ca="1" si="4"/>
        <v/>
      </c>
      <c r="AD19" s="24" t="str">
        <f t="shared" ca="1" si="5"/>
        <v/>
      </c>
    </row>
    <row r="20" spans="2:30" x14ac:dyDescent="0.25">
      <c r="C20" s="6">
        <v>13</v>
      </c>
      <c r="D20" s="35">
        <v>42025</v>
      </c>
      <c r="E20" s="37">
        <v>18.61</v>
      </c>
      <c r="F20" s="37">
        <v>46.767412363806585</v>
      </c>
      <c r="G20" s="37">
        <v>34.33</v>
      </c>
      <c r="H20" s="37">
        <v>2.5995281094951186</v>
      </c>
      <c r="I20" s="37">
        <v>49.563991759986372</v>
      </c>
      <c r="J20" s="10">
        <v>1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29" t="str" cm="1">
        <f t="array" aca="1" ref="U20" ca="1">+fair_value_gap(OFFSET(T19,0,0,-1*$J$5,-1*$AA$1),OFFSET(E19,0,0,-1*$J$5,1),F20:T20,0)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" s="9" t="str" cm="1">
        <f t="array" aca="1" ref="V20" ca="1">z_score_diff(OFFSET(U20,0,0,$J$5*-1,1),OFFSET(E20,0,0,$J$5*-1,1))</f>
        <v/>
      </c>
      <c r="W20" s="9" t="str">
        <f t="shared" ca="1" si="1"/>
        <v/>
      </c>
      <c r="X20" s="17">
        <f t="shared" ca="1" si="0"/>
        <v>0.14639828485513851</v>
      </c>
      <c r="Y20" s="13">
        <f t="shared" si="6"/>
        <v>0</v>
      </c>
      <c r="Z20" s="13">
        <f t="shared" si="6"/>
        <v>0</v>
      </c>
      <c r="AA20" t="str">
        <f t="shared" ca="1" si="2"/>
        <v/>
      </c>
      <c r="AB20" t="str">
        <f t="shared" ca="1" si="3"/>
        <v/>
      </c>
      <c r="AC20" s="24" t="str">
        <f t="shared" ca="1" si="4"/>
        <v/>
      </c>
      <c r="AD20" s="24" t="str">
        <f t="shared" ca="1" si="5"/>
        <v/>
      </c>
    </row>
    <row r="21" spans="2:30" x14ac:dyDescent="0.25">
      <c r="C21" s="6">
        <v>14</v>
      </c>
      <c r="D21" s="35">
        <v>42026</v>
      </c>
      <c r="E21" s="37">
        <v>18.600000000000001</v>
      </c>
      <c r="F21" s="37">
        <v>47.513344960625759</v>
      </c>
      <c r="G21" s="37">
        <v>34.5</v>
      </c>
      <c r="H21" s="37">
        <v>2.5985236862040417</v>
      </c>
      <c r="I21" s="37">
        <v>50.120677201698292</v>
      </c>
      <c r="J21" s="10">
        <v>1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29" t="str" cm="1">
        <f t="array" aca="1" ref="U21" ca="1">+fair_value_gap(OFFSET(T20,0,0,-1*$J$5,-1*$AA$1),OFFSET(E20,0,0,-1*$J$5,1),F21:T21,0)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" s="9" t="str" cm="1">
        <f t="array" aca="1" ref="V21" ca="1">z_score_diff(OFFSET(U21,0,0,$J$5*-1,1),OFFSET(E21,0,0,$J$5*-1,1))</f>
        <v/>
      </c>
      <c r="W21" s="9" t="str">
        <f t="shared" ca="1" si="1"/>
        <v/>
      </c>
      <c r="X21" s="17">
        <f t="shared" ca="1" si="0"/>
        <v>0.11644402727880525</v>
      </c>
      <c r="Y21" s="13">
        <f t="shared" si="6"/>
        <v>0</v>
      </c>
      <c r="Z21" s="13">
        <f t="shared" si="6"/>
        <v>0</v>
      </c>
      <c r="AA21" t="str">
        <f t="shared" ca="1" si="2"/>
        <v/>
      </c>
      <c r="AB21" t="str">
        <f t="shared" ca="1" si="3"/>
        <v/>
      </c>
      <c r="AC21" s="24" t="str">
        <f t="shared" ca="1" si="4"/>
        <v/>
      </c>
      <c r="AD21" s="24" t="str">
        <f t="shared" ca="1" si="5"/>
        <v/>
      </c>
    </row>
    <row r="22" spans="2:30" x14ac:dyDescent="0.25">
      <c r="C22" s="6">
        <v>15</v>
      </c>
      <c r="D22" s="35">
        <v>42027</v>
      </c>
      <c r="E22" s="37">
        <v>18.7</v>
      </c>
      <c r="F22" s="37">
        <v>48.303761962478262</v>
      </c>
      <c r="G22" s="37">
        <v>34.6</v>
      </c>
      <c r="H22" s="37">
        <v>2.7061853376546865</v>
      </c>
      <c r="I22" s="37">
        <v>50.05686459818353</v>
      </c>
      <c r="J22" s="10">
        <v>1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29" t="str" cm="1">
        <f t="array" aca="1" ref="U22" ca="1">+fair_value_gap(OFFSET(T21,0,0,-1*$J$5,-1*$AA$1),OFFSET(E21,0,0,-1*$J$5,1),F22:T22,0)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" s="9" t="str" cm="1">
        <f t="array" aca="1" ref="V22" ca="1">z_score_diff(OFFSET(U22,0,0,$J$5*-1,1),OFFSET(E22,0,0,$J$5*-1,1))</f>
        <v/>
      </c>
      <c r="W22" s="9" t="str">
        <f t="shared" ca="1" si="1"/>
        <v/>
      </c>
      <c r="X22" s="17">
        <f t="shared" ca="1" si="0"/>
        <v>0.11766419318194338</v>
      </c>
      <c r="Y22" s="13">
        <f t="shared" si="6"/>
        <v>0</v>
      </c>
      <c r="Z22" s="13">
        <f t="shared" si="6"/>
        <v>0</v>
      </c>
      <c r="AA22" t="str">
        <f t="shared" ca="1" si="2"/>
        <v/>
      </c>
      <c r="AB22" t="str">
        <f t="shared" ca="1" si="3"/>
        <v/>
      </c>
      <c r="AC22" s="24" t="str">
        <f t="shared" ca="1" si="4"/>
        <v/>
      </c>
      <c r="AD22" s="24" t="str">
        <f t="shared" ca="1" si="5"/>
        <v/>
      </c>
    </row>
    <row r="23" spans="2:30" x14ac:dyDescent="0.25">
      <c r="C23" s="6">
        <v>16</v>
      </c>
      <c r="D23" s="35">
        <v>42030</v>
      </c>
      <c r="E23" s="37">
        <v>18.706</v>
      </c>
      <c r="F23" s="37">
        <v>47.90432975640573</v>
      </c>
      <c r="G23" s="37">
        <v>34.6</v>
      </c>
      <c r="H23" s="37">
        <v>2.6352261414433231</v>
      </c>
      <c r="I23" s="37">
        <v>50.220134547371075</v>
      </c>
      <c r="J23" s="10">
        <v>1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29" t="str" cm="1">
        <f t="array" aca="1" ref="U23" ca="1">+fair_value_gap(OFFSET(T22,0,0,-1*$J$5,-1*$AA$1),OFFSET(E22,0,0,-1*$J$5,1),F23:T23,0)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" s="9" t="str" cm="1">
        <f t="array" aca="1" ref="V23" ca="1">z_score_diff(OFFSET(U23,0,0,$J$5*-1,1),OFFSET(E23,0,0,$J$5*-1,1))</f>
        <v/>
      </c>
      <c r="W23" s="9" t="str">
        <f t="shared" ca="1" si="1"/>
        <v/>
      </c>
      <c r="X23" s="17">
        <f t="shared" ca="1" si="0"/>
        <v>0.10456901250932035</v>
      </c>
      <c r="Y23" s="13">
        <f t="shared" si="6"/>
        <v>0</v>
      </c>
      <c r="Z23" s="13">
        <f t="shared" si="6"/>
        <v>0</v>
      </c>
      <c r="AA23" t="str">
        <f t="shared" ca="1" si="2"/>
        <v/>
      </c>
      <c r="AB23" t="str">
        <f t="shared" ca="1" si="3"/>
        <v/>
      </c>
      <c r="AC23" s="24" t="str">
        <f t="shared" ca="1" si="4"/>
        <v/>
      </c>
      <c r="AD23" s="24" t="str">
        <f t="shared" ca="1" si="5"/>
        <v/>
      </c>
    </row>
    <row r="24" spans="2:30" x14ac:dyDescent="0.25">
      <c r="C24" s="6">
        <v>17</v>
      </c>
      <c r="D24" s="35">
        <v>42031</v>
      </c>
      <c r="E24" s="37">
        <v>18.956</v>
      </c>
      <c r="F24" s="37">
        <v>48.448932017020326</v>
      </c>
      <c r="G24" s="37">
        <v>34.65</v>
      </c>
      <c r="H24" s="37">
        <v>2.6638135628923312</v>
      </c>
      <c r="I24" s="37">
        <v>50.379867713350841</v>
      </c>
      <c r="J24" s="10">
        <v>1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29" t="str" cm="1">
        <f t="array" aca="1" ref="U24" ca="1">+fair_value_gap(OFFSET(T23,0,0,-1*$J$5,-1*$AA$1),OFFSET(E23,0,0,-1*$J$5,1),F24:T24,0)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" s="9" t="str" cm="1">
        <f t="array" aca="1" ref="V24" ca="1">z_score_diff(OFFSET(U24,0,0,$J$5*-1,1),OFFSET(E24,0,0,$J$5*-1,1))</f>
        <v/>
      </c>
      <c r="W24" s="9" t="str">
        <f t="shared" ca="1" si="1"/>
        <v/>
      </c>
      <c r="X24" s="17">
        <f t="shared" ca="1" si="0"/>
        <v>0.10506505103756481</v>
      </c>
      <c r="Y24" s="13">
        <f t="shared" si="6"/>
        <v>0</v>
      </c>
      <c r="Z24" s="13">
        <f t="shared" si="6"/>
        <v>0</v>
      </c>
      <c r="AA24" t="str">
        <f t="shared" ca="1" si="2"/>
        <v/>
      </c>
      <c r="AB24" t="str">
        <f t="shared" ca="1" si="3"/>
        <v/>
      </c>
      <c r="AC24" s="24" t="str">
        <f t="shared" ca="1" si="4"/>
        <v/>
      </c>
      <c r="AD24" s="24" t="str">
        <f t="shared" ca="1" si="5"/>
        <v/>
      </c>
    </row>
    <row r="25" spans="2:30" x14ac:dyDescent="0.25">
      <c r="C25" s="6">
        <v>18</v>
      </c>
      <c r="D25" s="35">
        <v>42032</v>
      </c>
      <c r="E25" s="37">
        <v>19.114000000000001</v>
      </c>
      <c r="F25" s="37">
        <v>47.936306622551115</v>
      </c>
      <c r="G25" s="37">
        <v>34.58</v>
      </c>
      <c r="H25" s="37">
        <v>2.6170393228068032</v>
      </c>
      <c r="I25" s="37">
        <v>52.358475130166525</v>
      </c>
      <c r="J25" s="10">
        <v>1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29" t="str" cm="1">
        <f t="array" aca="1" ref="U25" ca="1">+fair_value_gap(OFFSET(T24,0,0,-1*$J$5,-1*$AA$1),OFFSET(E24,0,0,-1*$J$5,1),F25:T25,0)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" s="9" t="str" cm="1">
        <f t="array" aca="1" ref="V25" ca="1">z_score_diff(OFFSET(U25,0,0,$J$5*-1,1),OFFSET(E25,0,0,$J$5*-1,1))</f>
        <v/>
      </c>
      <c r="W25" s="9" t="str">
        <f t="shared" ca="1" si="1"/>
        <v/>
      </c>
      <c r="X25" s="17">
        <f t="shared" ca="1" si="0"/>
        <v>0.12023314922726229</v>
      </c>
      <c r="Y25" s="13">
        <f t="shared" ref="Y25:Z40" si="7">+Y24</f>
        <v>0</v>
      </c>
      <c r="Z25" s="13">
        <f t="shared" si="7"/>
        <v>0</v>
      </c>
      <c r="AA25" t="str">
        <f t="shared" ca="1" si="2"/>
        <v/>
      </c>
      <c r="AB25" t="str">
        <f t="shared" ca="1" si="3"/>
        <v/>
      </c>
      <c r="AC25" s="24" t="str">
        <f t="shared" ca="1" si="4"/>
        <v/>
      </c>
      <c r="AD25" s="24" t="str">
        <f t="shared" ca="1" si="5"/>
        <v/>
      </c>
    </row>
    <row r="26" spans="2:30" x14ac:dyDescent="0.25">
      <c r="C26" s="6">
        <v>19</v>
      </c>
      <c r="D26" s="35">
        <v>42033</v>
      </c>
      <c r="E26" s="37">
        <v>19.375</v>
      </c>
      <c r="F26" s="37">
        <v>48.103966637571531</v>
      </c>
      <c r="G26" s="37">
        <v>36</v>
      </c>
      <c r="H26" s="37">
        <v>2.5206972253815434</v>
      </c>
      <c r="I26" s="37">
        <v>51.665917246365318</v>
      </c>
      <c r="J26" s="10">
        <v>1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29" t="str" cm="1">
        <f t="array" aca="1" ref="U26" ca="1">+fair_value_gap(OFFSET(T25,0,0,-1*$J$5,-1*$AA$1),OFFSET(E25,0,0,-1*$J$5,1),F26:T26,0)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6" s="9" t="str" cm="1">
        <f t="array" aca="1" ref="V26" ca="1">z_score_diff(OFFSET(U26,0,0,$J$5*-1,1),OFFSET(E26,0,0,$J$5*-1,1))</f>
        <v/>
      </c>
      <c r="W26" s="9" t="str">
        <f t="shared" ca="1" si="1"/>
        <v/>
      </c>
      <c r="X26" s="17">
        <f t="shared" ca="1" si="0"/>
        <v>0.11079090565453326</v>
      </c>
      <c r="Y26" s="13">
        <f t="shared" si="7"/>
        <v>0</v>
      </c>
      <c r="Z26" s="13">
        <f t="shared" si="7"/>
        <v>0</v>
      </c>
      <c r="AA26" t="str">
        <f t="shared" ca="1" si="2"/>
        <v/>
      </c>
      <c r="AB26" t="str">
        <f t="shared" ca="1" si="3"/>
        <v/>
      </c>
      <c r="AC26" s="24" t="str">
        <f t="shared" ca="1" si="4"/>
        <v/>
      </c>
      <c r="AD26" s="24" t="str">
        <f t="shared" ca="1" si="5"/>
        <v/>
      </c>
    </row>
    <row r="27" spans="2:30" x14ac:dyDescent="0.25">
      <c r="B27" s="13"/>
      <c r="C27" s="6">
        <v>20</v>
      </c>
      <c r="D27" s="35">
        <v>42034</v>
      </c>
      <c r="E27" s="37">
        <v>19.238</v>
      </c>
      <c r="F27" s="37">
        <v>51.336463389833504</v>
      </c>
      <c r="G27" s="37">
        <v>35.049999999999997</v>
      </c>
      <c r="H27" s="37">
        <v>2.4960874293747843</v>
      </c>
      <c r="I27" s="37">
        <v>51.769719798049458</v>
      </c>
      <c r="J27" s="10">
        <v>1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29" t="str" cm="1">
        <f t="array" aca="1" ref="U27" ca="1">+fair_value_gap(OFFSET(T26,0,0,-1*$J$5,-1*$AA$1),OFFSET(E26,0,0,-1*$J$5,1),F27:T27,0)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7" s="9" t="str" cm="1">
        <f t="array" aca="1" ref="V27" ca="1">z_score_diff(OFFSET(U27,0,0,$J$5*-1,1),OFFSET(E27,0,0,$J$5*-1,1))</f>
        <v/>
      </c>
      <c r="W27" s="9" t="str">
        <f t="shared" ca="1" si="1"/>
        <v/>
      </c>
      <c r="X27" s="17">
        <f t="shared" ca="1" si="0"/>
        <v>0.12959914709203132</v>
      </c>
      <c r="Y27" s="13">
        <f t="shared" si="7"/>
        <v>0</v>
      </c>
      <c r="Z27" s="13">
        <f t="shared" si="7"/>
        <v>0</v>
      </c>
      <c r="AA27" t="str">
        <f t="shared" ca="1" si="2"/>
        <v/>
      </c>
      <c r="AB27" t="str">
        <f t="shared" ca="1" si="3"/>
        <v/>
      </c>
      <c r="AC27" s="24" t="str">
        <f t="shared" ca="1" si="4"/>
        <v/>
      </c>
      <c r="AD27" s="24" t="str">
        <f t="shared" ca="1" si="5"/>
        <v/>
      </c>
    </row>
    <row r="28" spans="2:30" x14ac:dyDescent="0.25">
      <c r="B28" s="13"/>
      <c r="C28" s="6">
        <v>21</v>
      </c>
      <c r="D28" s="35">
        <v>42037</v>
      </c>
      <c r="E28" s="37">
        <v>19.428000000000001</v>
      </c>
      <c r="F28" s="37">
        <v>52.613050289556604</v>
      </c>
      <c r="G28" s="37">
        <v>35.450000000000003</v>
      </c>
      <c r="H28" s="37">
        <v>2.4783932689091901</v>
      </c>
      <c r="I28" s="37">
        <v>51.66253014381018</v>
      </c>
      <c r="J28" s="10">
        <v>0</v>
      </c>
      <c r="K28" s="38">
        <v>1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29" t="str" cm="1">
        <f t="array" aca="1" ref="U28" ca="1">+fair_value_gap(OFFSET(T27,0,0,-1*$J$5,-1*$AA$1),OFFSET(E27,0,0,-1*$J$5,1),F28:T28,0)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8" s="9" t="str" cm="1">
        <f t="array" aca="1" ref="V28" ca="1">z_score_diff(OFFSET(U28,0,0,$J$5*-1,1),OFFSET(E28,0,0,$J$5*-1,1))</f>
        <v/>
      </c>
      <c r="W28" s="9" t="str">
        <f t="shared" ca="1" si="1"/>
        <v/>
      </c>
      <c r="X28" s="17">
        <f t="shared" ca="1" si="0"/>
        <v>0.10477356146973893</v>
      </c>
      <c r="Y28" s="13">
        <f t="shared" si="7"/>
        <v>0</v>
      </c>
      <c r="Z28" s="13">
        <f t="shared" si="7"/>
        <v>0</v>
      </c>
      <c r="AA28" t="str">
        <f t="shared" ca="1" si="2"/>
        <v/>
      </c>
      <c r="AB28" t="str">
        <f t="shared" ca="1" si="3"/>
        <v/>
      </c>
      <c r="AC28" s="24" t="str">
        <f t="shared" ca="1" si="4"/>
        <v/>
      </c>
      <c r="AD28" s="24" t="str">
        <f t="shared" ca="1" si="5"/>
        <v/>
      </c>
    </row>
    <row r="29" spans="2:30" x14ac:dyDescent="0.25">
      <c r="B29" s="13"/>
      <c r="C29" s="6">
        <v>22</v>
      </c>
      <c r="D29" s="35">
        <v>42038</v>
      </c>
      <c r="E29" s="37">
        <v>19.36</v>
      </c>
      <c r="F29" s="37">
        <v>54.801828870927665</v>
      </c>
      <c r="G29" s="37">
        <v>35.5</v>
      </c>
      <c r="H29" s="37">
        <v>2.5067904914004484</v>
      </c>
      <c r="I29" s="37">
        <v>51.439167102567268</v>
      </c>
      <c r="J29" s="10">
        <v>0</v>
      </c>
      <c r="K29" s="38">
        <v>1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29" t="str" cm="1">
        <f t="array" aca="1" ref="U29" ca="1">+fair_value_gap(OFFSET(T28,0,0,-1*$J$5,-1*$AA$1),OFFSET(E28,0,0,-1*$J$5,1),F29:T29,0)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9" s="9" t="str" cm="1">
        <f t="array" aca="1" ref="V29" ca="1">z_score_diff(OFFSET(U29,0,0,$J$5*-1,1),OFFSET(E29,0,0,$J$5*-1,1))</f>
        <v/>
      </c>
      <c r="W29" s="9" t="str">
        <f t="shared" ca="1" si="1"/>
        <v/>
      </c>
      <c r="X29" s="17">
        <f t="shared" ca="1" si="0"/>
        <v>9.5779641340575053E-2</v>
      </c>
      <c r="Y29" s="13">
        <f t="shared" si="7"/>
        <v>0</v>
      </c>
      <c r="Z29" s="13">
        <f t="shared" si="7"/>
        <v>0</v>
      </c>
      <c r="AA29" t="str">
        <f t="shared" ca="1" si="2"/>
        <v/>
      </c>
      <c r="AB29" t="str">
        <f t="shared" ca="1" si="3"/>
        <v/>
      </c>
      <c r="AC29" s="24" t="str">
        <f t="shared" ca="1" si="4"/>
        <v/>
      </c>
      <c r="AD29" s="24" t="str">
        <f t="shared" ca="1" si="5"/>
        <v/>
      </c>
    </row>
    <row r="30" spans="2:30" x14ac:dyDescent="0.25">
      <c r="B30" s="13"/>
      <c r="C30" s="6">
        <v>23</v>
      </c>
      <c r="D30" s="35">
        <v>42039</v>
      </c>
      <c r="E30" s="37">
        <v>19.54</v>
      </c>
      <c r="F30" s="37">
        <v>51.987459165552174</v>
      </c>
      <c r="G30" s="37">
        <v>35.549999999999997</v>
      </c>
      <c r="H30" s="37">
        <v>2.4669487623599573</v>
      </c>
      <c r="I30" s="37">
        <v>51.654206222183248</v>
      </c>
      <c r="J30" s="10">
        <v>0</v>
      </c>
      <c r="K30" s="38">
        <v>1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29" t="str" cm="1">
        <f t="array" aca="1" ref="U30" ca="1">+fair_value_gap(OFFSET(T29,0,0,-1*$J$5,-1*$AA$1),OFFSET(E29,0,0,-1*$J$5,1),F30:T30,0)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0" s="9" t="str" cm="1">
        <f t="array" aca="1" ref="V30" ca="1">z_score_diff(OFFSET(U30,0,0,$J$5*-1,1),OFFSET(E30,0,0,$J$5*-1,1))</f>
        <v/>
      </c>
      <c r="W30" s="9" t="str">
        <f t="shared" ca="1" si="1"/>
        <v/>
      </c>
      <c r="X30" s="17">
        <f t="shared" ca="1" si="0"/>
        <v>0.10018337070747971</v>
      </c>
      <c r="Y30" s="13">
        <f t="shared" si="7"/>
        <v>0</v>
      </c>
      <c r="Z30" s="13">
        <f t="shared" si="7"/>
        <v>0</v>
      </c>
      <c r="AA30" t="str">
        <f t="shared" ca="1" si="2"/>
        <v/>
      </c>
      <c r="AB30" t="str">
        <f t="shared" ca="1" si="3"/>
        <v/>
      </c>
      <c r="AC30" s="24" t="str">
        <f t="shared" ca="1" si="4"/>
        <v/>
      </c>
      <c r="AD30" s="24" t="str">
        <f t="shared" ca="1" si="5"/>
        <v/>
      </c>
    </row>
    <row r="31" spans="2:30" x14ac:dyDescent="0.25">
      <c r="B31" s="13"/>
      <c r="C31" s="6">
        <v>24</v>
      </c>
      <c r="D31" s="35">
        <v>42040</v>
      </c>
      <c r="E31" s="37">
        <v>20.414999999999999</v>
      </c>
      <c r="F31" s="37">
        <v>53.389429032131886</v>
      </c>
      <c r="G31" s="37">
        <v>36.049999999999997</v>
      </c>
      <c r="H31" s="37">
        <v>2.4043497346609701</v>
      </c>
      <c r="I31" s="37">
        <v>52.415867317446313</v>
      </c>
      <c r="J31" s="10">
        <v>0</v>
      </c>
      <c r="K31" s="38">
        <v>1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29" t="str" cm="1">
        <f t="array" aca="1" ref="U31" ca="1">+fair_value_gap(OFFSET(T30,0,0,-1*$J$5,-1*$AA$1),OFFSET(E30,0,0,-1*$J$5,1),F31:T31,0)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1" s="9" t="str" cm="1">
        <f t="array" aca="1" ref="V31" ca="1">z_score_diff(OFFSET(U31,0,0,$J$5*-1,1),OFFSET(E31,0,0,$J$5*-1,1))</f>
        <v/>
      </c>
      <c r="W31" s="9" t="str">
        <f t="shared" ca="1" si="1"/>
        <v/>
      </c>
      <c r="X31" s="17">
        <f t="shared" ca="1" si="0"/>
        <v>3.9051140194109567E-2</v>
      </c>
      <c r="Y31" s="13">
        <f t="shared" si="7"/>
        <v>0</v>
      </c>
      <c r="Z31" s="13">
        <f t="shared" si="7"/>
        <v>0</v>
      </c>
      <c r="AA31" t="str">
        <f t="shared" ca="1" si="2"/>
        <v/>
      </c>
      <c r="AB31" t="str">
        <f t="shared" ca="1" si="3"/>
        <v/>
      </c>
      <c r="AC31" s="24" t="str">
        <f t="shared" ca="1" si="4"/>
        <v/>
      </c>
      <c r="AD31" s="24" t="str">
        <f t="shared" ca="1" si="5"/>
        <v/>
      </c>
    </row>
    <row r="32" spans="2:30" x14ac:dyDescent="0.25">
      <c r="B32" s="13"/>
      <c r="C32" s="6">
        <v>25</v>
      </c>
      <c r="D32" s="35">
        <v>42041</v>
      </c>
      <c r="E32" s="37">
        <v>20.207999999999998</v>
      </c>
      <c r="F32" s="37">
        <v>55.137822518797982</v>
      </c>
      <c r="G32" s="37">
        <v>36.15</v>
      </c>
      <c r="H32" s="37">
        <v>2.4435178900416945</v>
      </c>
      <c r="I32" s="37">
        <v>52.845922621933482</v>
      </c>
      <c r="J32" s="10">
        <v>0</v>
      </c>
      <c r="K32" s="38">
        <v>1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29" t="str" cm="1">
        <f t="array" aca="1" ref="U32" ca="1">+fair_value_gap(OFFSET(T31,0,0,-1*$J$5,-1*$AA$1),OFFSET(E31,0,0,-1*$J$5,1),F32:T32,0)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2" s="9" t="str" cm="1">
        <f t="array" aca="1" ref="V32" ca="1">z_score_diff(OFFSET(U32,0,0,$J$5*-1,1),OFFSET(E32,0,0,$J$5*-1,1))</f>
        <v/>
      </c>
      <c r="W32" s="9" t="str">
        <f t="shared" ca="1" si="1"/>
        <v/>
      </c>
      <c r="X32" s="17">
        <f t="shared" ca="1" si="0"/>
        <v>2.0425366612609439E-2</v>
      </c>
      <c r="Y32" s="13">
        <f t="shared" si="7"/>
        <v>0</v>
      </c>
      <c r="Z32" s="13">
        <f t="shared" si="7"/>
        <v>0</v>
      </c>
      <c r="AA32" t="str">
        <f t="shared" ca="1" si="2"/>
        <v/>
      </c>
      <c r="AB32" t="str">
        <f t="shared" ca="1" si="3"/>
        <v/>
      </c>
      <c r="AC32" s="24" t="str">
        <f t="shared" ca="1" si="4"/>
        <v/>
      </c>
      <c r="AD32" s="24" t="str">
        <f t="shared" ca="1" si="5"/>
        <v/>
      </c>
    </row>
    <row r="33" spans="2:30" x14ac:dyDescent="0.25">
      <c r="B33" s="13"/>
      <c r="C33" s="6">
        <v>26</v>
      </c>
      <c r="D33" s="35">
        <v>42044</v>
      </c>
      <c r="E33" s="37">
        <v>20.838999999999999</v>
      </c>
      <c r="F33" s="37">
        <v>55.912822861975407</v>
      </c>
      <c r="G33" s="37">
        <v>36.1</v>
      </c>
      <c r="H33" s="37">
        <v>2.4692554353571303</v>
      </c>
      <c r="I33" s="37">
        <v>53.736918143697807</v>
      </c>
      <c r="J33" s="10">
        <v>0</v>
      </c>
      <c r="K33" s="38">
        <v>1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29" t="str" cm="1">
        <f t="array" aca="1" ref="U33" ca="1">+fair_value_gap(OFFSET(T32,0,0,-1*$J$5,-1*$AA$1),OFFSET(E32,0,0,-1*$J$5,1),F33:T33,0)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3" s="9" t="str" cm="1">
        <f t="array" aca="1" ref="V33" ca="1">z_score_diff(OFFSET(U33,0,0,$J$5*-1,1),OFFSET(E33,0,0,$J$5*-1,1))</f>
        <v/>
      </c>
      <c r="W33" s="9" t="str">
        <f t="shared" ca="1" si="1"/>
        <v/>
      </c>
      <c r="X33" s="17">
        <f t="shared" ca="1" si="0"/>
        <v>1.3394227749108178E-2</v>
      </c>
      <c r="Y33" s="13">
        <f t="shared" si="7"/>
        <v>0</v>
      </c>
      <c r="Z33" s="13">
        <f t="shared" si="7"/>
        <v>0</v>
      </c>
      <c r="AA33" t="str">
        <f t="shared" ca="1" si="2"/>
        <v/>
      </c>
      <c r="AB33" t="str">
        <f t="shared" ca="1" si="3"/>
        <v/>
      </c>
      <c r="AC33" s="24" t="str">
        <f t="shared" ca="1" si="4"/>
        <v/>
      </c>
      <c r="AD33" s="24" t="str">
        <f t="shared" ca="1" si="5"/>
        <v/>
      </c>
    </row>
    <row r="34" spans="2:30" x14ac:dyDescent="0.25">
      <c r="B34" s="13"/>
      <c r="C34" s="6">
        <v>27</v>
      </c>
      <c r="D34" s="35">
        <v>42045</v>
      </c>
      <c r="E34" s="37">
        <v>21.138999999999999</v>
      </c>
      <c r="F34" s="37">
        <v>54.511390940171545</v>
      </c>
      <c r="G34" s="37">
        <v>38.299999999999997</v>
      </c>
      <c r="H34" s="37">
        <v>2.533280174436451</v>
      </c>
      <c r="I34" s="37">
        <v>53.408814262579078</v>
      </c>
      <c r="J34" s="10">
        <v>0</v>
      </c>
      <c r="K34" s="38">
        <v>1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29" t="str" cm="1">
        <f t="array" aca="1" ref="U34" ca="1">+fair_value_gap(OFFSET(T33,0,0,-1*$J$5,-1*$AA$1),OFFSET(E33,0,0,-1*$J$5,1),F34:T34,0)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4" s="9" t="str" cm="1">
        <f t="array" aca="1" ref="V34" ca="1">z_score_diff(OFFSET(U34,0,0,$J$5*-1,1),OFFSET(E34,0,0,$J$5*-1,1))</f>
        <v/>
      </c>
      <c r="W34" s="9" t="str">
        <f t="shared" ca="1" si="1"/>
        <v/>
      </c>
      <c r="X34" s="17">
        <f t="shared" ca="1" si="0"/>
        <v>-4.0291098044159483E-3</v>
      </c>
      <c r="Y34" s="13">
        <f t="shared" si="7"/>
        <v>0</v>
      </c>
      <c r="Z34" s="13">
        <f t="shared" si="7"/>
        <v>0</v>
      </c>
      <c r="AA34" t="str">
        <f t="shared" ca="1" si="2"/>
        <v/>
      </c>
      <c r="AB34" t="str">
        <f t="shared" ca="1" si="3"/>
        <v/>
      </c>
      <c r="AC34" s="24" t="str">
        <f t="shared" ca="1" si="4"/>
        <v/>
      </c>
      <c r="AD34" s="24" t="str">
        <f t="shared" ca="1" si="5"/>
        <v/>
      </c>
    </row>
    <row r="35" spans="2:30" x14ac:dyDescent="0.25">
      <c r="B35" s="13"/>
      <c r="C35" s="6">
        <v>28</v>
      </c>
      <c r="D35" s="35">
        <v>42046</v>
      </c>
      <c r="E35" s="37">
        <v>21.547999999999998</v>
      </c>
      <c r="F35" s="37">
        <v>53.350413004107956</v>
      </c>
      <c r="G35" s="37">
        <v>38.380000000000003</v>
      </c>
      <c r="H35" s="37">
        <v>2.6034718848005656</v>
      </c>
      <c r="I35" s="37">
        <v>53.756791377711032</v>
      </c>
      <c r="J35" s="10">
        <v>0</v>
      </c>
      <c r="K35" s="38">
        <v>1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38">
        <v>0</v>
      </c>
      <c r="S35" s="38">
        <v>0</v>
      </c>
      <c r="T35" s="38">
        <v>0</v>
      </c>
      <c r="U35" s="29" t="str" cm="1">
        <f t="array" aca="1" ref="U35" ca="1">+fair_value_gap(OFFSET(T34,0,0,-1*$J$5,-1*$AA$1),OFFSET(E34,0,0,-1*$J$5,1),F35:T35,0)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5" s="9" t="str" cm="1">
        <f t="array" aca="1" ref="V35" ca="1">z_score_diff(OFFSET(U35,0,0,$J$5*-1,1),OFFSET(E35,0,0,$J$5*-1,1))</f>
        <v/>
      </c>
      <c r="W35" s="9" t="str">
        <f t="shared" ca="1" si="1"/>
        <v/>
      </c>
      <c r="X35" s="17">
        <f t="shared" ca="1" si="0"/>
        <v>-4.1775942306905475E-4</v>
      </c>
      <c r="Y35" s="13">
        <f t="shared" si="7"/>
        <v>0</v>
      </c>
      <c r="Z35" s="13">
        <f t="shared" si="7"/>
        <v>0</v>
      </c>
      <c r="AA35" t="str">
        <f t="shared" ca="1" si="2"/>
        <v/>
      </c>
      <c r="AB35" t="str">
        <f t="shared" ca="1" si="3"/>
        <v/>
      </c>
      <c r="AC35" s="24" t="str">
        <f t="shared" ca="1" si="4"/>
        <v/>
      </c>
      <c r="AD35" s="24" t="str">
        <f t="shared" ca="1" si="5"/>
        <v/>
      </c>
    </row>
    <row r="36" spans="2:30" x14ac:dyDescent="0.25">
      <c r="B36" s="13"/>
      <c r="C36" s="6">
        <v>29</v>
      </c>
      <c r="D36" s="35">
        <v>42047</v>
      </c>
      <c r="E36" s="37">
        <v>22.216000000000001</v>
      </c>
      <c r="F36" s="37">
        <v>55.283984084648679</v>
      </c>
      <c r="G36" s="37">
        <v>38.69</v>
      </c>
      <c r="H36" s="37">
        <v>2.523719994753181</v>
      </c>
      <c r="I36" s="37">
        <v>53.430107997026802</v>
      </c>
      <c r="J36" s="10">
        <v>0</v>
      </c>
      <c r="K36" s="38">
        <v>1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29" t="str" cm="1">
        <f t="array" aca="1" ref="U36" ca="1">+fair_value_gap(OFFSET(T35,0,0,-1*$J$5,-1*$AA$1),OFFSET(E35,0,0,-1*$J$5,1),F36:T36,0)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6" s="9" t="str" cm="1">
        <f t="array" aca="1" ref="V36" ca="1">z_score_diff(OFFSET(U36,0,0,$J$5*-1,1),OFFSET(E36,0,0,$J$5*-1,1))</f>
        <v/>
      </c>
      <c r="W36" s="9" t="str">
        <f t="shared" ca="1" si="1"/>
        <v/>
      </c>
      <c r="X36" s="17">
        <f t="shared" ca="1" si="0"/>
        <v>-4.8605629522528573E-2</v>
      </c>
      <c r="Y36" s="13">
        <f t="shared" si="7"/>
        <v>0</v>
      </c>
      <c r="Z36" s="13">
        <f t="shared" si="7"/>
        <v>0</v>
      </c>
      <c r="AA36" t="str">
        <f t="shared" ca="1" si="2"/>
        <v/>
      </c>
      <c r="AB36" t="str">
        <f t="shared" ca="1" si="3"/>
        <v/>
      </c>
      <c r="AC36" s="24" t="str">
        <f t="shared" ca="1" si="4"/>
        <v/>
      </c>
      <c r="AD36" s="24" t="str">
        <f t="shared" ca="1" si="5"/>
        <v/>
      </c>
    </row>
    <row r="37" spans="2:30" x14ac:dyDescent="0.25">
      <c r="B37" s="13"/>
      <c r="C37" s="6">
        <v>30</v>
      </c>
      <c r="D37" s="35">
        <v>42048</v>
      </c>
      <c r="E37" s="37">
        <v>21.911000000000001</v>
      </c>
      <c r="F37" s="37">
        <v>57.332079522431137</v>
      </c>
      <c r="G37" s="37">
        <v>38.49</v>
      </c>
      <c r="H37" s="37">
        <v>2.5899250340157498</v>
      </c>
      <c r="I37" s="37">
        <v>54.328887207801642</v>
      </c>
      <c r="J37" s="10">
        <v>0</v>
      </c>
      <c r="K37" s="38">
        <v>1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38">
        <v>0</v>
      </c>
      <c r="S37" s="38">
        <v>0</v>
      </c>
      <c r="T37" s="38">
        <v>0</v>
      </c>
      <c r="U37" s="29" t="str" cm="1">
        <f t="array" aca="1" ref="U37" ca="1">+fair_value_gap(OFFSET(T36,0,0,-1*$J$5,-1*$AA$1),OFFSET(E36,0,0,-1*$J$5,1),F37:T37,0)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7" s="9" t="str" cm="1">
        <f t="array" aca="1" ref="V37" ca="1">z_score_diff(OFFSET(U37,0,0,$J$5*-1,1),OFFSET(E37,0,0,$J$5*-1,1))</f>
        <v/>
      </c>
      <c r="W37" s="9" t="str">
        <f t="shared" ca="1" si="1"/>
        <v/>
      </c>
      <c r="X37" s="17">
        <f t="shared" ca="1" si="0"/>
        <v>-3.7099829319597474E-2</v>
      </c>
      <c r="Y37" s="13">
        <f t="shared" si="7"/>
        <v>0</v>
      </c>
      <c r="Z37" s="13">
        <f t="shared" si="7"/>
        <v>0</v>
      </c>
      <c r="AA37" t="str">
        <f t="shared" ca="1" si="2"/>
        <v/>
      </c>
      <c r="AB37" t="str">
        <f t="shared" ca="1" si="3"/>
        <v/>
      </c>
      <c r="AC37" s="24" t="str">
        <f t="shared" ca="1" si="4"/>
        <v/>
      </c>
      <c r="AD37" s="24" t="str">
        <f t="shared" ca="1" si="5"/>
        <v/>
      </c>
    </row>
    <row r="38" spans="2:30" x14ac:dyDescent="0.25">
      <c r="B38" s="13"/>
      <c r="C38" s="6">
        <v>31</v>
      </c>
      <c r="D38" s="35">
        <v>42051</v>
      </c>
      <c r="E38" s="37">
        <v>21.538</v>
      </c>
      <c r="F38" s="37">
        <v>57.146926506414964</v>
      </c>
      <c r="G38" s="37">
        <v>38.19</v>
      </c>
      <c r="H38" s="37">
        <v>2.6006247477842379</v>
      </c>
      <c r="I38" s="37">
        <v>55.300641188515399</v>
      </c>
      <c r="J38" s="10">
        <v>0</v>
      </c>
      <c r="K38" s="38">
        <v>1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0</v>
      </c>
      <c r="T38" s="38">
        <v>0</v>
      </c>
      <c r="U38" s="29" t="str" cm="1">
        <f t="array" aca="1" ref="U38" ca="1">+fair_value_gap(OFFSET(T37,0,0,-1*$J$5,-1*$AA$1),OFFSET(E37,0,0,-1*$J$5,1),F38:T38,0)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8" s="9" t="str" cm="1">
        <f t="array" aca="1" ref="V38" ca="1">z_score_diff(OFFSET(U38,0,0,$J$5*-1,1),OFFSET(E38,0,0,$J$5*-1,1))</f>
        <v/>
      </c>
      <c r="W38" s="9" t="str">
        <f t="shared" ca="1" si="1"/>
        <v/>
      </c>
      <c r="X38" s="17">
        <f t="shared" ca="1" si="0"/>
        <v>-3.1170742375866554E-2</v>
      </c>
      <c r="Y38" s="13">
        <f t="shared" si="7"/>
        <v>0</v>
      </c>
      <c r="Z38" s="13">
        <f t="shared" si="7"/>
        <v>0</v>
      </c>
      <c r="AA38" t="str">
        <f t="shared" ca="1" si="2"/>
        <v/>
      </c>
      <c r="AB38" t="str">
        <f t="shared" ca="1" si="3"/>
        <v/>
      </c>
      <c r="AC38" s="24" t="str">
        <f t="shared" ca="1" si="4"/>
        <v/>
      </c>
      <c r="AD38" s="24" t="str">
        <f t="shared" ca="1" si="5"/>
        <v/>
      </c>
    </row>
    <row r="39" spans="2:30" x14ac:dyDescent="0.25">
      <c r="C39" s="6">
        <v>32</v>
      </c>
      <c r="D39" s="35">
        <v>42052</v>
      </c>
      <c r="E39" s="37">
        <v>21.47</v>
      </c>
      <c r="F39" s="37">
        <v>57.80791410796288</v>
      </c>
      <c r="G39" s="37">
        <v>37.5</v>
      </c>
      <c r="H39" s="37">
        <v>2.5547706824550271</v>
      </c>
      <c r="I39" s="37">
        <v>53.708743905871167</v>
      </c>
      <c r="J39" s="10">
        <v>0</v>
      </c>
      <c r="K39" s="38">
        <v>1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v>0</v>
      </c>
      <c r="S39" s="38">
        <v>0</v>
      </c>
      <c r="T39" s="38">
        <v>0</v>
      </c>
      <c r="U39" s="29" t="str" cm="1">
        <f t="array" aca="1" ref="U39" ca="1">+fair_value_gap(OFFSET(T38,0,0,-1*$J$5,-1*$AA$1),OFFSET(E38,0,0,-1*$J$5,1),F39:T39,0)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9" s="9" t="str" cm="1">
        <f t="array" aca="1" ref="V39" ca="1">z_score_diff(OFFSET(U39,0,0,$J$5*-1,1),OFFSET(E39,0,0,$J$5*-1,1))</f>
        <v/>
      </c>
      <c r="W39" s="9" t="str">
        <f t="shared" ca="1" si="1"/>
        <v/>
      </c>
      <c r="X39" s="17">
        <f t="shared" ca="1" si="0"/>
        <v>-3.3821250385196351E-2</v>
      </c>
      <c r="Y39" s="13">
        <f t="shared" si="7"/>
        <v>0</v>
      </c>
      <c r="Z39" s="13">
        <f t="shared" si="7"/>
        <v>0</v>
      </c>
      <c r="AA39" t="str">
        <f t="shared" ca="1" si="2"/>
        <v/>
      </c>
      <c r="AB39" t="str">
        <f t="shared" ca="1" si="3"/>
        <v/>
      </c>
      <c r="AC39" s="24" t="str">
        <f t="shared" ca="1" si="4"/>
        <v/>
      </c>
      <c r="AD39" s="24" t="str">
        <f t="shared" ca="1" si="5"/>
        <v/>
      </c>
    </row>
    <row r="40" spans="2:30" x14ac:dyDescent="0.25">
      <c r="C40" s="6">
        <v>33</v>
      </c>
      <c r="D40" s="35">
        <v>42053</v>
      </c>
      <c r="E40" s="37">
        <v>21.544</v>
      </c>
      <c r="F40" s="37">
        <v>56.48332638818367</v>
      </c>
      <c r="G40" s="37">
        <v>38</v>
      </c>
      <c r="H40" s="37">
        <v>2.6114346344691861</v>
      </c>
      <c r="I40" s="37">
        <v>52.964061476830629</v>
      </c>
      <c r="J40" s="10">
        <v>0</v>
      </c>
      <c r="K40" s="38">
        <v>1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0</v>
      </c>
      <c r="T40" s="38">
        <v>0</v>
      </c>
      <c r="U40" s="29" t="str" cm="1">
        <f t="array" aca="1" ref="U40" ca="1">+fair_value_gap(OFFSET(T39,0,0,-1*$J$5,-1*$AA$1),OFFSET(E39,0,0,-1*$J$5,1),F40:T40,0)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0" s="9" t="str" cm="1">
        <f t="array" aca="1" ref="V40" ca="1">z_score_diff(OFFSET(U40,0,0,$J$5*-1,1),OFFSET(E40,0,0,$J$5*-1,1))</f>
        <v/>
      </c>
      <c r="W40" s="9" t="str">
        <f t="shared" ca="1" si="1"/>
        <v/>
      </c>
      <c r="X40" s="17">
        <f t="shared" ca="1" si="0"/>
        <v>-2.705219890468916E-2</v>
      </c>
      <c r="Y40" s="13">
        <f t="shared" si="7"/>
        <v>0</v>
      </c>
      <c r="Z40" s="13">
        <f t="shared" si="7"/>
        <v>0</v>
      </c>
      <c r="AA40" t="str">
        <f t="shared" ca="1" si="2"/>
        <v/>
      </c>
      <c r="AB40" t="str">
        <f t="shared" ca="1" si="3"/>
        <v/>
      </c>
      <c r="AC40" s="24" t="str">
        <f t="shared" ca="1" si="4"/>
        <v/>
      </c>
      <c r="AD40" s="24" t="str">
        <f t="shared" ca="1" si="5"/>
        <v/>
      </c>
    </row>
    <row r="41" spans="2:30" x14ac:dyDescent="0.25">
      <c r="C41" s="6">
        <v>34</v>
      </c>
      <c r="D41" s="35">
        <v>42054</v>
      </c>
      <c r="E41" s="37">
        <v>20.896999999999998</v>
      </c>
      <c r="F41" s="37">
        <v>56.173462669534295</v>
      </c>
      <c r="G41" s="37">
        <v>37.299999999999997</v>
      </c>
      <c r="H41" s="37">
        <v>2.6396874862836324</v>
      </c>
      <c r="I41" s="37">
        <v>52.100250186542596</v>
      </c>
      <c r="J41" s="10">
        <v>0</v>
      </c>
      <c r="K41" s="38">
        <v>1</v>
      </c>
      <c r="L41" s="38">
        <v>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38">
        <v>0</v>
      </c>
      <c r="S41" s="38">
        <v>0</v>
      </c>
      <c r="T41" s="38">
        <v>0</v>
      </c>
      <c r="U41" s="29" t="str" cm="1">
        <f t="array" aca="1" ref="U41" ca="1">+fair_value_gap(OFFSET(T40,0,0,-1*$J$5,-1*$AA$1),OFFSET(E40,0,0,-1*$J$5,1),F41:T41,0)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1" s="9" t="str" cm="1">
        <f t="array" aca="1" ref="V41" ca="1">z_score_diff(OFFSET(U41,0,0,$J$5*-1,1),OFFSET(E41,0,0,$J$5*-1,1))</f>
        <v/>
      </c>
      <c r="W41" s="9" t="str">
        <f t="shared" ca="1" si="1"/>
        <v/>
      </c>
      <c r="X41" s="17">
        <f t="shared" ca="1" si="0"/>
        <v>3.0579602404623807E-3</v>
      </c>
      <c r="Y41" s="13">
        <f t="shared" ref="Y41:Z56" si="8">+Y40</f>
        <v>0</v>
      </c>
      <c r="Z41" s="13">
        <f t="shared" si="8"/>
        <v>0</v>
      </c>
      <c r="AA41" t="str">
        <f t="shared" ca="1" si="2"/>
        <v/>
      </c>
      <c r="AB41" t="str">
        <f t="shared" ca="1" si="3"/>
        <v/>
      </c>
      <c r="AC41" s="24" t="str">
        <f t="shared" ca="1" si="4"/>
        <v/>
      </c>
      <c r="AD41" s="24" t="str">
        <f t="shared" ca="1" si="5"/>
        <v/>
      </c>
    </row>
    <row r="42" spans="2:30" x14ac:dyDescent="0.25">
      <c r="C42" s="6">
        <v>35</v>
      </c>
      <c r="D42" s="35">
        <v>42055</v>
      </c>
      <c r="E42" s="37">
        <v>21.035</v>
      </c>
      <c r="F42" s="37">
        <v>55.906334092955674</v>
      </c>
      <c r="G42" s="37">
        <v>37.35</v>
      </c>
      <c r="H42" s="37">
        <v>2.7067574238543632</v>
      </c>
      <c r="I42" s="37">
        <v>52.565632510550394</v>
      </c>
      <c r="J42" s="10">
        <v>0</v>
      </c>
      <c r="K42" s="38">
        <v>1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29" t="str" cm="1">
        <f t="array" aca="1" ref="U42" ca="1">+fair_value_gap(OFFSET(T41,0,0,-1*$J$5,-1*$AA$1),OFFSET(E41,0,0,-1*$J$5,1),F42:T42,0)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2" s="9" t="str" cm="1">
        <f t="array" aca="1" ref="V42" ca="1">z_score_diff(OFFSET(U42,0,0,$J$5*-1,1),OFFSET(E42,0,0,$J$5*-1,1))</f>
        <v/>
      </c>
      <c r="W42" s="9" t="str">
        <f t="shared" ca="1" si="1"/>
        <v/>
      </c>
      <c r="X42" s="17">
        <f t="shared" ca="1" si="0"/>
        <v>-4.9564034172750121E-3</v>
      </c>
      <c r="Y42" s="13">
        <f t="shared" si="8"/>
        <v>0</v>
      </c>
      <c r="Z42" s="13">
        <f t="shared" si="8"/>
        <v>0</v>
      </c>
      <c r="AA42" t="str">
        <f t="shared" ca="1" si="2"/>
        <v/>
      </c>
      <c r="AB42" t="str">
        <f t="shared" ca="1" si="3"/>
        <v/>
      </c>
      <c r="AC42" s="24" t="str">
        <f t="shared" ca="1" si="4"/>
        <v/>
      </c>
      <c r="AD42" s="24" t="str">
        <f t="shared" ca="1" si="5"/>
        <v/>
      </c>
    </row>
    <row r="43" spans="2:30" x14ac:dyDescent="0.25">
      <c r="C43" s="6">
        <v>36</v>
      </c>
      <c r="D43" s="35">
        <v>42058</v>
      </c>
      <c r="E43" s="37">
        <v>20.768000000000001</v>
      </c>
      <c r="F43" s="37">
        <v>55.536137667640688</v>
      </c>
      <c r="G43" s="37">
        <v>36.950000000000003</v>
      </c>
      <c r="H43" s="37">
        <v>2.6579518011827403</v>
      </c>
      <c r="I43" s="37">
        <v>52.34025656850411</v>
      </c>
      <c r="J43" s="10">
        <v>0</v>
      </c>
      <c r="K43" s="38">
        <v>1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v>0</v>
      </c>
      <c r="S43" s="38">
        <v>0</v>
      </c>
      <c r="T43" s="38">
        <v>0</v>
      </c>
      <c r="U43" s="29" t="str" cm="1">
        <f t="array" aca="1" ref="U43" ca="1">+fair_value_gap(OFFSET(T42,0,0,-1*$J$5,-1*$AA$1),OFFSET(E42,0,0,-1*$J$5,1),F43:T43,0)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3" s="9" t="str" cm="1">
        <f t="array" aca="1" ref="V43" ca="1">z_score_diff(OFFSET(U43,0,0,$J$5*-1,1),OFFSET(E43,0,0,$J$5*-1,1))</f>
        <v/>
      </c>
      <c r="W43" s="9" t="str">
        <f t="shared" ca="1" si="1"/>
        <v/>
      </c>
      <c r="X43" s="17">
        <f t="shared" ca="1" si="0"/>
        <v>2.0202998838633654E-3</v>
      </c>
      <c r="Y43" s="13">
        <f t="shared" si="8"/>
        <v>0</v>
      </c>
      <c r="Z43" s="13">
        <f t="shared" si="8"/>
        <v>0</v>
      </c>
      <c r="AA43" t="str">
        <f t="shared" ca="1" si="2"/>
        <v/>
      </c>
      <c r="AB43" t="str">
        <f t="shared" ca="1" si="3"/>
        <v/>
      </c>
      <c r="AC43" s="24" t="str">
        <f t="shared" ca="1" si="4"/>
        <v/>
      </c>
      <c r="AD43" s="24" t="str">
        <f t="shared" ca="1" si="5"/>
        <v/>
      </c>
    </row>
    <row r="44" spans="2:30" x14ac:dyDescent="0.25">
      <c r="C44" s="6">
        <v>37</v>
      </c>
      <c r="D44" s="35">
        <v>42059</v>
      </c>
      <c r="E44" s="37">
        <v>21.056000000000001</v>
      </c>
      <c r="F44" s="37">
        <v>55.376441041024314</v>
      </c>
      <c r="G44" s="37">
        <v>37.57</v>
      </c>
      <c r="H44" s="37">
        <v>2.6469850848680245</v>
      </c>
      <c r="I44" s="37">
        <v>52.253544048242155</v>
      </c>
      <c r="J44" s="10">
        <v>0</v>
      </c>
      <c r="K44" s="38">
        <v>1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v>0</v>
      </c>
      <c r="S44" s="38">
        <v>0</v>
      </c>
      <c r="T44" s="38">
        <v>0</v>
      </c>
      <c r="U44" s="29" t="str" cm="1">
        <f t="array" aca="1" ref="U44" ca="1">+fair_value_gap(OFFSET(T43,0,0,-1*$J$5,-1*$AA$1),OFFSET(E43,0,0,-1*$J$5,1),F44:T44,0)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4" s="9" t="str" cm="1">
        <f t="array" aca="1" ref="V44" ca="1">z_score_diff(OFFSET(U44,0,0,$J$5*-1,1),OFFSET(E44,0,0,$J$5*-1,1))</f>
        <v/>
      </c>
      <c r="W44" s="9" t="str">
        <f t="shared" ca="1" si="1"/>
        <v/>
      </c>
      <c r="X44" s="17">
        <f t="shared" ca="1" si="0"/>
        <v>-1.5684786599180359E-3</v>
      </c>
      <c r="Y44" s="13">
        <f t="shared" si="8"/>
        <v>0</v>
      </c>
      <c r="Z44" s="13">
        <f t="shared" si="8"/>
        <v>0</v>
      </c>
      <c r="AA44" t="str">
        <f t="shared" ca="1" si="2"/>
        <v/>
      </c>
      <c r="AB44" t="str">
        <f t="shared" ca="1" si="3"/>
        <v/>
      </c>
      <c r="AC44" s="24" t="str">
        <f t="shared" ca="1" si="4"/>
        <v/>
      </c>
      <c r="AD44" s="24" t="str">
        <f t="shared" ca="1" si="5"/>
        <v/>
      </c>
    </row>
    <row r="45" spans="2:30" x14ac:dyDescent="0.25">
      <c r="C45" s="6">
        <v>38</v>
      </c>
      <c r="D45" s="35">
        <v>42060</v>
      </c>
      <c r="E45" s="37">
        <v>21.556000000000001</v>
      </c>
      <c r="F45" s="37">
        <v>57.635344293266904</v>
      </c>
      <c r="G45" s="37">
        <v>38.049999999999997</v>
      </c>
      <c r="H45" s="37">
        <v>2.6188306477808858</v>
      </c>
      <c r="I45" s="37">
        <v>52.499521534460932</v>
      </c>
      <c r="J45" s="10">
        <v>0</v>
      </c>
      <c r="K45" s="38">
        <v>1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v>0</v>
      </c>
      <c r="S45" s="38">
        <v>0</v>
      </c>
      <c r="T45" s="38">
        <v>0</v>
      </c>
      <c r="U45" s="29" t="str" cm="1">
        <f t="array" aca="1" ref="U45" ca="1">+fair_value_gap(OFFSET(T44,0,0,-1*$J$5,-1*$AA$1),OFFSET(E44,0,0,-1*$J$5,1),F45:T45,0)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5" s="9" t="str" cm="1">
        <f t="array" aca="1" ref="V45" ca="1">z_score_diff(OFFSET(U45,0,0,$J$5*-1,1),OFFSET(E45,0,0,$J$5*-1,1))</f>
        <v/>
      </c>
      <c r="W45" s="9" t="str">
        <f t="shared" ca="1" si="1"/>
        <v/>
      </c>
      <c r="X45" s="17">
        <f t="shared" ca="1" si="0"/>
        <v>-3.1527244198070216E-2</v>
      </c>
      <c r="Y45" s="13">
        <f t="shared" si="8"/>
        <v>0</v>
      </c>
      <c r="Z45" s="13">
        <f t="shared" si="8"/>
        <v>0</v>
      </c>
      <c r="AA45" t="str">
        <f t="shared" ca="1" si="2"/>
        <v/>
      </c>
      <c r="AB45" t="str">
        <f t="shared" ca="1" si="3"/>
        <v/>
      </c>
      <c r="AC45" s="24" t="str">
        <f t="shared" ca="1" si="4"/>
        <v/>
      </c>
      <c r="AD45" s="24" t="str">
        <f t="shared" ca="1" si="5"/>
        <v/>
      </c>
    </row>
    <row r="46" spans="2:30" x14ac:dyDescent="0.25">
      <c r="C46" s="6">
        <v>39</v>
      </c>
      <c r="D46" s="35">
        <v>42061</v>
      </c>
      <c r="E46" s="37">
        <v>21.645</v>
      </c>
      <c r="F46" s="37">
        <v>57.00974955795175</v>
      </c>
      <c r="G46" s="37">
        <v>38.380000000000003</v>
      </c>
      <c r="H46" s="37">
        <v>2.5298076366341089</v>
      </c>
      <c r="I46" s="37">
        <v>53.535717944264064</v>
      </c>
      <c r="J46" s="10">
        <v>0</v>
      </c>
      <c r="K46" s="38">
        <v>1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29" t="str" cm="1">
        <f t="array" aca="1" ref="U46" ca="1">+fair_value_gap(OFFSET(T45,0,0,-1*$J$5,-1*$AA$1),OFFSET(E45,0,0,-1*$J$5,1),F46:T46,0)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6" s="9" t="str" cm="1">
        <f t="array" aca="1" ref="V46" ca="1">z_score_diff(OFFSET(U46,0,0,$J$5*-1,1),OFFSET(E46,0,0,$J$5*-1,1))</f>
        <v/>
      </c>
      <c r="W46" s="9" t="str">
        <f t="shared" ca="1" si="1"/>
        <v/>
      </c>
      <c r="X46" s="17">
        <f t="shared" ca="1" si="0"/>
        <v>-7.9781489089487817E-3</v>
      </c>
      <c r="Y46" s="13">
        <f t="shared" si="8"/>
        <v>0</v>
      </c>
      <c r="Z46" s="13">
        <f t="shared" si="8"/>
        <v>0</v>
      </c>
      <c r="AA46" t="str">
        <f t="shared" ca="1" si="2"/>
        <v/>
      </c>
      <c r="AB46" t="str">
        <f t="shared" ca="1" si="3"/>
        <v/>
      </c>
      <c r="AC46" s="24" t="str">
        <f t="shared" ca="1" si="4"/>
        <v/>
      </c>
      <c r="AD46" s="24" t="str">
        <f t="shared" ca="1" si="5"/>
        <v/>
      </c>
    </row>
    <row r="47" spans="2:30" x14ac:dyDescent="0.25">
      <c r="C47" s="6">
        <v>40</v>
      </c>
      <c r="D47" s="35">
        <v>42062</v>
      </c>
      <c r="E47" s="37">
        <v>21.9</v>
      </c>
      <c r="F47" s="37">
        <v>59.099042581252263</v>
      </c>
      <c r="G47" s="37">
        <v>44.69</v>
      </c>
      <c r="H47" s="37">
        <v>2.5575128499426119</v>
      </c>
      <c r="I47" s="37">
        <v>55.071182622457627</v>
      </c>
      <c r="J47" s="10">
        <v>0</v>
      </c>
      <c r="K47" s="38">
        <v>1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>
        <v>0</v>
      </c>
      <c r="U47" s="29" t="str" cm="1">
        <f t="array" aca="1" ref="U47" ca="1">+fair_value_gap(OFFSET(T46,0,0,-1*$J$5,-1*$AA$1),OFFSET(E46,0,0,-1*$J$5,1),F47:T47,0)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7" s="9" t="str" cm="1">
        <f t="array" aca="1" ref="V47" ca="1">z_score_diff(OFFSET(U47,0,0,$J$5*-1,1),OFFSET(E47,0,0,$J$5*-1,1))</f>
        <v/>
      </c>
      <c r="W47" s="9" t="str">
        <f t="shared" ca="1" si="1"/>
        <v/>
      </c>
      <c r="X47" s="17">
        <f t="shared" ca="1" si="0"/>
        <v>-1.4719676992466513E-2</v>
      </c>
      <c r="Y47" s="13">
        <f t="shared" si="8"/>
        <v>0</v>
      </c>
      <c r="Z47" s="13">
        <f t="shared" si="8"/>
        <v>0</v>
      </c>
      <c r="AA47" t="str">
        <f t="shared" ca="1" si="2"/>
        <v/>
      </c>
      <c r="AB47" t="str">
        <f t="shared" ca="1" si="3"/>
        <v/>
      </c>
      <c r="AC47" s="24" t="str">
        <f t="shared" ca="1" si="4"/>
        <v/>
      </c>
      <c r="AD47" s="24" t="str">
        <f t="shared" ca="1" si="5"/>
        <v/>
      </c>
    </row>
    <row r="48" spans="2:30" x14ac:dyDescent="0.25">
      <c r="C48" s="6">
        <v>41</v>
      </c>
      <c r="D48" s="35">
        <v>42065</v>
      </c>
      <c r="E48" s="37">
        <v>21.574000000000002</v>
      </c>
      <c r="F48" s="37">
        <v>56.760959022030896</v>
      </c>
      <c r="G48" s="37">
        <v>44.16</v>
      </c>
      <c r="H48" s="37">
        <v>2.5343059025866692</v>
      </c>
      <c r="I48" s="37">
        <v>54.459477420949014</v>
      </c>
      <c r="J48" s="10">
        <v>0</v>
      </c>
      <c r="K48" s="38">
        <v>0</v>
      </c>
      <c r="L48" s="38">
        <v>1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38">
        <v>0</v>
      </c>
      <c r="S48" s="38">
        <v>0</v>
      </c>
      <c r="T48" s="38">
        <v>0</v>
      </c>
      <c r="U48" s="29" t="str" cm="1">
        <f t="array" aca="1" ref="U48" ca="1">+fair_value_gap(OFFSET(T47,0,0,-1*$J$5,-1*$AA$1),OFFSET(E47,0,0,-1*$J$5,1),F48:T48,0)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8" s="9" t="str" cm="1">
        <f t="array" aca="1" ref="V48" ca="1">z_score_diff(OFFSET(U48,0,0,$J$5*-1,1),OFFSET(E48,0,0,$J$5*-1,1))</f>
        <v/>
      </c>
      <c r="W48" s="9" t="str">
        <f t="shared" ca="1" si="1"/>
        <v/>
      </c>
      <c r="X48" s="17">
        <f t="shared" ca="1" si="0"/>
        <v>-5.9973679843935788E-3</v>
      </c>
      <c r="Y48" s="13">
        <f t="shared" si="8"/>
        <v>0</v>
      </c>
      <c r="Z48" s="13">
        <f t="shared" si="8"/>
        <v>0</v>
      </c>
      <c r="AA48" t="str">
        <f t="shared" ca="1" si="2"/>
        <v/>
      </c>
      <c r="AB48" t="str">
        <f t="shared" ca="1" si="3"/>
        <v/>
      </c>
      <c r="AC48" s="24" t="str">
        <f t="shared" ca="1" si="4"/>
        <v/>
      </c>
      <c r="AD48" s="24" t="str">
        <f t="shared" ca="1" si="5"/>
        <v/>
      </c>
    </row>
    <row r="49" spans="3:30" x14ac:dyDescent="0.25">
      <c r="C49" s="6">
        <v>42</v>
      </c>
      <c r="D49" s="35">
        <v>42066</v>
      </c>
      <c r="E49" s="37">
        <v>21.306000000000001</v>
      </c>
      <c r="F49" s="37">
        <v>58.223305391145978</v>
      </c>
      <c r="G49" s="37">
        <v>42.89</v>
      </c>
      <c r="H49" s="37">
        <v>2.5505057268093236</v>
      </c>
      <c r="I49" s="37">
        <v>53.920387084103297</v>
      </c>
      <c r="J49" s="10">
        <v>0</v>
      </c>
      <c r="K49" s="38">
        <v>0</v>
      </c>
      <c r="L49" s="38">
        <v>1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v>0</v>
      </c>
      <c r="S49" s="38">
        <v>0</v>
      </c>
      <c r="T49" s="38">
        <v>0</v>
      </c>
      <c r="U49" s="29" t="str" cm="1">
        <f t="array" aca="1" ref="U49" ca="1">+fair_value_gap(OFFSET(T48,0,0,-1*$J$5,-1*$AA$1),OFFSET(E48,0,0,-1*$J$5,1),F49:T49,0)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9" s="9" t="str" cm="1">
        <f t="array" aca="1" ref="V49" ca="1">z_score_diff(OFFSET(U49,0,0,$J$5*-1,1),OFFSET(E49,0,0,$J$5*-1,1))</f>
        <v/>
      </c>
      <c r="W49" s="9" t="str">
        <f t="shared" ca="1" si="1"/>
        <v/>
      </c>
      <c r="X49" s="17">
        <f t="shared" ca="1" si="0"/>
        <v>2.9687296007723192E-2</v>
      </c>
      <c r="Y49" s="13">
        <f t="shared" si="8"/>
        <v>0</v>
      </c>
      <c r="Z49" s="13">
        <f t="shared" si="8"/>
        <v>0</v>
      </c>
      <c r="AA49" t="str">
        <f t="shared" ca="1" si="2"/>
        <v/>
      </c>
      <c r="AB49" t="str">
        <f t="shared" ca="1" si="3"/>
        <v/>
      </c>
      <c r="AC49" s="24" t="str">
        <f t="shared" ca="1" si="4"/>
        <v/>
      </c>
      <c r="AD49" s="24" t="str">
        <f t="shared" ca="1" si="5"/>
        <v/>
      </c>
    </row>
    <row r="50" spans="3:30" x14ac:dyDescent="0.25">
      <c r="C50" s="6">
        <v>43</v>
      </c>
      <c r="D50" s="35">
        <v>42067</v>
      </c>
      <c r="E50" s="37">
        <v>21.599</v>
      </c>
      <c r="F50" s="37">
        <v>58.054132822019852</v>
      </c>
      <c r="G50" s="37">
        <v>42.42</v>
      </c>
      <c r="H50" s="37">
        <v>2.6145074089718219</v>
      </c>
      <c r="I50" s="37">
        <v>54.127418284259903</v>
      </c>
      <c r="J50" s="10">
        <v>0</v>
      </c>
      <c r="K50" s="38">
        <v>0</v>
      </c>
      <c r="L50" s="38">
        <v>1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29" t="str" cm="1">
        <f t="array" aca="1" ref="U50" ca="1">+fair_value_gap(OFFSET(T49,0,0,-1*$J$5,-1*$AA$1),OFFSET(E49,0,0,-1*$J$5,1),F50:T50,0)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0" s="9" t="str" cm="1">
        <f t="array" aca="1" ref="V50" ca="1">z_score_diff(OFFSET(U50,0,0,$J$5*-1,1),OFFSET(E50,0,0,$J$5*-1,1))</f>
        <v/>
      </c>
      <c r="W50" s="9" t="str">
        <f t="shared" ca="1" si="1"/>
        <v/>
      </c>
      <c r="X50" s="17">
        <f t="shared" ca="1" si="0"/>
        <v>2.2251627726373464E-2</v>
      </c>
      <c r="Y50" s="13">
        <f t="shared" si="8"/>
        <v>0</v>
      </c>
      <c r="Z50" s="13">
        <f t="shared" si="8"/>
        <v>0</v>
      </c>
      <c r="AA50" t="str">
        <f t="shared" ca="1" si="2"/>
        <v/>
      </c>
      <c r="AB50" t="str">
        <f t="shared" ca="1" si="3"/>
        <v/>
      </c>
      <c r="AC50" s="24" t="str">
        <f t="shared" ca="1" si="4"/>
        <v/>
      </c>
      <c r="AD50" s="24" t="str">
        <f t="shared" ca="1" si="5"/>
        <v/>
      </c>
    </row>
    <row r="51" spans="3:30" x14ac:dyDescent="0.25">
      <c r="C51" s="6">
        <v>44</v>
      </c>
      <c r="D51" s="35">
        <v>42068</v>
      </c>
      <c r="E51" s="37">
        <v>21.228000000000002</v>
      </c>
      <c r="F51" s="37">
        <v>57.948517545573623</v>
      </c>
      <c r="G51" s="37">
        <v>41.85</v>
      </c>
      <c r="H51" s="37">
        <v>2.6830362635056413</v>
      </c>
      <c r="I51" s="37">
        <v>53.461713814289745</v>
      </c>
      <c r="J51" s="10">
        <v>0</v>
      </c>
      <c r="K51" s="38">
        <v>0</v>
      </c>
      <c r="L51" s="38">
        <v>1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v>0</v>
      </c>
      <c r="S51" s="38">
        <v>0</v>
      </c>
      <c r="T51" s="38">
        <v>0</v>
      </c>
      <c r="U51" s="29" t="str" cm="1">
        <f t="array" aca="1" ref="U51" ca="1">+fair_value_gap(OFFSET(T50,0,0,-1*$J$5,-1*$AA$1),OFFSET(E50,0,0,-1*$J$5,1),F51:T51,0)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1" s="9" t="str" cm="1">
        <f t="array" aca="1" ref="V51" ca="1">z_score_diff(OFFSET(U51,0,0,$J$5*-1,1),OFFSET(E51,0,0,$J$5*-1,1))</f>
        <v/>
      </c>
      <c r="W51" s="9" t="str">
        <f t="shared" ca="1" si="1"/>
        <v/>
      </c>
      <c r="X51" s="17">
        <f t="shared" ca="1" si="0"/>
        <v>3.5857742732355299E-2</v>
      </c>
      <c r="Y51" s="13">
        <f t="shared" si="8"/>
        <v>0</v>
      </c>
      <c r="Z51" s="13">
        <f t="shared" si="8"/>
        <v>0</v>
      </c>
      <c r="AA51" t="str">
        <f t="shared" ca="1" si="2"/>
        <v/>
      </c>
      <c r="AB51" t="str">
        <f t="shared" ca="1" si="3"/>
        <v/>
      </c>
      <c r="AC51" s="24" t="str">
        <f t="shared" ca="1" si="4"/>
        <v/>
      </c>
      <c r="AD51" s="24" t="str">
        <f t="shared" ca="1" si="5"/>
        <v/>
      </c>
    </row>
    <row r="52" spans="3:30" x14ac:dyDescent="0.25">
      <c r="C52" s="6">
        <v>45</v>
      </c>
      <c r="D52" s="35">
        <v>42069</v>
      </c>
      <c r="E52" s="37">
        <v>20.625</v>
      </c>
      <c r="F52" s="37">
        <v>58.226397989796361</v>
      </c>
      <c r="G52" s="37">
        <v>40.479999999999997</v>
      </c>
      <c r="H52" s="37">
        <v>2.7233000291453786</v>
      </c>
      <c r="I52" s="37">
        <v>53.050105226768522</v>
      </c>
      <c r="J52" s="10">
        <v>0</v>
      </c>
      <c r="K52" s="38">
        <v>0</v>
      </c>
      <c r="L52" s="38">
        <v>1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29" t="str" cm="1">
        <f t="array" aca="1" ref="U52" ca="1">+fair_value_gap(OFFSET(T51,0,0,-1*$J$5,-1*$AA$1),OFFSET(E51,0,0,-1*$J$5,1),F52:T52,0)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2" s="9" t="str" cm="1">
        <f t="array" aca="1" ref="V52" ca="1">z_score_diff(OFFSET(U52,0,0,$J$5*-1,1),OFFSET(E52,0,0,$J$5*-1,1))</f>
        <v/>
      </c>
      <c r="W52" s="9" t="str">
        <f t="shared" ca="1" si="1"/>
        <v/>
      </c>
      <c r="X52" s="17">
        <f t="shared" ca="1" si="0"/>
        <v>4.9655590445860966E-2</v>
      </c>
      <c r="Y52" s="13">
        <f t="shared" si="8"/>
        <v>0</v>
      </c>
      <c r="Z52" s="13">
        <f t="shared" si="8"/>
        <v>0</v>
      </c>
      <c r="AA52" t="str">
        <f t="shared" ca="1" si="2"/>
        <v/>
      </c>
      <c r="AB52" t="str">
        <f t="shared" ca="1" si="3"/>
        <v/>
      </c>
      <c r="AC52" s="24" t="str">
        <f t="shared" ca="1" si="4"/>
        <v/>
      </c>
      <c r="AD52" s="24" t="str">
        <f t="shared" ca="1" si="5"/>
        <v/>
      </c>
    </row>
    <row r="53" spans="3:30" x14ac:dyDescent="0.25">
      <c r="C53" s="6">
        <v>46</v>
      </c>
      <c r="D53" s="35">
        <v>42072</v>
      </c>
      <c r="E53" s="37">
        <v>21.12</v>
      </c>
      <c r="F53" s="37">
        <v>57.359531196139265</v>
      </c>
      <c r="G53" s="37">
        <v>40.61</v>
      </c>
      <c r="H53" s="37">
        <v>2.5931288061587963</v>
      </c>
      <c r="I53" s="37">
        <v>53.131104216936691</v>
      </c>
      <c r="J53" s="10">
        <v>0</v>
      </c>
      <c r="K53" s="38">
        <v>0</v>
      </c>
      <c r="L53" s="38">
        <v>1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v>0</v>
      </c>
      <c r="S53" s="38">
        <v>0</v>
      </c>
      <c r="T53" s="38">
        <v>0</v>
      </c>
      <c r="U53" s="29" t="str" cm="1">
        <f t="array" aca="1" ref="U53" ca="1">+fair_value_gap(OFFSET(T52,0,0,-1*$J$5,-1*$AA$1),OFFSET(E52,0,0,-1*$J$5,1),F53:T53,0)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3" s="9" t="str" cm="1">
        <f t="array" aca="1" ref="V53" ca="1">z_score_diff(OFFSET(U53,0,0,$J$5*-1,1),OFFSET(E53,0,0,$J$5*-1,1))</f>
        <v/>
      </c>
      <c r="W53" s="9" t="str">
        <f t="shared" ca="1" si="1"/>
        <v/>
      </c>
      <c r="X53" s="17">
        <f t="shared" ca="1" si="0"/>
        <v>3.1689510956982629E-2</v>
      </c>
      <c r="Y53" s="13">
        <f t="shared" si="8"/>
        <v>0</v>
      </c>
      <c r="Z53" s="13">
        <f t="shared" si="8"/>
        <v>0</v>
      </c>
      <c r="AA53" t="str">
        <f t="shared" ca="1" si="2"/>
        <v/>
      </c>
      <c r="AB53" t="str">
        <f t="shared" ca="1" si="3"/>
        <v/>
      </c>
      <c r="AC53" s="24" t="str">
        <f t="shared" ca="1" si="4"/>
        <v/>
      </c>
      <c r="AD53" s="24" t="str">
        <f t="shared" ca="1" si="5"/>
        <v/>
      </c>
    </row>
    <row r="54" spans="3:30" x14ac:dyDescent="0.25">
      <c r="C54" s="6">
        <v>47</v>
      </c>
      <c r="D54" s="35">
        <v>42073</v>
      </c>
      <c r="E54" s="37">
        <v>21.053999999999998</v>
      </c>
      <c r="F54" s="37">
        <v>56.393258951496193</v>
      </c>
      <c r="G54" s="37">
        <v>40.42</v>
      </c>
      <c r="H54" s="37">
        <v>2.6730778208300263</v>
      </c>
      <c r="I54" s="37">
        <v>53.638952429858548</v>
      </c>
      <c r="J54" s="10">
        <v>0</v>
      </c>
      <c r="K54" s="38">
        <v>0</v>
      </c>
      <c r="L54" s="38">
        <v>1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29" t="str" cm="1">
        <f t="array" aca="1" ref="U54" ca="1">+fair_value_gap(OFFSET(T53,0,0,-1*$J$5,-1*$AA$1),OFFSET(E53,0,0,-1*$J$5,1),F54:T54,0)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4" s="9" t="str" cm="1">
        <f t="array" aca="1" ref="V54" ca="1">z_score_diff(OFFSET(U54,0,0,$J$5*-1,1),OFFSET(E54,0,0,$J$5*-1,1))</f>
        <v/>
      </c>
      <c r="W54" s="9" t="str">
        <f t="shared" ca="1" si="1"/>
        <v/>
      </c>
      <c r="X54" s="17">
        <f t="shared" ca="1" si="0"/>
        <v>4.1858789435991736E-2</v>
      </c>
      <c r="Y54" s="13">
        <f t="shared" si="8"/>
        <v>0</v>
      </c>
      <c r="Z54" s="13">
        <f t="shared" si="8"/>
        <v>0</v>
      </c>
      <c r="AA54" t="str">
        <f t="shared" ca="1" si="2"/>
        <v/>
      </c>
      <c r="AB54" t="str">
        <f t="shared" ca="1" si="3"/>
        <v/>
      </c>
      <c r="AC54" s="24" t="str">
        <f t="shared" ca="1" si="4"/>
        <v/>
      </c>
      <c r="AD54" s="24" t="str">
        <f t="shared" ca="1" si="5"/>
        <v/>
      </c>
    </row>
    <row r="55" spans="3:30" x14ac:dyDescent="0.25">
      <c r="C55" s="6">
        <v>48</v>
      </c>
      <c r="D55" s="35">
        <v>42074</v>
      </c>
      <c r="E55" s="37">
        <v>21.539000000000001</v>
      </c>
      <c r="F55" s="37">
        <v>57.997208488088759</v>
      </c>
      <c r="G55" s="37">
        <v>41.15</v>
      </c>
      <c r="H55" s="37">
        <v>2.7763715076530011</v>
      </c>
      <c r="I55" s="37">
        <v>54.742021717016392</v>
      </c>
      <c r="J55" s="10">
        <v>0</v>
      </c>
      <c r="K55" s="38">
        <v>0</v>
      </c>
      <c r="L55" s="38">
        <v>1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38">
        <v>0</v>
      </c>
      <c r="U55" s="29" t="str" cm="1">
        <f t="array" aca="1" ref="U55" ca="1">+fair_value_gap(OFFSET(T54,0,0,-1*$J$5,-1*$AA$1),OFFSET(E54,0,0,-1*$J$5,1),F55:T55,0)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5" s="9" t="str" cm="1">
        <f t="array" aca="1" ref="V55" ca="1">z_score_diff(OFFSET(U55,0,0,$J$5*-1,1),OFFSET(E55,0,0,$J$5*-1,1))</f>
        <v/>
      </c>
      <c r="W55" s="9" t="str">
        <f t="shared" ca="1" si="1"/>
        <v/>
      </c>
      <c r="X55" s="17">
        <f t="shared" ca="1" si="0"/>
        <v>1.7032265910864146E-2</v>
      </c>
      <c r="Y55" s="13">
        <f t="shared" si="8"/>
        <v>0</v>
      </c>
      <c r="Z55" s="13">
        <f t="shared" si="8"/>
        <v>0</v>
      </c>
      <c r="AA55" t="str">
        <f t="shared" ca="1" si="2"/>
        <v/>
      </c>
      <c r="AB55" t="str">
        <f t="shared" ca="1" si="3"/>
        <v/>
      </c>
      <c r="AC55" s="24" t="str">
        <f t="shared" ca="1" si="4"/>
        <v/>
      </c>
      <c r="AD55" s="24" t="str">
        <f t="shared" ca="1" si="5"/>
        <v/>
      </c>
    </row>
    <row r="56" spans="3:30" x14ac:dyDescent="0.25">
      <c r="C56" s="6">
        <v>49</v>
      </c>
      <c r="D56" s="35">
        <v>42075</v>
      </c>
      <c r="E56" s="37">
        <v>21.161999999999999</v>
      </c>
      <c r="F56" s="37">
        <v>56.951628195139349</v>
      </c>
      <c r="G56" s="37">
        <v>40.86</v>
      </c>
      <c r="H56" s="37">
        <v>2.6903472293929354</v>
      </c>
      <c r="I56" s="37">
        <v>54.069783814735892</v>
      </c>
      <c r="J56" s="10">
        <v>0</v>
      </c>
      <c r="K56" s="38">
        <v>0</v>
      </c>
      <c r="L56" s="38">
        <v>1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29" t="str" cm="1">
        <f t="array" aca="1" ref="U56" ca="1">+fair_value_gap(OFFSET(T55,0,0,-1*$J$5,-1*$AA$1),OFFSET(E55,0,0,-1*$J$5,1),F56:T56,0)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6" s="9" t="str" cm="1">
        <f t="array" aca="1" ref="V56" ca="1">z_score_diff(OFFSET(U56,0,0,$J$5*-1,1),OFFSET(E56,0,0,$J$5*-1,1))</f>
        <v/>
      </c>
      <c r="W56" s="9" t="str">
        <f t="shared" ca="1" si="1"/>
        <v/>
      </c>
      <c r="X56" s="17">
        <f t="shared" ca="1" si="0"/>
        <v>5.4216434914648358E-2</v>
      </c>
      <c r="Y56" s="13">
        <f t="shared" si="8"/>
        <v>0</v>
      </c>
      <c r="Z56" s="13">
        <f t="shared" si="8"/>
        <v>0</v>
      </c>
      <c r="AA56" t="str">
        <f t="shared" ca="1" si="2"/>
        <v/>
      </c>
      <c r="AB56" t="str">
        <f t="shared" ca="1" si="3"/>
        <v/>
      </c>
      <c r="AC56" s="24" t="str">
        <f t="shared" ca="1" si="4"/>
        <v/>
      </c>
      <c r="AD56" s="24" t="str">
        <f t="shared" ca="1" si="5"/>
        <v/>
      </c>
    </row>
    <row r="57" spans="3:30" x14ac:dyDescent="0.25">
      <c r="C57" s="6">
        <v>50</v>
      </c>
      <c r="D57" s="35">
        <v>42076</v>
      </c>
      <c r="E57" s="37">
        <v>21.113</v>
      </c>
      <c r="F57" s="37">
        <v>55.600444879606833</v>
      </c>
      <c r="G57" s="37">
        <v>40.270000000000003</v>
      </c>
      <c r="H57" s="37">
        <v>2.7225110982252341</v>
      </c>
      <c r="I57" s="37">
        <v>54.516763786039526</v>
      </c>
      <c r="J57" s="10">
        <v>0</v>
      </c>
      <c r="K57" s="38">
        <v>0</v>
      </c>
      <c r="L57" s="38">
        <v>1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v>0</v>
      </c>
      <c r="S57" s="38">
        <v>0</v>
      </c>
      <c r="T57" s="38">
        <v>0</v>
      </c>
      <c r="U57" s="29" t="str" cm="1">
        <f t="array" aca="1" ref="U57" ca="1">+fair_value_gap(OFFSET(T56,0,0,-1*$J$5,-1*$AA$1),OFFSET(E56,0,0,-1*$J$5,1),F57:T57,0)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7" s="9" t="str" cm="1">
        <f t="array" aca="1" ref="V57" ca="1">z_score_diff(OFFSET(U57,0,0,$J$5*-1,1),OFFSET(E57,0,0,$J$5*-1,1))</f>
        <v/>
      </c>
      <c r="W57" s="9" t="str">
        <f t="shared" ca="1" si="1"/>
        <v/>
      </c>
      <c r="X57" s="17">
        <f t="shared" ca="1" si="0"/>
        <v>4.1289843192058105E-2</v>
      </c>
      <c r="Y57" s="13">
        <f t="shared" ref="Y57:Z72" si="9">+Y56</f>
        <v>0</v>
      </c>
      <c r="Z57" s="13">
        <f t="shared" si="9"/>
        <v>0</v>
      </c>
      <c r="AA57" t="str">
        <f t="shared" ca="1" si="2"/>
        <v/>
      </c>
      <c r="AB57" t="str">
        <f t="shared" ca="1" si="3"/>
        <v/>
      </c>
      <c r="AC57" s="24" t="str">
        <f t="shared" ca="1" si="4"/>
        <v/>
      </c>
      <c r="AD57" s="24" t="str">
        <f t="shared" ca="1" si="5"/>
        <v/>
      </c>
    </row>
    <row r="58" spans="3:30" x14ac:dyDescent="0.25">
      <c r="C58" s="6">
        <v>51</v>
      </c>
      <c r="D58" s="35">
        <v>42079</v>
      </c>
      <c r="E58" s="37">
        <v>20.876999999999999</v>
      </c>
      <c r="F58" s="37">
        <v>54.538077579943575</v>
      </c>
      <c r="G58" s="37">
        <v>39.770000000000003</v>
      </c>
      <c r="H58" s="37">
        <v>2.6929355261792209</v>
      </c>
      <c r="I58" s="37">
        <v>53.07555127805928</v>
      </c>
      <c r="J58" s="10">
        <v>0</v>
      </c>
      <c r="K58" s="38">
        <v>0</v>
      </c>
      <c r="L58" s="38">
        <v>1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v>0</v>
      </c>
      <c r="S58" s="38">
        <v>0</v>
      </c>
      <c r="T58" s="38">
        <v>0</v>
      </c>
      <c r="U58" s="29" t="str" cm="1">
        <f t="array" aca="1" ref="U58" ca="1">+fair_value_gap(OFFSET(T57,0,0,-1*$J$5,-1*$AA$1),OFFSET(E57,0,0,-1*$J$5,1),F58:T58,0)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8" s="9" t="str" cm="1">
        <f t="array" aca="1" ref="V58" ca="1">z_score_diff(OFFSET(U58,0,0,$J$5*-1,1),OFFSET(E58,0,0,$J$5*-1,1))</f>
        <v/>
      </c>
      <c r="W58" s="9" t="str">
        <f t="shared" ca="1" si="1"/>
        <v/>
      </c>
      <c r="X58" s="17">
        <f t="shared" ca="1" si="0"/>
        <v>5.529924652012326E-2</v>
      </c>
      <c r="Y58" s="13">
        <f t="shared" si="9"/>
        <v>0</v>
      </c>
      <c r="Z58" s="13">
        <f t="shared" si="9"/>
        <v>0</v>
      </c>
      <c r="AA58" t="str">
        <f t="shared" ca="1" si="2"/>
        <v/>
      </c>
      <c r="AB58" t="str">
        <f t="shared" ca="1" si="3"/>
        <v/>
      </c>
      <c r="AC58" s="24" t="str">
        <f t="shared" ca="1" si="4"/>
        <v/>
      </c>
      <c r="AD58" s="24" t="str">
        <f t="shared" ca="1" si="5"/>
        <v/>
      </c>
    </row>
    <row r="59" spans="3:30" x14ac:dyDescent="0.25">
      <c r="C59" s="6">
        <v>52</v>
      </c>
      <c r="D59" s="35">
        <v>42080</v>
      </c>
      <c r="E59" s="37">
        <v>20.756</v>
      </c>
      <c r="F59" s="37">
        <v>54.630353125029423</v>
      </c>
      <c r="G59" s="37">
        <v>39.229999999999997</v>
      </c>
      <c r="H59" s="37">
        <v>2.7847076433540758</v>
      </c>
      <c r="I59" s="37">
        <v>52.954633177372131</v>
      </c>
      <c r="J59" s="10">
        <v>0</v>
      </c>
      <c r="K59" s="38">
        <v>0</v>
      </c>
      <c r="L59" s="38">
        <v>1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0</v>
      </c>
      <c r="T59" s="38">
        <v>0</v>
      </c>
      <c r="U59" s="29" t="str" cm="1">
        <f t="array" aca="1" ref="U59" ca="1">+fair_value_gap(OFFSET(T58,0,0,-1*$J$5,-1*$AA$1),OFFSET(E58,0,0,-1*$J$5,1),F59:T59,0)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9" s="9" t="str" cm="1">
        <f t="array" aca="1" ref="V59" ca="1">z_score_diff(OFFSET(U59,0,0,$J$5*-1,1),OFFSET(E59,0,0,$J$5*-1,1))</f>
        <v/>
      </c>
      <c r="W59" s="9" t="str">
        <f t="shared" ca="1" si="1"/>
        <v/>
      </c>
      <c r="X59" s="17">
        <f t="shared" ca="1" si="0"/>
        <v>5.081621008638143E-2</v>
      </c>
      <c r="Y59" s="13">
        <f t="shared" si="9"/>
        <v>0</v>
      </c>
      <c r="Z59" s="13">
        <f t="shared" si="9"/>
        <v>0</v>
      </c>
      <c r="AA59" t="str">
        <f t="shared" ca="1" si="2"/>
        <v/>
      </c>
      <c r="AB59" t="str">
        <f t="shared" ca="1" si="3"/>
        <v/>
      </c>
      <c r="AC59" s="24" t="str">
        <f t="shared" ca="1" si="4"/>
        <v/>
      </c>
      <c r="AD59" s="24" t="str">
        <f t="shared" ca="1" si="5"/>
        <v/>
      </c>
    </row>
    <row r="60" spans="3:30" x14ac:dyDescent="0.25">
      <c r="C60" s="6">
        <v>53</v>
      </c>
      <c r="D60" s="35">
        <v>42081</v>
      </c>
      <c r="E60" s="37">
        <v>20.969000000000001</v>
      </c>
      <c r="F60" s="37">
        <v>55.349384960938757</v>
      </c>
      <c r="G60" s="37">
        <v>39.090000000000003</v>
      </c>
      <c r="H60" s="37">
        <v>2.7693050485431545</v>
      </c>
      <c r="I60" s="37">
        <v>52.136734092559223</v>
      </c>
      <c r="J60" s="10">
        <v>0</v>
      </c>
      <c r="K60" s="38">
        <v>0</v>
      </c>
      <c r="L60" s="38">
        <v>1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29" t="str" cm="1">
        <f t="array" aca="1" ref="U60" ca="1">+fair_value_gap(OFFSET(T59,0,0,-1*$J$5,-1*$AA$1),OFFSET(E59,0,0,-1*$J$5,1),F60:T60,0)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0" s="9" t="str" cm="1">
        <f t="array" aca="1" ref="V60" ca="1">z_score_diff(OFFSET(U60,0,0,$J$5*-1,1),OFFSET(E60,0,0,$J$5*-1,1))</f>
        <v/>
      </c>
      <c r="W60" s="9" t="str">
        <f t="shared" ca="1" si="1"/>
        <v/>
      </c>
      <c r="X60" s="17">
        <f t="shared" ca="1" si="0"/>
        <v>2.8258303796456361E-2</v>
      </c>
      <c r="Y60" s="13">
        <f t="shared" si="9"/>
        <v>0</v>
      </c>
      <c r="Z60" s="13">
        <f t="shared" si="9"/>
        <v>0</v>
      </c>
      <c r="AA60" t="str">
        <f t="shared" ca="1" si="2"/>
        <v/>
      </c>
      <c r="AB60" t="str">
        <f t="shared" ca="1" si="3"/>
        <v/>
      </c>
      <c r="AC60" s="24" t="str">
        <f t="shared" ca="1" si="4"/>
        <v/>
      </c>
      <c r="AD60" s="24" t="str">
        <f t="shared" ca="1" si="5"/>
        <v/>
      </c>
    </row>
    <row r="61" spans="3:30" x14ac:dyDescent="0.25">
      <c r="C61" s="6">
        <v>54</v>
      </c>
      <c r="D61" s="35">
        <v>42082</v>
      </c>
      <c r="E61" s="37">
        <v>20.960999999999999</v>
      </c>
      <c r="F61" s="37">
        <v>55.025256189990223</v>
      </c>
      <c r="G61" s="37">
        <v>38.81</v>
      </c>
      <c r="H61" s="37">
        <v>2.7507946688138722</v>
      </c>
      <c r="I61" s="37">
        <v>51.823173900220496</v>
      </c>
      <c r="J61" s="10">
        <v>0</v>
      </c>
      <c r="K61" s="38">
        <v>0</v>
      </c>
      <c r="L61" s="38">
        <v>1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v>0</v>
      </c>
      <c r="S61" s="38">
        <v>0</v>
      </c>
      <c r="T61" s="38">
        <v>0</v>
      </c>
      <c r="U61" s="29" t="str" cm="1">
        <f t="array" aca="1" ref="U61" ca="1">+fair_value_gap(OFFSET(T60,0,0,-1*$J$5,-1*$AA$1),OFFSET(E60,0,0,-1*$J$5,1),F61:T61,0)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1" s="9" t="str" cm="1">
        <f t="array" aca="1" ref="V61" ca="1">z_score_diff(OFFSET(U61,0,0,$J$5*-1,1),OFFSET(E61,0,0,$J$5*-1,1))</f>
        <v/>
      </c>
      <c r="W61" s="9" t="str">
        <f t="shared" ca="1" si="1"/>
        <v/>
      </c>
      <c r="X61" s="17">
        <f t="shared" ca="1" si="0"/>
        <v>2.217490371411563E-2</v>
      </c>
      <c r="Y61" s="13">
        <f t="shared" si="9"/>
        <v>0</v>
      </c>
      <c r="Z61" s="13">
        <f t="shared" si="9"/>
        <v>0</v>
      </c>
      <c r="AA61" t="str">
        <f t="shared" ca="1" si="2"/>
        <v/>
      </c>
      <c r="AB61" t="str">
        <f t="shared" ca="1" si="3"/>
        <v/>
      </c>
      <c r="AC61" s="24" t="str">
        <f t="shared" ca="1" si="4"/>
        <v/>
      </c>
      <c r="AD61" s="24" t="str">
        <f t="shared" ca="1" si="5"/>
        <v/>
      </c>
    </row>
    <row r="62" spans="3:30" x14ac:dyDescent="0.25">
      <c r="C62" s="6">
        <v>55</v>
      </c>
      <c r="D62" s="35">
        <v>42083</v>
      </c>
      <c r="E62" s="37">
        <v>20.931000000000001</v>
      </c>
      <c r="F62" s="37">
        <v>55.036316041735795</v>
      </c>
      <c r="G62" s="37">
        <v>38.770000000000003</v>
      </c>
      <c r="H62" s="37">
        <v>2.6895992331231793</v>
      </c>
      <c r="I62" s="37">
        <v>51.201931939682183</v>
      </c>
      <c r="J62" s="10">
        <v>0</v>
      </c>
      <c r="K62" s="38">
        <v>0</v>
      </c>
      <c r="L62" s="38">
        <v>1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29" t="str" cm="1">
        <f t="array" aca="1" ref="U62" ca="1">+fair_value_gap(OFFSET(T61,0,0,-1*$J$5,-1*$AA$1),OFFSET(E61,0,0,-1*$J$5,1),F62:T62,0)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2" s="9" t="str" cm="1">
        <f t="array" aca="1" ref="V62" ca="1">z_score_diff(OFFSET(U62,0,0,$J$5*-1,1),OFFSET(E62,0,0,$J$5*-1,1))</f>
        <v/>
      </c>
      <c r="W62" s="9" t="str">
        <f t="shared" ca="1" si="1"/>
        <v/>
      </c>
      <c r="X62" s="17">
        <f t="shared" ca="1" si="0"/>
        <v>3.4374422511945044E-2</v>
      </c>
      <c r="Y62" s="13">
        <f t="shared" si="9"/>
        <v>0</v>
      </c>
      <c r="Z62" s="13">
        <f t="shared" si="9"/>
        <v>0</v>
      </c>
      <c r="AA62" t="str">
        <f t="shared" ca="1" si="2"/>
        <v/>
      </c>
      <c r="AB62" t="str">
        <f t="shared" ca="1" si="3"/>
        <v/>
      </c>
      <c r="AC62" s="24" t="str">
        <f t="shared" ca="1" si="4"/>
        <v/>
      </c>
      <c r="AD62" s="24" t="str">
        <f t="shared" ca="1" si="5"/>
        <v/>
      </c>
    </row>
    <row r="63" spans="3:30" x14ac:dyDescent="0.25">
      <c r="C63" s="6">
        <v>56</v>
      </c>
      <c r="D63" s="35">
        <v>42086</v>
      </c>
      <c r="E63" s="37">
        <v>20.81</v>
      </c>
      <c r="F63" s="37">
        <v>54.90606854150063</v>
      </c>
      <c r="G63" s="37">
        <v>38.76</v>
      </c>
      <c r="H63" s="37">
        <v>2.6250711601958332</v>
      </c>
      <c r="I63" s="37">
        <v>50.643288170329051</v>
      </c>
      <c r="J63" s="10">
        <v>0</v>
      </c>
      <c r="K63" s="38">
        <v>0</v>
      </c>
      <c r="L63" s="38">
        <v>1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29" t="str" cm="1">
        <f t="array" aca="1" ref="U63" ca="1">+fair_value_gap(OFFSET(T62,0,0,-1*$J$5,-1*$AA$1),OFFSET(E62,0,0,-1*$J$5,1),F63:T63,0)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3" s="9" t="str" cm="1">
        <f t="array" aca="1" ref="V63" ca="1">z_score_diff(OFFSET(U63,0,0,$J$5*-1,1),OFFSET(E63,0,0,$J$5*-1,1))</f>
        <v/>
      </c>
      <c r="W63" s="9" t="str">
        <f t="shared" ca="1" si="1"/>
        <v/>
      </c>
      <c r="X63" s="17">
        <f t="shared" ca="1" si="0"/>
        <v>3.4942176144213896E-2</v>
      </c>
      <c r="Y63" s="13">
        <f t="shared" si="9"/>
        <v>0</v>
      </c>
      <c r="Z63" s="13">
        <f t="shared" si="9"/>
        <v>0</v>
      </c>
      <c r="AA63" t="str">
        <f t="shared" ca="1" si="2"/>
        <v/>
      </c>
      <c r="AB63" t="str">
        <f t="shared" ca="1" si="3"/>
        <v/>
      </c>
      <c r="AC63" s="24" t="str">
        <f t="shared" ca="1" si="4"/>
        <v/>
      </c>
      <c r="AD63" s="24" t="str">
        <f t="shared" ca="1" si="5"/>
        <v/>
      </c>
    </row>
    <row r="64" spans="3:30" x14ac:dyDescent="0.25">
      <c r="C64" s="6">
        <v>57</v>
      </c>
      <c r="D64" s="35">
        <v>42087</v>
      </c>
      <c r="E64" s="37">
        <v>21.023</v>
      </c>
      <c r="F64" s="37">
        <v>54.307936681820671</v>
      </c>
      <c r="G64" s="37">
        <v>38.869999999999997</v>
      </c>
      <c r="H64" s="37">
        <v>2.6720344707965893</v>
      </c>
      <c r="I64" s="37">
        <v>51.076299501561046</v>
      </c>
      <c r="J64" s="10">
        <v>0</v>
      </c>
      <c r="K64" s="38">
        <v>0</v>
      </c>
      <c r="L64" s="38">
        <v>1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29" t="str" cm="1">
        <f t="array" aca="1" ref="U64" ca="1">+fair_value_gap(OFFSET(T63,0,0,-1*$J$5,-1*$AA$1),OFFSET(E63,0,0,-1*$J$5,1),F64:T64,0)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4" s="9" t="str" cm="1">
        <f t="array" aca="1" ref="V64" ca="1">z_score_diff(OFFSET(U64,0,0,$J$5*-1,1),OFFSET(E64,0,0,$J$5*-1,1))</f>
        <v/>
      </c>
      <c r="W64" s="9" t="str">
        <f t="shared" ca="1" si="1"/>
        <v/>
      </c>
      <c r="X64" s="17">
        <f t="shared" ca="1" si="0"/>
        <v>1.5715654154951155E-2</v>
      </c>
      <c r="Y64" s="13">
        <f t="shared" si="9"/>
        <v>0</v>
      </c>
      <c r="Z64" s="13">
        <f t="shared" si="9"/>
        <v>0</v>
      </c>
      <c r="AA64" t="str">
        <f t="shared" ca="1" si="2"/>
        <v/>
      </c>
      <c r="AB64" t="str">
        <f t="shared" ca="1" si="3"/>
        <v/>
      </c>
      <c r="AC64" s="24" t="str">
        <f t="shared" ca="1" si="4"/>
        <v/>
      </c>
      <c r="AD64" s="24" t="str">
        <f t="shared" ca="1" si="5"/>
        <v/>
      </c>
    </row>
    <row r="65" spans="3:30" x14ac:dyDescent="0.25">
      <c r="C65" s="6">
        <v>58</v>
      </c>
      <c r="D65" s="35">
        <v>42088</v>
      </c>
      <c r="E65" s="37">
        <v>20.887</v>
      </c>
      <c r="F65" s="37">
        <v>54.99300089079572</v>
      </c>
      <c r="G65" s="37">
        <v>38.9</v>
      </c>
      <c r="H65" s="37">
        <v>2.6087588852327888</v>
      </c>
      <c r="I65" s="37">
        <v>51.129856200119988</v>
      </c>
      <c r="J65" s="10">
        <v>0</v>
      </c>
      <c r="K65" s="38">
        <v>0</v>
      </c>
      <c r="L65" s="38">
        <v>1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v>0</v>
      </c>
      <c r="S65" s="38">
        <v>0</v>
      </c>
      <c r="T65" s="38">
        <v>0</v>
      </c>
      <c r="U65" s="29" t="str" cm="1">
        <f t="array" aca="1" ref="U65" ca="1">+fair_value_gap(OFFSET(T64,0,0,-1*$J$5,-1*$AA$1),OFFSET(E64,0,0,-1*$J$5,1),F65:T65,0)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5" s="9" t="str" cm="1">
        <f t="array" aca="1" ref="V65" ca="1">z_score_diff(OFFSET(U65,0,0,$J$5*-1,1),OFFSET(E65,0,0,$J$5*-1,1))</f>
        <v/>
      </c>
      <c r="W65" s="9" t="str">
        <f t="shared" ca="1" si="1"/>
        <v/>
      </c>
      <c r="X65" s="17">
        <f t="shared" ca="1" si="0"/>
        <v>2.4777852783860032E-2</v>
      </c>
      <c r="Y65" s="13">
        <f t="shared" si="9"/>
        <v>0</v>
      </c>
      <c r="Z65" s="13">
        <f t="shared" si="9"/>
        <v>0</v>
      </c>
      <c r="AA65" t="str">
        <f t="shared" ca="1" si="2"/>
        <v/>
      </c>
      <c r="AB65" t="str">
        <f t="shared" ca="1" si="3"/>
        <v/>
      </c>
      <c r="AC65" s="24" t="str">
        <f t="shared" ca="1" si="4"/>
        <v/>
      </c>
      <c r="AD65" s="24" t="str">
        <f t="shared" ca="1" si="5"/>
        <v/>
      </c>
    </row>
    <row r="66" spans="3:30" x14ac:dyDescent="0.25">
      <c r="C66" s="6">
        <v>59</v>
      </c>
      <c r="D66" s="35">
        <v>42089</v>
      </c>
      <c r="E66" s="37">
        <v>21.472999999999999</v>
      </c>
      <c r="F66" s="37">
        <v>57.603190048340451</v>
      </c>
      <c r="G66" s="37">
        <v>39.229999999999997</v>
      </c>
      <c r="H66" s="37">
        <v>2.5889795495377341</v>
      </c>
      <c r="I66" s="37">
        <v>52.595811961030492</v>
      </c>
      <c r="J66" s="10">
        <v>0</v>
      </c>
      <c r="K66" s="38">
        <v>0</v>
      </c>
      <c r="L66" s="38">
        <v>1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29" t="str" cm="1">
        <f t="array" aca="1" ref="U66" ca="1">+fair_value_gap(OFFSET(T65,0,0,-1*$J$5,-1*$AA$1),OFFSET(E65,0,0,-1*$J$5,1),F66:T66,0)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6" s="9" t="str" cm="1">
        <f t="array" aca="1" ref="V66" ca="1">z_score_diff(OFFSET(U66,0,0,$J$5*-1,1),OFFSET(E66,0,0,$J$5*-1,1))</f>
        <v/>
      </c>
      <c r="W66" s="9" t="str">
        <f t="shared" ca="1" si="1"/>
        <v/>
      </c>
      <c r="X66" s="17">
        <f t="shared" ca="1" si="0"/>
        <v>-1.2182130694781577E-2</v>
      </c>
      <c r="Y66" s="13">
        <f t="shared" si="9"/>
        <v>0</v>
      </c>
      <c r="Z66" s="13">
        <f t="shared" si="9"/>
        <v>0</v>
      </c>
      <c r="AA66" t="str">
        <f t="shared" ca="1" si="2"/>
        <v/>
      </c>
      <c r="AB66" t="str">
        <f t="shared" ca="1" si="3"/>
        <v/>
      </c>
      <c r="AC66" s="24" t="str">
        <f t="shared" ca="1" si="4"/>
        <v/>
      </c>
      <c r="AD66" s="24" t="str">
        <f t="shared" ca="1" si="5"/>
        <v/>
      </c>
    </row>
    <row r="67" spans="3:30" x14ac:dyDescent="0.25">
      <c r="C67" s="6">
        <v>60</v>
      </c>
      <c r="D67" s="35">
        <v>42090</v>
      </c>
      <c r="E67" s="37">
        <v>21.58</v>
      </c>
      <c r="F67" s="37">
        <v>55.203270056302571</v>
      </c>
      <c r="G67" s="37">
        <v>40.31</v>
      </c>
      <c r="H67" s="37">
        <v>2.5476318291831639</v>
      </c>
      <c r="I67" s="37">
        <v>52.537463287901637</v>
      </c>
      <c r="J67" s="10">
        <v>0</v>
      </c>
      <c r="K67" s="38">
        <v>0</v>
      </c>
      <c r="L67" s="38">
        <v>1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v>0</v>
      </c>
      <c r="S67" s="38">
        <v>0</v>
      </c>
      <c r="T67" s="38">
        <v>0</v>
      </c>
      <c r="U67" s="29" t="str" cm="1">
        <f t="array" aca="1" ref="U67" ca="1">+fair_value_gap(OFFSET(T66,0,0,-1*$J$5,-1*$AA$1),OFFSET(E66,0,0,-1*$J$5,1),F67:T67,0)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7" s="9" t="str" cm="1">
        <f t="array" aca="1" ref="V67" ca="1">z_score_diff(OFFSET(U67,0,0,$J$5*-1,1),OFFSET(E67,0,0,$J$5*-1,1))</f>
        <v/>
      </c>
      <c r="W67" s="9" t="str">
        <f t="shared" ca="1" si="1"/>
        <v/>
      </c>
      <c r="X67" s="17">
        <f t="shared" ca="1" si="0"/>
        <v>-2.2020097969759355E-2</v>
      </c>
      <c r="Y67" s="13">
        <f t="shared" si="9"/>
        <v>0</v>
      </c>
      <c r="Z67" s="13">
        <f t="shared" si="9"/>
        <v>0</v>
      </c>
      <c r="AA67" t="str">
        <f t="shared" ca="1" si="2"/>
        <v/>
      </c>
      <c r="AB67" t="str">
        <f t="shared" ca="1" si="3"/>
        <v/>
      </c>
      <c r="AC67" s="24" t="str">
        <f t="shared" ca="1" si="4"/>
        <v/>
      </c>
      <c r="AD67" s="24" t="str">
        <f t="shared" ca="1" si="5"/>
        <v/>
      </c>
    </row>
    <row r="68" spans="3:30" x14ac:dyDescent="0.25">
      <c r="C68" s="6">
        <v>61</v>
      </c>
      <c r="D68" s="35">
        <v>42093</v>
      </c>
      <c r="E68" s="37">
        <v>21.445</v>
      </c>
      <c r="F68" s="37">
        <v>55.78801843317973</v>
      </c>
      <c r="G68" s="37">
        <v>39.93</v>
      </c>
      <c r="H68" s="37">
        <v>2.5917050691244241</v>
      </c>
      <c r="I68" s="37">
        <v>51.889400921658982</v>
      </c>
      <c r="J68" s="10">
        <v>0</v>
      </c>
      <c r="K68" s="38">
        <v>0</v>
      </c>
      <c r="L68" s="38">
        <v>1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29" t="str" cm="1">
        <f t="array" aca="1" ref="U68" ca="1">+fair_value_gap(OFFSET(T67,0,0,-1*$J$5,-1*$AA$1),OFFSET(E67,0,0,-1*$J$5,1),F68:T68,0)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8" s="9" t="str" cm="1">
        <f t="array" aca="1" ref="V68" ca="1">z_score_diff(OFFSET(U68,0,0,$J$5*-1,1),OFFSET(E68,0,0,$J$5*-1,1))</f>
        <v/>
      </c>
      <c r="W68" s="9" t="str">
        <f t="shared" ca="1" si="1"/>
        <v/>
      </c>
      <c r="X68" s="17">
        <f t="shared" ca="1" si="0"/>
        <v>-1.3237144090527226E-2</v>
      </c>
      <c r="Y68" s="13">
        <f t="shared" si="9"/>
        <v>0</v>
      </c>
      <c r="Z68" s="13">
        <f t="shared" si="9"/>
        <v>0</v>
      </c>
      <c r="AA68" t="str">
        <f t="shared" ca="1" si="2"/>
        <v/>
      </c>
      <c r="AB68" t="str">
        <f t="shared" ca="1" si="3"/>
        <v/>
      </c>
      <c r="AC68" s="24" t="str">
        <f t="shared" ca="1" si="4"/>
        <v/>
      </c>
      <c r="AD68" s="24" t="str">
        <f t="shared" ca="1" si="5"/>
        <v/>
      </c>
    </row>
    <row r="69" spans="3:30" x14ac:dyDescent="0.25">
      <c r="C69" s="6">
        <v>62</v>
      </c>
      <c r="D69" s="35">
        <v>42094</v>
      </c>
      <c r="E69" s="37">
        <v>21.948</v>
      </c>
      <c r="F69" s="37">
        <v>55.293931878767609</v>
      </c>
      <c r="G69" s="37">
        <v>42.93</v>
      </c>
      <c r="H69" s="37">
        <v>2.6137598573299523</v>
      </c>
      <c r="I69" s="37">
        <v>51.829353247694144</v>
      </c>
      <c r="J69" s="10">
        <v>0</v>
      </c>
      <c r="K69" s="38">
        <v>0</v>
      </c>
      <c r="L69" s="38">
        <v>1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v>0</v>
      </c>
      <c r="S69" s="38">
        <v>0</v>
      </c>
      <c r="T69" s="38">
        <v>0</v>
      </c>
      <c r="U69" s="29" t="str" cm="1">
        <f t="array" aca="1" ref="U69" ca="1">+fair_value_gap(OFFSET(T68,0,0,-1*$J$5,-1*$AA$1),OFFSET(E68,0,0,-1*$J$5,1),F69:T69,0)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9" s="9" t="str" cm="1">
        <f t="array" aca="1" ref="V69" ca="1">z_score_diff(OFFSET(U69,0,0,$J$5*-1,1),OFFSET(E69,0,0,$J$5*-1,1))</f>
        <v/>
      </c>
      <c r="W69" s="9" t="str">
        <f t="shared" ca="1" si="1"/>
        <v/>
      </c>
      <c r="X69" s="17">
        <f t="shared" ca="1" si="0"/>
        <v>-9.7981645560690014E-3</v>
      </c>
      <c r="Y69" s="13">
        <f t="shared" si="9"/>
        <v>0</v>
      </c>
      <c r="Z69" s="13">
        <f t="shared" si="9"/>
        <v>0</v>
      </c>
      <c r="AA69" t="str">
        <f t="shared" ca="1" si="2"/>
        <v/>
      </c>
      <c r="AB69" t="str">
        <f t="shared" ca="1" si="3"/>
        <v/>
      </c>
      <c r="AC69" s="24" t="str">
        <f t="shared" ca="1" si="4"/>
        <v/>
      </c>
      <c r="AD69" s="24" t="str">
        <f t="shared" ca="1" si="5"/>
        <v/>
      </c>
    </row>
    <row r="70" spans="3:30" x14ac:dyDescent="0.25">
      <c r="C70" s="6">
        <v>63</v>
      </c>
      <c r="D70" s="35">
        <v>42095</v>
      </c>
      <c r="E70" s="37">
        <v>22.085000000000001</v>
      </c>
      <c r="F70" s="37">
        <v>56.936052798112826</v>
      </c>
      <c r="G70" s="37">
        <v>43.19</v>
      </c>
      <c r="H70" s="37">
        <v>2.5785685099617246</v>
      </c>
      <c r="I70" s="37">
        <v>51.237814804485581</v>
      </c>
      <c r="J70" s="10">
        <v>0</v>
      </c>
      <c r="K70" s="38">
        <v>0</v>
      </c>
      <c r="L70" s="38">
        <v>0</v>
      </c>
      <c r="M70" s="38">
        <v>1</v>
      </c>
      <c r="N70" s="38">
        <v>0</v>
      </c>
      <c r="O70" s="38">
        <v>0</v>
      </c>
      <c r="P70" s="38">
        <v>0</v>
      </c>
      <c r="Q70" s="38">
        <v>0</v>
      </c>
      <c r="R70" s="38">
        <v>0</v>
      </c>
      <c r="S70" s="38">
        <v>0</v>
      </c>
      <c r="T70" s="38">
        <v>0</v>
      </c>
      <c r="U70" s="29" t="str" cm="1">
        <f t="array" aca="1" ref="U70" ca="1">+fair_value_gap(OFFSET(T69,0,0,-1*$J$5,-1*$AA$1),OFFSET(E69,0,0,-1*$J$5,1),F70:T70,0)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0" s="9" t="str" cm="1">
        <f t="array" aca="1" ref="V70" ca="1">z_score_diff(OFFSET(U70,0,0,$J$5*-1,1),OFFSET(E70,0,0,$J$5*-1,1))</f>
        <v/>
      </c>
      <c r="W70" s="9" t="str">
        <f t="shared" ca="1" si="1"/>
        <v/>
      </c>
      <c r="X70" s="17">
        <f t="shared" ca="1" si="0"/>
        <v>-2.4940549142527222E-2</v>
      </c>
      <c r="Y70" s="13">
        <f t="shared" si="9"/>
        <v>0</v>
      </c>
      <c r="Z70" s="13">
        <f t="shared" si="9"/>
        <v>0</v>
      </c>
      <c r="AA70" t="str">
        <f t="shared" ca="1" si="2"/>
        <v/>
      </c>
      <c r="AB70" t="str">
        <f t="shared" ca="1" si="3"/>
        <v/>
      </c>
      <c r="AC70" s="24" t="str">
        <f t="shared" ca="1" si="4"/>
        <v/>
      </c>
      <c r="AD70" s="24" t="str">
        <f t="shared" ca="1" si="5"/>
        <v/>
      </c>
    </row>
    <row r="71" spans="3:30" x14ac:dyDescent="0.25">
      <c r="C71" s="6">
        <v>64</v>
      </c>
      <c r="D71" s="35">
        <v>42096</v>
      </c>
      <c r="E71" s="37">
        <v>22.003</v>
      </c>
      <c r="F71" s="37">
        <v>54.447043125064155</v>
      </c>
      <c r="G71" s="37">
        <v>43.15</v>
      </c>
      <c r="H71" s="37">
        <v>2.6384958282622404</v>
      </c>
      <c r="I71" s="37">
        <v>50.451266184729533</v>
      </c>
      <c r="J71" s="10">
        <v>0</v>
      </c>
      <c r="K71" s="38">
        <v>0</v>
      </c>
      <c r="L71" s="38">
        <v>0</v>
      </c>
      <c r="M71" s="38">
        <v>1</v>
      </c>
      <c r="N71" s="38">
        <v>0</v>
      </c>
      <c r="O71" s="38">
        <v>0</v>
      </c>
      <c r="P71" s="38">
        <v>0</v>
      </c>
      <c r="Q71" s="38">
        <v>0</v>
      </c>
      <c r="R71" s="38">
        <v>0</v>
      </c>
      <c r="S71" s="38">
        <v>0</v>
      </c>
      <c r="T71" s="38">
        <v>0</v>
      </c>
      <c r="U71" s="29" t="str" cm="1">
        <f t="array" aca="1" ref="U71" ca="1">+fair_value_gap(OFFSET(T70,0,0,-1*$J$5,-1*$AA$1),OFFSET(E70,0,0,-1*$J$5,1),F71:T71,0)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1" s="9" t="str" cm="1">
        <f t="array" aca="1" ref="V71" ca="1">z_score_diff(OFFSET(U71,0,0,$J$5*-1,1),OFFSET(E71,0,0,$J$5*-1,1))</f>
        <v/>
      </c>
      <c r="W71" s="9" t="str">
        <f t="shared" ca="1" si="1"/>
        <v/>
      </c>
      <c r="X71" s="17">
        <f t="shared" ref="X71:X134" ca="1" si="10">+LN(OFFSET(E71,$X$3,0,1,1)/E71)</f>
        <v>-2.122071179204138E-2</v>
      </c>
      <c r="Y71" s="13">
        <f t="shared" si="9"/>
        <v>0</v>
      </c>
      <c r="Z71" s="13">
        <f t="shared" si="9"/>
        <v>0</v>
      </c>
      <c r="AA71" t="str">
        <f t="shared" ca="1" si="2"/>
        <v/>
      </c>
      <c r="AB71" t="str">
        <f t="shared" ca="1" si="3"/>
        <v/>
      </c>
      <c r="AC71" s="24" t="str">
        <f t="shared" ca="1" si="4"/>
        <v/>
      </c>
      <c r="AD71" s="24" t="str">
        <f t="shared" ca="1" si="5"/>
        <v/>
      </c>
    </row>
    <row r="72" spans="3:30" x14ac:dyDescent="0.25">
      <c r="C72" s="6">
        <v>65</v>
      </c>
      <c r="D72" s="35">
        <v>42101</v>
      </c>
      <c r="E72" s="37">
        <v>21.675000000000001</v>
      </c>
      <c r="F72" s="37">
        <v>58.002286894618415</v>
      </c>
      <c r="G72" s="37">
        <v>42.4</v>
      </c>
      <c r="H72" s="37">
        <v>2.62162959684261</v>
      </c>
      <c r="I72" s="37">
        <v>49.979713031610785</v>
      </c>
      <c r="J72" s="10">
        <v>0</v>
      </c>
      <c r="K72" s="38">
        <v>0</v>
      </c>
      <c r="L72" s="38">
        <v>0</v>
      </c>
      <c r="M72" s="38">
        <v>1</v>
      </c>
      <c r="N72" s="38">
        <v>0</v>
      </c>
      <c r="O72" s="38">
        <v>0</v>
      </c>
      <c r="P72" s="38">
        <v>0</v>
      </c>
      <c r="Q72" s="38">
        <v>0</v>
      </c>
      <c r="R72" s="38">
        <v>0</v>
      </c>
      <c r="S72" s="38">
        <v>0</v>
      </c>
      <c r="T72" s="38">
        <v>0</v>
      </c>
      <c r="U72" s="29" t="str" cm="1">
        <f t="array" aca="1" ref="U72" ca="1">+fair_value_gap(OFFSET(T71,0,0,-1*$J$5,-1*$AA$1),OFFSET(E71,0,0,-1*$J$5,1),F72:T72,0)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2" s="9" t="str" cm="1">
        <f t="array" aca="1" ref="V72" ca="1">z_score_diff(OFFSET(U72,0,0,$J$5*-1,1),OFFSET(E72,0,0,$J$5*-1,1))</f>
        <v/>
      </c>
      <c r="W72" s="9" t="str">
        <f t="shared" ref="W72:W135" ca="1" si="11">+IF(ISERROR(AVERAGE(OFFSET(V72,0,0,$W$5*-1,1))),"",AVERAGE(OFFSET(V72,0,0,$W$5*-1,1)))</f>
        <v/>
      </c>
      <c r="X72" s="17">
        <f t="shared" ca="1" si="10"/>
        <v>1.1239939413209261E-2</v>
      </c>
      <c r="Y72" s="13">
        <f t="shared" si="9"/>
        <v>0</v>
      </c>
      <c r="Z72" s="13">
        <f t="shared" si="9"/>
        <v>0</v>
      </c>
      <c r="AA72" t="str">
        <f t="shared" ref="AA72:AA135" ca="1" si="12">+IF(W72="","",IF(W72&lt;Y72,1,0))</f>
        <v/>
      </c>
      <c r="AB72" t="str">
        <f t="shared" ref="AB72:AB135" ca="1" si="13">+IF(W72="","",IF(W72&gt;Z72,1,0))</f>
        <v/>
      </c>
      <c r="AC72" s="24" t="str">
        <f t="shared" ref="AC72:AC135" ca="1" si="14">+IF(ISERROR(AA72*X72),"",AA72*X72)</f>
        <v/>
      </c>
      <c r="AD72" s="24" t="str">
        <f t="shared" ref="AD72:AD135" ca="1" si="15">+IF(ISERROR(AB72*X72),"",AB72*X72)</f>
        <v/>
      </c>
    </row>
    <row r="73" spans="3:30" x14ac:dyDescent="0.25">
      <c r="C73" s="6">
        <v>66</v>
      </c>
      <c r="D73" s="35">
        <v>42102</v>
      </c>
      <c r="E73" s="37">
        <v>21.8</v>
      </c>
      <c r="F73" s="37">
        <v>55.242536105174537</v>
      </c>
      <c r="G73" s="37">
        <v>42.48</v>
      </c>
      <c r="H73" s="37">
        <v>2.5784784479169556</v>
      </c>
      <c r="I73" s="37">
        <v>50.098531738321903</v>
      </c>
      <c r="J73" s="10">
        <v>0</v>
      </c>
      <c r="K73" s="38">
        <v>0</v>
      </c>
      <c r="L73" s="38">
        <v>0</v>
      </c>
      <c r="M73" s="38">
        <v>1</v>
      </c>
      <c r="N73" s="38">
        <v>0</v>
      </c>
      <c r="O73" s="38">
        <v>0</v>
      </c>
      <c r="P73" s="38">
        <v>0</v>
      </c>
      <c r="Q73" s="38">
        <v>0</v>
      </c>
      <c r="R73" s="38">
        <v>0</v>
      </c>
      <c r="S73" s="38">
        <v>0</v>
      </c>
      <c r="T73" s="38">
        <v>0</v>
      </c>
      <c r="U73" s="29" t="str" cm="1">
        <f t="array" aca="1" ref="U73" ca="1">+fair_value_gap(OFFSET(T72,0,0,-1*$J$5,-1*$AA$1),OFFSET(E72,0,0,-1*$J$5,1),F73:T73,0)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3" s="9" t="str" cm="1">
        <f t="array" aca="1" ref="V73" ca="1">z_score_diff(OFFSET(U73,0,0,$J$5*-1,1),OFFSET(E73,0,0,$J$5*-1,1))</f>
        <v/>
      </c>
      <c r="W73" s="9" t="str">
        <f t="shared" ca="1" si="11"/>
        <v/>
      </c>
      <c r="X73" s="17">
        <f t="shared" ca="1" si="10"/>
        <v>-4.1369859048428371E-3</v>
      </c>
      <c r="Y73" s="13">
        <f t="shared" ref="Y73:Z88" si="16">+Y72</f>
        <v>0</v>
      </c>
      <c r="Z73" s="13">
        <f t="shared" si="16"/>
        <v>0</v>
      </c>
      <c r="AA73" t="str">
        <f t="shared" ca="1" si="12"/>
        <v/>
      </c>
      <c r="AB73" t="str">
        <f t="shared" ca="1" si="13"/>
        <v/>
      </c>
      <c r="AC73" s="24" t="str">
        <f t="shared" ca="1" si="14"/>
        <v/>
      </c>
      <c r="AD73" s="24" t="str">
        <f t="shared" ca="1" si="15"/>
        <v/>
      </c>
    </row>
    <row r="74" spans="3:30" x14ac:dyDescent="0.25">
      <c r="C74" s="6">
        <v>67</v>
      </c>
      <c r="D74" s="35">
        <v>42103</v>
      </c>
      <c r="E74" s="37">
        <v>21.954000000000001</v>
      </c>
      <c r="F74" s="37">
        <v>56.813395606555531</v>
      </c>
      <c r="G74" s="37">
        <v>42.5</v>
      </c>
      <c r="H74" s="37">
        <v>2.5317995900450199</v>
      </c>
      <c r="I74" s="37">
        <v>51.431566533446897</v>
      </c>
      <c r="J74" s="10">
        <v>0</v>
      </c>
      <c r="K74" s="38">
        <v>0</v>
      </c>
      <c r="L74" s="38">
        <v>0</v>
      </c>
      <c r="M74" s="38">
        <v>1</v>
      </c>
      <c r="N74" s="38">
        <v>0</v>
      </c>
      <c r="O74" s="38">
        <v>0</v>
      </c>
      <c r="P74" s="38">
        <v>0</v>
      </c>
      <c r="Q74" s="38">
        <v>0</v>
      </c>
      <c r="R74" s="38">
        <v>0</v>
      </c>
      <c r="S74" s="38">
        <v>0</v>
      </c>
      <c r="T74" s="38">
        <v>0</v>
      </c>
      <c r="U74" s="29" t="str" cm="1">
        <f t="array" aca="1" ref="U74" ca="1">+fair_value_gap(OFFSET(T73,0,0,-1*$J$5,-1*$AA$1),OFFSET(E73,0,0,-1*$J$5,1),F74:T74,0)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4" s="9" t="str" cm="1">
        <f t="array" aca="1" ref="V74" ca="1">z_score_diff(OFFSET(U74,0,0,$J$5*-1,1),OFFSET(E74,0,0,$J$5*-1,1))</f>
        <v/>
      </c>
      <c r="W74" s="9" t="str">
        <f t="shared" ca="1" si="11"/>
        <v/>
      </c>
      <c r="X74" s="17">
        <f t="shared" ca="1" si="10"/>
        <v>-2.3224709891098847E-2</v>
      </c>
      <c r="Y74" s="13">
        <f t="shared" si="16"/>
        <v>0</v>
      </c>
      <c r="Z74" s="13">
        <f t="shared" si="16"/>
        <v>0</v>
      </c>
      <c r="AA74" t="str">
        <f t="shared" ca="1" si="12"/>
        <v/>
      </c>
      <c r="AB74" t="str">
        <f t="shared" ca="1" si="13"/>
        <v/>
      </c>
      <c r="AC74" s="24" t="str">
        <f t="shared" ca="1" si="14"/>
        <v/>
      </c>
      <c r="AD74" s="24" t="str">
        <f t="shared" ca="1" si="15"/>
        <v/>
      </c>
    </row>
    <row r="75" spans="3:30" x14ac:dyDescent="0.25">
      <c r="C75" s="6">
        <v>68</v>
      </c>
      <c r="D75" s="35">
        <v>42104</v>
      </c>
      <c r="E75" s="37">
        <v>21.908999999999999</v>
      </c>
      <c r="F75" s="37">
        <v>58.131058258043574</v>
      </c>
      <c r="G75" s="37">
        <v>42.03</v>
      </c>
      <c r="H75" s="37">
        <v>2.5208937885365179</v>
      </c>
      <c r="I75" s="37">
        <v>51.687728985105096</v>
      </c>
      <c r="J75" s="10">
        <v>0</v>
      </c>
      <c r="K75" s="38">
        <v>0</v>
      </c>
      <c r="L75" s="38">
        <v>0</v>
      </c>
      <c r="M75" s="38">
        <v>1</v>
      </c>
      <c r="N75" s="38">
        <v>0</v>
      </c>
      <c r="O75" s="38">
        <v>0</v>
      </c>
      <c r="P75" s="38">
        <v>0</v>
      </c>
      <c r="Q75" s="38">
        <v>0</v>
      </c>
      <c r="R75" s="38">
        <v>0</v>
      </c>
      <c r="S75" s="38">
        <v>0</v>
      </c>
      <c r="T75" s="38">
        <v>0</v>
      </c>
      <c r="U75" s="29" t="str" cm="1">
        <f t="array" aca="1" ref="U75" ca="1">+fair_value_gap(OFFSET(T74,0,0,-1*$J$5,-1*$AA$1),OFFSET(E74,0,0,-1*$J$5,1),F75:T75,0)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5" s="9" t="str" cm="1">
        <f t="array" aca="1" ref="V75" ca="1">z_score_diff(OFFSET(U75,0,0,$J$5*-1,1),OFFSET(E75,0,0,$J$5*-1,1))</f>
        <v/>
      </c>
      <c r="W75" s="9" t="str">
        <f t="shared" ca="1" si="11"/>
        <v/>
      </c>
      <c r="X75" s="17">
        <f t="shared" ca="1" si="10"/>
        <v>-1.1291775168928082E-2</v>
      </c>
      <c r="Y75" s="13">
        <f t="shared" si="16"/>
        <v>0</v>
      </c>
      <c r="Z75" s="13">
        <f t="shared" si="16"/>
        <v>0</v>
      </c>
      <c r="AA75" t="str">
        <f t="shared" ca="1" si="12"/>
        <v/>
      </c>
      <c r="AB75" t="str">
        <f t="shared" ca="1" si="13"/>
        <v/>
      </c>
      <c r="AC75" s="24" t="str">
        <f t="shared" ca="1" si="14"/>
        <v/>
      </c>
      <c r="AD75" s="24" t="str">
        <f t="shared" ca="1" si="15"/>
        <v/>
      </c>
    </row>
    <row r="76" spans="3:30" x14ac:dyDescent="0.25">
      <c r="C76" s="6">
        <v>69</v>
      </c>
      <c r="D76" s="35">
        <v>42107</v>
      </c>
      <c r="E76" s="37">
        <v>22.341000000000001</v>
      </c>
      <c r="F76" s="37">
        <v>58.353460638538763</v>
      </c>
      <c r="G76" s="37">
        <v>42</v>
      </c>
      <c r="H76" s="37">
        <v>2.5133972375273608</v>
      </c>
      <c r="I76" s="37">
        <v>51.890708732734545</v>
      </c>
      <c r="J76" s="10">
        <v>0</v>
      </c>
      <c r="K76" s="38">
        <v>0</v>
      </c>
      <c r="L76" s="38">
        <v>0</v>
      </c>
      <c r="M76" s="38">
        <v>1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29" t="str" cm="1">
        <f t="array" aca="1" ref="U76" ca="1">+fair_value_gap(OFFSET(T75,0,0,-1*$J$5,-1*$AA$1),OFFSET(E75,0,0,-1*$J$5,1),F76:T76,0)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6" s="9" t="str" cm="1">
        <f t="array" aca="1" ref="V76" ca="1">z_score_diff(OFFSET(U76,0,0,$J$5*-1,1),OFFSET(E76,0,0,$J$5*-1,1))</f>
        <v/>
      </c>
      <c r="W76" s="9" t="str">
        <f t="shared" ca="1" si="11"/>
        <v/>
      </c>
      <c r="X76" s="17">
        <f t="shared" ca="1" si="10"/>
        <v>-7.2776601535455496E-3</v>
      </c>
      <c r="Y76" s="13">
        <f t="shared" si="16"/>
        <v>0</v>
      </c>
      <c r="Z76" s="13">
        <f t="shared" si="16"/>
        <v>0</v>
      </c>
      <c r="AA76" t="str">
        <f t="shared" ca="1" si="12"/>
        <v/>
      </c>
      <c r="AB76" t="str">
        <f t="shared" ca="1" si="13"/>
        <v/>
      </c>
      <c r="AC76" s="24" t="str">
        <f t="shared" ca="1" si="14"/>
        <v/>
      </c>
      <c r="AD76" s="24" t="str">
        <f t="shared" ca="1" si="15"/>
        <v/>
      </c>
    </row>
    <row r="77" spans="3:30" x14ac:dyDescent="0.25">
      <c r="C77" s="6">
        <v>70</v>
      </c>
      <c r="D77" s="35">
        <v>42108</v>
      </c>
      <c r="E77" s="37">
        <v>22.003</v>
      </c>
      <c r="F77" s="37">
        <v>58.547176521234583</v>
      </c>
      <c r="G77" s="37">
        <v>41.67</v>
      </c>
      <c r="H77" s="37">
        <v>2.5118385834877497</v>
      </c>
      <c r="I77" s="37">
        <v>51.61248058097965</v>
      </c>
      <c r="J77" s="10">
        <v>0</v>
      </c>
      <c r="K77" s="38">
        <v>0</v>
      </c>
      <c r="L77" s="38">
        <v>0</v>
      </c>
      <c r="M77" s="38">
        <v>1</v>
      </c>
      <c r="N77" s="38">
        <v>0</v>
      </c>
      <c r="O77" s="38">
        <v>0</v>
      </c>
      <c r="P77" s="38">
        <v>0</v>
      </c>
      <c r="Q77" s="38">
        <v>0</v>
      </c>
      <c r="R77" s="38">
        <v>0</v>
      </c>
      <c r="S77" s="38">
        <v>0</v>
      </c>
      <c r="T77" s="38">
        <v>0</v>
      </c>
      <c r="U77" s="29" t="str" cm="1">
        <f t="array" aca="1" ref="U77" ca="1">+fair_value_gap(OFFSET(T76,0,0,-1*$J$5,-1*$AA$1),OFFSET(E76,0,0,-1*$J$5,1),F77:T77,0)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7" s="9" t="str" cm="1">
        <f t="array" aca="1" ref="V77" ca="1">z_score_diff(OFFSET(U77,0,0,$J$5*-1,1),OFFSET(E77,0,0,$J$5*-1,1))</f>
        <v/>
      </c>
      <c r="W77" s="9" t="str">
        <f t="shared" ca="1" si="11"/>
        <v/>
      </c>
      <c r="X77" s="17">
        <f t="shared" ca="1" si="10"/>
        <v>5.4841844344276549E-3</v>
      </c>
      <c r="Y77" s="13">
        <f t="shared" si="16"/>
        <v>0</v>
      </c>
      <c r="Z77" s="13">
        <f t="shared" si="16"/>
        <v>0</v>
      </c>
      <c r="AA77" t="str">
        <f t="shared" ca="1" si="12"/>
        <v/>
      </c>
      <c r="AB77" t="str">
        <f t="shared" ca="1" si="13"/>
        <v/>
      </c>
      <c r="AC77" s="24" t="str">
        <f t="shared" ca="1" si="14"/>
        <v/>
      </c>
      <c r="AD77" s="24" t="str">
        <f t="shared" ca="1" si="15"/>
        <v/>
      </c>
    </row>
    <row r="78" spans="3:30" x14ac:dyDescent="0.25">
      <c r="C78" s="6">
        <v>71</v>
      </c>
      <c r="D78" s="35">
        <v>42109</v>
      </c>
      <c r="E78" s="37">
        <v>22.064</v>
      </c>
      <c r="F78" s="37">
        <v>61.457844619570437</v>
      </c>
      <c r="G78" s="37">
        <v>41.53</v>
      </c>
      <c r="H78" s="37">
        <v>2.5696822268465103</v>
      </c>
      <c r="I78" s="37">
        <v>51.860011547247176</v>
      </c>
      <c r="J78" s="10">
        <v>0</v>
      </c>
      <c r="K78" s="38">
        <v>0</v>
      </c>
      <c r="L78" s="38">
        <v>0</v>
      </c>
      <c r="M78" s="38">
        <v>1</v>
      </c>
      <c r="N78" s="38">
        <v>0</v>
      </c>
      <c r="O78" s="38">
        <v>0</v>
      </c>
      <c r="P78" s="38">
        <v>0</v>
      </c>
      <c r="Q78" s="38">
        <v>0</v>
      </c>
      <c r="R78" s="38">
        <v>0</v>
      </c>
      <c r="S78" s="38">
        <v>0</v>
      </c>
      <c r="T78" s="38">
        <v>0</v>
      </c>
      <c r="U78" s="29" t="str" cm="1">
        <f t="array" aca="1" ref="U78" ca="1">+fair_value_gap(OFFSET(T77,0,0,-1*$J$5,-1*$AA$1),OFFSET(E77,0,0,-1*$J$5,1),F78:T78,0)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8" s="9" t="str" cm="1">
        <f t="array" aca="1" ref="V78" ca="1">z_score_diff(OFFSET(U78,0,0,$J$5*-1,1),OFFSET(E78,0,0,$J$5*-1,1))</f>
        <v/>
      </c>
      <c r="W78" s="9" t="str">
        <f t="shared" ca="1" si="11"/>
        <v/>
      </c>
      <c r="X78" s="17">
        <f t="shared" ca="1" si="10"/>
        <v>-1.5875539133629174E-3</v>
      </c>
      <c r="Y78" s="13">
        <f t="shared" si="16"/>
        <v>0</v>
      </c>
      <c r="Z78" s="13">
        <f t="shared" si="16"/>
        <v>0</v>
      </c>
      <c r="AA78" t="str">
        <f t="shared" ca="1" si="12"/>
        <v/>
      </c>
      <c r="AB78" t="str">
        <f t="shared" ca="1" si="13"/>
        <v/>
      </c>
      <c r="AC78" s="24" t="str">
        <f t="shared" ca="1" si="14"/>
        <v/>
      </c>
      <c r="AD78" s="24" t="str">
        <f t="shared" ca="1" si="15"/>
        <v/>
      </c>
    </row>
    <row r="79" spans="3:30" x14ac:dyDescent="0.25">
      <c r="C79" s="6">
        <v>72</v>
      </c>
      <c r="D79" s="35">
        <v>42110</v>
      </c>
      <c r="E79" s="37">
        <v>21.838000000000001</v>
      </c>
      <c r="F79" s="37">
        <v>61.836572127229957</v>
      </c>
      <c r="G79" s="37">
        <v>41.18</v>
      </c>
      <c r="H79" s="37">
        <v>2.6222189288823845</v>
      </c>
      <c r="I79" s="37">
        <v>52.147977992256529</v>
      </c>
      <c r="J79" s="10">
        <v>0</v>
      </c>
      <c r="K79" s="38">
        <v>0</v>
      </c>
      <c r="L79" s="38">
        <v>0</v>
      </c>
      <c r="M79" s="38">
        <v>1</v>
      </c>
      <c r="N79" s="38">
        <v>0</v>
      </c>
      <c r="O79" s="38">
        <v>0</v>
      </c>
      <c r="P79" s="38">
        <v>0</v>
      </c>
      <c r="Q79" s="38">
        <v>0</v>
      </c>
      <c r="R79" s="38">
        <v>0</v>
      </c>
      <c r="S79" s="38">
        <v>0</v>
      </c>
      <c r="T79" s="38">
        <v>0</v>
      </c>
      <c r="U79" s="29" t="str" cm="1">
        <f t="array" aca="1" ref="U79" ca="1">+fair_value_gap(OFFSET(T78,0,0,-1*$J$5,-1*$AA$1),OFFSET(E78,0,0,-1*$J$5,1),F79:T79,0)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9" s="9" t="str" cm="1">
        <f t="array" aca="1" ref="V79" ca="1">z_score_diff(OFFSET(U79,0,0,$J$5*-1,1),OFFSET(E79,0,0,$J$5*-1,1))</f>
        <v/>
      </c>
      <c r="W79" s="9" t="str">
        <f t="shared" ca="1" si="11"/>
        <v/>
      </c>
      <c r="X79" s="17">
        <f t="shared" ca="1" si="10"/>
        <v>-4.1221059964914353E-4</v>
      </c>
      <c r="Y79" s="13">
        <f t="shared" si="16"/>
        <v>0</v>
      </c>
      <c r="Z79" s="13">
        <f t="shared" si="16"/>
        <v>0</v>
      </c>
      <c r="AA79" t="str">
        <f t="shared" ca="1" si="12"/>
        <v/>
      </c>
      <c r="AB79" t="str">
        <f t="shared" ca="1" si="13"/>
        <v/>
      </c>
      <c r="AC79" s="24" t="str">
        <f t="shared" ca="1" si="14"/>
        <v/>
      </c>
      <c r="AD79" s="24" t="str">
        <f t="shared" ca="1" si="15"/>
        <v/>
      </c>
    </row>
    <row r="80" spans="3:30" x14ac:dyDescent="0.25">
      <c r="C80" s="6">
        <v>73</v>
      </c>
      <c r="D80" s="35">
        <v>42111</v>
      </c>
      <c r="E80" s="37">
        <v>21.57</v>
      </c>
      <c r="F80" s="37">
        <v>61.262159218856709</v>
      </c>
      <c r="G80" s="37">
        <v>40.729999999999997</v>
      </c>
      <c r="H80" s="37">
        <v>2.5785850083983979</v>
      </c>
      <c r="I80" s="37">
        <v>51.590158185207748</v>
      </c>
      <c r="J80" s="10">
        <v>0</v>
      </c>
      <c r="K80" s="38">
        <v>0</v>
      </c>
      <c r="L80" s="38">
        <v>0</v>
      </c>
      <c r="M80" s="38">
        <v>1</v>
      </c>
      <c r="N80" s="38">
        <v>0</v>
      </c>
      <c r="O80" s="38">
        <v>0</v>
      </c>
      <c r="P80" s="38">
        <v>0</v>
      </c>
      <c r="Q80" s="38">
        <v>0</v>
      </c>
      <c r="R80" s="38">
        <v>0</v>
      </c>
      <c r="S80" s="38">
        <v>0</v>
      </c>
      <c r="T80" s="38">
        <v>0</v>
      </c>
      <c r="U80" s="29" t="str" cm="1">
        <f t="array" aca="1" ref="U80" ca="1">+fair_value_gap(OFFSET(T79,0,0,-1*$J$5,-1*$AA$1),OFFSET(E79,0,0,-1*$J$5,1),F80:T80,0)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0" s="9" t="str" cm="1">
        <f t="array" aca="1" ref="V80" ca="1">z_score_diff(OFFSET(U80,0,0,$J$5*-1,1),OFFSET(E80,0,0,$J$5*-1,1))</f>
        <v/>
      </c>
      <c r="W80" s="9" t="str">
        <f t="shared" ca="1" si="11"/>
        <v/>
      </c>
      <c r="X80" s="17">
        <f t="shared" ca="1" si="10"/>
        <v>1.088170088312509E-2</v>
      </c>
      <c r="Y80" s="13">
        <f t="shared" si="16"/>
        <v>0</v>
      </c>
      <c r="Z80" s="13">
        <f t="shared" si="16"/>
        <v>0</v>
      </c>
      <c r="AA80" t="str">
        <f t="shared" ca="1" si="12"/>
        <v/>
      </c>
      <c r="AB80" t="str">
        <f t="shared" ca="1" si="13"/>
        <v/>
      </c>
      <c r="AC80" s="24" t="str">
        <f t="shared" ca="1" si="14"/>
        <v/>
      </c>
      <c r="AD80" s="24" t="str">
        <f t="shared" ca="1" si="15"/>
        <v/>
      </c>
    </row>
    <row r="81" spans="3:30" x14ac:dyDescent="0.25">
      <c r="C81" s="6">
        <v>74</v>
      </c>
      <c r="D81" s="35">
        <v>42114</v>
      </c>
      <c r="E81" s="37">
        <v>21.431000000000001</v>
      </c>
      <c r="F81" s="37">
        <v>61.759863610152358</v>
      </c>
      <c r="G81" s="37">
        <v>40.630000000000003</v>
      </c>
      <c r="H81" s="37">
        <v>2.5136663778782502</v>
      </c>
      <c r="I81" s="37">
        <v>51.907628564238706</v>
      </c>
      <c r="J81" s="10">
        <v>0</v>
      </c>
      <c r="K81" s="38">
        <v>0</v>
      </c>
      <c r="L81" s="38">
        <v>0</v>
      </c>
      <c r="M81" s="38">
        <v>1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29" t="str" cm="1">
        <f t="array" aca="1" ref="U81" ca="1">+fair_value_gap(OFFSET(T80,0,0,-1*$J$5,-1*$AA$1),OFFSET(E80,0,0,-1*$J$5,1),F81:T81,0)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1" s="9" t="str" cm="1">
        <f t="array" aca="1" ref="V81" ca="1">z_score_diff(OFFSET(U81,0,0,$J$5*-1,1),OFFSET(E81,0,0,$J$5*-1,1))</f>
        <v/>
      </c>
      <c r="W81" s="9" t="str">
        <f t="shared" ca="1" si="11"/>
        <v/>
      </c>
      <c r="X81" s="17">
        <f t="shared" ca="1" si="10"/>
        <v>9.0115808654042413E-3</v>
      </c>
      <c r="Y81" s="13">
        <f t="shared" si="16"/>
        <v>0</v>
      </c>
      <c r="Z81" s="13">
        <f t="shared" si="16"/>
        <v>0</v>
      </c>
      <c r="AA81" t="str">
        <f t="shared" ca="1" si="12"/>
        <v/>
      </c>
      <c r="AB81" t="str">
        <f t="shared" ca="1" si="13"/>
        <v/>
      </c>
      <c r="AC81" s="24" t="str">
        <f t="shared" ca="1" si="14"/>
        <v/>
      </c>
      <c r="AD81" s="24" t="str">
        <f t="shared" ca="1" si="15"/>
        <v/>
      </c>
    </row>
    <row r="82" spans="3:30" x14ac:dyDescent="0.25">
      <c r="C82" s="6">
        <v>75</v>
      </c>
      <c r="D82" s="35">
        <v>42115</v>
      </c>
      <c r="E82" s="37">
        <v>21.663</v>
      </c>
      <c r="F82" s="37">
        <v>60.740933460941633</v>
      </c>
      <c r="G82" s="37">
        <v>41</v>
      </c>
      <c r="H82" s="37">
        <v>2.5571217513310596</v>
      </c>
      <c r="I82" s="37">
        <v>51.987994908056976</v>
      </c>
      <c r="J82" s="10">
        <v>0</v>
      </c>
      <c r="K82" s="38">
        <v>0</v>
      </c>
      <c r="L82" s="38">
        <v>0</v>
      </c>
      <c r="M82" s="38">
        <v>1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29" t="str" cm="1">
        <f t="array" aca="1" ref="U82" ca="1">+fair_value_gap(OFFSET(T81,0,0,-1*$J$5,-1*$AA$1),OFFSET(E81,0,0,-1*$J$5,1),F82:T82,0)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2" s="9" t="str" cm="1">
        <f t="array" aca="1" ref="V82" ca="1">z_score_diff(OFFSET(U82,0,0,$J$5*-1,1),OFFSET(E82,0,0,$J$5*-1,1))</f>
        <v/>
      </c>
      <c r="W82" s="9" t="str">
        <f t="shared" ca="1" si="11"/>
        <v/>
      </c>
      <c r="X82" s="17">
        <f t="shared" ca="1" si="10"/>
        <v>5.9992156671343942E-4</v>
      </c>
      <c r="Y82" s="13">
        <f t="shared" si="16"/>
        <v>0</v>
      </c>
      <c r="Z82" s="13">
        <f t="shared" si="16"/>
        <v>0</v>
      </c>
      <c r="AA82" t="str">
        <f t="shared" ca="1" si="12"/>
        <v/>
      </c>
      <c r="AB82" t="str">
        <f t="shared" ca="1" si="13"/>
        <v/>
      </c>
      <c r="AC82" s="24" t="str">
        <f t="shared" ca="1" si="14"/>
        <v/>
      </c>
      <c r="AD82" s="24" t="str">
        <f t="shared" ca="1" si="15"/>
        <v/>
      </c>
    </row>
    <row r="83" spans="3:30" x14ac:dyDescent="0.25">
      <c r="C83" s="6">
        <v>76</v>
      </c>
      <c r="D83" s="35">
        <v>42116</v>
      </c>
      <c r="E83" s="37">
        <v>21.55</v>
      </c>
      <c r="F83" s="37">
        <v>61.304000148773547</v>
      </c>
      <c r="G83" s="37">
        <v>41.01</v>
      </c>
      <c r="H83" s="37">
        <v>2.5933089096758595</v>
      </c>
      <c r="I83" s="37">
        <v>51.884774887025081</v>
      </c>
      <c r="J83" s="10">
        <v>0</v>
      </c>
      <c r="K83" s="38">
        <v>0</v>
      </c>
      <c r="L83" s="38">
        <v>0</v>
      </c>
      <c r="M83" s="38">
        <v>1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29" t="str" cm="1">
        <f t="array" aca="1" ref="U83" ca="1">+fair_value_gap(OFFSET(T82,0,0,-1*$J$5,-1*$AA$1),OFFSET(E82,0,0,-1*$J$5,1),F83:T83,0)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3" s="9" t="str" cm="1">
        <f t="array" aca="1" ref="V83" ca="1">z_score_diff(OFFSET(U83,0,0,$J$5*-1,1),OFFSET(E83,0,0,$J$5*-1,1))</f>
        <v/>
      </c>
      <c r="W83" s="9" t="str">
        <f t="shared" ca="1" si="11"/>
        <v/>
      </c>
      <c r="X83" s="17">
        <f t="shared" ca="1" si="10"/>
        <v>1.0983542971671175E-2</v>
      </c>
      <c r="Y83" s="13">
        <f t="shared" si="16"/>
        <v>0</v>
      </c>
      <c r="Z83" s="13">
        <f t="shared" si="16"/>
        <v>0</v>
      </c>
      <c r="AA83" t="str">
        <f t="shared" ca="1" si="12"/>
        <v/>
      </c>
      <c r="AB83" t="str">
        <f t="shared" ca="1" si="13"/>
        <v/>
      </c>
      <c r="AC83" s="24" t="str">
        <f t="shared" ca="1" si="14"/>
        <v/>
      </c>
      <c r="AD83" s="24" t="str">
        <f t="shared" ca="1" si="15"/>
        <v/>
      </c>
    </row>
    <row r="84" spans="3:30" x14ac:dyDescent="0.25">
      <c r="C84" s="6">
        <v>77</v>
      </c>
      <c r="D84" s="35">
        <v>42117</v>
      </c>
      <c r="E84" s="37">
        <v>21.356000000000002</v>
      </c>
      <c r="F84" s="37">
        <v>62.358318435651228</v>
      </c>
      <c r="G84" s="37">
        <v>40.94</v>
      </c>
      <c r="H84" s="37">
        <v>2.5037320997438215</v>
      </c>
      <c r="I84" s="37">
        <v>51.650417442267639</v>
      </c>
      <c r="J84" s="10">
        <v>0</v>
      </c>
      <c r="K84" s="38">
        <v>0</v>
      </c>
      <c r="L84" s="38">
        <v>0</v>
      </c>
      <c r="M84" s="38">
        <v>1</v>
      </c>
      <c r="N84" s="38">
        <v>0</v>
      </c>
      <c r="O84" s="38">
        <v>0</v>
      </c>
      <c r="P84" s="38">
        <v>0</v>
      </c>
      <c r="Q84" s="38">
        <v>0</v>
      </c>
      <c r="R84" s="38">
        <v>0</v>
      </c>
      <c r="S84" s="38">
        <v>0</v>
      </c>
      <c r="T84" s="38">
        <v>0</v>
      </c>
      <c r="U84" s="29" t="str" cm="1">
        <f t="array" aca="1" ref="U84" ca="1">+fair_value_gap(OFFSET(T83,0,0,-1*$J$5,-1*$AA$1),OFFSET(E83,0,0,-1*$J$5,1),F84:T84,0)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4" s="9" t="str" cm="1">
        <f t="array" aca="1" ref="V84" ca="1">z_score_diff(OFFSET(U84,0,0,$J$5*-1,1),OFFSET(E84,0,0,$J$5*-1,1))</f>
        <v/>
      </c>
      <c r="W84" s="9" t="str">
        <f t="shared" ca="1" si="11"/>
        <v/>
      </c>
      <c r="X84" s="17">
        <f t="shared" ca="1" si="10"/>
        <v>2.0577239157103577E-2</v>
      </c>
      <c r="Y84" s="13">
        <f t="shared" si="16"/>
        <v>0</v>
      </c>
      <c r="Z84" s="13">
        <f t="shared" si="16"/>
        <v>0</v>
      </c>
      <c r="AA84" t="str">
        <f t="shared" ca="1" si="12"/>
        <v/>
      </c>
      <c r="AB84" t="str">
        <f t="shared" ca="1" si="13"/>
        <v/>
      </c>
      <c r="AC84" s="24" t="str">
        <f t="shared" ca="1" si="14"/>
        <v/>
      </c>
      <c r="AD84" s="24" t="str">
        <f t="shared" ca="1" si="15"/>
        <v/>
      </c>
    </row>
    <row r="85" spans="3:30" x14ac:dyDescent="0.25">
      <c r="C85" s="6">
        <v>78</v>
      </c>
      <c r="D85" s="35">
        <v>42118</v>
      </c>
      <c r="E85" s="37">
        <v>21.411000000000001</v>
      </c>
      <c r="F85" s="37">
        <v>62.401738118047177</v>
      </c>
      <c r="G85" s="37">
        <v>41.15</v>
      </c>
      <c r="H85" s="37">
        <v>2.4907524969404173</v>
      </c>
      <c r="I85" s="37">
        <v>52.116039547685951</v>
      </c>
      <c r="J85" s="10">
        <v>0</v>
      </c>
      <c r="K85" s="38">
        <v>0</v>
      </c>
      <c r="L85" s="38">
        <v>0</v>
      </c>
      <c r="M85" s="38">
        <v>1</v>
      </c>
      <c r="N85" s="38">
        <v>0</v>
      </c>
      <c r="O85" s="38">
        <v>0</v>
      </c>
      <c r="P85" s="38">
        <v>0</v>
      </c>
      <c r="Q85" s="38">
        <v>0</v>
      </c>
      <c r="R85" s="38">
        <v>0</v>
      </c>
      <c r="S85" s="38">
        <v>0</v>
      </c>
      <c r="T85" s="38">
        <v>0</v>
      </c>
      <c r="U85" s="29" t="str" cm="1">
        <f t="array" aca="1" ref="U85" ca="1">+fair_value_gap(OFFSET(T84,0,0,-1*$J$5,-1*$AA$1),OFFSET(E84,0,0,-1*$J$5,1),F85:T85,0)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5" s="9" t="str" cm="1">
        <f t="array" aca="1" ref="V85" ca="1">z_score_diff(OFFSET(U85,0,0,$J$5*-1,1),OFFSET(E85,0,0,$J$5*-1,1))</f>
        <v/>
      </c>
      <c r="W85" s="9" t="str">
        <f t="shared" ca="1" si="11"/>
        <v/>
      </c>
      <c r="X85" s="17">
        <f t="shared" ca="1" si="10"/>
        <v>1.4558862494415689E-2</v>
      </c>
      <c r="Y85" s="13">
        <f t="shared" si="16"/>
        <v>0</v>
      </c>
      <c r="Z85" s="13">
        <f t="shared" si="16"/>
        <v>0</v>
      </c>
      <c r="AA85" t="str">
        <f t="shared" ca="1" si="12"/>
        <v/>
      </c>
      <c r="AB85" t="str">
        <f t="shared" ca="1" si="13"/>
        <v/>
      </c>
      <c r="AC85" s="24" t="str">
        <f t="shared" ca="1" si="14"/>
        <v/>
      </c>
      <c r="AD85" s="24" t="str">
        <f t="shared" ca="1" si="15"/>
        <v/>
      </c>
    </row>
    <row r="86" spans="3:30" x14ac:dyDescent="0.25">
      <c r="C86" s="6">
        <v>79</v>
      </c>
      <c r="D86" s="35">
        <v>42121</v>
      </c>
      <c r="E86" s="37">
        <v>21.213000000000001</v>
      </c>
      <c r="F86" s="37">
        <v>62.14086973405356</v>
      </c>
      <c r="G86" s="37">
        <v>40.950000000000003</v>
      </c>
      <c r="H86" s="37">
        <v>2.4398419597865688</v>
      </c>
      <c r="I86" s="37">
        <v>52.112240057002914</v>
      </c>
      <c r="J86" s="10">
        <v>0</v>
      </c>
      <c r="K86" s="38">
        <v>0</v>
      </c>
      <c r="L86" s="38">
        <v>0</v>
      </c>
      <c r="M86" s="38">
        <v>1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29" t="str" cm="1">
        <f t="array" aca="1" ref="U86" ca="1">+fair_value_gap(OFFSET(T85,0,0,-1*$J$5,-1*$AA$1),OFFSET(E85,0,0,-1*$J$5,1),F86:T86,0)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6" s="9" t="str" cm="1">
        <f t="array" aca="1" ref="V86" ca="1">z_score_diff(OFFSET(U86,0,0,$J$5*-1,1),OFFSET(E86,0,0,$J$5*-1,1))</f>
        <v/>
      </c>
      <c r="W86" s="9" t="str">
        <f t="shared" ca="1" si="11"/>
        <v/>
      </c>
      <c r="X86" s="17">
        <f t="shared" ca="1" si="10"/>
        <v>2.3849469861242329E-2</v>
      </c>
      <c r="Y86" s="13">
        <f t="shared" si="16"/>
        <v>0</v>
      </c>
      <c r="Z86" s="13">
        <f t="shared" si="16"/>
        <v>0</v>
      </c>
      <c r="AA86" t="str">
        <f t="shared" ca="1" si="12"/>
        <v/>
      </c>
      <c r="AB86" t="str">
        <f t="shared" ca="1" si="13"/>
        <v/>
      </c>
      <c r="AC86" s="24" t="str">
        <f t="shared" ca="1" si="14"/>
        <v/>
      </c>
      <c r="AD86" s="24" t="str">
        <f t="shared" ca="1" si="15"/>
        <v/>
      </c>
    </row>
    <row r="87" spans="3:30" x14ac:dyDescent="0.25">
      <c r="C87" s="6">
        <v>80</v>
      </c>
      <c r="D87" s="35">
        <v>42122</v>
      </c>
      <c r="E87" s="37">
        <v>21.11</v>
      </c>
      <c r="F87" s="37">
        <v>61.400089233221287</v>
      </c>
      <c r="G87" s="37">
        <v>40.86</v>
      </c>
      <c r="H87" s="37">
        <v>2.4343767804617409</v>
      </c>
      <c r="I87" s="37">
        <v>51.568078496156701</v>
      </c>
      <c r="J87" s="10">
        <v>0</v>
      </c>
      <c r="K87" s="38">
        <v>0</v>
      </c>
      <c r="L87" s="38">
        <v>0</v>
      </c>
      <c r="M87" s="38">
        <v>1</v>
      </c>
      <c r="N87" s="38">
        <v>0</v>
      </c>
      <c r="O87" s="38">
        <v>0</v>
      </c>
      <c r="P87" s="38">
        <v>0</v>
      </c>
      <c r="Q87" s="38">
        <v>0</v>
      </c>
      <c r="R87" s="38">
        <v>0</v>
      </c>
      <c r="S87" s="38">
        <v>0</v>
      </c>
      <c r="T87" s="38">
        <v>0</v>
      </c>
      <c r="U87" s="29" t="str" cm="1">
        <f t="array" aca="1" ref="U87" ca="1">+fair_value_gap(OFFSET(T86,0,0,-1*$J$5,-1*$AA$1),OFFSET(E86,0,0,-1*$J$5,1),F87:T87,0)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7" s="9" t="str" cm="1">
        <f t="array" aca="1" ref="V87" ca="1">z_score_diff(OFFSET(U87,0,0,$J$5*-1,1),OFFSET(E87,0,0,$J$5*-1,1))</f>
        <v/>
      </c>
      <c r="W87" s="9" t="str">
        <f t="shared" ca="1" si="11"/>
        <v/>
      </c>
      <c r="X87" s="17">
        <f t="shared" ca="1" si="10"/>
        <v>2.8716809291226487E-2</v>
      </c>
      <c r="Y87" s="13">
        <f t="shared" si="16"/>
        <v>0</v>
      </c>
      <c r="Z87" s="13">
        <f t="shared" si="16"/>
        <v>0</v>
      </c>
      <c r="AA87" t="str">
        <f t="shared" ca="1" si="12"/>
        <v/>
      </c>
      <c r="AB87" t="str">
        <f t="shared" ca="1" si="13"/>
        <v/>
      </c>
      <c r="AC87" s="24" t="str">
        <f t="shared" ca="1" si="14"/>
        <v/>
      </c>
      <c r="AD87" s="24" t="str">
        <f t="shared" ca="1" si="15"/>
        <v/>
      </c>
    </row>
    <row r="88" spans="3:30" x14ac:dyDescent="0.25">
      <c r="C88" s="6">
        <v>81</v>
      </c>
      <c r="D88" s="35">
        <v>42123</v>
      </c>
      <c r="E88" s="37">
        <v>21.163</v>
      </c>
      <c r="F88" s="37">
        <v>61.574609665760889</v>
      </c>
      <c r="G88" s="37">
        <v>40.409999999999997</v>
      </c>
      <c r="H88" s="37">
        <v>2.5648613988359474</v>
      </c>
      <c r="I88" s="37">
        <v>51.65594985068202</v>
      </c>
      <c r="J88" s="10">
        <v>0</v>
      </c>
      <c r="K88" s="38">
        <v>0</v>
      </c>
      <c r="L88" s="38">
        <v>0</v>
      </c>
      <c r="M88" s="38">
        <v>1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29" t="str" cm="1">
        <f t="array" aca="1" ref="U88" ca="1">+fair_value_gap(OFFSET(T87,0,0,-1*$J$5,-1*$AA$1),OFFSET(E87,0,0,-1*$J$5,1),F88:T88,0)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8" s="9" t="str" cm="1">
        <f t="array" aca="1" ref="V88" ca="1">z_score_diff(OFFSET(U88,0,0,$J$5*-1,1),OFFSET(E88,0,0,$J$5*-1,1))</f>
        <v/>
      </c>
      <c r="W88" s="9" t="str">
        <f t="shared" ca="1" si="11"/>
        <v/>
      </c>
      <c r="X88" s="17">
        <f t="shared" ca="1" si="10"/>
        <v>2.2427702654075749E-2</v>
      </c>
      <c r="Y88" s="13">
        <f t="shared" si="16"/>
        <v>0</v>
      </c>
      <c r="Z88" s="13">
        <f t="shared" si="16"/>
        <v>0</v>
      </c>
      <c r="AA88" t="str">
        <f t="shared" ca="1" si="12"/>
        <v/>
      </c>
      <c r="AB88" t="str">
        <f t="shared" ca="1" si="13"/>
        <v/>
      </c>
      <c r="AC88" s="24" t="str">
        <f t="shared" ca="1" si="14"/>
        <v/>
      </c>
      <c r="AD88" s="24" t="str">
        <f t="shared" ca="1" si="15"/>
        <v/>
      </c>
    </row>
    <row r="89" spans="3:30" x14ac:dyDescent="0.25">
      <c r="C89" s="6">
        <v>82</v>
      </c>
      <c r="D89" s="35">
        <v>42124</v>
      </c>
      <c r="E89" s="37">
        <v>21.734000000000002</v>
      </c>
      <c r="F89" s="37">
        <v>61.608214428590479</v>
      </c>
      <c r="G89" s="37">
        <v>42.55</v>
      </c>
      <c r="H89" s="37">
        <v>2.6359070098235322</v>
      </c>
      <c r="I89" s="37">
        <v>51.295728319331474</v>
      </c>
      <c r="J89" s="10">
        <v>0</v>
      </c>
      <c r="K89" s="38">
        <v>0</v>
      </c>
      <c r="L89" s="38">
        <v>0</v>
      </c>
      <c r="M89" s="38">
        <v>1</v>
      </c>
      <c r="N89" s="38">
        <v>0</v>
      </c>
      <c r="O89" s="38">
        <v>0</v>
      </c>
      <c r="P89" s="38">
        <v>0</v>
      </c>
      <c r="Q89" s="38">
        <v>0</v>
      </c>
      <c r="R89" s="38">
        <v>0</v>
      </c>
      <c r="S89" s="38">
        <v>0</v>
      </c>
      <c r="T89" s="38">
        <v>0</v>
      </c>
      <c r="U89" s="29" t="str" cm="1">
        <f t="array" aca="1" ref="U89" ca="1">+fair_value_gap(OFFSET(T88,0,0,-1*$J$5,-1*$AA$1),OFFSET(E88,0,0,-1*$J$5,1),F89:T89,0)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9" s="9" t="str" cm="1">
        <f t="array" aca="1" ref="V89" ca="1">z_score_diff(OFFSET(U89,0,0,$J$5*-1,1),OFFSET(E89,0,0,$J$5*-1,1))</f>
        <v/>
      </c>
      <c r="W89" s="9" t="str">
        <f t="shared" ca="1" si="11"/>
        <v/>
      </c>
      <c r="X89" s="17">
        <f t="shared" ca="1" si="10"/>
        <v>-4.3344006623791164E-3</v>
      </c>
      <c r="Y89" s="13">
        <f t="shared" ref="Y89:Z104" si="17">+Y88</f>
        <v>0</v>
      </c>
      <c r="Z89" s="13">
        <f t="shared" si="17"/>
        <v>0</v>
      </c>
      <c r="AA89" t="str">
        <f t="shared" ca="1" si="12"/>
        <v/>
      </c>
      <c r="AB89" t="str">
        <f t="shared" ca="1" si="13"/>
        <v/>
      </c>
      <c r="AC89" s="24" t="str">
        <f t="shared" ca="1" si="14"/>
        <v/>
      </c>
      <c r="AD89" s="24" t="str">
        <f t="shared" ca="1" si="15"/>
        <v/>
      </c>
    </row>
    <row r="90" spans="3:30" x14ac:dyDescent="0.25">
      <c r="C90" s="6">
        <v>83</v>
      </c>
      <c r="D90" s="35">
        <v>42125</v>
      </c>
      <c r="E90" s="37">
        <v>21.541</v>
      </c>
      <c r="F90" s="37">
        <v>61.582572381338231</v>
      </c>
      <c r="G90" s="37">
        <v>42.55</v>
      </c>
      <c r="H90" s="37">
        <v>2.6615140087886058</v>
      </c>
      <c r="I90" s="37">
        <v>51.867912683819434</v>
      </c>
      <c r="J90" s="10">
        <v>0</v>
      </c>
      <c r="K90" s="38">
        <v>0</v>
      </c>
      <c r="L90" s="38">
        <v>0</v>
      </c>
      <c r="M90" s="38">
        <v>0</v>
      </c>
      <c r="N90" s="38">
        <v>1</v>
      </c>
      <c r="O90" s="38">
        <v>0</v>
      </c>
      <c r="P90" s="38">
        <v>0</v>
      </c>
      <c r="Q90" s="38">
        <v>0</v>
      </c>
      <c r="R90" s="38">
        <v>0</v>
      </c>
      <c r="S90" s="38">
        <v>0</v>
      </c>
      <c r="T90" s="38">
        <v>0</v>
      </c>
      <c r="U90" s="29" t="str" cm="1">
        <f t="array" aca="1" ref="U90" ca="1">+fair_value_gap(OFFSET(T89,0,0,-1*$J$5,-1*$AA$1),OFFSET(E89,0,0,-1*$J$5,1),F90:T90,0)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0" s="9" t="str" cm="1">
        <f t="array" aca="1" ref="V90" ca="1">z_score_diff(OFFSET(U90,0,0,$J$5*-1,1),OFFSET(E90,0,0,$J$5*-1,1))</f>
        <v/>
      </c>
      <c r="W90" s="9" t="str">
        <f t="shared" ca="1" si="11"/>
        <v/>
      </c>
      <c r="X90" s="17">
        <f t="shared" ca="1" si="10"/>
        <v>2.1311604357092166E-2</v>
      </c>
      <c r="Y90" s="13">
        <f t="shared" si="17"/>
        <v>0</v>
      </c>
      <c r="Z90" s="13">
        <f t="shared" si="17"/>
        <v>0</v>
      </c>
      <c r="AA90" t="str">
        <f t="shared" ca="1" si="12"/>
        <v/>
      </c>
      <c r="AB90" t="str">
        <f t="shared" ca="1" si="13"/>
        <v/>
      </c>
      <c r="AC90" s="24" t="str">
        <f t="shared" ca="1" si="14"/>
        <v/>
      </c>
      <c r="AD90" s="24" t="str">
        <f t="shared" ca="1" si="15"/>
        <v/>
      </c>
    </row>
    <row r="91" spans="3:30" x14ac:dyDescent="0.25">
      <c r="C91" s="6">
        <v>84</v>
      </c>
      <c r="D91" s="35">
        <v>42128</v>
      </c>
      <c r="E91" s="37">
        <v>21.541</v>
      </c>
      <c r="F91" s="37">
        <v>62.069397469622949</v>
      </c>
      <c r="G91" s="37">
        <v>41.69</v>
      </c>
      <c r="H91" s="37">
        <v>2.7164868202072259</v>
      </c>
      <c r="I91" s="37">
        <v>52.119682897585939</v>
      </c>
      <c r="J91" s="10">
        <v>0</v>
      </c>
      <c r="K91" s="38">
        <v>0</v>
      </c>
      <c r="L91" s="38">
        <v>0</v>
      </c>
      <c r="M91" s="38">
        <v>0</v>
      </c>
      <c r="N91" s="38">
        <v>1</v>
      </c>
      <c r="O91" s="38">
        <v>0</v>
      </c>
      <c r="P91" s="38">
        <v>0</v>
      </c>
      <c r="Q91" s="38">
        <v>0</v>
      </c>
      <c r="R91" s="38">
        <v>0</v>
      </c>
      <c r="S91" s="38">
        <v>0</v>
      </c>
      <c r="T91" s="38">
        <v>0</v>
      </c>
      <c r="U91" s="29" t="str" cm="1">
        <f t="array" aca="1" ref="U91" ca="1">+fair_value_gap(OFFSET(T90,0,0,-1*$J$5,-1*$AA$1),OFFSET(E90,0,0,-1*$J$5,1),F91:T91,0)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1" s="9" t="str" cm="1">
        <f t="array" aca="1" ref="V91" ca="1">z_score_diff(OFFSET(U91,0,0,$J$5*-1,1),OFFSET(E91,0,0,$J$5*-1,1))</f>
        <v/>
      </c>
      <c r="W91" s="9" t="str">
        <f t="shared" ca="1" si="11"/>
        <v/>
      </c>
      <c r="X91" s="17">
        <f t="shared" ca="1" si="10"/>
        <v>1.3189639650977875E-2</v>
      </c>
      <c r="Y91" s="13">
        <f t="shared" si="17"/>
        <v>0</v>
      </c>
      <c r="Z91" s="13">
        <f t="shared" si="17"/>
        <v>0</v>
      </c>
      <c r="AA91" t="str">
        <f t="shared" ca="1" si="12"/>
        <v/>
      </c>
      <c r="AB91" t="str">
        <f t="shared" ca="1" si="13"/>
        <v/>
      </c>
      <c r="AC91" s="24" t="str">
        <f t="shared" ca="1" si="14"/>
        <v/>
      </c>
      <c r="AD91" s="24" t="str">
        <f t="shared" ca="1" si="15"/>
        <v/>
      </c>
    </row>
    <row r="92" spans="3:30" x14ac:dyDescent="0.25">
      <c r="C92" s="6">
        <v>85</v>
      </c>
      <c r="D92" s="35">
        <v>42129</v>
      </c>
      <c r="E92" s="37">
        <v>21.92</v>
      </c>
      <c r="F92" s="37">
        <v>62.685555842835882</v>
      </c>
      <c r="G92" s="37">
        <v>41.98</v>
      </c>
      <c r="H92" s="37">
        <v>2.6827028520991774</v>
      </c>
      <c r="I92" s="37">
        <v>51.844191043392208</v>
      </c>
      <c r="J92" s="10">
        <v>0</v>
      </c>
      <c r="K92" s="38">
        <v>0</v>
      </c>
      <c r="L92" s="38">
        <v>0</v>
      </c>
      <c r="M92" s="38">
        <v>0</v>
      </c>
      <c r="N92" s="38">
        <v>1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29" t="str" cm="1">
        <f t="array" aca="1" ref="U92" ca="1">+fair_value_gap(OFFSET(T91,0,0,-1*$J$5,-1*$AA$1),OFFSET(E91,0,0,-1*$J$5,1),F92:T92,0)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2" s="9" t="str" cm="1">
        <f t="array" aca="1" ref="V92" ca="1">z_score_diff(OFFSET(U92,0,0,$J$5*-1,1),OFFSET(E92,0,0,$J$5*-1,1))</f>
        <v/>
      </c>
      <c r="W92" s="9" t="str">
        <f t="shared" ca="1" si="11"/>
        <v/>
      </c>
      <c r="X92" s="17">
        <f t="shared" ca="1" si="10"/>
        <v>-4.8933397437854551E-3</v>
      </c>
      <c r="Y92" s="13">
        <f t="shared" si="17"/>
        <v>0</v>
      </c>
      <c r="Z92" s="13">
        <f t="shared" si="17"/>
        <v>0</v>
      </c>
      <c r="AA92" t="str">
        <f t="shared" ca="1" si="12"/>
        <v/>
      </c>
      <c r="AB92" t="str">
        <f t="shared" ca="1" si="13"/>
        <v/>
      </c>
      <c r="AC92" s="24" t="str">
        <f t="shared" ca="1" si="14"/>
        <v/>
      </c>
      <c r="AD92" s="24" t="str">
        <f t="shared" ca="1" si="15"/>
        <v/>
      </c>
    </row>
    <row r="93" spans="3:30" x14ac:dyDescent="0.25">
      <c r="C93" s="6">
        <v>86</v>
      </c>
      <c r="D93" s="35">
        <v>42130</v>
      </c>
      <c r="E93" s="37">
        <v>21.71</v>
      </c>
      <c r="F93" s="37">
        <v>61.815625274628708</v>
      </c>
      <c r="G93" s="37">
        <v>42.19</v>
      </c>
      <c r="H93" s="37">
        <v>2.6408295983829864</v>
      </c>
      <c r="I93" s="37">
        <v>50.75138412865806</v>
      </c>
      <c r="J93" s="10">
        <v>0</v>
      </c>
      <c r="K93" s="38">
        <v>0</v>
      </c>
      <c r="L93" s="38">
        <v>0</v>
      </c>
      <c r="M93" s="38">
        <v>0</v>
      </c>
      <c r="N93" s="38">
        <v>1</v>
      </c>
      <c r="O93" s="38">
        <v>0</v>
      </c>
      <c r="P93" s="38">
        <v>0</v>
      </c>
      <c r="Q93" s="38">
        <v>0</v>
      </c>
      <c r="R93" s="38">
        <v>0</v>
      </c>
      <c r="S93" s="38">
        <v>0</v>
      </c>
      <c r="T93" s="38">
        <v>0</v>
      </c>
      <c r="U93" s="29" t="str" cm="1">
        <f t="array" aca="1" ref="U93" ca="1">+fair_value_gap(OFFSET(T92,0,0,-1*$J$5,-1*$AA$1),OFFSET(E92,0,0,-1*$J$5,1),F93:T93,0)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3" s="9" t="str" cm="1">
        <f t="array" aca="1" ref="V93" ca="1">z_score_diff(OFFSET(U93,0,0,$J$5*-1,1),OFFSET(E93,0,0,$J$5*-1,1))</f>
        <v/>
      </c>
      <c r="W93" s="9" t="str">
        <f t="shared" ca="1" si="11"/>
        <v/>
      </c>
      <c r="X93" s="17">
        <f t="shared" ca="1" si="10"/>
        <v>6.0159534840736823E-3</v>
      </c>
      <c r="Y93" s="13">
        <f t="shared" si="17"/>
        <v>0</v>
      </c>
      <c r="Z93" s="13">
        <f t="shared" si="17"/>
        <v>0</v>
      </c>
      <c r="AA93" t="str">
        <f t="shared" ca="1" si="12"/>
        <v/>
      </c>
      <c r="AB93" t="str">
        <f t="shared" ca="1" si="13"/>
        <v/>
      </c>
      <c r="AC93" s="24" t="str">
        <f t="shared" ca="1" si="14"/>
        <v/>
      </c>
      <c r="AD93" s="24" t="str">
        <f t="shared" ca="1" si="15"/>
        <v/>
      </c>
    </row>
    <row r="94" spans="3:30" x14ac:dyDescent="0.25">
      <c r="C94" s="6">
        <v>87</v>
      </c>
      <c r="D94" s="35">
        <v>42131</v>
      </c>
      <c r="E94" s="37">
        <v>21.45</v>
      </c>
      <c r="F94" s="37">
        <v>60.295901472424141</v>
      </c>
      <c r="G94" s="37">
        <v>42.33</v>
      </c>
      <c r="H94" s="37">
        <v>2.637613663529391</v>
      </c>
      <c r="I94" s="37">
        <v>50.290854678908829</v>
      </c>
      <c r="J94" s="10">
        <v>0</v>
      </c>
      <c r="K94" s="38">
        <v>0</v>
      </c>
      <c r="L94" s="38">
        <v>0</v>
      </c>
      <c r="M94" s="38">
        <v>0</v>
      </c>
      <c r="N94" s="38">
        <v>1</v>
      </c>
      <c r="O94" s="38">
        <v>0</v>
      </c>
      <c r="P94" s="38">
        <v>0</v>
      </c>
      <c r="Q94" s="38">
        <v>0</v>
      </c>
      <c r="R94" s="38">
        <v>0</v>
      </c>
      <c r="S94" s="38">
        <v>0</v>
      </c>
      <c r="T94" s="38">
        <v>0</v>
      </c>
      <c r="U94" s="29" t="str" cm="1">
        <f t="array" aca="1" ref="U94" ca="1">+fair_value_gap(OFFSET(T93,0,0,-1*$J$5,-1*$AA$1),OFFSET(E93,0,0,-1*$J$5,1),F94:T94,0)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4" s="9" t="str" cm="1">
        <f t="array" aca="1" ref="V94" ca="1">z_score_diff(OFFSET(U94,0,0,$J$5*-1,1),OFFSET(E94,0,0,$J$5*-1,1))</f>
        <v/>
      </c>
      <c r="W94" s="9" t="str">
        <f t="shared" ca="1" si="11"/>
        <v/>
      </c>
      <c r="X94" s="17">
        <f t="shared" ca="1" si="10"/>
        <v>5.8105915954657439E-3</v>
      </c>
      <c r="Y94" s="13">
        <f t="shared" si="17"/>
        <v>0</v>
      </c>
      <c r="Z94" s="13">
        <f t="shared" si="17"/>
        <v>0</v>
      </c>
      <c r="AA94" t="str">
        <f t="shared" ca="1" si="12"/>
        <v/>
      </c>
      <c r="AB94" t="str">
        <f t="shared" ca="1" si="13"/>
        <v/>
      </c>
      <c r="AC94" s="24" t="str">
        <f t="shared" ca="1" si="14"/>
        <v/>
      </c>
      <c r="AD94" s="24" t="str">
        <f t="shared" ca="1" si="15"/>
        <v/>
      </c>
    </row>
    <row r="95" spans="3:30" x14ac:dyDescent="0.25">
      <c r="C95" s="6">
        <v>88</v>
      </c>
      <c r="D95" s="35">
        <v>42132</v>
      </c>
      <c r="E95" s="37">
        <v>21.663</v>
      </c>
      <c r="F95" s="37">
        <v>60.692921236291134</v>
      </c>
      <c r="G95" s="37">
        <v>42.72</v>
      </c>
      <c r="H95" s="37">
        <v>2.7524569149693781</v>
      </c>
      <c r="I95" s="37">
        <v>50.251032616436412</v>
      </c>
      <c r="J95" s="10">
        <v>0</v>
      </c>
      <c r="K95" s="38">
        <v>0</v>
      </c>
      <c r="L95" s="38">
        <v>0</v>
      </c>
      <c r="M95" s="38">
        <v>0</v>
      </c>
      <c r="N95" s="38">
        <v>1</v>
      </c>
      <c r="O95" s="38">
        <v>0</v>
      </c>
      <c r="P95" s="38">
        <v>0</v>
      </c>
      <c r="Q95" s="38">
        <v>0</v>
      </c>
      <c r="R95" s="38">
        <v>0</v>
      </c>
      <c r="S95" s="38">
        <v>0</v>
      </c>
      <c r="T95" s="38">
        <v>0</v>
      </c>
      <c r="U95" s="29" t="str" cm="1">
        <f t="array" aca="1" ref="U95" ca="1">+fair_value_gap(OFFSET(T94,0,0,-1*$J$5,-1*$AA$1),OFFSET(E94,0,0,-1*$J$5,1),F95:T95,0)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5" s="9" t="str" cm="1">
        <f t="array" aca="1" ref="V95" ca="1">z_score_diff(OFFSET(U95,0,0,$J$5*-1,1),OFFSET(E95,0,0,$J$5*-1,1))</f>
        <v/>
      </c>
      <c r="W95" s="9" t="str">
        <f t="shared" ca="1" si="11"/>
        <v/>
      </c>
      <c r="X95" s="17">
        <f t="shared" ca="1" si="10"/>
        <v>3.9160631465199897E-3</v>
      </c>
      <c r="Y95" s="13">
        <f t="shared" si="17"/>
        <v>0</v>
      </c>
      <c r="Z95" s="13">
        <f t="shared" si="17"/>
        <v>0</v>
      </c>
      <c r="AA95" t="str">
        <f t="shared" ca="1" si="12"/>
        <v/>
      </c>
      <c r="AB95" t="str">
        <f t="shared" ca="1" si="13"/>
        <v/>
      </c>
      <c r="AC95" s="24" t="str">
        <f t="shared" ca="1" si="14"/>
        <v/>
      </c>
      <c r="AD95" s="24" t="str">
        <f t="shared" ca="1" si="15"/>
        <v/>
      </c>
    </row>
    <row r="96" spans="3:30" x14ac:dyDescent="0.25">
      <c r="C96" s="6">
        <v>89</v>
      </c>
      <c r="D96" s="35">
        <v>42135</v>
      </c>
      <c r="E96" s="37">
        <v>22.178999999999998</v>
      </c>
      <c r="F96" s="37">
        <v>60.53562089019816</v>
      </c>
      <c r="G96" s="37">
        <v>43</v>
      </c>
      <c r="H96" s="37">
        <v>2.7009025359516858</v>
      </c>
      <c r="I96" s="37">
        <v>50.82631882451286</v>
      </c>
      <c r="J96" s="10">
        <v>0</v>
      </c>
      <c r="K96" s="38">
        <v>0</v>
      </c>
      <c r="L96" s="38">
        <v>0</v>
      </c>
      <c r="M96" s="38">
        <v>0</v>
      </c>
      <c r="N96" s="38">
        <v>1</v>
      </c>
      <c r="O96" s="38">
        <v>0</v>
      </c>
      <c r="P96" s="38">
        <v>0</v>
      </c>
      <c r="Q96" s="38">
        <v>0</v>
      </c>
      <c r="R96" s="38">
        <v>0</v>
      </c>
      <c r="S96" s="38">
        <v>0</v>
      </c>
      <c r="T96" s="38">
        <v>0</v>
      </c>
      <c r="U96" s="29" t="str" cm="1">
        <f t="array" aca="1" ref="U96" ca="1">+fair_value_gap(OFFSET(T95,0,0,-1*$J$5,-1*$AA$1),OFFSET(E95,0,0,-1*$J$5,1),F96:T96,0)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6" s="9" t="str" cm="1">
        <f t="array" aca="1" ref="V96" ca="1">z_score_diff(OFFSET(U96,0,0,$J$5*-1,1),OFFSET(E96,0,0,$J$5*-1,1))</f>
        <v/>
      </c>
      <c r="W96" s="9" t="str">
        <f t="shared" ca="1" si="11"/>
        <v/>
      </c>
      <c r="X96" s="17">
        <f t="shared" ca="1" si="10"/>
        <v>-9.7866759104573136E-3</v>
      </c>
      <c r="Y96" s="13">
        <f t="shared" si="17"/>
        <v>0</v>
      </c>
      <c r="Z96" s="13">
        <f t="shared" si="17"/>
        <v>0</v>
      </c>
      <c r="AA96" t="str">
        <f t="shared" ca="1" si="12"/>
        <v/>
      </c>
      <c r="AB96" t="str">
        <f t="shared" ca="1" si="13"/>
        <v/>
      </c>
      <c r="AC96" s="24" t="str">
        <f t="shared" ca="1" si="14"/>
        <v/>
      </c>
      <c r="AD96" s="24" t="str">
        <f t="shared" ca="1" si="15"/>
        <v/>
      </c>
    </row>
    <row r="97" spans="3:30" x14ac:dyDescent="0.25">
      <c r="C97" s="6">
        <v>90</v>
      </c>
      <c r="D97" s="35">
        <v>42136</v>
      </c>
      <c r="E97" s="37">
        <v>22.123999999999999</v>
      </c>
      <c r="F97" s="37">
        <v>61.546069278461282</v>
      </c>
      <c r="G97" s="37">
        <v>43</v>
      </c>
      <c r="H97" s="37">
        <v>2.7562322065599929</v>
      </c>
      <c r="I97" s="37">
        <v>50.562052579198323</v>
      </c>
      <c r="J97" s="10">
        <v>0</v>
      </c>
      <c r="K97" s="38">
        <v>0</v>
      </c>
      <c r="L97" s="38">
        <v>0</v>
      </c>
      <c r="M97" s="38">
        <v>0</v>
      </c>
      <c r="N97" s="38">
        <v>1</v>
      </c>
      <c r="O97" s="38">
        <v>0</v>
      </c>
      <c r="P97" s="38">
        <v>0</v>
      </c>
      <c r="Q97" s="38">
        <v>0</v>
      </c>
      <c r="R97" s="38">
        <v>0</v>
      </c>
      <c r="S97" s="38">
        <v>0</v>
      </c>
      <c r="T97" s="38">
        <v>0</v>
      </c>
      <c r="U97" s="29" t="str" cm="1">
        <f t="array" aca="1" ref="U97" ca="1">+fair_value_gap(OFFSET(T96,0,0,-1*$J$5,-1*$AA$1),OFFSET(E96,0,0,-1*$J$5,1),F97:T97,0)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7" s="9" t="str" cm="1">
        <f t="array" aca="1" ref="V97" ca="1">z_score_diff(OFFSET(U97,0,0,$J$5*-1,1),OFFSET(E97,0,0,$J$5*-1,1))</f>
        <v/>
      </c>
      <c r="W97" s="9" t="str">
        <f t="shared" ca="1" si="11"/>
        <v/>
      </c>
      <c r="X97" s="17">
        <f t="shared" ca="1" si="10"/>
        <v>-7.3037727998161179E-3</v>
      </c>
      <c r="Y97" s="13">
        <f t="shared" si="17"/>
        <v>0</v>
      </c>
      <c r="Z97" s="13">
        <f t="shared" si="17"/>
        <v>0</v>
      </c>
      <c r="AA97" t="str">
        <f t="shared" ca="1" si="12"/>
        <v/>
      </c>
      <c r="AB97" t="str">
        <f t="shared" ca="1" si="13"/>
        <v/>
      </c>
      <c r="AC97" s="24" t="str">
        <f t="shared" ca="1" si="14"/>
        <v/>
      </c>
      <c r="AD97" s="24" t="str">
        <f t="shared" ca="1" si="15"/>
        <v/>
      </c>
    </row>
    <row r="98" spans="3:30" x14ac:dyDescent="0.25">
      <c r="C98" s="6">
        <v>91</v>
      </c>
      <c r="D98" s="35">
        <v>42137</v>
      </c>
      <c r="E98" s="37">
        <v>22.029</v>
      </c>
      <c r="F98" s="37">
        <v>60.709907867508477</v>
      </c>
      <c r="G98" s="37">
        <v>43.61</v>
      </c>
      <c r="H98" s="37">
        <v>2.7494760705953687</v>
      </c>
      <c r="I98" s="37">
        <v>50.262074540765447</v>
      </c>
      <c r="J98" s="10">
        <v>0</v>
      </c>
      <c r="K98" s="38">
        <v>0</v>
      </c>
      <c r="L98" s="38">
        <v>0</v>
      </c>
      <c r="M98" s="38">
        <v>0</v>
      </c>
      <c r="N98" s="38">
        <v>1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29" t="str" cm="1">
        <f t="array" aca="1" ref="U98" ca="1">+fair_value_gap(OFFSET(T97,0,0,-1*$J$5,-1*$AA$1),OFFSET(E97,0,0,-1*$J$5,1),F98:T98,0)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8" s="9" t="str" cm="1">
        <f t="array" aca="1" ref="V98" ca="1">z_score_diff(OFFSET(U98,0,0,$J$5*-1,1),OFFSET(E98,0,0,$J$5*-1,1))</f>
        <v/>
      </c>
      <c r="W98" s="9" t="str">
        <f t="shared" ca="1" si="11"/>
        <v/>
      </c>
      <c r="X98" s="17">
        <f t="shared" ca="1" si="10"/>
        <v>6.6959486483087801E-3</v>
      </c>
      <c r="Y98" s="13">
        <f t="shared" si="17"/>
        <v>0</v>
      </c>
      <c r="Z98" s="13">
        <f t="shared" si="17"/>
        <v>0</v>
      </c>
      <c r="AA98" t="str">
        <f t="shared" ca="1" si="12"/>
        <v/>
      </c>
      <c r="AB98" t="str">
        <f t="shared" ca="1" si="13"/>
        <v/>
      </c>
      <c r="AC98" s="24" t="str">
        <f t="shared" ca="1" si="14"/>
        <v/>
      </c>
      <c r="AD98" s="24" t="str">
        <f t="shared" ca="1" si="15"/>
        <v/>
      </c>
    </row>
    <row r="99" spans="3:30" x14ac:dyDescent="0.25">
      <c r="C99" s="6">
        <v>92</v>
      </c>
      <c r="D99" s="35">
        <v>42138</v>
      </c>
      <c r="E99" s="37">
        <v>21.829000000000001</v>
      </c>
      <c r="F99" s="37">
        <v>60.08098213567655</v>
      </c>
      <c r="G99" s="37">
        <v>43.61</v>
      </c>
      <c r="H99" s="37">
        <v>2.778078877159611</v>
      </c>
      <c r="I99" s="37">
        <v>50.045631125672664</v>
      </c>
      <c r="J99" s="10">
        <v>0</v>
      </c>
      <c r="K99" s="38">
        <v>0</v>
      </c>
      <c r="L99" s="38">
        <v>0</v>
      </c>
      <c r="M99" s="38">
        <v>0</v>
      </c>
      <c r="N99" s="38">
        <v>1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29" t="str" cm="1">
        <f t="array" aca="1" ref="U99" ca="1">+fair_value_gap(OFFSET(T98,0,0,-1*$J$5,-1*$AA$1),OFFSET(E98,0,0,-1*$J$5,1),F99:T99,0)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9" s="9" t="str" cm="1">
        <f t="array" aca="1" ref="V99" ca="1">z_score_diff(OFFSET(U99,0,0,$J$5*-1,1),OFFSET(E99,0,0,$J$5*-1,1))</f>
        <v/>
      </c>
      <c r="W99" s="9" t="str">
        <f t="shared" ca="1" si="11"/>
        <v/>
      </c>
      <c r="X99" s="17">
        <f t="shared" ca="1" si="10"/>
        <v>-4.1314785171834454E-3</v>
      </c>
      <c r="Y99" s="13">
        <f t="shared" si="17"/>
        <v>0</v>
      </c>
      <c r="Z99" s="13">
        <f t="shared" si="17"/>
        <v>0</v>
      </c>
      <c r="AA99" t="str">
        <f t="shared" ca="1" si="12"/>
        <v/>
      </c>
      <c r="AB99" t="str">
        <f t="shared" ca="1" si="13"/>
        <v/>
      </c>
      <c r="AC99" s="24" t="str">
        <f t="shared" ca="1" si="14"/>
        <v/>
      </c>
      <c r="AD99" s="24" t="str">
        <f t="shared" ca="1" si="15"/>
        <v/>
      </c>
    </row>
    <row r="100" spans="3:30" x14ac:dyDescent="0.25">
      <c r="C100" s="6">
        <v>93</v>
      </c>
      <c r="D100" s="35">
        <v>42139</v>
      </c>
      <c r="E100" s="37">
        <v>21.806000000000001</v>
      </c>
      <c r="F100" s="37">
        <v>60.144416281237206</v>
      </c>
      <c r="G100" s="37">
        <v>43.31</v>
      </c>
      <c r="H100" s="37">
        <v>2.7785762192200827</v>
      </c>
      <c r="I100" s="37">
        <v>49.779194648409941</v>
      </c>
      <c r="J100" s="10">
        <v>0</v>
      </c>
      <c r="K100" s="38">
        <v>0</v>
      </c>
      <c r="L100" s="38">
        <v>0</v>
      </c>
      <c r="M100" s="38">
        <v>0</v>
      </c>
      <c r="N100" s="38">
        <v>1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29" t="str" cm="1">
        <f t="array" aca="1" ref="U100" ca="1">+fair_value_gap(OFFSET(T99,0,0,-1*$J$5,-1*$AA$1),OFFSET(E99,0,0,-1*$J$5,1),F100:T100,0)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0" s="9" t="str" cm="1">
        <f t="array" aca="1" ref="V100" ca="1">z_score_diff(OFFSET(U100,0,0,$J$5*-1,1),OFFSET(E100,0,0,$J$5*-1,1))</f>
        <v/>
      </c>
      <c r="W100" s="9" t="str">
        <f t="shared" ca="1" si="11"/>
        <v/>
      </c>
      <c r="X100" s="17">
        <f t="shared" ca="1" si="10"/>
        <v>-1.0553122179706323E-3</v>
      </c>
      <c r="Y100" s="13">
        <f t="shared" si="17"/>
        <v>0</v>
      </c>
      <c r="Z100" s="13">
        <f t="shared" si="17"/>
        <v>0</v>
      </c>
      <c r="AA100" t="str">
        <f t="shared" ca="1" si="12"/>
        <v/>
      </c>
      <c r="AB100" t="str">
        <f t="shared" ca="1" si="13"/>
        <v/>
      </c>
      <c r="AC100" s="24" t="str">
        <f t="shared" ca="1" si="14"/>
        <v/>
      </c>
      <c r="AD100" s="24" t="str">
        <f t="shared" ca="1" si="15"/>
        <v/>
      </c>
    </row>
    <row r="101" spans="3:30" x14ac:dyDescent="0.25">
      <c r="C101" s="6">
        <v>94</v>
      </c>
      <c r="D101" s="35">
        <v>42142</v>
      </c>
      <c r="E101" s="37">
        <v>21.625</v>
      </c>
      <c r="F101" s="37">
        <v>60.330534781995198</v>
      </c>
      <c r="G101" s="37">
        <v>42.75</v>
      </c>
      <c r="H101" s="37">
        <v>2.8070763369549878</v>
      </c>
      <c r="I101" s="37">
        <v>50.179906871736982</v>
      </c>
      <c r="J101" s="10">
        <v>0</v>
      </c>
      <c r="K101" s="38">
        <v>0</v>
      </c>
      <c r="L101" s="38">
        <v>0</v>
      </c>
      <c r="M101" s="38">
        <v>0</v>
      </c>
      <c r="N101" s="38">
        <v>1</v>
      </c>
      <c r="O101" s="38">
        <v>0</v>
      </c>
      <c r="P101" s="38">
        <v>0</v>
      </c>
      <c r="Q101" s="38">
        <v>0</v>
      </c>
      <c r="R101" s="38">
        <v>0</v>
      </c>
      <c r="S101" s="38">
        <v>0</v>
      </c>
      <c r="T101" s="38">
        <v>0</v>
      </c>
      <c r="U101" s="29" t="str" cm="1">
        <f t="array" aca="1" ref="U101" ca="1">+fair_value_gap(OFFSET(T100,0,0,-1*$J$5,-1*$AA$1),OFFSET(E100,0,0,-1*$J$5,1),F101:T101,0)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1" s="9" t="str" cm="1">
        <f t="array" aca="1" ref="V101" ca="1">z_score_diff(OFFSET(U101,0,0,$J$5*-1,1),OFFSET(E101,0,0,$J$5*-1,1))</f>
        <v/>
      </c>
      <c r="W101" s="9" t="str">
        <f t="shared" ca="1" si="11"/>
        <v/>
      </c>
      <c r="X101" s="17">
        <f t="shared" ca="1" si="10"/>
        <v>7.6010961385855396E-3</v>
      </c>
      <c r="Y101" s="13">
        <f t="shared" si="17"/>
        <v>0</v>
      </c>
      <c r="Z101" s="13">
        <f t="shared" si="17"/>
        <v>0</v>
      </c>
      <c r="AA101" t="str">
        <f t="shared" ca="1" si="12"/>
        <v/>
      </c>
      <c r="AB101" t="str">
        <f t="shared" ca="1" si="13"/>
        <v/>
      </c>
      <c r="AC101" s="24" t="str">
        <f t="shared" ca="1" si="14"/>
        <v/>
      </c>
      <c r="AD101" s="24" t="str">
        <f t="shared" ca="1" si="15"/>
        <v/>
      </c>
    </row>
    <row r="102" spans="3:30" x14ac:dyDescent="0.25">
      <c r="C102" s="6">
        <v>95</v>
      </c>
      <c r="D102" s="35">
        <v>42143</v>
      </c>
      <c r="E102" s="37">
        <v>21.675999999999998</v>
      </c>
      <c r="F102" s="37">
        <v>59.253693292363842</v>
      </c>
      <c r="G102" s="37">
        <v>42.25</v>
      </c>
      <c r="H102" s="37">
        <v>2.7954074809576843</v>
      </c>
      <c r="I102" s="37">
        <v>50.451514216324284</v>
      </c>
      <c r="J102" s="10">
        <v>0</v>
      </c>
      <c r="K102" s="38">
        <v>0</v>
      </c>
      <c r="L102" s="38">
        <v>0</v>
      </c>
      <c r="M102" s="38">
        <v>0</v>
      </c>
      <c r="N102" s="38">
        <v>1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29" t="str" cm="1">
        <f t="array" aca="1" ref="U102" ca="1">+fair_value_gap(OFFSET(T101,0,0,-1*$J$5,-1*$AA$1),OFFSET(E101,0,0,-1*$J$5,1),F102:T102,0)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2" s="9" t="str" cm="1">
        <f t="array" aca="1" ref="V102" ca="1">z_score_diff(OFFSET(U102,0,0,$J$5*-1,1),OFFSET(E102,0,0,$J$5*-1,1))</f>
        <v/>
      </c>
      <c r="W102" s="9" t="str">
        <f t="shared" ca="1" si="11"/>
        <v/>
      </c>
      <c r="X102" s="17">
        <f t="shared" ca="1" si="10"/>
        <v>1.2333665436329612E-2</v>
      </c>
      <c r="Y102" s="13">
        <f t="shared" si="17"/>
        <v>0</v>
      </c>
      <c r="Z102" s="13">
        <f t="shared" si="17"/>
        <v>0</v>
      </c>
      <c r="AA102" t="str">
        <f t="shared" ca="1" si="12"/>
        <v/>
      </c>
      <c r="AB102" t="str">
        <f t="shared" ca="1" si="13"/>
        <v/>
      </c>
      <c r="AC102" s="24" t="str">
        <f t="shared" ca="1" si="14"/>
        <v/>
      </c>
      <c r="AD102" s="24" t="str">
        <f t="shared" ca="1" si="15"/>
        <v/>
      </c>
    </row>
    <row r="103" spans="3:30" x14ac:dyDescent="0.25">
      <c r="C103" s="6">
        <v>96</v>
      </c>
      <c r="D103" s="35">
        <v>42144</v>
      </c>
      <c r="E103" s="37">
        <v>21.788</v>
      </c>
      <c r="F103" s="37">
        <v>60.340991329129011</v>
      </c>
      <c r="G103" s="37">
        <v>42.25</v>
      </c>
      <c r="H103" s="37">
        <v>2.7860061401813292</v>
      </c>
      <c r="I103" s="37">
        <v>50.433993050717184</v>
      </c>
      <c r="J103" s="10">
        <v>0</v>
      </c>
      <c r="K103" s="38">
        <v>0</v>
      </c>
      <c r="L103" s="38">
        <v>0</v>
      </c>
      <c r="M103" s="38">
        <v>0</v>
      </c>
      <c r="N103" s="38">
        <v>1</v>
      </c>
      <c r="O103" s="38">
        <v>0</v>
      </c>
      <c r="P103" s="38">
        <v>0</v>
      </c>
      <c r="Q103" s="38">
        <v>0</v>
      </c>
      <c r="R103" s="38">
        <v>0</v>
      </c>
      <c r="S103" s="38">
        <v>0</v>
      </c>
      <c r="T103" s="38">
        <v>0</v>
      </c>
      <c r="U103" s="29" t="str" cm="1">
        <f t="array" aca="1" ref="U103" ca="1">+fair_value_gap(OFFSET(T102,0,0,-1*$J$5,-1*$AA$1),OFFSET(E102,0,0,-1*$J$5,1),F103:T103,0)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3" s="9" t="str" cm="1">
        <f t="array" aca="1" ref="V103" ca="1">z_score_diff(OFFSET(U103,0,0,$J$5*-1,1),OFFSET(E103,0,0,$J$5*-1,1))</f>
        <v/>
      </c>
      <c r="W103" s="9" t="str">
        <f t="shared" ca="1" si="11"/>
        <v/>
      </c>
      <c r="X103" s="17">
        <f t="shared" ca="1" si="10"/>
        <v>1.6967422042379098E-3</v>
      </c>
      <c r="Y103" s="13">
        <f t="shared" si="17"/>
        <v>0</v>
      </c>
      <c r="Z103" s="13">
        <f t="shared" si="17"/>
        <v>0</v>
      </c>
      <c r="AA103" t="str">
        <f t="shared" ca="1" si="12"/>
        <v/>
      </c>
      <c r="AB103" t="str">
        <f t="shared" ca="1" si="13"/>
        <v/>
      </c>
      <c r="AC103" s="24" t="str">
        <f t="shared" ca="1" si="14"/>
        <v/>
      </c>
      <c r="AD103" s="24" t="str">
        <f t="shared" ca="1" si="15"/>
        <v/>
      </c>
    </row>
    <row r="104" spans="3:30" x14ac:dyDescent="0.25">
      <c r="C104" s="6">
        <v>97</v>
      </c>
      <c r="D104" s="35">
        <v>42145</v>
      </c>
      <c r="E104" s="37">
        <v>21.8</v>
      </c>
      <c r="F104" s="37">
        <v>61.417555947302546</v>
      </c>
      <c r="G104" s="37">
        <v>42.5</v>
      </c>
      <c r="H104" s="37">
        <v>2.8125042052993496</v>
      </c>
      <c r="I104" s="37">
        <v>50.373879147546567</v>
      </c>
      <c r="J104" s="10">
        <v>0</v>
      </c>
      <c r="K104" s="38">
        <v>0</v>
      </c>
      <c r="L104" s="38">
        <v>0</v>
      </c>
      <c r="M104" s="38">
        <v>0</v>
      </c>
      <c r="N104" s="38">
        <v>1</v>
      </c>
      <c r="O104" s="38">
        <v>0</v>
      </c>
      <c r="P104" s="38">
        <v>0</v>
      </c>
      <c r="Q104" s="38">
        <v>0</v>
      </c>
      <c r="R104" s="38">
        <v>0</v>
      </c>
      <c r="S104" s="38">
        <v>0</v>
      </c>
      <c r="T104" s="38">
        <v>0</v>
      </c>
      <c r="U104" s="29" t="str" cm="1">
        <f t="array" aca="1" ref="U104" ca="1">+fair_value_gap(OFFSET(T103,0,0,-1*$J$5,-1*$AA$1),OFFSET(E103,0,0,-1*$J$5,1),F104:T104,0)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4" s="9" t="str" cm="1">
        <f t="array" aca="1" ref="V104" ca="1">z_score_diff(OFFSET(U104,0,0,$J$5*-1,1),OFFSET(E104,0,0,$J$5*-1,1))</f>
        <v/>
      </c>
      <c r="W104" s="9" t="str">
        <f t="shared" ca="1" si="11"/>
        <v/>
      </c>
      <c r="X104" s="17">
        <f t="shared" ca="1" si="10"/>
        <v>3.5258868407263E-3</v>
      </c>
      <c r="Y104" s="13">
        <f t="shared" si="17"/>
        <v>0</v>
      </c>
      <c r="Z104" s="13">
        <f t="shared" si="17"/>
        <v>0</v>
      </c>
      <c r="AA104" t="str">
        <f t="shared" ca="1" si="12"/>
        <v/>
      </c>
      <c r="AB104" t="str">
        <f t="shared" ca="1" si="13"/>
        <v/>
      </c>
      <c r="AC104" s="24" t="str">
        <f t="shared" ca="1" si="14"/>
        <v/>
      </c>
      <c r="AD104" s="24" t="str">
        <f t="shared" ca="1" si="15"/>
        <v/>
      </c>
    </row>
    <row r="105" spans="3:30" x14ac:dyDescent="0.25">
      <c r="C105" s="6">
        <v>98</v>
      </c>
      <c r="D105" s="35">
        <v>42146</v>
      </c>
      <c r="E105" s="37">
        <v>21.725000000000001</v>
      </c>
      <c r="F105" s="37">
        <v>61.146077018345643</v>
      </c>
      <c r="G105" s="37">
        <v>41.88</v>
      </c>
      <c r="H105" s="37">
        <v>2.7748404806222884</v>
      </c>
      <c r="I105" s="37">
        <v>50.970153037205492</v>
      </c>
      <c r="J105" s="10">
        <v>0</v>
      </c>
      <c r="K105" s="38">
        <v>0</v>
      </c>
      <c r="L105" s="38">
        <v>0</v>
      </c>
      <c r="M105" s="38">
        <v>0</v>
      </c>
      <c r="N105" s="38">
        <v>1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29" t="str" cm="1">
        <f t="array" aca="1" ref="U105" ca="1">+fair_value_gap(OFFSET(T104,0,0,-1*$J$5,-1*$AA$1),OFFSET(E104,0,0,-1*$J$5,1),F105:T105,0)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5" s="9" t="str" cm="1">
        <f t="array" aca="1" ref="V105" ca="1">z_score_diff(OFFSET(U105,0,0,$J$5*-1,1),OFFSET(E105,0,0,$J$5*-1,1))</f>
        <v/>
      </c>
      <c r="W105" s="9" t="str">
        <f t="shared" ca="1" si="11"/>
        <v/>
      </c>
      <c r="X105" s="17">
        <f t="shared" ca="1" si="10"/>
        <v>1.5257010730739215E-2</v>
      </c>
      <c r="Y105" s="13">
        <f t="shared" ref="Y105:Z120" si="18">+Y104</f>
        <v>0</v>
      </c>
      <c r="Z105" s="13">
        <f t="shared" si="18"/>
        <v>0</v>
      </c>
      <c r="AA105" t="str">
        <f t="shared" ca="1" si="12"/>
        <v/>
      </c>
      <c r="AB105" t="str">
        <f t="shared" ca="1" si="13"/>
        <v/>
      </c>
      <c r="AC105" s="24" t="str">
        <f t="shared" ca="1" si="14"/>
        <v/>
      </c>
      <c r="AD105" s="24" t="str">
        <f t="shared" ca="1" si="15"/>
        <v/>
      </c>
    </row>
    <row r="106" spans="3:30" x14ac:dyDescent="0.25">
      <c r="C106" s="6">
        <v>99</v>
      </c>
      <c r="D106" s="35">
        <v>42149</v>
      </c>
      <c r="E106" s="37">
        <v>21.725000000000001</v>
      </c>
      <c r="F106" s="37">
        <v>61.470532120760616</v>
      </c>
      <c r="G106" s="37">
        <v>41.88</v>
      </c>
      <c r="H106" s="37">
        <v>2.7846169221124932</v>
      </c>
      <c r="I106" s="37">
        <v>51.149733349081032</v>
      </c>
      <c r="J106" s="10">
        <v>0</v>
      </c>
      <c r="K106" s="38">
        <v>0</v>
      </c>
      <c r="L106" s="38">
        <v>0</v>
      </c>
      <c r="M106" s="38">
        <v>0</v>
      </c>
      <c r="N106" s="38">
        <v>1</v>
      </c>
      <c r="O106" s="38">
        <v>0</v>
      </c>
      <c r="P106" s="38">
        <v>0</v>
      </c>
      <c r="Q106" s="38">
        <v>0</v>
      </c>
      <c r="R106" s="38">
        <v>0</v>
      </c>
      <c r="S106" s="38">
        <v>0</v>
      </c>
      <c r="T106" s="38">
        <v>0</v>
      </c>
      <c r="U106" s="29" t="str" cm="1">
        <f t="array" aca="1" ref="U106" ca="1">+fair_value_gap(OFFSET(T105,0,0,-1*$J$5,-1*$AA$1),OFFSET(E105,0,0,-1*$J$5,1),F106:T106,0)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6" s="9" t="str" cm="1">
        <f t="array" aca="1" ref="V106" ca="1">z_score_diff(OFFSET(U106,0,0,$J$5*-1,1),OFFSET(E106,0,0,$J$5*-1,1))</f>
        <v/>
      </c>
      <c r="W106" s="9" t="str">
        <f t="shared" ca="1" si="11"/>
        <v/>
      </c>
      <c r="X106" s="17">
        <f t="shared" ca="1" si="10"/>
        <v>3.05972877095383E-2</v>
      </c>
      <c r="Y106" s="13">
        <f t="shared" si="18"/>
        <v>0</v>
      </c>
      <c r="Z106" s="13">
        <f t="shared" si="18"/>
        <v>0</v>
      </c>
      <c r="AA106" t="str">
        <f t="shared" ca="1" si="12"/>
        <v/>
      </c>
      <c r="AB106" t="str">
        <f t="shared" ca="1" si="13"/>
        <v/>
      </c>
      <c r="AC106" s="24" t="str">
        <f t="shared" ca="1" si="14"/>
        <v/>
      </c>
      <c r="AD106" s="24" t="str">
        <f t="shared" ca="1" si="15"/>
        <v/>
      </c>
    </row>
    <row r="107" spans="3:30" x14ac:dyDescent="0.25">
      <c r="C107" s="6">
        <v>100</v>
      </c>
      <c r="D107" s="35">
        <v>42150</v>
      </c>
      <c r="E107" s="37">
        <v>21.725000000000001</v>
      </c>
      <c r="F107" s="37">
        <v>60.443238187803153</v>
      </c>
      <c r="G107" s="37">
        <v>41.88</v>
      </c>
      <c r="H107" s="37">
        <v>2.7562556734304651</v>
      </c>
      <c r="I107" s="37">
        <v>51.576640595629968</v>
      </c>
      <c r="J107" s="10">
        <v>0</v>
      </c>
      <c r="K107" s="38">
        <v>0</v>
      </c>
      <c r="L107" s="38">
        <v>0</v>
      </c>
      <c r="M107" s="38">
        <v>0</v>
      </c>
      <c r="N107" s="38">
        <v>1</v>
      </c>
      <c r="O107" s="38">
        <v>0</v>
      </c>
      <c r="P107" s="38">
        <v>0</v>
      </c>
      <c r="Q107" s="38">
        <v>0</v>
      </c>
      <c r="R107" s="38">
        <v>0</v>
      </c>
      <c r="S107" s="38">
        <v>0</v>
      </c>
      <c r="T107" s="38">
        <v>0</v>
      </c>
      <c r="U107" s="29" t="str" cm="1">
        <f t="array" aca="1" ref="U107" ca="1">+fair_value_gap(OFFSET(T106,0,0,-1*$J$5,-1*$AA$1),OFFSET(E106,0,0,-1*$J$5,1),F107:T107,0)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7" s="9" t="str" cm="1">
        <f t="array" aca="1" ref="V107" ca="1">z_score_diff(OFFSET(U107,0,0,$J$5*-1,1),OFFSET(E107,0,0,$J$5*-1,1))</f>
        <v/>
      </c>
      <c r="W107" s="9" t="str">
        <f t="shared" ca="1" si="11"/>
        <v/>
      </c>
      <c r="X107" s="17">
        <f t="shared" ca="1" si="10"/>
        <v>2.131325268913634E-2</v>
      </c>
      <c r="Y107" s="13">
        <f t="shared" si="18"/>
        <v>0</v>
      </c>
      <c r="Z107" s="13">
        <f t="shared" si="18"/>
        <v>0</v>
      </c>
      <c r="AA107" t="str">
        <f t="shared" ca="1" si="12"/>
        <v/>
      </c>
      <c r="AB107" t="str">
        <f t="shared" ca="1" si="13"/>
        <v/>
      </c>
      <c r="AC107" s="24" t="str">
        <f t="shared" ca="1" si="14"/>
        <v/>
      </c>
      <c r="AD107" s="24" t="str">
        <f t="shared" ca="1" si="15"/>
        <v/>
      </c>
    </row>
    <row r="108" spans="3:30" x14ac:dyDescent="0.25">
      <c r="C108" s="6">
        <v>101</v>
      </c>
      <c r="D108" s="35">
        <v>42151</v>
      </c>
      <c r="E108" s="37">
        <v>21.643000000000001</v>
      </c>
      <c r="F108" s="37">
        <v>58.926031457097515</v>
      </c>
      <c r="G108" s="37">
        <v>41.9</v>
      </c>
      <c r="H108" s="37">
        <v>2.7505522600355827</v>
      </c>
      <c r="I108" s="37">
        <v>51.681477449953583</v>
      </c>
      <c r="J108" s="10">
        <v>0</v>
      </c>
      <c r="K108" s="38">
        <v>0</v>
      </c>
      <c r="L108" s="38">
        <v>0</v>
      </c>
      <c r="M108" s="38">
        <v>0</v>
      </c>
      <c r="N108" s="38">
        <v>1</v>
      </c>
      <c r="O108" s="38">
        <v>0</v>
      </c>
      <c r="P108" s="38">
        <v>0</v>
      </c>
      <c r="Q108" s="38">
        <v>0</v>
      </c>
      <c r="R108" s="38">
        <v>0</v>
      </c>
      <c r="S108" s="38">
        <v>0</v>
      </c>
      <c r="T108" s="38">
        <v>0</v>
      </c>
      <c r="U108" s="29" t="str" cm="1">
        <f t="array" aca="1" ref="U108" ca="1">+fair_value_gap(OFFSET(T107,0,0,-1*$J$5,-1*$AA$1),OFFSET(E107,0,0,-1*$J$5,1),F108:T108,0)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8" s="9" t="str" cm="1">
        <f t="array" aca="1" ref="V108" ca="1">z_score_diff(OFFSET(U108,0,0,$J$5*-1,1),OFFSET(E108,0,0,$J$5*-1,1))</f>
        <v/>
      </c>
      <c r="W108" s="9" t="str">
        <f t="shared" ca="1" si="11"/>
        <v/>
      </c>
      <c r="X108" s="17">
        <f t="shared" ca="1" si="10"/>
        <v>1.9899561063767508E-2</v>
      </c>
      <c r="Y108" s="13">
        <f t="shared" si="18"/>
        <v>0</v>
      </c>
      <c r="Z108" s="13">
        <f t="shared" si="18"/>
        <v>0</v>
      </c>
      <c r="AA108" t="str">
        <f t="shared" ca="1" si="12"/>
        <v/>
      </c>
      <c r="AB108" t="str">
        <f t="shared" ca="1" si="13"/>
        <v/>
      </c>
      <c r="AC108" s="24" t="str">
        <f t="shared" ca="1" si="14"/>
        <v/>
      </c>
      <c r="AD108" s="24" t="str">
        <f t="shared" ca="1" si="15"/>
        <v/>
      </c>
    </row>
    <row r="109" spans="3:30" x14ac:dyDescent="0.25">
      <c r="C109" s="6">
        <v>102</v>
      </c>
      <c r="D109" s="35">
        <v>42152</v>
      </c>
      <c r="E109" s="37">
        <v>21.64</v>
      </c>
      <c r="F109" s="37">
        <v>59.030857038906703</v>
      </c>
      <c r="G109" s="37">
        <v>41.89</v>
      </c>
      <c r="H109" s="37">
        <v>2.786911340018646</v>
      </c>
      <c r="I109" s="37">
        <v>51.481456215749141</v>
      </c>
      <c r="J109" s="10">
        <v>0</v>
      </c>
      <c r="K109" s="38">
        <v>0</v>
      </c>
      <c r="L109" s="38">
        <v>0</v>
      </c>
      <c r="M109" s="38">
        <v>0</v>
      </c>
      <c r="N109" s="38">
        <v>1</v>
      </c>
      <c r="O109" s="38">
        <v>0</v>
      </c>
      <c r="P109" s="38">
        <v>0</v>
      </c>
      <c r="Q109" s="38">
        <v>0</v>
      </c>
      <c r="R109" s="38">
        <v>0</v>
      </c>
      <c r="S109" s="38">
        <v>0</v>
      </c>
      <c r="T109" s="38">
        <v>0</v>
      </c>
      <c r="U109" s="29" t="str" cm="1">
        <f t="array" aca="1" ref="U109" ca="1">+fair_value_gap(OFFSET(T108,0,0,-1*$J$5,-1*$AA$1),OFFSET(E108,0,0,-1*$J$5,1),F109:T109,0)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9" s="9" t="str" cm="1">
        <f t="array" aca="1" ref="V109" ca="1">z_score_diff(OFFSET(U109,0,0,$J$5*-1,1),OFFSET(E109,0,0,$J$5*-1,1))</f>
        <v/>
      </c>
      <c r="W109" s="9" t="str">
        <f t="shared" ca="1" si="11"/>
        <v/>
      </c>
      <c r="X109" s="17">
        <f t="shared" ca="1" si="10"/>
        <v>1.8497002042708086E-2</v>
      </c>
      <c r="Y109" s="13">
        <f t="shared" si="18"/>
        <v>0</v>
      </c>
      <c r="Z109" s="13">
        <f t="shared" si="18"/>
        <v>0</v>
      </c>
      <c r="AA109" t="str">
        <f t="shared" ca="1" si="12"/>
        <v/>
      </c>
      <c r="AB109" t="str">
        <f t="shared" ca="1" si="13"/>
        <v/>
      </c>
      <c r="AC109" s="24" t="str">
        <f t="shared" ca="1" si="14"/>
        <v/>
      </c>
      <c r="AD109" s="24" t="str">
        <f t="shared" ca="1" si="15"/>
        <v/>
      </c>
    </row>
    <row r="110" spans="3:30" x14ac:dyDescent="0.25">
      <c r="C110" s="6">
        <v>103</v>
      </c>
      <c r="D110" s="35">
        <v>42153</v>
      </c>
      <c r="E110" s="37">
        <v>22.004999999999999</v>
      </c>
      <c r="F110" s="37">
        <v>61.519303519434217</v>
      </c>
      <c r="G110" s="37">
        <v>41.21</v>
      </c>
      <c r="H110" s="37">
        <v>2.7337878754873981</v>
      </c>
      <c r="I110" s="37">
        <v>51.82579272587332</v>
      </c>
      <c r="J110" s="10">
        <v>0</v>
      </c>
      <c r="K110" s="38">
        <v>0</v>
      </c>
      <c r="L110" s="38">
        <v>0</v>
      </c>
      <c r="M110" s="38">
        <v>0</v>
      </c>
      <c r="N110" s="38">
        <v>1</v>
      </c>
      <c r="O110" s="38">
        <v>0</v>
      </c>
      <c r="P110" s="38">
        <v>0</v>
      </c>
      <c r="Q110" s="38">
        <v>0</v>
      </c>
      <c r="R110" s="38">
        <v>0</v>
      </c>
      <c r="S110" s="38">
        <v>0</v>
      </c>
      <c r="T110" s="38">
        <v>0</v>
      </c>
      <c r="U110" s="29" t="str" cm="1">
        <f t="array" aca="1" ref="U110" ca="1">+fair_value_gap(OFFSET(T109,0,0,-1*$J$5,-1*$AA$1),OFFSET(E109,0,0,-1*$J$5,1),F110:T110,0)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0" s="9" t="str" cm="1">
        <f t="array" aca="1" ref="V110" ca="1">z_score_diff(OFFSET(U110,0,0,$J$5*-1,1),OFFSET(E110,0,0,$J$5*-1,1))</f>
        <v/>
      </c>
      <c r="W110" s="9" t="str">
        <f t="shared" ca="1" si="11"/>
        <v/>
      </c>
      <c r="X110" s="17">
        <f t="shared" ca="1" si="10"/>
        <v>2.5416434505713607E-3</v>
      </c>
      <c r="Y110" s="13">
        <f t="shared" si="18"/>
        <v>0</v>
      </c>
      <c r="Z110" s="13">
        <f t="shared" si="18"/>
        <v>0</v>
      </c>
      <c r="AA110" t="str">
        <f t="shared" ca="1" si="12"/>
        <v/>
      </c>
      <c r="AB110" t="str">
        <f t="shared" ca="1" si="13"/>
        <v/>
      </c>
      <c r="AC110" s="24" t="str">
        <f t="shared" ca="1" si="14"/>
        <v/>
      </c>
      <c r="AD110" s="24" t="str">
        <f t="shared" ca="1" si="15"/>
        <v/>
      </c>
    </row>
    <row r="111" spans="3:30" x14ac:dyDescent="0.25">
      <c r="C111" s="6">
        <v>104</v>
      </c>
      <c r="D111" s="35">
        <v>42156</v>
      </c>
      <c r="E111" s="37">
        <v>21.827000000000002</v>
      </c>
      <c r="F111" s="37">
        <v>61.240883241595242</v>
      </c>
      <c r="G111" s="37">
        <v>40.909999999999997</v>
      </c>
      <c r="H111" s="37">
        <v>2.7640094567826856</v>
      </c>
      <c r="I111" s="37">
        <v>51.847997736214182</v>
      </c>
      <c r="J111" s="10">
        <v>0</v>
      </c>
      <c r="K111" s="38">
        <v>0</v>
      </c>
      <c r="L111" s="38">
        <v>0</v>
      </c>
      <c r="M111" s="38">
        <v>0</v>
      </c>
      <c r="N111" s="38">
        <v>0</v>
      </c>
      <c r="O111" s="38">
        <v>1</v>
      </c>
      <c r="P111" s="38">
        <v>0</v>
      </c>
      <c r="Q111" s="38">
        <v>0</v>
      </c>
      <c r="R111" s="38">
        <v>0</v>
      </c>
      <c r="S111" s="38">
        <v>0</v>
      </c>
      <c r="T111" s="38">
        <v>0</v>
      </c>
      <c r="U111" s="29" t="str" cm="1">
        <f t="array" aca="1" ref="U111" ca="1">+fair_value_gap(OFFSET(T110,0,0,-1*$J$5,-1*$AA$1),OFFSET(E110,0,0,-1*$J$5,1),F111:T111,0)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1" s="9" t="str" cm="1">
        <f t="array" aca="1" ref="V111" ca="1">z_score_diff(OFFSET(U111,0,0,$J$5*-1,1),OFFSET(E111,0,0,$J$5*-1,1))</f>
        <v/>
      </c>
      <c r="W111" s="9" t="str">
        <f t="shared" ca="1" si="11"/>
        <v/>
      </c>
      <c r="X111" s="17">
        <f t="shared" ca="1" si="10"/>
        <v>5.8471684567400969E-3</v>
      </c>
      <c r="Y111" s="13">
        <f t="shared" si="18"/>
        <v>0</v>
      </c>
      <c r="Z111" s="13">
        <f t="shared" si="18"/>
        <v>0</v>
      </c>
      <c r="AA111" t="str">
        <f t="shared" ca="1" si="12"/>
        <v/>
      </c>
      <c r="AB111" t="str">
        <f t="shared" ca="1" si="13"/>
        <v/>
      </c>
      <c r="AC111" s="24" t="str">
        <f t="shared" ca="1" si="14"/>
        <v/>
      </c>
      <c r="AD111" s="24" t="str">
        <f t="shared" ca="1" si="15"/>
        <v/>
      </c>
    </row>
    <row r="112" spans="3:30" x14ac:dyDescent="0.25">
      <c r="C112" s="6">
        <v>105</v>
      </c>
      <c r="D112" s="35">
        <v>42157</v>
      </c>
      <c r="E112" s="37">
        <v>21.812999999999999</v>
      </c>
      <c r="F112" s="37">
        <v>60.723675973456878</v>
      </c>
      <c r="G112" s="37">
        <v>40.520000000000003</v>
      </c>
      <c r="H112" s="37">
        <v>2.740167057182207</v>
      </c>
      <c r="I112" s="37">
        <v>51.556994401616912</v>
      </c>
      <c r="J112" s="10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1</v>
      </c>
      <c r="P112" s="38">
        <v>0</v>
      </c>
      <c r="Q112" s="38">
        <v>0</v>
      </c>
      <c r="R112" s="38">
        <v>0</v>
      </c>
      <c r="S112" s="38">
        <v>0</v>
      </c>
      <c r="T112" s="38">
        <v>0</v>
      </c>
      <c r="U112" s="29" t="str" cm="1">
        <f t="array" aca="1" ref="U112" ca="1">+fair_value_gap(OFFSET(T111,0,0,-1*$J$5,-1*$AA$1),OFFSET(E111,0,0,-1*$J$5,1),F112:T112,0)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2" s="9" t="str" cm="1">
        <f t="array" aca="1" ref="V112" ca="1">z_score_diff(OFFSET(U112,0,0,$J$5*-1,1),OFFSET(E112,0,0,$J$5*-1,1))</f>
        <v/>
      </c>
      <c r="W112" s="9" t="str">
        <f t="shared" ca="1" si="11"/>
        <v/>
      </c>
      <c r="X112" s="17">
        <f t="shared" ca="1" si="10"/>
        <v>1.5015297119995653E-2</v>
      </c>
      <c r="Y112" s="13">
        <f t="shared" si="18"/>
        <v>0</v>
      </c>
      <c r="Z112" s="13">
        <f t="shared" si="18"/>
        <v>0</v>
      </c>
      <c r="AA112" t="str">
        <f t="shared" ca="1" si="12"/>
        <v/>
      </c>
      <c r="AB112" t="str">
        <f t="shared" ca="1" si="13"/>
        <v/>
      </c>
      <c r="AC112" s="24" t="str">
        <f t="shared" ca="1" si="14"/>
        <v/>
      </c>
      <c r="AD112" s="24" t="str">
        <f t="shared" ca="1" si="15"/>
        <v/>
      </c>
    </row>
    <row r="113" spans="3:30" x14ac:dyDescent="0.25">
      <c r="C113" s="6">
        <v>106</v>
      </c>
      <c r="D113" s="35">
        <v>42158</v>
      </c>
      <c r="E113" s="37">
        <v>21.841000000000001</v>
      </c>
      <c r="F113" s="37">
        <v>58.815097438220697</v>
      </c>
      <c r="G113" s="37">
        <v>40.81</v>
      </c>
      <c r="H113" s="37">
        <v>2.6722069243783135</v>
      </c>
      <c r="I113" s="37">
        <v>50.656902788297501</v>
      </c>
      <c r="J113" s="10">
        <v>0</v>
      </c>
      <c r="K113" s="38">
        <v>0</v>
      </c>
      <c r="L113" s="38">
        <v>0</v>
      </c>
      <c r="M113" s="38">
        <v>0</v>
      </c>
      <c r="N113" s="38">
        <v>0</v>
      </c>
      <c r="O113" s="38">
        <v>1</v>
      </c>
      <c r="P113" s="38">
        <v>0</v>
      </c>
      <c r="Q113" s="38">
        <v>0</v>
      </c>
      <c r="R113" s="38">
        <v>0</v>
      </c>
      <c r="S113" s="38">
        <v>0</v>
      </c>
      <c r="T113" s="38">
        <v>0</v>
      </c>
      <c r="U113" s="29" t="str" cm="1">
        <f t="array" aca="1" ref="U113" ca="1">+fair_value_gap(OFFSET(T112,0,0,-1*$J$5,-1*$AA$1),OFFSET(E112,0,0,-1*$J$5,1),F113:T113,0)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3" s="9" t="str" cm="1">
        <f t="array" aca="1" ref="V113" ca="1">z_score_diff(OFFSET(U113,0,0,$J$5*-1,1),OFFSET(E113,0,0,$J$5*-1,1))</f>
        <v/>
      </c>
      <c r="W113" s="9" t="str">
        <f t="shared" ca="1" si="11"/>
        <v/>
      </c>
      <c r="X113" s="17">
        <f t="shared" ca="1" si="10"/>
        <v>2.191818938828859E-2</v>
      </c>
      <c r="Y113" s="13">
        <f t="shared" si="18"/>
        <v>0</v>
      </c>
      <c r="Z113" s="13">
        <f t="shared" si="18"/>
        <v>0</v>
      </c>
      <c r="AA113" t="str">
        <f t="shared" ca="1" si="12"/>
        <v/>
      </c>
      <c r="AB113" t="str">
        <f t="shared" ca="1" si="13"/>
        <v/>
      </c>
      <c r="AC113" s="24" t="str">
        <f t="shared" ca="1" si="14"/>
        <v/>
      </c>
      <c r="AD113" s="24" t="str">
        <f t="shared" ca="1" si="15"/>
        <v/>
      </c>
    </row>
    <row r="114" spans="3:30" x14ac:dyDescent="0.25">
      <c r="C114" s="6">
        <v>107</v>
      </c>
      <c r="D114" s="35">
        <v>42159</v>
      </c>
      <c r="E114" s="37">
        <v>21.574999999999999</v>
      </c>
      <c r="F114" s="37">
        <v>57.473203740375986</v>
      </c>
      <c r="G114" s="37">
        <v>40.6</v>
      </c>
      <c r="H114" s="37">
        <v>2.6818460336207584</v>
      </c>
      <c r="I114" s="37">
        <v>50.884032359758095</v>
      </c>
      <c r="J114" s="10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1</v>
      </c>
      <c r="P114" s="38">
        <v>0</v>
      </c>
      <c r="Q114" s="38">
        <v>0</v>
      </c>
      <c r="R114" s="38">
        <v>0</v>
      </c>
      <c r="S114" s="38">
        <v>0</v>
      </c>
      <c r="T114" s="38">
        <v>0</v>
      </c>
      <c r="U114" s="29" t="str" cm="1">
        <f t="array" aca="1" ref="U114" ca="1">+fair_value_gap(OFFSET(T113,0,0,-1*$J$5,-1*$AA$1),OFFSET(E113,0,0,-1*$J$5,1),F114:T114,0)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4" s="9" t="str" cm="1">
        <f t="array" aca="1" ref="V114" ca="1">z_score_diff(OFFSET(U114,0,0,$J$5*-1,1),OFFSET(E114,0,0,$J$5*-1,1))</f>
        <v/>
      </c>
      <c r="W114" s="9" t="str">
        <f t="shared" ca="1" si="11"/>
        <v/>
      </c>
      <c r="X114" s="17">
        <f t="shared" ca="1" si="10"/>
        <v>3.6409027191427384E-2</v>
      </c>
      <c r="Y114" s="13">
        <f t="shared" si="18"/>
        <v>0</v>
      </c>
      <c r="Z114" s="13">
        <f t="shared" si="18"/>
        <v>0</v>
      </c>
      <c r="AA114" t="str">
        <f t="shared" ca="1" si="12"/>
        <v/>
      </c>
      <c r="AB114" t="str">
        <f t="shared" ca="1" si="13"/>
        <v/>
      </c>
      <c r="AC114" s="24" t="str">
        <f t="shared" ca="1" si="14"/>
        <v/>
      </c>
      <c r="AD114" s="24" t="str">
        <f t="shared" ca="1" si="15"/>
        <v/>
      </c>
    </row>
    <row r="115" spans="3:30" x14ac:dyDescent="0.25">
      <c r="C115" s="6">
        <v>108</v>
      </c>
      <c r="D115" s="35">
        <v>42160</v>
      </c>
      <c r="E115" s="37">
        <v>21.748000000000001</v>
      </c>
      <c r="F115" s="37">
        <v>59.268140771706378</v>
      </c>
      <c r="G115" s="37">
        <v>40.700000000000003</v>
      </c>
      <c r="H115" s="37">
        <v>2.6878873654037037</v>
      </c>
      <c r="I115" s="37">
        <v>51.289737206284364</v>
      </c>
      <c r="J115" s="10">
        <v>0</v>
      </c>
      <c r="K115" s="38">
        <v>0</v>
      </c>
      <c r="L115" s="38">
        <v>0</v>
      </c>
      <c r="M115" s="38">
        <v>0</v>
      </c>
      <c r="N115" s="38">
        <v>0</v>
      </c>
      <c r="O115" s="38">
        <v>1</v>
      </c>
      <c r="P115" s="38">
        <v>0</v>
      </c>
      <c r="Q115" s="38">
        <v>0</v>
      </c>
      <c r="R115" s="38">
        <v>0</v>
      </c>
      <c r="S115" s="38">
        <v>0</v>
      </c>
      <c r="T115" s="38">
        <v>0</v>
      </c>
      <c r="U115" s="29" t="str" cm="1">
        <f t="array" aca="1" ref="U115" ca="1">+fair_value_gap(OFFSET(T114,0,0,-1*$J$5,-1*$AA$1),OFFSET(E114,0,0,-1*$J$5,1),F115:T115,0)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5" s="9" t="str" cm="1">
        <f t="array" aca="1" ref="V115" ca="1">z_score_diff(OFFSET(U115,0,0,$J$5*-1,1),OFFSET(E115,0,0,$J$5*-1,1))</f>
        <v/>
      </c>
      <c r="W115" s="9" t="str">
        <f t="shared" ca="1" si="11"/>
        <v/>
      </c>
      <c r="X115" s="17">
        <f t="shared" ca="1" si="10"/>
        <v>2.4481749554104572E-2</v>
      </c>
      <c r="Y115" s="13">
        <f t="shared" si="18"/>
        <v>0</v>
      </c>
      <c r="Z115" s="13">
        <f t="shared" si="18"/>
        <v>0</v>
      </c>
      <c r="AA115" t="str">
        <f t="shared" ca="1" si="12"/>
        <v/>
      </c>
      <c r="AB115" t="str">
        <f t="shared" ca="1" si="13"/>
        <v/>
      </c>
      <c r="AC115" s="24" t="str">
        <f t="shared" ca="1" si="14"/>
        <v/>
      </c>
      <c r="AD115" s="24" t="str">
        <f t="shared" ca="1" si="15"/>
        <v/>
      </c>
    </row>
    <row r="116" spans="3:30" x14ac:dyDescent="0.25">
      <c r="C116" s="6">
        <v>109</v>
      </c>
      <c r="D116" s="35">
        <v>42163</v>
      </c>
      <c r="E116" s="37">
        <v>21.963000000000001</v>
      </c>
      <c r="F116" s="37">
        <v>57.633500079543246</v>
      </c>
      <c r="G116" s="37">
        <v>40.4</v>
      </c>
      <c r="H116" s="37">
        <v>2.7424743252081387</v>
      </c>
      <c r="I116" s="37">
        <v>50.465769890230327</v>
      </c>
      <c r="J116" s="10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1</v>
      </c>
      <c r="P116" s="38">
        <v>0</v>
      </c>
      <c r="Q116" s="38">
        <v>0</v>
      </c>
      <c r="R116" s="38">
        <v>0</v>
      </c>
      <c r="S116" s="38">
        <v>0</v>
      </c>
      <c r="T116" s="38">
        <v>0</v>
      </c>
      <c r="U116" s="29" t="str" cm="1">
        <f t="array" aca="1" ref="U116" ca="1">+fair_value_gap(OFFSET(T115,0,0,-1*$J$5,-1*$AA$1),OFFSET(E115,0,0,-1*$J$5,1),F116:T116,0)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6" s="9" t="str" cm="1">
        <f t="array" aca="1" ref="V116" ca="1">z_score_diff(OFFSET(U116,0,0,$J$5*-1,1),OFFSET(E116,0,0,$J$5*-1,1))</f>
        <v/>
      </c>
      <c r="W116" s="9" t="str">
        <f t="shared" ca="1" si="11"/>
        <v/>
      </c>
      <c r="X116" s="17">
        <f t="shared" ca="1" si="10"/>
        <v>1.0733069545618427E-2</v>
      </c>
      <c r="Y116" s="13">
        <f t="shared" si="18"/>
        <v>0</v>
      </c>
      <c r="Z116" s="13">
        <f t="shared" si="18"/>
        <v>0</v>
      </c>
      <c r="AA116" t="str">
        <f t="shared" ca="1" si="12"/>
        <v/>
      </c>
      <c r="AB116" t="str">
        <f t="shared" ca="1" si="13"/>
        <v/>
      </c>
      <c r="AC116" s="24" t="str">
        <f t="shared" ca="1" si="14"/>
        <v/>
      </c>
      <c r="AD116" s="24" t="str">
        <f t="shared" ca="1" si="15"/>
        <v/>
      </c>
    </row>
    <row r="117" spans="3:30" x14ac:dyDescent="0.25">
      <c r="C117" s="6">
        <v>110</v>
      </c>
      <c r="D117" s="35">
        <v>42164</v>
      </c>
      <c r="E117" s="37">
        <v>21.963000000000001</v>
      </c>
      <c r="F117" s="37">
        <v>59.547600940876862</v>
      </c>
      <c r="G117" s="37">
        <v>40.68</v>
      </c>
      <c r="H117" s="37">
        <v>2.8429690677891162</v>
      </c>
      <c r="I117" s="37">
        <v>50.315688944696959</v>
      </c>
      <c r="J117" s="10">
        <v>0</v>
      </c>
      <c r="K117" s="38">
        <v>0</v>
      </c>
      <c r="L117" s="38">
        <v>0</v>
      </c>
      <c r="M117" s="38">
        <v>0</v>
      </c>
      <c r="N117" s="38">
        <v>0</v>
      </c>
      <c r="O117" s="38">
        <v>1</v>
      </c>
      <c r="P117" s="38">
        <v>0</v>
      </c>
      <c r="Q117" s="38">
        <v>0</v>
      </c>
      <c r="R117" s="38">
        <v>0</v>
      </c>
      <c r="S117" s="38">
        <v>0</v>
      </c>
      <c r="T117" s="38">
        <v>0</v>
      </c>
      <c r="U117" s="29" t="str" cm="1">
        <f t="array" aca="1" ref="U117" ca="1">+fair_value_gap(OFFSET(T116,0,0,-1*$J$5,-1*$AA$1),OFFSET(E116,0,0,-1*$J$5,1),F117:T117,0)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7" s="9" t="str" cm="1">
        <f t="array" aca="1" ref="V117" ca="1">z_score_diff(OFFSET(U117,0,0,$J$5*-1,1),OFFSET(E117,0,0,$J$5*-1,1))</f>
        <v/>
      </c>
      <c r="W117" s="9" t="str">
        <f t="shared" ca="1" si="11"/>
        <v/>
      </c>
      <c r="X117" s="17">
        <f t="shared" ca="1" si="10"/>
        <v>7.3489715613777431E-3</v>
      </c>
      <c r="Y117" s="13">
        <f t="shared" si="18"/>
        <v>0</v>
      </c>
      <c r="Z117" s="13">
        <f t="shared" si="18"/>
        <v>0</v>
      </c>
      <c r="AA117" t="str">
        <f t="shared" ca="1" si="12"/>
        <v/>
      </c>
      <c r="AB117" t="str">
        <f t="shared" ca="1" si="13"/>
        <v/>
      </c>
      <c r="AC117" s="24" t="str">
        <f t="shared" ca="1" si="14"/>
        <v/>
      </c>
      <c r="AD117" s="24" t="str">
        <f t="shared" ca="1" si="15"/>
        <v/>
      </c>
    </row>
    <row r="118" spans="3:30" x14ac:dyDescent="0.25">
      <c r="C118" s="6">
        <v>111</v>
      </c>
      <c r="D118" s="35">
        <v>42165</v>
      </c>
      <c r="E118" s="37">
        <v>22.177</v>
      </c>
      <c r="F118" s="37">
        <v>60.174544045511787</v>
      </c>
      <c r="G118" s="37">
        <v>40.97</v>
      </c>
      <c r="H118" s="37">
        <v>2.8576964060835031</v>
      </c>
      <c r="I118" s="37">
        <v>50.284888994566415</v>
      </c>
      <c r="J118" s="10">
        <v>0</v>
      </c>
      <c r="K118" s="38">
        <v>0</v>
      </c>
      <c r="L118" s="38">
        <v>0</v>
      </c>
      <c r="M118" s="38">
        <v>0</v>
      </c>
      <c r="N118" s="38">
        <v>0</v>
      </c>
      <c r="O118" s="38">
        <v>1</v>
      </c>
      <c r="P118" s="38">
        <v>0</v>
      </c>
      <c r="Q118" s="38">
        <v>0</v>
      </c>
      <c r="R118" s="38">
        <v>0</v>
      </c>
      <c r="S118" s="38">
        <v>0</v>
      </c>
      <c r="T118" s="38">
        <v>0</v>
      </c>
      <c r="U118" s="29" t="str" cm="1">
        <f t="array" aca="1" ref="U118" ca="1">+fair_value_gap(OFFSET(T117,0,0,-1*$J$5,-1*$AA$1),OFFSET(E117,0,0,-1*$J$5,1),F118:T118,0)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8" s="9" t="str" cm="1">
        <f t="array" aca="1" ref="V118" ca="1">z_score_diff(OFFSET(U118,0,0,$J$5*-1,1),OFFSET(E118,0,0,$J$5*-1,1))</f>
        <v/>
      </c>
      <c r="W118" s="9" t="str">
        <f t="shared" ca="1" si="11"/>
        <v/>
      </c>
      <c r="X118" s="17">
        <f t="shared" ca="1" si="10"/>
        <v>-1.4946331614488096E-2</v>
      </c>
      <c r="Y118" s="13">
        <f t="shared" si="18"/>
        <v>0</v>
      </c>
      <c r="Z118" s="13">
        <f t="shared" si="18"/>
        <v>0</v>
      </c>
      <c r="AA118" t="str">
        <f t="shared" ca="1" si="12"/>
        <v/>
      </c>
      <c r="AB118" t="str">
        <f t="shared" ca="1" si="13"/>
        <v/>
      </c>
      <c r="AC118" s="24" t="str">
        <f t="shared" ca="1" si="14"/>
        <v/>
      </c>
      <c r="AD118" s="24" t="str">
        <f t="shared" ca="1" si="15"/>
        <v/>
      </c>
    </row>
    <row r="119" spans="3:30" x14ac:dyDescent="0.25">
      <c r="C119" s="6">
        <v>112</v>
      </c>
      <c r="D119" s="35">
        <v>42166</v>
      </c>
      <c r="E119" s="37">
        <v>21.739000000000001</v>
      </c>
      <c r="F119" s="37">
        <v>60.010983560090708</v>
      </c>
      <c r="G119" s="37">
        <v>40.57</v>
      </c>
      <c r="H119" s="37">
        <v>2.8353528911564627</v>
      </c>
      <c r="I119" s="37">
        <v>51.15327380952381</v>
      </c>
      <c r="J119" s="10">
        <v>0</v>
      </c>
      <c r="K119" s="38">
        <v>0</v>
      </c>
      <c r="L119" s="38">
        <v>0</v>
      </c>
      <c r="M119" s="38">
        <v>0</v>
      </c>
      <c r="N119" s="38">
        <v>0</v>
      </c>
      <c r="O119" s="38">
        <v>1</v>
      </c>
      <c r="P119" s="38">
        <v>0</v>
      </c>
      <c r="Q119" s="38">
        <v>0</v>
      </c>
      <c r="R119" s="38">
        <v>0</v>
      </c>
      <c r="S119" s="38">
        <v>0</v>
      </c>
      <c r="T119" s="38">
        <v>0</v>
      </c>
      <c r="U119" s="29" t="str" cm="1">
        <f t="array" aca="1" ref="U119" ca="1">+fair_value_gap(OFFSET(T118,0,0,-1*$J$5,-1*$AA$1),OFFSET(E118,0,0,-1*$J$5,1),F119:T119,0)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9" s="9" t="str" cm="1">
        <f t="array" aca="1" ref="V119" ca="1">z_score_diff(OFFSET(U119,0,0,$J$5*-1,1),OFFSET(E119,0,0,$J$5*-1,1))</f>
        <v/>
      </c>
      <c r="W119" s="9" t="str">
        <f t="shared" ca="1" si="11"/>
        <v/>
      </c>
      <c r="X119" s="17">
        <f t="shared" ca="1" si="10"/>
        <v>1.9000457695815452E-2</v>
      </c>
      <c r="Y119" s="13">
        <f t="shared" si="18"/>
        <v>0</v>
      </c>
      <c r="Z119" s="13">
        <f t="shared" si="18"/>
        <v>0</v>
      </c>
      <c r="AA119" t="str">
        <f t="shared" ca="1" si="12"/>
        <v/>
      </c>
      <c r="AB119" t="str">
        <f t="shared" ca="1" si="13"/>
        <v/>
      </c>
      <c r="AC119" s="24" t="str">
        <f t="shared" ca="1" si="14"/>
        <v/>
      </c>
      <c r="AD119" s="24" t="str">
        <f t="shared" ca="1" si="15"/>
        <v/>
      </c>
    </row>
    <row r="120" spans="3:30" x14ac:dyDescent="0.25">
      <c r="C120" s="6">
        <v>113</v>
      </c>
      <c r="D120" s="35">
        <v>42167</v>
      </c>
      <c r="E120" s="37">
        <v>21.783000000000001</v>
      </c>
      <c r="F120" s="37">
        <v>58.943668577476288</v>
      </c>
      <c r="G120" s="37">
        <v>40.65</v>
      </c>
      <c r="H120" s="37">
        <v>2.7768387929157869</v>
      </c>
      <c r="I120" s="37">
        <v>51.368862947342713</v>
      </c>
      <c r="J120" s="10">
        <v>0</v>
      </c>
      <c r="K120" s="38">
        <v>0</v>
      </c>
      <c r="L120" s="38">
        <v>0</v>
      </c>
      <c r="M120" s="38">
        <v>0</v>
      </c>
      <c r="N120" s="38">
        <v>0</v>
      </c>
      <c r="O120" s="38">
        <v>1</v>
      </c>
      <c r="P120" s="38">
        <v>0</v>
      </c>
      <c r="Q120" s="38">
        <v>0</v>
      </c>
      <c r="R120" s="38">
        <v>0</v>
      </c>
      <c r="S120" s="38">
        <v>0</v>
      </c>
      <c r="T120" s="38">
        <v>0</v>
      </c>
      <c r="U120" s="29" t="str" cm="1">
        <f t="array" aca="1" ref="U120" ca="1">+fair_value_gap(OFFSET(T119,0,0,-1*$J$5,-1*$AA$1),OFFSET(E119,0,0,-1*$J$5,1),F120:T120,0)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0" s="9" t="str" cm="1">
        <f t="array" aca="1" ref="V120" ca="1">z_score_diff(OFFSET(U120,0,0,$J$5*-1,1),OFFSET(E120,0,0,$J$5*-1,1))</f>
        <v/>
      </c>
      <c r="W120" s="9" t="str">
        <f t="shared" ca="1" si="11"/>
        <v/>
      </c>
      <c r="X120" s="17">
        <f t="shared" ca="1" si="10"/>
        <v>1.9232673565854546E-2</v>
      </c>
      <c r="Y120" s="13">
        <f t="shared" si="18"/>
        <v>0</v>
      </c>
      <c r="Z120" s="13">
        <f t="shared" si="18"/>
        <v>0</v>
      </c>
      <c r="AA120" t="str">
        <f t="shared" ca="1" si="12"/>
        <v/>
      </c>
      <c r="AB120" t="str">
        <f t="shared" ca="1" si="13"/>
        <v/>
      </c>
      <c r="AC120" s="24" t="str">
        <f t="shared" ca="1" si="14"/>
        <v/>
      </c>
      <c r="AD120" s="24" t="str">
        <f t="shared" ca="1" si="15"/>
        <v/>
      </c>
    </row>
    <row r="121" spans="3:30" x14ac:dyDescent="0.25">
      <c r="C121" s="6">
        <v>114</v>
      </c>
      <c r="D121" s="35">
        <v>42170</v>
      </c>
      <c r="E121" s="37">
        <v>21.79</v>
      </c>
      <c r="F121" s="37">
        <v>58.492559148909848</v>
      </c>
      <c r="G121" s="37">
        <v>41.06</v>
      </c>
      <c r="H121" s="37">
        <v>2.8658436868787325</v>
      </c>
      <c r="I121" s="37">
        <v>51.756677318553294</v>
      </c>
      <c r="J121" s="10">
        <v>0</v>
      </c>
      <c r="K121" s="38">
        <v>0</v>
      </c>
      <c r="L121" s="38">
        <v>0</v>
      </c>
      <c r="M121" s="38">
        <v>0</v>
      </c>
      <c r="N121" s="38">
        <v>0</v>
      </c>
      <c r="O121" s="38">
        <v>1</v>
      </c>
      <c r="P121" s="38">
        <v>0</v>
      </c>
      <c r="Q121" s="38">
        <v>0</v>
      </c>
      <c r="R121" s="38">
        <v>0</v>
      </c>
      <c r="S121" s="38">
        <v>0</v>
      </c>
      <c r="T121" s="38">
        <v>0</v>
      </c>
      <c r="U121" s="29" t="str" cm="1">
        <f t="array" aca="1" ref="U121" ca="1">+fair_value_gap(OFFSET(T120,0,0,-1*$J$5,-1*$AA$1),OFFSET(E120,0,0,-1*$J$5,1),F121:T121,0)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1" s="9" t="str" cm="1">
        <f t="array" aca="1" ref="V121" ca="1">z_score_diff(OFFSET(U121,0,0,$J$5*-1,1),OFFSET(E121,0,0,$J$5*-1,1))</f>
        <v/>
      </c>
      <c r="W121" s="9" t="str">
        <f t="shared" ca="1" si="11"/>
        <v/>
      </c>
      <c r="X121" s="17">
        <f t="shared" ca="1" si="10"/>
        <v>1.1861452936326542E-2</v>
      </c>
      <c r="Y121" s="13">
        <f t="shared" ref="Y121:Z136" si="19">+Y120</f>
        <v>0</v>
      </c>
      <c r="Z121" s="13">
        <f t="shared" si="19"/>
        <v>0</v>
      </c>
      <c r="AA121" t="str">
        <f t="shared" ca="1" si="12"/>
        <v/>
      </c>
      <c r="AB121" t="str">
        <f t="shared" ca="1" si="13"/>
        <v/>
      </c>
      <c r="AC121" s="24" t="str">
        <f t="shared" ca="1" si="14"/>
        <v/>
      </c>
      <c r="AD121" s="24" t="str">
        <f t="shared" ca="1" si="15"/>
        <v/>
      </c>
    </row>
    <row r="122" spans="3:30" x14ac:dyDescent="0.25">
      <c r="C122" s="6">
        <v>115</v>
      </c>
      <c r="D122" s="35">
        <v>42171</v>
      </c>
      <c r="E122" s="37">
        <v>21.945</v>
      </c>
      <c r="F122" s="37">
        <v>59.164255040041127</v>
      </c>
      <c r="G122" s="37">
        <v>41.39</v>
      </c>
      <c r="H122" s="37">
        <v>2.8717930536289629</v>
      </c>
      <c r="I122" s="37">
        <v>51.896136817893755</v>
      </c>
      <c r="J122" s="10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1</v>
      </c>
      <c r="P122" s="38">
        <v>0</v>
      </c>
      <c r="Q122" s="38">
        <v>0</v>
      </c>
      <c r="R122" s="38">
        <v>0</v>
      </c>
      <c r="S122" s="38">
        <v>0</v>
      </c>
      <c r="T122" s="38">
        <v>0</v>
      </c>
      <c r="U122" s="29" t="str" cm="1">
        <f t="array" aca="1" ref="U122" ca="1">+fair_value_gap(OFFSET(T121,0,0,-1*$J$5,-1*$AA$1),OFFSET(E121,0,0,-1*$J$5,1),F122:T122,0)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2" s="9" t="str" cm="1">
        <f t="array" aca="1" ref="V122" ca="1">z_score_diff(OFFSET(U122,0,0,$J$5*-1,1),OFFSET(E122,0,0,$J$5*-1,1))</f>
        <v/>
      </c>
      <c r="W122" s="9" t="str">
        <f t="shared" ca="1" si="11"/>
        <v/>
      </c>
      <c r="X122" s="17">
        <f t="shared" ca="1" si="10"/>
        <v>5.3626741860371124E-3</v>
      </c>
      <c r="Y122" s="13">
        <f t="shared" si="19"/>
        <v>0</v>
      </c>
      <c r="Z122" s="13">
        <f t="shared" si="19"/>
        <v>0</v>
      </c>
      <c r="AA122" t="str">
        <f t="shared" ca="1" si="12"/>
        <v/>
      </c>
      <c r="AB122" t="str">
        <f t="shared" ca="1" si="13"/>
        <v/>
      </c>
      <c r="AC122" s="24" t="str">
        <f t="shared" ca="1" si="14"/>
        <v/>
      </c>
      <c r="AD122" s="24" t="str">
        <f t="shared" ca="1" si="15"/>
        <v/>
      </c>
    </row>
    <row r="123" spans="3:30" x14ac:dyDescent="0.25">
      <c r="C123" s="6">
        <v>116</v>
      </c>
      <c r="D123" s="35">
        <v>42172</v>
      </c>
      <c r="E123" s="37">
        <v>21.824999999999999</v>
      </c>
      <c r="F123" s="37">
        <v>58.970419761689818</v>
      </c>
      <c r="G123" s="37">
        <v>41.6</v>
      </c>
      <c r="H123" s="37">
        <v>2.8288555585471915</v>
      </c>
      <c r="I123" s="37">
        <v>51.473732558323704</v>
      </c>
      <c r="J123" s="10">
        <v>0</v>
      </c>
      <c r="K123" s="38">
        <v>0</v>
      </c>
      <c r="L123" s="38">
        <v>0</v>
      </c>
      <c r="M123" s="38">
        <v>0</v>
      </c>
      <c r="N123" s="38">
        <v>0</v>
      </c>
      <c r="O123" s="38">
        <v>1</v>
      </c>
      <c r="P123" s="38">
        <v>0</v>
      </c>
      <c r="Q123" s="38">
        <v>0</v>
      </c>
      <c r="R123" s="38">
        <v>0</v>
      </c>
      <c r="S123" s="38">
        <v>0</v>
      </c>
      <c r="T123" s="38">
        <v>0</v>
      </c>
      <c r="U123" s="29" t="str" cm="1">
        <f t="array" aca="1" ref="U123" ca="1">+fair_value_gap(OFFSET(T122,0,0,-1*$J$5,-1*$AA$1),OFFSET(E122,0,0,-1*$J$5,1),F123:T123,0)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3" s="9" t="str" cm="1">
        <f t="array" aca="1" ref="V123" ca="1">z_score_diff(OFFSET(U123,0,0,$J$5*-1,1),OFFSET(E123,0,0,$J$5*-1,1))</f>
        <v/>
      </c>
      <c r="W123" s="9" t="str">
        <f t="shared" ca="1" si="11"/>
        <v/>
      </c>
      <c r="X123" s="17">
        <f t="shared" ca="1" si="10"/>
        <v>1.4826540473258322E-2</v>
      </c>
      <c r="Y123" s="13">
        <f t="shared" si="19"/>
        <v>0</v>
      </c>
      <c r="Z123" s="13">
        <f t="shared" si="19"/>
        <v>0</v>
      </c>
      <c r="AA123" t="str">
        <f t="shared" ca="1" si="12"/>
        <v/>
      </c>
      <c r="AB123" t="str">
        <f t="shared" ca="1" si="13"/>
        <v/>
      </c>
      <c r="AC123" s="24" t="str">
        <f t="shared" ca="1" si="14"/>
        <v/>
      </c>
      <c r="AD123" s="24" t="str">
        <f t="shared" ca="1" si="15"/>
        <v/>
      </c>
    </row>
    <row r="124" spans="3:30" x14ac:dyDescent="0.25">
      <c r="C124" s="6">
        <v>117</v>
      </c>
      <c r="D124" s="35">
        <v>42173</v>
      </c>
      <c r="E124" s="37">
        <v>21.876999999999999</v>
      </c>
      <c r="F124" s="37">
        <v>59.06370298091376</v>
      </c>
      <c r="G124" s="37">
        <v>41.6</v>
      </c>
      <c r="H124" s="37">
        <v>2.7667189941883983</v>
      </c>
      <c r="I124" s="37">
        <v>51.859528245015646</v>
      </c>
      <c r="J124" s="10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1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29" t="str" cm="1">
        <f t="array" aca="1" ref="U124" ca="1">+fair_value_gap(OFFSET(T123,0,0,-1*$J$5,-1*$AA$1),OFFSET(E123,0,0,-1*$J$5,1),F124:T124,0)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4" s="9" t="str" cm="1">
        <f t="array" aca="1" ref="V124" ca="1">z_score_diff(OFFSET(U124,0,0,$J$5*-1,1),OFFSET(E124,0,0,$J$5*-1,1))</f>
        <v/>
      </c>
      <c r="W124" s="9" t="str">
        <f t="shared" ca="1" si="11"/>
        <v/>
      </c>
      <c r="X124" s="17">
        <f t="shared" ca="1" si="10"/>
        <v>2.0226476290417735E-2</v>
      </c>
      <c r="Y124" s="13">
        <f t="shared" si="19"/>
        <v>0</v>
      </c>
      <c r="Z124" s="13">
        <f t="shared" si="19"/>
        <v>0</v>
      </c>
      <c r="AA124" t="str">
        <f t="shared" ca="1" si="12"/>
        <v/>
      </c>
      <c r="AB124" t="str">
        <f t="shared" ca="1" si="13"/>
        <v/>
      </c>
      <c r="AC124" s="24" t="str">
        <f t="shared" ca="1" si="14"/>
        <v/>
      </c>
      <c r="AD124" s="24" t="str">
        <f t="shared" ca="1" si="15"/>
        <v/>
      </c>
    </row>
    <row r="125" spans="3:30" x14ac:dyDescent="0.25">
      <c r="C125" s="6">
        <v>118</v>
      </c>
      <c r="D125" s="35">
        <v>42174</v>
      </c>
      <c r="E125" s="37">
        <v>22.059000000000001</v>
      </c>
      <c r="F125" s="37">
        <v>58.181262348035169</v>
      </c>
      <c r="G125" s="37">
        <v>42.06</v>
      </c>
      <c r="H125" s="37">
        <v>2.793543926721302</v>
      </c>
      <c r="I125" s="37">
        <v>51.698132103002713</v>
      </c>
      <c r="J125" s="10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1</v>
      </c>
      <c r="P125" s="38">
        <v>0</v>
      </c>
      <c r="Q125" s="38">
        <v>0</v>
      </c>
      <c r="R125" s="38">
        <v>0</v>
      </c>
      <c r="S125" s="38">
        <v>0</v>
      </c>
      <c r="T125" s="38">
        <v>0</v>
      </c>
      <c r="U125" s="29" t="str" cm="1">
        <f t="array" aca="1" ref="U125" ca="1">+fair_value_gap(OFFSET(T124,0,0,-1*$J$5,-1*$AA$1),OFFSET(E124,0,0,-1*$J$5,1),F125:T125,0)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5" s="9" t="str" cm="1">
        <f t="array" aca="1" ref="V125" ca="1">z_score_diff(OFFSET(U125,0,0,$J$5*-1,1),OFFSET(E125,0,0,$J$5*-1,1))</f>
        <v/>
      </c>
      <c r="W125" s="9" t="str">
        <f t="shared" ca="1" si="11"/>
        <v/>
      </c>
      <c r="X125" s="17">
        <f t="shared" ca="1" si="10"/>
        <v>3.4393843019094729E-3</v>
      </c>
      <c r="Y125" s="13">
        <f t="shared" si="19"/>
        <v>0</v>
      </c>
      <c r="Z125" s="13">
        <f t="shared" si="19"/>
        <v>0</v>
      </c>
      <c r="AA125" t="str">
        <f t="shared" ca="1" si="12"/>
        <v/>
      </c>
      <c r="AB125" t="str">
        <f t="shared" ca="1" si="13"/>
        <v/>
      </c>
      <c r="AC125" s="24" t="str">
        <f t="shared" ca="1" si="14"/>
        <v/>
      </c>
      <c r="AD125" s="24" t="str">
        <f t="shared" ca="1" si="15"/>
        <v/>
      </c>
    </row>
    <row r="126" spans="3:30" x14ac:dyDescent="0.25">
      <c r="C126" s="6">
        <v>119</v>
      </c>
      <c r="D126" s="35">
        <v>42177</v>
      </c>
      <c r="E126" s="37">
        <v>22.4</v>
      </c>
      <c r="F126" s="37">
        <v>58.583076293522588</v>
      </c>
      <c r="G126" s="37">
        <v>43.19</v>
      </c>
      <c r="H126" s="37">
        <v>2.7456691908636097</v>
      </c>
      <c r="I126" s="37">
        <v>52.449321722907413</v>
      </c>
      <c r="J126" s="10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1</v>
      </c>
      <c r="P126" s="38">
        <v>0</v>
      </c>
      <c r="Q126" s="38">
        <v>0</v>
      </c>
      <c r="R126" s="38">
        <v>0</v>
      </c>
      <c r="S126" s="38">
        <v>0</v>
      </c>
      <c r="T126" s="38">
        <v>0</v>
      </c>
      <c r="U126" s="29" t="str" cm="1">
        <f t="array" aca="1" ref="U126" ca="1">+fair_value_gap(OFFSET(T125,0,0,-1*$J$5,-1*$AA$1),OFFSET(E125,0,0,-1*$J$5,1),F126:T126,0)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6" s="9" t="str" cm="1">
        <f t="array" aca="1" ref="V126" ca="1">z_score_diff(OFFSET(U126,0,0,$J$5*-1,1),OFFSET(E126,0,0,$J$5*-1,1))</f>
        <v/>
      </c>
      <c r="W126" s="9" t="str">
        <f t="shared" ca="1" si="11"/>
        <v/>
      </c>
      <c r="X126" s="17">
        <f t="shared" ca="1" si="10"/>
        <v>-1.6428860567043763E-2</v>
      </c>
      <c r="Y126" s="13">
        <f t="shared" si="19"/>
        <v>0</v>
      </c>
      <c r="Z126" s="13">
        <f t="shared" si="19"/>
        <v>0</v>
      </c>
      <c r="AA126" t="str">
        <f t="shared" ca="1" si="12"/>
        <v/>
      </c>
      <c r="AB126" t="str">
        <f t="shared" ca="1" si="13"/>
        <v/>
      </c>
      <c r="AC126" s="24" t="str">
        <f t="shared" ca="1" si="14"/>
        <v/>
      </c>
      <c r="AD126" s="24" t="str">
        <f t="shared" ca="1" si="15"/>
        <v/>
      </c>
    </row>
    <row r="127" spans="3:30" x14ac:dyDescent="0.25">
      <c r="C127" s="6">
        <v>120</v>
      </c>
      <c r="D127" s="35">
        <v>42178</v>
      </c>
      <c r="E127" s="37">
        <v>22.193000000000001</v>
      </c>
      <c r="F127" s="37">
        <v>60.279187817258887</v>
      </c>
      <c r="G127" s="37">
        <v>43.18</v>
      </c>
      <c r="H127" s="37">
        <v>2.7874097376134985</v>
      </c>
      <c r="I127" s="37">
        <v>52.995638807464076</v>
      </c>
      <c r="J127" s="10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1</v>
      </c>
      <c r="P127" s="38">
        <v>0</v>
      </c>
      <c r="Q127" s="38">
        <v>0</v>
      </c>
      <c r="R127" s="38">
        <v>0</v>
      </c>
      <c r="S127" s="38">
        <v>0</v>
      </c>
      <c r="T127" s="38">
        <v>0</v>
      </c>
      <c r="U127" s="29" t="str" cm="1">
        <f t="array" aca="1" ref="U127" ca="1">+fair_value_gap(OFFSET(T126,0,0,-1*$J$5,-1*$AA$1),OFFSET(E126,0,0,-1*$J$5,1),F127:T127,0)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7" s="9" t="str" cm="1">
        <f t="array" aca="1" ref="V127" ca="1">z_score_diff(OFFSET(U127,0,0,$J$5*-1,1),OFFSET(E127,0,0,$J$5*-1,1))</f>
        <v/>
      </c>
      <c r="W127" s="9" t="str">
        <f t="shared" ca="1" si="11"/>
        <v/>
      </c>
      <c r="X127" s="17">
        <f t="shared" ca="1" si="10"/>
        <v>-1.3153310098533726E-2</v>
      </c>
      <c r="Y127" s="13">
        <f t="shared" si="19"/>
        <v>0</v>
      </c>
      <c r="Z127" s="13">
        <f t="shared" si="19"/>
        <v>0</v>
      </c>
      <c r="AA127" t="str">
        <f t="shared" ca="1" si="12"/>
        <v/>
      </c>
      <c r="AB127" t="str">
        <f t="shared" ca="1" si="13"/>
        <v/>
      </c>
      <c r="AC127" s="24" t="str">
        <f t="shared" ca="1" si="14"/>
        <v/>
      </c>
      <c r="AD127" s="24" t="str">
        <f t="shared" ca="1" si="15"/>
        <v/>
      </c>
    </row>
    <row r="128" spans="3:30" x14ac:dyDescent="0.25">
      <c r="C128" s="6">
        <v>121</v>
      </c>
      <c r="D128" s="35">
        <v>42179</v>
      </c>
      <c r="E128" s="37">
        <v>22.077999999999999</v>
      </c>
      <c r="F128" s="37">
        <v>59.182656366807876</v>
      </c>
      <c r="G128" s="37">
        <v>42.85</v>
      </c>
      <c r="H128" s="37">
        <v>2.8024990210387668</v>
      </c>
      <c r="I128" s="37">
        <v>52.641415399950162</v>
      </c>
      <c r="J128" s="10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1</v>
      </c>
      <c r="P128" s="38">
        <v>0</v>
      </c>
      <c r="Q128" s="38">
        <v>0</v>
      </c>
      <c r="R128" s="38">
        <v>0</v>
      </c>
      <c r="S128" s="38">
        <v>0</v>
      </c>
      <c r="T128" s="38">
        <v>0</v>
      </c>
      <c r="U128" s="29" t="str" cm="1">
        <f t="array" aca="1" ref="U128" ca="1">+fair_value_gap(OFFSET(T127,0,0,-1*$J$5,-1*$AA$1),OFFSET(E127,0,0,-1*$J$5,1),F128:T128,0)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8" s="9" t="str" cm="1">
        <f t="array" aca="1" ref="V128" ca="1">z_score_diff(OFFSET(U128,0,0,$J$5*-1,1),OFFSET(E128,0,0,$J$5*-1,1))</f>
        <v/>
      </c>
      <c r="W128" s="9" t="str">
        <f t="shared" ca="1" si="11"/>
        <v/>
      </c>
      <c r="X128" s="17">
        <f t="shared" ca="1" si="10"/>
        <v>-1.4738021423516571E-2</v>
      </c>
      <c r="Y128" s="13">
        <f t="shared" si="19"/>
        <v>0</v>
      </c>
      <c r="Z128" s="13">
        <f t="shared" si="19"/>
        <v>0</v>
      </c>
      <c r="AA128" t="str">
        <f t="shared" ca="1" si="12"/>
        <v/>
      </c>
      <c r="AB128" t="str">
        <f t="shared" ca="1" si="13"/>
        <v/>
      </c>
      <c r="AC128" s="24" t="str">
        <f t="shared" ca="1" si="14"/>
        <v/>
      </c>
      <c r="AD128" s="24" t="str">
        <f t="shared" ca="1" si="15"/>
        <v/>
      </c>
    </row>
    <row r="129" spans="3:30" x14ac:dyDescent="0.25">
      <c r="C129" s="6">
        <v>122</v>
      </c>
      <c r="D129" s="35">
        <v>42180</v>
      </c>
      <c r="E129" s="37">
        <v>22.044</v>
      </c>
      <c r="F129" s="37">
        <v>58.701030560845794</v>
      </c>
      <c r="G129" s="37">
        <v>42.91</v>
      </c>
      <c r="H129" s="37">
        <v>2.8424968406813447</v>
      </c>
      <c r="I129" s="37">
        <v>53.129950340850435</v>
      </c>
      <c r="J129" s="10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1</v>
      </c>
      <c r="P129" s="38">
        <v>0</v>
      </c>
      <c r="Q129" s="38">
        <v>0</v>
      </c>
      <c r="R129" s="38">
        <v>0</v>
      </c>
      <c r="S129" s="38">
        <v>0</v>
      </c>
      <c r="T129" s="38">
        <v>0</v>
      </c>
      <c r="U129" s="29" t="str" cm="1">
        <f t="array" aca="1" ref="U129" ca="1">+fair_value_gap(OFFSET(T128,0,0,-1*$J$5,-1*$AA$1),OFFSET(E128,0,0,-1*$J$5,1),F129:T129,0)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9" s="9" t="str" cm="1">
        <f t="array" aca="1" ref="V129" ca="1">z_score_diff(OFFSET(U129,0,0,$J$5*-1,1),OFFSET(E129,0,0,$J$5*-1,1))</f>
        <v/>
      </c>
      <c r="W129" s="9" t="str">
        <f t="shared" ca="1" si="11"/>
        <v/>
      </c>
      <c r="X129" s="17">
        <f t="shared" ca="1" si="10"/>
        <v>-1.3426698486295779E-2</v>
      </c>
      <c r="Y129" s="13">
        <f t="shared" si="19"/>
        <v>0</v>
      </c>
      <c r="Z129" s="13">
        <f t="shared" si="19"/>
        <v>0</v>
      </c>
      <c r="AA129" t="str">
        <f t="shared" ca="1" si="12"/>
        <v/>
      </c>
      <c r="AB129" t="str">
        <f t="shared" ca="1" si="13"/>
        <v/>
      </c>
      <c r="AC129" s="24" t="str">
        <f t="shared" ca="1" si="14"/>
        <v/>
      </c>
      <c r="AD129" s="24" t="str">
        <f t="shared" ca="1" si="15"/>
        <v/>
      </c>
    </row>
    <row r="130" spans="3:30" x14ac:dyDescent="0.25">
      <c r="C130" s="6">
        <v>123</v>
      </c>
      <c r="D130" s="35">
        <v>42181</v>
      </c>
      <c r="E130" s="37">
        <v>22.061</v>
      </c>
      <c r="F130" s="37">
        <v>58.930971807273039</v>
      </c>
      <c r="G130" s="37">
        <v>42.93</v>
      </c>
      <c r="H130" s="37">
        <v>2.7741679059319497</v>
      </c>
      <c r="I130" s="37">
        <v>52.919976956364465</v>
      </c>
      <c r="J130" s="10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1</v>
      </c>
      <c r="P130" s="38">
        <v>0</v>
      </c>
      <c r="Q130" s="38">
        <v>0</v>
      </c>
      <c r="R130" s="38">
        <v>0</v>
      </c>
      <c r="S130" s="38">
        <v>0</v>
      </c>
      <c r="T130" s="38">
        <v>0</v>
      </c>
      <c r="U130" s="29" t="str" cm="1">
        <f t="array" aca="1" ref="U130" ca="1">+fair_value_gap(OFFSET(T129,0,0,-1*$J$5,-1*$AA$1),OFFSET(E129,0,0,-1*$J$5,1),F130:T130,0)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0" s="9" t="str" cm="1">
        <f t="array" aca="1" ref="V130" ca="1">z_score_diff(OFFSET(U130,0,0,$J$5*-1,1),OFFSET(E130,0,0,$J$5*-1,1))</f>
        <v/>
      </c>
      <c r="W130" s="9" t="str">
        <f t="shared" ca="1" si="11"/>
        <v/>
      </c>
      <c r="X130" s="17">
        <f t="shared" ca="1" si="10"/>
        <v>-1.5209592337340353E-2</v>
      </c>
      <c r="Y130" s="13">
        <f t="shared" si="19"/>
        <v>0</v>
      </c>
      <c r="Z130" s="13">
        <f t="shared" si="19"/>
        <v>0</v>
      </c>
      <c r="AA130" t="str">
        <f t="shared" ca="1" si="12"/>
        <v/>
      </c>
      <c r="AB130" t="str">
        <f t="shared" ca="1" si="13"/>
        <v/>
      </c>
      <c r="AC130" s="24" t="str">
        <f t="shared" ca="1" si="14"/>
        <v/>
      </c>
      <c r="AD130" s="24" t="str">
        <f t="shared" ca="1" si="15"/>
        <v/>
      </c>
    </row>
    <row r="131" spans="3:30" x14ac:dyDescent="0.25">
      <c r="C131" s="6">
        <v>124</v>
      </c>
      <c r="D131" s="35">
        <v>42184</v>
      </c>
      <c r="E131" s="37">
        <v>21.954999999999998</v>
      </c>
      <c r="F131" s="37">
        <v>57.55340791232932</v>
      </c>
      <c r="G131" s="37">
        <v>42.66</v>
      </c>
      <c r="H131" s="37">
        <v>2.8683546752051901</v>
      </c>
      <c r="I131" s="37">
        <v>52.522918890240412</v>
      </c>
      <c r="J131" s="10">
        <v>0</v>
      </c>
      <c r="K131" s="38">
        <v>0</v>
      </c>
      <c r="L131" s="38">
        <v>0</v>
      </c>
      <c r="M131" s="38">
        <v>0</v>
      </c>
      <c r="N131" s="38">
        <v>0</v>
      </c>
      <c r="O131" s="38">
        <v>1</v>
      </c>
      <c r="P131" s="38">
        <v>0</v>
      </c>
      <c r="Q131" s="38">
        <v>0</v>
      </c>
      <c r="R131" s="38">
        <v>0</v>
      </c>
      <c r="S131" s="38">
        <v>0</v>
      </c>
      <c r="T131" s="38">
        <v>0</v>
      </c>
      <c r="U131" s="29" t="str" cm="1">
        <f t="array" aca="1" ref="U131" ca="1">+fair_value_gap(OFFSET(T130,0,0,-1*$J$5,-1*$AA$1),OFFSET(E130,0,0,-1*$J$5,1),F131:T131,0)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1" s="9" t="str" cm="1">
        <f t="array" aca="1" ref="V131" ca="1">z_score_diff(OFFSET(U131,0,0,$J$5*-1,1),OFFSET(E131,0,0,$J$5*-1,1))</f>
        <v/>
      </c>
      <c r="W131" s="9" t="str">
        <f t="shared" ca="1" si="11"/>
        <v/>
      </c>
      <c r="X131" s="17">
        <f t="shared" ca="1" si="10"/>
        <v>-1.8016021085152007E-2</v>
      </c>
      <c r="Y131" s="13">
        <f t="shared" si="19"/>
        <v>0</v>
      </c>
      <c r="Z131" s="13">
        <f t="shared" si="19"/>
        <v>0</v>
      </c>
      <c r="AA131" t="str">
        <f t="shared" ca="1" si="12"/>
        <v/>
      </c>
      <c r="AB131" t="str">
        <f t="shared" ca="1" si="13"/>
        <v/>
      </c>
      <c r="AC131" s="24" t="str">
        <f t="shared" ca="1" si="14"/>
        <v/>
      </c>
      <c r="AD131" s="24" t="str">
        <f t="shared" ca="1" si="15"/>
        <v/>
      </c>
    </row>
    <row r="132" spans="3:30" x14ac:dyDescent="0.25">
      <c r="C132" s="6">
        <v>125</v>
      </c>
      <c r="D132" s="35">
        <v>42185</v>
      </c>
      <c r="E132" s="37">
        <v>22.143000000000001</v>
      </c>
      <c r="F132" s="37">
        <v>59.271409334441159</v>
      </c>
      <c r="G132" s="37">
        <v>44.65</v>
      </c>
      <c r="H132" s="37">
        <v>2.9017921095607826</v>
      </c>
      <c r="I132" s="37">
        <v>53.451709022147092</v>
      </c>
      <c r="J132" s="10">
        <v>0</v>
      </c>
      <c r="K132" s="38">
        <v>0</v>
      </c>
      <c r="L132" s="38">
        <v>0</v>
      </c>
      <c r="M132" s="38">
        <v>0</v>
      </c>
      <c r="N132" s="38">
        <v>0</v>
      </c>
      <c r="O132" s="38">
        <v>1</v>
      </c>
      <c r="P132" s="38">
        <v>0</v>
      </c>
      <c r="Q132" s="38">
        <v>0</v>
      </c>
      <c r="R132" s="38">
        <v>0</v>
      </c>
      <c r="S132" s="38">
        <v>0</v>
      </c>
      <c r="T132" s="38">
        <v>0</v>
      </c>
      <c r="U132" s="29" t="str" cm="1">
        <f t="array" aca="1" ref="U132" ca="1">+fair_value_gap(OFFSET(T131,0,0,-1*$J$5,-1*$AA$1),OFFSET(E131,0,0,-1*$J$5,1),F132:T132,0)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2" s="9" t="str" cm="1">
        <f t="array" aca="1" ref="V132" ca="1">z_score_diff(OFFSET(U132,0,0,$J$5*-1,1),OFFSET(E132,0,0,$J$5*-1,1))</f>
        <v/>
      </c>
      <c r="W132" s="9" t="str">
        <f t="shared" ca="1" si="11"/>
        <v/>
      </c>
      <c r="X132" s="17">
        <f t="shared" ca="1" si="10"/>
        <v>-1.9472103412820296E-2</v>
      </c>
      <c r="Y132" s="13">
        <f t="shared" si="19"/>
        <v>0</v>
      </c>
      <c r="Z132" s="13">
        <f t="shared" si="19"/>
        <v>0</v>
      </c>
      <c r="AA132" t="str">
        <f t="shared" ca="1" si="12"/>
        <v/>
      </c>
      <c r="AB132" t="str">
        <f t="shared" ca="1" si="13"/>
        <v/>
      </c>
      <c r="AC132" s="24" t="str">
        <f t="shared" ca="1" si="14"/>
        <v/>
      </c>
      <c r="AD132" s="24" t="str">
        <f t="shared" ca="1" si="15"/>
        <v/>
      </c>
    </row>
    <row r="133" spans="3:30" x14ac:dyDescent="0.25">
      <c r="C133" s="6">
        <v>126</v>
      </c>
      <c r="D133" s="35">
        <v>42186</v>
      </c>
      <c r="E133" s="37">
        <v>22.324999999999999</v>
      </c>
      <c r="F133" s="37">
        <v>58.176568773401911</v>
      </c>
      <c r="G133" s="37">
        <v>44.64</v>
      </c>
      <c r="H133" s="37">
        <v>2.8998060179546172</v>
      </c>
      <c r="I133" s="37">
        <v>53.412730635629543</v>
      </c>
      <c r="J133" s="10">
        <v>0</v>
      </c>
      <c r="K133" s="38">
        <v>0</v>
      </c>
      <c r="L133" s="38">
        <v>0</v>
      </c>
      <c r="M133" s="38">
        <v>0</v>
      </c>
      <c r="N133" s="38">
        <v>0</v>
      </c>
      <c r="O133" s="38">
        <v>0</v>
      </c>
      <c r="P133" s="38">
        <v>1</v>
      </c>
      <c r="Q133" s="38">
        <v>0</v>
      </c>
      <c r="R133" s="38">
        <v>0</v>
      </c>
      <c r="S133" s="38">
        <v>0</v>
      </c>
      <c r="T133" s="38">
        <v>0</v>
      </c>
      <c r="U133" s="29" t="str" cm="1">
        <f t="array" aca="1" ref="U133" ca="1">+fair_value_gap(OFFSET(T132,0,0,-1*$J$5,-1*$AA$1),OFFSET(E132,0,0,-1*$J$5,1),F133:T133,0)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3" s="9" t="str" cm="1">
        <f t="array" aca="1" ref="V133" ca="1">z_score_diff(OFFSET(U133,0,0,$J$5*-1,1),OFFSET(E133,0,0,$J$5*-1,1))</f>
        <v/>
      </c>
      <c r="W133" s="9" t="str">
        <f t="shared" ca="1" si="11"/>
        <v/>
      </c>
      <c r="X133" s="17">
        <f t="shared" ca="1" si="10"/>
        <v>-2.6093369227869645E-2</v>
      </c>
      <c r="Y133" s="13">
        <f t="shared" si="19"/>
        <v>0</v>
      </c>
      <c r="Z133" s="13">
        <f t="shared" si="19"/>
        <v>0</v>
      </c>
      <c r="AA133" t="str">
        <f t="shared" ca="1" si="12"/>
        <v/>
      </c>
      <c r="AB133" t="str">
        <f t="shared" ca="1" si="13"/>
        <v/>
      </c>
      <c r="AC133" s="24" t="str">
        <f t="shared" ca="1" si="14"/>
        <v/>
      </c>
      <c r="AD133" s="24" t="str">
        <f t="shared" ca="1" si="15"/>
        <v/>
      </c>
    </row>
    <row r="134" spans="3:30" x14ac:dyDescent="0.25">
      <c r="C134" s="6">
        <v>127</v>
      </c>
      <c r="D134" s="35">
        <v>42187</v>
      </c>
      <c r="E134" s="37">
        <v>22.375</v>
      </c>
      <c r="F134" s="37">
        <v>57.999202927039036</v>
      </c>
      <c r="G134" s="37">
        <v>44.95</v>
      </c>
      <c r="H134" s="37">
        <v>2.9300977808805051</v>
      </c>
      <c r="I134" s="37">
        <v>52.808332741076342</v>
      </c>
      <c r="J134" s="10">
        <v>0</v>
      </c>
      <c r="K134" s="38">
        <v>0</v>
      </c>
      <c r="L134" s="38">
        <v>0</v>
      </c>
      <c r="M134" s="38">
        <v>0</v>
      </c>
      <c r="N134" s="38">
        <v>0</v>
      </c>
      <c r="O134" s="38">
        <v>0</v>
      </c>
      <c r="P134" s="38">
        <v>1</v>
      </c>
      <c r="Q134" s="38">
        <v>0</v>
      </c>
      <c r="R134" s="38">
        <v>0</v>
      </c>
      <c r="S134" s="38">
        <v>0</v>
      </c>
      <c r="T134" s="38">
        <v>0</v>
      </c>
      <c r="U134" s="29" t="str" cm="1">
        <f t="array" aca="1" ref="U134" ca="1">+fair_value_gap(OFFSET(T133,0,0,-1*$J$5,-1*$AA$1),OFFSET(E133,0,0,-1*$J$5,1),F134:T134,0)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4" s="9" t="str" cm="1">
        <f t="array" aca="1" ref="V134" ca="1">z_score_diff(OFFSET(U134,0,0,$J$5*-1,1),OFFSET(E134,0,0,$J$5*-1,1))</f>
        <v/>
      </c>
      <c r="W134" s="9" t="str">
        <f t="shared" ca="1" si="11"/>
        <v/>
      </c>
      <c r="X134" s="17">
        <f t="shared" ca="1" si="10"/>
        <v>-2.3743342619319829E-2</v>
      </c>
      <c r="Y134" s="13">
        <f t="shared" si="19"/>
        <v>0</v>
      </c>
      <c r="Z134" s="13">
        <f t="shared" si="19"/>
        <v>0</v>
      </c>
      <c r="AA134" t="str">
        <f t="shared" ca="1" si="12"/>
        <v/>
      </c>
      <c r="AB134" t="str">
        <f t="shared" ca="1" si="13"/>
        <v/>
      </c>
      <c r="AC134" s="24" t="str">
        <f t="shared" ca="1" si="14"/>
        <v/>
      </c>
      <c r="AD134" s="24" t="str">
        <f t="shared" ca="1" si="15"/>
        <v/>
      </c>
    </row>
    <row r="135" spans="3:30" x14ac:dyDescent="0.25">
      <c r="C135" s="6">
        <v>128</v>
      </c>
      <c r="D135" s="35">
        <v>42188</v>
      </c>
      <c r="E135" s="37">
        <v>22.286999999999999</v>
      </c>
      <c r="F135" s="37">
        <v>56.486630301061631</v>
      </c>
      <c r="G135" s="37">
        <v>45.18</v>
      </c>
      <c r="H135" s="37">
        <v>2.9225886400406313</v>
      </c>
      <c r="I135" s="37">
        <v>52.403799993359797</v>
      </c>
      <c r="J135" s="10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1</v>
      </c>
      <c r="Q135" s="38">
        <v>0</v>
      </c>
      <c r="R135" s="38">
        <v>0</v>
      </c>
      <c r="S135" s="38">
        <v>0</v>
      </c>
      <c r="T135" s="38">
        <v>0</v>
      </c>
      <c r="U135" s="29" t="str" cm="1">
        <f t="array" aca="1" ref="U135" ca="1">+fair_value_gap(OFFSET(T134,0,0,-1*$J$5,-1*$AA$1),OFFSET(E134,0,0,-1*$J$5,1),F135:T135,0)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5" s="9" t="str" cm="1">
        <f t="array" aca="1" ref="V135" ca="1">z_score_diff(OFFSET(U135,0,0,$J$5*-1,1),OFFSET(E135,0,0,$J$5*-1,1))</f>
        <v/>
      </c>
      <c r="W135" s="9" t="str">
        <f t="shared" ca="1" si="11"/>
        <v/>
      </c>
      <c r="X135" s="17">
        <f t="shared" ref="X135:X198" ca="1" si="20">+LN(OFFSET(E135,$X$3,0,1,1)/E135)</f>
        <v>-3.4416906713307847E-2</v>
      </c>
      <c r="Y135" s="13">
        <f t="shared" si="19"/>
        <v>0</v>
      </c>
      <c r="Z135" s="13">
        <f t="shared" si="19"/>
        <v>0</v>
      </c>
      <c r="AA135" t="str">
        <f t="shared" ca="1" si="12"/>
        <v/>
      </c>
      <c r="AB135" t="str">
        <f t="shared" ca="1" si="13"/>
        <v/>
      </c>
      <c r="AC135" s="24" t="str">
        <f t="shared" ca="1" si="14"/>
        <v/>
      </c>
      <c r="AD135" s="24" t="str">
        <f t="shared" ca="1" si="15"/>
        <v/>
      </c>
    </row>
    <row r="136" spans="3:30" x14ac:dyDescent="0.25">
      <c r="C136" s="6">
        <v>129</v>
      </c>
      <c r="D136" s="35">
        <v>42191</v>
      </c>
      <c r="E136" s="37">
        <v>22.2</v>
      </c>
      <c r="F136" s="37">
        <v>53.409813444445952</v>
      </c>
      <c r="G136" s="37">
        <v>44.95</v>
      </c>
      <c r="H136" s="37">
        <v>2.8860419287778969</v>
      </c>
      <c r="I136" s="37">
        <v>52.174226743687917</v>
      </c>
      <c r="J136" s="10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1</v>
      </c>
      <c r="Q136" s="38">
        <v>0</v>
      </c>
      <c r="R136" s="38">
        <v>0</v>
      </c>
      <c r="S136" s="38">
        <v>0</v>
      </c>
      <c r="T136" s="38">
        <v>0</v>
      </c>
      <c r="U136" s="29" t="str" cm="1">
        <f t="array" aca="1" ref="U136" ca="1">+fair_value_gap(OFFSET(T135,0,0,-1*$J$5,-1*$AA$1),OFFSET(E135,0,0,-1*$J$5,1),F136:T136,0)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6" s="9" t="str" cm="1">
        <f t="array" aca="1" ref="V136" ca="1">z_score_diff(OFFSET(U136,0,0,$J$5*-1,1),OFFSET(E136,0,0,$J$5*-1,1))</f>
        <v/>
      </c>
      <c r="W136" s="9" t="str">
        <f t="shared" ref="W136:W199" ca="1" si="21">+IF(ISERROR(AVERAGE(OFFSET(V136,0,0,$W$5*-1,1))),"",AVERAGE(OFFSET(V136,0,0,$W$5*-1,1)))</f>
        <v/>
      </c>
      <c r="X136" s="17">
        <f t="shared" ca="1" si="20"/>
        <v>-4.1103565689227836E-2</v>
      </c>
      <c r="Y136" s="13">
        <f t="shared" si="19"/>
        <v>0</v>
      </c>
      <c r="Z136" s="13">
        <f t="shared" si="19"/>
        <v>0</v>
      </c>
      <c r="AA136" t="str">
        <f t="shared" ref="AA136:AA199" ca="1" si="22">+IF(W136="","",IF(W136&lt;Y136,1,0))</f>
        <v/>
      </c>
      <c r="AB136" t="str">
        <f t="shared" ref="AB136:AB199" ca="1" si="23">+IF(W136="","",IF(W136&gt;Z136,1,0))</f>
        <v/>
      </c>
      <c r="AC136" s="24" t="str">
        <f t="shared" ref="AC136:AC199" ca="1" si="24">+IF(ISERROR(AA136*X136),"",AA136*X136)</f>
        <v/>
      </c>
      <c r="AD136" s="24" t="str">
        <f t="shared" ref="AD136:AD199" ca="1" si="25">+IF(ISERROR(AB136*X136),"",AB136*X136)</f>
        <v/>
      </c>
    </row>
    <row r="137" spans="3:30" x14ac:dyDescent="0.25">
      <c r="C137" s="6">
        <v>130</v>
      </c>
      <c r="D137" s="35">
        <v>42192</v>
      </c>
      <c r="E137" s="37">
        <v>22.125</v>
      </c>
      <c r="F137" s="37">
        <v>53.903690984791176</v>
      </c>
      <c r="G137" s="37">
        <v>44.9</v>
      </c>
      <c r="H137" s="37">
        <v>2.8741386418516996</v>
      </c>
      <c r="I137" s="37">
        <v>51.964644107879877</v>
      </c>
      <c r="J137" s="10">
        <v>0</v>
      </c>
      <c r="K137" s="38">
        <v>0</v>
      </c>
      <c r="L137" s="38">
        <v>0</v>
      </c>
      <c r="M137" s="38">
        <v>0</v>
      </c>
      <c r="N137" s="38">
        <v>0</v>
      </c>
      <c r="O137" s="38">
        <v>0</v>
      </c>
      <c r="P137" s="38">
        <v>1</v>
      </c>
      <c r="Q137" s="38">
        <v>0</v>
      </c>
      <c r="R137" s="38">
        <v>0</v>
      </c>
      <c r="S137" s="38">
        <v>0</v>
      </c>
      <c r="T137" s="38">
        <v>0</v>
      </c>
      <c r="U137" s="29" t="str" cm="1">
        <f t="array" aca="1" ref="U137" ca="1">+fair_value_gap(OFFSET(T136,0,0,-1*$J$5,-1*$AA$1),OFFSET(E136,0,0,-1*$J$5,1),F137:T137,0)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7" s="9" t="str" cm="1">
        <f t="array" aca="1" ref="V137" ca="1">z_score_diff(OFFSET(U137,0,0,$J$5*-1,1),OFFSET(E137,0,0,$J$5*-1,1))</f>
        <v/>
      </c>
      <c r="W137" s="9" t="str">
        <f t="shared" ca="1" si="21"/>
        <v/>
      </c>
      <c r="X137" s="17">
        <f t="shared" ca="1" si="20"/>
        <v>-4.4926451488980106E-2</v>
      </c>
      <c r="Y137" s="13">
        <f t="shared" ref="Y137:Z152" si="26">+Y136</f>
        <v>0</v>
      </c>
      <c r="Z137" s="13">
        <f t="shared" si="26"/>
        <v>0</v>
      </c>
      <c r="AA137" t="str">
        <f t="shared" ca="1" si="22"/>
        <v/>
      </c>
      <c r="AB137" t="str">
        <f t="shared" ca="1" si="23"/>
        <v/>
      </c>
      <c r="AC137" s="24" t="str">
        <f t="shared" ca="1" si="24"/>
        <v/>
      </c>
      <c r="AD137" s="24" t="str">
        <f t="shared" ca="1" si="25"/>
        <v/>
      </c>
    </row>
    <row r="138" spans="3:30" x14ac:dyDescent="0.25">
      <c r="C138" s="6">
        <v>131</v>
      </c>
      <c r="D138" s="35">
        <v>42193</v>
      </c>
      <c r="E138" s="37">
        <v>21.847999999999999</v>
      </c>
      <c r="F138" s="37">
        <v>53.467270090288473</v>
      </c>
      <c r="G138" s="37">
        <v>44.88</v>
      </c>
      <c r="H138" s="37">
        <v>2.8439654186769032</v>
      </c>
      <c r="I138" s="37">
        <v>51.945807109103299</v>
      </c>
      <c r="J138" s="10">
        <v>0</v>
      </c>
      <c r="K138" s="38">
        <v>0</v>
      </c>
      <c r="L138" s="38">
        <v>0</v>
      </c>
      <c r="M138" s="38">
        <v>0</v>
      </c>
      <c r="N138" s="38">
        <v>0</v>
      </c>
      <c r="O138" s="38">
        <v>0</v>
      </c>
      <c r="P138" s="38">
        <v>1</v>
      </c>
      <c r="Q138" s="38">
        <v>0</v>
      </c>
      <c r="R138" s="38">
        <v>0</v>
      </c>
      <c r="S138" s="38">
        <v>0</v>
      </c>
      <c r="T138" s="38">
        <v>0</v>
      </c>
      <c r="U138" s="29" t="str" cm="1">
        <f t="array" aca="1" ref="U138" ca="1">+fair_value_gap(OFFSET(T137,0,0,-1*$J$5,-1*$AA$1),OFFSET(E137,0,0,-1*$J$5,1),F138:T138,0)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8" s="9" t="str" cm="1">
        <f t="array" aca="1" ref="V138" ca="1">z_score_diff(OFFSET(U138,0,0,$J$5*-1,1),OFFSET(E138,0,0,$J$5*-1,1))</f>
        <v/>
      </c>
      <c r="W138" s="9" t="str">
        <f t="shared" ca="1" si="21"/>
        <v/>
      </c>
      <c r="X138" s="17">
        <f t="shared" ca="1" si="20"/>
        <v>-2.8788319205755229E-2</v>
      </c>
      <c r="Y138" s="13">
        <f t="shared" si="26"/>
        <v>0</v>
      </c>
      <c r="Z138" s="13">
        <f t="shared" si="26"/>
        <v>0</v>
      </c>
      <c r="AA138" t="str">
        <f t="shared" ca="1" si="22"/>
        <v/>
      </c>
      <c r="AB138" t="str">
        <f t="shared" ca="1" si="23"/>
        <v/>
      </c>
      <c r="AC138" s="24" t="str">
        <f t="shared" ca="1" si="24"/>
        <v/>
      </c>
      <c r="AD138" s="24" t="str">
        <f t="shared" ca="1" si="25"/>
        <v/>
      </c>
    </row>
    <row r="139" spans="3:30" x14ac:dyDescent="0.25">
      <c r="C139" s="6">
        <v>132</v>
      </c>
      <c r="D139" s="35">
        <v>42194</v>
      </c>
      <c r="E139" s="37">
        <v>22.155999999999999</v>
      </c>
      <c r="F139" s="37">
        <v>54.887093668730358</v>
      </c>
      <c r="G139" s="37">
        <v>45.25</v>
      </c>
      <c r="H139" s="37">
        <v>2.8835610804224281</v>
      </c>
      <c r="I139" s="37">
        <v>52.428383280407786</v>
      </c>
      <c r="J139" s="10">
        <v>0</v>
      </c>
      <c r="K139" s="38">
        <v>0</v>
      </c>
      <c r="L139" s="38">
        <v>0</v>
      </c>
      <c r="M139" s="38">
        <v>0</v>
      </c>
      <c r="N139" s="38">
        <v>0</v>
      </c>
      <c r="O139" s="38">
        <v>0</v>
      </c>
      <c r="P139" s="38">
        <v>1</v>
      </c>
      <c r="Q139" s="38">
        <v>0</v>
      </c>
      <c r="R139" s="38">
        <v>0</v>
      </c>
      <c r="S139" s="38">
        <v>0</v>
      </c>
      <c r="T139" s="38">
        <v>0</v>
      </c>
      <c r="U139" s="29" t="str" cm="1">
        <f t="array" aca="1" ref="U139" ca="1">+fair_value_gap(OFFSET(T138,0,0,-1*$J$5,-1*$AA$1),OFFSET(E138,0,0,-1*$J$5,1),F139:T139,0)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9" s="9" t="str" cm="1">
        <f t="array" aca="1" ref="V139" ca="1">z_score_diff(OFFSET(U139,0,0,$J$5*-1,1),OFFSET(E139,0,0,$J$5*-1,1))</f>
        <v/>
      </c>
      <c r="W139" s="9" t="str">
        <f t="shared" ca="1" si="21"/>
        <v/>
      </c>
      <c r="X139" s="17">
        <f t="shared" ca="1" si="20"/>
        <v>-4.0528663290786221E-2</v>
      </c>
      <c r="Y139" s="13">
        <f t="shared" si="26"/>
        <v>0</v>
      </c>
      <c r="Z139" s="13">
        <f t="shared" si="26"/>
        <v>0</v>
      </c>
      <c r="AA139" t="str">
        <f t="shared" ca="1" si="22"/>
        <v/>
      </c>
      <c r="AB139" t="str">
        <f t="shared" ca="1" si="23"/>
        <v/>
      </c>
      <c r="AC139" s="24" t="str">
        <f t="shared" ca="1" si="24"/>
        <v/>
      </c>
      <c r="AD139" s="24" t="str">
        <f t="shared" ca="1" si="25"/>
        <v/>
      </c>
    </row>
    <row r="140" spans="3:30" x14ac:dyDescent="0.25">
      <c r="C140" s="6">
        <v>133</v>
      </c>
      <c r="D140" s="35">
        <v>42195</v>
      </c>
      <c r="E140" s="37">
        <v>22.206</v>
      </c>
      <c r="F140" s="37">
        <v>54.441094360692347</v>
      </c>
      <c r="G140" s="37">
        <v>45.1</v>
      </c>
      <c r="H140" s="37">
        <v>2.8801786711334452</v>
      </c>
      <c r="I140" s="37">
        <v>51.948632049134559</v>
      </c>
      <c r="J140" s="10">
        <v>0</v>
      </c>
      <c r="K140" s="38">
        <v>0</v>
      </c>
      <c r="L140" s="38">
        <v>0</v>
      </c>
      <c r="M140" s="38">
        <v>0</v>
      </c>
      <c r="N140" s="38">
        <v>0</v>
      </c>
      <c r="O140" s="38">
        <v>0</v>
      </c>
      <c r="P140" s="38">
        <v>1</v>
      </c>
      <c r="Q140" s="38">
        <v>0</v>
      </c>
      <c r="R140" s="38">
        <v>0</v>
      </c>
      <c r="S140" s="38">
        <v>0</v>
      </c>
      <c r="T140" s="38">
        <v>0</v>
      </c>
      <c r="U140" s="29" t="str" cm="1">
        <f t="array" aca="1" ref="U140" ca="1">+fair_value_gap(OFFSET(T139,0,0,-1*$J$5,-1*$AA$1),OFFSET(E139,0,0,-1*$J$5,1),F140:T140,0)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0" s="9" t="str" cm="1">
        <f t="array" aca="1" ref="V140" ca="1">z_score_diff(OFFSET(U140,0,0,$J$5*-1,1),OFFSET(E140,0,0,$J$5*-1,1))</f>
        <v/>
      </c>
      <c r="W140" s="9" t="str">
        <f t="shared" ca="1" si="21"/>
        <v/>
      </c>
      <c r="X140" s="17">
        <f t="shared" ca="1" si="20"/>
        <v>-5.2654687487740617E-2</v>
      </c>
      <c r="Y140" s="13">
        <f t="shared" si="26"/>
        <v>0</v>
      </c>
      <c r="Z140" s="13">
        <f t="shared" si="26"/>
        <v>0</v>
      </c>
      <c r="AA140" t="str">
        <f t="shared" ca="1" si="22"/>
        <v/>
      </c>
      <c r="AB140" t="str">
        <f t="shared" ca="1" si="23"/>
        <v/>
      </c>
      <c r="AC140" s="24" t="str">
        <f t="shared" ca="1" si="24"/>
        <v/>
      </c>
      <c r="AD140" s="24" t="str">
        <f t="shared" ca="1" si="25"/>
        <v/>
      </c>
    </row>
    <row r="141" spans="3:30" x14ac:dyDescent="0.25">
      <c r="C141" s="6">
        <v>134</v>
      </c>
      <c r="D141" s="35">
        <v>42198</v>
      </c>
      <c r="E141" s="37">
        <v>22.05</v>
      </c>
      <c r="F141" s="37">
        <v>54.562076366973912</v>
      </c>
      <c r="G141" s="37">
        <v>45.85</v>
      </c>
      <c r="H141" s="37">
        <v>2.9772664055442757</v>
      </c>
      <c r="I141" s="37">
        <v>52.369445599652806</v>
      </c>
      <c r="J141" s="10">
        <v>0</v>
      </c>
      <c r="K141" s="38">
        <v>0</v>
      </c>
      <c r="L141" s="38">
        <v>0</v>
      </c>
      <c r="M141" s="38">
        <v>0</v>
      </c>
      <c r="N141" s="38">
        <v>0</v>
      </c>
      <c r="O141" s="38">
        <v>0</v>
      </c>
      <c r="P141" s="38">
        <v>1</v>
      </c>
      <c r="Q141" s="38">
        <v>0</v>
      </c>
      <c r="R141" s="38">
        <v>0</v>
      </c>
      <c r="S141" s="38">
        <v>0</v>
      </c>
      <c r="T141" s="38">
        <v>0</v>
      </c>
      <c r="U141" s="29" t="str" cm="1">
        <f t="array" aca="1" ref="U141" ca="1">+fair_value_gap(OFFSET(T140,0,0,-1*$J$5,-1*$AA$1),OFFSET(E140,0,0,-1*$J$5,1),F141:T141,0)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1" s="9" t="str" cm="1">
        <f t="array" aca="1" ref="V141" ca="1">z_score_diff(OFFSET(U141,0,0,$J$5*-1,1),OFFSET(E141,0,0,$J$5*-1,1))</f>
        <v/>
      </c>
      <c r="W141" s="9" t="str">
        <f t="shared" ca="1" si="21"/>
        <v/>
      </c>
      <c r="X141" s="17">
        <f t="shared" ca="1" si="20"/>
        <v>-4.5082759381110109E-2</v>
      </c>
      <c r="Y141" s="13">
        <f t="shared" si="26"/>
        <v>0</v>
      </c>
      <c r="Z141" s="13">
        <f t="shared" si="26"/>
        <v>0</v>
      </c>
      <c r="AA141" t="str">
        <f t="shared" ca="1" si="22"/>
        <v/>
      </c>
      <c r="AB141" t="str">
        <f t="shared" ca="1" si="23"/>
        <v/>
      </c>
      <c r="AC141" s="24" t="str">
        <f t="shared" ca="1" si="24"/>
        <v/>
      </c>
      <c r="AD141" s="24" t="str">
        <f t="shared" ca="1" si="25"/>
        <v/>
      </c>
    </row>
    <row r="142" spans="3:30" x14ac:dyDescent="0.25">
      <c r="C142" s="6">
        <v>135</v>
      </c>
      <c r="D142" s="35">
        <v>42199</v>
      </c>
      <c r="E142" s="37">
        <v>22.062999999999999</v>
      </c>
      <c r="F142" s="37">
        <v>54.934504303278317</v>
      </c>
      <c r="G142" s="37">
        <v>45.38</v>
      </c>
      <c r="H142" s="37">
        <v>2.9482574032509632</v>
      </c>
      <c r="I142" s="37">
        <v>52.307792638323541</v>
      </c>
      <c r="J142" s="10">
        <v>0</v>
      </c>
      <c r="K142" s="38">
        <v>0</v>
      </c>
      <c r="L142" s="38">
        <v>0</v>
      </c>
      <c r="M142" s="38">
        <v>0</v>
      </c>
      <c r="N142" s="38">
        <v>0</v>
      </c>
      <c r="O142" s="38">
        <v>0</v>
      </c>
      <c r="P142" s="38">
        <v>1</v>
      </c>
      <c r="Q142" s="38">
        <v>0</v>
      </c>
      <c r="R142" s="38">
        <v>0</v>
      </c>
      <c r="S142" s="38">
        <v>0</v>
      </c>
      <c r="T142" s="38">
        <v>0</v>
      </c>
      <c r="U142" s="29" t="str" cm="1">
        <f t="array" aca="1" ref="U142" ca="1">+fair_value_gap(OFFSET(T141,0,0,-1*$J$5,-1*$AA$1),OFFSET(E141,0,0,-1*$J$5,1),F142:T142,0)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2" s="9" t="str" cm="1">
        <f t="array" aca="1" ref="V142" ca="1">z_score_diff(OFFSET(U142,0,0,$J$5*-1,1),OFFSET(E142,0,0,$J$5*-1,1))</f>
        <v/>
      </c>
      <c r="W142" s="9" t="str">
        <f t="shared" ca="1" si="21"/>
        <v/>
      </c>
      <c r="X142" s="17">
        <f t="shared" ca="1" si="20"/>
        <v>-4.8617944942995851E-2</v>
      </c>
      <c r="Y142" s="13">
        <f t="shared" si="26"/>
        <v>0</v>
      </c>
      <c r="Z142" s="13">
        <f t="shared" si="26"/>
        <v>0</v>
      </c>
      <c r="AA142" t="str">
        <f t="shared" ca="1" si="22"/>
        <v/>
      </c>
      <c r="AB142" t="str">
        <f t="shared" ca="1" si="23"/>
        <v/>
      </c>
      <c r="AC142" s="24" t="str">
        <f t="shared" ca="1" si="24"/>
        <v/>
      </c>
      <c r="AD142" s="24" t="str">
        <f t="shared" ca="1" si="25"/>
        <v/>
      </c>
    </row>
    <row r="143" spans="3:30" x14ac:dyDescent="0.25">
      <c r="C143" s="6">
        <v>136</v>
      </c>
      <c r="D143" s="35">
        <v>42200</v>
      </c>
      <c r="E143" s="37">
        <v>22.151</v>
      </c>
      <c r="F143" s="37">
        <v>53.637418337258239</v>
      </c>
      <c r="G143" s="37">
        <v>45.4</v>
      </c>
      <c r="H143" s="37">
        <v>3.0051524705085262</v>
      </c>
      <c r="I143" s="37">
        <v>52.22590732838303</v>
      </c>
      <c r="J143" s="10">
        <v>0</v>
      </c>
      <c r="K143" s="38">
        <v>0</v>
      </c>
      <c r="L143" s="38">
        <v>0</v>
      </c>
      <c r="M143" s="38">
        <v>0</v>
      </c>
      <c r="N143" s="38">
        <v>0</v>
      </c>
      <c r="O143" s="38">
        <v>0</v>
      </c>
      <c r="P143" s="38">
        <v>1</v>
      </c>
      <c r="Q143" s="38">
        <v>0</v>
      </c>
      <c r="R143" s="38">
        <v>0</v>
      </c>
      <c r="S143" s="38">
        <v>0</v>
      </c>
      <c r="T143" s="38">
        <v>0</v>
      </c>
      <c r="U143" s="29" t="str" cm="1">
        <f t="array" aca="1" ref="U143" ca="1">+fair_value_gap(OFFSET(T142,0,0,-1*$J$5,-1*$AA$1),OFFSET(E142,0,0,-1*$J$5,1),F143:T143,0)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3" s="9" t="str" cm="1">
        <f t="array" aca="1" ref="V143" ca="1">z_score_diff(OFFSET(U143,0,0,$J$5*-1,1),OFFSET(E143,0,0,$J$5*-1,1))</f>
        <v/>
      </c>
      <c r="W143" s="9" t="str">
        <f t="shared" ca="1" si="21"/>
        <v/>
      </c>
      <c r="X143" s="17">
        <f t="shared" ca="1" si="20"/>
        <v>-6.4324859104952767E-2</v>
      </c>
      <c r="Y143" s="13">
        <f t="shared" si="26"/>
        <v>0</v>
      </c>
      <c r="Z143" s="13">
        <f t="shared" si="26"/>
        <v>0</v>
      </c>
      <c r="AA143" t="str">
        <f t="shared" ca="1" si="22"/>
        <v/>
      </c>
      <c r="AB143" t="str">
        <f t="shared" ca="1" si="23"/>
        <v/>
      </c>
      <c r="AC143" s="24" t="str">
        <f t="shared" ca="1" si="24"/>
        <v/>
      </c>
      <c r="AD143" s="24" t="str">
        <f t="shared" ca="1" si="25"/>
        <v/>
      </c>
    </row>
    <row r="144" spans="3:30" x14ac:dyDescent="0.25">
      <c r="C144" s="6">
        <v>137</v>
      </c>
      <c r="D144" s="35">
        <v>42201</v>
      </c>
      <c r="E144" s="37">
        <v>22.324000000000002</v>
      </c>
      <c r="F144" s="37">
        <v>53.883626398302553</v>
      </c>
      <c r="G144" s="37">
        <v>45.38</v>
      </c>
      <c r="H144" s="37">
        <v>2.9842675208857479</v>
      </c>
      <c r="I144" s="37">
        <v>52.563802924692155</v>
      </c>
      <c r="J144" s="10">
        <v>0</v>
      </c>
      <c r="K144" s="38">
        <v>0</v>
      </c>
      <c r="L144" s="38">
        <v>0</v>
      </c>
      <c r="M144" s="38">
        <v>0</v>
      </c>
      <c r="N144" s="38">
        <v>0</v>
      </c>
      <c r="O144" s="38">
        <v>0</v>
      </c>
      <c r="P144" s="38">
        <v>1</v>
      </c>
      <c r="Q144" s="38">
        <v>0</v>
      </c>
      <c r="R144" s="38">
        <v>0</v>
      </c>
      <c r="S144" s="38">
        <v>0</v>
      </c>
      <c r="T144" s="38">
        <v>0</v>
      </c>
      <c r="U144" s="29" t="str" cm="1">
        <f t="array" aca="1" ref="U144" ca="1">+fair_value_gap(OFFSET(T143,0,0,-1*$J$5,-1*$AA$1),OFFSET(E143,0,0,-1*$J$5,1),F144:T144,0)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4" s="9" t="str" cm="1">
        <f t="array" aca="1" ref="V144" ca="1">z_score_diff(OFFSET(U144,0,0,$J$5*-1,1),OFFSET(E144,0,0,$J$5*-1,1))</f>
        <v/>
      </c>
      <c r="W144" s="9" t="str">
        <f t="shared" ca="1" si="21"/>
        <v/>
      </c>
      <c r="X144" s="17">
        <f t="shared" ca="1" si="20"/>
        <v>-6.898007304324219E-2</v>
      </c>
      <c r="Y144" s="13">
        <f t="shared" si="26"/>
        <v>0</v>
      </c>
      <c r="Z144" s="13">
        <f t="shared" si="26"/>
        <v>0</v>
      </c>
      <c r="AA144" t="str">
        <f t="shared" ca="1" si="22"/>
        <v/>
      </c>
      <c r="AB144" t="str">
        <f t="shared" ca="1" si="23"/>
        <v/>
      </c>
      <c r="AC144" s="24" t="str">
        <f t="shared" ca="1" si="24"/>
        <v/>
      </c>
      <c r="AD144" s="24" t="str">
        <f t="shared" ca="1" si="25"/>
        <v/>
      </c>
    </row>
    <row r="145" spans="3:30" x14ac:dyDescent="0.25">
      <c r="C145" s="6">
        <v>138</v>
      </c>
      <c r="D145" s="35">
        <v>42202</v>
      </c>
      <c r="E145" s="37">
        <v>22.135000000000002</v>
      </c>
      <c r="F145" s="37">
        <v>54.565711812749186</v>
      </c>
      <c r="G145" s="37">
        <v>45.65</v>
      </c>
      <c r="H145" s="37">
        <v>3.0128081176394756</v>
      </c>
      <c r="I145" s="37">
        <v>52.668894966069075</v>
      </c>
      <c r="J145" s="10">
        <v>0</v>
      </c>
      <c r="K145" s="38">
        <v>0</v>
      </c>
      <c r="L145" s="38">
        <v>0</v>
      </c>
      <c r="M145" s="38">
        <v>0</v>
      </c>
      <c r="N145" s="38">
        <v>0</v>
      </c>
      <c r="O145" s="38">
        <v>0</v>
      </c>
      <c r="P145" s="38">
        <v>1</v>
      </c>
      <c r="Q145" s="38">
        <v>0</v>
      </c>
      <c r="R145" s="38">
        <v>0</v>
      </c>
      <c r="S145" s="38">
        <v>0</v>
      </c>
      <c r="T145" s="38">
        <v>0</v>
      </c>
      <c r="U145" s="29" t="str" cm="1">
        <f t="array" aca="1" ref="U145" ca="1">+fair_value_gap(OFFSET(T144,0,0,-1*$J$5,-1*$AA$1),OFFSET(E144,0,0,-1*$J$5,1),F145:T145,0)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5" s="9" t="str" cm="1">
        <f t="array" aca="1" ref="V145" ca="1">z_score_diff(OFFSET(U145,0,0,$J$5*-1,1),OFFSET(E145,0,0,$J$5*-1,1))</f>
        <v/>
      </c>
      <c r="W145" s="9" t="str">
        <f t="shared" ca="1" si="21"/>
        <v/>
      </c>
      <c r="X145" s="17">
        <f t="shared" ca="1" si="20"/>
        <v>-6.0189884613868698E-2</v>
      </c>
      <c r="Y145" s="13">
        <f t="shared" si="26"/>
        <v>0</v>
      </c>
      <c r="Z145" s="13">
        <f t="shared" si="26"/>
        <v>0</v>
      </c>
      <c r="AA145" t="str">
        <f t="shared" ca="1" si="22"/>
        <v/>
      </c>
      <c r="AB145" t="str">
        <f t="shared" ca="1" si="23"/>
        <v/>
      </c>
      <c r="AC145" s="24" t="str">
        <f t="shared" ca="1" si="24"/>
        <v/>
      </c>
      <c r="AD145" s="24" t="str">
        <f t="shared" ca="1" si="25"/>
        <v/>
      </c>
    </row>
    <row r="146" spans="3:30" x14ac:dyDescent="0.25">
      <c r="C146" s="6">
        <v>139</v>
      </c>
      <c r="D146" s="35">
        <v>42205</v>
      </c>
      <c r="E146" s="37">
        <v>22.035</v>
      </c>
      <c r="F146" s="37">
        <v>54.25161327165781</v>
      </c>
      <c r="G146" s="37">
        <v>45.4</v>
      </c>
      <c r="H146" s="37">
        <v>2.986141429995155</v>
      </c>
      <c r="I146" s="37">
        <v>52.869993239272638</v>
      </c>
      <c r="J146" s="10">
        <v>0</v>
      </c>
      <c r="K146" s="38">
        <v>0</v>
      </c>
      <c r="L146" s="38">
        <v>0</v>
      </c>
      <c r="M146" s="38">
        <v>0</v>
      </c>
      <c r="N146" s="38">
        <v>0</v>
      </c>
      <c r="O146" s="38">
        <v>0</v>
      </c>
      <c r="P146" s="38">
        <v>1</v>
      </c>
      <c r="Q146" s="38">
        <v>0</v>
      </c>
      <c r="R146" s="38">
        <v>0</v>
      </c>
      <c r="S146" s="38">
        <v>0</v>
      </c>
      <c r="T146" s="38">
        <v>0</v>
      </c>
      <c r="U146" s="29" t="str" cm="1">
        <f t="array" aca="1" ref="U146" ca="1">+fair_value_gap(OFFSET(T145,0,0,-1*$J$5,-1*$AA$1),OFFSET(E145,0,0,-1*$J$5,1),F146:T146,0)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6" s="9" t="str" cm="1">
        <f t="array" aca="1" ref="V146" ca="1">z_score_diff(OFFSET(U146,0,0,$J$5*-1,1),OFFSET(E146,0,0,$J$5*-1,1))</f>
        <v/>
      </c>
      <c r="W146" s="9" t="str">
        <f t="shared" ca="1" si="21"/>
        <v/>
      </c>
      <c r="X146" s="17">
        <f t="shared" ca="1" si="20"/>
        <v>-6.1532680902668113E-2</v>
      </c>
      <c r="Y146" s="13">
        <f t="shared" si="26"/>
        <v>0</v>
      </c>
      <c r="Z146" s="13">
        <f t="shared" si="26"/>
        <v>0</v>
      </c>
      <c r="AA146" t="str">
        <f t="shared" ca="1" si="22"/>
        <v/>
      </c>
      <c r="AB146" t="str">
        <f t="shared" ca="1" si="23"/>
        <v/>
      </c>
      <c r="AC146" s="24" t="str">
        <f t="shared" ca="1" si="24"/>
        <v/>
      </c>
      <c r="AD146" s="24" t="str">
        <f t="shared" ca="1" si="25"/>
        <v/>
      </c>
    </row>
    <row r="147" spans="3:30" x14ac:dyDescent="0.25">
      <c r="C147" s="6">
        <v>140</v>
      </c>
      <c r="D147" s="35">
        <v>42206</v>
      </c>
      <c r="E147" s="37">
        <v>21.902999999999999</v>
      </c>
      <c r="F147" s="37">
        <v>54.221095907893421</v>
      </c>
      <c r="G147" s="37">
        <v>45.35</v>
      </c>
      <c r="H147" s="37">
        <v>3.0091432009407564</v>
      </c>
      <c r="I147" s="37">
        <v>52.598474006144095</v>
      </c>
      <c r="J147" s="10">
        <v>0</v>
      </c>
      <c r="K147" s="38">
        <v>0</v>
      </c>
      <c r="L147" s="38">
        <v>0</v>
      </c>
      <c r="M147" s="38">
        <v>0</v>
      </c>
      <c r="N147" s="38">
        <v>0</v>
      </c>
      <c r="O147" s="38">
        <v>0</v>
      </c>
      <c r="P147" s="38">
        <v>1</v>
      </c>
      <c r="Q147" s="38">
        <v>0</v>
      </c>
      <c r="R147" s="38">
        <v>0</v>
      </c>
      <c r="S147" s="38">
        <v>0</v>
      </c>
      <c r="T147" s="38">
        <v>0</v>
      </c>
      <c r="U147" s="29" t="str" cm="1">
        <f t="array" aca="1" ref="U147" ca="1">+fair_value_gap(OFFSET(T146,0,0,-1*$J$5,-1*$AA$1),OFFSET(E146,0,0,-1*$J$5,1),F147:T147,0)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7" s="9" t="str" cm="1">
        <f t="array" aca="1" ref="V147" ca="1">z_score_diff(OFFSET(U147,0,0,$J$5*-1,1),OFFSET(E147,0,0,$J$5*-1,1))</f>
        <v/>
      </c>
      <c r="W147" s="9" t="str">
        <f t="shared" ca="1" si="21"/>
        <v/>
      </c>
      <c r="X147" s="17">
        <f t="shared" ca="1" si="20"/>
        <v>-5.3065830648086905E-2</v>
      </c>
      <c r="Y147" s="13">
        <f t="shared" si="26"/>
        <v>0</v>
      </c>
      <c r="Z147" s="13">
        <f t="shared" si="26"/>
        <v>0</v>
      </c>
      <c r="AA147" t="str">
        <f t="shared" ca="1" si="22"/>
        <v/>
      </c>
      <c r="AB147" t="str">
        <f t="shared" ca="1" si="23"/>
        <v/>
      </c>
      <c r="AC147" s="24" t="str">
        <f t="shared" ca="1" si="24"/>
        <v/>
      </c>
      <c r="AD147" s="24" t="str">
        <f t="shared" ca="1" si="25"/>
        <v/>
      </c>
    </row>
    <row r="148" spans="3:30" x14ac:dyDescent="0.25">
      <c r="C148" s="6">
        <v>141</v>
      </c>
      <c r="D148" s="35">
        <v>42207</v>
      </c>
      <c r="E148" s="37">
        <v>21.754999999999999</v>
      </c>
      <c r="F148" s="37">
        <v>53.417828690711225</v>
      </c>
      <c r="G148" s="37">
        <v>44.9</v>
      </c>
      <c r="H148" s="37">
        <v>3.0226006225845654</v>
      </c>
      <c r="I148" s="37">
        <v>52.04931044927541</v>
      </c>
      <c r="J148" s="10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1</v>
      </c>
      <c r="Q148" s="38">
        <v>0</v>
      </c>
      <c r="R148" s="38">
        <v>0</v>
      </c>
      <c r="S148" s="38">
        <v>0</v>
      </c>
      <c r="T148" s="38">
        <v>0</v>
      </c>
      <c r="U148" s="29" t="str" cm="1">
        <f t="array" aca="1" ref="U148" ca="1">+fair_value_gap(OFFSET(T147,0,0,-1*$J$5,-1*$AA$1),OFFSET(E147,0,0,-1*$J$5,1),F148:T148,0)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8" s="9" t="str" cm="1">
        <f t="array" aca="1" ref="V148" ca="1">z_score_diff(OFFSET(U148,0,0,$J$5*-1,1),OFFSET(E148,0,0,$J$5*-1,1))</f>
        <v/>
      </c>
      <c r="W148" s="9" t="str">
        <f t="shared" ca="1" si="21"/>
        <v/>
      </c>
      <c r="X148" s="17">
        <f t="shared" ca="1" si="20"/>
        <v>-5.3291200278766118E-2</v>
      </c>
      <c r="Y148" s="13">
        <f t="shared" si="26"/>
        <v>0</v>
      </c>
      <c r="Z148" s="13">
        <f t="shared" si="26"/>
        <v>0</v>
      </c>
      <c r="AA148" t="str">
        <f t="shared" ca="1" si="22"/>
        <v/>
      </c>
      <c r="AB148" t="str">
        <f t="shared" ca="1" si="23"/>
        <v/>
      </c>
      <c r="AC148" s="24" t="str">
        <f t="shared" ca="1" si="24"/>
        <v/>
      </c>
      <c r="AD148" s="24" t="str">
        <f t="shared" ca="1" si="25"/>
        <v/>
      </c>
    </row>
    <row r="149" spans="3:30" x14ac:dyDescent="0.25">
      <c r="C149" s="6">
        <v>142</v>
      </c>
      <c r="D149" s="35">
        <v>42208</v>
      </c>
      <c r="E149" s="37">
        <v>21.75</v>
      </c>
      <c r="F149" s="37">
        <v>52.438841771376453</v>
      </c>
      <c r="G149" s="37">
        <v>44.35</v>
      </c>
      <c r="H149" s="37">
        <v>2.9368655585353789</v>
      </c>
      <c r="I149" s="37">
        <v>51.277164418185691</v>
      </c>
      <c r="J149" s="10">
        <v>0</v>
      </c>
      <c r="K149" s="38">
        <v>0</v>
      </c>
      <c r="L149" s="38">
        <v>0</v>
      </c>
      <c r="M149" s="38">
        <v>0</v>
      </c>
      <c r="N149" s="38">
        <v>0</v>
      </c>
      <c r="O149" s="38">
        <v>0</v>
      </c>
      <c r="P149" s="38">
        <v>1</v>
      </c>
      <c r="Q149" s="38">
        <v>0</v>
      </c>
      <c r="R149" s="38">
        <v>0</v>
      </c>
      <c r="S149" s="38">
        <v>0</v>
      </c>
      <c r="T149" s="38">
        <v>0</v>
      </c>
      <c r="U149" s="29" t="str" cm="1">
        <f t="array" aca="1" ref="U149" ca="1">+fair_value_gap(OFFSET(T148,0,0,-1*$J$5,-1*$AA$1),OFFSET(E148,0,0,-1*$J$5,1),F149:T149,0)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9" s="9" t="str" cm="1">
        <f t="array" aca="1" ref="V149" ca="1">z_score_diff(OFFSET(U149,0,0,$J$5*-1,1),OFFSET(E149,0,0,$J$5*-1,1))</f>
        <v/>
      </c>
      <c r="W149" s="9" t="str">
        <f t="shared" ca="1" si="21"/>
        <v/>
      </c>
      <c r="X149" s="17">
        <f t="shared" ca="1" si="20"/>
        <v>-7.0619809997516964E-2</v>
      </c>
      <c r="Y149" s="13">
        <f t="shared" si="26"/>
        <v>0</v>
      </c>
      <c r="Z149" s="13">
        <f t="shared" si="26"/>
        <v>0</v>
      </c>
      <c r="AA149" t="str">
        <f t="shared" ca="1" si="22"/>
        <v/>
      </c>
      <c r="AB149" t="str">
        <f t="shared" ca="1" si="23"/>
        <v/>
      </c>
      <c r="AC149" s="24" t="str">
        <f t="shared" ca="1" si="24"/>
        <v/>
      </c>
      <c r="AD149" s="24" t="str">
        <f t="shared" ca="1" si="25"/>
        <v/>
      </c>
    </row>
    <row r="150" spans="3:30" x14ac:dyDescent="0.25">
      <c r="C150" s="6">
        <v>143</v>
      </c>
      <c r="D150" s="35">
        <v>42209</v>
      </c>
      <c r="E150" s="37">
        <v>21.728000000000002</v>
      </c>
      <c r="F150" s="37">
        <v>51.856019018410471</v>
      </c>
      <c r="G150" s="37">
        <v>44.4</v>
      </c>
      <c r="H150" s="37">
        <v>2.8999446506183708</v>
      </c>
      <c r="I150" s="37">
        <v>51.220862180039745</v>
      </c>
      <c r="J150" s="10">
        <v>0</v>
      </c>
      <c r="K150" s="38">
        <v>0</v>
      </c>
      <c r="L150" s="38">
        <v>0</v>
      </c>
      <c r="M150" s="38">
        <v>0</v>
      </c>
      <c r="N150" s="38">
        <v>0</v>
      </c>
      <c r="O150" s="38">
        <v>0</v>
      </c>
      <c r="P150" s="38">
        <v>1</v>
      </c>
      <c r="Q150" s="38">
        <v>0</v>
      </c>
      <c r="R150" s="38">
        <v>0</v>
      </c>
      <c r="S150" s="38">
        <v>0</v>
      </c>
      <c r="T150" s="38">
        <v>0</v>
      </c>
      <c r="U150" s="29" t="str" cm="1">
        <f t="array" aca="1" ref="U150" ca="1">+fair_value_gap(OFFSET(T149,0,0,-1*$J$5,-1*$AA$1),OFFSET(E149,0,0,-1*$J$5,1),F150:T150,0)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0" s="9" t="str" cm="1">
        <f t="array" aca="1" ref="V150" ca="1">z_score_diff(OFFSET(U150,0,0,$J$5*-1,1),OFFSET(E150,0,0,$J$5*-1,1))</f>
        <v/>
      </c>
      <c r="W150" s="9" t="str">
        <f t="shared" ca="1" si="21"/>
        <v/>
      </c>
      <c r="X150" s="17">
        <f t="shared" ca="1" si="20"/>
        <v>-7.4702915155901176E-2</v>
      </c>
      <c r="Y150" s="13">
        <f t="shared" si="26"/>
        <v>0</v>
      </c>
      <c r="Z150" s="13">
        <f t="shared" si="26"/>
        <v>0</v>
      </c>
      <c r="AA150" t="str">
        <f t="shared" ca="1" si="22"/>
        <v/>
      </c>
      <c r="AB150" t="str">
        <f t="shared" ca="1" si="23"/>
        <v/>
      </c>
      <c r="AC150" s="24" t="str">
        <f t="shared" ca="1" si="24"/>
        <v/>
      </c>
      <c r="AD150" s="24" t="str">
        <f t="shared" ca="1" si="25"/>
        <v/>
      </c>
    </row>
    <row r="151" spans="3:30" x14ac:dyDescent="0.25">
      <c r="C151" s="6">
        <v>144</v>
      </c>
      <c r="D151" s="35">
        <v>42212</v>
      </c>
      <c r="E151" s="37">
        <v>21.562999999999999</v>
      </c>
      <c r="F151" s="37">
        <v>50.542411851894464</v>
      </c>
      <c r="G151" s="37">
        <v>44.53</v>
      </c>
      <c r="H151" s="37">
        <v>2.8871105614135701</v>
      </c>
      <c r="I151" s="37">
        <v>50.290733471696527</v>
      </c>
      <c r="J151" s="10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1</v>
      </c>
      <c r="Q151" s="38">
        <v>0</v>
      </c>
      <c r="R151" s="38">
        <v>0</v>
      </c>
      <c r="S151" s="38">
        <v>0</v>
      </c>
      <c r="T151" s="38">
        <v>0</v>
      </c>
      <c r="U151" s="29" t="str" cm="1">
        <f t="array" aca="1" ref="U151" ca="1">+fair_value_gap(OFFSET(T150,0,0,-1*$J$5,-1*$AA$1),OFFSET(E150,0,0,-1*$J$5,1),F151:T151,0)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1" s="9" t="str" cm="1">
        <f t="array" aca="1" ref="V151" ca="1">z_score_diff(OFFSET(U151,0,0,$J$5*-1,1),OFFSET(E151,0,0,$J$5*-1,1))</f>
        <v/>
      </c>
      <c r="W151" s="9" t="str">
        <f t="shared" ca="1" si="21"/>
        <v/>
      </c>
      <c r="X151" s="17">
        <f t="shared" ca="1" si="20"/>
        <v>-9.1121958532827813E-2</v>
      </c>
      <c r="Y151" s="13">
        <f t="shared" si="26"/>
        <v>0</v>
      </c>
      <c r="Z151" s="13">
        <f t="shared" si="26"/>
        <v>0</v>
      </c>
      <c r="AA151" t="str">
        <f t="shared" ca="1" si="22"/>
        <v/>
      </c>
      <c r="AB151" t="str">
        <f t="shared" ca="1" si="23"/>
        <v/>
      </c>
      <c r="AC151" s="24" t="str">
        <f t="shared" ca="1" si="24"/>
        <v/>
      </c>
      <c r="AD151" s="24" t="str">
        <f t="shared" ca="1" si="25"/>
        <v/>
      </c>
    </row>
    <row r="152" spans="3:30" x14ac:dyDescent="0.25">
      <c r="C152" s="6">
        <v>145</v>
      </c>
      <c r="D152" s="35">
        <v>42213</v>
      </c>
      <c r="E152" s="37">
        <v>21.716000000000001</v>
      </c>
      <c r="F152" s="37">
        <v>50.693520531596917</v>
      </c>
      <c r="G152" s="37">
        <v>44.59</v>
      </c>
      <c r="H152" s="37">
        <v>2.9222687333470341</v>
      </c>
      <c r="I152" s="37">
        <v>50.251845121559889</v>
      </c>
      <c r="J152" s="10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1</v>
      </c>
      <c r="Q152" s="38">
        <v>0</v>
      </c>
      <c r="R152" s="38">
        <v>0</v>
      </c>
      <c r="S152" s="38">
        <v>0</v>
      </c>
      <c r="T152" s="38">
        <v>0</v>
      </c>
      <c r="U152" s="29" t="str" cm="1">
        <f t="array" aca="1" ref="U152" ca="1">+fair_value_gap(OFFSET(T151,0,0,-1*$J$5,-1*$AA$1),OFFSET(E151,0,0,-1*$J$5,1),F152:T152,0)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2" s="9" t="str" cm="1">
        <f t="array" aca="1" ref="V152" ca="1">z_score_diff(OFFSET(U152,0,0,$J$5*-1,1),OFFSET(E152,0,0,$J$5*-1,1))</f>
        <v/>
      </c>
      <c r="W152" s="9" t="str">
        <f t="shared" ca="1" si="21"/>
        <v/>
      </c>
      <c r="X152" s="17">
        <f t="shared" ca="1" si="20"/>
        <v>-8.1417447246377631E-2</v>
      </c>
      <c r="Y152" s="13">
        <f t="shared" si="26"/>
        <v>0</v>
      </c>
      <c r="Z152" s="13">
        <f t="shared" si="26"/>
        <v>0</v>
      </c>
      <c r="AA152" t="str">
        <f t="shared" ca="1" si="22"/>
        <v/>
      </c>
      <c r="AB152" t="str">
        <f t="shared" ca="1" si="23"/>
        <v/>
      </c>
      <c r="AC152" s="24" t="str">
        <f t="shared" ca="1" si="24"/>
        <v/>
      </c>
      <c r="AD152" s="24" t="str">
        <f t="shared" ca="1" si="25"/>
        <v/>
      </c>
    </row>
    <row r="153" spans="3:30" x14ac:dyDescent="0.25">
      <c r="C153" s="6">
        <v>146</v>
      </c>
      <c r="D153" s="35">
        <v>42214</v>
      </c>
      <c r="E153" s="37">
        <v>21.75</v>
      </c>
      <c r="F153" s="37">
        <v>51.405899603243057</v>
      </c>
      <c r="G153" s="37">
        <v>44.95</v>
      </c>
      <c r="H153" s="37">
        <v>2.9715914765350502</v>
      </c>
      <c r="I153" s="37">
        <v>50.797599484306772</v>
      </c>
      <c r="J153" s="10">
        <v>0</v>
      </c>
      <c r="K153" s="38">
        <v>0</v>
      </c>
      <c r="L153" s="38">
        <v>0</v>
      </c>
      <c r="M153" s="38">
        <v>0</v>
      </c>
      <c r="N153" s="38">
        <v>0</v>
      </c>
      <c r="O153" s="38">
        <v>0</v>
      </c>
      <c r="P153" s="38">
        <v>1</v>
      </c>
      <c r="Q153" s="38">
        <v>0</v>
      </c>
      <c r="R153" s="38">
        <v>0</v>
      </c>
      <c r="S153" s="38">
        <v>0</v>
      </c>
      <c r="T153" s="38">
        <v>0</v>
      </c>
      <c r="U153" s="29" t="str" cm="1">
        <f t="array" aca="1" ref="U153" ca="1">+fair_value_gap(OFFSET(T152,0,0,-1*$J$5,-1*$AA$1),OFFSET(E152,0,0,-1*$J$5,1),F153:T153,0)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3" s="9" t="str" cm="1">
        <f t="array" aca="1" ref="V153" ca="1">z_score_diff(OFFSET(U153,0,0,$J$5*-1,1),OFFSET(E153,0,0,$J$5*-1,1))</f>
        <v/>
      </c>
      <c r="W153" s="9" t="str">
        <f t="shared" ca="1" si="21"/>
        <v/>
      </c>
      <c r="X153" s="17">
        <f t="shared" ca="1" si="20"/>
        <v>-9.1409750401493586E-2</v>
      </c>
      <c r="Y153" s="13">
        <f t="shared" ref="Y153:Z168" si="27">+Y152</f>
        <v>0</v>
      </c>
      <c r="Z153" s="13">
        <f t="shared" si="27"/>
        <v>0</v>
      </c>
      <c r="AA153" t="str">
        <f t="shared" ca="1" si="22"/>
        <v/>
      </c>
      <c r="AB153" t="str">
        <f t="shared" ca="1" si="23"/>
        <v/>
      </c>
      <c r="AC153" s="24" t="str">
        <f t="shared" ca="1" si="24"/>
        <v/>
      </c>
      <c r="AD153" s="24" t="str">
        <f t="shared" ca="1" si="25"/>
        <v/>
      </c>
    </row>
    <row r="154" spans="3:30" x14ac:dyDescent="0.25">
      <c r="C154" s="6">
        <v>147</v>
      </c>
      <c r="D154" s="35">
        <v>42215</v>
      </c>
      <c r="E154" s="37">
        <v>21.85</v>
      </c>
      <c r="F154" s="37">
        <v>51.604432875488349</v>
      </c>
      <c r="G154" s="37">
        <v>45.18</v>
      </c>
      <c r="H154" s="37">
        <v>2.9011538058269246</v>
      </c>
      <c r="I154" s="37">
        <v>50.875041598096281</v>
      </c>
      <c r="J154" s="10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1</v>
      </c>
      <c r="Q154" s="38">
        <v>0</v>
      </c>
      <c r="R154" s="38">
        <v>0</v>
      </c>
      <c r="S154" s="38">
        <v>0</v>
      </c>
      <c r="T154" s="38">
        <v>0</v>
      </c>
      <c r="U154" s="29" t="str" cm="1">
        <f t="array" aca="1" ref="U154" ca="1">+fair_value_gap(OFFSET(T153,0,0,-1*$J$5,-1*$AA$1),OFFSET(E153,0,0,-1*$J$5,1),F154:T154,0)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4" s="9" t="str" cm="1">
        <f t="array" aca="1" ref="V154" ca="1">z_score_diff(OFFSET(U154,0,0,$J$5*-1,1),OFFSET(E154,0,0,$J$5*-1,1))</f>
        <v/>
      </c>
      <c r="W154" s="9" t="str">
        <f t="shared" ca="1" si="21"/>
        <v/>
      </c>
      <c r="X154" s="17">
        <f t="shared" ca="1" si="20"/>
        <v>-8.1741327238181671E-2</v>
      </c>
      <c r="Y154" s="13">
        <f t="shared" si="27"/>
        <v>0</v>
      </c>
      <c r="Z154" s="13">
        <f t="shared" si="27"/>
        <v>0</v>
      </c>
      <c r="AA154" t="str">
        <f t="shared" ca="1" si="22"/>
        <v/>
      </c>
      <c r="AB154" t="str">
        <f t="shared" ca="1" si="23"/>
        <v/>
      </c>
      <c r="AC154" s="24" t="str">
        <f t="shared" ca="1" si="24"/>
        <v/>
      </c>
      <c r="AD154" s="24" t="str">
        <f t="shared" ca="1" si="25"/>
        <v/>
      </c>
    </row>
    <row r="155" spans="3:30" x14ac:dyDescent="0.25">
      <c r="C155" s="6">
        <v>148</v>
      </c>
      <c r="D155" s="35">
        <v>42216</v>
      </c>
      <c r="E155" s="37">
        <v>21.533000000000001</v>
      </c>
      <c r="F155" s="37">
        <v>50.405421100770916</v>
      </c>
      <c r="G155" s="37">
        <v>42.73</v>
      </c>
      <c r="H155" s="37">
        <v>2.8546436504595016</v>
      </c>
      <c r="I155" s="37">
        <v>50.087835189244913</v>
      </c>
      <c r="J155" s="10">
        <v>0</v>
      </c>
      <c r="K155" s="38">
        <v>0</v>
      </c>
      <c r="L155" s="38">
        <v>0</v>
      </c>
      <c r="M155" s="38">
        <v>0</v>
      </c>
      <c r="N155" s="38">
        <v>0</v>
      </c>
      <c r="O155" s="38">
        <v>0</v>
      </c>
      <c r="P155" s="38">
        <v>1</v>
      </c>
      <c r="Q155" s="38">
        <v>0</v>
      </c>
      <c r="R155" s="38">
        <v>0</v>
      </c>
      <c r="S155" s="38">
        <v>0</v>
      </c>
      <c r="T155" s="38">
        <v>0</v>
      </c>
      <c r="U155" s="29" t="str" cm="1">
        <f t="array" aca="1" ref="U155" ca="1">+fair_value_gap(OFFSET(T154,0,0,-1*$J$5,-1*$AA$1),OFFSET(E154,0,0,-1*$J$5,1),F155:T155,0)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5" s="9" t="str" cm="1">
        <f t="array" aca="1" ref="V155" ca="1">z_score_diff(OFFSET(U155,0,0,$J$5*-1,1),OFFSET(E155,0,0,$J$5*-1,1))</f>
        <v/>
      </c>
      <c r="W155" s="9" t="str">
        <f t="shared" ca="1" si="21"/>
        <v/>
      </c>
      <c r="X155" s="17">
        <f t="shared" ca="1" si="20"/>
        <v>-5.4591102389633744E-2</v>
      </c>
      <c r="Y155" s="13">
        <f t="shared" si="27"/>
        <v>0</v>
      </c>
      <c r="Z155" s="13">
        <f t="shared" si="27"/>
        <v>0</v>
      </c>
      <c r="AA155" t="str">
        <f t="shared" ca="1" si="22"/>
        <v/>
      </c>
      <c r="AB155" t="str">
        <f t="shared" ca="1" si="23"/>
        <v/>
      </c>
      <c r="AC155" s="24" t="str">
        <f t="shared" ca="1" si="24"/>
        <v/>
      </c>
      <c r="AD155" s="24" t="str">
        <f t="shared" ca="1" si="25"/>
        <v/>
      </c>
    </row>
    <row r="156" spans="3:30" x14ac:dyDescent="0.25">
      <c r="C156" s="6">
        <v>149</v>
      </c>
      <c r="D156" s="35">
        <v>42219</v>
      </c>
      <c r="E156" s="37">
        <v>21.306000000000001</v>
      </c>
      <c r="F156" s="37">
        <v>48.263180891348675</v>
      </c>
      <c r="G156" s="37">
        <v>44.2</v>
      </c>
      <c r="H156" s="37">
        <v>2.8746722982813866</v>
      </c>
      <c r="I156" s="37">
        <v>50.338625109233902</v>
      </c>
      <c r="J156" s="10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1</v>
      </c>
      <c r="R156" s="38">
        <v>0</v>
      </c>
      <c r="S156" s="38">
        <v>0</v>
      </c>
      <c r="T156" s="38">
        <v>0</v>
      </c>
      <c r="U156" s="29" t="str" cm="1">
        <f t="array" aca="1" ref="U156" ca="1">+fair_value_gap(OFFSET(T155,0,0,-1*$J$5,-1*$AA$1),OFFSET(E155,0,0,-1*$J$5,1),F156:T156,0)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6" s="9" t="str" cm="1">
        <f t="array" aca="1" ref="V156" ca="1">z_score_diff(OFFSET(U156,0,0,$J$5*-1,1),OFFSET(E156,0,0,$J$5*-1,1))</f>
        <v/>
      </c>
      <c r="W156" s="9" t="str">
        <f t="shared" ca="1" si="21"/>
        <v/>
      </c>
      <c r="X156" s="17">
        <f t="shared" ca="1" si="20"/>
        <v>-7.2902826686820327E-2</v>
      </c>
      <c r="Y156" s="13">
        <f t="shared" si="27"/>
        <v>0</v>
      </c>
      <c r="Z156" s="13">
        <f t="shared" si="27"/>
        <v>0</v>
      </c>
      <c r="AA156" t="str">
        <f t="shared" ca="1" si="22"/>
        <v/>
      </c>
      <c r="AB156" t="str">
        <f t="shared" ca="1" si="23"/>
        <v/>
      </c>
      <c r="AC156" s="24" t="str">
        <f t="shared" ca="1" si="24"/>
        <v/>
      </c>
      <c r="AD156" s="24" t="str">
        <f t="shared" ca="1" si="25"/>
        <v/>
      </c>
    </row>
    <row r="157" spans="3:30" x14ac:dyDescent="0.25">
      <c r="C157" s="6">
        <v>150</v>
      </c>
      <c r="D157" s="35">
        <v>42220</v>
      </c>
      <c r="E157" s="37">
        <v>21.152999999999999</v>
      </c>
      <c r="F157" s="37">
        <v>49.05470359349966</v>
      </c>
      <c r="G157" s="37">
        <v>43.4</v>
      </c>
      <c r="H157" s="37">
        <v>2.9260700389105061</v>
      </c>
      <c r="I157" s="37">
        <v>51.178759441519801</v>
      </c>
      <c r="J157" s="10">
        <v>0</v>
      </c>
      <c r="K157" s="38">
        <v>0</v>
      </c>
      <c r="L157" s="38">
        <v>0</v>
      </c>
      <c r="M157" s="38">
        <v>0</v>
      </c>
      <c r="N157" s="38">
        <v>0</v>
      </c>
      <c r="O157" s="38">
        <v>0</v>
      </c>
      <c r="P157" s="38">
        <v>0</v>
      </c>
      <c r="Q157" s="38">
        <v>1</v>
      </c>
      <c r="R157" s="38">
        <v>0</v>
      </c>
      <c r="S157" s="38">
        <v>0</v>
      </c>
      <c r="T157" s="38">
        <v>0</v>
      </c>
      <c r="U157" s="29" t="str" cm="1">
        <f t="array" aca="1" ref="U157" ca="1">+fair_value_gap(OFFSET(T156,0,0,-1*$J$5,-1*$AA$1),OFFSET(E156,0,0,-1*$J$5,1),F157:T157,0)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7" s="9" t="str" cm="1">
        <f t="array" aca="1" ref="V157" ca="1">z_score_diff(OFFSET(U157,0,0,$J$5*-1,1),OFFSET(E157,0,0,$J$5*-1,1))</f>
        <v/>
      </c>
      <c r="W157" s="9" t="str">
        <f t="shared" ca="1" si="21"/>
        <v/>
      </c>
      <c r="X157" s="17">
        <f t="shared" ca="1" si="20"/>
        <v>-5.775091249077971E-2</v>
      </c>
      <c r="Y157" s="13">
        <f t="shared" si="27"/>
        <v>0</v>
      </c>
      <c r="Z157" s="13">
        <f t="shared" si="27"/>
        <v>0</v>
      </c>
      <c r="AA157" t="str">
        <f t="shared" ca="1" si="22"/>
        <v/>
      </c>
      <c r="AB157" t="str">
        <f t="shared" ca="1" si="23"/>
        <v/>
      </c>
      <c r="AC157" s="24" t="str">
        <f t="shared" ca="1" si="24"/>
        <v/>
      </c>
      <c r="AD157" s="24" t="str">
        <f t="shared" ca="1" si="25"/>
        <v/>
      </c>
    </row>
    <row r="158" spans="3:30" x14ac:dyDescent="0.25">
      <c r="C158" s="6">
        <v>151</v>
      </c>
      <c r="D158" s="35">
        <v>42221</v>
      </c>
      <c r="E158" s="37">
        <v>21.228000000000002</v>
      </c>
      <c r="F158" s="37">
        <v>48.447557050906966</v>
      </c>
      <c r="G158" s="37">
        <v>44</v>
      </c>
      <c r="H158" s="37">
        <v>2.8964306612053834</v>
      </c>
      <c r="I158" s="37">
        <v>50.970962551199527</v>
      </c>
      <c r="J158" s="10">
        <v>0</v>
      </c>
      <c r="K158" s="38">
        <v>0</v>
      </c>
      <c r="L158" s="38">
        <v>0</v>
      </c>
      <c r="M158" s="38">
        <v>0</v>
      </c>
      <c r="N158" s="38">
        <v>0</v>
      </c>
      <c r="O158" s="38">
        <v>0</v>
      </c>
      <c r="P158" s="38">
        <v>0</v>
      </c>
      <c r="Q158" s="38">
        <v>1</v>
      </c>
      <c r="R158" s="38">
        <v>0</v>
      </c>
      <c r="S158" s="38">
        <v>0</v>
      </c>
      <c r="T158" s="38">
        <v>0</v>
      </c>
      <c r="U158" s="29" t="str" cm="1">
        <f t="array" aca="1" ref="U158" ca="1">+fair_value_gap(OFFSET(T157,0,0,-1*$J$5,-1*$AA$1),OFFSET(E157,0,0,-1*$J$5,1),F158:T158,0)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8" s="9" t="str" cm="1">
        <f t="array" aca="1" ref="V158" ca="1">z_score_diff(OFFSET(U158,0,0,$J$5*-1,1),OFFSET(E158,0,0,$J$5*-1,1))</f>
        <v/>
      </c>
      <c r="W158" s="9" t="str">
        <f t="shared" ca="1" si="21"/>
        <v/>
      </c>
      <c r="X158" s="17">
        <f t="shared" ca="1" si="20"/>
        <v>-5.9588791411657606E-2</v>
      </c>
      <c r="Y158" s="13">
        <f t="shared" si="27"/>
        <v>0</v>
      </c>
      <c r="Z158" s="13">
        <f t="shared" si="27"/>
        <v>0</v>
      </c>
      <c r="AA158" t="str">
        <f t="shared" ca="1" si="22"/>
        <v/>
      </c>
      <c r="AB158" t="str">
        <f t="shared" ca="1" si="23"/>
        <v/>
      </c>
      <c r="AC158" s="24" t="str">
        <f t="shared" ca="1" si="24"/>
        <v/>
      </c>
      <c r="AD158" s="24" t="str">
        <f t="shared" ca="1" si="25"/>
        <v/>
      </c>
    </row>
    <row r="159" spans="3:30" x14ac:dyDescent="0.25">
      <c r="C159" s="6">
        <v>152</v>
      </c>
      <c r="D159" s="35">
        <v>42222</v>
      </c>
      <c r="E159" s="37">
        <v>21.276</v>
      </c>
      <c r="F159" s="37">
        <v>48.357496872139642</v>
      </c>
      <c r="G159" s="37">
        <v>44</v>
      </c>
      <c r="H159" s="37">
        <v>2.9001722034281898</v>
      </c>
      <c r="I159" s="37">
        <v>51.104356007545199</v>
      </c>
      <c r="J159" s="10">
        <v>0</v>
      </c>
      <c r="K159" s="38">
        <v>0</v>
      </c>
      <c r="L159" s="38">
        <v>0</v>
      </c>
      <c r="M159" s="38">
        <v>0</v>
      </c>
      <c r="N159" s="38">
        <v>0</v>
      </c>
      <c r="O159" s="38">
        <v>0</v>
      </c>
      <c r="P159" s="38">
        <v>0</v>
      </c>
      <c r="Q159" s="38">
        <v>1</v>
      </c>
      <c r="R159" s="38">
        <v>0</v>
      </c>
      <c r="S159" s="38">
        <v>0</v>
      </c>
      <c r="T159" s="38">
        <v>0</v>
      </c>
      <c r="U159" s="29" t="str" cm="1">
        <f t="array" aca="1" ref="U159" ca="1">+fair_value_gap(OFFSET(T158,0,0,-1*$J$5,-1*$AA$1),OFFSET(E158,0,0,-1*$J$5,1),F159:T159,0)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9" s="9" t="str" cm="1">
        <f t="array" aca="1" ref="V159" ca="1">z_score_diff(OFFSET(U159,0,0,$J$5*-1,1),OFFSET(E159,0,0,$J$5*-1,1))</f>
        <v/>
      </c>
      <c r="W159" s="9" t="str">
        <f t="shared" ca="1" si="21"/>
        <v/>
      </c>
      <c r="X159" s="17">
        <f t="shared" ca="1" si="20"/>
        <v>-5.3234600227857559E-2</v>
      </c>
      <c r="Y159" s="13">
        <f t="shared" si="27"/>
        <v>0</v>
      </c>
      <c r="Z159" s="13">
        <f t="shared" si="27"/>
        <v>0</v>
      </c>
      <c r="AA159" t="str">
        <f t="shared" ca="1" si="22"/>
        <v/>
      </c>
      <c r="AB159" t="str">
        <f t="shared" ca="1" si="23"/>
        <v/>
      </c>
      <c r="AC159" s="24" t="str">
        <f t="shared" ca="1" si="24"/>
        <v/>
      </c>
      <c r="AD159" s="24" t="str">
        <f t="shared" ca="1" si="25"/>
        <v/>
      </c>
    </row>
    <row r="160" spans="3:30" x14ac:dyDescent="0.25">
      <c r="C160" s="6">
        <v>153</v>
      </c>
      <c r="D160" s="35">
        <v>42223</v>
      </c>
      <c r="E160" s="37">
        <v>21.067</v>
      </c>
      <c r="F160" s="37">
        <v>47.512693676241284</v>
      </c>
      <c r="G160" s="37">
        <v>43.7</v>
      </c>
      <c r="H160" s="37">
        <v>2.8885609714433169</v>
      </c>
      <c r="I160" s="37">
        <v>50.020535224270084</v>
      </c>
      <c r="J160" s="10">
        <v>0</v>
      </c>
      <c r="K160" s="38">
        <v>0</v>
      </c>
      <c r="L160" s="38">
        <v>0</v>
      </c>
      <c r="M160" s="38">
        <v>0</v>
      </c>
      <c r="N160" s="38">
        <v>0</v>
      </c>
      <c r="O160" s="38">
        <v>0</v>
      </c>
      <c r="P160" s="38">
        <v>0</v>
      </c>
      <c r="Q160" s="38">
        <v>1</v>
      </c>
      <c r="R160" s="38">
        <v>0</v>
      </c>
      <c r="S160" s="38">
        <v>0</v>
      </c>
      <c r="T160" s="38">
        <v>0</v>
      </c>
      <c r="U160" s="29" t="str" cm="1">
        <f t="array" aca="1" ref="U160" ca="1">+fair_value_gap(OFFSET(T159,0,0,-1*$J$5,-1*$AA$1),OFFSET(E159,0,0,-1*$J$5,1),F160:T160,0)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0" s="9" t="str" cm="1">
        <f t="array" aca="1" ref="V160" ca="1">z_score_diff(OFFSET(U160,0,0,$J$5*-1,1),OFFSET(E160,0,0,$J$5*-1,1))</f>
        <v/>
      </c>
      <c r="W160" s="9" t="str">
        <f t="shared" ca="1" si="21"/>
        <v/>
      </c>
      <c r="X160" s="17">
        <f t="shared" ca="1" si="20"/>
        <v>-5.9604588754833356E-2</v>
      </c>
      <c r="Y160" s="13">
        <f t="shared" si="27"/>
        <v>0</v>
      </c>
      <c r="Z160" s="13">
        <f t="shared" si="27"/>
        <v>0</v>
      </c>
      <c r="AA160" t="str">
        <f t="shared" ca="1" si="22"/>
        <v/>
      </c>
      <c r="AB160" t="str">
        <f t="shared" ca="1" si="23"/>
        <v/>
      </c>
      <c r="AC160" s="24" t="str">
        <f t="shared" ca="1" si="24"/>
        <v/>
      </c>
      <c r="AD160" s="24" t="str">
        <f t="shared" ca="1" si="25"/>
        <v/>
      </c>
    </row>
    <row r="161" spans="3:30" x14ac:dyDescent="0.25">
      <c r="C161" s="6">
        <v>154</v>
      </c>
      <c r="D161" s="35">
        <v>42226</v>
      </c>
      <c r="E161" s="37">
        <v>21.077999999999999</v>
      </c>
      <c r="F161" s="37">
        <v>48.828186835204413</v>
      </c>
      <c r="G161" s="37">
        <v>43.75</v>
      </c>
      <c r="H161" s="37">
        <v>2.918112833093172</v>
      </c>
      <c r="I161" s="37">
        <v>49.931750894836675</v>
      </c>
      <c r="J161" s="10">
        <v>0</v>
      </c>
      <c r="K161" s="38">
        <v>0</v>
      </c>
      <c r="L161" s="38">
        <v>0</v>
      </c>
      <c r="M161" s="38">
        <v>0</v>
      </c>
      <c r="N161" s="38">
        <v>0</v>
      </c>
      <c r="O161" s="38">
        <v>0</v>
      </c>
      <c r="P161" s="38">
        <v>0</v>
      </c>
      <c r="Q161" s="38">
        <v>1</v>
      </c>
      <c r="R161" s="38">
        <v>0</v>
      </c>
      <c r="S161" s="38">
        <v>0</v>
      </c>
      <c r="T161" s="38">
        <v>0</v>
      </c>
      <c r="U161" s="29" t="str" cm="1">
        <f t="array" aca="1" ref="U161" ca="1">+fair_value_gap(OFFSET(T160,0,0,-1*$J$5,-1*$AA$1),OFFSET(E160,0,0,-1*$J$5,1),F161:T161,0)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1" s="9" t="str" cm="1">
        <f t="array" aca="1" ref="V161" ca="1">z_score_diff(OFFSET(U161,0,0,$J$5*-1,1),OFFSET(E161,0,0,$J$5*-1,1))</f>
        <v/>
      </c>
      <c r="W161" s="9" t="str">
        <f t="shared" ca="1" si="21"/>
        <v/>
      </c>
      <c r="X161" s="17">
        <f t="shared" ca="1" si="20"/>
        <v>-6.3002553602901426E-2</v>
      </c>
      <c r="Y161" s="13">
        <f t="shared" si="27"/>
        <v>0</v>
      </c>
      <c r="Z161" s="13">
        <f t="shared" si="27"/>
        <v>0</v>
      </c>
      <c r="AA161" t="str">
        <f t="shared" ca="1" si="22"/>
        <v/>
      </c>
      <c r="AB161" t="str">
        <f t="shared" ca="1" si="23"/>
        <v/>
      </c>
      <c r="AC161" s="24" t="str">
        <f t="shared" ca="1" si="24"/>
        <v/>
      </c>
      <c r="AD161" s="24" t="str">
        <f t="shared" ca="1" si="25"/>
        <v/>
      </c>
    </row>
    <row r="162" spans="3:30" x14ac:dyDescent="0.25">
      <c r="C162" s="6">
        <v>155</v>
      </c>
      <c r="D162" s="35">
        <v>42227</v>
      </c>
      <c r="E162" s="37">
        <v>21.015999999999998</v>
      </c>
      <c r="F162" s="37">
        <v>47.642043787713988</v>
      </c>
      <c r="G162" s="37">
        <v>43.75</v>
      </c>
      <c r="H162" s="37">
        <v>2.9083490921563939</v>
      </c>
      <c r="I162" s="37">
        <v>49.510536221222289</v>
      </c>
      <c r="J162" s="10">
        <v>0</v>
      </c>
      <c r="K162" s="38">
        <v>0</v>
      </c>
      <c r="L162" s="38">
        <v>0</v>
      </c>
      <c r="M162" s="38">
        <v>0</v>
      </c>
      <c r="N162" s="38">
        <v>0</v>
      </c>
      <c r="O162" s="38">
        <v>0</v>
      </c>
      <c r="P162" s="38">
        <v>0</v>
      </c>
      <c r="Q162" s="38">
        <v>1</v>
      </c>
      <c r="R162" s="38">
        <v>0</v>
      </c>
      <c r="S162" s="38">
        <v>0</v>
      </c>
      <c r="T162" s="38">
        <v>0</v>
      </c>
      <c r="U162" s="29" t="str" cm="1">
        <f t="array" aca="1" ref="U162" ca="1">+fair_value_gap(OFFSET(T161,0,0,-1*$J$5,-1*$AA$1),OFFSET(E161,0,0,-1*$J$5,1),F162:T162,0)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2" s="9" t="str" cm="1">
        <f t="array" aca="1" ref="V162" ca="1">z_score_diff(OFFSET(U162,0,0,$J$5*-1,1),OFFSET(E162,0,0,$J$5*-1,1))</f>
        <v/>
      </c>
      <c r="W162" s="9" t="str">
        <f t="shared" ca="1" si="21"/>
        <v/>
      </c>
      <c r="X162" s="17">
        <f t="shared" ca="1" si="20"/>
        <v>-6.0562171349299851E-2</v>
      </c>
      <c r="Y162" s="13">
        <f t="shared" si="27"/>
        <v>0</v>
      </c>
      <c r="Z162" s="13">
        <f t="shared" si="27"/>
        <v>0</v>
      </c>
      <c r="AA162" t="str">
        <f t="shared" ca="1" si="22"/>
        <v/>
      </c>
      <c r="AB162" t="str">
        <f t="shared" ca="1" si="23"/>
        <v/>
      </c>
      <c r="AC162" s="24" t="str">
        <f t="shared" ca="1" si="24"/>
        <v/>
      </c>
      <c r="AD162" s="24" t="str">
        <f t="shared" ca="1" si="25"/>
        <v/>
      </c>
    </row>
    <row r="163" spans="3:30" x14ac:dyDescent="0.25">
      <c r="C163" s="6">
        <v>156</v>
      </c>
      <c r="D163" s="35">
        <v>42228</v>
      </c>
      <c r="E163" s="37">
        <v>20.771000000000001</v>
      </c>
      <c r="F163" s="37">
        <v>47.557358301765419</v>
      </c>
      <c r="G163" s="37">
        <v>43.5</v>
      </c>
      <c r="H163" s="37">
        <v>2.9295618611964831</v>
      </c>
      <c r="I163" s="37">
        <v>48.736687870774063</v>
      </c>
      <c r="J163" s="10">
        <v>0</v>
      </c>
      <c r="K163" s="38">
        <v>0</v>
      </c>
      <c r="L163" s="38">
        <v>0</v>
      </c>
      <c r="M163" s="38">
        <v>0</v>
      </c>
      <c r="N163" s="38">
        <v>0</v>
      </c>
      <c r="O163" s="38">
        <v>0</v>
      </c>
      <c r="P163" s="38">
        <v>0</v>
      </c>
      <c r="Q163" s="38">
        <v>1</v>
      </c>
      <c r="R163" s="38">
        <v>0</v>
      </c>
      <c r="S163" s="38">
        <v>0</v>
      </c>
      <c r="T163" s="38">
        <v>0</v>
      </c>
      <c r="U163" s="29" t="str" cm="1">
        <f t="array" aca="1" ref="U163" ca="1">+fair_value_gap(OFFSET(T162,0,0,-1*$J$5,-1*$AA$1),OFFSET(E162,0,0,-1*$J$5,1),F163:T163,0)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3" s="9" t="str" cm="1">
        <f t="array" aca="1" ref="V163" ca="1">z_score_diff(OFFSET(U163,0,0,$J$5*-1,1),OFFSET(E163,0,0,$J$5*-1,1))</f>
        <v/>
      </c>
      <c r="W163" s="9" t="str">
        <f t="shared" ca="1" si="21"/>
        <v/>
      </c>
      <c r="X163" s="17">
        <f t="shared" ca="1" si="20"/>
        <v>-4.3039076592867855E-2</v>
      </c>
      <c r="Y163" s="13">
        <f t="shared" si="27"/>
        <v>0</v>
      </c>
      <c r="Z163" s="13">
        <f t="shared" si="27"/>
        <v>0</v>
      </c>
      <c r="AA163" t="str">
        <f t="shared" ca="1" si="22"/>
        <v/>
      </c>
      <c r="AB163" t="str">
        <f t="shared" ca="1" si="23"/>
        <v/>
      </c>
      <c r="AC163" s="24" t="str">
        <f t="shared" ca="1" si="24"/>
        <v/>
      </c>
      <c r="AD163" s="24" t="str">
        <f t="shared" ca="1" si="25"/>
        <v/>
      </c>
    </row>
    <row r="164" spans="3:30" x14ac:dyDescent="0.25">
      <c r="C164" s="6">
        <v>157</v>
      </c>
      <c r="D164" s="35">
        <v>42229</v>
      </c>
      <c r="E164" s="37">
        <v>20.835999999999999</v>
      </c>
      <c r="F164" s="37">
        <v>47.212614109070884</v>
      </c>
      <c r="G164" s="37">
        <v>42.93</v>
      </c>
      <c r="H164" s="37">
        <v>2.8420545399116897</v>
      </c>
      <c r="I164" s="37">
        <v>48.589387934633642</v>
      </c>
      <c r="J164" s="10">
        <v>0</v>
      </c>
      <c r="K164" s="38">
        <v>0</v>
      </c>
      <c r="L164" s="38">
        <v>0</v>
      </c>
      <c r="M164" s="38">
        <v>0</v>
      </c>
      <c r="N164" s="38">
        <v>0</v>
      </c>
      <c r="O164" s="38">
        <v>0</v>
      </c>
      <c r="P164" s="38">
        <v>0</v>
      </c>
      <c r="Q164" s="38">
        <v>1</v>
      </c>
      <c r="R164" s="38">
        <v>0</v>
      </c>
      <c r="S164" s="38">
        <v>0</v>
      </c>
      <c r="T164" s="38">
        <v>0</v>
      </c>
      <c r="U164" s="29" t="str" cm="1">
        <f t="array" aca="1" ref="U164" ca="1">+fair_value_gap(OFFSET(T163,0,0,-1*$J$5,-1*$AA$1),OFFSET(E163,0,0,-1*$J$5,1),F164:T164,0)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4" s="9" t="str" cm="1">
        <f t="array" aca="1" ref="V164" ca="1">z_score_diff(OFFSET(U164,0,0,$J$5*-1,1),OFFSET(E164,0,0,$J$5*-1,1))</f>
        <v/>
      </c>
      <c r="W164" s="9" t="str">
        <f t="shared" ca="1" si="21"/>
        <v/>
      </c>
      <c r="X164" s="17">
        <f t="shared" ca="1" si="20"/>
        <v>-4.5912278158769033E-2</v>
      </c>
      <c r="Y164" s="13">
        <f t="shared" si="27"/>
        <v>0</v>
      </c>
      <c r="Z164" s="13">
        <f t="shared" si="27"/>
        <v>0</v>
      </c>
      <c r="AA164" t="str">
        <f t="shared" ca="1" si="22"/>
        <v/>
      </c>
      <c r="AB164" t="str">
        <f t="shared" ca="1" si="23"/>
        <v/>
      </c>
      <c r="AC164" s="24" t="str">
        <f t="shared" ca="1" si="24"/>
        <v/>
      </c>
      <c r="AD164" s="24" t="str">
        <f t="shared" ca="1" si="25"/>
        <v/>
      </c>
    </row>
    <row r="165" spans="3:30" x14ac:dyDescent="0.25">
      <c r="C165" s="6">
        <v>158</v>
      </c>
      <c r="D165" s="35">
        <v>42230</v>
      </c>
      <c r="E165" s="37">
        <v>20.841999999999999</v>
      </c>
      <c r="F165" s="37">
        <v>47.06494531817733</v>
      </c>
      <c r="G165" s="37">
        <v>42.79</v>
      </c>
      <c r="H165" s="37">
        <v>2.8637305652996958</v>
      </c>
      <c r="I165" s="37">
        <v>48.850291127997636</v>
      </c>
      <c r="J165" s="10">
        <v>0</v>
      </c>
      <c r="K165" s="38">
        <v>0</v>
      </c>
      <c r="L165" s="38">
        <v>0</v>
      </c>
      <c r="M165" s="38">
        <v>0</v>
      </c>
      <c r="N165" s="38">
        <v>0</v>
      </c>
      <c r="O165" s="38">
        <v>0</v>
      </c>
      <c r="P165" s="38">
        <v>0</v>
      </c>
      <c r="Q165" s="38">
        <v>1</v>
      </c>
      <c r="R165" s="38">
        <v>0</v>
      </c>
      <c r="S165" s="38">
        <v>0</v>
      </c>
      <c r="T165" s="38">
        <v>0</v>
      </c>
      <c r="U165" s="29" t="str" cm="1">
        <f t="array" aca="1" ref="U165" ca="1">+fair_value_gap(OFFSET(T164,0,0,-1*$J$5,-1*$AA$1),OFFSET(E164,0,0,-1*$J$5,1),F165:T165,0)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5" s="9" t="str" cm="1">
        <f t="array" aca="1" ref="V165" ca="1">z_score_diff(OFFSET(U165,0,0,$J$5*-1,1),OFFSET(E165,0,0,$J$5*-1,1))</f>
        <v/>
      </c>
      <c r="W165" s="9" t="str">
        <f t="shared" ca="1" si="21"/>
        <v/>
      </c>
      <c r="X165" s="17">
        <f t="shared" ca="1" si="20"/>
        <v>-5.1288243869746133E-2</v>
      </c>
      <c r="Y165" s="13">
        <f t="shared" si="27"/>
        <v>0</v>
      </c>
      <c r="Z165" s="13">
        <f t="shared" si="27"/>
        <v>0</v>
      </c>
      <c r="AA165" t="str">
        <f t="shared" ca="1" si="22"/>
        <v/>
      </c>
      <c r="AB165" t="str">
        <f t="shared" ca="1" si="23"/>
        <v/>
      </c>
      <c r="AC165" s="24" t="str">
        <f t="shared" ca="1" si="24"/>
        <v/>
      </c>
      <c r="AD165" s="24" t="str">
        <f t="shared" ca="1" si="25"/>
        <v/>
      </c>
    </row>
    <row r="166" spans="3:30" x14ac:dyDescent="0.25">
      <c r="C166" s="6">
        <v>159</v>
      </c>
      <c r="D166" s="35">
        <v>42233</v>
      </c>
      <c r="E166" s="37">
        <v>20.72</v>
      </c>
      <c r="F166" s="37">
        <v>47.404282582795524</v>
      </c>
      <c r="G166" s="37">
        <v>42.6</v>
      </c>
      <c r="H166" s="37">
        <v>2.8219405880722621</v>
      </c>
      <c r="I166" s="37">
        <v>48.637081883069435</v>
      </c>
      <c r="J166" s="10">
        <v>0</v>
      </c>
      <c r="K166" s="38">
        <v>0</v>
      </c>
      <c r="L166" s="38">
        <v>0</v>
      </c>
      <c r="M166" s="38">
        <v>0</v>
      </c>
      <c r="N166" s="38">
        <v>0</v>
      </c>
      <c r="O166" s="38">
        <v>0</v>
      </c>
      <c r="P166" s="38">
        <v>0</v>
      </c>
      <c r="Q166" s="38">
        <v>1</v>
      </c>
      <c r="R166" s="38">
        <v>0</v>
      </c>
      <c r="S166" s="38">
        <v>0</v>
      </c>
      <c r="T166" s="38">
        <v>0</v>
      </c>
      <c r="U166" s="29" t="str" cm="1">
        <f t="array" aca="1" ref="U166" ca="1">+fair_value_gap(OFFSET(T165,0,0,-1*$J$5,-1*$AA$1),OFFSET(E165,0,0,-1*$J$5,1),F166:T166,0)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6" s="9" t="str" cm="1">
        <f t="array" aca="1" ref="V166" ca="1">z_score_diff(OFFSET(U166,0,0,$J$5*-1,1),OFFSET(E166,0,0,$J$5*-1,1))</f>
        <v/>
      </c>
      <c r="W166" s="9" t="str">
        <f t="shared" ca="1" si="21"/>
        <v/>
      </c>
      <c r="X166" s="17">
        <f t="shared" ca="1" si="20"/>
        <v>-5.4549963254065234E-2</v>
      </c>
      <c r="Y166" s="13">
        <f t="shared" si="27"/>
        <v>0</v>
      </c>
      <c r="Z166" s="13">
        <f t="shared" si="27"/>
        <v>0</v>
      </c>
      <c r="AA166" t="str">
        <f t="shared" ca="1" si="22"/>
        <v/>
      </c>
      <c r="AB166" t="str">
        <f t="shared" ca="1" si="23"/>
        <v/>
      </c>
      <c r="AC166" s="24" t="str">
        <f t="shared" ca="1" si="24"/>
        <v/>
      </c>
      <c r="AD166" s="24" t="str">
        <f t="shared" ca="1" si="25"/>
        <v/>
      </c>
    </row>
    <row r="167" spans="3:30" x14ac:dyDescent="0.25">
      <c r="C167" s="6">
        <v>160</v>
      </c>
      <c r="D167" s="35">
        <v>42234</v>
      </c>
      <c r="E167" s="37">
        <v>20.771000000000001</v>
      </c>
      <c r="F167" s="37">
        <v>47.477492703939468</v>
      </c>
      <c r="G167" s="37">
        <v>42.78</v>
      </c>
      <c r="H167" s="37">
        <v>2.8018318557436199</v>
      </c>
      <c r="I167" s="37">
        <v>48.263813257002994</v>
      </c>
      <c r="J167" s="10">
        <v>0</v>
      </c>
      <c r="K167" s="38">
        <v>0</v>
      </c>
      <c r="L167" s="38">
        <v>0</v>
      </c>
      <c r="M167" s="38">
        <v>0</v>
      </c>
      <c r="N167" s="38">
        <v>0</v>
      </c>
      <c r="O167" s="38">
        <v>0</v>
      </c>
      <c r="P167" s="38">
        <v>0</v>
      </c>
      <c r="Q167" s="38">
        <v>1</v>
      </c>
      <c r="R167" s="38">
        <v>0</v>
      </c>
      <c r="S167" s="38">
        <v>0</v>
      </c>
      <c r="T167" s="38">
        <v>0</v>
      </c>
      <c r="U167" s="29" t="str" cm="1">
        <f t="array" aca="1" ref="U167" ca="1">+fair_value_gap(OFFSET(T166,0,0,-1*$J$5,-1*$AA$1),OFFSET(E166,0,0,-1*$J$5,1),F167:T167,0)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7" s="9" t="str" cm="1">
        <f t="array" aca="1" ref="V167" ca="1">z_score_diff(OFFSET(U167,0,0,$J$5*-1,1),OFFSET(E167,0,0,$J$5*-1,1))</f>
        <v/>
      </c>
      <c r="W167" s="9" t="str">
        <f t="shared" ca="1" si="21"/>
        <v/>
      </c>
      <c r="X167" s="17">
        <f t="shared" ca="1" si="20"/>
        <v>-6.4631603960487394E-2</v>
      </c>
      <c r="Y167" s="13">
        <f t="shared" si="27"/>
        <v>0</v>
      </c>
      <c r="Z167" s="13">
        <f t="shared" si="27"/>
        <v>0</v>
      </c>
      <c r="AA167" t="str">
        <f t="shared" ca="1" si="22"/>
        <v/>
      </c>
      <c r="AB167" t="str">
        <f t="shared" ca="1" si="23"/>
        <v/>
      </c>
      <c r="AC167" s="24" t="str">
        <f t="shared" ca="1" si="24"/>
        <v/>
      </c>
      <c r="AD167" s="24" t="str">
        <f t="shared" ca="1" si="25"/>
        <v/>
      </c>
    </row>
    <row r="168" spans="3:30" x14ac:dyDescent="0.25">
      <c r="C168" s="6">
        <v>161</v>
      </c>
      <c r="D168" s="35">
        <v>42235</v>
      </c>
      <c r="E168" s="37">
        <v>20.626000000000001</v>
      </c>
      <c r="F168" s="37">
        <v>45.550101974495171</v>
      </c>
      <c r="G168" s="37">
        <v>42.84</v>
      </c>
      <c r="H168" s="37">
        <v>2.7683273941594391</v>
      </c>
      <c r="I168" s="37">
        <v>47.423743248391936</v>
      </c>
      <c r="J168" s="10">
        <v>0</v>
      </c>
      <c r="K168" s="38">
        <v>0</v>
      </c>
      <c r="L168" s="38">
        <v>0</v>
      </c>
      <c r="M168" s="38">
        <v>0</v>
      </c>
      <c r="N168" s="38">
        <v>0</v>
      </c>
      <c r="O168" s="38">
        <v>0</v>
      </c>
      <c r="P168" s="38">
        <v>0</v>
      </c>
      <c r="Q168" s="38">
        <v>1</v>
      </c>
      <c r="R168" s="38">
        <v>0</v>
      </c>
      <c r="S168" s="38">
        <v>0</v>
      </c>
      <c r="T168" s="38">
        <v>0</v>
      </c>
      <c r="U168" s="29" t="str" cm="1">
        <f t="array" aca="1" ref="U168" ca="1">+fair_value_gap(OFFSET(T167,0,0,-1*$J$5,-1*$AA$1),OFFSET(E167,0,0,-1*$J$5,1),F168:T168,0)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8" s="9" t="str" cm="1">
        <f t="array" aca="1" ref="V168" ca="1">z_score_diff(OFFSET(U168,0,0,$J$5*-1,1),OFFSET(E168,0,0,$J$5*-1,1))</f>
        <v/>
      </c>
      <c r="W168" s="9" t="str">
        <f t="shared" ca="1" si="21"/>
        <v/>
      </c>
      <c r="X168" s="17">
        <f t="shared" ca="1" si="20"/>
        <v>-3.9911342351666663E-2</v>
      </c>
      <c r="Y168" s="13">
        <f t="shared" si="27"/>
        <v>0</v>
      </c>
      <c r="Z168" s="13">
        <f t="shared" si="27"/>
        <v>0</v>
      </c>
      <c r="AA168" t="str">
        <f t="shared" ca="1" si="22"/>
        <v/>
      </c>
      <c r="AB168" t="str">
        <f t="shared" ca="1" si="23"/>
        <v/>
      </c>
      <c r="AC168" s="24" t="str">
        <f t="shared" ca="1" si="24"/>
        <v/>
      </c>
      <c r="AD168" s="24" t="str">
        <f t="shared" ca="1" si="25"/>
        <v/>
      </c>
    </row>
    <row r="169" spans="3:30" x14ac:dyDescent="0.25">
      <c r="C169" s="6">
        <v>162</v>
      </c>
      <c r="D169" s="35">
        <v>42236</v>
      </c>
      <c r="E169" s="37">
        <v>20.266999999999999</v>
      </c>
      <c r="F169" s="37">
        <v>44.48936528623738</v>
      </c>
      <c r="G169" s="37">
        <v>42.6</v>
      </c>
      <c r="H169" s="37">
        <v>2.769724534758979</v>
      </c>
      <c r="I169" s="37">
        <v>46.76791587981311</v>
      </c>
      <c r="J169" s="10">
        <v>0</v>
      </c>
      <c r="K169" s="38">
        <v>0</v>
      </c>
      <c r="L169" s="38">
        <v>0</v>
      </c>
      <c r="M169" s="38">
        <v>0</v>
      </c>
      <c r="N169" s="38">
        <v>0</v>
      </c>
      <c r="O169" s="38">
        <v>0</v>
      </c>
      <c r="P169" s="38">
        <v>0</v>
      </c>
      <c r="Q169" s="38">
        <v>1</v>
      </c>
      <c r="R169" s="38">
        <v>0</v>
      </c>
      <c r="S169" s="38">
        <v>0</v>
      </c>
      <c r="T169" s="38">
        <v>0</v>
      </c>
      <c r="U169" s="29" t="str" cm="1">
        <f t="array" aca="1" ref="U169" ca="1">+fair_value_gap(OFFSET(T168,0,0,-1*$J$5,-1*$AA$1),OFFSET(E168,0,0,-1*$J$5,1),F169:T169,0)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9" s="9" t="str" cm="1">
        <f t="array" aca="1" ref="V169" ca="1">z_score_diff(OFFSET(U169,0,0,$J$5*-1,1),OFFSET(E169,0,0,$J$5*-1,1))</f>
        <v/>
      </c>
      <c r="W169" s="9" t="str">
        <f t="shared" ca="1" si="21"/>
        <v/>
      </c>
      <c r="X169" s="17">
        <f t="shared" ca="1" si="20"/>
        <v>-3.1069292633150055E-2</v>
      </c>
      <c r="Y169" s="13">
        <f t="shared" ref="Y169:Z184" si="28">+Y168</f>
        <v>0</v>
      </c>
      <c r="Z169" s="13">
        <f t="shared" si="28"/>
        <v>0</v>
      </c>
      <c r="AA169" t="str">
        <f t="shared" ca="1" si="22"/>
        <v/>
      </c>
      <c r="AB169" t="str">
        <f t="shared" ca="1" si="23"/>
        <v/>
      </c>
      <c r="AC169" s="24" t="str">
        <f t="shared" ca="1" si="24"/>
        <v/>
      </c>
      <c r="AD169" s="24" t="str">
        <f t="shared" ca="1" si="25"/>
        <v/>
      </c>
    </row>
    <row r="170" spans="3:30" x14ac:dyDescent="0.25">
      <c r="C170" s="6">
        <v>163</v>
      </c>
      <c r="D170" s="35">
        <v>42237</v>
      </c>
      <c r="E170" s="37">
        <v>20.164000000000001</v>
      </c>
      <c r="F170" s="37">
        <v>42.889872529303553</v>
      </c>
      <c r="G170" s="37">
        <v>42.55</v>
      </c>
      <c r="H170" s="37">
        <v>2.6638802689083865</v>
      </c>
      <c r="I170" s="37">
        <v>46.162839745373645</v>
      </c>
      <c r="J170" s="10">
        <v>0</v>
      </c>
      <c r="K170" s="38">
        <v>0</v>
      </c>
      <c r="L170" s="38">
        <v>0</v>
      </c>
      <c r="M170" s="38">
        <v>0</v>
      </c>
      <c r="N170" s="38">
        <v>0</v>
      </c>
      <c r="O170" s="38">
        <v>0</v>
      </c>
      <c r="P170" s="38">
        <v>0</v>
      </c>
      <c r="Q170" s="38">
        <v>1</v>
      </c>
      <c r="R170" s="38">
        <v>0</v>
      </c>
      <c r="S170" s="38">
        <v>0</v>
      </c>
      <c r="T170" s="38">
        <v>0</v>
      </c>
      <c r="U170" s="29" t="str" cm="1">
        <f t="array" aca="1" ref="U170" ca="1">+fair_value_gap(OFFSET(T169,0,0,-1*$J$5,-1*$AA$1),OFFSET(E169,0,0,-1*$J$5,1),F170:T170,0)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0" s="9" t="str" cm="1">
        <f t="array" aca="1" ref="V170" ca="1">z_score_diff(OFFSET(U170,0,0,$J$5*-1,1),OFFSET(E170,0,0,$J$5*-1,1))</f>
        <v/>
      </c>
      <c r="W170" s="9" t="str">
        <f t="shared" ca="1" si="21"/>
        <v/>
      </c>
      <c r="X170" s="17">
        <f t="shared" ca="1" si="20"/>
        <v>-2.9236993285685201E-2</v>
      </c>
      <c r="Y170" s="13">
        <f t="shared" si="28"/>
        <v>0</v>
      </c>
      <c r="Z170" s="13">
        <f t="shared" si="28"/>
        <v>0</v>
      </c>
      <c r="AA170" t="str">
        <f t="shared" ca="1" si="22"/>
        <v/>
      </c>
      <c r="AB170" t="str">
        <f t="shared" ca="1" si="23"/>
        <v/>
      </c>
      <c r="AC170" s="24" t="str">
        <f t="shared" ca="1" si="24"/>
        <v/>
      </c>
      <c r="AD170" s="24" t="str">
        <f t="shared" ca="1" si="25"/>
        <v/>
      </c>
    </row>
    <row r="171" spans="3:30" x14ac:dyDescent="0.25">
      <c r="C171" s="6">
        <v>164</v>
      </c>
      <c r="D171" s="35">
        <v>42240</v>
      </c>
      <c r="E171" s="37">
        <v>19.684999999999999</v>
      </c>
      <c r="F171" s="37">
        <v>39.909867637428647</v>
      </c>
      <c r="G171" s="37">
        <v>41.68</v>
      </c>
      <c r="H171" s="37">
        <v>2.5764380529072159</v>
      </c>
      <c r="I171" s="37">
        <v>44.60211305733305</v>
      </c>
      <c r="J171" s="10">
        <v>0</v>
      </c>
      <c r="K171" s="38">
        <v>0</v>
      </c>
      <c r="L171" s="38">
        <v>0</v>
      </c>
      <c r="M171" s="38">
        <v>0</v>
      </c>
      <c r="N171" s="38">
        <v>0</v>
      </c>
      <c r="O171" s="38">
        <v>0</v>
      </c>
      <c r="P171" s="38">
        <v>0</v>
      </c>
      <c r="Q171" s="38">
        <v>1</v>
      </c>
      <c r="R171" s="38">
        <v>0</v>
      </c>
      <c r="S171" s="38">
        <v>0</v>
      </c>
      <c r="T171" s="38">
        <v>0</v>
      </c>
      <c r="U171" s="29" t="str" cm="1">
        <f t="array" aca="1" ref="U171" ca="1">+fair_value_gap(OFFSET(T170,0,0,-1*$J$5,-1*$AA$1),OFFSET(E170,0,0,-1*$J$5,1),F171:T171,0)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1" s="9" t="str" cm="1">
        <f t="array" aca="1" ref="V171" ca="1">z_score_diff(OFFSET(U171,0,0,$J$5*-1,1),OFFSET(E171,0,0,$J$5*-1,1))</f>
        <v/>
      </c>
      <c r="W171" s="9" t="str">
        <f t="shared" ca="1" si="21"/>
        <v/>
      </c>
      <c r="X171" s="17">
        <f t="shared" ca="1" si="20"/>
        <v>-1.4274627792593163E-2</v>
      </c>
      <c r="Y171" s="13">
        <f t="shared" si="28"/>
        <v>0</v>
      </c>
      <c r="Z171" s="13">
        <f t="shared" si="28"/>
        <v>0</v>
      </c>
      <c r="AA171" t="str">
        <f t="shared" ca="1" si="22"/>
        <v/>
      </c>
      <c r="AB171" t="str">
        <f t="shared" ca="1" si="23"/>
        <v/>
      </c>
      <c r="AC171" s="24" t="str">
        <f t="shared" ca="1" si="24"/>
        <v/>
      </c>
      <c r="AD171" s="24" t="str">
        <f t="shared" ca="1" si="25"/>
        <v/>
      </c>
    </row>
    <row r="172" spans="3:30" x14ac:dyDescent="0.25">
      <c r="C172" s="6">
        <v>165</v>
      </c>
      <c r="D172" s="35">
        <v>42241</v>
      </c>
      <c r="E172" s="37">
        <v>20.018000000000001</v>
      </c>
      <c r="F172" s="37">
        <v>40.735683852998292</v>
      </c>
      <c r="G172" s="37">
        <v>42.15</v>
      </c>
      <c r="H172" s="37">
        <v>2.6103737899423991</v>
      </c>
      <c r="I172" s="37">
        <v>45.064661945771761</v>
      </c>
      <c r="J172" s="10">
        <v>0</v>
      </c>
      <c r="K172" s="38">
        <v>0</v>
      </c>
      <c r="L172" s="38">
        <v>0</v>
      </c>
      <c r="M172" s="38">
        <v>0</v>
      </c>
      <c r="N172" s="38">
        <v>0</v>
      </c>
      <c r="O172" s="38">
        <v>0</v>
      </c>
      <c r="P172" s="38">
        <v>0</v>
      </c>
      <c r="Q172" s="38">
        <v>1</v>
      </c>
      <c r="R172" s="38">
        <v>0</v>
      </c>
      <c r="S172" s="38">
        <v>0</v>
      </c>
      <c r="T172" s="38">
        <v>0</v>
      </c>
      <c r="U172" s="29" t="str" cm="1">
        <f t="array" aca="1" ref="U172" ca="1">+fair_value_gap(OFFSET(T171,0,0,-1*$J$5,-1*$AA$1),OFFSET(E171,0,0,-1*$J$5,1),F172:T172,0)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2" s="9" t="str" cm="1">
        <f t="array" aca="1" ref="V172" ca="1">z_score_diff(OFFSET(U172,0,0,$J$5*-1,1),OFFSET(E172,0,0,$J$5*-1,1))</f>
        <v/>
      </c>
      <c r="W172" s="9" t="str">
        <f t="shared" ca="1" si="21"/>
        <v/>
      </c>
      <c r="X172" s="17">
        <f t="shared" ca="1" si="20"/>
        <v>-2.6627743815567331E-2</v>
      </c>
      <c r="Y172" s="13">
        <f t="shared" si="28"/>
        <v>0</v>
      </c>
      <c r="Z172" s="13">
        <f t="shared" si="28"/>
        <v>0</v>
      </c>
      <c r="AA172" t="str">
        <f t="shared" ca="1" si="22"/>
        <v/>
      </c>
      <c r="AB172" t="str">
        <f t="shared" ca="1" si="23"/>
        <v/>
      </c>
      <c r="AC172" s="24" t="str">
        <f t="shared" ca="1" si="24"/>
        <v/>
      </c>
      <c r="AD172" s="24" t="str">
        <f t="shared" ca="1" si="25"/>
        <v/>
      </c>
    </row>
    <row r="173" spans="3:30" x14ac:dyDescent="0.25">
      <c r="C173" s="6">
        <v>166</v>
      </c>
      <c r="D173" s="35">
        <v>42242</v>
      </c>
      <c r="E173" s="37">
        <v>19.850000000000001</v>
      </c>
      <c r="F173" s="37">
        <v>41.257826165498344</v>
      </c>
      <c r="G173" s="37">
        <v>42.08</v>
      </c>
      <c r="H173" s="37">
        <v>2.6744447332825176</v>
      </c>
      <c r="I173" s="37">
        <v>46.263047280834321</v>
      </c>
      <c r="J173" s="10">
        <v>0</v>
      </c>
      <c r="K173" s="38">
        <v>0</v>
      </c>
      <c r="L173" s="38">
        <v>0</v>
      </c>
      <c r="M173" s="38">
        <v>0</v>
      </c>
      <c r="N173" s="38">
        <v>0</v>
      </c>
      <c r="O173" s="38">
        <v>0</v>
      </c>
      <c r="P173" s="38">
        <v>0</v>
      </c>
      <c r="Q173" s="38">
        <v>1</v>
      </c>
      <c r="R173" s="38">
        <v>0</v>
      </c>
      <c r="S173" s="38">
        <v>0</v>
      </c>
      <c r="T173" s="38">
        <v>0</v>
      </c>
      <c r="U173" s="29" t="str" cm="1">
        <f t="array" aca="1" ref="U173" ca="1">+fair_value_gap(OFFSET(T172,0,0,-1*$J$5,-1*$AA$1),OFFSET(E172,0,0,-1*$J$5,1),F173:T173,0)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3" s="9" t="str" cm="1">
        <f t="array" aca="1" ref="V173" ca="1">z_score_diff(OFFSET(U173,0,0,$J$5*-1,1),OFFSET(E173,0,0,$J$5*-1,1))</f>
        <v/>
      </c>
      <c r="W173" s="9" t="str">
        <f t="shared" ca="1" si="21"/>
        <v/>
      </c>
      <c r="X173" s="17">
        <f t="shared" ca="1" si="20"/>
        <v>-2.3652851062783309E-2</v>
      </c>
      <c r="Y173" s="13">
        <f t="shared" si="28"/>
        <v>0</v>
      </c>
      <c r="Z173" s="13">
        <f t="shared" si="28"/>
        <v>0</v>
      </c>
      <c r="AA173" t="str">
        <f t="shared" ca="1" si="22"/>
        <v/>
      </c>
      <c r="AB173" t="str">
        <f t="shared" ca="1" si="23"/>
        <v/>
      </c>
      <c r="AC173" s="24" t="str">
        <f t="shared" ca="1" si="24"/>
        <v/>
      </c>
      <c r="AD173" s="24" t="str">
        <f t="shared" ca="1" si="25"/>
        <v/>
      </c>
    </row>
    <row r="174" spans="3:30" x14ac:dyDescent="0.25">
      <c r="C174" s="6">
        <v>167</v>
      </c>
      <c r="D174" s="35">
        <v>42243</v>
      </c>
      <c r="E174" s="37">
        <v>20.135000000000002</v>
      </c>
      <c r="F174" s="37">
        <v>45.443139327335132</v>
      </c>
      <c r="G174" s="37">
        <v>42.35</v>
      </c>
      <c r="H174" s="37">
        <v>2.6636329861329706</v>
      </c>
      <c r="I174" s="37">
        <v>47.216530130353092</v>
      </c>
      <c r="J174" s="10">
        <v>0</v>
      </c>
      <c r="K174" s="38">
        <v>0</v>
      </c>
      <c r="L174" s="38">
        <v>0</v>
      </c>
      <c r="M174" s="38">
        <v>0</v>
      </c>
      <c r="N174" s="38">
        <v>0</v>
      </c>
      <c r="O174" s="38">
        <v>0</v>
      </c>
      <c r="P174" s="38">
        <v>0</v>
      </c>
      <c r="Q174" s="38">
        <v>1</v>
      </c>
      <c r="R174" s="38">
        <v>0</v>
      </c>
      <c r="S174" s="38">
        <v>0</v>
      </c>
      <c r="T174" s="38">
        <v>0</v>
      </c>
      <c r="U174" s="29" t="str" cm="1">
        <f t="array" aca="1" ref="U174" ca="1">+fair_value_gap(OFFSET(T173,0,0,-1*$J$5,-1*$AA$1),OFFSET(E173,0,0,-1*$J$5,1),F174:T174,0)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4" s="9" t="str" cm="1">
        <f t="array" aca="1" ref="V174" ca="1">z_score_diff(OFFSET(U174,0,0,$J$5*-1,1),OFFSET(E174,0,0,$J$5*-1,1))</f>
        <v/>
      </c>
      <c r="W174" s="9" t="str">
        <f t="shared" ca="1" si="21"/>
        <v/>
      </c>
      <c r="X174" s="17">
        <f t="shared" ca="1" si="20"/>
        <v>-5.0574720529702834E-2</v>
      </c>
      <c r="Y174" s="13">
        <f t="shared" si="28"/>
        <v>0</v>
      </c>
      <c r="Z174" s="13">
        <f t="shared" si="28"/>
        <v>0</v>
      </c>
      <c r="AA174" t="str">
        <f t="shared" ca="1" si="22"/>
        <v/>
      </c>
      <c r="AB174" t="str">
        <f t="shared" ca="1" si="23"/>
        <v/>
      </c>
      <c r="AC174" s="24" t="str">
        <f t="shared" ca="1" si="24"/>
        <v/>
      </c>
      <c r="AD174" s="24" t="str">
        <f t="shared" ca="1" si="25"/>
        <v/>
      </c>
    </row>
    <row r="175" spans="3:30" x14ac:dyDescent="0.25">
      <c r="C175" s="6">
        <v>168</v>
      </c>
      <c r="D175" s="35">
        <v>42244</v>
      </c>
      <c r="E175" s="37">
        <v>20.388999999999999</v>
      </c>
      <c r="F175" s="37">
        <v>47.926086452452935</v>
      </c>
      <c r="G175" s="37">
        <v>42.45</v>
      </c>
      <c r="H175" s="37">
        <v>2.6825766291212956</v>
      </c>
      <c r="I175" s="37">
        <v>47.622869679214489</v>
      </c>
      <c r="J175" s="10">
        <v>0</v>
      </c>
      <c r="K175" s="38">
        <v>0</v>
      </c>
      <c r="L175" s="38">
        <v>0</v>
      </c>
      <c r="M175" s="38">
        <v>0</v>
      </c>
      <c r="N175" s="38">
        <v>0</v>
      </c>
      <c r="O175" s="38">
        <v>0</v>
      </c>
      <c r="P175" s="38">
        <v>0</v>
      </c>
      <c r="Q175" s="38">
        <v>1</v>
      </c>
      <c r="R175" s="38">
        <v>0</v>
      </c>
      <c r="S175" s="38">
        <v>0</v>
      </c>
      <c r="T175" s="38">
        <v>0</v>
      </c>
      <c r="U175" s="29" t="str" cm="1">
        <f t="array" aca="1" ref="U175" ca="1">+fair_value_gap(OFFSET(T174,0,0,-1*$J$5,-1*$AA$1),OFFSET(E174,0,0,-1*$J$5,1),F175:T175,0)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5" s="9" t="str" cm="1">
        <f t="array" aca="1" ref="V175" ca="1">z_score_diff(OFFSET(U175,0,0,$J$5*-1,1),OFFSET(E175,0,0,$J$5*-1,1))</f>
        <v/>
      </c>
      <c r="W175" s="9" t="str">
        <f t="shared" ca="1" si="21"/>
        <v/>
      </c>
      <c r="X175" s="17">
        <f t="shared" ca="1" si="20"/>
        <v>-5.6861296596164658E-2</v>
      </c>
      <c r="Y175" s="13">
        <f t="shared" si="28"/>
        <v>0</v>
      </c>
      <c r="Z175" s="13">
        <f t="shared" si="28"/>
        <v>0</v>
      </c>
      <c r="AA175" t="str">
        <f t="shared" ca="1" si="22"/>
        <v/>
      </c>
      <c r="AB175" t="str">
        <f t="shared" ca="1" si="23"/>
        <v/>
      </c>
      <c r="AC175" s="24" t="str">
        <f t="shared" ca="1" si="24"/>
        <v/>
      </c>
      <c r="AD175" s="24" t="str">
        <f t="shared" ca="1" si="25"/>
        <v/>
      </c>
    </row>
    <row r="176" spans="3:30" x14ac:dyDescent="0.25">
      <c r="C176" s="6">
        <v>169</v>
      </c>
      <c r="D176" s="35">
        <v>42247</v>
      </c>
      <c r="E176" s="37">
        <v>19.808</v>
      </c>
      <c r="F176" s="37">
        <v>51.450165378707901</v>
      </c>
      <c r="G176" s="37">
        <v>35.54</v>
      </c>
      <c r="H176" s="37">
        <v>2.6485495678097171</v>
      </c>
      <c r="I176" s="37">
        <v>47.492460349576518</v>
      </c>
      <c r="J176" s="10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1</v>
      </c>
      <c r="R176" s="38">
        <v>0</v>
      </c>
      <c r="S176" s="38">
        <v>0</v>
      </c>
      <c r="T176" s="38">
        <v>0</v>
      </c>
      <c r="U176" s="29" t="str" cm="1">
        <f t="array" aca="1" ref="U176" ca="1">+fair_value_gap(OFFSET(T175,0,0,-1*$J$5,-1*$AA$1),OFFSET(E175,0,0,-1*$J$5,1),F176:T176,0)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6" s="9" t="str" cm="1">
        <f t="array" aca="1" ref="V176" ca="1">z_score_diff(OFFSET(U176,0,0,$J$5*-1,1),OFFSET(E176,0,0,$J$5*-1,1))</f>
        <v/>
      </c>
      <c r="W176" s="9" t="str">
        <f t="shared" ca="1" si="21"/>
        <v/>
      </c>
      <c r="X176" s="17">
        <f t="shared" ca="1" si="20"/>
        <v>-4.0805166444292822E-2</v>
      </c>
      <c r="Y176" s="13">
        <f t="shared" si="28"/>
        <v>0</v>
      </c>
      <c r="Z176" s="13">
        <f t="shared" si="28"/>
        <v>0</v>
      </c>
      <c r="AA176" t="str">
        <f t="shared" ca="1" si="22"/>
        <v/>
      </c>
      <c r="AB176" t="str">
        <f t="shared" ca="1" si="23"/>
        <v/>
      </c>
      <c r="AC176" s="24" t="str">
        <f t="shared" ca="1" si="24"/>
        <v/>
      </c>
      <c r="AD176" s="24" t="str">
        <f t="shared" ca="1" si="25"/>
        <v/>
      </c>
    </row>
    <row r="177" spans="3:30" x14ac:dyDescent="0.25">
      <c r="C177" s="6">
        <v>170</v>
      </c>
      <c r="D177" s="35">
        <v>42248</v>
      </c>
      <c r="E177" s="37">
        <v>19.966000000000001</v>
      </c>
      <c r="F177" s="37">
        <v>46.807629802208254</v>
      </c>
      <c r="G177" s="37">
        <v>35.67</v>
      </c>
      <c r="H177" s="37">
        <v>2.625772383146082</v>
      </c>
      <c r="I177" s="37">
        <v>46.772396358623602</v>
      </c>
      <c r="J177" s="10">
        <v>0</v>
      </c>
      <c r="K177" s="38">
        <v>0</v>
      </c>
      <c r="L177" s="38">
        <v>0</v>
      </c>
      <c r="M177" s="38">
        <v>0</v>
      </c>
      <c r="N177" s="38">
        <v>0</v>
      </c>
      <c r="O177" s="38">
        <v>0</v>
      </c>
      <c r="P177" s="38">
        <v>0</v>
      </c>
      <c r="Q177" s="38">
        <v>0</v>
      </c>
      <c r="R177" s="38">
        <v>1</v>
      </c>
      <c r="S177" s="38">
        <v>0</v>
      </c>
      <c r="T177" s="38">
        <v>0</v>
      </c>
      <c r="U177" s="29" t="str" cm="1">
        <f t="array" aca="1" ref="U177" ca="1">+fair_value_gap(OFFSET(T176,0,0,-1*$J$5,-1*$AA$1),OFFSET(E176,0,0,-1*$J$5,1),F177:T177,0)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7" s="9" t="str" cm="1">
        <f t="array" aca="1" ref="V177" ca="1">z_score_diff(OFFSET(U177,0,0,$J$5*-1,1),OFFSET(E177,0,0,$J$5*-1,1))</f>
        <v/>
      </c>
      <c r="W177" s="9" t="str">
        <f t="shared" ca="1" si="21"/>
        <v/>
      </c>
      <c r="X177" s="17">
        <f t="shared" ca="1" si="20"/>
        <v>-5.1382924452697751E-2</v>
      </c>
      <c r="Y177" s="13">
        <f t="shared" si="28"/>
        <v>0</v>
      </c>
      <c r="Z177" s="13">
        <f t="shared" si="28"/>
        <v>0</v>
      </c>
      <c r="AA177" t="str">
        <f t="shared" ca="1" si="22"/>
        <v/>
      </c>
      <c r="AB177" t="str">
        <f t="shared" ca="1" si="23"/>
        <v/>
      </c>
      <c r="AC177" s="24" t="str">
        <f t="shared" ca="1" si="24"/>
        <v/>
      </c>
      <c r="AD177" s="24" t="str">
        <f t="shared" ca="1" si="25"/>
        <v/>
      </c>
    </row>
    <row r="178" spans="3:30" x14ac:dyDescent="0.25">
      <c r="C178" s="6">
        <v>171</v>
      </c>
      <c r="D178" s="35">
        <v>42249</v>
      </c>
      <c r="E178" s="37">
        <v>20</v>
      </c>
      <c r="F178" s="37">
        <v>48.00127861341479</v>
      </c>
      <c r="G178" s="37">
        <v>35.76</v>
      </c>
      <c r="H178" s="37">
        <v>2.6096144625384028</v>
      </c>
      <c r="I178" s="37">
        <v>47.015680772850779</v>
      </c>
      <c r="J178" s="10">
        <v>0</v>
      </c>
      <c r="K178" s="38">
        <v>0</v>
      </c>
      <c r="L178" s="38">
        <v>0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38">
        <v>1</v>
      </c>
      <c r="S178" s="38">
        <v>0</v>
      </c>
      <c r="T178" s="38">
        <v>0</v>
      </c>
      <c r="U178" s="29" t="str" cm="1">
        <f t="array" aca="1" ref="U178" ca="1">+fair_value_gap(OFFSET(T177,0,0,-1*$J$5,-1*$AA$1),OFFSET(E177,0,0,-1*$J$5,1),F178:T178,0)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8" s="9" t="str" cm="1">
        <f t="array" aca="1" ref="V178" ca="1">z_score_diff(OFFSET(U178,0,0,$J$5*-1,1),OFFSET(E178,0,0,$J$5*-1,1))</f>
        <v/>
      </c>
      <c r="W178" s="9" t="str">
        <f t="shared" ca="1" si="21"/>
        <v/>
      </c>
      <c r="X178" s="17">
        <f t="shared" ca="1" si="20"/>
        <v>-7.4184898189376583E-2</v>
      </c>
      <c r="Y178" s="13">
        <f t="shared" si="28"/>
        <v>0</v>
      </c>
      <c r="Z178" s="13">
        <f t="shared" si="28"/>
        <v>0</v>
      </c>
      <c r="AA178" t="str">
        <f t="shared" ca="1" si="22"/>
        <v/>
      </c>
      <c r="AB178" t="str">
        <f t="shared" ca="1" si="23"/>
        <v/>
      </c>
      <c r="AC178" s="24" t="str">
        <f t="shared" ca="1" si="24"/>
        <v/>
      </c>
      <c r="AD178" s="24" t="str">
        <f t="shared" ca="1" si="25"/>
        <v/>
      </c>
    </row>
    <row r="179" spans="3:30" x14ac:dyDescent="0.25">
      <c r="C179" s="6">
        <v>172</v>
      </c>
      <c r="D179" s="35">
        <v>42250</v>
      </c>
      <c r="E179" s="37">
        <v>20.172999999999998</v>
      </c>
      <c r="F179" s="37">
        <v>48.714665739621587</v>
      </c>
      <c r="G179" s="37">
        <v>35.74</v>
      </c>
      <c r="H179" s="37">
        <v>2.6897448326346147</v>
      </c>
      <c r="I179" s="37">
        <v>47.711163337039721</v>
      </c>
      <c r="J179" s="10">
        <v>0</v>
      </c>
      <c r="K179" s="38">
        <v>0</v>
      </c>
      <c r="L179" s="38">
        <v>0</v>
      </c>
      <c r="M179" s="38">
        <v>0</v>
      </c>
      <c r="N179" s="38">
        <v>0</v>
      </c>
      <c r="O179" s="38">
        <v>0</v>
      </c>
      <c r="P179" s="38">
        <v>0</v>
      </c>
      <c r="Q179" s="38">
        <v>0</v>
      </c>
      <c r="R179" s="38">
        <v>1</v>
      </c>
      <c r="S179" s="38">
        <v>0</v>
      </c>
      <c r="T179" s="38">
        <v>0</v>
      </c>
      <c r="U179" s="29" t="str" cm="1">
        <f t="array" aca="1" ref="U179" ca="1">+fair_value_gap(OFFSET(T178,0,0,-1*$J$5,-1*$AA$1),OFFSET(E178,0,0,-1*$J$5,1),F179:T179,0)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9" s="9" t="str" cm="1">
        <f t="array" aca="1" ref="V179" ca="1">z_score_diff(OFFSET(U179,0,0,$J$5*-1,1),OFFSET(E179,0,0,$J$5*-1,1))</f>
        <v/>
      </c>
      <c r="W179" s="9" t="str">
        <f t="shared" ca="1" si="21"/>
        <v/>
      </c>
      <c r="X179" s="17">
        <f t="shared" ca="1" si="20"/>
        <v>-9.6351717406229387E-2</v>
      </c>
      <c r="Y179" s="13">
        <f t="shared" si="28"/>
        <v>0</v>
      </c>
      <c r="Z179" s="13">
        <f t="shared" si="28"/>
        <v>0</v>
      </c>
      <c r="AA179" t="str">
        <f t="shared" ca="1" si="22"/>
        <v/>
      </c>
      <c r="AB179" t="str">
        <f t="shared" ca="1" si="23"/>
        <v/>
      </c>
      <c r="AC179" s="24" t="str">
        <f t="shared" ca="1" si="24"/>
        <v/>
      </c>
      <c r="AD179" s="24" t="str">
        <f t="shared" ca="1" si="25"/>
        <v/>
      </c>
    </row>
    <row r="180" spans="3:30" x14ac:dyDescent="0.25">
      <c r="C180" s="6">
        <v>173</v>
      </c>
      <c r="D180" s="35">
        <v>42251</v>
      </c>
      <c r="E180" s="37">
        <v>19.847999999999999</v>
      </c>
      <c r="F180" s="37">
        <v>47.686285724499093</v>
      </c>
      <c r="G180" s="37">
        <v>35.6</v>
      </c>
      <c r="H180" s="37">
        <v>2.6604586319683996</v>
      </c>
      <c r="I180" s="37">
        <v>47.007095747913276</v>
      </c>
      <c r="J180" s="10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38">
        <v>1</v>
      </c>
      <c r="S180" s="38">
        <v>0</v>
      </c>
      <c r="T180" s="38">
        <v>0</v>
      </c>
      <c r="U180" s="29" t="str" cm="1">
        <f t="array" aca="1" ref="U180" ca="1">+fair_value_gap(OFFSET(T179,0,0,-1*$J$5,-1*$AA$1),OFFSET(E179,0,0,-1*$J$5,1),F180:T180,0)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0" s="9" t="str" cm="1">
        <f t="array" aca="1" ref="V180" ca="1">z_score_diff(OFFSET(U180,0,0,$J$5*-1,1),OFFSET(E180,0,0,$J$5*-1,1))</f>
        <v/>
      </c>
      <c r="W180" s="9" t="str">
        <f t="shared" ca="1" si="21"/>
        <v/>
      </c>
      <c r="X180" s="17">
        <f t="shared" ca="1" si="20"/>
        <v>-9.1252522395625993E-2</v>
      </c>
      <c r="Y180" s="13">
        <f t="shared" si="28"/>
        <v>0</v>
      </c>
      <c r="Z180" s="13">
        <f t="shared" si="28"/>
        <v>0</v>
      </c>
      <c r="AA180" t="str">
        <f t="shared" ca="1" si="22"/>
        <v/>
      </c>
      <c r="AB180" t="str">
        <f t="shared" ca="1" si="23"/>
        <v/>
      </c>
      <c r="AC180" s="24" t="str">
        <f t="shared" ca="1" si="24"/>
        <v/>
      </c>
      <c r="AD180" s="24" t="str">
        <f t="shared" ca="1" si="25"/>
        <v/>
      </c>
    </row>
    <row r="181" spans="3:30" x14ac:dyDescent="0.25">
      <c r="C181" s="6">
        <v>174</v>
      </c>
      <c r="D181" s="35">
        <v>42254</v>
      </c>
      <c r="E181" s="37">
        <v>19.791</v>
      </c>
      <c r="F181" s="37">
        <v>45.899731135763943</v>
      </c>
      <c r="G181" s="37">
        <v>35.49</v>
      </c>
      <c r="H181" s="37">
        <v>2.6573998364677021</v>
      </c>
      <c r="I181" s="37">
        <v>45.792613910242899</v>
      </c>
      <c r="J181" s="10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38">
        <v>0</v>
      </c>
      <c r="Q181" s="38">
        <v>0</v>
      </c>
      <c r="R181" s="38">
        <v>1</v>
      </c>
      <c r="S181" s="38">
        <v>0</v>
      </c>
      <c r="T181" s="38">
        <v>0</v>
      </c>
      <c r="U181" s="29" t="str" cm="1">
        <f t="array" aca="1" ref="U181" ca="1">+fair_value_gap(OFFSET(T180,0,0,-1*$J$5,-1*$AA$1),OFFSET(E180,0,0,-1*$J$5,1),F181:T181,0)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1" s="9" t="str" cm="1">
        <f t="array" aca="1" ref="V181" ca="1">z_score_diff(OFFSET(U181,0,0,$J$5*-1,1),OFFSET(E181,0,0,$J$5*-1,1))</f>
        <v/>
      </c>
      <c r="W181" s="9" t="str">
        <f t="shared" ca="1" si="21"/>
        <v/>
      </c>
      <c r="X181" s="17">
        <f t="shared" ca="1" si="20"/>
        <v>-7.7179345999736068E-2</v>
      </c>
      <c r="Y181" s="13">
        <f t="shared" si="28"/>
        <v>0</v>
      </c>
      <c r="Z181" s="13">
        <f t="shared" si="28"/>
        <v>0</v>
      </c>
      <c r="AA181" t="str">
        <f t="shared" ca="1" si="22"/>
        <v/>
      </c>
      <c r="AB181" t="str">
        <f t="shared" ca="1" si="23"/>
        <v/>
      </c>
      <c r="AC181" s="24" t="str">
        <f t="shared" ca="1" si="24"/>
        <v/>
      </c>
      <c r="AD181" s="24" t="str">
        <f t="shared" ca="1" si="25"/>
        <v/>
      </c>
    </row>
    <row r="182" spans="3:30" x14ac:dyDescent="0.25">
      <c r="C182" s="6">
        <v>175</v>
      </c>
      <c r="D182" s="35">
        <v>42255</v>
      </c>
      <c r="E182" s="37">
        <v>19.780999999999999</v>
      </c>
      <c r="F182" s="37">
        <v>47.442313953715946</v>
      </c>
      <c r="G182" s="37">
        <v>36.25</v>
      </c>
      <c r="H182" s="37">
        <v>2.6812513455184672</v>
      </c>
      <c r="I182" s="37">
        <v>46.303627250907837</v>
      </c>
      <c r="J182" s="10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38">
        <v>1</v>
      </c>
      <c r="S182" s="38">
        <v>0</v>
      </c>
      <c r="T182" s="38">
        <v>0</v>
      </c>
      <c r="U182" s="29" t="str" cm="1">
        <f t="array" aca="1" ref="U182" ca="1">+fair_value_gap(OFFSET(T181,0,0,-1*$J$5,-1*$AA$1),OFFSET(E181,0,0,-1*$J$5,1),F182:T182,0)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2" s="9" t="str" cm="1">
        <f t="array" aca="1" ref="V182" ca="1">z_score_diff(OFFSET(U182,0,0,$J$5*-1,1),OFFSET(E182,0,0,$J$5*-1,1))</f>
        <v/>
      </c>
      <c r="W182" s="9" t="str">
        <f t="shared" ca="1" si="21"/>
        <v/>
      </c>
      <c r="X182" s="17">
        <f t="shared" ca="1" si="20"/>
        <v>-5.0918204102114409E-2</v>
      </c>
      <c r="Y182" s="13">
        <f t="shared" si="28"/>
        <v>0</v>
      </c>
      <c r="Z182" s="13">
        <f t="shared" si="28"/>
        <v>0</v>
      </c>
      <c r="AA182" t="str">
        <f t="shared" ca="1" si="22"/>
        <v/>
      </c>
      <c r="AB182" t="str">
        <f t="shared" ca="1" si="23"/>
        <v/>
      </c>
      <c r="AC182" s="24" t="str">
        <f t="shared" ca="1" si="24"/>
        <v/>
      </c>
      <c r="AD182" s="24" t="str">
        <f t="shared" ca="1" si="25"/>
        <v/>
      </c>
    </row>
    <row r="183" spans="3:30" x14ac:dyDescent="0.25">
      <c r="C183" s="6">
        <v>176</v>
      </c>
      <c r="D183" s="35">
        <v>42256</v>
      </c>
      <c r="E183" s="37">
        <v>19.896000000000001</v>
      </c>
      <c r="F183" s="37">
        <v>45.871600427945211</v>
      </c>
      <c r="G183" s="37">
        <v>36.49</v>
      </c>
      <c r="H183" s="37">
        <v>2.6484223744556195</v>
      </c>
      <c r="I183" s="37">
        <v>45.978319932624416</v>
      </c>
      <c r="J183" s="10">
        <v>0</v>
      </c>
      <c r="K183" s="38">
        <v>0</v>
      </c>
      <c r="L183" s="38">
        <v>0</v>
      </c>
      <c r="M183" s="38">
        <v>0</v>
      </c>
      <c r="N183" s="38">
        <v>0</v>
      </c>
      <c r="O183" s="38">
        <v>0</v>
      </c>
      <c r="P183" s="38">
        <v>0</v>
      </c>
      <c r="Q183" s="38">
        <v>0</v>
      </c>
      <c r="R183" s="38">
        <v>1</v>
      </c>
      <c r="S183" s="38">
        <v>0</v>
      </c>
      <c r="T183" s="38">
        <v>0</v>
      </c>
      <c r="U183" s="29" t="str" cm="1">
        <f t="array" aca="1" ref="U183" ca="1">+fair_value_gap(OFFSET(T182,0,0,-1*$J$5,-1*$AA$1),OFFSET(E182,0,0,-1*$J$5,1),F183:T183,0)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3" s="9" t="str" cm="1">
        <f t="array" aca="1" ref="V183" ca="1">z_score_diff(OFFSET(U183,0,0,$J$5*-1,1),OFFSET(E183,0,0,$J$5*-1,1))</f>
        <v/>
      </c>
      <c r="W183" s="9" t="str">
        <f t="shared" ca="1" si="21"/>
        <v/>
      </c>
      <c r="X183" s="17">
        <f t="shared" ca="1" si="20"/>
        <v>-6.1139933497133613E-2</v>
      </c>
      <c r="Y183" s="13">
        <f t="shared" si="28"/>
        <v>0</v>
      </c>
      <c r="Z183" s="13">
        <f t="shared" si="28"/>
        <v>0</v>
      </c>
      <c r="AA183" t="str">
        <f t="shared" ca="1" si="22"/>
        <v/>
      </c>
      <c r="AB183" t="str">
        <f t="shared" ca="1" si="23"/>
        <v/>
      </c>
      <c r="AC183" s="24" t="str">
        <f t="shared" ca="1" si="24"/>
        <v/>
      </c>
      <c r="AD183" s="24" t="str">
        <f t="shared" ca="1" si="25"/>
        <v/>
      </c>
    </row>
    <row r="184" spans="3:30" x14ac:dyDescent="0.25">
      <c r="C184" s="6">
        <v>177</v>
      </c>
      <c r="D184" s="35">
        <v>42257</v>
      </c>
      <c r="E184" s="37">
        <v>19.901</v>
      </c>
      <c r="F184" s="37">
        <v>46.77911805627992</v>
      </c>
      <c r="G184" s="37">
        <v>36.47</v>
      </c>
      <c r="H184" s="37">
        <v>2.6465736859505307</v>
      </c>
      <c r="I184" s="37">
        <v>45.87747972639697</v>
      </c>
      <c r="J184" s="10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38">
        <v>1</v>
      </c>
      <c r="S184" s="38">
        <v>0</v>
      </c>
      <c r="T184" s="38">
        <v>0</v>
      </c>
      <c r="U184" s="29" t="str" cm="1">
        <f t="array" aca="1" ref="U184" ca="1">+fair_value_gap(OFFSET(T183,0,0,-1*$J$5,-1*$AA$1),OFFSET(E183,0,0,-1*$J$5,1),F184:T184,0)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4" s="9" t="str" cm="1">
        <f t="array" aca="1" ref="V184" ca="1">z_score_diff(OFFSET(U184,0,0,$J$5*-1,1),OFFSET(E184,0,0,$J$5*-1,1))</f>
        <v/>
      </c>
      <c r="W184" s="9" t="str">
        <f t="shared" ca="1" si="21"/>
        <v/>
      </c>
      <c r="X184" s="17">
        <f t="shared" ca="1" si="20"/>
        <v>-6.1711841438177775E-2</v>
      </c>
      <c r="Y184" s="13">
        <f t="shared" si="28"/>
        <v>0</v>
      </c>
      <c r="Z184" s="13">
        <f t="shared" si="28"/>
        <v>0</v>
      </c>
      <c r="AA184" t="str">
        <f t="shared" ca="1" si="22"/>
        <v/>
      </c>
      <c r="AB184" t="str">
        <f t="shared" ca="1" si="23"/>
        <v/>
      </c>
      <c r="AC184" s="24" t="str">
        <f t="shared" ca="1" si="24"/>
        <v/>
      </c>
      <c r="AD184" s="24" t="str">
        <f t="shared" ca="1" si="25"/>
        <v/>
      </c>
    </row>
    <row r="185" spans="3:30" x14ac:dyDescent="0.25">
      <c r="C185" s="6">
        <v>178</v>
      </c>
      <c r="D185" s="35">
        <v>42258</v>
      </c>
      <c r="E185" s="37">
        <v>19.8</v>
      </c>
      <c r="F185" s="37">
        <v>45.820787270049891</v>
      </c>
      <c r="G185" s="37">
        <v>36.42</v>
      </c>
      <c r="H185" s="37">
        <v>2.6286292006417726</v>
      </c>
      <c r="I185" s="37">
        <v>45.539462405767154</v>
      </c>
      <c r="J185" s="10">
        <v>0</v>
      </c>
      <c r="K185" s="38">
        <v>0</v>
      </c>
      <c r="L185" s="38">
        <v>0</v>
      </c>
      <c r="M185" s="38">
        <v>0</v>
      </c>
      <c r="N185" s="38">
        <v>0</v>
      </c>
      <c r="O185" s="38">
        <v>0</v>
      </c>
      <c r="P185" s="38">
        <v>0</v>
      </c>
      <c r="Q185" s="38">
        <v>0</v>
      </c>
      <c r="R185" s="38">
        <v>1</v>
      </c>
      <c r="S185" s="38">
        <v>0</v>
      </c>
      <c r="T185" s="38">
        <v>0</v>
      </c>
      <c r="U185" s="29" t="str" cm="1">
        <f t="array" aca="1" ref="U185" ca="1">+fair_value_gap(OFFSET(T184,0,0,-1*$J$5,-1*$AA$1),OFFSET(E184,0,0,-1*$J$5,1),F185:T185,0)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5" s="9" t="str" cm="1">
        <f t="array" aca="1" ref="V185" ca="1">z_score_diff(OFFSET(U185,0,0,$J$5*-1,1),OFFSET(E185,0,0,$J$5*-1,1))</f>
        <v/>
      </c>
      <c r="W185" s="9" t="str">
        <f t="shared" ca="1" si="21"/>
        <v/>
      </c>
      <c r="X185" s="17">
        <f t="shared" ca="1" si="20"/>
        <v>-5.6677246197208112E-2</v>
      </c>
      <c r="Y185" s="13">
        <f t="shared" ref="Y185:Z200" si="29">+Y184</f>
        <v>0</v>
      </c>
      <c r="Z185" s="13">
        <f t="shared" si="29"/>
        <v>0</v>
      </c>
      <c r="AA185" t="str">
        <f t="shared" ca="1" si="22"/>
        <v/>
      </c>
      <c r="AB185" t="str">
        <f t="shared" ca="1" si="23"/>
        <v/>
      </c>
      <c r="AC185" s="24" t="str">
        <f t="shared" ca="1" si="24"/>
        <v/>
      </c>
      <c r="AD185" s="24" t="str">
        <f t="shared" ca="1" si="25"/>
        <v/>
      </c>
    </row>
    <row r="186" spans="3:30" x14ac:dyDescent="0.25">
      <c r="C186" s="6">
        <v>179</v>
      </c>
      <c r="D186" s="35">
        <v>42261</v>
      </c>
      <c r="E186" s="37">
        <v>19.62</v>
      </c>
      <c r="F186" s="37">
        <v>44.522915299908867</v>
      </c>
      <c r="G186" s="37">
        <v>36.22</v>
      </c>
      <c r="H186" s="37">
        <v>2.6752495387880364</v>
      </c>
      <c r="I186" s="37">
        <v>45.526794323680541</v>
      </c>
      <c r="J186" s="10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38">
        <v>1</v>
      </c>
      <c r="S186" s="38">
        <v>0</v>
      </c>
      <c r="T186" s="38">
        <v>0</v>
      </c>
      <c r="U186" s="29" t="str" cm="1">
        <f t="array" aca="1" ref="U186" ca="1">+fair_value_gap(OFFSET(T185,0,0,-1*$J$5,-1*$AA$1),OFFSET(E185,0,0,-1*$J$5,1),F186:T186,0)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6" s="9" t="str" cm="1">
        <f t="array" aca="1" ref="V186" ca="1">z_score_diff(OFFSET(U186,0,0,$J$5*-1,1),OFFSET(E186,0,0,$J$5*-1,1))</f>
        <v/>
      </c>
      <c r="W186" s="9" t="str">
        <f t="shared" ca="1" si="21"/>
        <v/>
      </c>
      <c r="X186" s="17">
        <f t="shared" ca="1" si="20"/>
        <v>-6.0997397710754186E-2</v>
      </c>
      <c r="Y186" s="13">
        <f t="shared" si="29"/>
        <v>0</v>
      </c>
      <c r="Z186" s="13">
        <f t="shared" si="29"/>
        <v>0</v>
      </c>
      <c r="AA186" t="str">
        <f t="shared" ca="1" si="22"/>
        <v/>
      </c>
      <c r="AB186" t="str">
        <f t="shared" ca="1" si="23"/>
        <v/>
      </c>
      <c r="AC186" s="24" t="str">
        <f t="shared" ca="1" si="24"/>
        <v/>
      </c>
      <c r="AD186" s="24" t="str">
        <f t="shared" ca="1" si="25"/>
        <v/>
      </c>
    </row>
    <row r="187" spans="3:30" x14ac:dyDescent="0.25">
      <c r="C187" s="6">
        <v>180</v>
      </c>
      <c r="D187" s="35">
        <v>42262</v>
      </c>
      <c r="E187" s="37">
        <v>19.471</v>
      </c>
      <c r="F187" s="37">
        <v>44.936287931851794</v>
      </c>
      <c r="G187" s="37">
        <v>36.1</v>
      </c>
      <c r="H187" s="37">
        <v>2.6744210727400084</v>
      </c>
      <c r="I187" s="37">
        <v>45.413863123412511</v>
      </c>
      <c r="J187" s="10">
        <v>0</v>
      </c>
      <c r="K187" s="38">
        <v>0</v>
      </c>
      <c r="L187" s="38">
        <v>0</v>
      </c>
      <c r="M187" s="38">
        <v>0</v>
      </c>
      <c r="N187" s="38">
        <v>0</v>
      </c>
      <c r="O187" s="38">
        <v>0</v>
      </c>
      <c r="P187" s="38">
        <v>0</v>
      </c>
      <c r="Q187" s="38">
        <v>0</v>
      </c>
      <c r="R187" s="38">
        <v>1</v>
      </c>
      <c r="S187" s="38">
        <v>0</v>
      </c>
      <c r="T187" s="38">
        <v>0</v>
      </c>
      <c r="U187" s="29" t="str" cm="1">
        <f t="array" aca="1" ref="U187" ca="1">+fair_value_gap(OFFSET(T186,0,0,-1*$J$5,-1*$AA$1),OFFSET(E186,0,0,-1*$J$5,1),F187:T187,0)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7" s="9" t="str" cm="1">
        <f t="array" aca="1" ref="V187" ca="1">z_score_diff(OFFSET(U187,0,0,$J$5*-1,1),OFFSET(E187,0,0,$J$5*-1,1))</f>
        <v/>
      </c>
      <c r="W187" s="9" t="str">
        <f t="shared" ca="1" si="21"/>
        <v/>
      </c>
      <c r="X187" s="17">
        <f t="shared" ca="1" si="20"/>
        <v>-6.8329100694531797E-2</v>
      </c>
      <c r="Y187" s="13">
        <f t="shared" si="29"/>
        <v>0</v>
      </c>
      <c r="Z187" s="13">
        <f t="shared" si="29"/>
        <v>0</v>
      </c>
      <c r="AA187" t="str">
        <f t="shared" ca="1" si="22"/>
        <v/>
      </c>
      <c r="AB187" t="str">
        <f t="shared" ca="1" si="23"/>
        <v/>
      </c>
      <c r="AC187" s="24" t="str">
        <f t="shared" ca="1" si="24"/>
        <v/>
      </c>
      <c r="AD187" s="24" t="str">
        <f t="shared" ca="1" si="25"/>
        <v/>
      </c>
    </row>
    <row r="188" spans="3:30" x14ac:dyDescent="0.25">
      <c r="C188" s="6">
        <v>181</v>
      </c>
      <c r="D188" s="35">
        <v>42263</v>
      </c>
      <c r="E188" s="37">
        <v>19.818999999999999</v>
      </c>
      <c r="F188" s="37">
        <v>47.071365096062124</v>
      </c>
      <c r="G188" s="37">
        <v>36.68</v>
      </c>
      <c r="H188" s="37">
        <v>2.617429112765659</v>
      </c>
      <c r="I188" s="37">
        <v>45.800597084469892</v>
      </c>
      <c r="J188" s="10">
        <v>0</v>
      </c>
      <c r="K188" s="38">
        <v>0</v>
      </c>
      <c r="L188" s="38">
        <v>0</v>
      </c>
      <c r="M188" s="38">
        <v>0</v>
      </c>
      <c r="N188" s="38">
        <v>0</v>
      </c>
      <c r="O188" s="38">
        <v>0</v>
      </c>
      <c r="P188" s="38">
        <v>0</v>
      </c>
      <c r="Q188" s="38">
        <v>0</v>
      </c>
      <c r="R188" s="38">
        <v>1</v>
      </c>
      <c r="S188" s="38">
        <v>0</v>
      </c>
      <c r="T188" s="38">
        <v>0</v>
      </c>
      <c r="U188" s="29" t="str" cm="1">
        <f t="array" aca="1" ref="U188" ca="1">+fair_value_gap(OFFSET(T187,0,0,-1*$J$5,-1*$AA$1),OFFSET(E187,0,0,-1*$J$5,1),F188:T188,0)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8" s="9" t="str" cm="1">
        <f t="array" aca="1" ref="V188" ca="1">z_score_diff(OFFSET(U188,0,0,$J$5*-1,1),OFFSET(E188,0,0,$J$5*-1,1))</f>
        <v/>
      </c>
      <c r="W188" s="9" t="str">
        <f t="shared" ca="1" si="21"/>
        <v/>
      </c>
      <c r="X188" s="17">
        <f t="shared" ca="1" si="20"/>
        <v>-9.416042979869417E-2</v>
      </c>
      <c r="Y188" s="13">
        <f t="shared" si="29"/>
        <v>0</v>
      </c>
      <c r="Z188" s="13">
        <f t="shared" si="29"/>
        <v>0</v>
      </c>
      <c r="AA188" t="str">
        <f t="shared" ca="1" si="22"/>
        <v/>
      </c>
      <c r="AB188" t="str">
        <f t="shared" ca="1" si="23"/>
        <v/>
      </c>
      <c r="AC188" s="24" t="str">
        <f t="shared" ca="1" si="24"/>
        <v/>
      </c>
      <c r="AD188" s="24" t="str">
        <f t="shared" ca="1" si="25"/>
        <v/>
      </c>
    </row>
    <row r="189" spans="3:30" x14ac:dyDescent="0.25">
      <c r="C189" s="6">
        <v>182</v>
      </c>
      <c r="D189" s="35">
        <v>42264</v>
      </c>
      <c r="E189" s="37">
        <v>19.646999999999998</v>
      </c>
      <c r="F189" s="37">
        <v>45.864480052874946</v>
      </c>
      <c r="G189" s="37">
        <v>36.75</v>
      </c>
      <c r="H189" s="37">
        <v>2.5783510934667531</v>
      </c>
      <c r="I189" s="37">
        <v>45.079726591894193</v>
      </c>
      <c r="J189" s="10">
        <v>0</v>
      </c>
      <c r="K189" s="38">
        <v>0</v>
      </c>
      <c r="L189" s="38">
        <v>0</v>
      </c>
      <c r="M189" s="38">
        <v>0</v>
      </c>
      <c r="N189" s="38">
        <v>0</v>
      </c>
      <c r="O189" s="38">
        <v>0</v>
      </c>
      <c r="P189" s="38">
        <v>0</v>
      </c>
      <c r="Q189" s="38">
        <v>0</v>
      </c>
      <c r="R189" s="38">
        <v>1</v>
      </c>
      <c r="S189" s="38">
        <v>0</v>
      </c>
      <c r="T189" s="38">
        <v>0</v>
      </c>
      <c r="U189" s="29" t="str" cm="1">
        <f t="array" aca="1" ref="U189" ca="1">+fair_value_gap(OFFSET(T188,0,0,-1*$J$5,-1*$AA$1),OFFSET(E188,0,0,-1*$J$5,1),F189:T189,0)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9" s="9" t="str" cm="1">
        <f t="array" aca="1" ref="V189" ca="1">z_score_diff(OFFSET(U189,0,0,$J$5*-1,1),OFFSET(E189,0,0,$J$5*-1,1))</f>
        <v/>
      </c>
      <c r="W189" s="9" t="str">
        <f t="shared" ca="1" si="21"/>
        <v/>
      </c>
      <c r="X189" s="17">
        <f t="shared" ca="1" si="20"/>
        <v>-7.9584727358684632E-2</v>
      </c>
      <c r="Y189" s="13">
        <f t="shared" si="29"/>
        <v>0</v>
      </c>
      <c r="Z189" s="13">
        <f t="shared" si="29"/>
        <v>0</v>
      </c>
      <c r="AA189" t="str">
        <f t="shared" ca="1" si="22"/>
        <v/>
      </c>
      <c r="AB189" t="str">
        <f t="shared" ca="1" si="23"/>
        <v/>
      </c>
      <c r="AC189" s="24" t="str">
        <f t="shared" ca="1" si="24"/>
        <v/>
      </c>
      <c r="AD189" s="24" t="str">
        <f t="shared" ca="1" si="25"/>
        <v/>
      </c>
    </row>
    <row r="190" spans="3:30" x14ac:dyDescent="0.25">
      <c r="C190" s="6">
        <v>183</v>
      </c>
      <c r="D190" s="35">
        <v>42265</v>
      </c>
      <c r="E190" s="37">
        <v>19.582999999999998</v>
      </c>
      <c r="F190" s="37">
        <v>44.97223935842073</v>
      </c>
      <c r="G190" s="37">
        <v>36.49</v>
      </c>
      <c r="H190" s="37">
        <v>2.5619106371728209</v>
      </c>
      <c r="I190" s="37">
        <v>45.298316735701064</v>
      </c>
      <c r="J190" s="10">
        <v>0</v>
      </c>
      <c r="K190" s="38">
        <v>0</v>
      </c>
      <c r="L190" s="38">
        <v>0</v>
      </c>
      <c r="M190" s="38">
        <v>0</v>
      </c>
      <c r="N190" s="38">
        <v>0</v>
      </c>
      <c r="O190" s="38">
        <v>0</v>
      </c>
      <c r="P190" s="38">
        <v>0</v>
      </c>
      <c r="Q190" s="38">
        <v>0</v>
      </c>
      <c r="R190" s="38">
        <v>1</v>
      </c>
      <c r="S190" s="38">
        <v>0</v>
      </c>
      <c r="T190" s="38">
        <v>0</v>
      </c>
      <c r="U190" s="29" t="str" cm="1">
        <f t="array" aca="1" ref="U190" ca="1">+fair_value_gap(OFFSET(T189,0,0,-1*$J$5,-1*$AA$1),OFFSET(E189,0,0,-1*$J$5,1),F190:T190,0)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0" s="9" t="str" cm="1">
        <f t="array" aca="1" ref="V190" ca="1">z_score_diff(OFFSET(U190,0,0,$J$5*-1,1),OFFSET(E190,0,0,$J$5*-1,1))</f>
        <v/>
      </c>
      <c r="W190" s="9" t="str">
        <f t="shared" ca="1" si="21"/>
        <v/>
      </c>
      <c r="X190" s="17">
        <f t="shared" ca="1" si="20"/>
        <v>-7.5220229698994459E-2</v>
      </c>
      <c r="Y190" s="13">
        <f t="shared" si="29"/>
        <v>0</v>
      </c>
      <c r="Z190" s="13">
        <f t="shared" si="29"/>
        <v>0</v>
      </c>
      <c r="AA190" t="str">
        <f t="shared" ca="1" si="22"/>
        <v/>
      </c>
      <c r="AB190" t="str">
        <f t="shared" ca="1" si="23"/>
        <v/>
      </c>
      <c r="AC190" s="24" t="str">
        <f t="shared" ca="1" si="24"/>
        <v/>
      </c>
      <c r="AD190" s="24" t="str">
        <f t="shared" ca="1" si="25"/>
        <v/>
      </c>
    </row>
    <row r="191" spans="3:30" x14ac:dyDescent="0.25">
      <c r="C191" s="6">
        <v>184</v>
      </c>
      <c r="D191" s="35">
        <v>42268</v>
      </c>
      <c r="E191" s="37">
        <v>19.405999999999999</v>
      </c>
      <c r="F191" s="37">
        <v>46.741374488543556</v>
      </c>
      <c r="G191" s="37">
        <v>36.21</v>
      </c>
      <c r="H191" s="37">
        <v>2.5624034756772067</v>
      </c>
      <c r="I191" s="37">
        <v>45.601340964432744</v>
      </c>
      <c r="J191" s="10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v>1</v>
      </c>
      <c r="S191" s="38">
        <v>0</v>
      </c>
      <c r="T191" s="38">
        <v>0</v>
      </c>
      <c r="U191" s="29" t="str" cm="1">
        <f t="array" aca="1" ref="U191" ca="1">+fair_value_gap(OFFSET(T190,0,0,-1*$J$5,-1*$AA$1),OFFSET(E190,0,0,-1*$J$5,1),F191:T191,0)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1" s="9" t="str" cm="1">
        <f t="array" aca="1" ref="V191" ca="1">z_score_diff(OFFSET(U191,0,0,$J$5*-1,1),OFFSET(E191,0,0,$J$5*-1,1))</f>
        <v/>
      </c>
      <c r="W191" s="9" t="str">
        <f t="shared" ca="1" si="21"/>
        <v/>
      </c>
      <c r="X191" s="17">
        <f t="shared" ca="1" si="20"/>
        <v>-5.8462681405720369E-2</v>
      </c>
      <c r="Y191" s="13">
        <f t="shared" si="29"/>
        <v>0</v>
      </c>
      <c r="Z191" s="13">
        <f t="shared" si="29"/>
        <v>0</v>
      </c>
      <c r="AA191" t="str">
        <f t="shared" ca="1" si="22"/>
        <v/>
      </c>
      <c r="AB191" t="str">
        <f t="shared" ca="1" si="23"/>
        <v/>
      </c>
      <c r="AC191" s="24" t="str">
        <f t="shared" ca="1" si="24"/>
        <v/>
      </c>
      <c r="AD191" s="24" t="str">
        <f t="shared" ca="1" si="25"/>
        <v/>
      </c>
    </row>
    <row r="192" spans="3:30" x14ac:dyDescent="0.25">
      <c r="C192" s="6">
        <v>185</v>
      </c>
      <c r="D192" s="35">
        <v>42269</v>
      </c>
      <c r="E192" s="37">
        <v>19.492000000000001</v>
      </c>
      <c r="F192" s="37">
        <v>47.223428983469113</v>
      </c>
      <c r="G192" s="37">
        <v>36.26</v>
      </c>
      <c r="H192" s="37">
        <v>2.5770448631532745</v>
      </c>
      <c r="I192" s="37">
        <v>45.637968640131852</v>
      </c>
      <c r="J192" s="10">
        <v>0</v>
      </c>
      <c r="K192" s="38">
        <v>0</v>
      </c>
      <c r="L192" s="38">
        <v>0</v>
      </c>
      <c r="M192" s="38">
        <v>0</v>
      </c>
      <c r="N192" s="38">
        <v>0</v>
      </c>
      <c r="O192" s="38">
        <v>0</v>
      </c>
      <c r="P192" s="38">
        <v>0</v>
      </c>
      <c r="Q192" s="38">
        <v>0</v>
      </c>
      <c r="R192" s="38">
        <v>1</v>
      </c>
      <c r="S192" s="38">
        <v>0</v>
      </c>
      <c r="T192" s="38">
        <v>0</v>
      </c>
      <c r="U192" s="29" t="str" cm="1">
        <f t="array" aca="1" ref="U192" ca="1">+fair_value_gap(OFFSET(T191,0,0,-1*$J$5,-1*$AA$1),OFFSET(E191,0,0,-1*$J$5,1),F192:T192,0)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2" s="9" t="str" cm="1">
        <f t="array" aca="1" ref="V192" ca="1">z_score_diff(OFFSET(U192,0,0,$J$5*-1,1),OFFSET(E192,0,0,$J$5*-1,1))</f>
        <v/>
      </c>
      <c r="W192" s="9" t="str">
        <f t="shared" ca="1" si="21"/>
        <v/>
      </c>
      <c r="X192" s="17">
        <f t="shared" ca="1" si="20"/>
        <v>-7.7911626187028543E-2</v>
      </c>
      <c r="Y192" s="13">
        <f t="shared" si="29"/>
        <v>0</v>
      </c>
      <c r="Z192" s="13">
        <f t="shared" si="29"/>
        <v>0</v>
      </c>
      <c r="AA192" t="str">
        <f t="shared" ca="1" si="22"/>
        <v/>
      </c>
      <c r="AB192" t="str">
        <f t="shared" ca="1" si="23"/>
        <v/>
      </c>
      <c r="AC192" s="24" t="str">
        <f t="shared" ca="1" si="24"/>
        <v/>
      </c>
      <c r="AD192" s="24" t="str">
        <f t="shared" ca="1" si="25"/>
        <v/>
      </c>
    </row>
    <row r="193" spans="3:30" x14ac:dyDescent="0.25">
      <c r="C193" s="6">
        <v>186</v>
      </c>
      <c r="D193" s="35">
        <v>42270</v>
      </c>
      <c r="E193" s="37">
        <v>19.385999999999999</v>
      </c>
      <c r="F193" s="37">
        <v>45.746363413601841</v>
      </c>
      <c r="G193" s="37">
        <v>36.35</v>
      </c>
      <c r="H193" s="37">
        <v>2.5679980396961533</v>
      </c>
      <c r="I193" s="37">
        <v>45.443407364505141</v>
      </c>
      <c r="J193" s="10">
        <v>0</v>
      </c>
      <c r="K193" s="38">
        <v>0</v>
      </c>
      <c r="L193" s="38">
        <v>0</v>
      </c>
      <c r="M193" s="38">
        <v>0</v>
      </c>
      <c r="N193" s="38">
        <v>0</v>
      </c>
      <c r="O193" s="38">
        <v>0</v>
      </c>
      <c r="P193" s="38">
        <v>0</v>
      </c>
      <c r="Q193" s="38">
        <v>0</v>
      </c>
      <c r="R193" s="38">
        <v>1</v>
      </c>
      <c r="S193" s="38">
        <v>0</v>
      </c>
      <c r="T193" s="38">
        <v>0</v>
      </c>
      <c r="U193" s="29" t="str" cm="1">
        <f t="array" aca="1" ref="U193" ca="1">+fair_value_gap(OFFSET(T192,0,0,-1*$J$5,-1*$AA$1),OFFSET(E192,0,0,-1*$J$5,1),F193:T193,0)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3" s="9" t="str" cm="1">
        <f t="array" aca="1" ref="V193" ca="1">z_score_diff(OFFSET(U193,0,0,$J$5*-1,1),OFFSET(E193,0,0,$J$5*-1,1))</f>
        <v/>
      </c>
      <c r="W193" s="9" t="str">
        <f t="shared" ca="1" si="21"/>
        <v/>
      </c>
      <c r="X193" s="17">
        <f t="shared" ca="1" si="20"/>
        <v>-7.9973931882587668E-2</v>
      </c>
      <c r="Y193" s="13">
        <f t="shared" si="29"/>
        <v>0</v>
      </c>
      <c r="Z193" s="13">
        <f t="shared" si="29"/>
        <v>0</v>
      </c>
      <c r="AA193" t="str">
        <f t="shared" ca="1" si="22"/>
        <v/>
      </c>
      <c r="AB193" t="str">
        <f t="shared" ca="1" si="23"/>
        <v/>
      </c>
      <c r="AC193" s="24" t="str">
        <f t="shared" ca="1" si="24"/>
        <v/>
      </c>
      <c r="AD193" s="24" t="str">
        <f t="shared" ca="1" si="25"/>
        <v/>
      </c>
    </row>
    <row r="194" spans="3:30" x14ac:dyDescent="0.25">
      <c r="C194" s="6">
        <v>187</v>
      </c>
      <c r="D194" s="35">
        <v>42271</v>
      </c>
      <c r="E194" s="37">
        <v>19.141999999999999</v>
      </c>
      <c r="F194" s="37">
        <v>46.010877402241348</v>
      </c>
      <c r="G194" s="37">
        <v>37.020000000000003</v>
      </c>
      <c r="H194" s="37">
        <v>2.612534826379926</v>
      </c>
      <c r="I194" s="37">
        <v>45.307673820353742</v>
      </c>
      <c r="J194" s="10">
        <v>0</v>
      </c>
      <c r="K194" s="38">
        <v>0</v>
      </c>
      <c r="L194" s="38">
        <v>0</v>
      </c>
      <c r="M194" s="38">
        <v>0</v>
      </c>
      <c r="N194" s="38">
        <v>0</v>
      </c>
      <c r="O194" s="38">
        <v>0</v>
      </c>
      <c r="P194" s="38">
        <v>0</v>
      </c>
      <c r="Q194" s="38">
        <v>0</v>
      </c>
      <c r="R194" s="38">
        <v>1</v>
      </c>
      <c r="S194" s="38">
        <v>0</v>
      </c>
      <c r="T194" s="38">
        <v>0</v>
      </c>
      <c r="U194" s="29" t="str" cm="1">
        <f t="array" aca="1" ref="U194" ca="1">+fair_value_gap(OFFSET(T193,0,0,-1*$J$5,-1*$AA$1),OFFSET(E193,0,0,-1*$J$5,1),F194:T194,0)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4" s="9" t="str" cm="1">
        <f t="array" aca="1" ref="V194" ca="1">z_score_diff(OFFSET(U194,0,0,$J$5*-1,1),OFFSET(E194,0,0,$J$5*-1,1))</f>
        <v/>
      </c>
      <c r="W194" s="9" t="str">
        <f t="shared" ca="1" si="21"/>
        <v/>
      </c>
      <c r="X194" s="17">
        <f t="shared" ca="1" si="20"/>
        <v>-6.4071942439217947E-2</v>
      </c>
      <c r="Y194" s="13">
        <f t="shared" si="29"/>
        <v>0</v>
      </c>
      <c r="Z194" s="13">
        <f t="shared" si="29"/>
        <v>0</v>
      </c>
      <c r="AA194" t="str">
        <f t="shared" ca="1" si="22"/>
        <v/>
      </c>
      <c r="AB194" t="str">
        <f t="shared" ca="1" si="23"/>
        <v/>
      </c>
      <c r="AC194" s="24" t="str">
        <f t="shared" ca="1" si="24"/>
        <v/>
      </c>
      <c r="AD194" s="24" t="str">
        <f t="shared" ca="1" si="25"/>
        <v/>
      </c>
    </row>
    <row r="195" spans="3:30" x14ac:dyDescent="0.25">
      <c r="C195" s="6">
        <v>188</v>
      </c>
      <c r="D195" s="35">
        <v>42272</v>
      </c>
      <c r="E195" s="37">
        <v>19.262</v>
      </c>
      <c r="F195" s="37">
        <v>46.348383418627549</v>
      </c>
      <c r="G195" s="37">
        <v>37.03</v>
      </c>
      <c r="H195" s="37">
        <v>2.5788693061104504</v>
      </c>
      <c r="I195" s="37">
        <v>45.074537785557446</v>
      </c>
      <c r="J195" s="10">
        <v>0</v>
      </c>
      <c r="K195" s="38">
        <v>0</v>
      </c>
      <c r="L195" s="38">
        <v>0</v>
      </c>
      <c r="M195" s="38">
        <v>0</v>
      </c>
      <c r="N195" s="38">
        <v>0</v>
      </c>
      <c r="O195" s="38">
        <v>0</v>
      </c>
      <c r="P195" s="38">
        <v>0</v>
      </c>
      <c r="Q195" s="38">
        <v>0</v>
      </c>
      <c r="R195" s="38">
        <v>1</v>
      </c>
      <c r="S195" s="38">
        <v>0</v>
      </c>
      <c r="T195" s="38">
        <v>0</v>
      </c>
      <c r="U195" s="29" t="str" cm="1">
        <f t="array" aca="1" ref="U195" ca="1">+fair_value_gap(OFFSET(T194,0,0,-1*$J$5,-1*$AA$1),OFFSET(E194,0,0,-1*$J$5,1),F195:T195,0)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5" s="9" t="str" cm="1">
        <f t="array" aca="1" ref="V195" ca="1">z_score_diff(OFFSET(U195,0,0,$J$5*-1,1),OFFSET(E195,0,0,$J$5*-1,1))</f>
        <v/>
      </c>
      <c r="W195" s="9" t="str">
        <f t="shared" ca="1" si="21"/>
        <v/>
      </c>
      <c r="X195" s="17">
        <f t="shared" ca="1" si="20"/>
        <v>-6.4157878539068916E-2</v>
      </c>
      <c r="Y195" s="13">
        <f t="shared" si="29"/>
        <v>0</v>
      </c>
      <c r="Z195" s="13">
        <f t="shared" si="29"/>
        <v>0</v>
      </c>
      <c r="AA195" t="str">
        <f t="shared" ca="1" si="22"/>
        <v/>
      </c>
      <c r="AB195" t="str">
        <f t="shared" ca="1" si="23"/>
        <v/>
      </c>
      <c r="AC195" s="24" t="str">
        <f t="shared" ca="1" si="24"/>
        <v/>
      </c>
      <c r="AD195" s="24" t="str">
        <f t="shared" ca="1" si="25"/>
        <v/>
      </c>
    </row>
    <row r="196" spans="3:30" x14ac:dyDescent="0.25">
      <c r="C196" s="6">
        <v>189</v>
      </c>
      <c r="D196" s="35">
        <v>42275</v>
      </c>
      <c r="E196" s="37">
        <v>19.015999999999998</v>
      </c>
      <c r="F196" s="37">
        <v>44.932433031007989</v>
      </c>
      <c r="G196" s="37">
        <v>36.72</v>
      </c>
      <c r="H196" s="37">
        <v>2.5921194607399323</v>
      </c>
      <c r="I196" s="37">
        <v>44.338885512656738</v>
      </c>
      <c r="J196" s="10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1</v>
      </c>
      <c r="S196" s="38">
        <v>0</v>
      </c>
      <c r="T196" s="38">
        <v>0</v>
      </c>
      <c r="U196" s="29" t="str" cm="1">
        <f t="array" aca="1" ref="U196" ca="1">+fair_value_gap(OFFSET(T195,0,0,-1*$J$5,-1*$AA$1),OFFSET(E195,0,0,-1*$J$5,1),F196:T196,0)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6" s="9" t="str" cm="1">
        <f t="array" aca="1" ref="V196" ca="1">z_score_diff(OFFSET(U196,0,0,$J$5*-1,1),OFFSET(E196,0,0,$J$5*-1,1))</f>
        <v/>
      </c>
      <c r="W196" s="9" t="str">
        <f t="shared" ca="1" si="21"/>
        <v/>
      </c>
      <c r="X196" s="17">
        <f t="shared" ca="1" si="20"/>
        <v>-6.0480017211183526E-2</v>
      </c>
      <c r="Y196" s="13">
        <f t="shared" si="29"/>
        <v>0</v>
      </c>
      <c r="Z196" s="13">
        <f t="shared" si="29"/>
        <v>0</v>
      </c>
      <c r="AA196" t="str">
        <f t="shared" ca="1" si="22"/>
        <v/>
      </c>
      <c r="AB196" t="str">
        <f t="shared" ca="1" si="23"/>
        <v/>
      </c>
      <c r="AC196" s="24" t="str">
        <f t="shared" ca="1" si="24"/>
        <v/>
      </c>
      <c r="AD196" s="24" t="str">
        <f t="shared" ca="1" si="25"/>
        <v/>
      </c>
    </row>
    <row r="197" spans="3:30" x14ac:dyDescent="0.25">
      <c r="C197" s="6">
        <v>190</v>
      </c>
      <c r="D197" s="35">
        <v>42276</v>
      </c>
      <c r="E197" s="37">
        <v>18.966000000000001</v>
      </c>
      <c r="F197" s="37">
        <v>45.5667631919057</v>
      </c>
      <c r="G197" s="37">
        <v>36.5</v>
      </c>
      <c r="H197" s="37">
        <v>2.4191841033649779</v>
      </c>
      <c r="I197" s="37">
        <v>44.291177286066976</v>
      </c>
      <c r="J197" s="10">
        <v>0</v>
      </c>
      <c r="K197" s="38">
        <v>0</v>
      </c>
      <c r="L197" s="38">
        <v>0</v>
      </c>
      <c r="M197" s="38">
        <v>0</v>
      </c>
      <c r="N197" s="38">
        <v>0</v>
      </c>
      <c r="O197" s="38">
        <v>0</v>
      </c>
      <c r="P197" s="38">
        <v>0</v>
      </c>
      <c r="Q197" s="38">
        <v>0</v>
      </c>
      <c r="R197" s="38">
        <v>1</v>
      </c>
      <c r="S197" s="38">
        <v>0</v>
      </c>
      <c r="T197" s="38">
        <v>0</v>
      </c>
      <c r="U197" s="29" t="str" cm="1">
        <f t="array" aca="1" ref="U197" ca="1">+fair_value_gap(OFFSET(T196,0,0,-1*$J$5,-1*$AA$1),OFFSET(E196,0,0,-1*$J$5,1),F197:T197,0)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7" s="9" t="str" cm="1">
        <f t="array" aca="1" ref="V197" ca="1">z_score_diff(OFFSET(U197,0,0,$J$5*-1,1),OFFSET(E197,0,0,$J$5*-1,1))</f>
        <v/>
      </c>
      <c r="W197" s="9" t="str">
        <f t="shared" ca="1" si="21"/>
        <v/>
      </c>
      <c r="X197" s="17">
        <f t="shared" ca="1" si="20"/>
        <v>-5.7847189614826447E-2</v>
      </c>
      <c r="Y197" s="13">
        <f t="shared" si="29"/>
        <v>0</v>
      </c>
      <c r="Z197" s="13">
        <f t="shared" si="29"/>
        <v>0</v>
      </c>
      <c r="AA197" t="str">
        <f t="shared" ca="1" si="22"/>
        <v/>
      </c>
      <c r="AB197" t="str">
        <f t="shared" ca="1" si="23"/>
        <v/>
      </c>
      <c r="AC197" s="24" t="str">
        <f t="shared" ca="1" si="24"/>
        <v/>
      </c>
      <c r="AD197" s="24" t="str">
        <f t="shared" ca="1" si="25"/>
        <v/>
      </c>
    </row>
    <row r="198" spans="3:30" x14ac:dyDescent="0.25">
      <c r="C198" s="6">
        <v>191</v>
      </c>
      <c r="D198" s="35">
        <v>42277</v>
      </c>
      <c r="E198" s="37">
        <v>18.57</v>
      </c>
      <c r="F198" s="37">
        <v>46.021814447033897</v>
      </c>
      <c r="G198" s="37">
        <v>36.450000000000003</v>
      </c>
      <c r="H198" s="37">
        <v>2.3964865794968451</v>
      </c>
      <c r="I198" s="37">
        <v>44.176305808805303</v>
      </c>
      <c r="J198" s="10">
        <v>0</v>
      </c>
      <c r="K198" s="38">
        <v>0</v>
      </c>
      <c r="L198" s="38">
        <v>0</v>
      </c>
      <c r="M198" s="38">
        <v>0</v>
      </c>
      <c r="N198" s="38">
        <v>0</v>
      </c>
      <c r="O198" s="38">
        <v>0</v>
      </c>
      <c r="P198" s="38">
        <v>0</v>
      </c>
      <c r="Q198" s="38">
        <v>0</v>
      </c>
      <c r="R198" s="38">
        <v>1</v>
      </c>
      <c r="S198" s="38">
        <v>0</v>
      </c>
      <c r="T198" s="38">
        <v>0</v>
      </c>
      <c r="U198" s="29" t="str" cm="1">
        <f t="array" aca="1" ref="U198" ca="1">+fair_value_gap(OFFSET(T197,0,0,-1*$J$5,-1*$AA$1),OFFSET(E197,0,0,-1*$J$5,1),F198:T198,0)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8" s="9" t="str" cm="1">
        <f t="array" aca="1" ref="V198" ca="1">z_score_diff(OFFSET(U198,0,0,$J$5*-1,1),OFFSET(E198,0,0,$J$5*-1,1))</f>
        <v/>
      </c>
      <c r="W198" s="9" t="str">
        <f t="shared" ca="1" si="21"/>
        <v/>
      </c>
      <c r="X198" s="17">
        <f t="shared" ca="1" si="20"/>
        <v>-3.5350988878930296E-2</v>
      </c>
      <c r="Y198" s="13">
        <f t="shared" si="29"/>
        <v>0</v>
      </c>
      <c r="Z198" s="13">
        <f t="shared" si="29"/>
        <v>0</v>
      </c>
      <c r="AA198" t="str">
        <f t="shared" ca="1" si="22"/>
        <v/>
      </c>
      <c r="AB198" t="str">
        <f t="shared" ca="1" si="23"/>
        <v/>
      </c>
      <c r="AC198" s="24" t="str">
        <f t="shared" ca="1" si="24"/>
        <v/>
      </c>
      <c r="AD198" s="24" t="str">
        <f t="shared" ca="1" si="25"/>
        <v/>
      </c>
    </row>
    <row r="199" spans="3:30" x14ac:dyDescent="0.25">
      <c r="C199" s="6">
        <v>192</v>
      </c>
      <c r="D199" s="35">
        <v>42278</v>
      </c>
      <c r="E199" s="37">
        <v>18.32</v>
      </c>
      <c r="F199" s="37">
        <v>45.432360024510849</v>
      </c>
      <c r="G199" s="37">
        <v>36.090000000000003</v>
      </c>
      <c r="H199" s="37">
        <v>2.3415344933236431</v>
      </c>
      <c r="I199" s="37">
        <v>43.775739956963506</v>
      </c>
      <c r="J199" s="10">
        <v>0</v>
      </c>
      <c r="K199" s="38">
        <v>0</v>
      </c>
      <c r="L199" s="38">
        <v>0</v>
      </c>
      <c r="M199" s="38">
        <v>0</v>
      </c>
      <c r="N199" s="38">
        <v>0</v>
      </c>
      <c r="O199" s="38">
        <v>0</v>
      </c>
      <c r="P199" s="38">
        <v>0</v>
      </c>
      <c r="Q199" s="38">
        <v>0</v>
      </c>
      <c r="R199" s="38">
        <v>0</v>
      </c>
      <c r="S199" s="38">
        <v>1</v>
      </c>
      <c r="T199" s="38">
        <v>0</v>
      </c>
      <c r="U199" s="29" t="str" cm="1">
        <f t="array" aca="1" ref="U199" ca="1">+fair_value_gap(OFFSET(T198,0,0,-1*$J$5,-1*$AA$1),OFFSET(E198,0,0,-1*$J$5,1),F199:T199,0)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9" s="9" t="str" cm="1">
        <f t="array" aca="1" ref="V199" ca="1">z_score_diff(OFFSET(U199,0,0,$J$5*-1,1),OFFSET(E199,0,0,$J$5*-1,1))</f>
        <v/>
      </c>
      <c r="W199" s="9" t="str">
        <f t="shared" ca="1" si="21"/>
        <v/>
      </c>
      <c r="X199" s="17">
        <f t="shared" ref="X199:X262" ca="1" si="30">+LN(OFFSET(E199,$X$3,0,1,1)/E199)</f>
        <v>-2.0681834646413589E-2</v>
      </c>
      <c r="Y199" s="13">
        <f t="shared" si="29"/>
        <v>0</v>
      </c>
      <c r="Z199" s="13">
        <f t="shared" si="29"/>
        <v>0</v>
      </c>
      <c r="AA199" t="str">
        <f t="shared" ca="1" si="22"/>
        <v/>
      </c>
      <c r="AB199" t="str">
        <f t="shared" ca="1" si="23"/>
        <v/>
      </c>
      <c r="AC199" s="24" t="str">
        <f t="shared" ca="1" si="24"/>
        <v/>
      </c>
      <c r="AD199" s="24" t="str">
        <f t="shared" ca="1" si="25"/>
        <v/>
      </c>
    </row>
    <row r="200" spans="3:30" x14ac:dyDescent="0.25">
      <c r="C200" s="6">
        <v>193</v>
      </c>
      <c r="D200" s="35">
        <v>42279</v>
      </c>
      <c r="E200" s="37">
        <v>18.117000000000001</v>
      </c>
      <c r="F200" s="37">
        <v>45.69827931172469</v>
      </c>
      <c r="G200" s="37">
        <v>35.68</v>
      </c>
      <c r="H200" s="37">
        <v>2.3573873994042063</v>
      </c>
      <c r="I200" s="37">
        <v>43.795295896136231</v>
      </c>
      <c r="J200" s="10">
        <v>0</v>
      </c>
      <c r="K200" s="38">
        <v>0</v>
      </c>
      <c r="L200" s="38">
        <v>0</v>
      </c>
      <c r="M200" s="38">
        <v>0</v>
      </c>
      <c r="N200" s="38">
        <v>0</v>
      </c>
      <c r="O200" s="38">
        <v>0</v>
      </c>
      <c r="P200" s="38">
        <v>0</v>
      </c>
      <c r="Q200" s="38">
        <v>0</v>
      </c>
      <c r="R200" s="38">
        <v>0</v>
      </c>
      <c r="S200" s="38">
        <v>1</v>
      </c>
      <c r="T200" s="38">
        <v>0</v>
      </c>
      <c r="U200" s="29" t="str" cm="1">
        <f t="array" aca="1" ref="U200" ca="1">+fair_value_gap(OFFSET(T199,0,0,-1*$J$5,-1*$AA$1),OFFSET(E199,0,0,-1*$J$5,1),F200:T200,0)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0" s="9" t="str" cm="1">
        <f t="array" aca="1" ref="V200" ca="1">z_score_diff(OFFSET(U200,0,0,$J$5*-1,1),OFFSET(E200,0,0,$J$5*-1,1))</f>
        <v/>
      </c>
      <c r="W200" s="9" t="str">
        <f t="shared" ref="W200:W263" ca="1" si="31">+IF(ISERROR(AVERAGE(OFFSET(V200,0,0,$W$5*-1,1))),"",AVERAGE(OFFSET(V200,0,0,$W$5*-1,1)))</f>
        <v/>
      </c>
      <c r="X200" s="17">
        <f t="shared" ca="1" si="30"/>
        <v>-3.8084305513040255E-2</v>
      </c>
      <c r="Y200" s="13">
        <f t="shared" si="29"/>
        <v>0</v>
      </c>
      <c r="Z200" s="13">
        <f t="shared" si="29"/>
        <v>0</v>
      </c>
      <c r="AA200" t="str">
        <f t="shared" ref="AA200:AA263" ca="1" si="32">+IF(W200="","",IF(W200&lt;Y200,1,0))</f>
        <v/>
      </c>
      <c r="AB200" t="str">
        <f t="shared" ref="AB200:AB263" ca="1" si="33">+IF(W200="","",IF(W200&gt;Z200,1,0))</f>
        <v/>
      </c>
      <c r="AC200" s="24" t="str">
        <f t="shared" ref="AC200:AC263" ca="1" si="34">+IF(ISERROR(AA200*X200),"",AA200*X200)</f>
        <v/>
      </c>
      <c r="AD200" s="24" t="str">
        <f t="shared" ref="AD200:AD263" ca="1" si="35">+IF(ISERROR(AB200*X200),"",AB200*X200)</f>
        <v/>
      </c>
    </row>
    <row r="201" spans="3:30" x14ac:dyDescent="0.25">
      <c r="C201" s="6">
        <v>194</v>
      </c>
      <c r="D201" s="35">
        <v>42282</v>
      </c>
      <c r="E201" s="37">
        <v>18.321000000000002</v>
      </c>
      <c r="F201" s="37">
        <v>46.703174391166911</v>
      </c>
      <c r="G201" s="37">
        <v>36.28</v>
      </c>
      <c r="H201" s="37">
        <v>2.371221227906148</v>
      </c>
      <c r="I201" s="37">
        <v>44.521615244201058</v>
      </c>
      <c r="J201" s="10">
        <v>0</v>
      </c>
      <c r="K201" s="38">
        <v>0</v>
      </c>
      <c r="L201" s="38">
        <v>0</v>
      </c>
      <c r="M201" s="38">
        <v>0</v>
      </c>
      <c r="N201" s="38">
        <v>0</v>
      </c>
      <c r="O201" s="38">
        <v>0</v>
      </c>
      <c r="P201" s="38">
        <v>0</v>
      </c>
      <c r="Q201" s="38">
        <v>0</v>
      </c>
      <c r="R201" s="38">
        <v>0</v>
      </c>
      <c r="S201" s="38">
        <v>1</v>
      </c>
      <c r="T201" s="38">
        <v>0</v>
      </c>
      <c r="U201" s="29" t="str" cm="1">
        <f t="array" aca="1" ref="U201" ca="1">+fair_value_gap(OFFSET(T200,0,0,-1*$J$5,-1*$AA$1),OFFSET(E200,0,0,-1*$J$5,1),F201:T201,0)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1" s="9" t="str" cm="1">
        <f t="array" aca="1" ref="V201" ca="1">z_score_diff(OFFSET(U201,0,0,$J$5*-1,1),OFFSET(E201,0,0,$J$5*-1,1))</f>
        <v/>
      </c>
      <c r="W201" s="9" t="str">
        <f t="shared" ca="1" si="31"/>
        <v/>
      </c>
      <c r="X201" s="17">
        <f t="shared" ca="1" si="30"/>
        <v>-5.5897397833140607E-2</v>
      </c>
      <c r="Y201" s="13">
        <f t="shared" ref="Y201:Z216" si="36">+Y200</f>
        <v>0</v>
      </c>
      <c r="Z201" s="13">
        <f t="shared" si="36"/>
        <v>0</v>
      </c>
      <c r="AA201" t="str">
        <f t="shared" ca="1" si="32"/>
        <v/>
      </c>
      <c r="AB201" t="str">
        <f t="shared" ca="1" si="33"/>
        <v/>
      </c>
      <c r="AC201" s="24" t="str">
        <f t="shared" ca="1" si="34"/>
        <v/>
      </c>
      <c r="AD201" s="24" t="str">
        <f t="shared" ca="1" si="35"/>
        <v/>
      </c>
    </row>
    <row r="202" spans="3:30" x14ac:dyDescent="0.25">
      <c r="C202" s="6">
        <v>195</v>
      </c>
      <c r="D202" s="35">
        <v>42283</v>
      </c>
      <c r="E202" s="37">
        <v>18.798999999999999</v>
      </c>
      <c r="F202" s="37">
        <v>48.515875752672478</v>
      </c>
      <c r="G202" s="37">
        <v>36.299999999999997</v>
      </c>
      <c r="H202" s="37">
        <v>2.362573719904153</v>
      </c>
      <c r="I202" s="37">
        <v>44.784565461506489</v>
      </c>
      <c r="J202" s="10">
        <v>0</v>
      </c>
      <c r="K202" s="38">
        <v>0</v>
      </c>
      <c r="L202" s="38">
        <v>0</v>
      </c>
      <c r="M202" s="38">
        <v>0</v>
      </c>
      <c r="N202" s="38">
        <v>0</v>
      </c>
      <c r="O202" s="38">
        <v>0</v>
      </c>
      <c r="P202" s="38">
        <v>0</v>
      </c>
      <c r="Q202" s="38">
        <v>0</v>
      </c>
      <c r="R202" s="38">
        <v>0</v>
      </c>
      <c r="S202" s="38">
        <v>1</v>
      </c>
      <c r="T202" s="38">
        <v>0</v>
      </c>
      <c r="U202" s="29" t="str" cm="1">
        <f t="array" aca="1" ref="U202" ca="1">+fair_value_gap(OFFSET(T201,0,0,-1*$J$5,-1*$AA$1),OFFSET(E201,0,0,-1*$J$5,1),F202:T202,0)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2" s="9" t="str" cm="1">
        <f t="array" aca="1" ref="V202" ca="1">z_score_diff(OFFSET(U202,0,0,$J$5*-1,1),OFFSET(E202,0,0,$J$5*-1,1))</f>
        <v/>
      </c>
      <c r="W202" s="9" t="str">
        <f t="shared" ca="1" si="31"/>
        <v/>
      </c>
      <c r="X202" s="17">
        <f t="shared" ca="1" si="30"/>
        <v>-7.8713733180299297E-2</v>
      </c>
      <c r="Y202" s="13">
        <f t="shared" si="36"/>
        <v>0</v>
      </c>
      <c r="Z202" s="13">
        <f t="shared" si="36"/>
        <v>0</v>
      </c>
      <c r="AA202" t="str">
        <f t="shared" ca="1" si="32"/>
        <v/>
      </c>
      <c r="AB202" t="str">
        <f t="shared" ca="1" si="33"/>
        <v/>
      </c>
      <c r="AC202" s="24" t="str">
        <f t="shared" ca="1" si="34"/>
        <v/>
      </c>
      <c r="AD202" s="24" t="str">
        <f t="shared" ca="1" si="35"/>
        <v/>
      </c>
    </row>
    <row r="203" spans="3:30" x14ac:dyDescent="0.25">
      <c r="C203" s="6">
        <v>196</v>
      </c>
      <c r="D203" s="35">
        <v>42284</v>
      </c>
      <c r="E203" s="37">
        <v>18.716000000000001</v>
      </c>
      <c r="F203" s="37">
        <v>48.03299773805827</v>
      </c>
      <c r="G203" s="37">
        <v>36.35</v>
      </c>
      <c r="H203" s="37">
        <v>2.3683860380538428</v>
      </c>
      <c r="I203" s="37">
        <v>44.35179846542777</v>
      </c>
      <c r="J203" s="10">
        <v>0</v>
      </c>
      <c r="K203" s="38">
        <v>0</v>
      </c>
      <c r="L203" s="38">
        <v>0</v>
      </c>
      <c r="M203" s="38">
        <v>0</v>
      </c>
      <c r="N203" s="38">
        <v>0</v>
      </c>
      <c r="O203" s="38">
        <v>0</v>
      </c>
      <c r="P203" s="38">
        <v>0</v>
      </c>
      <c r="Q203" s="38">
        <v>0</v>
      </c>
      <c r="R203" s="38">
        <v>0</v>
      </c>
      <c r="S203" s="38">
        <v>1</v>
      </c>
      <c r="T203" s="38">
        <v>0</v>
      </c>
      <c r="U203" s="29" t="str" cm="1">
        <f t="array" aca="1" ref="U203" ca="1">+fair_value_gap(OFFSET(T202,0,0,-1*$J$5,-1*$AA$1),OFFSET(E202,0,0,-1*$J$5,1),F203:T203,0)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3" s="9" t="str" cm="1">
        <f t="array" aca="1" ref="V203" ca="1">z_score_diff(OFFSET(U203,0,0,$J$5*-1,1),OFFSET(E203,0,0,$J$5*-1,1))</f>
        <v/>
      </c>
      <c r="W203" s="9" t="str">
        <f t="shared" ca="1" si="31"/>
        <v/>
      </c>
      <c r="X203" s="17">
        <f t="shared" ca="1" si="30"/>
        <v>-6.746364718431852E-2</v>
      </c>
      <c r="Y203" s="13">
        <f t="shared" si="36"/>
        <v>0</v>
      </c>
      <c r="Z203" s="13">
        <f t="shared" si="36"/>
        <v>0</v>
      </c>
      <c r="AA203" t="str">
        <f t="shared" ca="1" si="32"/>
        <v/>
      </c>
      <c r="AB203" t="str">
        <f t="shared" ca="1" si="33"/>
        <v/>
      </c>
      <c r="AC203" s="24" t="str">
        <f t="shared" ca="1" si="34"/>
        <v/>
      </c>
      <c r="AD203" s="24" t="str">
        <f t="shared" ca="1" si="35"/>
        <v/>
      </c>
    </row>
    <row r="204" spans="3:30" x14ac:dyDescent="0.25">
      <c r="C204" s="6">
        <v>197</v>
      </c>
      <c r="D204" s="35">
        <v>42285</v>
      </c>
      <c r="E204" s="37">
        <v>18.71</v>
      </c>
      <c r="F204" s="37">
        <v>49.167502773517434</v>
      </c>
      <c r="G204" s="37">
        <v>36.299999999999997</v>
      </c>
      <c r="H204" s="37">
        <v>2.392075917028734</v>
      </c>
      <c r="I204" s="37">
        <v>44.066882654797631</v>
      </c>
      <c r="J204" s="10">
        <v>0</v>
      </c>
      <c r="K204" s="38">
        <v>0</v>
      </c>
      <c r="L204" s="38">
        <v>0</v>
      </c>
      <c r="M204" s="38">
        <v>0</v>
      </c>
      <c r="N204" s="38">
        <v>0</v>
      </c>
      <c r="O204" s="38">
        <v>0</v>
      </c>
      <c r="P204" s="38">
        <v>0</v>
      </c>
      <c r="Q204" s="38">
        <v>0</v>
      </c>
      <c r="R204" s="38">
        <v>0</v>
      </c>
      <c r="S204" s="38">
        <v>1</v>
      </c>
      <c r="T204" s="38">
        <v>0</v>
      </c>
      <c r="U204" s="29" t="str" cm="1">
        <f t="array" aca="1" ref="U204" ca="1">+fair_value_gap(OFFSET(T203,0,0,-1*$J$5,-1*$AA$1),OFFSET(E203,0,0,-1*$J$5,1),F204:T204,0)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4" s="9" t="str" cm="1">
        <f t="array" aca="1" ref="V204" ca="1">z_score_diff(OFFSET(U204,0,0,$J$5*-1,1),OFFSET(E204,0,0,$J$5*-1,1))</f>
        <v/>
      </c>
      <c r="W204" s="9" t="str">
        <f t="shared" ca="1" si="31"/>
        <v/>
      </c>
      <c r="X204" s="17">
        <f t="shared" ca="1" si="30"/>
        <v>-8.1361945559411564E-2</v>
      </c>
      <c r="Y204" s="13">
        <f t="shared" si="36"/>
        <v>0</v>
      </c>
      <c r="Z204" s="13">
        <f t="shared" si="36"/>
        <v>0</v>
      </c>
      <c r="AA204" t="str">
        <f t="shared" ca="1" si="32"/>
        <v/>
      </c>
      <c r="AB204" t="str">
        <f t="shared" ca="1" si="33"/>
        <v/>
      </c>
      <c r="AC204" s="24" t="str">
        <f t="shared" ca="1" si="34"/>
        <v/>
      </c>
      <c r="AD204" s="24" t="str">
        <f t="shared" ca="1" si="35"/>
        <v/>
      </c>
    </row>
    <row r="205" spans="3:30" x14ac:dyDescent="0.25">
      <c r="C205" s="6">
        <v>198</v>
      </c>
      <c r="D205" s="35">
        <v>42286</v>
      </c>
      <c r="E205" s="37">
        <v>18.709</v>
      </c>
      <c r="F205" s="37">
        <v>48.547014551809539</v>
      </c>
      <c r="G205" s="37">
        <v>36.450000000000003</v>
      </c>
      <c r="H205" s="37">
        <v>2.381684216072856</v>
      </c>
      <c r="I205" s="37">
        <v>44.217477979081224</v>
      </c>
      <c r="J205" s="10">
        <v>0</v>
      </c>
      <c r="K205" s="38">
        <v>0</v>
      </c>
      <c r="L205" s="38">
        <v>0</v>
      </c>
      <c r="M205" s="38">
        <v>0</v>
      </c>
      <c r="N205" s="38">
        <v>0</v>
      </c>
      <c r="O205" s="38">
        <v>0</v>
      </c>
      <c r="P205" s="38">
        <v>0</v>
      </c>
      <c r="Q205" s="38">
        <v>0</v>
      </c>
      <c r="R205" s="38">
        <v>0</v>
      </c>
      <c r="S205" s="38">
        <v>1</v>
      </c>
      <c r="T205" s="38">
        <v>0</v>
      </c>
      <c r="U205" s="29" t="str" cm="1">
        <f t="array" aca="1" ref="U205" ca="1">+fair_value_gap(OFFSET(T204,0,0,-1*$J$5,-1*$AA$1),OFFSET(E204,0,0,-1*$J$5,1),F205:T205,0)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5" s="9" t="str" cm="1">
        <f t="array" aca="1" ref="V205" ca="1">z_score_diff(OFFSET(U205,0,0,$J$5*-1,1),OFFSET(E205,0,0,$J$5*-1,1))</f>
        <v/>
      </c>
      <c r="W205" s="9" t="str">
        <f t="shared" ca="1" si="31"/>
        <v/>
      </c>
      <c r="X205" s="17">
        <f t="shared" ca="1" si="30"/>
        <v>-7.5527465530161819E-2</v>
      </c>
      <c r="Y205" s="13">
        <f t="shared" si="36"/>
        <v>0</v>
      </c>
      <c r="Z205" s="13">
        <f t="shared" si="36"/>
        <v>0</v>
      </c>
      <c r="AA205" t="str">
        <f t="shared" ca="1" si="32"/>
        <v/>
      </c>
      <c r="AB205" t="str">
        <f t="shared" ca="1" si="33"/>
        <v/>
      </c>
      <c r="AC205" s="24" t="str">
        <f t="shared" ca="1" si="34"/>
        <v/>
      </c>
      <c r="AD205" s="24" t="str">
        <f t="shared" ca="1" si="35"/>
        <v/>
      </c>
    </row>
    <row r="206" spans="3:30" x14ac:dyDescent="0.25">
      <c r="C206" s="6">
        <v>199</v>
      </c>
      <c r="D206" s="35">
        <v>42289</v>
      </c>
      <c r="E206" s="37">
        <v>18.459</v>
      </c>
      <c r="F206" s="37">
        <v>46.360010672808215</v>
      </c>
      <c r="G206" s="37">
        <v>36.049999999999997</v>
      </c>
      <c r="H206" s="37">
        <v>2.4040149419314973</v>
      </c>
      <c r="I206" s="37">
        <v>43.665477678383354</v>
      </c>
      <c r="J206" s="10">
        <v>0</v>
      </c>
      <c r="K206" s="38">
        <v>0</v>
      </c>
      <c r="L206" s="38">
        <v>0</v>
      </c>
      <c r="M206" s="38">
        <v>0</v>
      </c>
      <c r="N206" s="38">
        <v>0</v>
      </c>
      <c r="O206" s="38">
        <v>0</v>
      </c>
      <c r="P206" s="38">
        <v>0</v>
      </c>
      <c r="Q206" s="38">
        <v>0</v>
      </c>
      <c r="R206" s="38">
        <v>0</v>
      </c>
      <c r="S206" s="38">
        <v>1</v>
      </c>
      <c r="T206" s="38">
        <v>0</v>
      </c>
      <c r="U206" s="29" t="str" cm="1">
        <f t="array" aca="1" ref="U206" ca="1">+fair_value_gap(OFFSET(T205,0,0,-1*$J$5,-1*$AA$1),OFFSET(E205,0,0,-1*$J$5,1),F206:T206,0)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6" s="9" t="str" cm="1">
        <f t="array" aca="1" ref="V206" ca="1">z_score_diff(OFFSET(U206,0,0,$J$5*-1,1),OFFSET(E206,0,0,$J$5*-1,1))</f>
        <v/>
      </c>
      <c r="W206" s="9" t="str">
        <f t="shared" ca="1" si="31"/>
        <v/>
      </c>
      <c r="X206" s="17">
        <f t="shared" ca="1" si="30"/>
        <v>-8.9067180179154742E-2</v>
      </c>
      <c r="Y206" s="13">
        <f t="shared" si="36"/>
        <v>0</v>
      </c>
      <c r="Z206" s="13">
        <f t="shared" si="36"/>
        <v>0</v>
      </c>
      <c r="AA206" t="str">
        <f t="shared" ca="1" si="32"/>
        <v/>
      </c>
      <c r="AB206" t="str">
        <f t="shared" ca="1" si="33"/>
        <v/>
      </c>
      <c r="AC206" s="24" t="str">
        <f t="shared" ca="1" si="34"/>
        <v/>
      </c>
      <c r="AD206" s="24" t="str">
        <f t="shared" ca="1" si="35"/>
        <v/>
      </c>
    </row>
    <row r="207" spans="3:30" x14ac:dyDescent="0.25">
      <c r="C207" s="6">
        <v>200</v>
      </c>
      <c r="D207" s="35">
        <v>42290</v>
      </c>
      <c r="E207" s="37">
        <v>18.184999999999999</v>
      </c>
      <c r="F207" s="37">
        <v>45.915266497706426</v>
      </c>
      <c r="G207" s="37">
        <v>35.65</v>
      </c>
      <c r="H207" s="37">
        <v>2.382024125000219</v>
      </c>
      <c r="I207" s="37">
        <v>43.174187265628966</v>
      </c>
      <c r="J207" s="10">
        <v>0</v>
      </c>
      <c r="K207" s="38">
        <v>0</v>
      </c>
      <c r="L207" s="38">
        <v>0</v>
      </c>
      <c r="M207" s="38">
        <v>0</v>
      </c>
      <c r="N207" s="38">
        <v>0</v>
      </c>
      <c r="O207" s="38">
        <v>0</v>
      </c>
      <c r="P207" s="38">
        <v>0</v>
      </c>
      <c r="Q207" s="38">
        <v>0</v>
      </c>
      <c r="R207" s="38">
        <v>0</v>
      </c>
      <c r="S207" s="38">
        <v>1</v>
      </c>
      <c r="T207" s="38">
        <v>0</v>
      </c>
      <c r="U207" s="29" t="str" cm="1">
        <f t="array" aca="1" ref="U207" ca="1">+fair_value_gap(OFFSET(T206,0,0,-1*$J$5,-1*$AA$1),OFFSET(E206,0,0,-1*$J$5,1),F207:T207,0)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7" s="9" t="str" cm="1">
        <f t="array" aca="1" ref="V207" ca="1">z_score_diff(OFFSET(U207,0,0,$J$5*-1,1),OFFSET(E207,0,0,$J$5*-1,1))</f>
        <v/>
      </c>
      <c r="W207" s="9" t="str">
        <f t="shared" ca="1" si="31"/>
        <v/>
      </c>
      <c r="X207" s="17">
        <f t="shared" ca="1" si="30"/>
        <v>-8.1840675354163853E-2</v>
      </c>
      <c r="Y207" s="13">
        <f t="shared" si="36"/>
        <v>0</v>
      </c>
      <c r="Z207" s="13">
        <f t="shared" si="36"/>
        <v>0</v>
      </c>
      <c r="AA207" t="str">
        <f t="shared" ca="1" si="32"/>
        <v/>
      </c>
      <c r="AB207" t="str">
        <f t="shared" ca="1" si="33"/>
        <v/>
      </c>
      <c r="AC207" s="24" t="str">
        <f t="shared" ca="1" si="34"/>
        <v/>
      </c>
      <c r="AD207" s="24" t="str">
        <f t="shared" ca="1" si="35"/>
        <v/>
      </c>
    </row>
    <row r="208" spans="3:30" x14ac:dyDescent="0.25">
      <c r="C208" s="6">
        <v>201</v>
      </c>
      <c r="D208" s="35">
        <v>42291</v>
      </c>
      <c r="E208" s="37">
        <v>18.038</v>
      </c>
      <c r="F208" s="37">
        <v>45.59788038048908</v>
      </c>
      <c r="G208" s="37">
        <v>35.700000000000003</v>
      </c>
      <c r="H208" s="37">
        <v>2.3663293228510622</v>
      </c>
      <c r="I208" s="37">
        <v>42.783303652868874</v>
      </c>
      <c r="J208" s="10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1</v>
      </c>
      <c r="T208" s="38">
        <v>0</v>
      </c>
      <c r="U208" s="29" t="str" cm="1">
        <f t="array" aca="1" ref="U208" ca="1">+fair_value_gap(OFFSET(T207,0,0,-1*$J$5,-1*$AA$1),OFFSET(E207,0,0,-1*$J$5,1),F208:T208,0)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8" s="9" t="str" cm="1">
        <f t="array" aca="1" ref="V208" ca="1">z_score_diff(OFFSET(U208,0,0,$J$5*-1,1),OFFSET(E208,0,0,$J$5*-1,1))</f>
        <v/>
      </c>
      <c r="W208" s="9" t="str">
        <f t="shared" ca="1" si="31"/>
        <v/>
      </c>
      <c r="X208" s="17">
        <f t="shared" ca="1" si="30"/>
        <v>-8.3138191159434049E-2</v>
      </c>
      <c r="Y208" s="13">
        <f t="shared" si="36"/>
        <v>0</v>
      </c>
      <c r="Z208" s="13">
        <f t="shared" si="36"/>
        <v>0</v>
      </c>
      <c r="AA208" t="str">
        <f t="shared" ca="1" si="32"/>
        <v/>
      </c>
      <c r="AB208" t="str">
        <f t="shared" ca="1" si="33"/>
        <v/>
      </c>
      <c r="AC208" s="24" t="str">
        <f t="shared" ca="1" si="34"/>
        <v/>
      </c>
      <c r="AD208" s="24" t="str">
        <f t="shared" ca="1" si="35"/>
        <v/>
      </c>
    </row>
    <row r="209" spans="3:30" x14ac:dyDescent="0.25">
      <c r="C209" s="6">
        <v>202</v>
      </c>
      <c r="D209" s="35">
        <v>42292</v>
      </c>
      <c r="E209" s="37">
        <v>18.143999999999998</v>
      </c>
      <c r="F209" s="37">
        <v>45.85142700959166</v>
      </c>
      <c r="G209" s="37">
        <v>35.65</v>
      </c>
      <c r="H209" s="37">
        <v>2.3460092000704327</v>
      </c>
      <c r="I209" s="37">
        <v>43.18829483326077</v>
      </c>
      <c r="J209" s="10">
        <v>0</v>
      </c>
      <c r="K209" s="38">
        <v>0</v>
      </c>
      <c r="L209" s="38">
        <v>0</v>
      </c>
      <c r="M209" s="38">
        <v>0</v>
      </c>
      <c r="N209" s="38">
        <v>0</v>
      </c>
      <c r="O209" s="38">
        <v>0</v>
      </c>
      <c r="P209" s="38">
        <v>0</v>
      </c>
      <c r="Q209" s="38">
        <v>0</v>
      </c>
      <c r="R209" s="38">
        <v>0</v>
      </c>
      <c r="S209" s="38">
        <v>1</v>
      </c>
      <c r="T209" s="38">
        <v>0</v>
      </c>
      <c r="U209" s="29" t="str" cm="1">
        <f t="array" aca="1" ref="U209" ca="1">+fair_value_gap(OFFSET(T208,0,0,-1*$J$5,-1*$AA$1),OFFSET(E208,0,0,-1*$J$5,1),F209:T209,0)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9" s="9" t="str" cm="1">
        <f t="array" aca="1" ref="V209" ca="1">z_score_diff(OFFSET(U209,0,0,$J$5*-1,1),OFFSET(E209,0,0,$J$5*-1,1))</f>
        <v/>
      </c>
      <c r="W209" s="9" t="str">
        <f t="shared" ca="1" si="31"/>
        <v/>
      </c>
      <c r="X209" s="17">
        <f t="shared" ca="1" si="30"/>
        <v>-9.2074678946176561E-2</v>
      </c>
      <c r="Y209" s="13">
        <f t="shared" si="36"/>
        <v>0</v>
      </c>
      <c r="Z209" s="13">
        <f t="shared" si="36"/>
        <v>0</v>
      </c>
      <c r="AA209" t="str">
        <f t="shared" ca="1" si="32"/>
        <v/>
      </c>
      <c r="AB209" t="str">
        <f t="shared" ca="1" si="33"/>
        <v/>
      </c>
      <c r="AC209" s="24" t="str">
        <f t="shared" ca="1" si="34"/>
        <v/>
      </c>
      <c r="AD209" s="24" t="str">
        <f t="shared" ca="1" si="35"/>
        <v/>
      </c>
    </row>
    <row r="210" spans="3:30" x14ac:dyDescent="0.25">
      <c r="C210" s="6">
        <v>203</v>
      </c>
      <c r="D210" s="35">
        <v>42293</v>
      </c>
      <c r="E210" s="37">
        <v>18.164000000000001</v>
      </c>
      <c r="F210" s="37">
        <v>47.149999560659715</v>
      </c>
      <c r="G210" s="37">
        <v>35.75</v>
      </c>
      <c r="H210" s="37">
        <v>2.3364116442749565</v>
      </c>
      <c r="I210" s="37">
        <v>43.099282117971654</v>
      </c>
      <c r="J210" s="10">
        <v>0</v>
      </c>
      <c r="K210" s="38">
        <v>0</v>
      </c>
      <c r="L210" s="38">
        <v>0</v>
      </c>
      <c r="M210" s="38">
        <v>0</v>
      </c>
      <c r="N210" s="38">
        <v>0</v>
      </c>
      <c r="O210" s="38">
        <v>0</v>
      </c>
      <c r="P210" s="38">
        <v>0</v>
      </c>
      <c r="Q210" s="38">
        <v>0</v>
      </c>
      <c r="R210" s="38">
        <v>0</v>
      </c>
      <c r="S210" s="38">
        <v>1</v>
      </c>
      <c r="T210" s="38">
        <v>0</v>
      </c>
      <c r="U210" s="29" t="str" cm="1">
        <f t="array" aca="1" ref="U210" ca="1">+fair_value_gap(OFFSET(T209,0,0,-1*$J$5,-1*$AA$1),OFFSET(E209,0,0,-1*$J$5,1),F210:T210,0)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0" s="9" t="str" cm="1">
        <f t="array" aca="1" ref="V210" ca="1">z_score_diff(OFFSET(U210,0,0,$J$5*-1,1),OFFSET(E210,0,0,$J$5*-1,1))</f>
        <v/>
      </c>
      <c r="W210" s="9" t="str">
        <f t="shared" ca="1" si="31"/>
        <v/>
      </c>
      <c r="X210" s="17">
        <f t="shared" ca="1" si="30"/>
        <v>-8.3733537426985027E-2</v>
      </c>
      <c r="Y210" s="13">
        <f t="shared" si="36"/>
        <v>0</v>
      </c>
      <c r="Z210" s="13">
        <f t="shared" si="36"/>
        <v>0</v>
      </c>
      <c r="AA210" t="str">
        <f t="shared" ca="1" si="32"/>
        <v/>
      </c>
      <c r="AB210" t="str">
        <f t="shared" ca="1" si="33"/>
        <v/>
      </c>
      <c r="AC210" s="24" t="str">
        <f t="shared" ca="1" si="34"/>
        <v/>
      </c>
      <c r="AD210" s="24" t="str">
        <f t="shared" ca="1" si="35"/>
        <v/>
      </c>
    </row>
    <row r="211" spans="3:30" x14ac:dyDescent="0.25">
      <c r="C211" s="6">
        <v>204</v>
      </c>
      <c r="D211" s="35">
        <v>42296</v>
      </c>
      <c r="E211" s="37">
        <v>18.303999999999998</v>
      </c>
      <c r="F211" s="37">
        <v>45.785458650970135</v>
      </c>
      <c r="G211" s="37">
        <v>35.979999999999997</v>
      </c>
      <c r="H211" s="37">
        <v>2.3469117474944712</v>
      </c>
      <c r="I211" s="37">
        <v>43.16311256640563</v>
      </c>
      <c r="J211" s="10">
        <v>0</v>
      </c>
      <c r="K211" s="38">
        <v>0</v>
      </c>
      <c r="L211" s="38">
        <v>0</v>
      </c>
      <c r="M211" s="38">
        <v>0</v>
      </c>
      <c r="N211" s="38">
        <v>0</v>
      </c>
      <c r="O211" s="38">
        <v>0</v>
      </c>
      <c r="P211" s="38">
        <v>0</v>
      </c>
      <c r="Q211" s="38">
        <v>0</v>
      </c>
      <c r="R211" s="38">
        <v>0</v>
      </c>
      <c r="S211" s="38">
        <v>1</v>
      </c>
      <c r="T211" s="38">
        <v>0</v>
      </c>
      <c r="U211" s="29" t="str" cm="1">
        <f t="array" aca="1" ref="U211" ca="1">+fair_value_gap(OFFSET(T210,0,0,-1*$J$5,-1*$AA$1),OFFSET(E210,0,0,-1*$J$5,1),F211:T211,0)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1" s="9" t="str" cm="1">
        <f t="array" aca="1" ref="V211" ca="1">z_score_diff(OFFSET(U211,0,0,$J$5*-1,1),OFFSET(E211,0,0,$J$5*-1,1))</f>
        <v/>
      </c>
      <c r="W211" s="9" t="str">
        <f t="shared" ca="1" si="31"/>
        <v/>
      </c>
      <c r="X211" s="17">
        <f t="shared" ca="1" si="30"/>
        <v>-7.4200432049307888E-2</v>
      </c>
      <c r="Y211" s="13">
        <f t="shared" si="36"/>
        <v>0</v>
      </c>
      <c r="Z211" s="13">
        <f t="shared" si="36"/>
        <v>0</v>
      </c>
      <c r="AA211" t="str">
        <f t="shared" ca="1" si="32"/>
        <v/>
      </c>
      <c r="AB211" t="str">
        <f t="shared" ca="1" si="33"/>
        <v/>
      </c>
      <c r="AC211" s="24" t="str">
        <f t="shared" ca="1" si="34"/>
        <v/>
      </c>
      <c r="AD211" s="24" t="str">
        <f t="shared" ca="1" si="35"/>
        <v/>
      </c>
    </row>
    <row r="212" spans="3:30" x14ac:dyDescent="0.25">
      <c r="C212" s="6">
        <v>205</v>
      </c>
      <c r="D212" s="35">
        <v>42297</v>
      </c>
      <c r="E212" s="37">
        <v>18.030999999999999</v>
      </c>
      <c r="F212" s="37">
        <v>45.847059340273205</v>
      </c>
      <c r="G212" s="37">
        <v>35.729999999999997</v>
      </c>
      <c r="H212" s="37">
        <v>2.3481354592172883</v>
      </c>
      <c r="I212" s="37">
        <v>43.044757763429523</v>
      </c>
      <c r="J212" s="10">
        <v>0</v>
      </c>
      <c r="K212" s="38">
        <v>0</v>
      </c>
      <c r="L212" s="38">
        <v>0</v>
      </c>
      <c r="M212" s="38">
        <v>0</v>
      </c>
      <c r="N212" s="38">
        <v>0</v>
      </c>
      <c r="O212" s="38">
        <v>0</v>
      </c>
      <c r="P212" s="38">
        <v>0</v>
      </c>
      <c r="Q212" s="38">
        <v>0</v>
      </c>
      <c r="R212" s="38">
        <v>0</v>
      </c>
      <c r="S212" s="38">
        <v>1</v>
      </c>
      <c r="T212" s="38">
        <v>0</v>
      </c>
      <c r="U212" s="29" t="str" cm="1">
        <f t="array" aca="1" ref="U212" ca="1">+fair_value_gap(OFFSET(T211,0,0,-1*$J$5,-1*$AA$1),OFFSET(E211,0,0,-1*$J$5,1),F212:T212,0)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2" s="9" t="str" cm="1">
        <f t="array" aca="1" ref="V212" ca="1">z_score_diff(OFFSET(U212,0,0,$J$5*-1,1),OFFSET(E212,0,0,$J$5*-1,1))</f>
        <v/>
      </c>
      <c r="W212" s="9" t="str">
        <f t="shared" ca="1" si="31"/>
        <v/>
      </c>
      <c r="X212" s="17">
        <f t="shared" ca="1" si="30"/>
        <v>-2.9091937694198548E-2</v>
      </c>
      <c r="Y212" s="13">
        <f t="shared" si="36"/>
        <v>0</v>
      </c>
      <c r="Z212" s="13">
        <f t="shared" si="36"/>
        <v>0</v>
      </c>
      <c r="AA212" t="str">
        <f t="shared" ca="1" si="32"/>
        <v/>
      </c>
      <c r="AB212" t="str">
        <f t="shared" ca="1" si="33"/>
        <v/>
      </c>
      <c r="AC212" s="24" t="str">
        <f t="shared" ca="1" si="34"/>
        <v/>
      </c>
      <c r="AD212" s="24" t="str">
        <f t="shared" ca="1" si="35"/>
        <v/>
      </c>
    </row>
    <row r="213" spans="3:30" x14ac:dyDescent="0.25">
      <c r="C213" s="6">
        <v>206</v>
      </c>
      <c r="D213" s="35">
        <v>42298</v>
      </c>
      <c r="E213" s="37">
        <v>17.896000000000001</v>
      </c>
      <c r="F213" s="37">
        <v>45.175187936870792</v>
      </c>
      <c r="G213" s="37">
        <v>35.5</v>
      </c>
      <c r="H213" s="37">
        <v>2.317668263946894</v>
      </c>
      <c r="I213" s="37">
        <v>42.774871411614711</v>
      </c>
      <c r="J213" s="10">
        <v>0</v>
      </c>
      <c r="K213" s="38">
        <v>0</v>
      </c>
      <c r="L213" s="38">
        <v>0</v>
      </c>
      <c r="M213" s="38">
        <v>0</v>
      </c>
      <c r="N213" s="38">
        <v>0</v>
      </c>
      <c r="O213" s="38">
        <v>0</v>
      </c>
      <c r="P213" s="38">
        <v>0</v>
      </c>
      <c r="Q213" s="38">
        <v>0</v>
      </c>
      <c r="R213" s="38">
        <v>0</v>
      </c>
      <c r="S213" s="38">
        <v>1</v>
      </c>
      <c r="T213" s="38">
        <v>0</v>
      </c>
      <c r="U213" s="29" t="str" cm="1">
        <f t="array" aca="1" ref="U213" ca="1">+fair_value_gap(OFFSET(T212,0,0,-1*$J$5,-1*$AA$1),OFFSET(E212,0,0,-1*$J$5,1),F213:T213,0)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3" s="9" t="str" cm="1">
        <f t="array" aca="1" ref="V213" ca="1">z_score_diff(OFFSET(U213,0,0,$J$5*-1,1),OFFSET(E213,0,0,$J$5*-1,1))</f>
        <v/>
      </c>
      <c r="W213" s="9" t="str">
        <f t="shared" ca="1" si="31"/>
        <v/>
      </c>
      <c r="X213" s="17">
        <f t="shared" ca="1" si="30"/>
        <v>-4.0016738435576307E-2</v>
      </c>
      <c r="Y213" s="13">
        <f t="shared" si="36"/>
        <v>0</v>
      </c>
      <c r="Z213" s="13">
        <f t="shared" si="36"/>
        <v>0</v>
      </c>
      <c r="AA213" t="str">
        <f t="shared" ca="1" si="32"/>
        <v/>
      </c>
      <c r="AB213" t="str">
        <f t="shared" ca="1" si="33"/>
        <v/>
      </c>
      <c r="AC213" s="24" t="str">
        <f t="shared" ca="1" si="34"/>
        <v/>
      </c>
      <c r="AD213" s="24" t="str">
        <f t="shared" ca="1" si="35"/>
        <v/>
      </c>
    </row>
    <row r="214" spans="3:30" x14ac:dyDescent="0.25">
      <c r="C214" s="6">
        <v>207</v>
      </c>
      <c r="D214" s="35">
        <v>42299</v>
      </c>
      <c r="E214" s="37">
        <v>17.954000000000001</v>
      </c>
      <c r="F214" s="37">
        <v>46.419431373182434</v>
      </c>
      <c r="G214" s="37">
        <v>35.31</v>
      </c>
      <c r="H214" s="37">
        <v>2.3537245020656785</v>
      </c>
      <c r="I214" s="37">
        <v>43.610755165990078</v>
      </c>
      <c r="J214" s="10">
        <v>0</v>
      </c>
      <c r="K214" s="38">
        <v>0</v>
      </c>
      <c r="L214" s="38">
        <v>0</v>
      </c>
      <c r="M214" s="38">
        <v>0</v>
      </c>
      <c r="N214" s="38">
        <v>0</v>
      </c>
      <c r="O214" s="38">
        <v>0</v>
      </c>
      <c r="P214" s="38">
        <v>0</v>
      </c>
      <c r="Q214" s="38">
        <v>0</v>
      </c>
      <c r="R214" s="38">
        <v>0</v>
      </c>
      <c r="S214" s="38">
        <v>1</v>
      </c>
      <c r="T214" s="38">
        <v>0</v>
      </c>
      <c r="U214" s="29" t="str" cm="1">
        <f t="array" aca="1" ref="U214" ca="1">+fair_value_gap(OFFSET(T213,0,0,-1*$J$5,-1*$AA$1),OFFSET(E213,0,0,-1*$J$5,1),F214:T214,0)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4" s="9" t="str" cm="1">
        <f t="array" aca="1" ref="V214" ca="1">z_score_diff(OFFSET(U214,0,0,$J$5*-1,1),OFFSET(E214,0,0,$J$5*-1,1))</f>
        <v/>
      </c>
      <c r="W214" s="9" t="str">
        <f t="shared" ca="1" si="31"/>
        <v/>
      </c>
      <c r="X214" s="17">
        <f t="shared" ca="1" si="30"/>
        <v>-3.9247448500084867E-2</v>
      </c>
      <c r="Y214" s="13">
        <f t="shared" si="36"/>
        <v>0</v>
      </c>
      <c r="Z214" s="13">
        <f t="shared" si="36"/>
        <v>0</v>
      </c>
      <c r="AA214" t="str">
        <f t="shared" ca="1" si="32"/>
        <v/>
      </c>
      <c r="AB214" t="str">
        <f t="shared" ca="1" si="33"/>
        <v/>
      </c>
      <c r="AC214" s="24" t="str">
        <f t="shared" ca="1" si="34"/>
        <v/>
      </c>
      <c r="AD214" s="24" t="str">
        <f t="shared" ca="1" si="35"/>
        <v/>
      </c>
    </row>
    <row r="215" spans="3:30" x14ac:dyDescent="0.25">
      <c r="C215" s="6">
        <v>208</v>
      </c>
      <c r="D215" s="35">
        <v>42300</v>
      </c>
      <c r="E215" s="37">
        <v>18.065000000000001</v>
      </c>
      <c r="F215" s="37">
        <v>46.607965774395019</v>
      </c>
      <c r="G215" s="37">
        <v>35.4</v>
      </c>
      <c r="H215" s="37">
        <v>2.3073339936053112</v>
      </c>
      <c r="I215" s="37">
        <v>44.048281257772899</v>
      </c>
      <c r="J215" s="10">
        <v>0</v>
      </c>
      <c r="K215" s="38">
        <v>0</v>
      </c>
      <c r="L215" s="38">
        <v>0</v>
      </c>
      <c r="M215" s="38">
        <v>0</v>
      </c>
      <c r="N215" s="38">
        <v>0</v>
      </c>
      <c r="O215" s="38">
        <v>0</v>
      </c>
      <c r="P215" s="38">
        <v>0</v>
      </c>
      <c r="Q215" s="38">
        <v>0</v>
      </c>
      <c r="R215" s="38">
        <v>0</v>
      </c>
      <c r="S215" s="38">
        <v>1</v>
      </c>
      <c r="T215" s="38">
        <v>0</v>
      </c>
      <c r="U215" s="29" t="str" cm="1">
        <f t="array" aca="1" ref="U215" ca="1">+fair_value_gap(OFFSET(T214,0,0,-1*$J$5,-1*$AA$1),OFFSET(E214,0,0,-1*$J$5,1),F215:T215,0)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5" s="9" t="str" cm="1">
        <f t="array" aca="1" ref="V215" ca="1">z_score_diff(OFFSET(U215,0,0,$J$5*-1,1),OFFSET(E215,0,0,$J$5*-1,1))</f>
        <v/>
      </c>
      <c r="W215" s="9" t="str">
        <f t="shared" ca="1" si="31"/>
        <v/>
      </c>
      <c r="X215" s="17">
        <f t="shared" ca="1" si="30"/>
        <v>-5.4313276695501594E-2</v>
      </c>
      <c r="Y215" s="13">
        <f t="shared" si="36"/>
        <v>0</v>
      </c>
      <c r="Z215" s="13">
        <f t="shared" si="36"/>
        <v>0</v>
      </c>
      <c r="AA215" t="str">
        <f t="shared" ca="1" si="32"/>
        <v/>
      </c>
      <c r="AB215" t="str">
        <f t="shared" ca="1" si="33"/>
        <v/>
      </c>
      <c r="AC215" s="24" t="str">
        <f t="shared" ca="1" si="34"/>
        <v/>
      </c>
      <c r="AD215" s="24" t="str">
        <f t="shared" ca="1" si="35"/>
        <v/>
      </c>
    </row>
    <row r="216" spans="3:30" x14ac:dyDescent="0.25">
      <c r="C216" s="6">
        <v>209</v>
      </c>
      <c r="D216" s="35">
        <v>42303</v>
      </c>
      <c r="E216" s="37">
        <v>17.899999999999999</v>
      </c>
      <c r="F216" s="37">
        <v>46.150032674583677</v>
      </c>
      <c r="G216" s="37">
        <v>35.4</v>
      </c>
      <c r="H216" s="37">
        <v>2.2137593798589359</v>
      </c>
      <c r="I216" s="37">
        <v>44.347297023232755</v>
      </c>
      <c r="J216" s="10">
        <v>0</v>
      </c>
      <c r="K216" s="38">
        <v>0</v>
      </c>
      <c r="L216" s="38">
        <v>0</v>
      </c>
      <c r="M216" s="38">
        <v>0</v>
      </c>
      <c r="N216" s="38">
        <v>0</v>
      </c>
      <c r="O216" s="38">
        <v>0</v>
      </c>
      <c r="P216" s="38">
        <v>0</v>
      </c>
      <c r="Q216" s="38">
        <v>0</v>
      </c>
      <c r="R216" s="38">
        <v>0</v>
      </c>
      <c r="S216" s="38">
        <v>1</v>
      </c>
      <c r="T216" s="38">
        <v>0</v>
      </c>
      <c r="U216" s="29" t="str" cm="1">
        <f t="array" aca="1" ref="U216" ca="1">+fair_value_gap(OFFSET(T215,0,0,-1*$J$5,-1*$AA$1),OFFSET(E215,0,0,-1*$J$5,1),F216:T216,0)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6" s="9" t="str" cm="1">
        <f t="array" aca="1" ref="V216" ca="1">z_score_diff(OFFSET(U216,0,0,$J$5*-1,1),OFFSET(E216,0,0,$J$5*-1,1))</f>
        <v/>
      </c>
      <c r="W216" s="9" t="str">
        <f t="shared" ca="1" si="31"/>
        <v/>
      </c>
      <c r="X216" s="17">
        <f t="shared" ca="1" si="30"/>
        <v>-4.6775435322753738E-2</v>
      </c>
      <c r="Y216" s="13">
        <f t="shared" si="36"/>
        <v>0</v>
      </c>
      <c r="Z216" s="13">
        <f t="shared" si="36"/>
        <v>0</v>
      </c>
      <c r="AA216" t="str">
        <f t="shared" ca="1" si="32"/>
        <v/>
      </c>
      <c r="AB216" t="str">
        <f t="shared" ca="1" si="33"/>
        <v/>
      </c>
      <c r="AC216" s="24" t="str">
        <f t="shared" ca="1" si="34"/>
        <v/>
      </c>
      <c r="AD216" s="24" t="str">
        <f t="shared" ca="1" si="35"/>
        <v/>
      </c>
    </row>
    <row r="217" spans="3:30" x14ac:dyDescent="0.25">
      <c r="C217" s="6">
        <v>210</v>
      </c>
      <c r="D217" s="35">
        <v>42304</v>
      </c>
      <c r="E217" s="37">
        <v>17.899999999999999</v>
      </c>
      <c r="F217" s="37">
        <v>45.541070864721007</v>
      </c>
      <c r="G217" s="37">
        <v>35.4</v>
      </c>
      <c r="H217" s="37">
        <v>2.2310433488204251</v>
      </c>
      <c r="I217" s="37">
        <v>44.296089133474673</v>
      </c>
      <c r="J217" s="10">
        <v>0</v>
      </c>
      <c r="K217" s="38">
        <v>0</v>
      </c>
      <c r="L217" s="38">
        <v>0</v>
      </c>
      <c r="M217" s="38">
        <v>0</v>
      </c>
      <c r="N217" s="38">
        <v>0</v>
      </c>
      <c r="O217" s="38">
        <v>0</v>
      </c>
      <c r="P217" s="38">
        <v>0</v>
      </c>
      <c r="Q217" s="38">
        <v>0</v>
      </c>
      <c r="R217" s="38">
        <v>0</v>
      </c>
      <c r="S217" s="38">
        <v>1</v>
      </c>
      <c r="T217" s="38">
        <v>0</v>
      </c>
      <c r="U217" s="29" t="str" cm="1">
        <f t="array" aca="1" ref="U217" ca="1">+fair_value_gap(OFFSET(T216,0,0,-1*$J$5,-1*$AA$1),OFFSET(E216,0,0,-1*$J$5,1),F217:T217,0)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7" s="9" t="str" cm="1">
        <f t="array" aca="1" ref="V217" ca="1">z_score_diff(OFFSET(U217,0,0,$J$5*-1,1),OFFSET(E217,0,0,$J$5*-1,1))</f>
        <v/>
      </c>
      <c r="W217" s="9" t="str">
        <f t="shared" ca="1" si="31"/>
        <v/>
      </c>
      <c r="X217" s="17">
        <f t="shared" ca="1" si="30"/>
        <v>-3.4788093642124415E-2</v>
      </c>
      <c r="Y217" s="13">
        <f t="shared" ref="Y217:Z232" si="37">+Y216</f>
        <v>0</v>
      </c>
      <c r="Z217" s="13">
        <f t="shared" si="37"/>
        <v>0</v>
      </c>
      <c r="AA217" t="str">
        <f t="shared" ca="1" si="32"/>
        <v/>
      </c>
      <c r="AB217" t="str">
        <f t="shared" ca="1" si="33"/>
        <v/>
      </c>
      <c r="AC217" s="24" t="str">
        <f t="shared" ca="1" si="34"/>
        <v/>
      </c>
      <c r="AD217" s="24" t="str">
        <f t="shared" ca="1" si="35"/>
        <v/>
      </c>
    </row>
    <row r="218" spans="3:30" x14ac:dyDescent="0.25">
      <c r="C218" s="6">
        <v>211</v>
      </c>
      <c r="D218" s="35">
        <v>42305</v>
      </c>
      <c r="E218" s="37">
        <v>17.925000000000001</v>
      </c>
      <c r="F218" s="37">
        <v>48.168888629294862</v>
      </c>
      <c r="G218" s="37">
        <v>35.630000000000003</v>
      </c>
      <c r="H218" s="37">
        <v>2.2167910284304133</v>
      </c>
      <c r="I218" s="37">
        <v>44.901654425185811</v>
      </c>
      <c r="J218" s="10">
        <v>0</v>
      </c>
      <c r="K218" s="38">
        <v>0</v>
      </c>
      <c r="L218" s="38">
        <v>0</v>
      </c>
      <c r="M218" s="38">
        <v>0</v>
      </c>
      <c r="N218" s="38">
        <v>0</v>
      </c>
      <c r="O218" s="38">
        <v>0</v>
      </c>
      <c r="P218" s="38">
        <v>0</v>
      </c>
      <c r="Q218" s="38">
        <v>0</v>
      </c>
      <c r="R218" s="38">
        <v>0</v>
      </c>
      <c r="S218" s="38">
        <v>1</v>
      </c>
      <c r="T218" s="38">
        <v>0</v>
      </c>
      <c r="U218" s="29" t="str" cm="1">
        <f t="array" aca="1" ref="U218" ca="1">+fair_value_gap(OFFSET(T217,0,0,-1*$J$5,-1*$AA$1),OFFSET(E217,0,0,-1*$J$5,1),F218:T218,0)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8" s="9" t="str" cm="1">
        <f t="array" aca="1" ref="V218" ca="1">z_score_diff(OFFSET(U218,0,0,$J$5*-1,1),OFFSET(E218,0,0,$J$5*-1,1))</f>
        <v/>
      </c>
      <c r="W218" s="9" t="str">
        <f t="shared" ca="1" si="31"/>
        <v/>
      </c>
      <c r="X218" s="17">
        <f t="shared" ca="1" si="30"/>
        <v>-2.4224103111217411E-2</v>
      </c>
      <c r="Y218" s="13">
        <f t="shared" si="37"/>
        <v>0</v>
      </c>
      <c r="Z218" s="13">
        <f t="shared" si="37"/>
        <v>0</v>
      </c>
      <c r="AA218" t="str">
        <f t="shared" ca="1" si="32"/>
        <v/>
      </c>
      <c r="AB218" t="str">
        <f t="shared" ca="1" si="33"/>
        <v/>
      </c>
      <c r="AC218" s="24" t="str">
        <f t="shared" ca="1" si="34"/>
        <v/>
      </c>
      <c r="AD218" s="24" t="str">
        <f t="shared" ca="1" si="35"/>
        <v/>
      </c>
    </row>
    <row r="219" spans="3:30" x14ac:dyDescent="0.25">
      <c r="C219" s="6">
        <v>212</v>
      </c>
      <c r="D219" s="35">
        <v>42306</v>
      </c>
      <c r="E219" s="37">
        <v>17.945</v>
      </c>
      <c r="F219" s="37">
        <v>47.705256471335559</v>
      </c>
      <c r="G219" s="37">
        <v>35.75</v>
      </c>
      <c r="H219" s="37">
        <v>2.1996869257469545</v>
      </c>
      <c r="I219" s="37">
        <v>45.282333991243</v>
      </c>
      <c r="J219" s="10">
        <v>0</v>
      </c>
      <c r="K219" s="38">
        <v>0</v>
      </c>
      <c r="L219" s="38">
        <v>0</v>
      </c>
      <c r="M219" s="38">
        <v>0</v>
      </c>
      <c r="N219" s="38">
        <v>0</v>
      </c>
      <c r="O219" s="38">
        <v>0</v>
      </c>
      <c r="P219" s="38">
        <v>0</v>
      </c>
      <c r="Q219" s="38">
        <v>0</v>
      </c>
      <c r="R219" s="38">
        <v>0</v>
      </c>
      <c r="S219" s="38">
        <v>1</v>
      </c>
      <c r="T219" s="38">
        <v>0</v>
      </c>
      <c r="U219" s="29" t="str" cm="1">
        <f t="array" aca="1" ref="U219" ca="1">+fair_value_gap(OFFSET(T218,0,0,-1*$J$5,-1*$AA$1),OFFSET(E218,0,0,-1*$J$5,1),F219:T219,0)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9" s="9" t="str" cm="1">
        <f t="array" aca="1" ref="V219" ca="1">z_score_diff(OFFSET(U219,0,0,$J$5*-1,1),OFFSET(E219,0,0,$J$5*-1,1))</f>
        <v/>
      </c>
      <c r="W219" s="9" t="str">
        <f t="shared" ca="1" si="31"/>
        <v/>
      </c>
      <c r="X219" s="17">
        <f t="shared" ca="1" si="30"/>
        <v>-2.4653605270921804E-2</v>
      </c>
      <c r="Y219" s="13">
        <f t="shared" si="37"/>
        <v>0</v>
      </c>
      <c r="Z219" s="13">
        <f t="shared" si="37"/>
        <v>0</v>
      </c>
      <c r="AA219" t="str">
        <f t="shared" ca="1" si="32"/>
        <v/>
      </c>
      <c r="AB219" t="str">
        <f t="shared" ca="1" si="33"/>
        <v/>
      </c>
      <c r="AC219" s="24" t="str">
        <f t="shared" ca="1" si="34"/>
        <v/>
      </c>
      <c r="AD219" s="24" t="str">
        <f t="shared" ca="1" si="35"/>
        <v/>
      </c>
    </row>
    <row r="220" spans="3:30" x14ac:dyDescent="0.25">
      <c r="C220" s="6">
        <v>213</v>
      </c>
      <c r="D220" s="35">
        <v>42307</v>
      </c>
      <c r="E220" s="37">
        <v>17.440000000000001</v>
      </c>
      <c r="F220" s="37">
        <v>48.175651520705209</v>
      </c>
      <c r="G220" s="37">
        <v>35.1</v>
      </c>
      <c r="H220" s="37">
        <v>2.2454215935162432</v>
      </c>
      <c r="I220" s="37">
        <v>45.20709737853138</v>
      </c>
      <c r="J220" s="10">
        <v>0</v>
      </c>
      <c r="K220" s="38">
        <v>0</v>
      </c>
      <c r="L220" s="38">
        <v>0</v>
      </c>
      <c r="M220" s="38">
        <v>0</v>
      </c>
      <c r="N220" s="38">
        <v>0</v>
      </c>
      <c r="O220" s="38">
        <v>0</v>
      </c>
      <c r="P220" s="38">
        <v>0</v>
      </c>
      <c r="Q220" s="38">
        <v>0</v>
      </c>
      <c r="R220" s="38">
        <v>0</v>
      </c>
      <c r="S220" s="38">
        <v>1</v>
      </c>
      <c r="T220" s="38">
        <v>0</v>
      </c>
      <c r="U220" s="29" t="str" cm="1">
        <f t="array" aca="1" ref="U220" ca="1">+fair_value_gap(OFFSET(T219,0,0,-1*$J$5,-1*$AA$1),OFFSET(E219,0,0,-1*$J$5,1),F220:T220,0)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0" s="9" t="str" cm="1">
        <f t="array" aca="1" ref="V220" ca="1">z_score_diff(OFFSET(U220,0,0,$J$5*-1,1),OFFSET(E220,0,0,$J$5*-1,1))</f>
        <v/>
      </c>
      <c r="W220" s="9" t="str">
        <f t="shared" ca="1" si="31"/>
        <v/>
      </c>
      <c r="X220" s="17">
        <f t="shared" ca="1" si="30"/>
        <v>6.8783678052958101E-4</v>
      </c>
      <c r="Y220" s="13">
        <f t="shared" si="37"/>
        <v>0</v>
      </c>
      <c r="Z220" s="13">
        <f t="shared" si="37"/>
        <v>0</v>
      </c>
      <c r="AA220" t="str">
        <f t="shared" ca="1" si="32"/>
        <v/>
      </c>
      <c r="AB220" t="str">
        <f t="shared" ca="1" si="33"/>
        <v/>
      </c>
      <c r="AC220" s="24" t="str">
        <f t="shared" ca="1" si="34"/>
        <v/>
      </c>
      <c r="AD220" s="24" t="str">
        <f t="shared" ca="1" si="35"/>
        <v/>
      </c>
    </row>
    <row r="221" spans="3:30" x14ac:dyDescent="0.25">
      <c r="C221" s="6">
        <v>214</v>
      </c>
      <c r="D221" s="35">
        <v>42310</v>
      </c>
      <c r="E221" s="37">
        <v>17.324999999999999</v>
      </c>
      <c r="F221" s="37">
        <v>47.624174334876479</v>
      </c>
      <c r="G221" s="37">
        <v>34.92</v>
      </c>
      <c r="H221" s="37">
        <v>2.2265025273201178</v>
      </c>
      <c r="I221" s="37">
        <v>44.150070432028343</v>
      </c>
      <c r="J221" s="10">
        <v>0</v>
      </c>
      <c r="K221" s="38">
        <v>0</v>
      </c>
      <c r="L221" s="38">
        <v>0</v>
      </c>
      <c r="M221" s="38">
        <v>0</v>
      </c>
      <c r="N221" s="38">
        <v>0</v>
      </c>
      <c r="O221" s="38">
        <v>0</v>
      </c>
      <c r="P221" s="38">
        <v>0</v>
      </c>
      <c r="Q221" s="38">
        <v>0</v>
      </c>
      <c r="R221" s="38">
        <v>0</v>
      </c>
      <c r="S221" s="38">
        <v>0</v>
      </c>
      <c r="T221" s="38">
        <v>1</v>
      </c>
      <c r="U221" s="29" t="str" cm="1">
        <f t="array" aca="1" ref="U221" ca="1">+fair_value_gap(OFFSET(T220,0,0,-1*$J$5,-1*$AA$1),OFFSET(E220,0,0,-1*$J$5,1),F221:T221,0)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1" s="9" t="str" cm="1">
        <f t="array" aca="1" ref="V221" ca="1">z_score_diff(OFFSET(U221,0,0,$J$5*-1,1),OFFSET(E221,0,0,$J$5*-1,1))</f>
        <v/>
      </c>
      <c r="W221" s="9" t="str">
        <f t="shared" ca="1" si="31"/>
        <v/>
      </c>
      <c r="X221" s="17">
        <f t="shared" ca="1" si="30"/>
        <v>1.3757740641823578E-2</v>
      </c>
      <c r="Y221" s="13">
        <f t="shared" si="37"/>
        <v>0</v>
      </c>
      <c r="Z221" s="13">
        <f t="shared" si="37"/>
        <v>0</v>
      </c>
      <c r="AA221" t="str">
        <f t="shared" ca="1" si="32"/>
        <v/>
      </c>
      <c r="AB221" t="str">
        <f t="shared" ca="1" si="33"/>
        <v/>
      </c>
      <c r="AC221" s="24" t="str">
        <f t="shared" ca="1" si="34"/>
        <v/>
      </c>
      <c r="AD221" s="24" t="str">
        <f t="shared" ca="1" si="35"/>
        <v/>
      </c>
    </row>
    <row r="222" spans="3:30" x14ac:dyDescent="0.25">
      <c r="C222" s="6">
        <v>215</v>
      </c>
      <c r="D222" s="35">
        <v>42311</v>
      </c>
      <c r="E222" s="37">
        <v>17.376000000000001</v>
      </c>
      <c r="F222" s="37">
        <v>49.323695724855718</v>
      </c>
      <c r="G222" s="37">
        <v>34.81</v>
      </c>
      <c r="H222" s="37">
        <v>2.2485936069076793</v>
      </c>
      <c r="I222" s="37">
        <v>44.790167604262052</v>
      </c>
      <c r="J222" s="10">
        <v>0</v>
      </c>
      <c r="K222" s="38">
        <v>0</v>
      </c>
      <c r="L222" s="38">
        <v>0</v>
      </c>
      <c r="M222" s="38">
        <v>0</v>
      </c>
      <c r="N222" s="38">
        <v>0</v>
      </c>
      <c r="O222" s="38">
        <v>0</v>
      </c>
      <c r="P222" s="38">
        <v>0</v>
      </c>
      <c r="Q222" s="38">
        <v>0</v>
      </c>
      <c r="R222" s="38">
        <v>0</v>
      </c>
      <c r="S222" s="38">
        <v>0</v>
      </c>
      <c r="T222" s="38">
        <v>1</v>
      </c>
      <c r="U222" s="29" t="str" cm="1">
        <f t="array" aca="1" ref="U222" ca="1">+fair_value_gap(OFFSET(T221,0,0,-1*$J$5,-1*$AA$1),OFFSET(E221,0,0,-1*$J$5,1),F222:T222,0)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2" s="9" t="str" cm="1">
        <f t="array" aca="1" ref="V222" ca="1">z_score_diff(OFFSET(U222,0,0,$J$5*-1,1),OFFSET(E222,0,0,$J$5*-1,1))</f>
        <v/>
      </c>
      <c r="W222" s="9" t="str">
        <f t="shared" ca="1" si="31"/>
        <v/>
      </c>
      <c r="X222" s="17">
        <f t="shared" ca="1" si="30"/>
        <v>2.1239232554684365E-2</v>
      </c>
      <c r="Y222" s="13">
        <f t="shared" si="37"/>
        <v>0</v>
      </c>
      <c r="Z222" s="13">
        <f t="shared" si="37"/>
        <v>0</v>
      </c>
      <c r="AA222" t="str">
        <f t="shared" ca="1" si="32"/>
        <v/>
      </c>
      <c r="AB222" t="str">
        <f t="shared" ca="1" si="33"/>
        <v/>
      </c>
      <c r="AC222" s="24" t="str">
        <f t="shared" ca="1" si="34"/>
        <v/>
      </c>
      <c r="AD222" s="24" t="str">
        <f t="shared" ca="1" si="35"/>
        <v/>
      </c>
    </row>
    <row r="223" spans="3:30" x14ac:dyDescent="0.25">
      <c r="C223" s="6">
        <v>216</v>
      </c>
      <c r="D223" s="35">
        <v>42312</v>
      </c>
      <c r="E223" s="37">
        <v>17.495000000000001</v>
      </c>
      <c r="F223" s="37">
        <v>47.946518580078575</v>
      </c>
      <c r="G223" s="37">
        <v>34.799999999999997</v>
      </c>
      <c r="H223" s="37">
        <v>2.2546880174064117</v>
      </c>
      <c r="I223" s="37">
        <v>44.396623288230394</v>
      </c>
      <c r="J223" s="10">
        <v>0</v>
      </c>
      <c r="K223" s="38">
        <v>0</v>
      </c>
      <c r="L223" s="38">
        <v>0</v>
      </c>
      <c r="M223" s="38">
        <v>0</v>
      </c>
      <c r="N223" s="38">
        <v>0</v>
      </c>
      <c r="O223" s="38">
        <v>0</v>
      </c>
      <c r="P223" s="38">
        <v>0</v>
      </c>
      <c r="Q223" s="38">
        <v>0</v>
      </c>
      <c r="R223" s="38">
        <v>0</v>
      </c>
      <c r="S223" s="38">
        <v>0</v>
      </c>
      <c r="T223" s="38">
        <v>1</v>
      </c>
      <c r="U223" s="29" t="str" cm="1">
        <f t="array" aca="1" ref="U223" ca="1">+fair_value_gap(OFFSET(T222,0,0,-1*$J$5,-1*$AA$1),OFFSET(E222,0,0,-1*$J$5,1),F223:T223,0)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3" s="9" t="str" cm="1">
        <f t="array" aca="1" ref="V223" ca="1">z_score_diff(OFFSET(U223,0,0,$J$5*-1,1),OFFSET(E223,0,0,$J$5*-1,1))</f>
        <v/>
      </c>
      <c r="W223" s="9" t="str">
        <f t="shared" ca="1" si="31"/>
        <v/>
      </c>
      <c r="X223" s="17">
        <f t="shared" ca="1" si="30"/>
        <v>-7.4584396236141498E-3</v>
      </c>
      <c r="Y223" s="13">
        <f t="shared" si="37"/>
        <v>0</v>
      </c>
      <c r="Z223" s="13">
        <f t="shared" si="37"/>
        <v>0</v>
      </c>
      <c r="AA223" t="str">
        <f t="shared" ca="1" si="32"/>
        <v/>
      </c>
      <c r="AB223" t="str">
        <f t="shared" ca="1" si="33"/>
        <v/>
      </c>
      <c r="AC223" s="24" t="str">
        <f t="shared" ca="1" si="34"/>
        <v/>
      </c>
      <c r="AD223" s="24" t="str">
        <f t="shared" ca="1" si="35"/>
        <v/>
      </c>
    </row>
    <row r="224" spans="3:30" x14ac:dyDescent="0.25">
      <c r="C224" s="6">
        <v>217</v>
      </c>
      <c r="D224" s="35">
        <v>42313</v>
      </c>
      <c r="E224" s="37">
        <v>17.248000000000001</v>
      </c>
      <c r="F224" s="37">
        <v>47.353870132629304</v>
      </c>
      <c r="G224" s="37">
        <v>34.42</v>
      </c>
      <c r="H224" s="37">
        <v>2.3150373949968452</v>
      </c>
      <c r="I224" s="37">
        <v>44.047982080438395</v>
      </c>
      <c r="J224" s="10">
        <v>0</v>
      </c>
      <c r="K224" s="38">
        <v>0</v>
      </c>
      <c r="L224" s="38">
        <v>0</v>
      </c>
      <c r="M224" s="38">
        <v>0</v>
      </c>
      <c r="N224" s="38">
        <v>0</v>
      </c>
      <c r="O224" s="38">
        <v>0</v>
      </c>
      <c r="P224" s="38">
        <v>0</v>
      </c>
      <c r="Q224" s="38">
        <v>0</v>
      </c>
      <c r="R224" s="38">
        <v>0</v>
      </c>
      <c r="S224" s="38">
        <v>0</v>
      </c>
      <c r="T224" s="38">
        <v>1</v>
      </c>
      <c r="U224" s="29" t="str" cm="1">
        <f t="array" aca="1" ref="U224" ca="1">+fair_value_gap(OFFSET(T223,0,0,-1*$J$5,-1*$AA$1),OFFSET(E223,0,0,-1*$J$5,1),F224:T224,0)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4" s="9" t="str" cm="1">
        <f t="array" aca="1" ref="V224" ca="1">z_score_diff(OFFSET(U224,0,0,$J$5*-1,1),OFFSET(E224,0,0,$J$5*-1,1))</f>
        <v/>
      </c>
      <c r="W224" s="9" t="str">
        <f t="shared" ca="1" si="31"/>
        <v/>
      </c>
      <c r="X224" s="17">
        <f t="shared" ca="1" si="30"/>
        <v>-2.0145914412831173E-2</v>
      </c>
      <c r="Y224" s="13">
        <f t="shared" si="37"/>
        <v>0</v>
      </c>
      <c r="Z224" s="13">
        <f t="shared" si="37"/>
        <v>0</v>
      </c>
      <c r="AA224" t="str">
        <f t="shared" ca="1" si="32"/>
        <v/>
      </c>
      <c r="AB224" t="str">
        <f t="shared" ca="1" si="33"/>
        <v/>
      </c>
      <c r="AC224" s="24" t="str">
        <f t="shared" ca="1" si="34"/>
        <v/>
      </c>
      <c r="AD224" s="24" t="str">
        <f t="shared" ca="1" si="35"/>
        <v/>
      </c>
    </row>
    <row r="225" spans="3:30" x14ac:dyDescent="0.25">
      <c r="C225" s="6">
        <v>218</v>
      </c>
      <c r="D225" s="35">
        <v>42314</v>
      </c>
      <c r="E225" s="37">
        <v>17.347999999999999</v>
      </c>
      <c r="F225" s="37">
        <v>47.409976216196171</v>
      </c>
      <c r="G225" s="37">
        <v>34.159999999999997</v>
      </c>
      <c r="H225" s="37">
        <v>2.3477813373637533</v>
      </c>
      <c r="I225" s="37">
        <v>44.554065268692071</v>
      </c>
      <c r="J225" s="10">
        <v>0</v>
      </c>
      <c r="K225" s="38">
        <v>0</v>
      </c>
      <c r="L225" s="38">
        <v>0</v>
      </c>
      <c r="M225" s="38">
        <v>0</v>
      </c>
      <c r="N225" s="38">
        <v>0</v>
      </c>
      <c r="O225" s="38">
        <v>0</v>
      </c>
      <c r="P225" s="38">
        <v>0</v>
      </c>
      <c r="Q225" s="38">
        <v>0</v>
      </c>
      <c r="R225" s="38">
        <v>0</v>
      </c>
      <c r="S225" s="38">
        <v>0</v>
      </c>
      <c r="T225" s="38">
        <v>1</v>
      </c>
      <c r="U225" s="29" t="str" cm="1">
        <f t="array" aca="1" ref="U225" ca="1">+fair_value_gap(OFFSET(T224,0,0,-1*$J$5,-1*$AA$1),OFFSET(E224,0,0,-1*$J$5,1),F225:T225,0)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5" s="9" t="str" cm="1">
        <f t="array" aca="1" ref="V225" ca="1">z_score_diff(OFFSET(U225,0,0,$J$5*-1,1),OFFSET(E225,0,0,$J$5*-1,1))</f>
        <v/>
      </c>
      <c r="W225" s="9" t="str">
        <f t="shared" ca="1" si="31"/>
        <v/>
      </c>
      <c r="X225" s="17">
        <f t="shared" ca="1" si="30"/>
        <v>-1.9205618545754168E-2</v>
      </c>
      <c r="Y225" s="13">
        <f t="shared" si="37"/>
        <v>0</v>
      </c>
      <c r="Z225" s="13">
        <f t="shared" si="37"/>
        <v>0</v>
      </c>
      <c r="AA225" t="str">
        <f t="shared" ca="1" si="32"/>
        <v/>
      </c>
      <c r="AB225" t="str">
        <f t="shared" ca="1" si="33"/>
        <v/>
      </c>
      <c r="AC225" s="24" t="str">
        <f t="shared" ca="1" si="34"/>
        <v/>
      </c>
      <c r="AD225" s="24" t="str">
        <f t="shared" ca="1" si="35"/>
        <v/>
      </c>
    </row>
    <row r="226" spans="3:30" x14ac:dyDescent="0.25">
      <c r="C226" s="6">
        <v>219</v>
      </c>
      <c r="D226" s="35">
        <v>42317</v>
      </c>
      <c r="E226" s="37">
        <v>16.885999999999999</v>
      </c>
      <c r="F226" s="37">
        <v>47.143875369107008</v>
      </c>
      <c r="G226" s="37">
        <v>33.950000000000003</v>
      </c>
      <c r="H226" s="37">
        <v>2.2937860428950949</v>
      </c>
      <c r="I226" s="37">
        <v>43.876294767242733</v>
      </c>
      <c r="J226" s="10">
        <v>0</v>
      </c>
      <c r="K226" s="38">
        <v>0</v>
      </c>
      <c r="L226" s="38">
        <v>0</v>
      </c>
      <c r="M226" s="38">
        <v>0</v>
      </c>
      <c r="N226" s="38">
        <v>0</v>
      </c>
      <c r="O226" s="38">
        <v>0</v>
      </c>
      <c r="P226" s="38">
        <v>0</v>
      </c>
      <c r="Q226" s="38">
        <v>0</v>
      </c>
      <c r="R226" s="38">
        <v>0</v>
      </c>
      <c r="S226" s="38">
        <v>0</v>
      </c>
      <c r="T226" s="38">
        <v>1</v>
      </c>
      <c r="U226" s="29" t="str" cm="1">
        <f t="array" aca="1" ref="U226" ca="1">+fair_value_gap(OFFSET(T225,0,0,-1*$J$5,-1*$AA$1),OFFSET(E225,0,0,-1*$J$5,1),F226:T226,0)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6" s="9" t="str" cm="1">
        <f t="array" aca="1" ref="V226" ca="1">z_score_diff(OFFSET(U226,0,0,$J$5*-1,1),OFFSET(E226,0,0,$J$5*-1,1))</f>
        <v/>
      </c>
      <c r="W226" s="9" t="str">
        <f t="shared" ca="1" si="31"/>
        <v/>
      </c>
      <c r="X226" s="17">
        <f t="shared" ca="1" si="30"/>
        <v>-2.6706661218568233E-2</v>
      </c>
      <c r="Y226" s="13">
        <f t="shared" si="37"/>
        <v>0</v>
      </c>
      <c r="Z226" s="13">
        <f t="shared" si="37"/>
        <v>0</v>
      </c>
      <c r="AA226" t="str">
        <f t="shared" ca="1" si="32"/>
        <v/>
      </c>
      <c r="AB226" t="str">
        <f t="shared" ca="1" si="33"/>
        <v/>
      </c>
      <c r="AC226" s="24" t="str">
        <f t="shared" ca="1" si="34"/>
        <v/>
      </c>
      <c r="AD226" s="24" t="str">
        <f t="shared" ca="1" si="35"/>
        <v/>
      </c>
    </row>
    <row r="227" spans="3:30" x14ac:dyDescent="0.25">
      <c r="C227" s="6">
        <v>220</v>
      </c>
      <c r="D227" s="35">
        <v>42318</v>
      </c>
      <c r="E227" s="37">
        <v>16.756</v>
      </c>
      <c r="F227" s="37">
        <v>47.482842841355485</v>
      </c>
      <c r="G227" s="37">
        <v>33.89</v>
      </c>
      <c r="H227" s="37">
        <v>2.3393170568623991</v>
      </c>
      <c r="I227" s="37">
        <v>43.926040805713164</v>
      </c>
      <c r="J227" s="10">
        <v>0</v>
      </c>
      <c r="K227" s="38">
        <v>0</v>
      </c>
      <c r="L227" s="38">
        <v>0</v>
      </c>
      <c r="M227" s="38">
        <v>0</v>
      </c>
      <c r="N227" s="38">
        <v>0</v>
      </c>
      <c r="O227" s="38">
        <v>0</v>
      </c>
      <c r="P227" s="38">
        <v>0</v>
      </c>
      <c r="Q227" s="38">
        <v>0</v>
      </c>
      <c r="R227" s="38">
        <v>0</v>
      </c>
      <c r="S227" s="38">
        <v>0</v>
      </c>
      <c r="T227" s="38">
        <v>1</v>
      </c>
      <c r="U227" s="29" t="str" cm="1">
        <f t="array" aca="1" ref="U227" ca="1">+fair_value_gap(OFFSET(T226,0,0,-1*$J$5,-1*$AA$1),OFFSET(E226,0,0,-1*$J$5,1),F227:T227,0)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7" s="9" t="str" cm="1">
        <f t="array" aca="1" ref="V227" ca="1">z_score_diff(OFFSET(U227,0,0,$J$5*-1,1),OFFSET(E227,0,0,$J$5*-1,1))</f>
        <v/>
      </c>
      <c r="W227" s="9" t="str">
        <f t="shared" ca="1" si="31"/>
        <v/>
      </c>
      <c r="X227" s="17">
        <f t="shared" ca="1" si="30"/>
        <v>-1.8734923443768113E-2</v>
      </c>
      <c r="Y227" s="13">
        <f t="shared" si="37"/>
        <v>0</v>
      </c>
      <c r="Z227" s="13">
        <f t="shared" si="37"/>
        <v>0</v>
      </c>
      <c r="AA227" t="str">
        <f t="shared" ca="1" si="32"/>
        <v/>
      </c>
      <c r="AB227" t="str">
        <f t="shared" ca="1" si="33"/>
        <v/>
      </c>
      <c r="AC227" s="24" t="str">
        <f t="shared" ca="1" si="34"/>
        <v/>
      </c>
      <c r="AD227" s="24" t="str">
        <f t="shared" ca="1" si="35"/>
        <v/>
      </c>
    </row>
    <row r="228" spans="3:30" x14ac:dyDescent="0.25">
      <c r="C228" s="6">
        <v>221</v>
      </c>
      <c r="D228" s="35">
        <v>42319</v>
      </c>
      <c r="E228" s="37">
        <v>16.599</v>
      </c>
      <c r="F228" s="37">
        <v>46.027625845925648</v>
      </c>
      <c r="G228" s="37">
        <v>33.770000000000003</v>
      </c>
      <c r="H228" s="37">
        <v>2.3222397330119589</v>
      </c>
      <c r="I228" s="37">
        <v>43.663669231482345</v>
      </c>
      <c r="J228" s="10">
        <v>0</v>
      </c>
      <c r="K228" s="38">
        <v>0</v>
      </c>
      <c r="L228" s="38">
        <v>0</v>
      </c>
      <c r="M228" s="38">
        <v>0</v>
      </c>
      <c r="N228" s="38">
        <v>0</v>
      </c>
      <c r="O228" s="38">
        <v>0</v>
      </c>
      <c r="P228" s="38">
        <v>0</v>
      </c>
      <c r="Q228" s="38">
        <v>0</v>
      </c>
      <c r="R228" s="38">
        <v>0</v>
      </c>
      <c r="S228" s="38">
        <v>0</v>
      </c>
      <c r="T228" s="38">
        <v>1</v>
      </c>
      <c r="U228" s="29" t="str" cm="1">
        <f t="array" aca="1" ref="U228" ca="1">+fair_value_gap(OFFSET(T227,0,0,-1*$J$5,-1*$AA$1),OFFSET(E227,0,0,-1*$J$5,1),F228:T228,0)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8" s="9" t="str" cm="1">
        <f t="array" aca="1" ref="V228" ca="1">z_score_diff(OFFSET(U228,0,0,$J$5*-1,1),OFFSET(E228,0,0,$J$5*-1,1))</f>
        <v/>
      </c>
      <c r="W228" s="9" t="str">
        <f t="shared" ca="1" si="31"/>
        <v/>
      </c>
      <c r="X228" s="17">
        <f t="shared" ca="1" si="30"/>
        <v>-2.2296245255374512E-2</v>
      </c>
      <c r="Y228" s="13">
        <f t="shared" si="37"/>
        <v>0</v>
      </c>
      <c r="Z228" s="13">
        <f t="shared" si="37"/>
        <v>0</v>
      </c>
      <c r="AA228" t="str">
        <f t="shared" ca="1" si="32"/>
        <v/>
      </c>
      <c r="AB228" t="str">
        <f t="shared" ca="1" si="33"/>
        <v/>
      </c>
      <c r="AC228" s="24" t="str">
        <f t="shared" ca="1" si="34"/>
        <v/>
      </c>
      <c r="AD228" s="24" t="str">
        <f t="shared" ca="1" si="35"/>
        <v/>
      </c>
    </row>
    <row r="229" spans="3:30" x14ac:dyDescent="0.25">
      <c r="C229" s="6">
        <v>222</v>
      </c>
      <c r="D229" s="35">
        <v>42320</v>
      </c>
      <c r="E229" s="37">
        <v>16.547999999999998</v>
      </c>
      <c r="F229" s="37">
        <v>44.465466565318778</v>
      </c>
      <c r="G229" s="37">
        <v>33.15</v>
      </c>
      <c r="H229" s="37">
        <v>2.3125355438461521</v>
      </c>
      <c r="I229" s="37">
        <v>42.928684090896539</v>
      </c>
      <c r="J229" s="10">
        <v>0</v>
      </c>
      <c r="K229" s="38">
        <v>0</v>
      </c>
      <c r="L229" s="38">
        <v>0</v>
      </c>
      <c r="M229" s="38">
        <v>0</v>
      </c>
      <c r="N229" s="38">
        <v>0</v>
      </c>
      <c r="O229" s="38">
        <v>0</v>
      </c>
      <c r="P229" s="38">
        <v>0</v>
      </c>
      <c r="Q229" s="38">
        <v>0</v>
      </c>
      <c r="R229" s="38">
        <v>0</v>
      </c>
      <c r="S229" s="38">
        <v>0</v>
      </c>
      <c r="T229" s="38">
        <v>1</v>
      </c>
      <c r="U229" s="29" t="str" cm="1">
        <f t="array" aca="1" ref="U229" ca="1">+fair_value_gap(OFFSET(T228,0,0,-1*$J$5,-1*$AA$1),OFFSET(E228,0,0,-1*$J$5,1),F229:T229,0)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9" s="9" t="str" cm="1">
        <f t="array" aca="1" ref="V229" ca="1">z_score_diff(OFFSET(U229,0,0,$J$5*-1,1),OFFSET(E229,0,0,$J$5*-1,1))</f>
        <v/>
      </c>
      <c r="W229" s="9" t="str">
        <f t="shared" ca="1" si="31"/>
        <v/>
      </c>
      <c r="X229" s="17">
        <f t="shared" ca="1" si="30"/>
        <v>-2.1809716294549617E-2</v>
      </c>
      <c r="Y229" s="13">
        <f t="shared" si="37"/>
        <v>0</v>
      </c>
      <c r="Z229" s="13">
        <f t="shared" si="37"/>
        <v>0</v>
      </c>
      <c r="AA229" t="str">
        <f t="shared" ca="1" si="32"/>
        <v/>
      </c>
      <c r="AB229" t="str">
        <f t="shared" ca="1" si="33"/>
        <v/>
      </c>
      <c r="AC229" s="24" t="str">
        <f t="shared" ca="1" si="34"/>
        <v/>
      </c>
      <c r="AD229" s="24" t="str">
        <f t="shared" ca="1" si="35"/>
        <v/>
      </c>
    </row>
    <row r="230" spans="3:30" x14ac:dyDescent="0.25">
      <c r="C230" s="6">
        <v>223</v>
      </c>
      <c r="D230" s="35">
        <v>42321</v>
      </c>
      <c r="E230" s="37">
        <v>16.704999999999998</v>
      </c>
      <c r="F230" s="37">
        <v>44.123638788058372</v>
      </c>
      <c r="G230" s="37">
        <v>33.26</v>
      </c>
      <c r="H230" s="37">
        <v>2.370545966367879</v>
      </c>
      <c r="I230" s="37">
        <v>43.660641529002149</v>
      </c>
      <c r="J230" s="10">
        <v>0</v>
      </c>
      <c r="K230" s="38">
        <v>0</v>
      </c>
      <c r="L230" s="38">
        <v>0</v>
      </c>
      <c r="M230" s="38">
        <v>0</v>
      </c>
      <c r="N230" s="38">
        <v>0</v>
      </c>
      <c r="O230" s="38">
        <v>0</v>
      </c>
      <c r="P230" s="38">
        <v>0</v>
      </c>
      <c r="Q230" s="38">
        <v>0</v>
      </c>
      <c r="R230" s="38">
        <v>0</v>
      </c>
      <c r="S230" s="38">
        <v>0</v>
      </c>
      <c r="T230" s="38">
        <v>1</v>
      </c>
      <c r="U230" s="29" t="str" cm="1">
        <f t="array" aca="1" ref="U230" ca="1">+fair_value_gap(OFFSET(T229,0,0,-1*$J$5,-1*$AA$1),OFFSET(E229,0,0,-1*$J$5,1),F230:T230,0)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0" s="9" t="str" cm="1">
        <f t="array" aca="1" ref="V230" ca="1">z_score_diff(OFFSET(U230,0,0,$J$5*-1,1),OFFSET(E230,0,0,$J$5*-1,1))</f>
        <v/>
      </c>
      <c r="W230" s="9" t="str">
        <f t="shared" ca="1" si="31"/>
        <v/>
      </c>
      <c r="X230" s="17">
        <f t="shared" ca="1" si="30"/>
        <v>-4.3181855522144846E-2</v>
      </c>
      <c r="Y230" s="13">
        <f t="shared" si="37"/>
        <v>0</v>
      </c>
      <c r="Z230" s="13">
        <f t="shared" si="37"/>
        <v>0</v>
      </c>
      <c r="AA230" t="str">
        <f t="shared" ca="1" si="32"/>
        <v/>
      </c>
      <c r="AB230" t="str">
        <f t="shared" ca="1" si="33"/>
        <v/>
      </c>
      <c r="AC230" s="24" t="str">
        <f t="shared" ca="1" si="34"/>
        <v/>
      </c>
      <c r="AD230" s="24" t="str">
        <f t="shared" ca="1" si="35"/>
        <v/>
      </c>
    </row>
    <row r="231" spans="3:30" x14ac:dyDescent="0.25">
      <c r="C231" s="6">
        <v>224</v>
      </c>
      <c r="D231" s="35">
        <v>42324</v>
      </c>
      <c r="E231" s="37">
        <v>16.995000000000001</v>
      </c>
      <c r="F231" s="37">
        <v>45.373969630832313</v>
      </c>
      <c r="G231" s="37">
        <v>33.65</v>
      </c>
      <c r="H231" s="37">
        <v>2.405165050026874</v>
      </c>
      <c r="I231" s="37">
        <v>43.967385887400646</v>
      </c>
      <c r="J231" s="10">
        <v>0</v>
      </c>
      <c r="K231" s="38">
        <v>0</v>
      </c>
      <c r="L231" s="38">
        <v>0</v>
      </c>
      <c r="M231" s="38">
        <v>0</v>
      </c>
      <c r="N231" s="38">
        <v>0</v>
      </c>
      <c r="O231" s="38">
        <v>0</v>
      </c>
      <c r="P231" s="38">
        <v>0</v>
      </c>
      <c r="Q231" s="38">
        <v>0</v>
      </c>
      <c r="R231" s="38">
        <v>0</v>
      </c>
      <c r="S231" s="38">
        <v>0</v>
      </c>
      <c r="T231" s="38">
        <v>1</v>
      </c>
      <c r="U231" s="29" t="str" cm="1">
        <f t="array" aca="1" ref="U231" ca="1">+fair_value_gap(OFFSET(T230,0,0,-1*$J$5,-1*$AA$1),OFFSET(E230,0,0,-1*$J$5,1),F231:T231,0)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1" s="9" t="str" cm="1">
        <f t="array" aca="1" ref="V231" ca="1">z_score_diff(OFFSET(U231,0,0,$J$5*-1,1),OFFSET(E231,0,0,$J$5*-1,1))</f>
        <v/>
      </c>
      <c r="W231" s="9" t="str">
        <f t="shared" ca="1" si="31"/>
        <v/>
      </c>
      <c r="X231" s="17">
        <f t="shared" ca="1" si="30"/>
        <v>-8.5199651587662933E-2</v>
      </c>
      <c r="Y231" s="13">
        <f t="shared" si="37"/>
        <v>0</v>
      </c>
      <c r="Z231" s="13">
        <f t="shared" si="37"/>
        <v>0</v>
      </c>
      <c r="AA231" t="str">
        <f t="shared" ca="1" si="32"/>
        <v/>
      </c>
      <c r="AB231" t="str">
        <f t="shared" ca="1" si="33"/>
        <v/>
      </c>
      <c r="AC231" s="24" t="str">
        <f t="shared" ca="1" si="34"/>
        <v/>
      </c>
      <c r="AD231" s="24" t="str">
        <f t="shared" ca="1" si="35"/>
        <v/>
      </c>
    </row>
    <row r="232" spans="3:30" x14ac:dyDescent="0.25">
      <c r="C232" s="6">
        <v>225</v>
      </c>
      <c r="D232" s="35">
        <v>42325</v>
      </c>
      <c r="E232" s="37">
        <v>17.513999999999999</v>
      </c>
      <c r="F232" s="37">
        <v>44.543304900044042</v>
      </c>
      <c r="G232" s="37">
        <v>33.4</v>
      </c>
      <c r="H232" s="37">
        <v>2.4076198597315996</v>
      </c>
      <c r="I232" s="37">
        <v>44.833154281215613</v>
      </c>
      <c r="J232" s="10">
        <v>0</v>
      </c>
      <c r="K232" s="38">
        <v>0</v>
      </c>
      <c r="L232" s="38">
        <v>0</v>
      </c>
      <c r="M232" s="38">
        <v>0</v>
      </c>
      <c r="N232" s="38">
        <v>0</v>
      </c>
      <c r="O232" s="38">
        <v>0</v>
      </c>
      <c r="P232" s="38">
        <v>0</v>
      </c>
      <c r="Q232" s="38">
        <v>0</v>
      </c>
      <c r="R232" s="38">
        <v>0</v>
      </c>
      <c r="S232" s="38">
        <v>0</v>
      </c>
      <c r="T232" s="38">
        <v>1</v>
      </c>
      <c r="U232" s="29" t="str" cm="1">
        <f t="array" aca="1" ref="U232" ca="1">+fair_value_gap(OFFSET(T231,0,0,-1*$J$5,-1*$AA$1),OFFSET(E231,0,0,-1*$J$5,1),F232:T232,0)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2" s="9" t="str" cm="1">
        <f t="array" aca="1" ref="V232" ca="1">z_score_diff(OFFSET(U232,0,0,$J$5*-1,1),OFFSET(E232,0,0,$J$5*-1,1))</f>
        <v/>
      </c>
      <c r="W232" s="9" t="str">
        <f t="shared" ca="1" si="31"/>
        <v/>
      </c>
      <c r="X232" s="17">
        <f t="shared" ca="1" si="30"/>
        <v>-0.10210493745129742</v>
      </c>
      <c r="Y232" s="13">
        <f t="shared" si="37"/>
        <v>0</v>
      </c>
      <c r="Z232" s="13">
        <f t="shared" si="37"/>
        <v>0</v>
      </c>
      <c r="AA232" t="str">
        <f t="shared" ca="1" si="32"/>
        <v/>
      </c>
      <c r="AB232" t="str">
        <f t="shared" ca="1" si="33"/>
        <v/>
      </c>
      <c r="AC232" s="24" t="str">
        <f t="shared" ca="1" si="34"/>
        <v/>
      </c>
      <c r="AD232" s="24" t="str">
        <f t="shared" ca="1" si="35"/>
        <v/>
      </c>
    </row>
    <row r="233" spans="3:30" x14ac:dyDescent="0.25">
      <c r="C233" s="6">
        <v>226</v>
      </c>
      <c r="D233" s="35">
        <v>42326</v>
      </c>
      <c r="E233" s="37">
        <v>17.193999999999999</v>
      </c>
      <c r="F233" s="37">
        <v>45.003928617808548</v>
      </c>
      <c r="G233" s="37">
        <v>32.909999999999997</v>
      </c>
      <c r="H233" s="37">
        <v>2.3693162336467197</v>
      </c>
      <c r="I233" s="37">
        <v>45.031956806692385</v>
      </c>
      <c r="J233" s="10">
        <v>0</v>
      </c>
      <c r="K233" s="38">
        <v>0</v>
      </c>
      <c r="L233" s="38">
        <v>0</v>
      </c>
      <c r="M233" s="38">
        <v>0</v>
      </c>
      <c r="N233" s="38">
        <v>0</v>
      </c>
      <c r="O233" s="38">
        <v>0</v>
      </c>
      <c r="P233" s="38">
        <v>0</v>
      </c>
      <c r="Q233" s="38">
        <v>0</v>
      </c>
      <c r="R233" s="38">
        <v>0</v>
      </c>
      <c r="S233" s="38">
        <v>0</v>
      </c>
      <c r="T233" s="38">
        <v>1</v>
      </c>
      <c r="U233" s="29" t="str" cm="1">
        <f t="array" aca="1" ref="U233" ca="1">+fair_value_gap(OFFSET(T232,0,0,-1*$J$5,-1*$AA$1),OFFSET(E232,0,0,-1*$J$5,1),F233:T233,0)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3" s="9" t="str" cm="1">
        <f t="array" aca="1" ref="V233" ca="1">z_score_diff(OFFSET(U233,0,0,$J$5*-1,1),OFFSET(E233,0,0,$J$5*-1,1))</f>
        <v/>
      </c>
      <c r="W233" s="9" t="str">
        <f t="shared" ca="1" si="31"/>
        <v/>
      </c>
      <c r="X233" s="17">
        <f t="shared" ca="1" si="30"/>
        <v>-0.10792282779812969</v>
      </c>
      <c r="Y233" s="13">
        <f t="shared" ref="Y233:Z248" si="38">+Y232</f>
        <v>0</v>
      </c>
      <c r="Z233" s="13">
        <f t="shared" si="38"/>
        <v>0</v>
      </c>
      <c r="AA233" t="str">
        <f t="shared" ca="1" si="32"/>
        <v/>
      </c>
      <c r="AB233" t="str">
        <f t="shared" ca="1" si="33"/>
        <v/>
      </c>
      <c r="AC233" s="24" t="str">
        <f t="shared" ca="1" si="34"/>
        <v/>
      </c>
      <c r="AD233" s="24" t="str">
        <f t="shared" ca="1" si="35"/>
        <v/>
      </c>
    </row>
    <row r="234" spans="3:30" x14ac:dyDescent="0.25">
      <c r="C234" s="6">
        <v>227</v>
      </c>
      <c r="D234" s="35">
        <v>42327</v>
      </c>
      <c r="E234" s="37">
        <v>17.263000000000002</v>
      </c>
      <c r="F234" s="37">
        <v>44.633957967680715</v>
      </c>
      <c r="G234" s="37">
        <v>32.950000000000003</v>
      </c>
      <c r="H234" s="37">
        <v>2.2975269597821524</v>
      </c>
      <c r="I234" s="37">
        <v>44.921380630123195</v>
      </c>
      <c r="J234" s="10">
        <v>0</v>
      </c>
      <c r="K234" s="38">
        <v>0</v>
      </c>
      <c r="L234" s="38">
        <v>0</v>
      </c>
      <c r="M234" s="38">
        <v>0</v>
      </c>
      <c r="N234" s="38">
        <v>0</v>
      </c>
      <c r="O234" s="38">
        <v>0</v>
      </c>
      <c r="P234" s="38">
        <v>0</v>
      </c>
      <c r="Q234" s="38">
        <v>0</v>
      </c>
      <c r="R234" s="38">
        <v>0</v>
      </c>
      <c r="S234" s="38">
        <v>0</v>
      </c>
      <c r="T234" s="38">
        <v>1</v>
      </c>
      <c r="U234" s="29" t="str" cm="1">
        <f t="array" aca="1" ref="U234" ca="1">+fair_value_gap(OFFSET(T233,0,0,-1*$J$5,-1*$AA$1),OFFSET(E233,0,0,-1*$J$5,1),F234:T234,0)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4" s="9" t="str" cm="1">
        <f t="array" aca="1" ref="V234" ca="1">z_score_diff(OFFSET(U234,0,0,$J$5*-1,1),OFFSET(E234,0,0,$J$5*-1,1))</f>
        <v/>
      </c>
      <c r="W234" s="9" t="str">
        <f t="shared" ca="1" si="31"/>
        <v/>
      </c>
      <c r="X234" s="17">
        <f t="shared" ca="1" si="30"/>
        <v>-0.11153917349568475</v>
      </c>
      <c r="Y234" s="13">
        <f t="shared" si="38"/>
        <v>0</v>
      </c>
      <c r="Z234" s="13">
        <f t="shared" si="38"/>
        <v>0</v>
      </c>
      <c r="AA234" t="str">
        <f t="shared" ca="1" si="32"/>
        <v/>
      </c>
      <c r="AB234" t="str">
        <f t="shared" ca="1" si="33"/>
        <v/>
      </c>
      <c r="AC234" s="24" t="str">
        <f t="shared" ca="1" si="34"/>
        <v/>
      </c>
      <c r="AD234" s="24" t="str">
        <f t="shared" ca="1" si="35"/>
        <v/>
      </c>
    </row>
    <row r="235" spans="3:30" x14ac:dyDescent="0.25">
      <c r="C235" s="6">
        <v>228</v>
      </c>
      <c r="D235" s="35">
        <v>42328</v>
      </c>
      <c r="E235" s="37">
        <v>17.11</v>
      </c>
      <c r="F235" s="37">
        <v>45.272603342991864</v>
      </c>
      <c r="G235" s="37">
        <v>32.950000000000003</v>
      </c>
      <c r="H235" s="37">
        <v>2.2327752330248773</v>
      </c>
      <c r="I235" s="37">
        <v>44.692904580648722</v>
      </c>
      <c r="J235" s="10">
        <v>0</v>
      </c>
      <c r="K235" s="38">
        <v>0</v>
      </c>
      <c r="L235" s="38">
        <v>0</v>
      </c>
      <c r="M235" s="38">
        <v>0</v>
      </c>
      <c r="N235" s="38">
        <v>0</v>
      </c>
      <c r="O235" s="38">
        <v>0</v>
      </c>
      <c r="P235" s="38">
        <v>0</v>
      </c>
      <c r="Q235" s="38">
        <v>0</v>
      </c>
      <c r="R235" s="38">
        <v>0</v>
      </c>
      <c r="S235" s="38">
        <v>0</v>
      </c>
      <c r="T235" s="38">
        <v>1</v>
      </c>
      <c r="U235" s="29" t="str" cm="1">
        <f t="array" aca="1" ref="U235" ca="1">+fair_value_gap(OFFSET(T234,0,0,-1*$J$5,-1*$AA$1),OFFSET(E234,0,0,-1*$J$5,1),F235:T235,0)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5" s="9" t="str" cm="1">
        <f t="array" aca="1" ref="V235" ca="1">z_score_diff(OFFSET(U235,0,0,$J$5*-1,1),OFFSET(E235,0,0,$J$5*-1,1))</f>
        <v/>
      </c>
      <c r="W235" s="9" t="str">
        <f t="shared" ca="1" si="31"/>
        <v/>
      </c>
      <c r="X235" s="17">
        <f t="shared" ca="1" si="30"/>
        <v>-0.11678995791025373</v>
      </c>
      <c r="Y235" s="13">
        <f t="shared" si="38"/>
        <v>0</v>
      </c>
      <c r="Z235" s="13">
        <f t="shared" si="38"/>
        <v>0</v>
      </c>
      <c r="AA235" t="str">
        <f t="shared" ca="1" si="32"/>
        <v/>
      </c>
      <c r="AB235" t="str">
        <f t="shared" ca="1" si="33"/>
        <v/>
      </c>
      <c r="AC235" s="24" t="str">
        <f t="shared" ca="1" si="34"/>
        <v/>
      </c>
      <c r="AD235" s="24" t="str">
        <f t="shared" ca="1" si="35"/>
        <v/>
      </c>
    </row>
    <row r="236" spans="3:30" x14ac:dyDescent="0.25">
      <c r="C236" s="6">
        <v>229</v>
      </c>
      <c r="D236" s="35">
        <v>42331</v>
      </c>
      <c r="E236" s="37">
        <v>17.082000000000001</v>
      </c>
      <c r="F236" s="37">
        <v>45.538576743968363</v>
      </c>
      <c r="G236" s="37">
        <v>32.799999999999997</v>
      </c>
      <c r="H236" s="37">
        <v>2.2867573069992746</v>
      </c>
      <c r="I236" s="37">
        <v>44.46212528958884</v>
      </c>
      <c r="J236" s="10">
        <v>0</v>
      </c>
      <c r="K236" s="38">
        <v>0</v>
      </c>
      <c r="L236" s="38">
        <v>0</v>
      </c>
      <c r="M236" s="38">
        <v>0</v>
      </c>
      <c r="N236" s="38">
        <v>0</v>
      </c>
      <c r="O236" s="38">
        <v>0</v>
      </c>
      <c r="P236" s="38">
        <v>0</v>
      </c>
      <c r="Q236" s="38">
        <v>0</v>
      </c>
      <c r="R236" s="38">
        <v>0</v>
      </c>
      <c r="S236" s="38">
        <v>0</v>
      </c>
      <c r="T236" s="38">
        <v>1</v>
      </c>
      <c r="U236" s="29" t="str" cm="1">
        <f t="array" aca="1" ref="U236" ca="1">+fair_value_gap(OFFSET(T235,0,0,-1*$J$5,-1*$AA$1),OFFSET(E235,0,0,-1*$J$5,1),F236:T236,0)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6" s="9" t="str" cm="1">
        <f t="array" aca="1" ref="V236" ca="1">z_score_diff(OFFSET(U236,0,0,$J$5*-1,1),OFFSET(E236,0,0,$J$5*-1,1))</f>
        <v/>
      </c>
      <c r="W236" s="9" t="str">
        <f t="shared" ca="1" si="31"/>
        <v/>
      </c>
      <c r="X236" s="17">
        <f t="shared" ca="1" si="30"/>
        <v>-0.13532268274834081</v>
      </c>
      <c r="Y236" s="13">
        <f t="shared" si="38"/>
        <v>0</v>
      </c>
      <c r="Z236" s="13">
        <f t="shared" si="38"/>
        <v>0</v>
      </c>
      <c r="AA236" t="str">
        <f t="shared" ca="1" si="32"/>
        <v/>
      </c>
      <c r="AB236" t="str">
        <f t="shared" ca="1" si="33"/>
        <v/>
      </c>
      <c r="AC236" s="24" t="str">
        <f t="shared" ca="1" si="34"/>
        <v/>
      </c>
      <c r="AD236" s="24" t="str">
        <f t="shared" ca="1" si="35"/>
        <v/>
      </c>
    </row>
    <row r="237" spans="3:30" x14ac:dyDescent="0.25">
      <c r="C237" s="6">
        <v>230</v>
      </c>
      <c r="D237" s="35">
        <v>42332</v>
      </c>
      <c r="E237" s="37">
        <v>17.288</v>
      </c>
      <c r="F237" s="37">
        <v>46.741766225756564</v>
      </c>
      <c r="G237" s="37">
        <v>33.08</v>
      </c>
      <c r="H237" s="37">
        <v>2.277282772734281</v>
      </c>
      <c r="I237" s="37">
        <v>44.620538530185442</v>
      </c>
      <c r="J237" s="10">
        <v>0</v>
      </c>
      <c r="K237" s="38">
        <v>0</v>
      </c>
      <c r="L237" s="38">
        <v>0</v>
      </c>
      <c r="M237" s="38">
        <v>0</v>
      </c>
      <c r="N237" s="38">
        <v>0</v>
      </c>
      <c r="O237" s="38">
        <v>0</v>
      </c>
      <c r="P237" s="38">
        <v>0</v>
      </c>
      <c r="Q237" s="38">
        <v>0</v>
      </c>
      <c r="R237" s="38">
        <v>0</v>
      </c>
      <c r="S237" s="38">
        <v>0</v>
      </c>
      <c r="T237" s="38">
        <v>1</v>
      </c>
      <c r="U237" s="29" t="str" cm="1">
        <f t="array" aca="1" ref="U237" ca="1">+fair_value_gap(OFFSET(T236,0,0,-1*$J$5,-1*$AA$1),OFFSET(E236,0,0,-1*$J$5,1),F237:T237,0)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7" s="9" t="str" cm="1">
        <f t="array" aca="1" ref="V237" ca="1">z_score_diff(OFFSET(U237,0,0,$J$5*-1,1),OFFSET(E237,0,0,$J$5*-1,1))</f>
        <v/>
      </c>
      <c r="W237" s="9" t="str">
        <f t="shared" ca="1" si="31"/>
        <v/>
      </c>
      <c r="X237" s="17">
        <f t="shared" ca="1" si="30"/>
        <v>-0.15006179635902461</v>
      </c>
      <c r="Y237" s="13">
        <f t="shared" si="38"/>
        <v>0</v>
      </c>
      <c r="Z237" s="13">
        <f t="shared" si="38"/>
        <v>0</v>
      </c>
      <c r="AA237" t="str">
        <f t="shared" ca="1" si="32"/>
        <v/>
      </c>
      <c r="AB237" t="str">
        <f t="shared" ca="1" si="33"/>
        <v/>
      </c>
      <c r="AC237" s="24" t="str">
        <f t="shared" ca="1" si="34"/>
        <v/>
      </c>
      <c r="AD237" s="24" t="str">
        <f t="shared" ca="1" si="35"/>
        <v/>
      </c>
    </row>
    <row r="238" spans="3:30" x14ac:dyDescent="0.25">
      <c r="C238" s="6">
        <v>231</v>
      </c>
      <c r="D238" s="35">
        <v>42333</v>
      </c>
      <c r="E238" s="37">
        <v>17.495999999999999</v>
      </c>
      <c r="F238" s="37">
        <v>46.792051252987157</v>
      </c>
      <c r="G238" s="37">
        <v>32.979999999999997</v>
      </c>
      <c r="H238" s="37">
        <v>2.2688758385332313</v>
      </c>
      <c r="I238" s="37">
        <v>44.731140086689422</v>
      </c>
      <c r="J238" s="10">
        <v>0</v>
      </c>
      <c r="K238" s="38">
        <v>0</v>
      </c>
      <c r="L238" s="38">
        <v>0</v>
      </c>
      <c r="M238" s="38">
        <v>0</v>
      </c>
      <c r="N238" s="38">
        <v>0</v>
      </c>
      <c r="O238" s="38">
        <v>0</v>
      </c>
      <c r="P238" s="38">
        <v>0</v>
      </c>
      <c r="Q238" s="38">
        <v>0</v>
      </c>
      <c r="R238" s="38">
        <v>0</v>
      </c>
      <c r="S238" s="38">
        <v>0</v>
      </c>
      <c r="T238" s="38">
        <v>1</v>
      </c>
      <c r="U238" s="29" t="str" cm="1">
        <f t="array" aca="1" ref="U238" ca="1">+fair_value_gap(OFFSET(T237,0,0,-1*$J$5,-1*$AA$1),OFFSET(E237,0,0,-1*$J$5,1),F238:T238,0)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8" s="9" t="str" cm="1">
        <f t="array" aca="1" ref="V238" ca="1">z_score_diff(OFFSET(U238,0,0,$J$5*-1,1),OFFSET(E238,0,0,$J$5*-1,1))</f>
        <v/>
      </c>
      <c r="W238" s="9" t="str">
        <f t="shared" ca="1" si="31"/>
        <v/>
      </c>
      <c r="X238" s="17">
        <f t="shared" ca="1" si="30"/>
        <v>-0.18026605761185863</v>
      </c>
      <c r="Y238" s="13">
        <f t="shared" si="38"/>
        <v>0</v>
      </c>
      <c r="Z238" s="13">
        <f t="shared" si="38"/>
        <v>0</v>
      </c>
      <c r="AA238" t="str">
        <f t="shared" ca="1" si="32"/>
        <v/>
      </c>
      <c r="AB238" t="str">
        <f t="shared" ca="1" si="33"/>
        <v/>
      </c>
      <c r="AC238" s="24" t="str">
        <f t="shared" ca="1" si="34"/>
        <v/>
      </c>
      <c r="AD238" s="24" t="str">
        <f t="shared" ca="1" si="35"/>
        <v/>
      </c>
    </row>
    <row r="239" spans="3:30" x14ac:dyDescent="0.25">
      <c r="C239" s="6">
        <v>232</v>
      </c>
      <c r="D239" s="35">
        <v>42334</v>
      </c>
      <c r="E239" s="37">
        <v>17.507999999999999</v>
      </c>
      <c r="F239" s="37">
        <v>46.151163575548033</v>
      </c>
      <c r="G239" s="37">
        <v>33.130000000000003</v>
      </c>
      <c r="H239" s="37">
        <v>2.2705285025386419</v>
      </c>
      <c r="I239" s="37">
        <v>44.857468557586301</v>
      </c>
      <c r="J239" s="10">
        <v>0</v>
      </c>
      <c r="K239" s="38">
        <v>0</v>
      </c>
      <c r="L239" s="38">
        <v>0</v>
      </c>
      <c r="M239" s="38">
        <v>0</v>
      </c>
      <c r="N239" s="38">
        <v>0</v>
      </c>
      <c r="O239" s="38">
        <v>0</v>
      </c>
      <c r="P239" s="38">
        <v>0</v>
      </c>
      <c r="Q239" s="38">
        <v>0</v>
      </c>
      <c r="R239" s="38">
        <v>0</v>
      </c>
      <c r="S239" s="38">
        <v>0</v>
      </c>
      <c r="T239" s="38">
        <v>1</v>
      </c>
      <c r="U239" s="29" t="str" cm="1">
        <f t="array" aca="1" ref="U239" ca="1">+fair_value_gap(OFFSET(T238,0,0,-1*$J$5,-1*$AA$1),OFFSET(E238,0,0,-1*$J$5,1),F239:T239,0)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9" s="9" t="str" cm="1">
        <f t="array" aca="1" ref="V239" ca="1">z_score_diff(OFFSET(U239,0,0,$J$5*-1,1),OFFSET(E239,0,0,$J$5*-1,1))</f>
        <v/>
      </c>
      <c r="W239" s="9" t="str">
        <f t="shared" ca="1" si="31"/>
        <v/>
      </c>
      <c r="X239" s="17">
        <f t="shared" ca="1" si="30"/>
        <v>-0.1914791930023434</v>
      </c>
      <c r="Y239" s="13">
        <f t="shared" si="38"/>
        <v>0</v>
      </c>
      <c r="Z239" s="13">
        <f t="shared" si="38"/>
        <v>0</v>
      </c>
      <c r="AA239" t="str">
        <f t="shared" ca="1" si="32"/>
        <v/>
      </c>
      <c r="AB239" t="str">
        <f t="shared" ca="1" si="33"/>
        <v/>
      </c>
      <c r="AC239" s="24" t="str">
        <f t="shared" ca="1" si="34"/>
        <v/>
      </c>
      <c r="AD239" s="24" t="str">
        <f t="shared" ca="1" si="35"/>
        <v/>
      </c>
    </row>
    <row r="240" spans="3:30" x14ac:dyDescent="0.25">
      <c r="C240" s="6">
        <v>233</v>
      </c>
      <c r="D240" s="35">
        <v>42335</v>
      </c>
      <c r="E240" s="37">
        <v>17.452000000000002</v>
      </c>
      <c r="F240" s="37">
        <v>45.493590435643846</v>
      </c>
      <c r="G240" s="37">
        <v>32.79</v>
      </c>
      <c r="H240" s="37">
        <v>2.2662304439051639</v>
      </c>
      <c r="I240" s="37">
        <v>45.061748677484616</v>
      </c>
      <c r="J240" s="10">
        <v>0</v>
      </c>
      <c r="K240" s="38">
        <v>0</v>
      </c>
      <c r="L240" s="38">
        <v>0</v>
      </c>
      <c r="M240" s="38">
        <v>0</v>
      </c>
      <c r="N240" s="38">
        <v>0</v>
      </c>
      <c r="O240" s="38">
        <v>0</v>
      </c>
      <c r="P240" s="38">
        <v>0</v>
      </c>
      <c r="Q240" s="38">
        <v>0</v>
      </c>
      <c r="R240" s="38">
        <v>0</v>
      </c>
      <c r="S240" s="38">
        <v>0</v>
      </c>
      <c r="T240" s="38">
        <v>1</v>
      </c>
      <c r="U240" s="29" t="str" cm="1">
        <f t="array" aca="1" ref="U240" ca="1">+fair_value_gap(OFFSET(T239,0,0,-1*$J$5,-1*$AA$1),OFFSET(E239,0,0,-1*$J$5,1),F240:T240,0)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0" s="9" t="str" cm="1">
        <f t="array" aca="1" ref="V240" ca="1">z_score_diff(OFFSET(U240,0,0,$J$5*-1,1),OFFSET(E240,0,0,$J$5*-1,1))</f>
        <v/>
      </c>
      <c r="W240" s="9" t="str">
        <f t="shared" ca="1" si="31"/>
        <v/>
      </c>
      <c r="X240" s="17">
        <f t="shared" ca="1" si="30"/>
        <v>-0.16313931037757418</v>
      </c>
      <c r="Y240" s="13">
        <f t="shared" si="38"/>
        <v>0</v>
      </c>
      <c r="Z240" s="13">
        <f t="shared" si="38"/>
        <v>0</v>
      </c>
      <c r="AA240" t="str">
        <f t="shared" ca="1" si="32"/>
        <v/>
      </c>
      <c r="AB240" t="str">
        <f t="shared" ca="1" si="33"/>
        <v/>
      </c>
      <c r="AC240" s="24" t="str">
        <f t="shared" ca="1" si="34"/>
        <v/>
      </c>
      <c r="AD240" s="24" t="str">
        <f t="shared" ca="1" si="35"/>
        <v/>
      </c>
    </row>
    <row r="241" spans="3:30" x14ac:dyDescent="0.25">
      <c r="C241" s="6">
        <v>234</v>
      </c>
      <c r="D241" s="35">
        <v>42338</v>
      </c>
      <c r="E241" s="37">
        <v>17.565000000000001</v>
      </c>
      <c r="F241" s="37">
        <v>45.206237576049631</v>
      </c>
      <c r="G241" s="37">
        <v>35.020000000000003</v>
      </c>
      <c r="H241" s="37">
        <v>2.2937247756159262</v>
      </c>
      <c r="I241" s="37">
        <v>45.178001325221366</v>
      </c>
      <c r="J241" s="10">
        <v>0</v>
      </c>
      <c r="K241" s="38">
        <v>0</v>
      </c>
      <c r="L241" s="38">
        <v>0</v>
      </c>
      <c r="M241" s="38">
        <v>0</v>
      </c>
      <c r="N241" s="38">
        <v>0</v>
      </c>
      <c r="O241" s="38">
        <v>0</v>
      </c>
      <c r="P241" s="38">
        <v>0</v>
      </c>
      <c r="Q241" s="38">
        <v>0</v>
      </c>
      <c r="R241" s="38">
        <v>0</v>
      </c>
      <c r="S241" s="38">
        <v>0</v>
      </c>
      <c r="T241" s="38">
        <v>1</v>
      </c>
      <c r="U241" s="29" t="str" cm="1">
        <f t="array" aca="1" ref="U241" ca="1">+fair_value_gap(OFFSET(T240,0,0,-1*$J$5,-1*$AA$1),OFFSET(E240,0,0,-1*$J$5,1),F241:T241,0)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1" s="9" t="str" cm="1">
        <f t="array" aca="1" ref="V241" ca="1">z_score_diff(OFFSET(U241,0,0,$J$5*-1,1),OFFSET(E241,0,0,$J$5*-1,1))</f>
        <v/>
      </c>
      <c r="W241" s="9" t="str">
        <f t="shared" ca="1" si="31"/>
        <v/>
      </c>
      <c r="X241" s="17">
        <f t="shared" ca="1" si="30"/>
        <v>-0.14270678084823665</v>
      </c>
      <c r="Y241" s="13">
        <f t="shared" si="38"/>
        <v>0</v>
      </c>
      <c r="Z241" s="13">
        <f t="shared" si="38"/>
        <v>0</v>
      </c>
      <c r="AA241" t="str">
        <f t="shared" ca="1" si="32"/>
        <v/>
      </c>
      <c r="AB241" t="str">
        <f t="shared" ca="1" si="33"/>
        <v/>
      </c>
      <c r="AC241" s="24" t="str">
        <f t="shared" ca="1" si="34"/>
        <v/>
      </c>
      <c r="AD241" s="24" t="str">
        <f t="shared" ca="1" si="35"/>
        <v/>
      </c>
    </row>
    <row r="242" spans="3:30" x14ac:dyDescent="0.25">
      <c r="C242" s="6">
        <v>235</v>
      </c>
      <c r="D242" s="35">
        <v>42339</v>
      </c>
      <c r="E242" s="37">
        <v>17.748999999999999</v>
      </c>
      <c r="F242" s="37">
        <v>44.738983621584708</v>
      </c>
      <c r="G242" s="37">
        <v>35.03</v>
      </c>
      <c r="H242" s="37">
        <v>2.2869917406392348</v>
      </c>
      <c r="I242" s="37">
        <v>44.43030988971929</v>
      </c>
      <c r="J242" s="10">
        <v>0</v>
      </c>
      <c r="K242" s="38">
        <v>0</v>
      </c>
      <c r="L242" s="38">
        <v>0</v>
      </c>
      <c r="M242" s="38">
        <v>0</v>
      </c>
      <c r="N242" s="38">
        <v>0</v>
      </c>
      <c r="O242" s="38">
        <v>0</v>
      </c>
      <c r="P242" s="38">
        <v>0</v>
      </c>
      <c r="Q242" s="38">
        <v>0</v>
      </c>
      <c r="R242" s="38">
        <v>0</v>
      </c>
      <c r="S242" s="38">
        <v>0</v>
      </c>
      <c r="T242" s="38">
        <v>0</v>
      </c>
      <c r="U242" s="29" t="str" cm="1">
        <f t="array" aca="1" ref="U242" ca="1">+fair_value_gap(OFFSET(T241,0,0,-1*$J$5,-1*$AA$1),OFFSET(E241,0,0,-1*$J$5,1),F242:T242,0)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2" s="9" t="str" cm="1">
        <f t="array" aca="1" ref="V242" ca="1">z_score_diff(OFFSET(U242,0,0,$J$5*-1,1),OFFSET(E242,0,0,$J$5*-1,1))</f>
        <v/>
      </c>
      <c r="W242" s="9" t="str">
        <f t="shared" ca="1" si="31"/>
        <v/>
      </c>
      <c r="X242" s="17">
        <f t="shared" ca="1" si="30"/>
        <v>-0.174229980697439</v>
      </c>
      <c r="Y242" s="13">
        <f t="shared" si="38"/>
        <v>0</v>
      </c>
      <c r="Z242" s="13">
        <f t="shared" si="38"/>
        <v>0</v>
      </c>
      <c r="AA242" t="str">
        <f t="shared" ca="1" si="32"/>
        <v/>
      </c>
      <c r="AB242" t="str">
        <f t="shared" ca="1" si="33"/>
        <v/>
      </c>
      <c r="AC242" s="24" t="str">
        <f t="shared" ca="1" si="34"/>
        <v/>
      </c>
      <c r="AD242" s="24" t="str">
        <f t="shared" ca="1" si="35"/>
        <v/>
      </c>
    </row>
    <row r="243" spans="3:30" x14ac:dyDescent="0.25">
      <c r="C243" s="6">
        <v>236</v>
      </c>
      <c r="D243" s="35">
        <v>42340</v>
      </c>
      <c r="E243" s="37">
        <v>17.364999999999998</v>
      </c>
      <c r="F243" s="37">
        <v>43.354821783291484</v>
      </c>
      <c r="G243" s="37">
        <v>34.44</v>
      </c>
      <c r="H243" s="37">
        <v>2.2478542783254003</v>
      </c>
      <c r="I243" s="37">
        <v>43.617180765338631</v>
      </c>
      <c r="J243" s="10">
        <v>0</v>
      </c>
      <c r="K243" s="38">
        <v>0</v>
      </c>
      <c r="L243" s="38">
        <v>0</v>
      </c>
      <c r="M243" s="38">
        <v>0</v>
      </c>
      <c r="N243" s="38">
        <v>0</v>
      </c>
      <c r="O243" s="38">
        <v>0</v>
      </c>
      <c r="P243" s="38">
        <v>0</v>
      </c>
      <c r="Q243" s="38">
        <v>0</v>
      </c>
      <c r="R243" s="38">
        <v>0</v>
      </c>
      <c r="S243" s="38">
        <v>0</v>
      </c>
      <c r="T243" s="38">
        <v>0</v>
      </c>
      <c r="U243" s="29" t="str" cm="1">
        <f t="array" aca="1" ref="U243" ca="1">+fair_value_gap(OFFSET(T242,0,0,-1*$J$5,-1*$AA$1),OFFSET(E242,0,0,-1*$J$5,1),F243:T243,0)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3" s="9" t="str" cm="1">
        <f t="array" aca="1" ref="V243" ca="1">z_score_diff(OFFSET(U243,0,0,$J$5*-1,1),OFFSET(E243,0,0,$J$5*-1,1))</f>
        <v/>
      </c>
      <c r="W243" s="9" t="str">
        <f t="shared" ca="1" si="31"/>
        <v/>
      </c>
      <c r="X243" s="17">
        <f t="shared" ca="1" si="30"/>
        <v>-0.18231003944018165</v>
      </c>
      <c r="Y243" s="13">
        <f t="shared" si="38"/>
        <v>0</v>
      </c>
      <c r="Z243" s="13">
        <f t="shared" si="38"/>
        <v>0</v>
      </c>
      <c r="AA243" t="str">
        <f t="shared" ca="1" si="32"/>
        <v/>
      </c>
      <c r="AB243" t="str">
        <f t="shared" ca="1" si="33"/>
        <v/>
      </c>
      <c r="AC243" s="24" t="str">
        <f t="shared" ca="1" si="34"/>
        <v/>
      </c>
      <c r="AD243" s="24" t="str">
        <f t="shared" ca="1" si="35"/>
        <v/>
      </c>
    </row>
    <row r="244" spans="3:30" x14ac:dyDescent="0.25">
      <c r="C244" s="6">
        <v>237</v>
      </c>
      <c r="D244" s="35">
        <v>42341</v>
      </c>
      <c r="E244" s="37">
        <v>16.904</v>
      </c>
      <c r="F244" s="37">
        <v>43.030682984890191</v>
      </c>
      <c r="G244" s="37">
        <v>34.119999999999997</v>
      </c>
      <c r="H244" s="37">
        <v>2.1778831738763045</v>
      </c>
      <c r="I244" s="37">
        <v>42.431015527752791</v>
      </c>
      <c r="J244" s="10">
        <v>0</v>
      </c>
      <c r="K244" s="38">
        <v>0</v>
      </c>
      <c r="L244" s="38">
        <v>0</v>
      </c>
      <c r="M244" s="38">
        <v>0</v>
      </c>
      <c r="N244" s="38">
        <v>0</v>
      </c>
      <c r="O244" s="38">
        <v>0</v>
      </c>
      <c r="P244" s="38">
        <v>0</v>
      </c>
      <c r="Q244" s="38">
        <v>0</v>
      </c>
      <c r="R244" s="38">
        <v>0</v>
      </c>
      <c r="S244" s="38">
        <v>0</v>
      </c>
      <c r="T244" s="38">
        <v>0</v>
      </c>
      <c r="U244" s="29" t="str" cm="1">
        <f t="array" aca="1" ref="U244" ca="1">+fair_value_gap(OFFSET(T243,0,0,-1*$J$5,-1*$AA$1),OFFSET(E243,0,0,-1*$J$5,1),F244:T244,0)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4" s="9" t="str" cm="1">
        <f t="array" aca="1" ref="V244" ca="1">z_score_diff(OFFSET(U244,0,0,$J$5*-1,1),OFFSET(E244,0,0,$J$5*-1,1))</f>
        <v/>
      </c>
      <c r="W244" s="9" t="str">
        <f t="shared" ca="1" si="31"/>
        <v/>
      </c>
      <c r="X244" s="17">
        <f t="shared" ca="1" si="30"/>
        <v>-0.17205732995022158</v>
      </c>
      <c r="Y244" s="13">
        <f t="shared" si="38"/>
        <v>0</v>
      </c>
      <c r="Z244" s="13">
        <f t="shared" si="38"/>
        <v>0</v>
      </c>
      <c r="AA244" t="str">
        <f t="shared" ca="1" si="32"/>
        <v/>
      </c>
      <c r="AB244" t="str">
        <f t="shared" ca="1" si="33"/>
        <v/>
      </c>
      <c r="AC244" s="24" t="str">
        <f t="shared" ca="1" si="34"/>
        <v/>
      </c>
      <c r="AD244" s="24" t="str">
        <f t="shared" ca="1" si="35"/>
        <v/>
      </c>
    </row>
    <row r="245" spans="3:30" x14ac:dyDescent="0.25">
      <c r="C245" s="6">
        <v>238</v>
      </c>
      <c r="D245" s="35">
        <v>42342</v>
      </c>
      <c r="E245" s="37">
        <v>17.018000000000001</v>
      </c>
      <c r="F245" s="37">
        <v>42.449553401043943</v>
      </c>
      <c r="G245" s="37">
        <v>34.04</v>
      </c>
      <c r="H245" s="37">
        <v>2.2011896491916918</v>
      </c>
      <c r="I245" s="37">
        <v>42.605146848180148</v>
      </c>
      <c r="J245" s="10">
        <v>0</v>
      </c>
      <c r="K245" s="38">
        <v>0</v>
      </c>
      <c r="L245" s="38">
        <v>0</v>
      </c>
      <c r="M245" s="38">
        <v>0</v>
      </c>
      <c r="N245" s="38">
        <v>0</v>
      </c>
      <c r="O245" s="38">
        <v>0</v>
      </c>
      <c r="P245" s="38">
        <v>0</v>
      </c>
      <c r="Q245" s="38">
        <v>0</v>
      </c>
      <c r="R245" s="38">
        <v>0</v>
      </c>
      <c r="S245" s="38">
        <v>0</v>
      </c>
      <c r="T245" s="38">
        <v>0</v>
      </c>
      <c r="U245" s="29" t="str" cm="1">
        <f t="array" aca="1" ref="U245" ca="1">+fair_value_gap(OFFSET(T244,0,0,-1*$J$5,-1*$AA$1),OFFSET(E244,0,0,-1*$J$5,1),F245:T245,0)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5" s="9" t="str" cm="1">
        <f t="array" aca="1" ref="V245" ca="1">z_score_diff(OFFSET(U245,0,0,$J$5*-1,1),OFFSET(E245,0,0,$J$5*-1,1))</f>
        <v/>
      </c>
      <c r="W245" s="9" t="str">
        <f t="shared" ca="1" si="31"/>
        <v/>
      </c>
      <c r="X245" s="17">
        <f t="shared" ca="1" si="30"/>
        <v>-0.16739068336322641</v>
      </c>
      <c r="Y245" s="13">
        <f t="shared" si="38"/>
        <v>0</v>
      </c>
      <c r="Z245" s="13">
        <f t="shared" si="38"/>
        <v>0</v>
      </c>
      <c r="AA245" t="str">
        <f t="shared" ca="1" si="32"/>
        <v/>
      </c>
      <c r="AB245" t="str">
        <f t="shared" ca="1" si="33"/>
        <v/>
      </c>
      <c r="AC245" s="24" t="str">
        <f t="shared" ca="1" si="34"/>
        <v/>
      </c>
      <c r="AD245" s="24" t="str">
        <f t="shared" ca="1" si="35"/>
        <v/>
      </c>
    </row>
    <row r="246" spans="3:30" x14ac:dyDescent="0.25">
      <c r="C246" s="6">
        <v>239</v>
      </c>
      <c r="D246" s="35">
        <v>42345</v>
      </c>
      <c r="E246" s="37">
        <v>16.440999999999999</v>
      </c>
      <c r="F246" s="37">
        <v>40.677237913646017</v>
      </c>
      <c r="G246" s="37">
        <v>33.72</v>
      </c>
      <c r="H246" s="37">
        <v>2.1481547442548332</v>
      </c>
      <c r="I246" s="37">
        <v>42.274583749117554</v>
      </c>
      <c r="J246" s="10">
        <v>0</v>
      </c>
      <c r="K246" s="38">
        <v>0</v>
      </c>
      <c r="L246" s="38">
        <v>0</v>
      </c>
      <c r="M246" s="38">
        <v>0</v>
      </c>
      <c r="N246" s="38">
        <v>0</v>
      </c>
      <c r="O246" s="38">
        <v>0</v>
      </c>
      <c r="P246" s="38">
        <v>0</v>
      </c>
      <c r="Q246" s="38">
        <v>0</v>
      </c>
      <c r="R246" s="38">
        <v>0</v>
      </c>
      <c r="S246" s="38">
        <v>0</v>
      </c>
      <c r="T246" s="38">
        <v>0</v>
      </c>
      <c r="U246" s="29" t="str" cm="1">
        <f t="array" aca="1" ref="U246" ca="1">+fair_value_gap(OFFSET(T245,0,0,-1*$J$5,-1*$AA$1),OFFSET(E245,0,0,-1*$J$5,1),F246:T246,0)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6" s="9" t="str" cm="1">
        <f t="array" aca="1" ref="V246" ca="1">z_score_diff(OFFSET(U246,0,0,$J$5*-1,1),OFFSET(E246,0,0,$J$5*-1,1))</f>
        <v/>
      </c>
      <c r="W246" s="9" t="str">
        <f t="shared" ca="1" si="31"/>
        <v/>
      </c>
      <c r="X246" s="17">
        <f t="shared" ca="1" si="30"/>
        <v>-0.12088223135688106</v>
      </c>
      <c r="Y246" s="13">
        <f t="shared" si="38"/>
        <v>0</v>
      </c>
      <c r="Z246" s="13">
        <f t="shared" si="38"/>
        <v>0</v>
      </c>
      <c r="AA246" t="str">
        <f t="shared" ca="1" si="32"/>
        <v/>
      </c>
      <c r="AB246" t="str">
        <f t="shared" ca="1" si="33"/>
        <v/>
      </c>
      <c r="AC246" s="24" t="str">
        <f t="shared" ca="1" si="34"/>
        <v/>
      </c>
      <c r="AD246" s="24" t="str">
        <f t="shared" ca="1" si="35"/>
        <v/>
      </c>
    </row>
    <row r="247" spans="3:30" x14ac:dyDescent="0.25">
      <c r="C247" s="6">
        <v>240</v>
      </c>
      <c r="D247" s="35">
        <v>42346</v>
      </c>
      <c r="E247" s="37">
        <v>16.445</v>
      </c>
      <c r="F247" s="37">
        <v>40.053355747620003</v>
      </c>
      <c r="G247" s="37">
        <v>33.53</v>
      </c>
      <c r="H247" s="37">
        <v>2.1433661629543006</v>
      </c>
      <c r="I247" s="37">
        <v>42.346556544301713</v>
      </c>
      <c r="J247" s="10">
        <v>0</v>
      </c>
      <c r="K247" s="38">
        <v>0</v>
      </c>
      <c r="L247" s="38">
        <v>0</v>
      </c>
      <c r="M247" s="38">
        <v>0</v>
      </c>
      <c r="N247" s="38">
        <v>0</v>
      </c>
      <c r="O247" s="38">
        <v>0</v>
      </c>
      <c r="P247" s="38">
        <v>0</v>
      </c>
      <c r="Q247" s="38">
        <v>0</v>
      </c>
      <c r="R247" s="38">
        <v>0</v>
      </c>
      <c r="S247" s="38">
        <v>0</v>
      </c>
      <c r="T247" s="38">
        <v>0</v>
      </c>
      <c r="U247" s="29" t="str" cm="1">
        <f t="array" aca="1" ref="U247" ca="1">+fair_value_gap(OFFSET(T246,0,0,-1*$J$5,-1*$AA$1),OFFSET(E246,0,0,-1*$J$5,1),F247:T247,0)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7" s="9" t="str" cm="1">
        <f t="array" aca="1" ref="V247" ca="1">z_score_diff(OFFSET(U247,0,0,$J$5*-1,1),OFFSET(E247,0,0,$J$5*-1,1))</f>
        <v/>
      </c>
      <c r="W247" s="9" t="str">
        <f t="shared" ca="1" si="31"/>
        <v/>
      </c>
      <c r="X247" s="17">
        <f t="shared" ca="1" si="30"/>
        <v>-0.1005412292218774</v>
      </c>
      <c r="Y247" s="13">
        <f t="shared" si="38"/>
        <v>0</v>
      </c>
      <c r="Z247" s="13">
        <f t="shared" si="38"/>
        <v>0</v>
      </c>
      <c r="AA247" t="str">
        <f t="shared" ca="1" si="32"/>
        <v/>
      </c>
      <c r="AB247" t="str">
        <f t="shared" ca="1" si="33"/>
        <v/>
      </c>
      <c r="AC247" s="24" t="str">
        <f t="shared" ca="1" si="34"/>
        <v/>
      </c>
      <c r="AD247" s="24" t="str">
        <f t="shared" ca="1" si="35"/>
        <v/>
      </c>
    </row>
    <row r="248" spans="3:30" x14ac:dyDescent="0.25">
      <c r="C248" s="6">
        <v>241</v>
      </c>
      <c r="D248" s="35">
        <v>42347</v>
      </c>
      <c r="E248" s="37">
        <v>16.233000000000001</v>
      </c>
      <c r="F248" s="37">
        <v>39.387881276766656</v>
      </c>
      <c r="G248" s="37">
        <v>33.28</v>
      </c>
      <c r="H248" s="37">
        <v>2.1165119522002249</v>
      </c>
      <c r="I248" s="37">
        <v>41.743572618021489</v>
      </c>
      <c r="J248" s="10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v>0</v>
      </c>
      <c r="S248" s="38">
        <v>0</v>
      </c>
      <c r="T248" s="38">
        <v>0</v>
      </c>
      <c r="U248" s="29" t="str" cm="1">
        <f t="array" aca="1" ref="U248" ca="1">+fair_value_gap(OFFSET(T247,0,0,-1*$J$5,-1*$AA$1),OFFSET(E247,0,0,-1*$J$5,1),F248:T248,0)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8" s="9" t="str" cm="1">
        <f t="array" aca="1" ref="V248" ca="1">z_score_diff(OFFSET(U248,0,0,$J$5*-1,1),OFFSET(E248,0,0,$J$5*-1,1))</f>
        <v/>
      </c>
      <c r="W248" s="9" t="str">
        <f t="shared" ca="1" si="31"/>
        <v/>
      </c>
      <c r="X248" s="17">
        <f t="shared" ca="1" si="30"/>
        <v>-0.12916712347286152</v>
      </c>
      <c r="Y248" s="13">
        <f t="shared" si="38"/>
        <v>0</v>
      </c>
      <c r="Z248" s="13">
        <f t="shared" si="38"/>
        <v>0</v>
      </c>
      <c r="AA248" t="str">
        <f t="shared" ca="1" si="32"/>
        <v/>
      </c>
      <c r="AB248" t="str">
        <f t="shared" ca="1" si="33"/>
        <v/>
      </c>
      <c r="AC248" s="24" t="str">
        <f t="shared" ca="1" si="34"/>
        <v/>
      </c>
      <c r="AD248" s="24" t="str">
        <f t="shared" ca="1" si="35"/>
        <v/>
      </c>
    </row>
    <row r="249" spans="3:30" x14ac:dyDescent="0.25">
      <c r="C249" s="6">
        <v>242</v>
      </c>
      <c r="D249" s="35">
        <v>42348</v>
      </c>
      <c r="E249" s="37">
        <v>16.190999999999999</v>
      </c>
      <c r="F249" s="37">
        <v>39.576444740297767</v>
      </c>
      <c r="G249" s="37">
        <v>33.28</v>
      </c>
      <c r="H249" s="37">
        <v>2.1161394051165647</v>
      </c>
      <c r="I249" s="37">
        <v>41.740781562032801</v>
      </c>
      <c r="J249" s="10">
        <v>0</v>
      </c>
      <c r="K249" s="38">
        <v>0</v>
      </c>
      <c r="L249" s="38">
        <v>0</v>
      </c>
      <c r="M249" s="38">
        <v>0</v>
      </c>
      <c r="N249" s="38">
        <v>0</v>
      </c>
      <c r="O249" s="38">
        <v>0</v>
      </c>
      <c r="P249" s="38">
        <v>0</v>
      </c>
      <c r="Q249" s="38">
        <v>0</v>
      </c>
      <c r="R249" s="38">
        <v>0</v>
      </c>
      <c r="S249" s="38">
        <v>0</v>
      </c>
      <c r="T249" s="38">
        <v>0</v>
      </c>
      <c r="U249" s="29" t="str" cm="1">
        <f t="array" aca="1" ref="U249" ca="1">+fair_value_gap(OFFSET(T248,0,0,-1*$J$5,-1*$AA$1),OFFSET(E248,0,0,-1*$J$5,1),F249:T249,0)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9" s="9" t="str" cm="1">
        <f t="array" aca="1" ref="V249" ca="1">z_score_diff(OFFSET(U249,0,0,$J$5*-1,1),OFFSET(E249,0,0,$J$5*-1,1))</f>
        <v/>
      </c>
      <c r="W249" s="9" t="str">
        <f t="shared" ca="1" si="31"/>
        <v/>
      </c>
      <c r="X249" s="17">
        <f t="shared" ca="1" si="30"/>
        <v>-0.13608456670400618</v>
      </c>
      <c r="Y249" s="13">
        <f t="shared" ref="Y249:Z264" si="39">+Y248</f>
        <v>0</v>
      </c>
      <c r="Z249" s="13">
        <f t="shared" si="39"/>
        <v>0</v>
      </c>
      <c r="AA249" t="str">
        <f t="shared" ca="1" si="32"/>
        <v/>
      </c>
      <c r="AB249" t="str">
        <f t="shared" ca="1" si="33"/>
        <v/>
      </c>
      <c r="AC249" s="24" t="str">
        <f t="shared" ca="1" si="34"/>
        <v/>
      </c>
      <c r="AD249" s="24" t="str">
        <f t="shared" ca="1" si="35"/>
        <v/>
      </c>
    </row>
    <row r="250" spans="3:30" x14ac:dyDescent="0.25">
      <c r="C250" s="6">
        <v>243</v>
      </c>
      <c r="D250" s="35">
        <v>42349</v>
      </c>
      <c r="E250" s="37">
        <v>15.999000000000001</v>
      </c>
      <c r="F250" s="37">
        <v>37.98901109855484</v>
      </c>
      <c r="G250" s="37">
        <v>33.14</v>
      </c>
      <c r="H250" s="37">
        <v>2.0942892330334026</v>
      </c>
      <c r="I250" s="37">
        <v>40.961433722678407</v>
      </c>
      <c r="J250" s="10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v>0</v>
      </c>
      <c r="S250" s="38">
        <v>0</v>
      </c>
      <c r="T250" s="38">
        <v>0</v>
      </c>
      <c r="U250" s="29" t="str" cm="1">
        <f t="array" aca="1" ref="U250" ca="1">+fair_value_gap(OFFSET(T249,0,0,-1*$J$5,-1*$AA$1),OFFSET(E249,0,0,-1*$J$5,1),F250:T250,0)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0" s="9" t="str" cm="1">
        <f t="array" aca="1" ref="V250" ca="1">z_score_diff(OFFSET(U250,0,0,$J$5*-1,1),OFFSET(E250,0,0,$J$5*-1,1))</f>
        <v/>
      </c>
      <c r="W250" s="9" t="str">
        <f t="shared" ca="1" si="31"/>
        <v/>
      </c>
      <c r="X250" s="17">
        <f t="shared" ca="1" si="30"/>
        <v>-0.16128064845555665</v>
      </c>
      <c r="Y250" s="13">
        <f t="shared" si="39"/>
        <v>0</v>
      </c>
      <c r="Z250" s="13">
        <f t="shared" si="39"/>
        <v>0</v>
      </c>
      <c r="AA250" t="str">
        <f t="shared" ca="1" si="32"/>
        <v/>
      </c>
      <c r="AB250" t="str">
        <f t="shared" ca="1" si="33"/>
        <v/>
      </c>
      <c r="AC250" s="24" t="str">
        <f t="shared" ca="1" si="34"/>
        <v/>
      </c>
      <c r="AD250" s="24" t="str">
        <f t="shared" ca="1" si="35"/>
        <v/>
      </c>
    </row>
    <row r="251" spans="3:30" x14ac:dyDescent="0.25">
      <c r="C251" s="6">
        <v>244</v>
      </c>
      <c r="D251" s="35">
        <v>42352</v>
      </c>
      <c r="E251" s="37">
        <v>15.606999999999999</v>
      </c>
      <c r="F251" s="37">
        <v>37.623832289685403</v>
      </c>
      <c r="G251" s="37">
        <v>32.83</v>
      </c>
      <c r="H251" s="37">
        <v>2.021511489481894</v>
      </c>
      <c r="I251" s="37">
        <v>41.145408507367698</v>
      </c>
      <c r="J251" s="10">
        <v>0</v>
      </c>
      <c r="K251" s="38">
        <v>0</v>
      </c>
      <c r="L251" s="38">
        <v>0</v>
      </c>
      <c r="M251" s="38">
        <v>0</v>
      </c>
      <c r="N251" s="38">
        <v>0</v>
      </c>
      <c r="O251" s="38">
        <v>0</v>
      </c>
      <c r="P251" s="38">
        <v>0</v>
      </c>
      <c r="Q251" s="38">
        <v>0</v>
      </c>
      <c r="R251" s="38">
        <v>0</v>
      </c>
      <c r="S251" s="38">
        <v>0</v>
      </c>
      <c r="T251" s="38">
        <v>0</v>
      </c>
      <c r="U251" s="29" t="str" cm="1">
        <f t="array" aca="1" ref="U251" ca="1">+fair_value_gap(OFFSET(T250,0,0,-1*$J$5,-1*$AA$1),OFFSET(E250,0,0,-1*$J$5,1),F251:T251,0)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1" s="9" t="str" cm="1">
        <f t="array" aca="1" ref="V251" ca="1">z_score_diff(OFFSET(U251,0,0,$J$5*-1,1),OFFSET(E251,0,0,$J$5*-1,1))</f>
        <v/>
      </c>
      <c r="W251" s="9" t="str">
        <f t="shared" ca="1" si="31"/>
        <v/>
      </c>
      <c r="X251" s="17">
        <f t="shared" ca="1" si="30"/>
        <v>-0.13236958574712665</v>
      </c>
      <c r="Y251" s="13">
        <f t="shared" si="39"/>
        <v>0</v>
      </c>
      <c r="Z251" s="13">
        <f t="shared" si="39"/>
        <v>0</v>
      </c>
      <c r="AA251" t="str">
        <f t="shared" ca="1" si="32"/>
        <v/>
      </c>
      <c r="AB251" t="str">
        <f t="shared" ca="1" si="33"/>
        <v/>
      </c>
      <c r="AC251" s="24" t="str">
        <f t="shared" ca="1" si="34"/>
        <v/>
      </c>
      <c r="AD251" s="24" t="str">
        <f t="shared" ca="1" si="35"/>
        <v/>
      </c>
    </row>
    <row r="252" spans="3:30" x14ac:dyDescent="0.25">
      <c r="C252" s="6">
        <v>245</v>
      </c>
      <c r="D252" s="35">
        <v>42353</v>
      </c>
      <c r="E252" s="37">
        <v>15.814</v>
      </c>
      <c r="F252" s="37">
        <v>38.330222606637236</v>
      </c>
      <c r="G252" s="37">
        <v>32.9</v>
      </c>
      <c r="H252" s="37">
        <v>1.9838849182865206</v>
      </c>
      <c r="I252" s="37">
        <v>41.425775026175629</v>
      </c>
      <c r="J252" s="10">
        <v>0</v>
      </c>
      <c r="K252" s="38">
        <v>0</v>
      </c>
      <c r="L252" s="38">
        <v>0</v>
      </c>
      <c r="M252" s="38">
        <v>0</v>
      </c>
      <c r="N252" s="38">
        <v>0</v>
      </c>
      <c r="O252" s="38">
        <v>0</v>
      </c>
      <c r="P252" s="38">
        <v>0</v>
      </c>
      <c r="Q252" s="38">
        <v>0</v>
      </c>
      <c r="R252" s="38">
        <v>0</v>
      </c>
      <c r="S252" s="38">
        <v>0</v>
      </c>
      <c r="T252" s="38">
        <v>0</v>
      </c>
      <c r="U252" s="29" t="str" cm="1">
        <f t="array" aca="1" ref="U252" ca="1">+fair_value_gap(OFFSET(T251,0,0,-1*$J$5,-1*$AA$1),OFFSET(E251,0,0,-1*$J$5,1),F252:T252,0)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2" s="9" t="str" cm="1">
        <f t="array" aca="1" ref="V252" ca="1">z_score_diff(OFFSET(U252,0,0,$J$5*-1,1),OFFSET(E252,0,0,$J$5*-1,1))</f>
        <v/>
      </c>
      <c r="W252" s="9" t="str">
        <f t="shared" ca="1" si="31"/>
        <v/>
      </c>
      <c r="X252" s="17">
        <f t="shared" ca="1" si="30"/>
        <v>-0.17388375092358146</v>
      </c>
      <c r="Y252" s="13">
        <f t="shared" si="39"/>
        <v>0</v>
      </c>
      <c r="Z252" s="13">
        <f t="shared" si="39"/>
        <v>0</v>
      </c>
      <c r="AA252" t="str">
        <f t="shared" ca="1" si="32"/>
        <v/>
      </c>
      <c r="AB252" t="str">
        <f t="shared" ca="1" si="33"/>
        <v/>
      </c>
      <c r="AC252" s="24" t="str">
        <f t="shared" ca="1" si="34"/>
        <v/>
      </c>
      <c r="AD252" s="24" t="str">
        <f t="shared" ca="1" si="35"/>
        <v/>
      </c>
    </row>
    <row r="253" spans="3:30" x14ac:dyDescent="0.25">
      <c r="C253" s="6">
        <v>246</v>
      </c>
      <c r="D253" s="35">
        <v>42354</v>
      </c>
      <c r="E253" s="37">
        <v>15.435</v>
      </c>
      <c r="F253" s="37">
        <v>37.171839504472743</v>
      </c>
      <c r="G253" s="37">
        <v>32.83</v>
      </c>
      <c r="H253" s="37">
        <v>2.0118026974206789</v>
      </c>
      <c r="I253" s="37">
        <v>41.585767453482759</v>
      </c>
      <c r="J253" s="10">
        <v>0</v>
      </c>
      <c r="K253" s="38">
        <v>0</v>
      </c>
      <c r="L253" s="38">
        <v>0</v>
      </c>
      <c r="M253" s="38">
        <v>0</v>
      </c>
      <c r="N253" s="38">
        <v>0</v>
      </c>
      <c r="O253" s="38">
        <v>0</v>
      </c>
      <c r="P253" s="38">
        <v>0</v>
      </c>
      <c r="Q253" s="38">
        <v>0</v>
      </c>
      <c r="R253" s="38">
        <v>0</v>
      </c>
      <c r="S253" s="38">
        <v>0</v>
      </c>
      <c r="T253" s="38">
        <v>0</v>
      </c>
      <c r="U253" s="29" t="str" cm="1">
        <f t="array" aca="1" ref="U253" ca="1">+fair_value_gap(OFFSET(T252,0,0,-1*$J$5,-1*$AA$1),OFFSET(E252,0,0,-1*$J$5,1),F253:T253,0)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3" s="9" t="str" cm="1">
        <f t="array" aca="1" ref="V253" ca="1">z_score_diff(OFFSET(U253,0,0,$J$5*-1,1),OFFSET(E253,0,0,$J$5*-1,1))</f>
        <v/>
      </c>
      <c r="W253" s="9" t="str">
        <f t="shared" ca="1" si="31"/>
        <v/>
      </c>
      <c r="X253" s="17">
        <f t="shared" ca="1" si="30"/>
        <v>-0.18313821670051061</v>
      </c>
      <c r="Y253" s="13">
        <f t="shared" si="39"/>
        <v>0</v>
      </c>
      <c r="Z253" s="13">
        <f t="shared" si="39"/>
        <v>0</v>
      </c>
      <c r="AA253" t="str">
        <f t="shared" ca="1" si="32"/>
        <v/>
      </c>
      <c r="AB253" t="str">
        <f t="shared" ca="1" si="33"/>
        <v/>
      </c>
      <c r="AC253" s="24" t="str">
        <f t="shared" ca="1" si="34"/>
        <v/>
      </c>
      <c r="AD253" s="24" t="str">
        <f t="shared" ca="1" si="35"/>
        <v/>
      </c>
    </row>
    <row r="254" spans="3:30" x14ac:dyDescent="0.25">
      <c r="C254" s="6">
        <v>247</v>
      </c>
      <c r="D254" s="35">
        <v>42355</v>
      </c>
      <c r="E254" s="37">
        <v>15.441000000000001</v>
      </c>
      <c r="F254" s="37">
        <v>37.988888480076533</v>
      </c>
      <c r="G254" s="37">
        <v>32.659999999999997</v>
      </c>
      <c r="H254" s="37">
        <v>2.0585746348283602</v>
      </c>
      <c r="I254" s="37">
        <v>41.622208322602013</v>
      </c>
      <c r="J254" s="10">
        <v>0</v>
      </c>
      <c r="K254" s="38">
        <v>0</v>
      </c>
      <c r="L254" s="38">
        <v>0</v>
      </c>
      <c r="M254" s="38">
        <v>0</v>
      </c>
      <c r="N254" s="38">
        <v>0</v>
      </c>
      <c r="O254" s="38">
        <v>0</v>
      </c>
      <c r="P254" s="38">
        <v>0</v>
      </c>
      <c r="Q254" s="38">
        <v>0</v>
      </c>
      <c r="R254" s="38">
        <v>0</v>
      </c>
      <c r="S254" s="38">
        <v>0</v>
      </c>
      <c r="T254" s="38">
        <v>0</v>
      </c>
      <c r="U254" s="29" t="str" cm="1">
        <f t="array" aca="1" ref="U254" ca="1">+fair_value_gap(OFFSET(T253,0,0,-1*$J$5,-1*$AA$1),OFFSET(E253,0,0,-1*$J$5,1),F254:T254,0)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4" s="9" t="str" cm="1">
        <f t="array" aca="1" ref="V254" ca="1">z_score_diff(OFFSET(U254,0,0,$J$5*-1,1),OFFSET(E254,0,0,$J$5*-1,1))</f>
        <v/>
      </c>
      <c r="W254" s="9" t="str">
        <f t="shared" ca="1" si="31"/>
        <v/>
      </c>
      <c r="X254" s="17">
        <f t="shared" ca="1" si="30"/>
        <v>-0.17855945644269847</v>
      </c>
      <c r="Y254" s="13">
        <f t="shared" si="39"/>
        <v>0</v>
      </c>
      <c r="Z254" s="13">
        <f t="shared" si="39"/>
        <v>0</v>
      </c>
      <c r="AA254" t="str">
        <f t="shared" ca="1" si="32"/>
        <v/>
      </c>
      <c r="AB254" t="str">
        <f t="shared" ca="1" si="33"/>
        <v/>
      </c>
      <c r="AC254" s="24" t="str">
        <f t="shared" ca="1" si="34"/>
        <v/>
      </c>
      <c r="AD254" s="24" t="str">
        <f t="shared" ca="1" si="35"/>
        <v/>
      </c>
    </row>
    <row r="255" spans="3:30" x14ac:dyDescent="0.25">
      <c r="C255" s="6">
        <v>248</v>
      </c>
      <c r="D255" s="35">
        <v>42356</v>
      </c>
      <c r="E255" s="37">
        <v>15.224</v>
      </c>
      <c r="F255" s="37">
        <v>37.437683972477949</v>
      </c>
      <c r="G255" s="37">
        <v>32.33</v>
      </c>
      <c r="H255" s="37">
        <v>2.0582028263666041</v>
      </c>
      <c r="I255" s="37">
        <v>41.154900820809097</v>
      </c>
      <c r="J255" s="10">
        <v>0</v>
      </c>
      <c r="K255" s="38">
        <v>0</v>
      </c>
      <c r="L255" s="38">
        <v>0</v>
      </c>
      <c r="M255" s="38">
        <v>0</v>
      </c>
      <c r="N255" s="38">
        <v>0</v>
      </c>
      <c r="O255" s="38">
        <v>0</v>
      </c>
      <c r="P255" s="38">
        <v>0</v>
      </c>
      <c r="Q255" s="38">
        <v>0</v>
      </c>
      <c r="R255" s="38">
        <v>0</v>
      </c>
      <c r="S255" s="38">
        <v>0</v>
      </c>
      <c r="T255" s="38">
        <v>0</v>
      </c>
      <c r="U255" s="29" t="str" cm="1">
        <f t="array" aca="1" ref="U255" ca="1">+fair_value_gap(OFFSET(T254,0,0,-1*$J$5,-1*$AA$1),OFFSET(E254,0,0,-1*$J$5,1),F255:T255,0)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5" s="9" t="str" cm="1">
        <f t="array" aca="1" ref="V255" ca="1">z_score_diff(OFFSET(U255,0,0,$J$5*-1,1),OFFSET(E255,0,0,$J$5*-1,1))</f>
        <v/>
      </c>
      <c r="W255" s="9" t="str">
        <f t="shared" ca="1" si="31"/>
        <v/>
      </c>
      <c r="X255" s="17">
        <f t="shared" ca="1" si="30"/>
        <v>-0.16533578917094069</v>
      </c>
      <c r="Y255" s="13">
        <f t="shared" si="39"/>
        <v>0</v>
      </c>
      <c r="Z255" s="13">
        <f t="shared" si="39"/>
        <v>0</v>
      </c>
      <c r="AA255" t="str">
        <f t="shared" ca="1" si="32"/>
        <v/>
      </c>
      <c r="AB255" t="str">
        <f t="shared" ca="1" si="33"/>
        <v/>
      </c>
      <c r="AC255" s="24" t="str">
        <f t="shared" ca="1" si="34"/>
        <v/>
      </c>
      <c r="AD255" s="24" t="str">
        <f t="shared" ca="1" si="35"/>
        <v/>
      </c>
    </row>
    <row r="256" spans="3:30" x14ac:dyDescent="0.25">
      <c r="C256" s="6">
        <v>249</v>
      </c>
      <c r="D256" s="35">
        <v>42359</v>
      </c>
      <c r="E256" s="37">
        <v>14.92</v>
      </c>
      <c r="F256" s="37">
        <v>36.695642984554674</v>
      </c>
      <c r="G256" s="37">
        <v>32.43</v>
      </c>
      <c r="H256" s="37">
        <v>2.0834889648876995</v>
      </c>
      <c r="I256" s="37">
        <v>40.813426159584139</v>
      </c>
      <c r="J256" s="10">
        <v>0</v>
      </c>
      <c r="K256" s="38">
        <v>0</v>
      </c>
      <c r="L256" s="38">
        <v>0</v>
      </c>
      <c r="M256" s="38">
        <v>0</v>
      </c>
      <c r="N256" s="38">
        <v>0</v>
      </c>
      <c r="O256" s="38">
        <v>0</v>
      </c>
      <c r="P256" s="38">
        <v>0</v>
      </c>
      <c r="Q256" s="38">
        <v>0</v>
      </c>
      <c r="R256" s="38">
        <v>0</v>
      </c>
      <c r="S256" s="38">
        <v>0</v>
      </c>
      <c r="T256" s="38">
        <v>0</v>
      </c>
      <c r="U256" s="29" t="str" cm="1">
        <f t="array" aca="1" ref="U256" ca="1">+fair_value_gap(OFFSET(T255,0,0,-1*$J$5,-1*$AA$1),OFFSET(E255,0,0,-1*$J$5,1),F256:T256,0)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6" s="9" t="str" cm="1">
        <f t="array" aca="1" ref="V256" ca="1">z_score_diff(OFFSET(U256,0,0,$J$5*-1,1),OFFSET(E256,0,0,$J$5*-1,1))</f>
        <v/>
      </c>
      <c r="W256" s="9" t="str">
        <f t="shared" ca="1" si="31"/>
        <v/>
      </c>
      <c r="X256" s="17">
        <f t="shared" ca="1" si="30"/>
        <v>-0.18299202279292234</v>
      </c>
      <c r="Y256" s="13">
        <f t="shared" si="39"/>
        <v>0</v>
      </c>
      <c r="Z256" s="13">
        <f t="shared" si="39"/>
        <v>0</v>
      </c>
      <c r="AA256" t="str">
        <f t="shared" ca="1" si="32"/>
        <v/>
      </c>
      <c r="AB256" t="str">
        <f t="shared" ca="1" si="33"/>
        <v/>
      </c>
      <c r="AC256" s="24" t="str">
        <f t="shared" ca="1" si="34"/>
        <v/>
      </c>
      <c r="AD256" s="24" t="str">
        <f t="shared" ca="1" si="35"/>
        <v/>
      </c>
    </row>
    <row r="257" spans="3:30" x14ac:dyDescent="0.25">
      <c r="C257" s="6">
        <v>250</v>
      </c>
      <c r="D257" s="35">
        <v>42360</v>
      </c>
      <c r="E257" s="37">
        <v>14.879</v>
      </c>
      <c r="F257" s="37">
        <v>36.297690097459792</v>
      </c>
      <c r="G257" s="37">
        <v>32.25</v>
      </c>
      <c r="H257" s="37">
        <v>2.0432775261267087</v>
      </c>
      <c r="I257" s="37">
        <v>39.639584006858144</v>
      </c>
      <c r="J257" s="10">
        <v>0</v>
      </c>
      <c r="K257" s="38">
        <v>0</v>
      </c>
      <c r="L257" s="38">
        <v>0</v>
      </c>
      <c r="M257" s="38">
        <v>0</v>
      </c>
      <c r="N257" s="38">
        <v>0</v>
      </c>
      <c r="O257" s="38">
        <v>0</v>
      </c>
      <c r="P257" s="38">
        <v>0</v>
      </c>
      <c r="Q257" s="38">
        <v>0</v>
      </c>
      <c r="R257" s="38">
        <v>0</v>
      </c>
      <c r="S257" s="38">
        <v>0</v>
      </c>
      <c r="T257" s="38">
        <v>0</v>
      </c>
      <c r="U257" s="29" cm="1">
        <f t="array" aca="1" ref="U257" ca="1">+fair_value_gap(OFFSET(T256,0,0,-1*$J$5,-1*$AA$1),OFFSET(E256,0,0,-1*$J$5,1),F257:T257,0)</f>
        <v>15.409849381883154</v>
      </c>
      <c r="V257" s="9" t="str" cm="1">
        <f t="array" aca="1" ref="V257" ca="1">z_score_diff(OFFSET(U257,0,0,$J$5*-1,1),OFFSET(E257,0,0,$J$5*-1,1))</f>
        <v/>
      </c>
      <c r="W257" s="9" t="str">
        <f t="shared" ca="1" si="31"/>
        <v/>
      </c>
      <c r="X257" s="17">
        <f t="shared" ca="1" si="30"/>
        <v>-0.1949148017623942</v>
      </c>
      <c r="Y257" s="13">
        <f t="shared" si="39"/>
        <v>0</v>
      </c>
      <c r="Z257" s="13">
        <f t="shared" si="39"/>
        <v>0</v>
      </c>
      <c r="AA257" t="str">
        <f t="shared" ca="1" si="32"/>
        <v/>
      </c>
      <c r="AB257" t="str">
        <f t="shared" ca="1" si="33"/>
        <v/>
      </c>
      <c r="AC257" s="24" t="str">
        <f t="shared" ca="1" si="34"/>
        <v/>
      </c>
      <c r="AD257" s="24" t="str">
        <f t="shared" ca="1" si="35"/>
        <v/>
      </c>
    </row>
    <row r="258" spans="3:30" x14ac:dyDescent="0.25">
      <c r="C258" s="6">
        <v>251</v>
      </c>
      <c r="D258" s="35">
        <v>42361</v>
      </c>
      <c r="E258" s="37">
        <v>14.61</v>
      </c>
      <c r="F258" s="37">
        <v>37.500524004891929</v>
      </c>
      <c r="G258" s="37">
        <v>32.31</v>
      </c>
      <c r="H258" s="37">
        <v>2.0750593720325377</v>
      </c>
      <c r="I258" s="37">
        <v>41.191341069771937</v>
      </c>
      <c r="J258" s="10">
        <v>0</v>
      </c>
      <c r="K258" s="38">
        <v>0</v>
      </c>
      <c r="L258" s="38">
        <v>0</v>
      </c>
      <c r="M258" s="38">
        <v>0</v>
      </c>
      <c r="N258" s="38">
        <v>0</v>
      </c>
      <c r="O258" s="38">
        <v>0</v>
      </c>
      <c r="P258" s="38">
        <v>0</v>
      </c>
      <c r="Q258" s="38">
        <v>0</v>
      </c>
      <c r="R258" s="38">
        <v>0</v>
      </c>
      <c r="S258" s="38">
        <v>0</v>
      </c>
      <c r="T258" s="38">
        <v>0</v>
      </c>
      <c r="U258" s="29" cm="1">
        <f t="array" aca="1" ref="U258" ca="1">+fair_value_gap(OFFSET(T257,0,0,-1*$J$5,-1*$AA$1),OFFSET(E257,0,0,-1*$J$5,1),F258:T258,0)</f>
        <v>15.677669469670541</v>
      </c>
      <c r="V258" s="9" t="str" cm="1">
        <f t="array" aca="1" ref="V258" ca="1">z_score_diff(OFFSET(U258,0,0,$J$5*-1,1),OFFSET(E258,0,0,$J$5*-1,1))</f>
        <v/>
      </c>
      <c r="W258" s="9" t="str">
        <f t="shared" ca="1" si="31"/>
        <v/>
      </c>
      <c r="X258" s="17">
        <f t="shared" ca="1" si="30"/>
        <v>-9.1839140338121225E-2</v>
      </c>
      <c r="Y258" s="13">
        <f t="shared" si="39"/>
        <v>0</v>
      </c>
      <c r="Z258" s="13">
        <f t="shared" si="39"/>
        <v>0</v>
      </c>
      <c r="AA258" t="str">
        <f t="shared" ca="1" si="32"/>
        <v/>
      </c>
      <c r="AB258" t="str">
        <f t="shared" ca="1" si="33"/>
        <v/>
      </c>
      <c r="AC258" s="24" t="str">
        <f t="shared" ca="1" si="34"/>
        <v/>
      </c>
      <c r="AD258" s="24" t="str">
        <f t="shared" ca="1" si="35"/>
        <v/>
      </c>
    </row>
    <row r="259" spans="3:30" x14ac:dyDescent="0.25">
      <c r="C259" s="6">
        <v>252</v>
      </c>
      <c r="D259" s="35">
        <v>42362</v>
      </c>
      <c r="E259" s="37">
        <v>14.457000000000001</v>
      </c>
      <c r="F259" s="37">
        <v>37.859165356459506</v>
      </c>
      <c r="G259" s="37">
        <v>32.26</v>
      </c>
      <c r="H259" s="37">
        <v>2.0957266228953144</v>
      </c>
      <c r="I259" s="37">
        <v>41.098015591843172</v>
      </c>
      <c r="J259" s="10">
        <v>0</v>
      </c>
      <c r="K259" s="38">
        <v>0</v>
      </c>
      <c r="L259" s="38">
        <v>0</v>
      </c>
      <c r="M259" s="38">
        <v>0</v>
      </c>
      <c r="N259" s="38">
        <v>0</v>
      </c>
      <c r="O259" s="38">
        <v>0</v>
      </c>
      <c r="P259" s="38">
        <v>0</v>
      </c>
      <c r="Q259" s="38">
        <v>0</v>
      </c>
      <c r="R259" s="38">
        <v>0</v>
      </c>
      <c r="S259" s="38">
        <v>0</v>
      </c>
      <c r="T259" s="38">
        <v>0</v>
      </c>
      <c r="U259" s="29" cm="1">
        <f t="array" aca="1" ref="U259" ca="1">+fair_value_gap(OFFSET(T258,0,0,-1*$J$5,-1*$AA$1),OFFSET(E258,0,0,-1*$J$5,1),F259:T259,0)</f>
        <v>15.644449880856833</v>
      </c>
      <c r="V259" s="9" t="str" cm="1">
        <f t="array" aca="1" ref="V259" ca="1">z_score_diff(OFFSET(U259,0,0,$J$5*-1,1),OFFSET(E259,0,0,$J$5*-1,1))</f>
        <v/>
      </c>
      <c r="W259" s="9" t="str">
        <f t="shared" ca="1" si="31"/>
        <v/>
      </c>
      <c r="X259" s="17">
        <f t="shared" ca="1" si="30"/>
        <v>-0.12941926494552236</v>
      </c>
      <c r="Y259" s="13">
        <f t="shared" si="39"/>
        <v>0</v>
      </c>
      <c r="Z259" s="13">
        <f t="shared" si="39"/>
        <v>0</v>
      </c>
      <c r="AA259" t="str">
        <f t="shared" ca="1" si="32"/>
        <v/>
      </c>
      <c r="AB259" t="str">
        <f t="shared" ca="1" si="33"/>
        <v/>
      </c>
      <c r="AC259" s="24" t="str">
        <f t="shared" ca="1" si="34"/>
        <v/>
      </c>
      <c r="AD259" s="24" t="str">
        <f t="shared" ca="1" si="35"/>
        <v/>
      </c>
    </row>
    <row r="260" spans="3:30" x14ac:dyDescent="0.25">
      <c r="C260" s="6">
        <v>253</v>
      </c>
      <c r="D260" s="35">
        <v>42366</v>
      </c>
      <c r="E260" s="37">
        <v>14.824999999999999</v>
      </c>
      <c r="F260" s="37">
        <v>36.728064503549923</v>
      </c>
      <c r="G260" s="37">
        <v>32.369999999999997</v>
      </c>
      <c r="H260" s="37">
        <v>2.2036838702129957</v>
      </c>
      <c r="I260" s="37">
        <v>41.081020296563246</v>
      </c>
      <c r="J260" s="10">
        <v>0</v>
      </c>
      <c r="K260" s="38">
        <v>0</v>
      </c>
      <c r="L260" s="38">
        <v>0</v>
      </c>
      <c r="M260" s="38">
        <v>0</v>
      </c>
      <c r="N260" s="38">
        <v>0</v>
      </c>
      <c r="O260" s="38">
        <v>0</v>
      </c>
      <c r="P260" s="38">
        <v>0</v>
      </c>
      <c r="Q260" s="38">
        <v>0</v>
      </c>
      <c r="R260" s="38">
        <v>0</v>
      </c>
      <c r="S260" s="38">
        <v>0</v>
      </c>
      <c r="T260" s="38">
        <v>0</v>
      </c>
      <c r="U260" s="29" cm="1">
        <f t="array" aca="1" ref="U260" ca="1">+fair_value_gap(OFFSET(T259,0,0,-1*$J$5,-1*$AA$1),OFFSET(E259,0,0,-1*$J$5,1),F260:T260,0)</f>
        <v>15.698536812353572</v>
      </c>
      <c r="V260" s="9" t="str" cm="1">
        <f t="array" aca="1" ref="V260" ca="1">z_score_diff(OFFSET(U260,0,0,$J$5*-1,1),OFFSET(E260,0,0,$J$5*-1,1))</f>
        <v/>
      </c>
      <c r="W260" s="9" t="str">
        <f t="shared" ca="1" si="31"/>
        <v/>
      </c>
      <c r="X260" s="17">
        <f t="shared" ca="1" si="30"/>
        <v>-0.13932021870153496</v>
      </c>
      <c r="Y260" s="13">
        <f t="shared" si="39"/>
        <v>0</v>
      </c>
      <c r="Z260" s="13">
        <f t="shared" si="39"/>
        <v>0</v>
      </c>
      <c r="AA260" t="str">
        <f t="shared" ca="1" si="32"/>
        <v/>
      </c>
      <c r="AB260" t="str">
        <f t="shared" ca="1" si="33"/>
        <v/>
      </c>
      <c r="AC260" s="24" t="str">
        <f t="shared" ca="1" si="34"/>
        <v/>
      </c>
      <c r="AD260" s="24" t="str">
        <f t="shared" ca="1" si="35"/>
        <v/>
      </c>
    </row>
    <row r="261" spans="3:30" x14ac:dyDescent="0.25">
      <c r="C261" s="6">
        <v>254</v>
      </c>
      <c r="D261" s="35">
        <v>42367</v>
      </c>
      <c r="E261" s="37">
        <v>15.228999999999999</v>
      </c>
      <c r="F261" s="37">
        <v>37.777781822616426</v>
      </c>
      <c r="G261" s="37">
        <v>32.630000000000003</v>
      </c>
      <c r="H261" s="37">
        <v>2.2670309448358839</v>
      </c>
      <c r="I261" s="37">
        <v>41.591053464070612</v>
      </c>
      <c r="J261" s="10">
        <v>0</v>
      </c>
      <c r="K261" s="38">
        <v>0</v>
      </c>
      <c r="L261" s="38">
        <v>0</v>
      </c>
      <c r="M261" s="38">
        <v>0</v>
      </c>
      <c r="N261" s="38">
        <v>0</v>
      </c>
      <c r="O261" s="38">
        <v>0</v>
      </c>
      <c r="P261" s="38">
        <v>0</v>
      </c>
      <c r="Q261" s="38">
        <v>0</v>
      </c>
      <c r="R261" s="38">
        <v>0</v>
      </c>
      <c r="S261" s="38">
        <v>0</v>
      </c>
      <c r="T261" s="38">
        <v>0</v>
      </c>
      <c r="U261" s="29" cm="1">
        <f t="array" aca="1" ref="U261" ca="1">+fair_value_gap(OFFSET(T260,0,0,-1*$J$5,-1*$AA$1),OFFSET(E260,0,0,-1*$J$5,1),F261:T261,0)</f>
        <v>15.890481836017257</v>
      </c>
      <c r="V261" s="9" t="str" cm="1">
        <f t="array" aca="1" ref="V261" ca="1">z_score_diff(OFFSET(U261,0,0,$J$5*-1,1),OFFSET(E261,0,0,$J$5*-1,1))</f>
        <v/>
      </c>
      <c r="W261" s="9" t="str">
        <f t="shared" ca="1" si="31"/>
        <v/>
      </c>
      <c r="X261" s="17">
        <f t="shared" ca="1" si="30"/>
        <v>-0.13995895436069156</v>
      </c>
      <c r="Y261" s="13">
        <f t="shared" si="39"/>
        <v>0</v>
      </c>
      <c r="Z261" s="13">
        <f t="shared" si="39"/>
        <v>0</v>
      </c>
      <c r="AA261" t="str">
        <f t="shared" ca="1" si="32"/>
        <v/>
      </c>
      <c r="AB261" t="str">
        <f t="shared" ca="1" si="33"/>
        <v/>
      </c>
      <c r="AC261" s="24" t="str">
        <f t="shared" ca="1" si="34"/>
        <v/>
      </c>
      <c r="AD261" s="24" t="str">
        <f t="shared" ca="1" si="35"/>
        <v/>
      </c>
    </row>
    <row r="262" spans="3:30" x14ac:dyDescent="0.25">
      <c r="C262" s="6">
        <v>255</v>
      </c>
      <c r="D262" s="35">
        <v>42368</v>
      </c>
      <c r="E262" s="37">
        <v>14.911</v>
      </c>
      <c r="F262" s="37">
        <v>36.619669603945177</v>
      </c>
      <c r="G262" s="37">
        <v>32.340000000000003</v>
      </c>
      <c r="H262" s="37">
        <v>2.2077365422259194</v>
      </c>
      <c r="I262" s="37">
        <v>41.679445026359062</v>
      </c>
      <c r="J262" s="10">
        <v>0</v>
      </c>
      <c r="K262" s="38">
        <v>0</v>
      </c>
      <c r="L262" s="38">
        <v>0</v>
      </c>
      <c r="M262" s="38">
        <v>0</v>
      </c>
      <c r="N262" s="38">
        <v>0</v>
      </c>
      <c r="O262" s="38">
        <v>0</v>
      </c>
      <c r="P262" s="38">
        <v>0</v>
      </c>
      <c r="Q262" s="38">
        <v>0</v>
      </c>
      <c r="R262" s="38">
        <v>0</v>
      </c>
      <c r="S262" s="38">
        <v>0</v>
      </c>
      <c r="T262" s="38">
        <v>0</v>
      </c>
      <c r="U262" s="29" cm="1">
        <f t="array" aca="1" ref="U262" ca="1">+fair_value_gap(OFFSET(T261,0,0,-1*$J$5,-1*$AA$1),OFFSET(E261,0,0,-1*$J$5,1),F262:T262,0)</f>
        <v>15.646725367408909</v>
      </c>
      <c r="V262" s="9" t="str" cm="1">
        <f t="array" aca="1" ref="V262" ca="1">z_score_diff(OFFSET(U262,0,0,$J$5*-1,1),OFFSET(E262,0,0,$J$5*-1,1))</f>
        <v/>
      </c>
      <c r="W262" s="9" t="str">
        <f t="shared" ca="1" si="31"/>
        <v/>
      </c>
      <c r="X262" s="17">
        <f t="shared" ca="1" si="30"/>
        <v>-8.9532522668176753E-2</v>
      </c>
      <c r="Y262" s="13">
        <f t="shared" si="39"/>
        <v>0</v>
      </c>
      <c r="Z262" s="13">
        <f t="shared" si="39"/>
        <v>0</v>
      </c>
      <c r="AA262" t="str">
        <f t="shared" ca="1" si="32"/>
        <v/>
      </c>
      <c r="AB262" t="str">
        <f t="shared" ca="1" si="33"/>
        <v/>
      </c>
      <c r="AC262" s="24" t="str">
        <f t="shared" ca="1" si="34"/>
        <v/>
      </c>
      <c r="AD262" s="24" t="str">
        <f t="shared" ca="1" si="35"/>
        <v/>
      </c>
    </row>
    <row r="263" spans="3:30" x14ac:dyDescent="0.25">
      <c r="C263" s="6">
        <v>256</v>
      </c>
      <c r="D263" s="35">
        <v>42369</v>
      </c>
      <c r="E263" s="37">
        <v>14.471</v>
      </c>
      <c r="F263" s="37">
        <v>37.616193922607906</v>
      </c>
      <c r="G263" s="37">
        <v>30.4</v>
      </c>
      <c r="H263" s="37">
        <v>2.2980041527105732</v>
      </c>
      <c r="I263" s="37">
        <v>41.81103609854032</v>
      </c>
      <c r="J263" s="10">
        <v>0</v>
      </c>
      <c r="K263" s="38">
        <v>0</v>
      </c>
      <c r="L263" s="38">
        <v>0</v>
      </c>
      <c r="M263" s="38">
        <v>0</v>
      </c>
      <c r="N263" s="38">
        <v>0</v>
      </c>
      <c r="O263" s="38">
        <v>0</v>
      </c>
      <c r="P263" s="38">
        <v>0</v>
      </c>
      <c r="Q263" s="38">
        <v>0</v>
      </c>
      <c r="R263" s="38">
        <v>0</v>
      </c>
      <c r="S263" s="38">
        <v>0</v>
      </c>
      <c r="T263" s="38">
        <v>0</v>
      </c>
      <c r="U263" s="29" cm="1">
        <f t="array" aca="1" ref="U263" ca="1">+fair_value_gap(OFFSET(T262,0,0,-1*$J$5,-1*$AA$1),OFFSET(E262,0,0,-1*$J$5,1),F263:T263,0)</f>
        <v>15.417098156297644</v>
      </c>
      <c r="V263" s="9" t="str" cm="1">
        <f t="array" aca="1" ref="V263" ca="1">z_score_diff(OFFSET(U263,0,0,$J$5*-1,1),OFFSET(E263,0,0,$J$5*-1,1))</f>
        <v/>
      </c>
      <c r="W263" s="9" t="str">
        <f t="shared" ca="1" si="31"/>
        <v/>
      </c>
      <c r="X263" s="17">
        <f t="shared" ref="X263:X326" ca="1" si="40">+LN(OFFSET(E263,$X$3,0,1,1)/E263)</f>
        <v>-6.4506273252684154E-2</v>
      </c>
      <c r="Y263" s="13">
        <f t="shared" si="39"/>
        <v>0</v>
      </c>
      <c r="Z263" s="13">
        <f t="shared" si="39"/>
        <v>0</v>
      </c>
      <c r="AA263" t="str">
        <f t="shared" ca="1" si="32"/>
        <v/>
      </c>
      <c r="AB263" t="str">
        <f t="shared" ca="1" si="33"/>
        <v/>
      </c>
      <c r="AC263" s="24" t="str">
        <f t="shared" ca="1" si="34"/>
        <v/>
      </c>
      <c r="AD263" s="24" t="str">
        <f t="shared" ca="1" si="35"/>
        <v/>
      </c>
    </row>
    <row r="264" spans="3:30" x14ac:dyDescent="0.25">
      <c r="C264" s="6">
        <v>257</v>
      </c>
      <c r="D264" s="35">
        <v>42373</v>
      </c>
      <c r="E264" s="37">
        <v>14.231999999999999</v>
      </c>
      <c r="F264" s="37">
        <v>37.635796068721604</v>
      </c>
      <c r="G264" s="37">
        <v>30.56</v>
      </c>
      <c r="H264" s="37">
        <v>2.2895568472260361</v>
      </c>
      <c r="I264" s="37">
        <v>41.786938046042778</v>
      </c>
      <c r="J264" s="10">
        <v>1</v>
      </c>
      <c r="K264" s="38">
        <v>0</v>
      </c>
      <c r="L264" s="38">
        <v>0</v>
      </c>
      <c r="M264" s="38">
        <v>0</v>
      </c>
      <c r="N264" s="38">
        <v>0</v>
      </c>
      <c r="O264" s="38">
        <v>0</v>
      </c>
      <c r="P264" s="38">
        <v>0</v>
      </c>
      <c r="Q264" s="38">
        <v>0</v>
      </c>
      <c r="R264" s="38">
        <v>0</v>
      </c>
      <c r="S264" s="38">
        <v>0</v>
      </c>
      <c r="T264" s="38">
        <v>0</v>
      </c>
      <c r="U264" s="29" cm="1">
        <f t="array" aca="1" ref="U264" ca="1">+fair_value_gap(OFFSET(T263,0,0,-1*$J$5,-1*$AA$1),OFFSET(E263,0,0,-1*$J$5,1),F264:T264,0)</f>
        <v>16.175945760253111</v>
      </c>
      <c r="V264" s="9" t="str" cm="1">
        <f t="array" aca="1" ref="V264" ca="1">z_score_diff(OFFSET(U264,0,0,$J$5*-1,1),OFFSET(E264,0,0,$J$5*-1,1))</f>
        <v/>
      </c>
      <c r="W264" s="9" t="str">
        <f t="shared" ref="W264:W327" ca="1" si="41">+IF(ISERROR(AVERAGE(OFFSET(V264,0,0,$W$5*-1,1))),"",AVERAGE(OFFSET(V264,0,0,$W$5*-1,1)))</f>
        <v/>
      </c>
      <c r="X264" s="17">
        <f t="shared" ca="1" si="40"/>
        <v>-8.8545590239324248E-2</v>
      </c>
      <c r="Y264" s="13">
        <f t="shared" si="39"/>
        <v>0</v>
      </c>
      <c r="Z264" s="13">
        <f t="shared" si="39"/>
        <v>0</v>
      </c>
      <c r="AA264" t="str">
        <f t="shared" ref="AA264:AA327" ca="1" si="42">+IF(W264="","",IF(W264&lt;Y264,1,0))</f>
        <v/>
      </c>
      <c r="AB264" t="str">
        <f t="shared" ref="AB264:AB327" ca="1" si="43">+IF(W264="","",IF(W264&gt;Z264,1,0))</f>
        <v/>
      </c>
      <c r="AC264" s="24" t="str">
        <f t="shared" ref="AC264:AC327" ca="1" si="44">+IF(ISERROR(AA264*X264),"",AA264*X264)</f>
        <v/>
      </c>
      <c r="AD264" s="24" t="str">
        <f t="shared" ref="AD264:AD327" ca="1" si="45">+IF(ISERROR(AB264*X264),"",AB264*X264)</f>
        <v/>
      </c>
    </row>
    <row r="265" spans="3:30" x14ac:dyDescent="0.25">
      <c r="C265" s="6">
        <v>258</v>
      </c>
      <c r="D265" s="35">
        <v>42374</v>
      </c>
      <c r="E265" s="37">
        <v>14.395</v>
      </c>
      <c r="F265" s="37">
        <v>37.295541012135629</v>
      </c>
      <c r="G265" s="37">
        <v>30.64</v>
      </c>
      <c r="H265" s="37">
        <v>2.3151190883929313</v>
      </c>
      <c r="I265" s="37">
        <v>42.812578104027622</v>
      </c>
      <c r="J265" s="10">
        <v>1</v>
      </c>
      <c r="K265" s="38">
        <v>0</v>
      </c>
      <c r="L265" s="38">
        <v>0</v>
      </c>
      <c r="M265" s="38">
        <v>0</v>
      </c>
      <c r="N265" s="38">
        <v>0</v>
      </c>
      <c r="O265" s="38">
        <v>0</v>
      </c>
      <c r="P265" s="38">
        <v>0</v>
      </c>
      <c r="Q265" s="38">
        <v>0</v>
      </c>
      <c r="R265" s="38">
        <v>0</v>
      </c>
      <c r="S265" s="38">
        <v>0</v>
      </c>
      <c r="T265" s="38">
        <v>0</v>
      </c>
      <c r="U265" s="29" cm="1">
        <f t="array" aca="1" ref="U265" ca="1">+fair_value_gap(OFFSET(T264,0,0,-1*$J$5,-1*$AA$1),OFFSET(E264,0,0,-1*$J$5,1),F265:T265,0)</f>
        <v>16.068741363899207</v>
      </c>
      <c r="V265" s="9" t="str" cm="1">
        <f t="array" aca="1" ref="V265" ca="1">z_score_diff(OFFSET(U265,0,0,$J$5*-1,1),OFFSET(E265,0,0,$J$5*-1,1))</f>
        <v/>
      </c>
      <c r="W265" s="9" t="str">
        <f t="shared" ca="1" si="41"/>
        <v/>
      </c>
      <c r="X265" s="17">
        <f t="shared" ca="1" si="40"/>
        <v>-0.11004128473083107</v>
      </c>
      <c r="Y265" s="13">
        <f t="shared" ref="Y265:Z280" si="46">+Y264</f>
        <v>0</v>
      </c>
      <c r="Z265" s="13">
        <f t="shared" si="46"/>
        <v>0</v>
      </c>
      <c r="AA265" t="str">
        <f t="shared" ca="1" si="42"/>
        <v/>
      </c>
      <c r="AB265" t="str">
        <f t="shared" ca="1" si="43"/>
        <v/>
      </c>
      <c r="AC265" s="24" t="str">
        <f t="shared" ca="1" si="44"/>
        <v/>
      </c>
      <c r="AD265" s="24" t="str">
        <f t="shared" ca="1" si="45"/>
        <v/>
      </c>
    </row>
    <row r="266" spans="3:30" x14ac:dyDescent="0.25">
      <c r="C266" s="6">
        <v>259</v>
      </c>
      <c r="D266" s="35">
        <v>42375</v>
      </c>
      <c r="E266" s="37">
        <v>14.569000000000001</v>
      </c>
      <c r="F266" s="37">
        <v>35.294660149405146</v>
      </c>
      <c r="G266" s="37">
        <v>30.57</v>
      </c>
      <c r="H266" s="37">
        <v>2.2927234160287746</v>
      </c>
      <c r="I266" s="37">
        <v>43.299824771742138</v>
      </c>
      <c r="J266" s="10">
        <v>1</v>
      </c>
      <c r="K266" s="38">
        <v>0</v>
      </c>
      <c r="L266" s="38">
        <v>0</v>
      </c>
      <c r="M266" s="38">
        <v>0</v>
      </c>
      <c r="N266" s="38">
        <v>0</v>
      </c>
      <c r="O266" s="38">
        <v>0</v>
      </c>
      <c r="P266" s="38">
        <v>0</v>
      </c>
      <c r="Q266" s="38">
        <v>0</v>
      </c>
      <c r="R266" s="38">
        <v>0</v>
      </c>
      <c r="S266" s="38">
        <v>0</v>
      </c>
      <c r="T266" s="38">
        <v>0</v>
      </c>
      <c r="U266" s="29" cm="1">
        <f t="array" aca="1" ref="U266" ca="1">+fair_value_gap(OFFSET(T265,0,0,-1*$J$5,-1*$AA$1),OFFSET(E265,0,0,-1*$J$5,1),F266:T266,0)</f>
        <v>15.70951504643001</v>
      </c>
      <c r="V266" s="9" t="str" cm="1">
        <f t="array" aca="1" ref="V266" ca="1">z_score_diff(OFFSET(U266,0,0,$J$5*-1,1),OFFSET(E266,0,0,$J$5*-1,1))</f>
        <v/>
      </c>
      <c r="W266" s="9" t="str">
        <f t="shared" ca="1" si="41"/>
        <v/>
      </c>
      <c r="X266" s="17">
        <f t="shared" ca="1" si="40"/>
        <v>-0.11695113523062084</v>
      </c>
      <c r="Y266" s="13">
        <f t="shared" si="46"/>
        <v>0</v>
      </c>
      <c r="Z266" s="13">
        <f t="shared" si="46"/>
        <v>0</v>
      </c>
      <c r="AA266" t="str">
        <f t="shared" ca="1" si="42"/>
        <v/>
      </c>
      <c r="AB266" t="str">
        <f t="shared" ca="1" si="43"/>
        <v/>
      </c>
      <c r="AC266" s="24" t="str">
        <f t="shared" ca="1" si="44"/>
        <v/>
      </c>
      <c r="AD266" s="24" t="str">
        <f t="shared" ca="1" si="45"/>
        <v/>
      </c>
    </row>
    <row r="267" spans="3:30" x14ac:dyDescent="0.25">
      <c r="C267" s="6">
        <v>260</v>
      </c>
      <c r="D267" s="35">
        <v>42376</v>
      </c>
      <c r="E267" s="37">
        <v>14.872</v>
      </c>
      <c r="F267" s="37">
        <v>34.271837154200526</v>
      </c>
      <c r="G267" s="37">
        <v>30.63</v>
      </c>
      <c r="H267" s="37">
        <v>2.3275379850742874</v>
      </c>
      <c r="I267" s="37">
        <v>41.793814151685623</v>
      </c>
      <c r="J267" s="10">
        <v>1</v>
      </c>
      <c r="K267" s="38">
        <v>0</v>
      </c>
      <c r="L267" s="38">
        <v>0</v>
      </c>
      <c r="M267" s="38">
        <v>0</v>
      </c>
      <c r="N267" s="38">
        <v>0</v>
      </c>
      <c r="O267" s="38">
        <v>0</v>
      </c>
      <c r="P267" s="38">
        <v>0</v>
      </c>
      <c r="Q267" s="38">
        <v>0</v>
      </c>
      <c r="R267" s="38">
        <v>0</v>
      </c>
      <c r="S267" s="38">
        <v>0</v>
      </c>
      <c r="T267" s="38">
        <v>0</v>
      </c>
      <c r="U267" s="29" cm="1">
        <f t="array" aca="1" ref="U267" ca="1">+fair_value_gap(OFFSET(T266,0,0,-1*$J$5,-1*$AA$1),OFFSET(E266,0,0,-1*$J$5,1),F267:T267,0)</f>
        <v>15.321834733878459</v>
      </c>
      <c r="V267" s="9" t="str" cm="1">
        <f t="array" aca="1" ref="V267" ca="1">z_score_diff(OFFSET(U267,0,0,$J$5*-1,1),OFFSET(E267,0,0,$J$5*-1,1))</f>
        <v/>
      </c>
      <c r="W267" s="9" t="str">
        <f t="shared" ca="1" si="41"/>
        <v/>
      </c>
      <c r="X267" s="17">
        <f t="shared" ca="1" si="40"/>
        <v>-0.1700783607445914</v>
      </c>
      <c r="Y267" s="13">
        <f t="shared" si="46"/>
        <v>0</v>
      </c>
      <c r="Z267" s="13">
        <f t="shared" si="46"/>
        <v>0</v>
      </c>
      <c r="AA267" t="str">
        <f t="shared" ca="1" si="42"/>
        <v/>
      </c>
      <c r="AB267" t="str">
        <f t="shared" ca="1" si="43"/>
        <v/>
      </c>
      <c r="AC267" s="24" t="str">
        <f t="shared" ca="1" si="44"/>
        <v/>
      </c>
      <c r="AD267" s="24" t="str">
        <f t="shared" ca="1" si="45"/>
        <v/>
      </c>
    </row>
    <row r="268" spans="3:30" x14ac:dyDescent="0.25">
      <c r="C268" s="6">
        <v>261</v>
      </c>
      <c r="D268" s="35">
        <v>42377</v>
      </c>
      <c r="E268" s="37">
        <v>14.266</v>
      </c>
      <c r="F268" s="37">
        <v>34.250318819457092</v>
      </c>
      <c r="G268" s="37">
        <v>30.32</v>
      </c>
      <c r="H268" s="37">
        <v>2.3902350154855165</v>
      </c>
      <c r="I268" s="37">
        <v>41.49207505920932</v>
      </c>
      <c r="J268" s="10">
        <v>1</v>
      </c>
      <c r="K268" s="38">
        <v>0</v>
      </c>
      <c r="L268" s="38">
        <v>0</v>
      </c>
      <c r="M268" s="38">
        <v>0</v>
      </c>
      <c r="N268" s="38">
        <v>0</v>
      </c>
      <c r="O268" s="38">
        <v>0</v>
      </c>
      <c r="P268" s="38">
        <v>0</v>
      </c>
      <c r="Q268" s="38">
        <v>0</v>
      </c>
      <c r="R268" s="38">
        <v>0</v>
      </c>
      <c r="S268" s="38">
        <v>0</v>
      </c>
      <c r="T268" s="38">
        <v>0</v>
      </c>
      <c r="U268" s="29" cm="1">
        <f t="array" aca="1" ref="U268" ca="1">+fair_value_gap(OFFSET(T267,0,0,-1*$J$5,-1*$AA$1),OFFSET(E267,0,0,-1*$J$5,1),F268:T268,0)</f>
        <v>15.214972362800594</v>
      </c>
      <c r="V268" s="9" t="str" cm="1">
        <f t="array" aca="1" ref="V268" ca="1">z_score_diff(OFFSET(U268,0,0,$J$5*-1,1),OFFSET(E268,0,0,$J$5*-1,1))</f>
        <v/>
      </c>
      <c r="W268" s="9" t="str">
        <f t="shared" ca="1" si="41"/>
        <v/>
      </c>
      <c r="X268" s="17">
        <f t="shared" ca="1" si="40"/>
        <v>-0.13680123776301834</v>
      </c>
      <c r="Y268" s="13">
        <f t="shared" si="46"/>
        <v>0</v>
      </c>
      <c r="Z268" s="13">
        <f t="shared" si="46"/>
        <v>0</v>
      </c>
      <c r="AA268" t="str">
        <f t="shared" ca="1" si="42"/>
        <v/>
      </c>
      <c r="AB268" t="str">
        <f t="shared" ca="1" si="43"/>
        <v/>
      </c>
      <c r="AC268" s="24" t="str">
        <f t="shared" ca="1" si="44"/>
        <v/>
      </c>
      <c r="AD268" s="24" t="str">
        <f t="shared" ca="1" si="45"/>
        <v/>
      </c>
    </row>
    <row r="269" spans="3:30" x14ac:dyDescent="0.25">
      <c r="C269" s="6">
        <v>262</v>
      </c>
      <c r="D269" s="35">
        <v>42380</v>
      </c>
      <c r="E269" s="37">
        <v>14.131</v>
      </c>
      <c r="F269" s="37">
        <v>32.551892462399955</v>
      </c>
      <c r="G269" s="37">
        <v>30.1</v>
      </c>
      <c r="H269" s="37">
        <v>2.3380925855346097</v>
      </c>
      <c r="I269" s="37">
        <v>41.136503562109702</v>
      </c>
      <c r="J269" s="10">
        <v>1</v>
      </c>
      <c r="K269" s="38">
        <v>0</v>
      </c>
      <c r="L269" s="38">
        <v>0</v>
      </c>
      <c r="M269" s="38">
        <v>0</v>
      </c>
      <c r="N269" s="38">
        <v>0</v>
      </c>
      <c r="O269" s="38">
        <v>0</v>
      </c>
      <c r="P269" s="38">
        <v>0</v>
      </c>
      <c r="Q269" s="38">
        <v>0</v>
      </c>
      <c r="R269" s="38">
        <v>0</v>
      </c>
      <c r="S269" s="38">
        <v>0</v>
      </c>
      <c r="T269" s="38">
        <v>0</v>
      </c>
      <c r="U269" s="29" cm="1">
        <f t="array" aca="1" ref="U269" ca="1">+fair_value_gap(OFFSET(T268,0,0,-1*$J$5,-1*$AA$1),OFFSET(E268,0,0,-1*$J$5,1),F269:T269,0)</f>
        <v>14.793338968513535</v>
      </c>
      <c r="V269" s="9" t="str" cm="1">
        <f t="array" aca="1" ref="V269" ca="1">z_score_diff(OFFSET(U269,0,0,$J$5*-1,1),OFFSET(E269,0,0,$J$5*-1,1))</f>
        <v/>
      </c>
      <c r="W269" s="9" t="str">
        <f t="shared" ca="1" si="41"/>
        <v/>
      </c>
      <c r="X269" s="17">
        <f t="shared" ca="1" si="40"/>
        <v>-0.13739054364126185</v>
      </c>
      <c r="Y269" s="13">
        <f t="shared" si="46"/>
        <v>0</v>
      </c>
      <c r="Z269" s="13">
        <f t="shared" si="46"/>
        <v>0</v>
      </c>
      <c r="AA269" t="str">
        <f t="shared" ca="1" si="42"/>
        <v/>
      </c>
      <c r="AB269" t="str">
        <f t="shared" ca="1" si="43"/>
        <v/>
      </c>
      <c r="AC269" s="24" t="str">
        <f t="shared" ca="1" si="44"/>
        <v/>
      </c>
      <c r="AD269" s="24" t="str">
        <f t="shared" ca="1" si="45"/>
        <v/>
      </c>
    </row>
    <row r="270" spans="3:30" x14ac:dyDescent="0.25">
      <c r="C270" s="6">
        <v>263</v>
      </c>
      <c r="D270" s="35">
        <v>42381</v>
      </c>
      <c r="E270" s="37">
        <v>13.616</v>
      </c>
      <c r="F270" s="37">
        <v>31.540942746132981</v>
      </c>
      <c r="G270" s="37">
        <v>29.3</v>
      </c>
      <c r="H270" s="37">
        <v>2.2725606627080124</v>
      </c>
      <c r="I270" s="37">
        <v>40.823619969210462</v>
      </c>
      <c r="J270" s="10">
        <v>1</v>
      </c>
      <c r="K270" s="38">
        <v>0</v>
      </c>
      <c r="L270" s="38">
        <v>0</v>
      </c>
      <c r="M270" s="38">
        <v>0</v>
      </c>
      <c r="N270" s="38">
        <v>0</v>
      </c>
      <c r="O270" s="38">
        <v>0</v>
      </c>
      <c r="P270" s="38">
        <v>0</v>
      </c>
      <c r="Q270" s="38">
        <v>0</v>
      </c>
      <c r="R270" s="38">
        <v>0</v>
      </c>
      <c r="S270" s="38">
        <v>0</v>
      </c>
      <c r="T270" s="38">
        <v>0</v>
      </c>
      <c r="U270" s="29" cm="1">
        <f t="array" aca="1" ref="U270" ca="1">+fair_value_gap(OFFSET(T269,0,0,-1*$J$5,-1*$AA$1),OFFSET(E269,0,0,-1*$J$5,1),F270:T270,0)</f>
        <v>14.367141147357621</v>
      </c>
      <c r="V270" s="9" t="str" cm="1">
        <f t="array" aca="1" ref="V270" ca="1">z_score_diff(OFFSET(U270,0,0,$J$5*-1,1),OFFSET(E270,0,0,$J$5*-1,1))</f>
        <v/>
      </c>
      <c r="W270" s="9" t="str">
        <f t="shared" ca="1" si="41"/>
        <v/>
      </c>
      <c r="X270" s="17">
        <f t="shared" ca="1" si="40"/>
        <v>-0.11095782000471568</v>
      </c>
      <c r="Y270" s="13">
        <f t="shared" si="46"/>
        <v>0</v>
      </c>
      <c r="Z270" s="13">
        <f t="shared" si="46"/>
        <v>0</v>
      </c>
      <c r="AA270" t="str">
        <f t="shared" ca="1" si="42"/>
        <v/>
      </c>
      <c r="AB270" t="str">
        <f t="shared" ca="1" si="43"/>
        <v/>
      </c>
      <c r="AC270" s="24" t="str">
        <f t="shared" ca="1" si="44"/>
        <v/>
      </c>
      <c r="AD270" s="24" t="str">
        <f t="shared" ca="1" si="45"/>
        <v/>
      </c>
    </row>
    <row r="271" spans="3:30" x14ac:dyDescent="0.25">
      <c r="C271" s="6">
        <v>264</v>
      </c>
      <c r="D271" s="35">
        <v>42382</v>
      </c>
      <c r="E271" s="37">
        <v>13.672000000000001</v>
      </c>
      <c r="F271" s="37">
        <v>30.734762928078275</v>
      </c>
      <c r="G271" s="37">
        <v>29.27</v>
      </c>
      <c r="H271" s="37">
        <v>2.2797311508390106</v>
      </c>
      <c r="I271" s="37">
        <v>39.778702391294409</v>
      </c>
      <c r="J271" s="10">
        <v>1</v>
      </c>
      <c r="K271" s="38">
        <v>0</v>
      </c>
      <c r="L271" s="38">
        <v>0</v>
      </c>
      <c r="M271" s="38">
        <v>0</v>
      </c>
      <c r="N271" s="38">
        <v>0</v>
      </c>
      <c r="O271" s="38">
        <v>0</v>
      </c>
      <c r="P271" s="38">
        <v>0</v>
      </c>
      <c r="Q271" s="38">
        <v>0</v>
      </c>
      <c r="R271" s="38">
        <v>0</v>
      </c>
      <c r="S271" s="38">
        <v>0</v>
      </c>
      <c r="T271" s="38">
        <v>0</v>
      </c>
      <c r="U271" s="29" cm="1">
        <f t="array" aca="1" ref="U271" ca="1">+fair_value_gap(OFFSET(T270,0,0,-1*$J$5,-1*$AA$1),OFFSET(E270,0,0,-1*$J$5,1),F271:T271,0)</f>
        <v>14.047998651280269</v>
      </c>
      <c r="V271" s="9" t="str" cm="1">
        <f t="array" aca="1" ref="V271" ca="1">z_score_diff(OFFSET(U271,0,0,$J$5*-1,1),OFFSET(E271,0,0,$J$5*-1,1))</f>
        <v/>
      </c>
      <c r="W271" s="9" t="str">
        <f t="shared" ca="1" si="41"/>
        <v/>
      </c>
      <c r="X271" s="17">
        <f t="shared" ca="1" si="40"/>
        <v>-0.12578748448909555</v>
      </c>
      <c r="Y271" s="13">
        <f t="shared" si="46"/>
        <v>0</v>
      </c>
      <c r="Z271" s="13">
        <f t="shared" si="46"/>
        <v>0</v>
      </c>
      <c r="AA271" t="str">
        <f t="shared" ca="1" si="42"/>
        <v/>
      </c>
      <c r="AB271" t="str">
        <f t="shared" ca="1" si="43"/>
        <v/>
      </c>
      <c r="AC271" s="24" t="str">
        <f t="shared" ca="1" si="44"/>
        <v/>
      </c>
      <c r="AD271" s="24" t="str">
        <f t="shared" ca="1" si="45"/>
        <v/>
      </c>
    </row>
    <row r="272" spans="3:30" x14ac:dyDescent="0.25">
      <c r="C272" s="6">
        <v>265</v>
      </c>
      <c r="D272" s="35">
        <v>42383</v>
      </c>
      <c r="E272" s="37">
        <v>13.29</v>
      </c>
      <c r="F272" s="37">
        <v>31.166913797793313</v>
      </c>
      <c r="G272" s="37">
        <v>28.35</v>
      </c>
      <c r="H272" s="37">
        <v>2.2209746094519183</v>
      </c>
      <c r="I272" s="37">
        <v>40.252302715633739</v>
      </c>
      <c r="J272" s="10">
        <v>1</v>
      </c>
      <c r="K272" s="38">
        <v>0</v>
      </c>
      <c r="L272" s="38">
        <v>0</v>
      </c>
      <c r="M272" s="38">
        <v>0</v>
      </c>
      <c r="N272" s="38">
        <v>0</v>
      </c>
      <c r="O272" s="38">
        <v>0</v>
      </c>
      <c r="P272" s="38">
        <v>0</v>
      </c>
      <c r="Q272" s="38">
        <v>0</v>
      </c>
      <c r="R272" s="38">
        <v>0</v>
      </c>
      <c r="S272" s="38">
        <v>0</v>
      </c>
      <c r="T272" s="38">
        <v>0</v>
      </c>
      <c r="U272" s="29" cm="1">
        <f t="array" aca="1" ref="U272" ca="1">+fair_value_gap(OFFSET(T271,0,0,-1*$J$5,-1*$AA$1),OFFSET(E271,0,0,-1*$J$5,1),F272:T272,0)</f>
        <v>13.889111755419062</v>
      </c>
      <c r="V272" s="9" t="str" cm="1">
        <f t="array" aca="1" ref="V272" ca="1">z_score_diff(OFFSET(U272,0,0,$J$5*-1,1),OFFSET(E272,0,0,$J$5*-1,1))</f>
        <v/>
      </c>
      <c r="W272" s="9" t="str">
        <f t="shared" ca="1" si="41"/>
        <v/>
      </c>
      <c r="X272" s="17">
        <f t="shared" ca="1" si="40"/>
        <v>-0.10720152036190263</v>
      </c>
      <c r="Y272" s="13">
        <f t="shared" si="46"/>
        <v>0</v>
      </c>
      <c r="Z272" s="13">
        <f t="shared" si="46"/>
        <v>0</v>
      </c>
      <c r="AA272" t="str">
        <f t="shared" ca="1" si="42"/>
        <v/>
      </c>
      <c r="AB272" t="str">
        <f t="shared" ca="1" si="43"/>
        <v/>
      </c>
      <c r="AC272" s="24" t="str">
        <f t="shared" ca="1" si="44"/>
        <v/>
      </c>
      <c r="AD272" s="24" t="str">
        <f t="shared" ca="1" si="45"/>
        <v/>
      </c>
    </row>
    <row r="273" spans="3:30" x14ac:dyDescent="0.25">
      <c r="C273" s="6">
        <v>266</v>
      </c>
      <c r="D273" s="35">
        <v>42384</v>
      </c>
      <c r="E273" s="37">
        <v>12.852</v>
      </c>
      <c r="F273" s="37">
        <v>29.675456592809173</v>
      </c>
      <c r="G273" s="37">
        <v>28.7</v>
      </c>
      <c r="H273" s="37">
        <v>2.1700633337677711</v>
      </c>
      <c r="I273" s="37">
        <v>39.144989578045269</v>
      </c>
      <c r="J273" s="10">
        <v>1</v>
      </c>
      <c r="K273" s="38">
        <v>0</v>
      </c>
      <c r="L273" s="38">
        <v>0</v>
      </c>
      <c r="M273" s="38">
        <v>0</v>
      </c>
      <c r="N273" s="38">
        <v>0</v>
      </c>
      <c r="O273" s="38">
        <v>0</v>
      </c>
      <c r="P273" s="38">
        <v>0</v>
      </c>
      <c r="Q273" s="38">
        <v>0</v>
      </c>
      <c r="R273" s="38">
        <v>0</v>
      </c>
      <c r="S273" s="38">
        <v>0</v>
      </c>
      <c r="T273" s="38">
        <v>0</v>
      </c>
      <c r="U273" s="29" cm="1">
        <f t="array" aca="1" ref="U273" ca="1">+fair_value_gap(OFFSET(T272,0,0,-1*$J$5,-1*$AA$1),OFFSET(E272,0,0,-1*$J$5,1),F273:T273,0)</f>
        <v>13.54877161549091</v>
      </c>
      <c r="V273" s="9" t="str" cm="1">
        <f t="array" aca="1" ref="V273" ca="1">z_score_diff(OFFSET(U273,0,0,$J$5*-1,1),OFFSET(E273,0,0,$J$5*-1,1))</f>
        <v/>
      </c>
      <c r="W273" s="9" t="str">
        <f t="shared" ca="1" si="41"/>
        <v/>
      </c>
      <c r="X273" s="17">
        <f t="shared" ca="1" si="40"/>
        <v>-5.2719442309321608E-2</v>
      </c>
      <c r="Y273" s="13">
        <f t="shared" si="46"/>
        <v>0</v>
      </c>
      <c r="Z273" s="13">
        <f t="shared" si="46"/>
        <v>0</v>
      </c>
      <c r="AA273" t="str">
        <f t="shared" ca="1" si="42"/>
        <v/>
      </c>
      <c r="AB273" t="str">
        <f t="shared" ca="1" si="43"/>
        <v/>
      </c>
      <c r="AC273" s="24" t="str">
        <f t="shared" ca="1" si="44"/>
        <v/>
      </c>
      <c r="AD273" s="24" t="str">
        <f t="shared" ca="1" si="45"/>
        <v/>
      </c>
    </row>
    <row r="274" spans="3:30" x14ac:dyDescent="0.25">
      <c r="C274" s="6">
        <v>267</v>
      </c>
      <c r="D274" s="35">
        <v>42387</v>
      </c>
      <c r="E274" s="37">
        <v>12.916</v>
      </c>
      <c r="F274" s="37">
        <v>29.066928770966292</v>
      </c>
      <c r="G274" s="37">
        <v>28.32</v>
      </c>
      <c r="H274" s="37">
        <v>2.1729468572581077</v>
      </c>
      <c r="I274" s="37">
        <v>40.018361902884514</v>
      </c>
      <c r="J274" s="10">
        <v>1</v>
      </c>
      <c r="K274" s="38">
        <v>0</v>
      </c>
      <c r="L274" s="38">
        <v>0</v>
      </c>
      <c r="M274" s="38">
        <v>0</v>
      </c>
      <c r="N274" s="38">
        <v>0</v>
      </c>
      <c r="O274" s="38">
        <v>0</v>
      </c>
      <c r="P274" s="38">
        <v>0</v>
      </c>
      <c r="Q274" s="38">
        <v>0</v>
      </c>
      <c r="R274" s="38">
        <v>0</v>
      </c>
      <c r="S274" s="38">
        <v>0</v>
      </c>
      <c r="T274" s="38">
        <v>0</v>
      </c>
      <c r="U274" s="29" cm="1">
        <f t="array" aca="1" ref="U274" ca="1">+fair_value_gap(OFFSET(T273,0,0,-1*$J$5,-1*$AA$1),OFFSET(E273,0,0,-1*$J$5,1),F274:T274,0)</f>
        <v>13.426596870261626</v>
      </c>
      <c r="V274" s="9" t="str" cm="1">
        <f t="array" aca="1" ref="V274" ca="1">z_score_diff(OFFSET(U274,0,0,$J$5*-1,1),OFFSET(E274,0,0,$J$5*-1,1))</f>
        <v/>
      </c>
      <c r="W274" s="9" t="str">
        <f t="shared" ca="1" si="41"/>
        <v/>
      </c>
      <c r="X274" s="17">
        <f t="shared" ca="1" si="40"/>
        <v>-6.3609872254860422E-2</v>
      </c>
      <c r="Y274" s="13">
        <f t="shared" si="46"/>
        <v>0</v>
      </c>
      <c r="Z274" s="13">
        <f t="shared" si="46"/>
        <v>0</v>
      </c>
      <c r="AA274" t="str">
        <f t="shared" ca="1" si="42"/>
        <v/>
      </c>
      <c r="AB274" t="str">
        <f t="shared" ca="1" si="43"/>
        <v/>
      </c>
      <c r="AC274" s="24" t="str">
        <f t="shared" ca="1" si="44"/>
        <v/>
      </c>
      <c r="AD274" s="24" t="str">
        <f t="shared" ca="1" si="45"/>
        <v/>
      </c>
    </row>
    <row r="275" spans="3:30" x14ac:dyDescent="0.25">
      <c r="C275" s="6">
        <v>268</v>
      </c>
      <c r="D275" s="35">
        <v>42388</v>
      </c>
      <c r="E275" s="37">
        <v>12.904</v>
      </c>
      <c r="F275" s="37">
        <v>29.427315988112387</v>
      </c>
      <c r="G275" s="37">
        <v>28.44</v>
      </c>
      <c r="H275" s="37">
        <v>2.163290608419786</v>
      </c>
      <c r="I275" s="37">
        <v>40.202745820190714</v>
      </c>
      <c r="J275" s="10">
        <v>1</v>
      </c>
      <c r="K275" s="38">
        <v>0</v>
      </c>
      <c r="L275" s="38">
        <v>0</v>
      </c>
      <c r="M275" s="38">
        <v>0</v>
      </c>
      <c r="N275" s="38">
        <v>0</v>
      </c>
      <c r="O275" s="38">
        <v>0</v>
      </c>
      <c r="P275" s="38">
        <v>0</v>
      </c>
      <c r="Q275" s="38">
        <v>0</v>
      </c>
      <c r="R275" s="38">
        <v>0</v>
      </c>
      <c r="S275" s="38">
        <v>0</v>
      </c>
      <c r="T275" s="38">
        <v>0</v>
      </c>
      <c r="U275" s="29" cm="1">
        <f t="array" aca="1" ref="U275" ca="1">+fair_value_gap(OFFSET(T274,0,0,-1*$J$5,-1*$AA$1),OFFSET(E274,0,0,-1*$J$5,1),F275:T275,0)</f>
        <v>13.416800741770174</v>
      </c>
      <c r="V275" s="9" t="str" cm="1">
        <f t="array" aca="1" ref="V275" ca="1">z_score_diff(OFFSET(U275,0,0,$J$5*-1,1),OFFSET(E275,0,0,$J$5*-1,1))</f>
        <v/>
      </c>
      <c r="W275" s="9" t="str">
        <f t="shared" ca="1" si="41"/>
        <v/>
      </c>
      <c r="X275" s="17">
        <f t="shared" ca="1" si="40"/>
        <v>-8.5969255474088055E-2</v>
      </c>
      <c r="Y275" s="13">
        <f t="shared" si="46"/>
        <v>0</v>
      </c>
      <c r="Z275" s="13">
        <f t="shared" si="46"/>
        <v>0</v>
      </c>
      <c r="AA275" t="str">
        <f t="shared" ca="1" si="42"/>
        <v/>
      </c>
      <c r="AB275" t="str">
        <f t="shared" ca="1" si="43"/>
        <v/>
      </c>
      <c r="AC275" s="24" t="str">
        <f t="shared" ca="1" si="44"/>
        <v/>
      </c>
      <c r="AD275" s="24" t="str">
        <f t="shared" ca="1" si="45"/>
        <v/>
      </c>
    </row>
    <row r="276" spans="3:30" x14ac:dyDescent="0.25">
      <c r="C276" s="6">
        <v>269</v>
      </c>
      <c r="D276" s="35">
        <v>42389</v>
      </c>
      <c r="E276" s="37">
        <v>12.425000000000001</v>
      </c>
      <c r="F276" s="37">
        <v>28.788411568338223</v>
      </c>
      <c r="G276" s="37">
        <v>27.88</v>
      </c>
      <c r="H276" s="37">
        <v>2.1901843572612649</v>
      </c>
      <c r="I276" s="37">
        <v>40.734871698854214</v>
      </c>
      <c r="J276" s="10">
        <v>1</v>
      </c>
      <c r="K276" s="38">
        <v>0</v>
      </c>
      <c r="L276" s="38">
        <v>0</v>
      </c>
      <c r="M276" s="38">
        <v>0</v>
      </c>
      <c r="N276" s="38">
        <v>0</v>
      </c>
      <c r="O276" s="38">
        <v>0</v>
      </c>
      <c r="P276" s="38">
        <v>0</v>
      </c>
      <c r="Q276" s="38">
        <v>0</v>
      </c>
      <c r="R276" s="38">
        <v>0</v>
      </c>
      <c r="S276" s="38">
        <v>0</v>
      </c>
      <c r="T276" s="38">
        <v>0</v>
      </c>
      <c r="U276" s="29" cm="1">
        <f t="array" aca="1" ref="U276" ca="1">+fair_value_gap(OFFSET(T275,0,0,-1*$J$5,-1*$AA$1),OFFSET(E275,0,0,-1*$J$5,1),F276:T276,0)</f>
        <v>13.210558368638317</v>
      </c>
      <c r="V276" s="9" t="str" cm="1">
        <f t="array" aca="1" ref="V276" ca="1">z_score_diff(OFFSET(U276,0,0,$J$5*-1,1),OFFSET(E276,0,0,$J$5*-1,1))</f>
        <v/>
      </c>
      <c r="W276" s="9" t="str">
        <f t="shared" ca="1" si="41"/>
        <v/>
      </c>
      <c r="X276" s="17">
        <f t="shared" ca="1" si="40"/>
        <v>-3.9062979115075669E-2</v>
      </c>
      <c r="Y276" s="13">
        <f t="shared" si="46"/>
        <v>0</v>
      </c>
      <c r="Z276" s="13">
        <f t="shared" si="46"/>
        <v>0</v>
      </c>
      <c r="AA276" t="str">
        <f t="shared" ca="1" si="42"/>
        <v/>
      </c>
      <c r="AB276" t="str">
        <f t="shared" ca="1" si="43"/>
        <v/>
      </c>
      <c r="AC276" s="24" t="str">
        <f t="shared" ca="1" si="44"/>
        <v/>
      </c>
      <c r="AD276" s="24" t="str">
        <f t="shared" ca="1" si="45"/>
        <v/>
      </c>
    </row>
    <row r="277" spans="3:30" x14ac:dyDescent="0.25">
      <c r="C277" s="6">
        <v>270</v>
      </c>
      <c r="D277" s="35">
        <v>42390</v>
      </c>
      <c r="E277" s="37">
        <v>12.244</v>
      </c>
      <c r="F277" s="37">
        <v>29.583555270906977</v>
      </c>
      <c r="G277" s="37">
        <v>27.18</v>
      </c>
      <c r="H277" s="37">
        <v>2.202778003649065</v>
      </c>
      <c r="I277" s="37">
        <v>41.205013672572719</v>
      </c>
      <c r="J277" s="10">
        <v>1</v>
      </c>
      <c r="K277" s="38">
        <v>0</v>
      </c>
      <c r="L277" s="38">
        <v>0</v>
      </c>
      <c r="M277" s="38">
        <v>0</v>
      </c>
      <c r="N277" s="38">
        <v>0</v>
      </c>
      <c r="O277" s="38">
        <v>0</v>
      </c>
      <c r="P277" s="38">
        <v>0</v>
      </c>
      <c r="Q277" s="38">
        <v>0</v>
      </c>
      <c r="R277" s="38">
        <v>0</v>
      </c>
      <c r="S277" s="38">
        <v>0</v>
      </c>
      <c r="T277" s="38">
        <v>0</v>
      </c>
      <c r="U277" s="29" cm="1">
        <f t="array" aca="1" ref="U277" ca="1">+fair_value_gap(OFFSET(T276,0,0,-1*$J$5,-1*$AA$1),OFFSET(E276,0,0,-1*$J$5,1),F277:T277,0)</f>
        <v>13.054955067236875</v>
      </c>
      <c r="V277" s="9" t="str" cm="1">
        <f t="array" aca="1" ref="V277" ca="1">z_score_diff(OFFSET(U277,0,0,$J$5*-1,1),OFFSET(E277,0,0,$J$5*-1,1))</f>
        <v/>
      </c>
      <c r="W277" s="9" t="str">
        <f t="shared" ca="1" si="41"/>
        <v/>
      </c>
      <c r="X277" s="17">
        <f t="shared" ca="1" si="40"/>
        <v>-6.8019110843036508E-3</v>
      </c>
      <c r="Y277" s="13">
        <f t="shared" si="46"/>
        <v>0</v>
      </c>
      <c r="Z277" s="13">
        <f t="shared" si="46"/>
        <v>0</v>
      </c>
      <c r="AA277" t="str">
        <f t="shared" ca="1" si="42"/>
        <v/>
      </c>
      <c r="AB277" t="str">
        <f t="shared" ca="1" si="43"/>
        <v/>
      </c>
      <c r="AC277" s="24" t="str">
        <f t="shared" ca="1" si="44"/>
        <v/>
      </c>
      <c r="AD277" s="24" t="str">
        <f t="shared" ca="1" si="45"/>
        <v/>
      </c>
    </row>
    <row r="278" spans="3:30" x14ac:dyDescent="0.25">
      <c r="C278" s="6">
        <v>271</v>
      </c>
      <c r="D278" s="35">
        <v>42391</v>
      </c>
      <c r="E278" s="37">
        <v>13.327999999999999</v>
      </c>
      <c r="F278" s="37">
        <v>32.812746199259344</v>
      </c>
      <c r="G278" s="37">
        <v>27.71</v>
      </c>
      <c r="H278" s="37">
        <v>2.2225314190568248</v>
      </c>
      <c r="I278" s="37">
        <v>41.649427919307001</v>
      </c>
      <c r="J278" s="10">
        <v>1</v>
      </c>
      <c r="K278" s="38">
        <v>0</v>
      </c>
      <c r="L278" s="38">
        <v>0</v>
      </c>
      <c r="M278" s="38">
        <v>0</v>
      </c>
      <c r="N278" s="38">
        <v>0</v>
      </c>
      <c r="O278" s="38">
        <v>0</v>
      </c>
      <c r="P278" s="38">
        <v>0</v>
      </c>
      <c r="Q278" s="38">
        <v>0</v>
      </c>
      <c r="R278" s="38">
        <v>0</v>
      </c>
      <c r="S278" s="38">
        <v>0</v>
      </c>
      <c r="T278" s="38">
        <v>0</v>
      </c>
      <c r="U278" s="29" cm="1">
        <f t="array" aca="1" ref="U278" ca="1">+fair_value_gap(OFFSET(T277,0,0,-1*$J$5,-1*$AA$1),OFFSET(E277,0,0,-1*$J$5,1),F278:T278,0)</f>
        <v>13.32224441532102</v>
      </c>
      <c r="V278" s="9" t="str" cm="1">
        <f t="array" aca="1" ref="V278" ca="1">z_score_diff(OFFSET(U278,0,0,$J$5*-1,1),OFFSET(E278,0,0,$J$5*-1,1))</f>
        <v/>
      </c>
      <c r="W278" s="9" t="str">
        <f t="shared" ca="1" si="41"/>
        <v/>
      </c>
      <c r="X278" s="17">
        <f t="shared" ca="1" si="40"/>
        <v>-0.10721297068978027</v>
      </c>
      <c r="Y278" s="13">
        <f t="shared" si="46"/>
        <v>0</v>
      </c>
      <c r="Z278" s="13">
        <f t="shared" si="46"/>
        <v>0</v>
      </c>
      <c r="AA278" t="str">
        <f t="shared" ca="1" si="42"/>
        <v/>
      </c>
      <c r="AB278" t="str">
        <f t="shared" ca="1" si="43"/>
        <v/>
      </c>
      <c r="AC278" s="24" t="str">
        <f t="shared" ca="1" si="44"/>
        <v/>
      </c>
      <c r="AD278" s="24" t="str">
        <f t="shared" ca="1" si="45"/>
        <v/>
      </c>
    </row>
    <row r="279" spans="3:30" x14ac:dyDescent="0.25">
      <c r="C279" s="6">
        <v>272</v>
      </c>
      <c r="D279" s="35">
        <v>42394</v>
      </c>
      <c r="E279" s="37">
        <v>12.702</v>
      </c>
      <c r="F279" s="37">
        <v>31.43218567814322</v>
      </c>
      <c r="G279" s="37">
        <v>27.2</v>
      </c>
      <c r="H279" s="37">
        <v>2.2311443552231149</v>
      </c>
      <c r="I279" s="37">
        <v>41.24958750412496</v>
      </c>
      <c r="J279" s="10">
        <v>1</v>
      </c>
      <c r="K279" s="38">
        <v>0</v>
      </c>
      <c r="L279" s="38">
        <v>0</v>
      </c>
      <c r="M279" s="38">
        <v>0</v>
      </c>
      <c r="N279" s="38">
        <v>0</v>
      </c>
      <c r="O279" s="38">
        <v>0</v>
      </c>
      <c r="P279" s="38">
        <v>0</v>
      </c>
      <c r="Q279" s="38">
        <v>0</v>
      </c>
      <c r="R279" s="38">
        <v>0</v>
      </c>
      <c r="S279" s="38">
        <v>0</v>
      </c>
      <c r="T279" s="38">
        <v>0</v>
      </c>
      <c r="U279" s="29" cm="1">
        <f t="array" aca="1" ref="U279" ca="1">+fair_value_gap(OFFSET(T278,0,0,-1*$J$5,-1*$AA$1),OFFSET(E278,0,0,-1*$J$5,1),F279:T279,0)</f>
        <v>13.099825175793258</v>
      </c>
      <c r="V279" s="9" t="str" cm="1">
        <f t="array" aca="1" ref="V279" ca="1">z_score_diff(OFFSET(U279,0,0,$J$5*-1,1),OFFSET(E279,0,0,$J$5*-1,1))</f>
        <v/>
      </c>
      <c r="W279" s="9" t="str">
        <f t="shared" ca="1" si="41"/>
        <v/>
      </c>
      <c r="X279" s="17">
        <f t="shared" ca="1" si="40"/>
        <v>-2.8508338583640182E-2</v>
      </c>
      <c r="Y279" s="13">
        <f t="shared" si="46"/>
        <v>0</v>
      </c>
      <c r="Z279" s="13">
        <f t="shared" si="46"/>
        <v>0</v>
      </c>
      <c r="AA279" t="str">
        <f t="shared" ca="1" si="42"/>
        <v/>
      </c>
      <c r="AB279" t="str">
        <f t="shared" ca="1" si="43"/>
        <v/>
      </c>
      <c r="AC279" s="24" t="str">
        <f t="shared" ca="1" si="44"/>
        <v/>
      </c>
      <c r="AD279" s="24" t="str">
        <f t="shared" ca="1" si="45"/>
        <v/>
      </c>
    </row>
    <row r="280" spans="3:30" x14ac:dyDescent="0.25">
      <c r="C280" s="6">
        <v>273</v>
      </c>
      <c r="D280" s="35">
        <v>42395</v>
      </c>
      <c r="E280" s="37">
        <v>12.897</v>
      </c>
      <c r="F280" s="37">
        <v>32.487730064160061</v>
      </c>
      <c r="G280" s="37">
        <v>27.11</v>
      </c>
      <c r="H280" s="37">
        <v>2.2144061919084845</v>
      </c>
      <c r="I280" s="37">
        <v>41.502937730018353</v>
      </c>
      <c r="J280" s="10">
        <v>1</v>
      </c>
      <c r="K280" s="38">
        <v>0</v>
      </c>
      <c r="L280" s="38">
        <v>0</v>
      </c>
      <c r="M280" s="38">
        <v>0</v>
      </c>
      <c r="N280" s="38">
        <v>0</v>
      </c>
      <c r="O280" s="38">
        <v>0</v>
      </c>
      <c r="P280" s="38">
        <v>0</v>
      </c>
      <c r="Q280" s="38">
        <v>0</v>
      </c>
      <c r="R280" s="38">
        <v>0</v>
      </c>
      <c r="S280" s="38">
        <v>0</v>
      </c>
      <c r="T280" s="38">
        <v>0</v>
      </c>
      <c r="U280" s="29" cm="1">
        <f t="array" aca="1" ref="U280" ca="1">+fair_value_gap(OFFSET(T279,0,0,-1*$J$5,-1*$AA$1),OFFSET(E279,0,0,-1*$J$5,1),F280:T280,0)</f>
        <v>13.136419044959796</v>
      </c>
      <c r="V280" s="9" t="str" cm="1">
        <f t="array" aca="1" ref="V280" ca="1">z_score_diff(OFFSET(U280,0,0,$J$5*-1,1),OFFSET(E280,0,0,$J$5*-1,1))</f>
        <v/>
      </c>
      <c r="W280" s="9" t="str">
        <f t="shared" ca="1" si="41"/>
        <v/>
      </c>
      <c r="X280" s="17">
        <f t="shared" ca="1" si="40"/>
        <v>-5.3184545975021466E-2</v>
      </c>
      <c r="Y280" s="13">
        <f t="shared" si="46"/>
        <v>0</v>
      </c>
      <c r="Z280" s="13">
        <f t="shared" si="46"/>
        <v>0</v>
      </c>
      <c r="AA280" t="str">
        <f t="shared" ca="1" si="42"/>
        <v/>
      </c>
      <c r="AB280" t="str">
        <f t="shared" ca="1" si="43"/>
        <v/>
      </c>
      <c r="AC280" s="24" t="str">
        <f t="shared" ca="1" si="44"/>
        <v/>
      </c>
      <c r="AD280" s="24" t="str">
        <f t="shared" ca="1" si="45"/>
        <v/>
      </c>
    </row>
    <row r="281" spans="3:30" x14ac:dyDescent="0.25">
      <c r="C281" s="6">
        <v>274</v>
      </c>
      <c r="D281" s="35">
        <v>42396</v>
      </c>
      <c r="E281" s="37">
        <v>13.24</v>
      </c>
      <c r="F281" s="37">
        <v>33.706326895695668</v>
      </c>
      <c r="G281" s="37">
        <v>28.58</v>
      </c>
      <c r="H281" s="37">
        <v>2.1868496951553431</v>
      </c>
      <c r="I281" s="37">
        <v>41.938958051914867</v>
      </c>
      <c r="J281" s="10">
        <v>1</v>
      </c>
      <c r="K281" s="38">
        <v>0</v>
      </c>
      <c r="L281" s="38">
        <v>0</v>
      </c>
      <c r="M281" s="38">
        <v>0</v>
      </c>
      <c r="N281" s="38">
        <v>0</v>
      </c>
      <c r="O281" s="38">
        <v>0</v>
      </c>
      <c r="P281" s="38">
        <v>0</v>
      </c>
      <c r="Q281" s="38">
        <v>0</v>
      </c>
      <c r="R281" s="38">
        <v>0</v>
      </c>
      <c r="S281" s="38">
        <v>0</v>
      </c>
      <c r="T281" s="38">
        <v>0</v>
      </c>
      <c r="U281" s="29" cm="1">
        <f t="array" aca="1" ref="U281" ca="1">+fair_value_gap(OFFSET(T280,0,0,-1*$J$5,-1*$AA$1),OFFSET(E280,0,0,-1*$J$5,1),F281:T281,0)</f>
        <v>13.505211000697527</v>
      </c>
      <c r="V281" s="9" t="str" cm="1">
        <f t="array" aca="1" ref="V281" ca="1">z_score_diff(OFFSET(U281,0,0,$J$5*-1,1),OFFSET(E281,0,0,$J$5*-1,1))</f>
        <v/>
      </c>
      <c r="W281" s="9" t="str">
        <f t="shared" ca="1" si="41"/>
        <v/>
      </c>
      <c r="X281" s="17">
        <f t="shared" ca="1" si="40"/>
        <v>-0.10779718451037482</v>
      </c>
      <c r="Y281" s="13">
        <f t="shared" ref="Y281:Z296" si="47">+Y280</f>
        <v>0</v>
      </c>
      <c r="Z281" s="13">
        <f t="shared" si="47"/>
        <v>0</v>
      </c>
      <c r="AA281" t="str">
        <f t="shared" ca="1" si="42"/>
        <v/>
      </c>
      <c r="AB281" t="str">
        <f t="shared" ca="1" si="43"/>
        <v/>
      </c>
      <c r="AC281" s="24" t="str">
        <f t="shared" ca="1" si="44"/>
        <v/>
      </c>
      <c r="AD281" s="24" t="str">
        <f t="shared" ca="1" si="45"/>
        <v/>
      </c>
    </row>
    <row r="282" spans="3:30" x14ac:dyDescent="0.25">
      <c r="C282" s="6">
        <v>275</v>
      </c>
      <c r="D282" s="35">
        <v>42397</v>
      </c>
      <c r="E282" s="37">
        <v>13.634</v>
      </c>
      <c r="F282" s="37">
        <v>34.359855614049444</v>
      </c>
      <c r="G282" s="37">
        <v>29.13</v>
      </c>
      <c r="H282" s="37">
        <v>2.184883118300101</v>
      </c>
      <c r="I282" s="37">
        <v>41.097260485711431</v>
      </c>
      <c r="J282" s="10">
        <v>1</v>
      </c>
      <c r="K282" s="38">
        <v>0</v>
      </c>
      <c r="L282" s="38">
        <v>0</v>
      </c>
      <c r="M282" s="38">
        <v>0</v>
      </c>
      <c r="N282" s="38">
        <v>0</v>
      </c>
      <c r="O282" s="38">
        <v>0</v>
      </c>
      <c r="P282" s="38">
        <v>0</v>
      </c>
      <c r="Q282" s="38">
        <v>0</v>
      </c>
      <c r="R282" s="38">
        <v>0</v>
      </c>
      <c r="S282" s="38">
        <v>0</v>
      </c>
      <c r="T282" s="38">
        <v>0</v>
      </c>
      <c r="U282" s="29" cm="1">
        <f t="array" aca="1" ref="U282" ca="1">+fair_value_gap(OFFSET(T281,0,0,-1*$J$5,-1*$AA$1),OFFSET(E281,0,0,-1*$J$5,1),F282:T282,0)</f>
        <v>13.575323065730668</v>
      </c>
      <c r="V282" s="9" t="str" cm="1">
        <f t="array" aca="1" ref="V282" ca="1">z_score_diff(OFFSET(U282,0,0,$J$5*-1,1),OFFSET(E282,0,0,$J$5*-1,1))</f>
        <v/>
      </c>
      <c r="W282" s="9" t="str">
        <f t="shared" ca="1" si="41"/>
        <v/>
      </c>
      <c r="X282" s="17">
        <f t="shared" ca="1" si="40"/>
        <v>-0.14590885820938998</v>
      </c>
      <c r="Y282" s="13">
        <f t="shared" si="47"/>
        <v>0</v>
      </c>
      <c r="Z282" s="13">
        <f t="shared" si="47"/>
        <v>0</v>
      </c>
      <c r="AA282" t="str">
        <f t="shared" ca="1" si="42"/>
        <v/>
      </c>
      <c r="AB282" t="str">
        <f t="shared" ca="1" si="43"/>
        <v/>
      </c>
      <c r="AC282" s="24" t="str">
        <f t="shared" ca="1" si="44"/>
        <v/>
      </c>
      <c r="AD282" s="24" t="str">
        <f t="shared" ca="1" si="45"/>
        <v/>
      </c>
    </row>
    <row r="283" spans="3:30" x14ac:dyDescent="0.25">
      <c r="C283" s="6">
        <v>276</v>
      </c>
      <c r="D283" s="35">
        <v>42398</v>
      </c>
      <c r="E283" s="37">
        <v>13.567</v>
      </c>
      <c r="F283" s="37">
        <v>35.934399980903535</v>
      </c>
      <c r="G283" s="37">
        <v>27.68</v>
      </c>
      <c r="H283" s="37">
        <v>2.2667867540329798</v>
      </c>
      <c r="I283" s="37">
        <v>40.901316278723876</v>
      </c>
      <c r="J283" s="10">
        <v>1</v>
      </c>
      <c r="K283" s="38">
        <v>0</v>
      </c>
      <c r="L283" s="38">
        <v>0</v>
      </c>
      <c r="M283" s="38">
        <v>0</v>
      </c>
      <c r="N283" s="38">
        <v>0</v>
      </c>
      <c r="O283" s="38">
        <v>0</v>
      </c>
      <c r="P283" s="38">
        <v>0</v>
      </c>
      <c r="Q283" s="38">
        <v>0</v>
      </c>
      <c r="R283" s="38">
        <v>0</v>
      </c>
      <c r="S283" s="38">
        <v>0</v>
      </c>
      <c r="T283" s="38">
        <v>0</v>
      </c>
      <c r="U283" s="29" cm="1">
        <f t="array" aca="1" ref="U283" ca="1">+fair_value_gap(OFFSET(T282,0,0,-1*$J$5,-1*$AA$1),OFFSET(E282,0,0,-1*$J$5,1),F283:T283,0)</f>
        <v>13.506127906535053</v>
      </c>
      <c r="V283" s="9" t="str" cm="1">
        <f t="array" aca="1" ref="V283" ca="1">z_score_diff(OFFSET(U283,0,0,$J$5*-1,1),OFFSET(E283,0,0,$J$5*-1,1))</f>
        <v/>
      </c>
      <c r="W283" s="9" t="str">
        <f t="shared" ca="1" si="41"/>
        <v/>
      </c>
      <c r="X283" s="17">
        <f t="shared" ca="1" si="40"/>
        <v>-0.11451756894383075</v>
      </c>
      <c r="Y283" s="13">
        <f t="shared" si="47"/>
        <v>0</v>
      </c>
      <c r="Z283" s="13">
        <f t="shared" si="47"/>
        <v>0</v>
      </c>
      <c r="AA283" t="str">
        <f t="shared" ca="1" si="42"/>
        <v/>
      </c>
      <c r="AB283" t="str">
        <f t="shared" ca="1" si="43"/>
        <v/>
      </c>
      <c r="AC283" s="24" t="str">
        <f t="shared" ca="1" si="44"/>
        <v/>
      </c>
      <c r="AD283" s="24" t="str">
        <f t="shared" ca="1" si="45"/>
        <v/>
      </c>
    </row>
    <row r="284" spans="3:30" x14ac:dyDescent="0.25">
      <c r="C284" s="6">
        <v>277</v>
      </c>
      <c r="D284" s="35">
        <v>42401</v>
      </c>
      <c r="E284" s="37">
        <v>13.026</v>
      </c>
      <c r="F284" s="37">
        <v>34.844637295267205</v>
      </c>
      <c r="G284" s="37">
        <v>27.13</v>
      </c>
      <c r="H284" s="37">
        <v>2.1914866223438496</v>
      </c>
      <c r="I284" s="37">
        <v>39.3097912882928</v>
      </c>
      <c r="J284" s="10">
        <v>0</v>
      </c>
      <c r="K284" s="38">
        <v>1</v>
      </c>
      <c r="L284" s="38">
        <v>0</v>
      </c>
      <c r="M284" s="38">
        <v>0</v>
      </c>
      <c r="N284" s="38">
        <v>0</v>
      </c>
      <c r="O284" s="38">
        <v>0</v>
      </c>
      <c r="P284" s="38">
        <v>0</v>
      </c>
      <c r="Q284" s="38">
        <v>0</v>
      </c>
      <c r="R284" s="38">
        <v>0</v>
      </c>
      <c r="S284" s="38">
        <v>0</v>
      </c>
      <c r="T284" s="38">
        <v>0</v>
      </c>
      <c r="U284" s="29" cm="1">
        <f t="array" aca="1" ref="U284" ca="1">+fair_value_gap(OFFSET(T283,0,0,-1*$J$5,-1*$AA$1),OFFSET(E283,0,0,-1*$J$5,1),F284:T284,0)</f>
        <v>15.895815934235126</v>
      </c>
      <c r="V284" s="9" t="str" cm="1">
        <f t="array" aca="1" ref="V284" ca="1">z_score_diff(OFFSET(U284,0,0,$J$5*-1,1),OFFSET(E284,0,0,$J$5*-1,1))</f>
        <v/>
      </c>
      <c r="W284" s="9" t="str">
        <f t="shared" ca="1" si="41"/>
        <v/>
      </c>
      <c r="X284" s="17">
        <f t="shared" ca="1" si="40"/>
        <v>-5.8324183718893419E-2</v>
      </c>
      <c r="Y284" s="13">
        <f t="shared" si="47"/>
        <v>0</v>
      </c>
      <c r="Z284" s="13">
        <f t="shared" si="47"/>
        <v>0</v>
      </c>
      <c r="AA284" t="str">
        <f t="shared" ca="1" si="42"/>
        <v/>
      </c>
      <c r="AB284" t="str">
        <f t="shared" ca="1" si="43"/>
        <v/>
      </c>
      <c r="AC284" s="24" t="str">
        <f t="shared" ca="1" si="44"/>
        <v/>
      </c>
      <c r="AD284" s="24" t="str">
        <f t="shared" ca="1" si="45"/>
        <v/>
      </c>
    </row>
    <row r="285" spans="3:30" x14ac:dyDescent="0.25">
      <c r="C285" s="6">
        <v>278</v>
      </c>
      <c r="D285" s="35">
        <v>42402</v>
      </c>
      <c r="E285" s="37">
        <v>12.895</v>
      </c>
      <c r="F285" s="37">
        <v>33.423940033733757</v>
      </c>
      <c r="G285" s="37">
        <v>26.65</v>
      </c>
      <c r="H285" s="37">
        <v>2.1158775561158611</v>
      </c>
      <c r="I285" s="37">
        <v>39.866340689090833</v>
      </c>
      <c r="J285" s="10">
        <v>0</v>
      </c>
      <c r="K285" s="38">
        <v>1</v>
      </c>
      <c r="L285" s="38">
        <v>0</v>
      </c>
      <c r="M285" s="38">
        <v>0</v>
      </c>
      <c r="N285" s="38">
        <v>0</v>
      </c>
      <c r="O285" s="38">
        <v>0</v>
      </c>
      <c r="P285" s="38">
        <v>0</v>
      </c>
      <c r="Q285" s="38">
        <v>0</v>
      </c>
      <c r="R285" s="38">
        <v>0</v>
      </c>
      <c r="S285" s="38">
        <v>0</v>
      </c>
      <c r="T285" s="38">
        <v>0</v>
      </c>
      <c r="U285" s="29" cm="1">
        <f t="array" aca="1" ref="U285" ca="1">+fair_value_gap(OFFSET(T284,0,0,-1*$J$5,-1*$AA$1),OFFSET(E284,0,0,-1*$J$5,1),F285:T285,0)</f>
        <v>14.970599000688344</v>
      </c>
      <c r="V285" s="9" t="str" cm="1">
        <f t="array" aca="1" ref="V285" ca="1">z_score_diff(OFFSET(U285,0,0,$J$5*-1,1),OFFSET(E285,0,0,$J$5*-1,1))</f>
        <v/>
      </c>
      <c r="W285" s="9" t="str">
        <f t="shared" ca="1" si="41"/>
        <v/>
      </c>
      <c r="X285" s="17">
        <f t="shared" ca="1" si="40"/>
        <v>-5.1558630294157824E-2</v>
      </c>
      <c r="Y285" s="13">
        <f t="shared" si="47"/>
        <v>0</v>
      </c>
      <c r="Z285" s="13">
        <f t="shared" si="47"/>
        <v>0</v>
      </c>
      <c r="AA285" t="str">
        <f t="shared" ca="1" si="42"/>
        <v/>
      </c>
      <c r="AB285" t="str">
        <f t="shared" ca="1" si="43"/>
        <v/>
      </c>
      <c r="AC285" s="24" t="str">
        <f t="shared" ca="1" si="44"/>
        <v/>
      </c>
      <c r="AD285" s="24" t="str">
        <f t="shared" ca="1" si="45"/>
        <v/>
      </c>
    </row>
    <row r="286" spans="3:30" x14ac:dyDescent="0.25">
      <c r="C286" s="6">
        <v>279</v>
      </c>
      <c r="D286" s="35">
        <v>42403</v>
      </c>
      <c r="E286" s="37">
        <v>12.961</v>
      </c>
      <c r="F286" s="37">
        <v>34.607839011317161</v>
      </c>
      <c r="G286" s="37">
        <v>27.1</v>
      </c>
      <c r="H286" s="37">
        <v>2.0836336708754213</v>
      </c>
      <c r="I286" s="37">
        <v>39.353545266426636</v>
      </c>
      <c r="J286" s="10">
        <v>0</v>
      </c>
      <c r="K286" s="38">
        <v>1</v>
      </c>
      <c r="L286" s="38">
        <v>0</v>
      </c>
      <c r="M286" s="38">
        <v>0</v>
      </c>
      <c r="N286" s="38">
        <v>0</v>
      </c>
      <c r="O286" s="38">
        <v>0</v>
      </c>
      <c r="P286" s="38">
        <v>0</v>
      </c>
      <c r="Q286" s="38">
        <v>0</v>
      </c>
      <c r="R286" s="38">
        <v>0</v>
      </c>
      <c r="S286" s="38">
        <v>0</v>
      </c>
      <c r="T286" s="38">
        <v>0</v>
      </c>
      <c r="U286" s="29" cm="1">
        <f t="array" aca="1" ref="U286" ca="1">+fair_value_gap(OFFSET(T285,0,0,-1*$J$5,-1*$AA$1),OFFSET(E285,0,0,-1*$J$5,1),F286:T286,0)</f>
        <v>14.686927098236273</v>
      </c>
      <c r="V286" s="9" t="str" cm="1">
        <f t="array" aca="1" ref="V286" ca="1">z_score_diff(OFFSET(U286,0,0,$J$5*-1,1),OFFSET(E286,0,0,$J$5*-1,1))</f>
        <v/>
      </c>
      <c r="W286" s="9" t="str">
        <f t="shared" ca="1" si="41"/>
        <v/>
      </c>
      <c r="X286" s="17">
        <f t="shared" ca="1" si="40"/>
        <v>-5.3158924863294606E-2</v>
      </c>
      <c r="Y286" s="13">
        <f t="shared" si="47"/>
        <v>0</v>
      </c>
      <c r="Z286" s="13">
        <f t="shared" si="47"/>
        <v>0</v>
      </c>
      <c r="AA286" t="str">
        <f t="shared" ca="1" si="42"/>
        <v/>
      </c>
      <c r="AB286" t="str">
        <f t="shared" ca="1" si="43"/>
        <v/>
      </c>
      <c r="AC286" s="24" t="str">
        <f t="shared" ca="1" si="44"/>
        <v/>
      </c>
      <c r="AD286" s="24" t="str">
        <f t="shared" ca="1" si="45"/>
        <v/>
      </c>
    </row>
    <row r="287" spans="3:30" x14ac:dyDescent="0.25">
      <c r="C287" s="6">
        <v>280</v>
      </c>
      <c r="D287" s="35">
        <v>42404</v>
      </c>
      <c r="E287" s="37">
        <v>12.545999999999999</v>
      </c>
      <c r="F287" s="37">
        <v>33.919580146437426</v>
      </c>
      <c r="G287" s="37">
        <v>26.88</v>
      </c>
      <c r="H287" s="37">
        <v>2.0302036062523525</v>
      </c>
      <c r="I287" s="37">
        <v>38.65997684839963</v>
      </c>
      <c r="J287" s="10">
        <v>0</v>
      </c>
      <c r="K287" s="38">
        <v>1</v>
      </c>
      <c r="L287" s="38">
        <v>0</v>
      </c>
      <c r="M287" s="38">
        <v>0</v>
      </c>
      <c r="N287" s="38">
        <v>0</v>
      </c>
      <c r="O287" s="38">
        <v>0</v>
      </c>
      <c r="P287" s="38">
        <v>0</v>
      </c>
      <c r="Q287" s="38">
        <v>0</v>
      </c>
      <c r="R287" s="38">
        <v>0</v>
      </c>
      <c r="S287" s="38">
        <v>0</v>
      </c>
      <c r="T287" s="38">
        <v>0</v>
      </c>
      <c r="U287" s="29" cm="1">
        <f t="array" aca="1" ref="U287" ca="1">+fair_value_gap(OFFSET(T286,0,0,-1*$J$5,-1*$AA$1),OFFSET(E286,0,0,-1*$J$5,1),F287:T287,0)</f>
        <v>14.15118758139468</v>
      </c>
      <c r="V287" s="9" t="str" cm="1">
        <f t="array" aca="1" ref="V287" ca="1">z_score_diff(OFFSET(U287,0,0,$J$5*-1,1),OFFSET(E287,0,0,$J$5*-1,1))</f>
        <v/>
      </c>
      <c r="W287" s="9" t="str">
        <f t="shared" ca="1" si="41"/>
        <v/>
      </c>
      <c r="X287" s="17">
        <f t="shared" ca="1" si="40"/>
        <v>-3.3637729885769116E-2</v>
      </c>
      <c r="Y287" s="13">
        <f t="shared" si="47"/>
        <v>0</v>
      </c>
      <c r="Z287" s="13">
        <f t="shared" si="47"/>
        <v>0</v>
      </c>
      <c r="AA287" t="str">
        <f t="shared" ca="1" si="42"/>
        <v/>
      </c>
      <c r="AB287" t="str">
        <f t="shared" ca="1" si="43"/>
        <v/>
      </c>
      <c r="AC287" s="24" t="str">
        <f t="shared" ca="1" si="44"/>
        <v/>
      </c>
      <c r="AD287" s="24" t="str">
        <f t="shared" ca="1" si="45"/>
        <v/>
      </c>
    </row>
    <row r="288" spans="3:30" x14ac:dyDescent="0.25">
      <c r="C288" s="6">
        <v>281</v>
      </c>
      <c r="D288" s="35">
        <v>42405</v>
      </c>
      <c r="E288" s="37">
        <v>12.442</v>
      </c>
      <c r="F288" s="37">
        <v>33.735485274037316</v>
      </c>
      <c r="G288" s="37">
        <v>26.63</v>
      </c>
      <c r="H288" s="37">
        <v>2.0963239462228733</v>
      </c>
      <c r="I288" s="37">
        <v>38.548473926079623</v>
      </c>
      <c r="J288" s="10">
        <v>0</v>
      </c>
      <c r="K288" s="38">
        <v>1</v>
      </c>
      <c r="L288" s="38">
        <v>0</v>
      </c>
      <c r="M288" s="38">
        <v>0</v>
      </c>
      <c r="N288" s="38">
        <v>0</v>
      </c>
      <c r="O288" s="38">
        <v>0</v>
      </c>
      <c r="P288" s="38">
        <v>0</v>
      </c>
      <c r="Q288" s="38">
        <v>0</v>
      </c>
      <c r="R288" s="38">
        <v>0</v>
      </c>
      <c r="S288" s="38">
        <v>0</v>
      </c>
      <c r="T288" s="38">
        <v>0</v>
      </c>
      <c r="U288" s="29" cm="1">
        <f t="array" aca="1" ref="U288" ca="1">+fair_value_gap(OFFSET(T287,0,0,-1*$J$5,-1*$AA$1),OFFSET(E287,0,0,-1*$J$5,1),F288:T288,0)</f>
        <v>13.865752682109992</v>
      </c>
      <c r="V288" s="9" t="str" cm="1">
        <f t="array" aca="1" ref="V288" ca="1">z_score_diff(OFFSET(U288,0,0,$J$5*-1,1),OFFSET(E288,0,0,$J$5*-1,1))</f>
        <v/>
      </c>
      <c r="W288" s="9" t="str">
        <f t="shared" ca="1" si="41"/>
        <v/>
      </c>
      <c r="X288" s="17">
        <f t="shared" ca="1" si="40"/>
        <v>-3.8841424860706596E-2</v>
      </c>
      <c r="Y288" s="13">
        <f t="shared" si="47"/>
        <v>0</v>
      </c>
      <c r="Z288" s="13">
        <f t="shared" si="47"/>
        <v>0</v>
      </c>
      <c r="AA288" t="str">
        <f t="shared" ca="1" si="42"/>
        <v/>
      </c>
      <c r="AB288" t="str">
        <f t="shared" ca="1" si="43"/>
        <v/>
      </c>
      <c r="AC288" s="24" t="str">
        <f t="shared" ca="1" si="44"/>
        <v/>
      </c>
      <c r="AD288" s="24" t="str">
        <f t="shared" ca="1" si="45"/>
        <v/>
      </c>
    </row>
    <row r="289" spans="3:30" x14ac:dyDescent="0.25">
      <c r="C289" s="6">
        <v>282</v>
      </c>
      <c r="D289" s="35">
        <v>42408</v>
      </c>
      <c r="E289" s="37">
        <v>12.317</v>
      </c>
      <c r="F289" s="37">
        <v>32.731973647384955</v>
      </c>
      <c r="G289" s="37">
        <v>26.02</v>
      </c>
      <c r="H289" s="37">
        <v>2.1163833123797762</v>
      </c>
      <c r="I289" s="37">
        <v>38.338345898063537</v>
      </c>
      <c r="J289" s="10">
        <v>0</v>
      </c>
      <c r="K289" s="38">
        <v>1</v>
      </c>
      <c r="L289" s="38">
        <v>0</v>
      </c>
      <c r="M289" s="38">
        <v>0</v>
      </c>
      <c r="N289" s="38">
        <v>0</v>
      </c>
      <c r="O289" s="38">
        <v>0</v>
      </c>
      <c r="P289" s="38">
        <v>0</v>
      </c>
      <c r="Q289" s="38">
        <v>0</v>
      </c>
      <c r="R289" s="38">
        <v>0</v>
      </c>
      <c r="S289" s="38">
        <v>0</v>
      </c>
      <c r="T289" s="38">
        <v>0</v>
      </c>
      <c r="U289" s="29" cm="1">
        <f t="array" aca="1" ref="U289" ca="1">+fair_value_gap(OFFSET(T288,0,0,-1*$J$5,-1*$AA$1),OFFSET(E288,0,0,-1*$J$5,1),F289:T289,0)</f>
        <v>13.350892163692308</v>
      </c>
      <c r="V289" s="9" t="str" cm="1">
        <f t="array" aca="1" ref="V289" ca="1">z_score_diff(OFFSET(U289,0,0,$J$5*-1,1),OFFSET(E289,0,0,$J$5*-1,1))</f>
        <v/>
      </c>
      <c r="W289" s="9" t="str">
        <f t="shared" ca="1" si="41"/>
        <v/>
      </c>
      <c r="X289" s="17">
        <f t="shared" ca="1" si="40"/>
        <v>-2.7157692734384436E-2</v>
      </c>
      <c r="Y289" s="13">
        <f t="shared" si="47"/>
        <v>0</v>
      </c>
      <c r="Z289" s="13">
        <f t="shared" si="47"/>
        <v>0</v>
      </c>
      <c r="AA289" t="str">
        <f t="shared" ca="1" si="42"/>
        <v/>
      </c>
      <c r="AB289" t="str">
        <f t="shared" ca="1" si="43"/>
        <v/>
      </c>
      <c r="AC289" s="24" t="str">
        <f t="shared" ca="1" si="44"/>
        <v/>
      </c>
      <c r="AD289" s="24" t="str">
        <f t="shared" ca="1" si="45"/>
        <v/>
      </c>
    </row>
    <row r="290" spans="3:30" x14ac:dyDescent="0.25">
      <c r="C290" s="6">
        <v>283</v>
      </c>
      <c r="D290" s="35">
        <v>42409</v>
      </c>
      <c r="E290" s="37">
        <v>12.186</v>
      </c>
      <c r="F290" s="37">
        <v>30.057023826398236</v>
      </c>
      <c r="G290" s="37">
        <v>25.77</v>
      </c>
      <c r="H290" s="37">
        <v>2.0689515521978867</v>
      </c>
      <c r="I290" s="37">
        <v>37.285148185353407</v>
      </c>
      <c r="J290" s="10">
        <v>0</v>
      </c>
      <c r="K290" s="38">
        <v>1</v>
      </c>
      <c r="L290" s="38">
        <v>0</v>
      </c>
      <c r="M290" s="38">
        <v>0</v>
      </c>
      <c r="N290" s="38">
        <v>0</v>
      </c>
      <c r="O290" s="38">
        <v>0</v>
      </c>
      <c r="P290" s="38">
        <v>0</v>
      </c>
      <c r="Q290" s="38">
        <v>0</v>
      </c>
      <c r="R290" s="38">
        <v>0</v>
      </c>
      <c r="S290" s="38">
        <v>0</v>
      </c>
      <c r="T290" s="38">
        <v>0</v>
      </c>
      <c r="U290" s="29" cm="1">
        <f t="array" aca="1" ref="U290" ca="1">+fair_value_gap(OFFSET(T289,0,0,-1*$J$5,-1*$AA$1),OFFSET(E289,0,0,-1*$J$5,1),F290:T290,0)</f>
        <v>12.632476067471167</v>
      </c>
      <c r="V290" s="9" t="str" cm="1">
        <f t="array" aca="1" ref="V290" ca="1">z_score_diff(OFFSET(U290,0,0,$J$5*-1,1),OFFSET(E290,0,0,$J$5*-1,1))</f>
        <v/>
      </c>
      <c r="W290" s="9" t="str">
        <f t="shared" ca="1" si="41"/>
        <v/>
      </c>
      <c r="X290" s="17">
        <f t="shared" ca="1" si="40"/>
        <v>-7.3302638485915061E-3</v>
      </c>
      <c r="Y290" s="13">
        <f t="shared" si="47"/>
        <v>0</v>
      </c>
      <c r="Z290" s="13">
        <f t="shared" si="47"/>
        <v>0</v>
      </c>
      <c r="AA290" t="str">
        <f t="shared" ca="1" si="42"/>
        <v/>
      </c>
      <c r="AB290" t="str">
        <f t="shared" ca="1" si="43"/>
        <v/>
      </c>
      <c r="AC290" s="24" t="str">
        <f t="shared" ca="1" si="44"/>
        <v/>
      </c>
      <c r="AD290" s="24" t="str">
        <f t="shared" ca="1" si="45"/>
        <v/>
      </c>
    </row>
    <row r="291" spans="3:30" x14ac:dyDescent="0.25">
      <c r="C291" s="6">
        <v>284</v>
      </c>
      <c r="D291" s="35">
        <v>42410</v>
      </c>
      <c r="E291" s="37">
        <v>12.055999999999999</v>
      </c>
      <c r="F291" s="37">
        <v>30.459338808615289</v>
      </c>
      <c r="G291" s="37">
        <v>25.35</v>
      </c>
      <c r="H291" s="37">
        <v>2.0444223648003499</v>
      </c>
      <c r="I291" s="37">
        <v>37.39152494001501</v>
      </c>
      <c r="J291" s="10">
        <v>0</v>
      </c>
      <c r="K291" s="38">
        <v>1</v>
      </c>
      <c r="L291" s="38">
        <v>0</v>
      </c>
      <c r="M291" s="38">
        <v>0</v>
      </c>
      <c r="N291" s="38">
        <v>0</v>
      </c>
      <c r="O291" s="38">
        <v>0</v>
      </c>
      <c r="P291" s="38">
        <v>0</v>
      </c>
      <c r="Q291" s="38">
        <v>0</v>
      </c>
      <c r="R291" s="38">
        <v>0</v>
      </c>
      <c r="S291" s="38">
        <v>0</v>
      </c>
      <c r="T291" s="38">
        <v>0</v>
      </c>
      <c r="U291" s="29" cm="1">
        <f t="array" aca="1" ref="U291" ca="1">+fair_value_gap(OFFSET(T290,0,0,-1*$J$5,-1*$AA$1),OFFSET(E290,0,0,-1*$J$5,1),F291:T291,0)</f>
        <v>12.493586408226665</v>
      </c>
      <c r="V291" s="9" t="str" cm="1">
        <f t="array" aca="1" ref="V291" ca="1">z_score_diff(OFFSET(U291,0,0,$J$5*-1,1),OFFSET(E291,0,0,$J$5*-1,1))</f>
        <v/>
      </c>
      <c r="W291" s="9" t="str">
        <f t="shared" ca="1" si="41"/>
        <v/>
      </c>
      <c r="X291" s="17">
        <f t="shared" ca="1" si="40"/>
        <v>1.3920574036741464E-2</v>
      </c>
      <c r="Y291" s="13">
        <f t="shared" si="47"/>
        <v>0</v>
      </c>
      <c r="Z291" s="13">
        <f t="shared" si="47"/>
        <v>0</v>
      </c>
      <c r="AA291" t="str">
        <f t="shared" ca="1" si="42"/>
        <v/>
      </c>
      <c r="AB291" t="str">
        <f t="shared" ca="1" si="43"/>
        <v/>
      </c>
      <c r="AC291" s="24" t="str">
        <f t="shared" ca="1" si="44"/>
        <v/>
      </c>
      <c r="AD291" s="24" t="str">
        <f t="shared" ca="1" si="45"/>
        <v/>
      </c>
    </row>
    <row r="292" spans="3:30" x14ac:dyDescent="0.25">
      <c r="C292" s="6">
        <v>285</v>
      </c>
      <c r="D292" s="35">
        <v>42411</v>
      </c>
      <c r="E292" s="37">
        <v>11.939</v>
      </c>
      <c r="F292" s="37">
        <v>29.834225021743141</v>
      </c>
      <c r="G292" s="37">
        <v>25.19</v>
      </c>
      <c r="H292" s="37">
        <v>2.0144251464916674</v>
      </c>
      <c r="I292" s="37">
        <v>37.204930202321023</v>
      </c>
      <c r="J292" s="10">
        <v>0</v>
      </c>
      <c r="K292" s="38">
        <v>1</v>
      </c>
      <c r="L292" s="38">
        <v>0</v>
      </c>
      <c r="M292" s="38">
        <v>0</v>
      </c>
      <c r="N292" s="38">
        <v>0</v>
      </c>
      <c r="O292" s="38">
        <v>0</v>
      </c>
      <c r="P292" s="38">
        <v>0</v>
      </c>
      <c r="Q292" s="38">
        <v>0</v>
      </c>
      <c r="R292" s="38">
        <v>0</v>
      </c>
      <c r="S292" s="38">
        <v>0</v>
      </c>
      <c r="T292" s="38">
        <v>0</v>
      </c>
      <c r="U292" s="29" cm="1">
        <f t="array" aca="1" ref="U292" ca="1">+fair_value_gap(OFFSET(T291,0,0,-1*$J$5,-1*$AA$1),OFFSET(E291,0,0,-1*$J$5,1),F292:T292,0)</f>
        <v>12.252719213447605</v>
      </c>
      <c r="V292" s="9" t="str" cm="1">
        <f t="array" aca="1" ref="V292" ca="1">z_score_diff(OFFSET(U292,0,0,$J$5*-1,1),OFFSET(E292,0,0,$J$5*-1,1))</f>
        <v/>
      </c>
      <c r="W292" s="9" t="str">
        <f t="shared" ca="1" si="41"/>
        <v/>
      </c>
      <c r="X292" s="17">
        <f t="shared" ca="1" si="40"/>
        <v>9.4202689048034638E-3</v>
      </c>
      <c r="Y292" s="13">
        <f t="shared" si="47"/>
        <v>0</v>
      </c>
      <c r="Z292" s="13">
        <f t="shared" si="47"/>
        <v>0</v>
      </c>
      <c r="AA292" t="str">
        <f t="shared" ca="1" si="42"/>
        <v/>
      </c>
      <c r="AB292" t="str">
        <f t="shared" ca="1" si="43"/>
        <v/>
      </c>
      <c r="AC292" s="24" t="str">
        <f t="shared" ca="1" si="44"/>
        <v/>
      </c>
      <c r="AD292" s="24" t="str">
        <f t="shared" ca="1" si="45"/>
        <v/>
      </c>
    </row>
    <row r="293" spans="3:30" x14ac:dyDescent="0.25">
      <c r="C293" s="6">
        <v>286</v>
      </c>
      <c r="D293" s="35">
        <v>42412</v>
      </c>
      <c r="E293" s="37">
        <v>12.192</v>
      </c>
      <c r="F293" s="37">
        <v>32.685542810638573</v>
      </c>
      <c r="G293" s="37">
        <v>25.68</v>
      </c>
      <c r="H293" s="37">
        <v>2.0031934455722529</v>
      </c>
      <c r="I293" s="37">
        <v>37.775262372392511</v>
      </c>
      <c r="J293" s="10">
        <v>0</v>
      </c>
      <c r="K293" s="38">
        <v>1</v>
      </c>
      <c r="L293" s="38">
        <v>0</v>
      </c>
      <c r="M293" s="38">
        <v>0</v>
      </c>
      <c r="N293" s="38">
        <v>0</v>
      </c>
      <c r="O293" s="38">
        <v>0</v>
      </c>
      <c r="P293" s="38">
        <v>0</v>
      </c>
      <c r="Q293" s="38">
        <v>0</v>
      </c>
      <c r="R293" s="38">
        <v>0</v>
      </c>
      <c r="S293" s="38">
        <v>0</v>
      </c>
      <c r="T293" s="38">
        <v>0</v>
      </c>
      <c r="U293" s="29" cm="1">
        <f t="array" aca="1" ref="U293" ca="1">+fair_value_gap(OFFSET(T292,0,0,-1*$J$5,-1*$AA$1),OFFSET(E292,0,0,-1*$J$5,1),F293:T293,0)</f>
        <v>12.785715901792216</v>
      </c>
      <c r="V293" s="9" t="str" cm="1">
        <f t="array" aca="1" ref="V293" ca="1">z_score_diff(OFFSET(U293,0,0,$J$5*-1,1),OFFSET(E293,0,0,$J$5*-1,1))</f>
        <v/>
      </c>
      <c r="W293" s="9" t="str">
        <f t="shared" ca="1" si="41"/>
        <v/>
      </c>
      <c r="X293" s="17">
        <f t="shared" ca="1" si="40"/>
        <v>-2.2992291291722795E-3</v>
      </c>
      <c r="Y293" s="13">
        <f t="shared" si="47"/>
        <v>0</v>
      </c>
      <c r="Z293" s="13">
        <f t="shared" si="47"/>
        <v>0</v>
      </c>
      <c r="AA293" t="str">
        <f t="shared" ca="1" si="42"/>
        <v/>
      </c>
      <c r="AB293" t="str">
        <f t="shared" ca="1" si="43"/>
        <v/>
      </c>
      <c r="AC293" s="24" t="str">
        <f t="shared" ca="1" si="44"/>
        <v/>
      </c>
      <c r="AD293" s="24" t="str">
        <f t="shared" ca="1" si="45"/>
        <v/>
      </c>
    </row>
    <row r="294" spans="3:30" x14ac:dyDescent="0.25">
      <c r="C294" s="6">
        <v>287</v>
      </c>
      <c r="D294" s="35">
        <v>42415</v>
      </c>
      <c r="E294" s="37">
        <v>12.12</v>
      </c>
      <c r="F294" s="37">
        <v>32.896994962034725</v>
      </c>
      <c r="G294" s="37">
        <v>25.58</v>
      </c>
      <c r="H294" s="37">
        <v>2.0210701240903179</v>
      </c>
      <c r="I294" s="37">
        <v>37.97864459031652</v>
      </c>
      <c r="J294" s="10">
        <v>0</v>
      </c>
      <c r="K294" s="38">
        <v>1</v>
      </c>
      <c r="L294" s="38">
        <v>0</v>
      </c>
      <c r="M294" s="38">
        <v>0</v>
      </c>
      <c r="N294" s="38">
        <v>0</v>
      </c>
      <c r="O294" s="38">
        <v>0</v>
      </c>
      <c r="P294" s="38">
        <v>0</v>
      </c>
      <c r="Q294" s="38">
        <v>0</v>
      </c>
      <c r="R294" s="38">
        <v>0</v>
      </c>
      <c r="S294" s="38">
        <v>0</v>
      </c>
      <c r="T294" s="38">
        <v>0</v>
      </c>
      <c r="U294" s="29" cm="1">
        <f t="array" aca="1" ref="U294" ca="1">+fair_value_gap(OFFSET(T293,0,0,-1*$J$5,-1*$AA$1),OFFSET(E293,0,0,-1*$J$5,1),F294:T294,0)</f>
        <v>12.706373651958803</v>
      </c>
      <c r="V294" s="9" t="str" cm="1">
        <f t="array" aca="1" ref="V294" ca="1">z_score_diff(OFFSET(U294,0,0,$J$5*-1,1),OFFSET(E294,0,0,$J$5*-1,1))</f>
        <v/>
      </c>
      <c r="W294" s="9" t="str">
        <f t="shared" ca="1" si="41"/>
        <v/>
      </c>
      <c r="X294" s="17">
        <f t="shared" ca="1" si="40"/>
        <v>-5.7923207045043222E-3</v>
      </c>
      <c r="Y294" s="13">
        <f t="shared" si="47"/>
        <v>0</v>
      </c>
      <c r="Z294" s="13">
        <f t="shared" si="47"/>
        <v>0</v>
      </c>
      <c r="AA294" t="str">
        <f t="shared" ca="1" si="42"/>
        <v/>
      </c>
      <c r="AB294" t="str">
        <f t="shared" ca="1" si="43"/>
        <v/>
      </c>
      <c r="AC294" s="24" t="str">
        <f t="shared" ca="1" si="44"/>
        <v/>
      </c>
      <c r="AD294" s="24" t="str">
        <f t="shared" ca="1" si="45"/>
        <v/>
      </c>
    </row>
    <row r="295" spans="3:30" x14ac:dyDescent="0.25">
      <c r="C295" s="6">
        <v>288</v>
      </c>
      <c r="D295" s="35">
        <v>42416</v>
      </c>
      <c r="E295" s="37">
        <v>11.840999999999999</v>
      </c>
      <c r="F295" s="37">
        <v>31.946542012337424</v>
      </c>
      <c r="G295" s="37">
        <v>25.13</v>
      </c>
      <c r="H295" s="37">
        <v>1.9764522637210711</v>
      </c>
      <c r="I295" s="37">
        <v>38.001827302906264</v>
      </c>
      <c r="J295" s="10">
        <v>0</v>
      </c>
      <c r="K295" s="38">
        <v>1</v>
      </c>
      <c r="L295" s="38">
        <v>0</v>
      </c>
      <c r="M295" s="38">
        <v>0</v>
      </c>
      <c r="N295" s="38">
        <v>0</v>
      </c>
      <c r="O295" s="38">
        <v>0</v>
      </c>
      <c r="P295" s="38">
        <v>0</v>
      </c>
      <c r="Q295" s="38">
        <v>0</v>
      </c>
      <c r="R295" s="38">
        <v>0</v>
      </c>
      <c r="S295" s="38">
        <v>0</v>
      </c>
      <c r="T295" s="38">
        <v>0</v>
      </c>
      <c r="U295" s="29" cm="1">
        <f t="array" aca="1" ref="U295" ca="1">+fair_value_gap(OFFSET(T294,0,0,-1*$J$5,-1*$AA$1),OFFSET(E294,0,0,-1*$J$5,1),F295:T295,0)</f>
        <v>12.299861670799096</v>
      </c>
      <c r="V295" s="9" t="str" cm="1">
        <f t="array" aca="1" ref="V295" ca="1">z_score_diff(OFFSET(U295,0,0,$J$5*-1,1),OFFSET(E295,0,0,$J$5*-1,1))</f>
        <v/>
      </c>
      <c r="W295" s="9" t="str">
        <f t="shared" ca="1" si="41"/>
        <v/>
      </c>
      <c r="X295" s="17">
        <f t="shared" ca="1" si="40"/>
        <v>1.5170219268150565E-2</v>
      </c>
      <c r="Y295" s="13">
        <f t="shared" si="47"/>
        <v>0</v>
      </c>
      <c r="Z295" s="13">
        <f t="shared" si="47"/>
        <v>0</v>
      </c>
      <c r="AA295" t="str">
        <f t="shared" ca="1" si="42"/>
        <v/>
      </c>
      <c r="AB295" t="str">
        <f t="shared" ca="1" si="43"/>
        <v/>
      </c>
      <c r="AC295" s="24" t="str">
        <f t="shared" ca="1" si="44"/>
        <v/>
      </c>
      <c r="AD295" s="24" t="str">
        <f t="shared" ca="1" si="45"/>
        <v/>
      </c>
    </row>
    <row r="296" spans="3:30" x14ac:dyDescent="0.25">
      <c r="C296" s="6">
        <v>289</v>
      </c>
      <c r="D296" s="35">
        <v>42417</v>
      </c>
      <c r="E296" s="37">
        <v>11.949</v>
      </c>
      <c r="F296" s="37">
        <v>33.969399850116609</v>
      </c>
      <c r="G296" s="37">
        <v>24.88</v>
      </c>
      <c r="H296" s="37">
        <v>2.0115458443981753</v>
      </c>
      <c r="I296" s="37">
        <v>38.632041638641688</v>
      </c>
      <c r="J296" s="10">
        <v>0</v>
      </c>
      <c r="K296" s="38">
        <v>1</v>
      </c>
      <c r="L296" s="38">
        <v>0</v>
      </c>
      <c r="M296" s="38">
        <v>0</v>
      </c>
      <c r="N296" s="38">
        <v>0</v>
      </c>
      <c r="O296" s="38">
        <v>0</v>
      </c>
      <c r="P296" s="38">
        <v>0</v>
      </c>
      <c r="Q296" s="38">
        <v>0</v>
      </c>
      <c r="R296" s="38">
        <v>0</v>
      </c>
      <c r="S296" s="38">
        <v>0</v>
      </c>
      <c r="T296" s="38">
        <v>0</v>
      </c>
      <c r="U296" s="29" cm="1">
        <f t="array" aca="1" ref="U296" ca="1">+fair_value_gap(OFFSET(T295,0,0,-1*$J$5,-1*$AA$1),OFFSET(E295,0,0,-1*$J$5,1),F296:T296,0)</f>
        <v>12.438041698236919</v>
      </c>
      <c r="V296" s="9" t="str" cm="1">
        <f t="array" aca="1" ref="V296" ca="1">z_score_diff(OFFSET(U296,0,0,$J$5*-1,1),OFFSET(E296,0,0,$J$5*-1,1))</f>
        <v/>
      </c>
      <c r="W296" s="9" t="str">
        <f t="shared" ca="1" si="41"/>
        <v/>
      </c>
      <c r="X296" s="17">
        <f t="shared" ca="1" si="40"/>
        <v>3.7589318787011041E-3</v>
      </c>
      <c r="Y296" s="13">
        <f t="shared" si="47"/>
        <v>0</v>
      </c>
      <c r="Z296" s="13">
        <f t="shared" si="47"/>
        <v>0</v>
      </c>
      <c r="AA296" t="str">
        <f t="shared" ca="1" si="42"/>
        <v/>
      </c>
      <c r="AB296" t="str">
        <f t="shared" ca="1" si="43"/>
        <v/>
      </c>
      <c r="AC296" s="24" t="str">
        <f t="shared" ca="1" si="44"/>
        <v/>
      </c>
      <c r="AD296" s="24" t="str">
        <f t="shared" ca="1" si="45"/>
        <v/>
      </c>
    </row>
    <row r="297" spans="3:30" x14ac:dyDescent="0.25">
      <c r="C297" s="6">
        <v>290</v>
      </c>
      <c r="D297" s="35">
        <v>42418</v>
      </c>
      <c r="E297" s="37">
        <v>12.161</v>
      </c>
      <c r="F297" s="37">
        <v>33.703223447622001</v>
      </c>
      <c r="G297" s="37">
        <v>25.14</v>
      </c>
      <c r="H297" s="37">
        <v>1.9643037967877539</v>
      </c>
      <c r="I297" s="37">
        <v>39.250230975959674</v>
      </c>
      <c r="J297" s="10">
        <v>0</v>
      </c>
      <c r="K297" s="38">
        <v>1</v>
      </c>
      <c r="L297" s="38">
        <v>0</v>
      </c>
      <c r="M297" s="38">
        <v>0</v>
      </c>
      <c r="N297" s="38">
        <v>0</v>
      </c>
      <c r="O297" s="38">
        <v>0</v>
      </c>
      <c r="P297" s="38">
        <v>0</v>
      </c>
      <c r="Q297" s="38">
        <v>0</v>
      </c>
      <c r="R297" s="38">
        <v>0</v>
      </c>
      <c r="S297" s="38">
        <v>0</v>
      </c>
      <c r="T297" s="38">
        <v>0</v>
      </c>
      <c r="U297" s="29" cm="1">
        <f t="array" aca="1" ref="U297" ca="1">+fair_value_gap(OFFSET(T296,0,0,-1*$J$5,-1*$AA$1),OFFSET(E296,0,0,-1*$J$5,1),F297:T297,0)</f>
        <v>12.246246407527744</v>
      </c>
      <c r="V297" s="9" t="str" cm="1">
        <f t="array" aca="1" ref="V297" ca="1">z_score_diff(OFFSET(U297,0,0,$J$5*-1,1),OFFSET(E297,0,0,$J$5*-1,1))</f>
        <v/>
      </c>
      <c r="W297" s="9" t="str">
        <f t="shared" ca="1" si="41"/>
        <v/>
      </c>
      <c r="X297" s="17">
        <f t="shared" ca="1" si="40"/>
        <v>-4.5329125293669826E-3</v>
      </c>
      <c r="Y297" s="13">
        <f t="shared" ref="Y297:Z312" si="48">+Y296</f>
        <v>0</v>
      </c>
      <c r="Z297" s="13">
        <f t="shared" si="48"/>
        <v>0</v>
      </c>
      <c r="AA297" t="str">
        <f t="shared" ca="1" si="42"/>
        <v/>
      </c>
      <c r="AB297" t="str">
        <f t="shared" ca="1" si="43"/>
        <v/>
      </c>
      <c r="AC297" s="24" t="str">
        <f t="shared" ca="1" si="44"/>
        <v/>
      </c>
      <c r="AD297" s="24" t="str">
        <f t="shared" ca="1" si="45"/>
        <v/>
      </c>
    </row>
    <row r="298" spans="3:30" x14ac:dyDescent="0.25">
      <c r="C298" s="6">
        <v>291</v>
      </c>
      <c r="D298" s="35">
        <v>42419</v>
      </c>
      <c r="E298" s="37">
        <v>11.973000000000001</v>
      </c>
      <c r="F298" s="37">
        <v>32.528532821119875</v>
      </c>
      <c r="G298" s="37">
        <v>25.1</v>
      </c>
      <c r="H298" s="37">
        <v>1.9091863399816855</v>
      </c>
      <c r="I298" s="37">
        <v>39.577423893864605</v>
      </c>
      <c r="J298" s="10">
        <v>0</v>
      </c>
      <c r="K298" s="38">
        <v>1</v>
      </c>
      <c r="L298" s="38">
        <v>0</v>
      </c>
      <c r="M298" s="38">
        <v>0</v>
      </c>
      <c r="N298" s="38">
        <v>0</v>
      </c>
      <c r="O298" s="38">
        <v>0</v>
      </c>
      <c r="P298" s="38">
        <v>0</v>
      </c>
      <c r="Q298" s="38">
        <v>0</v>
      </c>
      <c r="R298" s="38">
        <v>0</v>
      </c>
      <c r="S298" s="38">
        <v>0</v>
      </c>
      <c r="T298" s="38">
        <v>0</v>
      </c>
      <c r="U298" s="29" cm="1">
        <f t="array" aca="1" ref="U298" ca="1">+fair_value_gap(OFFSET(T297,0,0,-1*$J$5,-1*$AA$1),OFFSET(E297,0,0,-1*$J$5,1),F298:T298,0)</f>
        <v>12.004626943955733</v>
      </c>
      <c r="V298" s="9" t="str" cm="1">
        <f t="array" aca="1" ref="V298" ca="1">z_score_diff(OFFSET(U298,0,0,$J$5*-1,1),OFFSET(E298,0,0,$J$5*-1,1))</f>
        <v/>
      </c>
      <c r="W298" s="9" t="str">
        <f t="shared" ca="1" si="41"/>
        <v/>
      </c>
      <c r="X298" s="17">
        <f t="shared" ca="1" si="40"/>
        <v>2.0174309687216258E-2</v>
      </c>
      <c r="Y298" s="13">
        <f t="shared" si="48"/>
        <v>0</v>
      </c>
      <c r="Z298" s="13">
        <f t="shared" si="48"/>
        <v>0</v>
      </c>
      <c r="AA298" t="str">
        <f t="shared" ca="1" si="42"/>
        <v/>
      </c>
      <c r="AB298" t="str">
        <f t="shared" ca="1" si="43"/>
        <v/>
      </c>
      <c r="AC298" s="24" t="str">
        <f t="shared" ca="1" si="44"/>
        <v/>
      </c>
      <c r="AD298" s="24" t="str">
        <f t="shared" ca="1" si="45"/>
        <v/>
      </c>
    </row>
    <row r="299" spans="3:30" x14ac:dyDescent="0.25">
      <c r="C299" s="6">
        <v>292</v>
      </c>
      <c r="D299" s="35">
        <v>42422</v>
      </c>
      <c r="E299" s="37">
        <v>12.345000000000001</v>
      </c>
      <c r="F299" s="37">
        <v>34.265562163463223</v>
      </c>
      <c r="G299" s="37">
        <v>25.35</v>
      </c>
      <c r="H299" s="37">
        <v>1.9138592073936447</v>
      </c>
      <c r="I299" s="37">
        <v>40.612038291607952</v>
      </c>
      <c r="J299" s="10">
        <v>0</v>
      </c>
      <c r="K299" s="38">
        <v>1</v>
      </c>
      <c r="L299" s="38">
        <v>0</v>
      </c>
      <c r="M299" s="38">
        <v>0</v>
      </c>
      <c r="N299" s="38">
        <v>0</v>
      </c>
      <c r="O299" s="38">
        <v>0</v>
      </c>
      <c r="P299" s="38">
        <v>0</v>
      </c>
      <c r="Q299" s="38">
        <v>0</v>
      </c>
      <c r="R299" s="38">
        <v>0</v>
      </c>
      <c r="S299" s="38">
        <v>0</v>
      </c>
      <c r="T299" s="38">
        <v>0</v>
      </c>
      <c r="U299" s="29" cm="1">
        <f t="array" aca="1" ref="U299" ca="1">+fair_value_gap(OFFSET(T298,0,0,-1*$J$5,-1*$AA$1),OFFSET(E298,0,0,-1*$J$5,1),F299:T299,0)</f>
        <v>12.276292282923478</v>
      </c>
      <c r="V299" s="9" t="str" cm="1">
        <f t="array" aca="1" ref="V299" ca="1">z_score_diff(OFFSET(U299,0,0,$J$5*-1,1),OFFSET(E299,0,0,$J$5*-1,1))</f>
        <v/>
      </c>
      <c r="W299" s="9" t="str">
        <f t="shared" ca="1" si="41"/>
        <v/>
      </c>
      <c r="X299" s="17">
        <f t="shared" ca="1" si="40"/>
        <v>-2.6845596885406615E-2</v>
      </c>
      <c r="Y299" s="13">
        <f t="shared" si="48"/>
        <v>0</v>
      </c>
      <c r="Z299" s="13">
        <f t="shared" si="48"/>
        <v>0</v>
      </c>
      <c r="AA299" t="str">
        <f t="shared" ca="1" si="42"/>
        <v/>
      </c>
      <c r="AB299" t="str">
        <f t="shared" ca="1" si="43"/>
        <v/>
      </c>
      <c r="AC299" s="24" t="str">
        <f t="shared" ca="1" si="44"/>
        <v/>
      </c>
      <c r="AD299" s="24" t="str">
        <f t="shared" ca="1" si="45"/>
        <v/>
      </c>
    </row>
    <row r="300" spans="3:30" x14ac:dyDescent="0.25">
      <c r="C300" s="6">
        <v>293</v>
      </c>
      <c r="D300" s="35">
        <v>42423</v>
      </c>
      <c r="E300" s="37">
        <v>12.228999999999999</v>
      </c>
      <c r="F300" s="37">
        <v>33.199626402681957</v>
      </c>
      <c r="G300" s="37">
        <v>25.28</v>
      </c>
      <c r="H300" s="37">
        <v>1.8860347698180293</v>
      </c>
      <c r="I300" s="37">
        <v>40.337681440605699</v>
      </c>
      <c r="J300" s="10">
        <v>0</v>
      </c>
      <c r="K300" s="38">
        <v>1</v>
      </c>
      <c r="L300" s="38">
        <v>0</v>
      </c>
      <c r="M300" s="38">
        <v>0</v>
      </c>
      <c r="N300" s="38">
        <v>0</v>
      </c>
      <c r="O300" s="38">
        <v>0</v>
      </c>
      <c r="P300" s="38">
        <v>0</v>
      </c>
      <c r="Q300" s="38">
        <v>0</v>
      </c>
      <c r="R300" s="38">
        <v>0</v>
      </c>
      <c r="S300" s="38">
        <v>0</v>
      </c>
      <c r="T300" s="38">
        <v>0</v>
      </c>
      <c r="U300" s="29" cm="1">
        <f t="array" aca="1" ref="U300" ca="1">+fair_value_gap(OFFSET(T299,0,0,-1*$J$5,-1*$AA$1),OFFSET(E299,0,0,-1*$J$5,1),F300:T300,0)</f>
        <v>12.143209377166722</v>
      </c>
      <c r="V300" s="9" t="str" cm="1">
        <f t="array" aca="1" ref="V300" ca="1">z_score_diff(OFFSET(U300,0,0,$J$5*-1,1),OFFSET(E300,0,0,$J$5*-1,1))</f>
        <v/>
      </c>
      <c r="W300" s="9" t="str">
        <f t="shared" ca="1" si="41"/>
        <v/>
      </c>
      <c r="X300" s="17">
        <f t="shared" ca="1" si="40"/>
        <v>-1.6572915080950035E-2</v>
      </c>
      <c r="Y300" s="13">
        <f t="shared" si="48"/>
        <v>0</v>
      </c>
      <c r="Z300" s="13">
        <f t="shared" si="48"/>
        <v>0</v>
      </c>
      <c r="AA300" t="str">
        <f t="shared" ca="1" si="42"/>
        <v/>
      </c>
      <c r="AB300" t="str">
        <f t="shared" ca="1" si="43"/>
        <v/>
      </c>
      <c r="AC300" s="24" t="str">
        <f t="shared" ca="1" si="44"/>
        <v/>
      </c>
      <c r="AD300" s="24" t="str">
        <f t="shared" ca="1" si="45"/>
        <v/>
      </c>
    </row>
    <row r="301" spans="3:30" x14ac:dyDescent="0.25">
      <c r="C301" s="6">
        <v>294</v>
      </c>
      <c r="D301" s="35">
        <v>42424</v>
      </c>
      <c r="E301" s="37">
        <v>11.887</v>
      </c>
      <c r="F301" s="37">
        <v>34.172947816472387</v>
      </c>
      <c r="G301" s="37">
        <v>24.85</v>
      </c>
      <c r="H301" s="37">
        <v>1.8942815641327677</v>
      </c>
      <c r="I301" s="37">
        <v>40.604652507280839</v>
      </c>
      <c r="J301" s="10">
        <v>0</v>
      </c>
      <c r="K301" s="38">
        <v>1</v>
      </c>
      <c r="L301" s="38">
        <v>0</v>
      </c>
      <c r="M301" s="38">
        <v>0</v>
      </c>
      <c r="N301" s="38">
        <v>0</v>
      </c>
      <c r="O301" s="38">
        <v>0</v>
      </c>
      <c r="P301" s="38">
        <v>0</v>
      </c>
      <c r="Q301" s="38">
        <v>0</v>
      </c>
      <c r="R301" s="38">
        <v>0</v>
      </c>
      <c r="S301" s="38">
        <v>0</v>
      </c>
      <c r="T301" s="38">
        <v>0</v>
      </c>
      <c r="U301" s="29" cm="1">
        <f t="array" aca="1" ref="U301" ca="1">+fair_value_gap(OFFSET(T300,0,0,-1*$J$5,-1*$AA$1),OFFSET(E300,0,0,-1*$J$5,1),F301:T301,0)</f>
        <v>12.16183364956073</v>
      </c>
      <c r="V301" s="9" t="str" cm="1">
        <f t="array" aca="1" ref="V301" ca="1">z_score_diff(OFFSET(U301,0,0,$J$5*-1,1),OFFSET(E301,0,0,$J$5*-1,1))</f>
        <v/>
      </c>
      <c r="W301" s="9" t="str">
        <f t="shared" ca="1" si="41"/>
        <v/>
      </c>
      <c r="X301" s="17">
        <f t="shared" ca="1" si="40"/>
        <v>1.3204270068347259E-2</v>
      </c>
      <c r="Y301" s="13">
        <f t="shared" si="48"/>
        <v>0</v>
      </c>
      <c r="Z301" s="13">
        <f t="shared" si="48"/>
        <v>0</v>
      </c>
      <c r="AA301" t="str">
        <f t="shared" ca="1" si="42"/>
        <v/>
      </c>
      <c r="AB301" t="str">
        <f t="shared" ca="1" si="43"/>
        <v/>
      </c>
      <c r="AC301" s="24" t="str">
        <f t="shared" ca="1" si="44"/>
        <v/>
      </c>
      <c r="AD301" s="24" t="str">
        <f t="shared" ca="1" si="45"/>
        <v/>
      </c>
    </row>
    <row r="302" spans="3:30" x14ac:dyDescent="0.25">
      <c r="C302" s="6">
        <v>295</v>
      </c>
      <c r="D302" s="35">
        <v>42425</v>
      </c>
      <c r="E302" s="37">
        <v>11.782999999999999</v>
      </c>
      <c r="F302" s="37">
        <v>34.479587254815335</v>
      </c>
      <c r="G302" s="37">
        <v>25</v>
      </c>
      <c r="H302" s="37">
        <v>1.8601304525806495</v>
      </c>
      <c r="I302" s="37">
        <v>40.710077524971553</v>
      </c>
      <c r="J302" s="10">
        <v>0</v>
      </c>
      <c r="K302" s="38">
        <v>1</v>
      </c>
      <c r="L302" s="38">
        <v>0</v>
      </c>
      <c r="M302" s="38">
        <v>0</v>
      </c>
      <c r="N302" s="38">
        <v>0</v>
      </c>
      <c r="O302" s="38">
        <v>0</v>
      </c>
      <c r="P302" s="38">
        <v>0</v>
      </c>
      <c r="Q302" s="38">
        <v>0</v>
      </c>
      <c r="R302" s="38">
        <v>0</v>
      </c>
      <c r="S302" s="38">
        <v>0</v>
      </c>
      <c r="T302" s="38">
        <v>0</v>
      </c>
      <c r="U302" s="29" cm="1">
        <f t="array" aca="1" ref="U302" ca="1">+fair_value_gap(OFFSET(T301,0,0,-1*$J$5,-1*$AA$1),OFFSET(E301,0,0,-1*$J$5,1),F302:T302,0)</f>
        <v>12.163263152197247</v>
      </c>
      <c r="V302" s="9" t="str" cm="1">
        <f t="array" aca="1" ref="V302" ca="1">z_score_diff(OFFSET(U302,0,0,$J$5*-1,1),OFFSET(E302,0,0,$J$5*-1,1))</f>
        <v/>
      </c>
      <c r="W302" s="9" t="str">
        <f t="shared" ca="1" si="41"/>
        <v/>
      </c>
      <c r="X302" s="17">
        <f t="shared" ca="1" si="40"/>
        <v>2.9188775095131073E-2</v>
      </c>
      <c r="Y302" s="13">
        <f t="shared" si="48"/>
        <v>0</v>
      </c>
      <c r="Z302" s="13">
        <f t="shared" si="48"/>
        <v>0</v>
      </c>
      <c r="AA302" t="str">
        <f t="shared" ca="1" si="42"/>
        <v/>
      </c>
      <c r="AB302" t="str">
        <f t="shared" ca="1" si="43"/>
        <v/>
      </c>
      <c r="AC302" s="24" t="str">
        <f t="shared" ca="1" si="44"/>
        <v/>
      </c>
      <c r="AD302" s="24" t="str">
        <f t="shared" ca="1" si="45"/>
        <v/>
      </c>
    </row>
    <row r="303" spans="3:30" x14ac:dyDescent="0.25">
      <c r="C303" s="6">
        <v>296</v>
      </c>
      <c r="D303" s="35">
        <v>42426</v>
      </c>
      <c r="E303" s="37">
        <v>12.099</v>
      </c>
      <c r="F303" s="37">
        <v>34.424627967738267</v>
      </c>
      <c r="G303" s="37">
        <v>25.18</v>
      </c>
      <c r="H303" s="37">
        <v>1.8975349312734293</v>
      </c>
      <c r="I303" s="37">
        <v>40.940588435760532</v>
      </c>
      <c r="J303" s="10">
        <v>0</v>
      </c>
      <c r="K303" s="38">
        <v>1</v>
      </c>
      <c r="L303" s="38">
        <v>0</v>
      </c>
      <c r="M303" s="38">
        <v>0</v>
      </c>
      <c r="N303" s="38">
        <v>0</v>
      </c>
      <c r="O303" s="38">
        <v>0</v>
      </c>
      <c r="P303" s="38">
        <v>0</v>
      </c>
      <c r="Q303" s="38">
        <v>0</v>
      </c>
      <c r="R303" s="38">
        <v>0</v>
      </c>
      <c r="S303" s="38">
        <v>0</v>
      </c>
      <c r="T303" s="38">
        <v>0</v>
      </c>
      <c r="U303" s="29" cm="1">
        <f t="array" aca="1" ref="U303" ca="1">+fair_value_gap(OFFSET(T302,0,0,-1*$J$5,-1*$AA$1),OFFSET(E302,0,0,-1*$J$5,1),F303:T303,0)</f>
        <v>12.210281365889022</v>
      </c>
      <c r="V303" s="9" t="str" cm="1">
        <f t="array" aca="1" ref="V303" ca="1">z_score_diff(OFFSET(U303,0,0,$J$5*-1,1),OFFSET(E303,0,0,$J$5*-1,1))</f>
        <v/>
      </c>
      <c r="W303" s="9" t="str">
        <f t="shared" ca="1" si="41"/>
        <v/>
      </c>
      <c r="X303" s="17">
        <f t="shared" ca="1" si="40"/>
        <v>-2.8969932937405072E-3</v>
      </c>
      <c r="Y303" s="13">
        <f t="shared" si="48"/>
        <v>0</v>
      </c>
      <c r="Z303" s="13">
        <f t="shared" si="48"/>
        <v>0</v>
      </c>
      <c r="AA303" t="str">
        <f t="shared" ca="1" si="42"/>
        <v/>
      </c>
      <c r="AB303" t="str">
        <f t="shared" ca="1" si="43"/>
        <v/>
      </c>
      <c r="AC303" s="24" t="str">
        <f t="shared" ca="1" si="44"/>
        <v/>
      </c>
      <c r="AD303" s="24" t="str">
        <f t="shared" ca="1" si="45"/>
        <v/>
      </c>
    </row>
    <row r="304" spans="3:30" x14ac:dyDescent="0.25">
      <c r="C304" s="6">
        <v>297</v>
      </c>
      <c r="D304" s="35">
        <v>42429</v>
      </c>
      <c r="E304" s="37">
        <v>12.288</v>
      </c>
      <c r="F304" s="37">
        <v>35.713828898873864</v>
      </c>
      <c r="G304" s="37">
        <v>25.94</v>
      </c>
      <c r="H304" s="37">
        <v>1.8765977119029651</v>
      </c>
      <c r="I304" s="37">
        <v>41.433157855306462</v>
      </c>
      <c r="J304" s="10">
        <v>0</v>
      </c>
      <c r="K304" s="38">
        <v>1</v>
      </c>
      <c r="L304" s="38">
        <v>0</v>
      </c>
      <c r="M304" s="38">
        <v>0</v>
      </c>
      <c r="N304" s="38">
        <v>0</v>
      </c>
      <c r="O304" s="38">
        <v>0</v>
      </c>
      <c r="P304" s="38">
        <v>0</v>
      </c>
      <c r="Q304" s="38">
        <v>0</v>
      </c>
      <c r="R304" s="38">
        <v>0</v>
      </c>
      <c r="S304" s="38">
        <v>0</v>
      </c>
      <c r="T304" s="38">
        <v>0</v>
      </c>
      <c r="U304" s="29" cm="1">
        <f t="array" aca="1" ref="U304" ca="1">+fair_value_gap(OFFSET(T303,0,0,-1*$J$5,-1*$AA$1),OFFSET(E303,0,0,-1*$J$5,1),F304:T304,0)</f>
        <v>12.502065186460168</v>
      </c>
      <c r="V304" s="9" t="str" cm="1">
        <f t="array" aca="1" ref="V304" ca="1">z_score_diff(OFFSET(U304,0,0,$J$5*-1,1),OFFSET(E304,0,0,$J$5*-1,1))</f>
        <v/>
      </c>
      <c r="W304" s="9" t="str">
        <f t="shared" ca="1" si="41"/>
        <v/>
      </c>
      <c r="X304" s="17">
        <f t="shared" ca="1" si="40"/>
        <v>-1.657541846594961E-2</v>
      </c>
      <c r="Y304" s="13">
        <f t="shared" si="48"/>
        <v>0</v>
      </c>
      <c r="Z304" s="13">
        <f t="shared" si="48"/>
        <v>0</v>
      </c>
      <c r="AA304" t="str">
        <f t="shared" ca="1" si="42"/>
        <v/>
      </c>
      <c r="AB304" t="str">
        <f t="shared" ca="1" si="43"/>
        <v/>
      </c>
      <c r="AC304" s="24" t="str">
        <f t="shared" ca="1" si="44"/>
        <v/>
      </c>
      <c r="AD304" s="24" t="str">
        <f t="shared" ca="1" si="45"/>
        <v/>
      </c>
    </row>
    <row r="305" spans="3:30" x14ac:dyDescent="0.25">
      <c r="C305" s="6">
        <v>298</v>
      </c>
      <c r="D305" s="35">
        <v>42430</v>
      </c>
      <c r="E305" s="37">
        <v>12.247</v>
      </c>
      <c r="F305" s="37">
        <v>36.427591363781382</v>
      </c>
      <c r="G305" s="37">
        <v>25.92</v>
      </c>
      <c r="H305" s="37">
        <v>1.9114201641572615</v>
      </c>
      <c r="I305" s="37">
        <v>41.546650626947645</v>
      </c>
      <c r="J305" s="10">
        <v>0</v>
      </c>
      <c r="K305" s="38">
        <v>0</v>
      </c>
      <c r="L305" s="38">
        <v>1</v>
      </c>
      <c r="M305" s="38">
        <v>0</v>
      </c>
      <c r="N305" s="38">
        <v>0</v>
      </c>
      <c r="O305" s="38">
        <v>0</v>
      </c>
      <c r="P305" s="38">
        <v>0</v>
      </c>
      <c r="Q305" s="38">
        <v>0</v>
      </c>
      <c r="R305" s="38">
        <v>0</v>
      </c>
      <c r="S305" s="38">
        <v>0</v>
      </c>
      <c r="T305" s="38">
        <v>0</v>
      </c>
      <c r="U305" s="29" cm="1">
        <f t="array" aca="1" ref="U305" ca="1">+fair_value_gap(OFFSET(T304,0,0,-1*$J$5,-1*$AA$1),OFFSET(E304,0,0,-1*$J$5,1),F305:T305,0)</f>
        <v>14.743129882703533</v>
      </c>
      <c r="V305" s="9" t="str" cm="1">
        <f t="array" aca="1" ref="V305" ca="1">z_score_diff(OFFSET(U305,0,0,$J$5*-1,1),OFFSET(E305,0,0,$J$5*-1,1))</f>
        <v/>
      </c>
      <c r="W305" s="9" t="str">
        <f t="shared" ca="1" si="41"/>
        <v/>
      </c>
      <c r="X305" s="17">
        <f t="shared" ca="1" si="40"/>
        <v>2.3243722571106466E-2</v>
      </c>
      <c r="Y305" s="13">
        <f t="shared" si="48"/>
        <v>0</v>
      </c>
      <c r="Z305" s="13">
        <f t="shared" si="48"/>
        <v>0</v>
      </c>
      <c r="AA305" t="str">
        <f t="shared" ca="1" si="42"/>
        <v/>
      </c>
      <c r="AB305" t="str">
        <f t="shared" ca="1" si="43"/>
        <v/>
      </c>
      <c r="AC305" s="24" t="str">
        <f t="shared" ca="1" si="44"/>
        <v/>
      </c>
      <c r="AD305" s="24" t="str">
        <f t="shared" ca="1" si="45"/>
        <v/>
      </c>
    </row>
    <row r="306" spans="3:30" x14ac:dyDescent="0.25">
      <c r="C306" s="6">
        <v>299</v>
      </c>
      <c r="D306" s="35">
        <v>42431</v>
      </c>
      <c r="E306" s="37">
        <v>12.29</v>
      </c>
      <c r="F306" s="37">
        <v>36.438450108583837</v>
      </c>
      <c r="G306" s="37">
        <v>25.94</v>
      </c>
      <c r="H306" s="37">
        <v>1.8845582352268828</v>
      </c>
      <c r="I306" s="37">
        <v>41.513315807520854</v>
      </c>
      <c r="J306" s="10">
        <v>0</v>
      </c>
      <c r="K306" s="38">
        <v>0</v>
      </c>
      <c r="L306" s="38">
        <v>1</v>
      </c>
      <c r="M306" s="38">
        <v>0</v>
      </c>
      <c r="N306" s="38">
        <v>0</v>
      </c>
      <c r="O306" s="38">
        <v>0</v>
      </c>
      <c r="P306" s="38">
        <v>0</v>
      </c>
      <c r="Q306" s="38">
        <v>0</v>
      </c>
      <c r="R306" s="38">
        <v>0</v>
      </c>
      <c r="S306" s="38">
        <v>0</v>
      </c>
      <c r="T306" s="38">
        <v>0</v>
      </c>
      <c r="U306" s="29" cm="1">
        <f t="array" aca="1" ref="U306" ca="1">+fair_value_gap(OFFSET(T305,0,0,-1*$J$5,-1*$AA$1),OFFSET(E305,0,0,-1*$J$5,1),F306:T306,0)</f>
        <v>14.051543871468148</v>
      </c>
      <c r="V306" s="9" t="str" cm="1">
        <f t="array" aca="1" ref="V306" ca="1">z_score_diff(OFFSET(U306,0,0,$J$5*-1,1),OFFSET(E306,0,0,$J$5*-1,1))</f>
        <v/>
      </c>
      <c r="W306" s="9" t="str">
        <f t="shared" ca="1" si="41"/>
        <v/>
      </c>
      <c r="X306" s="17">
        <f t="shared" ca="1" si="40"/>
        <v>1.544778550215391E-3</v>
      </c>
      <c r="Y306" s="13">
        <f t="shared" si="48"/>
        <v>0</v>
      </c>
      <c r="Z306" s="13">
        <f t="shared" si="48"/>
        <v>0</v>
      </c>
      <c r="AA306" t="str">
        <f t="shared" ca="1" si="42"/>
        <v/>
      </c>
      <c r="AB306" t="str">
        <f t="shared" ca="1" si="43"/>
        <v/>
      </c>
      <c r="AC306" s="24" t="str">
        <f t="shared" ca="1" si="44"/>
        <v/>
      </c>
      <c r="AD306" s="24" t="str">
        <f t="shared" ca="1" si="45"/>
        <v/>
      </c>
    </row>
    <row r="307" spans="3:30" x14ac:dyDescent="0.25">
      <c r="C307" s="6">
        <v>300</v>
      </c>
      <c r="D307" s="35">
        <v>42432</v>
      </c>
      <c r="E307" s="37">
        <v>12.131</v>
      </c>
      <c r="F307" s="37">
        <v>36.204722567942774</v>
      </c>
      <c r="G307" s="37">
        <v>25.62</v>
      </c>
      <c r="H307" s="37">
        <v>1.8528405840980231</v>
      </c>
      <c r="I307" s="37">
        <v>42.060569032362167</v>
      </c>
      <c r="J307" s="10">
        <v>0</v>
      </c>
      <c r="K307" s="38">
        <v>0</v>
      </c>
      <c r="L307" s="38">
        <v>1</v>
      </c>
      <c r="M307" s="38">
        <v>0</v>
      </c>
      <c r="N307" s="38">
        <v>0</v>
      </c>
      <c r="O307" s="38">
        <v>0</v>
      </c>
      <c r="P307" s="38">
        <v>0</v>
      </c>
      <c r="Q307" s="38">
        <v>0</v>
      </c>
      <c r="R307" s="38">
        <v>0</v>
      </c>
      <c r="S307" s="38">
        <v>0</v>
      </c>
      <c r="T307" s="38">
        <v>0</v>
      </c>
      <c r="U307" s="29" cm="1">
        <f t="array" aca="1" ref="U307" ca="1">+fair_value_gap(OFFSET(T306,0,0,-1*$J$5,-1*$AA$1),OFFSET(E306,0,0,-1*$J$5,1),F307:T307,0)</f>
        <v>13.478017041872185</v>
      </c>
      <c r="V307" s="9" t="str" cm="1">
        <f t="array" aca="1" ref="V307" ca="1">z_score_diff(OFFSET(U307,0,0,$J$5*-1,1),OFFSET(E307,0,0,$J$5*-1,1))</f>
        <v/>
      </c>
      <c r="W307" s="9" t="str">
        <f t="shared" ca="1" si="41"/>
        <v/>
      </c>
      <c r="X307" s="17">
        <f t="shared" ca="1" si="40"/>
        <v>3.296793897824248E-4</v>
      </c>
      <c r="Y307" s="13">
        <f t="shared" si="48"/>
        <v>0</v>
      </c>
      <c r="Z307" s="13">
        <f t="shared" si="48"/>
        <v>0</v>
      </c>
      <c r="AA307" t="str">
        <f t="shared" ca="1" si="42"/>
        <v/>
      </c>
      <c r="AB307" t="str">
        <f t="shared" ca="1" si="43"/>
        <v/>
      </c>
      <c r="AC307" s="24" t="str">
        <f t="shared" ca="1" si="44"/>
        <v/>
      </c>
      <c r="AD307" s="24" t="str">
        <f t="shared" ca="1" si="45"/>
        <v/>
      </c>
    </row>
    <row r="308" spans="3:30" x14ac:dyDescent="0.25">
      <c r="C308" s="6">
        <v>301</v>
      </c>
      <c r="D308" s="35">
        <v>42433</v>
      </c>
      <c r="E308" s="37">
        <v>11.968</v>
      </c>
      <c r="F308" s="37">
        <v>37.610857211486795</v>
      </c>
      <c r="G308" s="37">
        <v>25.62</v>
      </c>
      <c r="H308" s="37">
        <v>1.8647399793930428</v>
      </c>
      <c r="I308" s="37">
        <v>42.216268298607631</v>
      </c>
      <c r="J308" s="10">
        <v>0</v>
      </c>
      <c r="K308" s="38">
        <v>0</v>
      </c>
      <c r="L308" s="38">
        <v>1</v>
      </c>
      <c r="M308" s="38">
        <v>0</v>
      </c>
      <c r="N308" s="38">
        <v>0</v>
      </c>
      <c r="O308" s="38">
        <v>0</v>
      </c>
      <c r="P308" s="38">
        <v>0</v>
      </c>
      <c r="Q308" s="38">
        <v>0</v>
      </c>
      <c r="R308" s="38">
        <v>0</v>
      </c>
      <c r="S308" s="38">
        <v>0</v>
      </c>
      <c r="T308" s="38">
        <v>0</v>
      </c>
      <c r="U308" s="29" cm="1">
        <f t="array" aca="1" ref="U308" ca="1">+fair_value_gap(OFFSET(T307,0,0,-1*$J$5,-1*$AA$1),OFFSET(E307,0,0,-1*$J$5,1),F308:T308,0)</f>
        <v>13.417218812611477</v>
      </c>
      <c r="V308" s="9" t="str" cm="1">
        <f t="array" aca="1" ref="V308" ca="1">z_score_diff(OFFSET(U308,0,0,$J$5*-1,1),OFFSET(E308,0,0,$J$5*-1,1))</f>
        <v/>
      </c>
      <c r="W308" s="9" t="str">
        <f t="shared" ca="1" si="41"/>
        <v/>
      </c>
      <c r="X308" s="17">
        <f t="shared" ca="1" si="40"/>
        <v>5.4995555660386697E-3</v>
      </c>
      <c r="Y308" s="13">
        <f t="shared" si="48"/>
        <v>0</v>
      </c>
      <c r="Z308" s="13">
        <f t="shared" si="48"/>
        <v>0</v>
      </c>
      <c r="AA308" t="str">
        <f t="shared" ca="1" si="42"/>
        <v/>
      </c>
      <c r="AB308" t="str">
        <f t="shared" ca="1" si="43"/>
        <v/>
      </c>
      <c r="AC308" s="24" t="str">
        <f t="shared" ca="1" si="44"/>
        <v/>
      </c>
      <c r="AD308" s="24" t="str">
        <f t="shared" ca="1" si="45"/>
        <v/>
      </c>
    </row>
    <row r="309" spans="3:30" x14ac:dyDescent="0.25">
      <c r="C309" s="6">
        <v>302</v>
      </c>
      <c r="D309" s="35">
        <v>42436</v>
      </c>
      <c r="E309" s="37">
        <v>11.987</v>
      </c>
      <c r="F309" s="37">
        <v>39.463726295830917</v>
      </c>
      <c r="G309" s="37">
        <v>25.82</v>
      </c>
      <c r="H309" s="37">
        <v>1.8491574607189341</v>
      </c>
      <c r="I309" s="37">
        <v>43.116939815787831</v>
      </c>
      <c r="J309" s="10">
        <v>0</v>
      </c>
      <c r="K309" s="38">
        <v>0</v>
      </c>
      <c r="L309" s="38">
        <v>1</v>
      </c>
      <c r="M309" s="38">
        <v>0</v>
      </c>
      <c r="N309" s="38">
        <v>0</v>
      </c>
      <c r="O309" s="38">
        <v>0</v>
      </c>
      <c r="P309" s="38">
        <v>0</v>
      </c>
      <c r="Q309" s="38">
        <v>0</v>
      </c>
      <c r="R309" s="38">
        <v>0</v>
      </c>
      <c r="S309" s="38">
        <v>0</v>
      </c>
      <c r="T309" s="38">
        <v>0</v>
      </c>
      <c r="U309" s="29" cm="1">
        <f t="array" aca="1" ref="U309" ca="1">+fair_value_gap(OFFSET(T308,0,0,-1*$J$5,-1*$AA$1),OFFSET(E308,0,0,-1*$J$5,1),F309:T309,0)</f>
        <v>13.429032419510225</v>
      </c>
      <c r="V309" s="9" t="str" cm="1">
        <f t="array" aca="1" ref="V309" ca="1">z_score_diff(OFFSET(U309,0,0,$J$5*-1,1),OFFSET(E309,0,0,$J$5*-1,1))</f>
        <v/>
      </c>
      <c r="W309" s="9" t="str">
        <f t="shared" ca="1" si="41"/>
        <v/>
      </c>
      <c r="X309" s="17">
        <f t="shared" ca="1" si="40"/>
        <v>1.6793214268217387E-2</v>
      </c>
      <c r="Y309" s="13">
        <f t="shared" si="48"/>
        <v>0</v>
      </c>
      <c r="Z309" s="13">
        <f t="shared" si="48"/>
        <v>0</v>
      </c>
      <c r="AA309" t="str">
        <f t="shared" ca="1" si="42"/>
        <v/>
      </c>
      <c r="AB309" t="str">
        <f t="shared" ca="1" si="43"/>
        <v/>
      </c>
      <c r="AC309" s="24" t="str">
        <f t="shared" ca="1" si="44"/>
        <v/>
      </c>
      <c r="AD309" s="24" t="str">
        <f t="shared" ca="1" si="45"/>
        <v/>
      </c>
    </row>
    <row r="310" spans="3:30" x14ac:dyDescent="0.25">
      <c r="C310" s="6">
        <v>303</v>
      </c>
      <c r="D310" s="35">
        <v>42437</v>
      </c>
      <c r="E310" s="37">
        <v>12.097</v>
      </c>
      <c r="F310" s="37">
        <v>38.314522224319205</v>
      </c>
      <c r="G310" s="37">
        <v>26.1</v>
      </c>
      <c r="H310" s="37">
        <v>1.8656093074580125</v>
      </c>
      <c r="I310" s="37">
        <v>43.208811888608857</v>
      </c>
      <c r="J310" s="10">
        <v>0</v>
      </c>
      <c r="K310" s="38">
        <v>0</v>
      </c>
      <c r="L310" s="38">
        <v>1</v>
      </c>
      <c r="M310" s="38">
        <v>0</v>
      </c>
      <c r="N310" s="38">
        <v>0</v>
      </c>
      <c r="O310" s="38">
        <v>0</v>
      </c>
      <c r="P310" s="38">
        <v>0</v>
      </c>
      <c r="Q310" s="38">
        <v>0</v>
      </c>
      <c r="R310" s="38">
        <v>0</v>
      </c>
      <c r="S310" s="38">
        <v>0</v>
      </c>
      <c r="T310" s="38">
        <v>0</v>
      </c>
      <c r="U310" s="29" cm="1">
        <f t="array" aca="1" ref="U310" ca="1">+fair_value_gap(OFFSET(T309,0,0,-1*$J$5,-1*$AA$1),OFFSET(E309,0,0,-1*$J$5,1),F310:T310,0)</f>
        <v>13.120427291782324</v>
      </c>
      <c r="V310" s="9" t="str" cm="1">
        <f t="array" aca="1" ref="V310" ca="1">z_score_diff(OFFSET(U310,0,0,$J$5*-1,1),OFFSET(E310,0,0,$J$5*-1,1))</f>
        <v/>
      </c>
      <c r="W310" s="9" t="str">
        <f t="shared" ca="1" si="41"/>
        <v/>
      </c>
      <c r="X310" s="17">
        <f t="shared" ca="1" si="40"/>
        <v>-9.6354263199491131E-3</v>
      </c>
      <c r="Y310" s="13">
        <f t="shared" si="48"/>
        <v>0</v>
      </c>
      <c r="Z310" s="13">
        <f t="shared" si="48"/>
        <v>0</v>
      </c>
      <c r="AA310" t="str">
        <f t="shared" ca="1" si="42"/>
        <v/>
      </c>
      <c r="AB310" t="str">
        <f t="shared" ca="1" si="43"/>
        <v/>
      </c>
      <c r="AC310" s="24" t="str">
        <f t="shared" ca="1" si="44"/>
        <v/>
      </c>
      <c r="AD310" s="24" t="str">
        <f t="shared" ca="1" si="45"/>
        <v/>
      </c>
    </row>
    <row r="311" spans="3:30" x14ac:dyDescent="0.25">
      <c r="C311" s="6">
        <v>304</v>
      </c>
      <c r="D311" s="35">
        <v>42438</v>
      </c>
      <c r="E311" s="37">
        <v>12.225</v>
      </c>
      <c r="F311" s="37">
        <v>39.400227930724959</v>
      </c>
      <c r="G311" s="37">
        <v>26.04</v>
      </c>
      <c r="H311" s="37">
        <v>1.9018308508390271</v>
      </c>
      <c r="I311" s="37">
        <v>44.023862287940446</v>
      </c>
      <c r="J311" s="10">
        <v>0</v>
      </c>
      <c r="K311" s="38">
        <v>0</v>
      </c>
      <c r="L311" s="38">
        <v>1</v>
      </c>
      <c r="M311" s="38">
        <v>0</v>
      </c>
      <c r="N311" s="38">
        <v>0</v>
      </c>
      <c r="O311" s="38">
        <v>0</v>
      </c>
      <c r="P311" s="38">
        <v>0</v>
      </c>
      <c r="Q311" s="38">
        <v>0</v>
      </c>
      <c r="R311" s="38">
        <v>0</v>
      </c>
      <c r="S311" s="38">
        <v>0</v>
      </c>
      <c r="T311" s="38">
        <v>0</v>
      </c>
      <c r="U311" s="29" cm="1">
        <f t="array" aca="1" ref="U311" ca="1">+fair_value_gap(OFFSET(T310,0,0,-1*$J$5,-1*$AA$1),OFFSET(E310,0,0,-1*$J$5,1),F311:T311,0)</f>
        <v>13.086442894928352</v>
      </c>
      <c r="V311" s="9" t="str" cm="1">
        <f t="array" aca="1" ref="V311" ca="1">z_score_diff(OFFSET(U311,0,0,$J$5*-1,1),OFFSET(E311,0,0,$J$5*-1,1))</f>
        <v/>
      </c>
      <c r="W311" s="9" t="str">
        <f t="shared" ca="1" si="41"/>
        <v/>
      </c>
      <c r="X311" s="17">
        <f t="shared" ca="1" si="40"/>
        <v>-9.616644201463475E-3</v>
      </c>
      <c r="Y311" s="13">
        <f t="shared" si="48"/>
        <v>0</v>
      </c>
      <c r="Z311" s="13">
        <f t="shared" si="48"/>
        <v>0</v>
      </c>
      <c r="AA311" t="str">
        <f t="shared" ca="1" si="42"/>
        <v/>
      </c>
      <c r="AB311" t="str">
        <f t="shared" ca="1" si="43"/>
        <v/>
      </c>
      <c r="AC311" s="24" t="str">
        <f t="shared" ca="1" si="44"/>
        <v/>
      </c>
      <c r="AD311" s="24" t="str">
        <f t="shared" ca="1" si="45"/>
        <v/>
      </c>
    </row>
    <row r="312" spans="3:30" x14ac:dyDescent="0.25">
      <c r="C312" s="6">
        <v>305</v>
      </c>
      <c r="D312" s="35">
        <v>42439</v>
      </c>
      <c r="E312" s="37">
        <v>12.052</v>
      </c>
      <c r="F312" s="37">
        <v>38.009964053281543</v>
      </c>
      <c r="G312" s="37">
        <v>25.72</v>
      </c>
      <c r="H312" s="37">
        <v>1.9156168126057191</v>
      </c>
      <c r="I312" s="37">
        <v>43.666102831448846</v>
      </c>
      <c r="J312" s="10">
        <v>0</v>
      </c>
      <c r="K312" s="38">
        <v>0</v>
      </c>
      <c r="L312" s="38">
        <v>1</v>
      </c>
      <c r="M312" s="38">
        <v>0</v>
      </c>
      <c r="N312" s="38">
        <v>0</v>
      </c>
      <c r="O312" s="38">
        <v>0</v>
      </c>
      <c r="P312" s="38">
        <v>0</v>
      </c>
      <c r="Q312" s="38">
        <v>0</v>
      </c>
      <c r="R312" s="38">
        <v>0</v>
      </c>
      <c r="S312" s="38">
        <v>0</v>
      </c>
      <c r="T312" s="38">
        <v>0</v>
      </c>
      <c r="U312" s="29" cm="1">
        <f t="array" aca="1" ref="U312" ca="1">+fair_value_gap(OFFSET(T311,0,0,-1*$J$5,-1*$AA$1),OFFSET(E311,0,0,-1*$J$5,1),F312:T312,0)</f>
        <v>12.671548918857418</v>
      </c>
      <c r="V312" s="9" t="str" cm="1">
        <f t="array" aca="1" ref="V312" ca="1">z_score_diff(OFFSET(U312,0,0,$J$5*-1,1),OFFSET(E312,0,0,$J$5*-1,1))</f>
        <v/>
      </c>
      <c r="W312" s="9" t="str">
        <f t="shared" ca="1" si="41"/>
        <v/>
      </c>
      <c r="X312" s="17">
        <f t="shared" ca="1" si="40"/>
        <v>7.1104061456087131E-3</v>
      </c>
      <c r="Y312" s="13">
        <f t="shared" si="48"/>
        <v>0</v>
      </c>
      <c r="Z312" s="13">
        <f t="shared" si="48"/>
        <v>0</v>
      </c>
      <c r="AA312" t="str">
        <f t="shared" ca="1" si="42"/>
        <v/>
      </c>
      <c r="AB312" t="str">
        <f t="shared" ca="1" si="43"/>
        <v/>
      </c>
      <c r="AC312" s="24" t="str">
        <f t="shared" ca="1" si="44"/>
        <v/>
      </c>
      <c r="AD312" s="24" t="str">
        <f t="shared" ca="1" si="45"/>
        <v/>
      </c>
    </row>
    <row r="313" spans="3:30" x14ac:dyDescent="0.25">
      <c r="C313" s="6">
        <v>306</v>
      </c>
      <c r="D313" s="35">
        <v>42440</v>
      </c>
      <c r="E313" s="37">
        <v>12.164</v>
      </c>
      <c r="F313" s="37">
        <v>38.532398068832187</v>
      </c>
      <c r="G313" s="37">
        <v>25.87</v>
      </c>
      <c r="H313" s="37">
        <v>1.9529264469044778</v>
      </c>
      <c r="I313" s="37">
        <v>43.695614565442654</v>
      </c>
      <c r="J313" s="10">
        <v>0</v>
      </c>
      <c r="K313" s="38">
        <v>0</v>
      </c>
      <c r="L313" s="38">
        <v>1</v>
      </c>
      <c r="M313" s="38">
        <v>0</v>
      </c>
      <c r="N313" s="38">
        <v>0</v>
      </c>
      <c r="O313" s="38">
        <v>0</v>
      </c>
      <c r="P313" s="38">
        <v>0</v>
      </c>
      <c r="Q313" s="38">
        <v>0</v>
      </c>
      <c r="R313" s="38">
        <v>0</v>
      </c>
      <c r="S313" s="38">
        <v>0</v>
      </c>
      <c r="T313" s="38">
        <v>0</v>
      </c>
      <c r="U313" s="29" cm="1">
        <f t="array" aca="1" ref="U313" ca="1">+fair_value_gap(OFFSET(T312,0,0,-1*$J$5,-1*$AA$1),OFFSET(E312,0,0,-1*$J$5,1),F313:T313,0)</f>
        <v>12.782977509756037</v>
      </c>
      <c r="V313" s="9" t="str" cm="1">
        <f t="array" aca="1" ref="V313" ca="1">z_score_diff(OFFSET(U313,0,0,$J$5*-1,1),OFFSET(E313,0,0,$J$5*-1,1))</f>
        <v/>
      </c>
      <c r="W313" s="9" t="str">
        <f t="shared" ca="1" si="41"/>
        <v/>
      </c>
      <c r="X313" s="17">
        <f t="shared" ca="1" si="40"/>
        <v>3.3649340298052962E-3</v>
      </c>
      <c r="Y313" s="13">
        <f t="shared" ref="Y313:Z328" si="49">+Y312</f>
        <v>0</v>
      </c>
      <c r="Z313" s="13">
        <f t="shared" si="49"/>
        <v>0</v>
      </c>
      <c r="AA313" t="str">
        <f t="shared" ca="1" si="42"/>
        <v/>
      </c>
      <c r="AB313" t="str">
        <f t="shared" ca="1" si="43"/>
        <v/>
      </c>
      <c r="AC313" s="24" t="str">
        <f t="shared" ca="1" si="44"/>
        <v/>
      </c>
      <c r="AD313" s="24" t="str">
        <f t="shared" ca="1" si="45"/>
        <v/>
      </c>
    </row>
    <row r="314" spans="3:30" x14ac:dyDescent="0.25">
      <c r="C314" s="6">
        <v>307</v>
      </c>
      <c r="D314" s="35">
        <v>42443</v>
      </c>
      <c r="E314" s="37">
        <v>12.05</v>
      </c>
      <c r="F314" s="37">
        <v>37.819897403565079</v>
      </c>
      <c r="G314" s="37">
        <v>25.7</v>
      </c>
      <c r="H314" s="37">
        <v>1.9595059322519632</v>
      </c>
      <c r="I314" s="37">
        <v>43.614231673067003</v>
      </c>
      <c r="J314" s="10">
        <v>0</v>
      </c>
      <c r="K314" s="38">
        <v>0</v>
      </c>
      <c r="L314" s="38">
        <v>1</v>
      </c>
      <c r="M314" s="38">
        <v>0</v>
      </c>
      <c r="N314" s="38">
        <v>0</v>
      </c>
      <c r="O314" s="38">
        <v>0</v>
      </c>
      <c r="P314" s="38">
        <v>0</v>
      </c>
      <c r="Q314" s="38">
        <v>0</v>
      </c>
      <c r="R314" s="38">
        <v>0</v>
      </c>
      <c r="S314" s="38">
        <v>0</v>
      </c>
      <c r="T314" s="38">
        <v>0</v>
      </c>
      <c r="U314" s="29" cm="1">
        <f t="array" aca="1" ref="U314" ca="1">+fair_value_gap(OFFSET(T313,0,0,-1*$J$5,-1*$AA$1),OFFSET(E313,0,0,-1*$J$5,1),F314:T314,0)</f>
        <v>12.536608946692908</v>
      </c>
      <c r="V314" s="9" t="str" cm="1">
        <f t="array" aca="1" ref="V314" ca="1">z_score_diff(OFFSET(U314,0,0,$J$5*-1,1),OFFSET(E314,0,0,$J$5*-1,1))</f>
        <v/>
      </c>
      <c r="W314" s="9" t="str">
        <f t="shared" ca="1" si="41"/>
        <v/>
      </c>
      <c r="X314" s="17">
        <f t="shared" ca="1" si="40"/>
        <v>1.7440389403832083E-2</v>
      </c>
      <c r="Y314" s="13">
        <f t="shared" si="49"/>
        <v>0</v>
      </c>
      <c r="Z314" s="13">
        <f t="shared" si="49"/>
        <v>0</v>
      </c>
      <c r="AA314" t="str">
        <f t="shared" ca="1" si="42"/>
        <v/>
      </c>
      <c r="AB314" t="str">
        <f t="shared" ca="1" si="43"/>
        <v/>
      </c>
      <c r="AC314" s="24" t="str">
        <f t="shared" ca="1" si="44"/>
        <v/>
      </c>
      <c r="AD314" s="24" t="str">
        <f t="shared" ca="1" si="45"/>
        <v/>
      </c>
    </row>
    <row r="315" spans="3:30" x14ac:dyDescent="0.25">
      <c r="C315" s="6">
        <v>308</v>
      </c>
      <c r="D315" s="35">
        <v>42444</v>
      </c>
      <c r="E315" s="37">
        <v>12.022</v>
      </c>
      <c r="F315" s="37">
        <v>37.072655785221933</v>
      </c>
      <c r="G315" s="37">
        <v>25.6</v>
      </c>
      <c r="H315" s="37">
        <v>1.9851405209316473</v>
      </c>
      <c r="I315" s="37">
        <v>43.075491700251831</v>
      </c>
      <c r="J315" s="10">
        <v>0</v>
      </c>
      <c r="K315" s="38">
        <v>0</v>
      </c>
      <c r="L315" s="38">
        <v>1</v>
      </c>
      <c r="M315" s="38">
        <v>0</v>
      </c>
      <c r="N315" s="38">
        <v>0</v>
      </c>
      <c r="O315" s="38">
        <v>0</v>
      </c>
      <c r="P315" s="38">
        <v>0</v>
      </c>
      <c r="Q315" s="38">
        <v>0</v>
      </c>
      <c r="R315" s="38">
        <v>0</v>
      </c>
      <c r="S315" s="38">
        <v>0</v>
      </c>
      <c r="T315" s="38">
        <v>0</v>
      </c>
      <c r="U315" s="29" cm="1">
        <f t="array" aca="1" ref="U315" ca="1">+fair_value_gap(OFFSET(T314,0,0,-1*$J$5,-1*$AA$1),OFFSET(E314,0,0,-1*$J$5,1),F315:T315,0)</f>
        <v>12.399761720968579</v>
      </c>
      <c r="V315" s="9" t="str" cm="1">
        <f t="array" aca="1" ref="V315" ca="1">z_score_diff(OFFSET(U315,0,0,$J$5*-1,1),OFFSET(E315,0,0,$J$5*-1,1))</f>
        <v/>
      </c>
      <c r="W315" s="9" t="str">
        <f t="shared" ca="1" si="41"/>
        <v/>
      </c>
      <c r="X315" s="17">
        <f t="shared" ca="1" si="40"/>
        <v>8.3661701474758796E-3</v>
      </c>
      <c r="Y315" s="13">
        <f t="shared" si="49"/>
        <v>0</v>
      </c>
      <c r="Z315" s="13">
        <f t="shared" si="49"/>
        <v>0</v>
      </c>
      <c r="AA315" t="str">
        <f t="shared" ca="1" si="42"/>
        <v/>
      </c>
      <c r="AB315" t="str">
        <f t="shared" ca="1" si="43"/>
        <v/>
      </c>
      <c r="AC315" s="24" t="str">
        <f t="shared" ca="1" si="44"/>
        <v/>
      </c>
      <c r="AD315" s="24" t="str">
        <f t="shared" ca="1" si="45"/>
        <v/>
      </c>
    </row>
    <row r="316" spans="3:30" x14ac:dyDescent="0.25">
      <c r="C316" s="6">
        <v>309</v>
      </c>
      <c r="D316" s="35">
        <v>42445</v>
      </c>
      <c r="E316" s="37">
        <v>11.994</v>
      </c>
      <c r="F316" s="37">
        <v>37.980416818455382</v>
      </c>
      <c r="G316" s="37">
        <v>25.59</v>
      </c>
      <c r="H316" s="37">
        <v>1.9783498328773028</v>
      </c>
      <c r="I316" s="37">
        <v>42.633793441486674</v>
      </c>
      <c r="J316" s="10">
        <v>0</v>
      </c>
      <c r="K316" s="38">
        <v>0</v>
      </c>
      <c r="L316" s="38">
        <v>1</v>
      </c>
      <c r="M316" s="38">
        <v>0</v>
      </c>
      <c r="N316" s="38">
        <v>0</v>
      </c>
      <c r="O316" s="38">
        <v>0</v>
      </c>
      <c r="P316" s="38">
        <v>0</v>
      </c>
      <c r="Q316" s="38">
        <v>0</v>
      </c>
      <c r="R316" s="38">
        <v>0</v>
      </c>
      <c r="S316" s="38">
        <v>0</v>
      </c>
      <c r="T316" s="38">
        <v>0</v>
      </c>
      <c r="U316" s="29" cm="1">
        <f t="array" aca="1" ref="U316" ca="1">+fair_value_gap(OFFSET(T315,0,0,-1*$J$5,-1*$AA$1),OFFSET(E315,0,0,-1*$J$5,1),F316:T316,0)</f>
        <v>12.54541202761628</v>
      </c>
      <c r="V316" s="9" t="str" cm="1">
        <f t="array" aca="1" ref="V316" ca="1">z_score_diff(OFFSET(U316,0,0,$J$5*-1,1),OFFSET(E316,0,0,$J$5*-1,1))</f>
        <v/>
      </c>
      <c r="W316" s="9" t="str">
        <f t="shared" ca="1" si="41"/>
        <v/>
      </c>
      <c r="X316" s="17">
        <f t="shared" ca="1" si="40"/>
        <v>9.1294517397368345E-3</v>
      </c>
      <c r="Y316" s="13">
        <f t="shared" si="49"/>
        <v>0</v>
      </c>
      <c r="Z316" s="13">
        <f t="shared" si="49"/>
        <v>0</v>
      </c>
      <c r="AA316" t="str">
        <f t="shared" ca="1" si="42"/>
        <v/>
      </c>
      <c r="AB316" t="str">
        <f t="shared" ca="1" si="43"/>
        <v/>
      </c>
      <c r="AC316" s="24" t="str">
        <f t="shared" ca="1" si="44"/>
        <v/>
      </c>
      <c r="AD316" s="24" t="str">
        <f t="shared" ca="1" si="45"/>
        <v/>
      </c>
    </row>
    <row r="317" spans="3:30" x14ac:dyDescent="0.25">
      <c r="C317" s="6">
        <v>310</v>
      </c>
      <c r="D317" s="35">
        <v>42446</v>
      </c>
      <c r="E317" s="37">
        <v>12.106</v>
      </c>
      <c r="F317" s="37">
        <v>38.522134850318132</v>
      </c>
      <c r="G317" s="37">
        <v>25.57</v>
      </c>
      <c r="H317" s="37">
        <v>2.0016747990197241</v>
      </c>
      <c r="I317" s="37">
        <v>42.748673824543275</v>
      </c>
      <c r="J317" s="10">
        <v>0</v>
      </c>
      <c r="K317" s="38">
        <v>0</v>
      </c>
      <c r="L317" s="38">
        <v>1</v>
      </c>
      <c r="M317" s="38">
        <v>0</v>
      </c>
      <c r="N317" s="38">
        <v>0</v>
      </c>
      <c r="O317" s="38">
        <v>0</v>
      </c>
      <c r="P317" s="38">
        <v>0</v>
      </c>
      <c r="Q317" s="38">
        <v>0</v>
      </c>
      <c r="R317" s="38">
        <v>0</v>
      </c>
      <c r="S317" s="38">
        <v>0</v>
      </c>
      <c r="T317" s="38">
        <v>0</v>
      </c>
      <c r="U317" s="29" cm="1">
        <f t="array" aca="1" ref="U317" ca="1">+fair_value_gap(OFFSET(T316,0,0,-1*$J$5,-1*$AA$1),OFFSET(E316,0,0,-1*$J$5,1),F317:T317,0)</f>
        <v>12.544412265919057</v>
      </c>
      <c r="V317" s="9" t="str" cm="1">
        <f t="array" aca="1" ref="V317" ca="1">z_score_diff(OFFSET(U317,0,0,$J$5*-1,1),OFFSET(E317,0,0,$J$5*-1,1))</f>
        <v/>
      </c>
      <c r="W317" s="9" t="str">
        <f t="shared" ca="1" si="41"/>
        <v/>
      </c>
      <c r="X317" s="17">
        <f t="shared" ca="1" si="40"/>
        <v>9.1272269524273267E-3</v>
      </c>
      <c r="Y317" s="13">
        <f t="shared" si="49"/>
        <v>0</v>
      </c>
      <c r="Z317" s="13">
        <f t="shared" si="49"/>
        <v>0</v>
      </c>
      <c r="AA317" t="str">
        <f t="shared" ca="1" si="42"/>
        <v/>
      </c>
      <c r="AB317" t="str">
        <f t="shared" ca="1" si="43"/>
        <v/>
      </c>
      <c r="AC317" s="24" t="str">
        <f t="shared" ca="1" si="44"/>
        <v/>
      </c>
      <c r="AD317" s="24" t="str">
        <f t="shared" ca="1" si="45"/>
        <v/>
      </c>
    </row>
    <row r="318" spans="3:30" x14ac:dyDescent="0.25">
      <c r="C318" s="6">
        <v>311</v>
      </c>
      <c r="D318" s="35">
        <v>42447</v>
      </c>
      <c r="E318" s="37">
        <v>12.217000000000001</v>
      </c>
      <c r="F318" s="37">
        <v>38.389375938774677</v>
      </c>
      <c r="G318" s="37">
        <v>25.73</v>
      </c>
      <c r="H318" s="37">
        <v>1.9891874337011064</v>
      </c>
      <c r="I318" s="37">
        <v>43.199079360988982</v>
      </c>
      <c r="J318" s="10">
        <v>0</v>
      </c>
      <c r="K318" s="38">
        <v>0</v>
      </c>
      <c r="L318" s="38">
        <v>1</v>
      </c>
      <c r="M318" s="38">
        <v>0</v>
      </c>
      <c r="N318" s="38">
        <v>0</v>
      </c>
      <c r="O318" s="38">
        <v>0</v>
      </c>
      <c r="P318" s="38">
        <v>0</v>
      </c>
      <c r="Q318" s="38">
        <v>0</v>
      </c>
      <c r="R318" s="38">
        <v>0</v>
      </c>
      <c r="S318" s="38">
        <v>0</v>
      </c>
      <c r="T318" s="38">
        <v>0</v>
      </c>
      <c r="U318" s="29" cm="1">
        <f t="array" aca="1" ref="U318" ca="1">+fair_value_gap(OFFSET(T317,0,0,-1*$J$5,-1*$AA$1),OFFSET(E317,0,0,-1*$J$5,1),F318:T318,0)</f>
        <v>12.432259583986534</v>
      </c>
      <c r="V318" s="9" t="str" cm="1">
        <f t="array" aca="1" ref="V318" ca="1">z_score_diff(OFFSET(U318,0,0,$J$5*-1,1),OFFSET(E318,0,0,$J$5*-1,1))</f>
        <v/>
      </c>
      <c r="W318" s="9" t="str">
        <f t="shared" ca="1" si="41"/>
        <v/>
      </c>
      <c r="X318" s="17">
        <f t="shared" ca="1" si="40"/>
        <v>2.9200332434812532E-2</v>
      </c>
      <c r="Y318" s="13">
        <f t="shared" si="49"/>
        <v>0</v>
      </c>
      <c r="Z318" s="13">
        <f t="shared" si="49"/>
        <v>0</v>
      </c>
      <c r="AA318" t="str">
        <f t="shared" ca="1" si="42"/>
        <v/>
      </c>
      <c r="AB318" t="str">
        <f t="shared" ca="1" si="43"/>
        <v/>
      </c>
      <c r="AC318" s="24" t="str">
        <f t="shared" ca="1" si="44"/>
        <v/>
      </c>
      <c r="AD318" s="24" t="str">
        <f t="shared" ca="1" si="45"/>
        <v/>
      </c>
    </row>
    <row r="319" spans="3:30" x14ac:dyDescent="0.25">
      <c r="C319" s="6">
        <v>312</v>
      </c>
      <c r="D319" s="35">
        <v>42450</v>
      </c>
      <c r="E319" s="37">
        <v>12.018000000000001</v>
      </c>
      <c r="F319" s="37">
        <v>38.836651680961019</v>
      </c>
      <c r="G319" s="37">
        <v>25.58</v>
      </c>
      <c r="H319" s="37">
        <v>1.9263545288347323</v>
      </c>
      <c r="I319" s="37">
        <v>43.294331582396765</v>
      </c>
      <c r="J319" s="10">
        <v>0</v>
      </c>
      <c r="K319" s="38">
        <v>0</v>
      </c>
      <c r="L319" s="38">
        <v>1</v>
      </c>
      <c r="M319" s="38">
        <v>0</v>
      </c>
      <c r="N319" s="38">
        <v>0</v>
      </c>
      <c r="O319" s="38">
        <v>0</v>
      </c>
      <c r="P319" s="38">
        <v>0</v>
      </c>
      <c r="Q319" s="38">
        <v>0</v>
      </c>
      <c r="R319" s="38">
        <v>0</v>
      </c>
      <c r="S319" s="38">
        <v>0</v>
      </c>
      <c r="T319" s="38">
        <v>0</v>
      </c>
      <c r="U319" s="29" cm="1">
        <f t="array" aca="1" ref="U319" ca="1">+fair_value_gap(OFFSET(T318,0,0,-1*$J$5,-1*$AA$1),OFFSET(E318,0,0,-1*$J$5,1),F319:T319,0)</f>
        <v>12.278390943149756</v>
      </c>
      <c r="V319" s="9" t="str" cm="1">
        <f t="array" aca="1" ref="V319" ca="1">z_score_diff(OFFSET(U319,0,0,$J$5*-1,1),OFFSET(E319,0,0,$J$5*-1,1))</f>
        <v/>
      </c>
      <c r="W319" s="9" t="str">
        <f t="shared" ca="1" si="41"/>
        <v/>
      </c>
      <c r="X319" s="17">
        <f t="shared" ca="1" si="40"/>
        <v>5.904731124424889E-2</v>
      </c>
      <c r="Y319" s="13">
        <f t="shared" si="49"/>
        <v>0</v>
      </c>
      <c r="Z319" s="13">
        <f t="shared" si="49"/>
        <v>0</v>
      </c>
      <c r="AA319" t="str">
        <f t="shared" ca="1" si="42"/>
        <v/>
      </c>
      <c r="AB319" t="str">
        <f t="shared" ca="1" si="43"/>
        <v/>
      </c>
      <c r="AC319" s="24" t="str">
        <f t="shared" ca="1" si="44"/>
        <v/>
      </c>
      <c r="AD319" s="24" t="str">
        <f t="shared" ca="1" si="45"/>
        <v/>
      </c>
    </row>
    <row r="320" spans="3:30" x14ac:dyDescent="0.25">
      <c r="C320" s="6">
        <v>313</v>
      </c>
      <c r="D320" s="35">
        <v>42451</v>
      </c>
      <c r="E320" s="37">
        <v>12.028</v>
      </c>
      <c r="F320" s="37">
        <v>39.265391501657476</v>
      </c>
      <c r="G320" s="37">
        <v>25.49</v>
      </c>
      <c r="H320" s="37">
        <v>1.965928630940774</v>
      </c>
      <c r="I320" s="37">
        <v>42.899434507454217</v>
      </c>
      <c r="J320" s="10">
        <v>0</v>
      </c>
      <c r="K320" s="38">
        <v>0</v>
      </c>
      <c r="L320" s="38">
        <v>1</v>
      </c>
      <c r="M320" s="38">
        <v>0</v>
      </c>
      <c r="N320" s="38">
        <v>0</v>
      </c>
      <c r="O320" s="38">
        <v>0</v>
      </c>
      <c r="P320" s="38">
        <v>0</v>
      </c>
      <c r="Q320" s="38">
        <v>0</v>
      </c>
      <c r="R320" s="38">
        <v>0</v>
      </c>
      <c r="S320" s="38">
        <v>0</v>
      </c>
      <c r="T320" s="38">
        <v>0</v>
      </c>
      <c r="U320" s="29" cm="1">
        <f t="array" aca="1" ref="U320" ca="1">+fair_value_gap(OFFSET(T319,0,0,-1*$J$5,-1*$AA$1),OFFSET(E319,0,0,-1*$J$5,1),F320:T320,0)</f>
        <v>12.204823093356106</v>
      </c>
      <c r="V320" s="9" t="str" cm="1">
        <f t="array" aca="1" ref="V320" ca="1">z_score_diff(OFFSET(U320,0,0,$J$5*-1,1),OFFSET(E320,0,0,$J$5*-1,1))</f>
        <v/>
      </c>
      <c r="W320" s="9" t="str">
        <f t="shared" ca="1" si="41"/>
        <v/>
      </c>
      <c r="X320" s="17">
        <f t="shared" ca="1" si="40"/>
        <v>0.11144439892056229</v>
      </c>
      <c r="Y320" s="13">
        <f t="shared" si="49"/>
        <v>0</v>
      </c>
      <c r="Z320" s="13">
        <f t="shared" si="49"/>
        <v>0</v>
      </c>
      <c r="AA320" t="str">
        <f t="shared" ca="1" si="42"/>
        <v/>
      </c>
      <c r="AB320" t="str">
        <f t="shared" ca="1" si="43"/>
        <v/>
      </c>
      <c r="AC320" s="24" t="str">
        <f t="shared" ca="1" si="44"/>
        <v/>
      </c>
      <c r="AD320" s="24" t="str">
        <f t="shared" ca="1" si="45"/>
        <v/>
      </c>
    </row>
    <row r="321" spans="3:30" x14ac:dyDescent="0.25">
      <c r="C321" s="6">
        <v>314</v>
      </c>
      <c r="D321" s="35">
        <v>42452</v>
      </c>
      <c r="E321" s="37">
        <v>12.045</v>
      </c>
      <c r="F321" s="37">
        <v>38.122921962752322</v>
      </c>
      <c r="G321" s="37">
        <v>25.37</v>
      </c>
      <c r="H321" s="37">
        <v>1.9292724623707371</v>
      </c>
      <c r="I321" s="37">
        <v>43.184037827616081</v>
      </c>
      <c r="J321" s="10">
        <v>0</v>
      </c>
      <c r="K321" s="38">
        <v>0</v>
      </c>
      <c r="L321" s="38">
        <v>1</v>
      </c>
      <c r="M321" s="38">
        <v>0</v>
      </c>
      <c r="N321" s="38">
        <v>0</v>
      </c>
      <c r="O321" s="38">
        <v>0</v>
      </c>
      <c r="P321" s="38">
        <v>0</v>
      </c>
      <c r="Q321" s="38">
        <v>0</v>
      </c>
      <c r="R321" s="38">
        <v>0</v>
      </c>
      <c r="S321" s="38">
        <v>0</v>
      </c>
      <c r="T321" s="38">
        <v>0</v>
      </c>
      <c r="U321" s="29" cm="1">
        <f t="array" aca="1" ref="U321" ca="1">+fair_value_gap(OFFSET(T320,0,0,-1*$J$5,-1*$AA$1),OFFSET(E320,0,0,-1*$J$5,1),F321:T321,0)</f>
        <v>12.039708575870122</v>
      </c>
      <c r="V321" s="9" t="str" cm="1">
        <f t="array" aca="1" ref="V321" ca="1">z_score_diff(OFFSET(U321,0,0,$J$5*-1,1),OFFSET(E321,0,0,$J$5*-1,1))</f>
        <v/>
      </c>
      <c r="W321" s="9" t="str">
        <f t="shared" ca="1" si="41"/>
        <v/>
      </c>
      <c r="X321" s="17">
        <f t="shared" ca="1" si="40"/>
        <v>0.15247697966980056</v>
      </c>
      <c r="Y321" s="13">
        <f t="shared" si="49"/>
        <v>0</v>
      </c>
      <c r="Z321" s="13">
        <f t="shared" si="49"/>
        <v>0</v>
      </c>
      <c r="AA321" t="str">
        <f t="shared" ca="1" si="42"/>
        <v/>
      </c>
      <c r="AB321" t="str">
        <f t="shared" ca="1" si="43"/>
        <v/>
      </c>
      <c r="AC321" s="24" t="str">
        <f t="shared" ca="1" si="44"/>
        <v/>
      </c>
      <c r="AD321" s="24" t="str">
        <f t="shared" ca="1" si="45"/>
        <v/>
      </c>
    </row>
    <row r="322" spans="3:30" x14ac:dyDescent="0.25">
      <c r="C322" s="6">
        <v>315</v>
      </c>
      <c r="D322" s="35">
        <v>42453</v>
      </c>
      <c r="E322" s="37">
        <v>12.132</v>
      </c>
      <c r="F322" s="37">
        <v>38.094289148287494</v>
      </c>
      <c r="G322" s="37">
        <v>25.32</v>
      </c>
      <c r="H322" s="37">
        <v>1.9456377946591485</v>
      </c>
      <c r="I322" s="37">
        <v>43.414322990108118</v>
      </c>
      <c r="J322" s="10">
        <v>0</v>
      </c>
      <c r="K322" s="38">
        <v>0</v>
      </c>
      <c r="L322" s="38">
        <v>1</v>
      </c>
      <c r="M322" s="38">
        <v>0</v>
      </c>
      <c r="N322" s="38">
        <v>0</v>
      </c>
      <c r="O322" s="38">
        <v>0</v>
      </c>
      <c r="P322" s="38">
        <v>0</v>
      </c>
      <c r="Q322" s="38">
        <v>0</v>
      </c>
      <c r="R322" s="38">
        <v>0</v>
      </c>
      <c r="S322" s="38">
        <v>0</v>
      </c>
      <c r="T322" s="38">
        <v>0</v>
      </c>
      <c r="U322" s="29" cm="1">
        <f t="array" aca="1" ref="U322" ca="1">+fair_value_gap(OFFSET(T321,0,0,-1*$J$5,-1*$AA$1),OFFSET(E321,0,0,-1*$J$5,1),F322:T322,0)</f>
        <v>12.058807460261722</v>
      </c>
      <c r="V322" s="9" t="str" cm="1">
        <f t="array" aca="1" ref="V322" ca="1">z_score_diff(OFFSET(U322,0,0,$J$5*-1,1),OFFSET(E322,0,0,$J$5*-1,1))</f>
        <v/>
      </c>
      <c r="W322" s="9" t="str">
        <f t="shared" ca="1" si="41"/>
        <v/>
      </c>
      <c r="X322" s="17">
        <f t="shared" ca="1" si="40"/>
        <v>0.13517856809165965</v>
      </c>
      <c r="Y322" s="13">
        <f t="shared" si="49"/>
        <v>0</v>
      </c>
      <c r="Z322" s="13">
        <f t="shared" si="49"/>
        <v>0</v>
      </c>
      <c r="AA322" t="str">
        <f t="shared" ca="1" si="42"/>
        <v/>
      </c>
      <c r="AB322" t="str">
        <f t="shared" ca="1" si="43"/>
        <v/>
      </c>
      <c r="AC322" s="24" t="str">
        <f t="shared" ca="1" si="44"/>
        <v/>
      </c>
      <c r="AD322" s="24" t="str">
        <f t="shared" ca="1" si="45"/>
        <v/>
      </c>
    </row>
    <row r="323" spans="3:30" x14ac:dyDescent="0.25">
      <c r="C323" s="6">
        <v>316</v>
      </c>
      <c r="D323" s="35">
        <v>42458</v>
      </c>
      <c r="E323" s="37">
        <v>12.064</v>
      </c>
      <c r="F323" s="37">
        <v>36.758392388353208</v>
      </c>
      <c r="G323" s="37">
        <v>25.4</v>
      </c>
      <c r="H323" s="37">
        <v>2.0237370797421099</v>
      </c>
      <c r="I323" s="37">
        <v>42.887726624647847</v>
      </c>
      <c r="J323" s="10">
        <v>0</v>
      </c>
      <c r="K323" s="38">
        <v>0</v>
      </c>
      <c r="L323" s="38">
        <v>1</v>
      </c>
      <c r="M323" s="38">
        <v>0</v>
      </c>
      <c r="N323" s="38">
        <v>0</v>
      </c>
      <c r="O323" s="38">
        <v>0</v>
      </c>
      <c r="P323" s="38">
        <v>0</v>
      </c>
      <c r="Q323" s="38">
        <v>0</v>
      </c>
      <c r="R323" s="38">
        <v>0</v>
      </c>
      <c r="S323" s="38">
        <v>0</v>
      </c>
      <c r="T323" s="38">
        <v>0</v>
      </c>
      <c r="U323" s="29" cm="1">
        <f t="array" aca="1" ref="U323" ca="1">+fair_value_gap(OFFSET(T322,0,0,-1*$J$5,-1*$AA$1),OFFSET(E322,0,0,-1*$J$5,1),F323:T323,0)</f>
        <v>12.036649343057952</v>
      </c>
      <c r="V323" s="9" t="str" cm="1">
        <f t="array" aca="1" ref="V323" ca="1">z_score_diff(OFFSET(U323,0,0,$J$5*-1,1),OFFSET(E323,0,0,$J$5*-1,1))</f>
        <v/>
      </c>
      <c r="W323" s="9" t="str">
        <f t="shared" ca="1" si="41"/>
        <v/>
      </c>
      <c r="X323" s="17">
        <f t="shared" ca="1" si="40"/>
        <v>0.19516969927180358</v>
      </c>
      <c r="Y323" s="13">
        <f t="shared" si="49"/>
        <v>0</v>
      </c>
      <c r="Z323" s="13">
        <f t="shared" si="49"/>
        <v>0</v>
      </c>
      <c r="AA323" t="str">
        <f t="shared" ca="1" si="42"/>
        <v/>
      </c>
      <c r="AB323" t="str">
        <f t="shared" ca="1" si="43"/>
        <v/>
      </c>
      <c r="AC323" s="24" t="str">
        <f t="shared" ca="1" si="44"/>
        <v/>
      </c>
      <c r="AD323" s="24" t="str">
        <f t="shared" ca="1" si="45"/>
        <v/>
      </c>
    </row>
    <row r="324" spans="3:30" x14ac:dyDescent="0.25">
      <c r="C324" s="6">
        <v>317</v>
      </c>
      <c r="D324" s="35">
        <v>42459</v>
      </c>
      <c r="E324" s="37">
        <v>12.086</v>
      </c>
      <c r="F324" s="37">
        <v>36.868000628063015</v>
      </c>
      <c r="G324" s="37">
        <v>25.46</v>
      </c>
      <c r="H324" s="37">
        <v>2.0745377464993822</v>
      </c>
      <c r="I324" s="37">
        <v>43.376698335896172</v>
      </c>
      <c r="J324" s="10">
        <v>0</v>
      </c>
      <c r="K324" s="38">
        <v>0</v>
      </c>
      <c r="L324" s="38">
        <v>1</v>
      </c>
      <c r="M324" s="38">
        <v>0</v>
      </c>
      <c r="N324" s="38">
        <v>0</v>
      </c>
      <c r="O324" s="38">
        <v>0</v>
      </c>
      <c r="P324" s="38">
        <v>0</v>
      </c>
      <c r="Q324" s="38">
        <v>0</v>
      </c>
      <c r="R324" s="38">
        <v>0</v>
      </c>
      <c r="S324" s="38">
        <v>0</v>
      </c>
      <c r="T324" s="38">
        <v>0</v>
      </c>
      <c r="U324" s="29" cm="1">
        <f t="array" aca="1" ref="U324" ca="1">+fair_value_gap(OFFSET(T323,0,0,-1*$J$5,-1*$AA$1),OFFSET(E323,0,0,-1*$J$5,1),F324:T324,0)</f>
        <v>12.144578770686634</v>
      </c>
      <c r="V324" s="9" t="str" cm="1">
        <f t="array" aca="1" ref="V324" ca="1">z_score_diff(OFFSET(U324,0,0,$J$5*-1,1),OFFSET(E324,0,0,$J$5*-1,1))</f>
        <v/>
      </c>
      <c r="W324" s="9" t="str">
        <f t="shared" ca="1" si="41"/>
        <v/>
      </c>
      <c r="X324" s="17">
        <f t="shared" ca="1" si="40"/>
        <v>0.19966978854194556</v>
      </c>
      <c r="Y324" s="13">
        <f t="shared" si="49"/>
        <v>0</v>
      </c>
      <c r="Z324" s="13">
        <f t="shared" si="49"/>
        <v>0</v>
      </c>
      <c r="AA324" t="str">
        <f t="shared" ca="1" si="42"/>
        <v/>
      </c>
      <c r="AB324" t="str">
        <f t="shared" ca="1" si="43"/>
        <v/>
      </c>
      <c r="AC324" s="24" t="str">
        <f t="shared" ca="1" si="44"/>
        <v/>
      </c>
      <c r="AD324" s="24" t="str">
        <f t="shared" ca="1" si="45"/>
        <v/>
      </c>
    </row>
    <row r="325" spans="3:30" x14ac:dyDescent="0.25">
      <c r="C325" s="6">
        <v>318</v>
      </c>
      <c r="D325" s="35">
        <v>42460</v>
      </c>
      <c r="E325" s="37">
        <v>12.535</v>
      </c>
      <c r="F325" s="37">
        <v>36.927770259822289</v>
      </c>
      <c r="G325" s="37">
        <v>27.01</v>
      </c>
      <c r="H325" s="37">
        <v>1.9997082120826406</v>
      </c>
      <c r="I325" s="37">
        <v>43.59346430009775</v>
      </c>
      <c r="J325" s="10">
        <v>0</v>
      </c>
      <c r="K325" s="38">
        <v>0</v>
      </c>
      <c r="L325" s="38">
        <v>1</v>
      </c>
      <c r="M325" s="38">
        <v>0</v>
      </c>
      <c r="N325" s="38">
        <v>0</v>
      </c>
      <c r="O325" s="38">
        <v>0</v>
      </c>
      <c r="P325" s="38">
        <v>0</v>
      </c>
      <c r="Q325" s="38">
        <v>0</v>
      </c>
      <c r="R325" s="38">
        <v>0</v>
      </c>
      <c r="S325" s="38">
        <v>0</v>
      </c>
      <c r="T325" s="38">
        <v>0</v>
      </c>
      <c r="U325" s="29" cm="1">
        <f t="array" aca="1" ref="U325" ca="1">+fair_value_gap(OFFSET(T324,0,0,-1*$J$5,-1*$AA$1),OFFSET(E324,0,0,-1*$J$5,1),F325:T325,0)</f>
        <v>12.412363336318002</v>
      </c>
      <c r="V325" s="9" t="str" cm="1">
        <f t="array" aca="1" ref="V325" ca="1">z_score_diff(OFFSET(U325,0,0,$J$5*-1,1),OFFSET(E325,0,0,$J$5*-1,1))</f>
        <v/>
      </c>
      <c r="W325" s="9" t="str">
        <f t="shared" ca="1" si="41"/>
        <v/>
      </c>
      <c r="X325" s="17">
        <f t="shared" ca="1" si="40"/>
        <v>8.4188622665399851E-2</v>
      </c>
      <c r="Y325" s="13">
        <f t="shared" si="49"/>
        <v>0</v>
      </c>
      <c r="Z325" s="13">
        <f t="shared" si="49"/>
        <v>0</v>
      </c>
      <c r="AA325" t="str">
        <f t="shared" ca="1" si="42"/>
        <v/>
      </c>
      <c r="AB325" t="str">
        <f t="shared" ca="1" si="43"/>
        <v/>
      </c>
      <c r="AC325" s="24" t="str">
        <f t="shared" ca="1" si="44"/>
        <v/>
      </c>
      <c r="AD325" s="24" t="str">
        <f t="shared" ca="1" si="45"/>
        <v/>
      </c>
    </row>
    <row r="326" spans="3:30" x14ac:dyDescent="0.25">
      <c r="C326" s="6">
        <v>319</v>
      </c>
      <c r="D326" s="35">
        <v>42461</v>
      </c>
      <c r="E326" s="37">
        <v>12.308999999999999</v>
      </c>
      <c r="F326" s="37">
        <v>35.814035924044909</v>
      </c>
      <c r="G326" s="37">
        <v>26.89</v>
      </c>
      <c r="H326" s="37">
        <v>1.9993696310595523</v>
      </c>
      <c r="I326" s="37">
        <v>43.43608696297499</v>
      </c>
      <c r="J326" s="10">
        <v>0</v>
      </c>
      <c r="K326" s="38">
        <v>0</v>
      </c>
      <c r="L326" s="38">
        <v>0</v>
      </c>
      <c r="M326" s="38">
        <v>1</v>
      </c>
      <c r="N326" s="38">
        <v>0</v>
      </c>
      <c r="O326" s="38">
        <v>0</v>
      </c>
      <c r="P326" s="38">
        <v>0</v>
      </c>
      <c r="Q326" s="38">
        <v>0</v>
      </c>
      <c r="R326" s="38">
        <v>0</v>
      </c>
      <c r="S326" s="38">
        <v>0</v>
      </c>
      <c r="T326" s="38">
        <v>0</v>
      </c>
      <c r="U326" s="29" cm="1">
        <f t="array" aca="1" ref="U326" ca="1">+fair_value_gap(OFFSET(T325,0,0,-1*$J$5,-1*$AA$1),OFFSET(E325,0,0,-1*$J$5,1),F326:T326,0)</f>
        <v>14.909995022474821</v>
      </c>
      <c r="V326" s="9" t="str" cm="1">
        <f t="array" aca="1" ref="V326" ca="1">z_score_diff(OFFSET(U326,0,0,$J$5*-1,1),OFFSET(E326,0,0,$J$5*-1,1))</f>
        <v/>
      </c>
      <c r="W326" s="9" t="str">
        <f t="shared" ca="1" si="41"/>
        <v/>
      </c>
      <c r="X326" s="17">
        <f t="shared" ca="1" si="40"/>
        <v>0.16423165481306196</v>
      </c>
      <c r="Y326" s="13">
        <f t="shared" si="49"/>
        <v>0</v>
      </c>
      <c r="Z326" s="13">
        <f t="shared" si="49"/>
        <v>0</v>
      </c>
      <c r="AA326" t="str">
        <f t="shared" ca="1" si="42"/>
        <v/>
      </c>
      <c r="AB326" t="str">
        <f t="shared" ca="1" si="43"/>
        <v/>
      </c>
      <c r="AC326" s="24" t="str">
        <f t="shared" ca="1" si="44"/>
        <v/>
      </c>
      <c r="AD326" s="24" t="str">
        <f t="shared" ca="1" si="45"/>
        <v/>
      </c>
    </row>
    <row r="327" spans="3:30" x14ac:dyDescent="0.25">
      <c r="C327" s="6">
        <v>320</v>
      </c>
      <c r="D327" s="35">
        <v>42464</v>
      </c>
      <c r="E327" s="37">
        <v>12.135</v>
      </c>
      <c r="F327" s="37">
        <v>34.766847340187752</v>
      </c>
      <c r="G327" s="37">
        <v>26.87</v>
      </c>
      <c r="H327" s="37">
        <v>2.0203537103263303</v>
      </c>
      <c r="I327" s="37">
        <v>43.087491618238715</v>
      </c>
      <c r="J327" s="10">
        <v>0</v>
      </c>
      <c r="K327" s="38">
        <v>0</v>
      </c>
      <c r="L327" s="38">
        <v>0</v>
      </c>
      <c r="M327" s="38">
        <v>1</v>
      </c>
      <c r="N327" s="38">
        <v>0</v>
      </c>
      <c r="O327" s="38">
        <v>0</v>
      </c>
      <c r="P327" s="38">
        <v>0</v>
      </c>
      <c r="Q327" s="38">
        <v>0</v>
      </c>
      <c r="R327" s="38">
        <v>0</v>
      </c>
      <c r="S327" s="38">
        <v>0</v>
      </c>
      <c r="T327" s="38">
        <v>0</v>
      </c>
      <c r="U327" s="29" cm="1">
        <f t="array" aca="1" ref="U327" ca="1">+fair_value_gap(OFFSET(T326,0,0,-1*$J$5,-1*$AA$1),OFFSET(E326,0,0,-1*$J$5,1),F327:T327,0)</f>
        <v>13.331082626061207</v>
      </c>
      <c r="V327" s="9" t="str" cm="1">
        <f t="array" aca="1" ref="V327" ca="1">z_score_diff(OFFSET(U327,0,0,$J$5*-1,1),OFFSET(E327,0,0,$J$5*-1,1))</f>
        <v/>
      </c>
      <c r="W327" s="9" t="str">
        <f t="shared" ca="1" si="41"/>
        <v/>
      </c>
      <c r="X327" s="17">
        <f t="shared" ref="X327:X390" ca="1" si="50">+LN(OFFSET(E327,$X$3,0,1,1)/E327)</f>
        <v>0.13795094861314966</v>
      </c>
      <c r="Y327" s="13">
        <f t="shared" si="49"/>
        <v>0</v>
      </c>
      <c r="Z327" s="13">
        <f t="shared" si="49"/>
        <v>0</v>
      </c>
      <c r="AA327" t="str">
        <f t="shared" ca="1" si="42"/>
        <v/>
      </c>
      <c r="AB327" t="str">
        <f t="shared" ca="1" si="43"/>
        <v/>
      </c>
      <c r="AC327" s="24" t="str">
        <f t="shared" ca="1" si="44"/>
        <v/>
      </c>
      <c r="AD327" s="24" t="str">
        <f t="shared" ca="1" si="45"/>
        <v/>
      </c>
    </row>
    <row r="328" spans="3:30" x14ac:dyDescent="0.25">
      <c r="C328" s="6">
        <v>321</v>
      </c>
      <c r="D328" s="35">
        <v>42465</v>
      </c>
      <c r="E328" s="37">
        <v>12.034000000000001</v>
      </c>
      <c r="F328" s="37">
        <v>34.705722032761223</v>
      </c>
      <c r="G328" s="37">
        <v>26.58</v>
      </c>
      <c r="H328" s="37">
        <v>1.9977847039749539</v>
      </c>
      <c r="I328" s="37">
        <v>43.021817521104715</v>
      </c>
      <c r="J328" s="10">
        <v>0</v>
      </c>
      <c r="K328" s="38">
        <v>0</v>
      </c>
      <c r="L328" s="38">
        <v>0</v>
      </c>
      <c r="M328" s="38">
        <v>1</v>
      </c>
      <c r="N328" s="38">
        <v>0</v>
      </c>
      <c r="O328" s="38">
        <v>0</v>
      </c>
      <c r="P328" s="38">
        <v>0</v>
      </c>
      <c r="Q328" s="38">
        <v>0</v>
      </c>
      <c r="R328" s="38">
        <v>0</v>
      </c>
      <c r="S328" s="38">
        <v>0</v>
      </c>
      <c r="T328" s="38">
        <v>0</v>
      </c>
      <c r="U328" s="29" cm="1">
        <f t="array" aca="1" ref="U328" ca="1">+fair_value_gap(OFFSET(T327,0,0,-1*$J$5,-1*$AA$1),OFFSET(E327,0,0,-1*$J$5,1),F328:T328,0)</f>
        <v>12.741535318331341</v>
      </c>
      <c r="V328" s="9" t="str" cm="1">
        <f t="array" aca="1" ref="V328" ca="1">z_score_diff(OFFSET(U328,0,0,$J$5*-1,1),OFFSET(E328,0,0,$J$5*-1,1))</f>
        <v/>
      </c>
      <c r="W328" s="9" t="str">
        <f t="shared" ref="W328:W391" ca="1" si="51">+IF(ISERROR(AVERAGE(OFFSET(V328,0,0,$W$5*-1,1))),"",AVERAGE(OFFSET(V328,0,0,$W$5*-1,1)))</f>
        <v/>
      </c>
      <c r="X328" s="17">
        <f t="shared" ca="1" si="50"/>
        <v>0.14523141817969396</v>
      </c>
      <c r="Y328" s="13">
        <f t="shared" si="49"/>
        <v>0</v>
      </c>
      <c r="Z328" s="13">
        <f t="shared" si="49"/>
        <v>0</v>
      </c>
      <c r="AA328" t="str">
        <f t="shared" ref="AA328:AA391" ca="1" si="52">+IF(W328="","",IF(W328&lt;Y328,1,0))</f>
        <v/>
      </c>
      <c r="AB328" t="str">
        <f t="shared" ref="AB328:AB391" ca="1" si="53">+IF(W328="","",IF(W328&gt;Z328,1,0))</f>
        <v/>
      </c>
      <c r="AC328" s="24" t="str">
        <f t="shared" ref="AC328:AC391" ca="1" si="54">+IF(ISERROR(AA328*X328),"",AA328*X328)</f>
        <v/>
      </c>
      <c r="AD328" s="24" t="str">
        <f t="shared" ref="AD328:AD391" ca="1" si="55">+IF(ISERROR(AB328*X328),"",AB328*X328)</f>
        <v/>
      </c>
    </row>
    <row r="329" spans="3:30" x14ac:dyDescent="0.25">
      <c r="C329" s="6">
        <v>322</v>
      </c>
      <c r="D329" s="35">
        <v>42466</v>
      </c>
      <c r="E329" s="37">
        <v>12.19</v>
      </c>
      <c r="F329" s="37">
        <v>36.282235488196285</v>
      </c>
      <c r="G329" s="37">
        <v>26.67</v>
      </c>
      <c r="H329" s="37">
        <v>1.9645971223711953</v>
      </c>
      <c r="I329" s="37">
        <v>42.572086843567646</v>
      </c>
      <c r="J329" s="10">
        <v>0</v>
      </c>
      <c r="K329" s="38">
        <v>0</v>
      </c>
      <c r="L329" s="38">
        <v>0</v>
      </c>
      <c r="M329" s="38">
        <v>1</v>
      </c>
      <c r="N329" s="38">
        <v>0</v>
      </c>
      <c r="O329" s="38">
        <v>0</v>
      </c>
      <c r="P329" s="38">
        <v>0</v>
      </c>
      <c r="Q329" s="38">
        <v>0</v>
      </c>
      <c r="R329" s="38">
        <v>0</v>
      </c>
      <c r="S329" s="38">
        <v>0</v>
      </c>
      <c r="T329" s="38">
        <v>0</v>
      </c>
      <c r="U329" s="29" cm="1">
        <f t="array" aca="1" ref="U329" ca="1">+fair_value_gap(OFFSET(T328,0,0,-1*$J$5,-1*$AA$1),OFFSET(E328,0,0,-1*$J$5,1),F329:T329,0)</f>
        <v>12.833522898657939</v>
      </c>
      <c r="V329" s="9" t="str" cm="1">
        <f t="array" aca="1" ref="V329" ca="1">z_score_diff(OFFSET(U329,0,0,$J$5*-1,1),OFFSET(E329,0,0,$J$5*-1,1))</f>
        <v/>
      </c>
      <c r="W329" s="9" t="str">
        <f t="shared" ca="1" si="51"/>
        <v/>
      </c>
      <c r="X329" s="17">
        <f t="shared" ca="1" si="50"/>
        <v>0.16097138319868909</v>
      </c>
      <c r="Y329" s="13">
        <f t="shared" ref="Y329:Z344" si="56">+Y328</f>
        <v>0</v>
      </c>
      <c r="Z329" s="13">
        <f t="shared" si="56"/>
        <v>0</v>
      </c>
      <c r="AA329" t="str">
        <f t="shared" ca="1" si="52"/>
        <v/>
      </c>
      <c r="AB329" t="str">
        <f t="shared" ca="1" si="53"/>
        <v/>
      </c>
      <c r="AC329" s="24" t="str">
        <f t="shared" ca="1" si="54"/>
        <v/>
      </c>
      <c r="AD329" s="24" t="str">
        <f t="shared" ca="1" si="55"/>
        <v/>
      </c>
    </row>
    <row r="330" spans="3:30" x14ac:dyDescent="0.25">
      <c r="C330" s="6">
        <v>323</v>
      </c>
      <c r="D330" s="35">
        <v>42467</v>
      </c>
      <c r="E330" s="37">
        <v>11.981</v>
      </c>
      <c r="F330" s="37">
        <v>35.728991187081967</v>
      </c>
      <c r="G330" s="37">
        <v>26.38</v>
      </c>
      <c r="H330" s="37">
        <v>2.034288291958398</v>
      </c>
      <c r="I330" s="37">
        <v>41.743560782558447</v>
      </c>
      <c r="J330" s="10">
        <v>0</v>
      </c>
      <c r="K330" s="38">
        <v>0</v>
      </c>
      <c r="L330" s="38">
        <v>0</v>
      </c>
      <c r="M330" s="38">
        <v>1</v>
      </c>
      <c r="N330" s="38">
        <v>0</v>
      </c>
      <c r="O330" s="38">
        <v>0</v>
      </c>
      <c r="P330" s="38">
        <v>0</v>
      </c>
      <c r="Q330" s="38">
        <v>0</v>
      </c>
      <c r="R330" s="38">
        <v>0</v>
      </c>
      <c r="S330" s="38">
        <v>0</v>
      </c>
      <c r="T330" s="38">
        <v>0</v>
      </c>
      <c r="U330" s="29" cm="1">
        <f t="array" aca="1" ref="U330" ca="1">+fair_value_gap(OFFSET(T329,0,0,-1*$J$5,-1*$AA$1),OFFSET(E329,0,0,-1*$J$5,1),F330:T330,0)</f>
        <v>12.656111905296145</v>
      </c>
      <c r="V330" s="9" t="str" cm="1">
        <f t="array" aca="1" ref="V330" ca="1">z_score_diff(OFFSET(U330,0,0,$J$5*-1,1),OFFSET(E330,0,0,$J$5*-1,1))</f>
        <v/>
      </c>
      <c r="W330" s="9" t="str">
        <f t="shared" ca="1" si="51"/>
        <v/>
      </c>
      <c r="X330" s="17">
        <f t="shared" ca="1" si="50"/>
        <v>0.19872633690544719</v>
      </c>
      <c r="Y330" s="13">
        <f t="shared" si="56"/>
        <v>0</v>
      </c>
      <c r="Z330" s="13">
        <f t="shared" si="56"/>
        <v>0</v>
      </c>
      <c r="AA330" t="str">
        <f t="shared" ca="1" si="52"/>
        <v/>
      </c>
      <c r="AB330" t="str">
        <f t="shared" ca="1" si="53"/>
        <v/>
      </c>
      <c r="AC330" s="24" t="str">
        <f t="shared" ca="1" si="54"/>
        <v/>
      </c>
      <c r="AD330" s="24" t="str">
        <f t="shared" ca="1" si="55"/>
        <v/>
      </c>
    </row>
    <row r="331" spans="3:30" x14ac:dyDescent="0.25">
      <c r="C331" s="6">
        <v>324</v>
      </c>
      <c r="D331" s="35">
        <v>42468</v>
      </c>
      <c r="E331" s="37">
        <v>12.108000000000001</v>
      </c>
      <c r="F331" s="37">
        <v>37.798295107593859</v>
      </c>
      <c r="G331" s="37">
        <v>26.27</v>
      </c>
      <c r="H331" s="37">
        <v>2.02207357626131</v>
      </c>
      <c r="I331" s="37">
        <v>42.22103584600837</v>
      </c>
      <c r="J331" s="10">
        <v>0</v>
      </c>
      <c r="K331" s="38">
        <v>0</v>
      </c>
      <c r="L331" s="38">
        <v>0</v>
      </c>
      <c r="M331" s="38">
        <v>1</v>
      </c>
      <c r="N331" s="38">
        <v>0</v>
      </c>
      <c r="O331" s="38">
        <v>0</v>
      </c>
      <c r="P331" s="38">
        <v>0</v>
      </c>
      <c r="Q331" s="38">
        <v>0</v>
      </c>
      <c r="R331" s="38">
        <v>0</v>
      </c>
      <c r="S331" s="38">
        <v>0</v>
      </c>
      <c r="T331" s="38">
        <v>0</v>
      </c>
      <c r="U331" s="29" cm="1">
        <f t="array" aca="1" ref="U331" ca="1">+fair_value_gap(OFFSET(T330,0,0,-1*$J$5,-1*$AA$1),OFFSET(E330,0,0,-1*$J$5,1),F331:T331,0)</f>
        <v>12.833946088940118</v>
      </c>
      <c r="V331" s="9" t="str" cm="1">
        <f t="array" aca="1" ref="V331" ca="1">z_score_diff(OFFSET(U331,0,0,$J$5*-1,1),OFFSET(E331,0,0,$J$5*-1,1))</f>
        <v/>
      </c>
      <c r="W331" s="9" t="str">
        <f t="shared" ca="1" si="51"/>
        <v/>
      </c>
      <c r="X331" s="17">
        <f t="shared" ca="1" si="50"/>
        <v>0.18069596578174846</v>
      </c>
      <c r="Y331" s="13">
        <f t="shared" si="56"/>
        <v>0</v>
      </c>
      <c r="Z331" s="13">
        <f t="shared" si="56"/>
        <v>0</v>
      </c>
      <c r="AA331" t="str">
        <f t="shared" ca="1" si="52"/>
        <v/>
      </c>
      <c r="AB331" t="str">
        <f t="shared" ca="1" si="53"/>
        <v/>
      </c>
      <c r="AC331" s="24" t="str">
        <f t="shared" ca="1" si="54"/>
        <v/>
      </c>
      <c r="AD331" s="24" t="str">
        <f t="shared" ca="1" si="55"/>
        <v/>
      </c>
    </row>
    <row r="332" spans="3:30" x14ac:dyDescent="0.25">
      <c r="C332" s="6">
        <v>325</v>
      </c>
      <c r="D332" s="35">
        <v>42471</v>
      </c>
      <c r="E332" s="37">
        <v>12.138</v>
      </c>
      <c r="F332" s="37">
        <v>38.616635314259213</v>
      </c>
      <c r="G332" s="37">
        <v>26.45</v>
      </c>
      <c r="H332" s="37">
        <v>1.9726737181979368</v>
      </c>
      <c r="I332" s="37">
        <v>42.713659828413128</v>
      </c>
      <c r="J332" s="10">
        <v>0</v>
      </c>
      <c r="K332" s="38">
        <v>0</v>
      </c>
      <c r="L332" s="38">
        <v>0</v>
      </c>
      <c r="M332" s="38">
        <v>1</v>
      </c>
      <c r="N332" s="38">
        <v>0</v>
      </c>
      <c r="O332" s="38">
        <v>0</v>
      </c>
      <c r="P332" s="38">
        <v>0</v>
      </c>
      <c r="Q332" s="38">
        <v>0</v>
      </c>
      <c r="R332" s="38">
        <v>0</v>
      </c>
      <c r="S332" s="38">
        <v>0</v>
      </c>
      <c r="T332" s="38">
        <v>0</v>
      </c>
      <c r="U332" s="29" cm="1">
        <f t="array" aca="1" ref="U332" ca="1">+fair_value_gap(OFFSET(T331,0,0,-1*$J$5,-1*$AA$1),OFFSET(E331,0,0,-1*$J$5,1),F332:T332,0)</f>
        <v>12.848612835588034</v>
      </c>
      <c r="V332" s="9" t="str" cm="1">
        <f t="array" aca="1" ref="V332" ca="1">z_score_diff(OFFSET(U332,0,0,$J$5*-1,1),OFFSET(E332,0,0,$J$5*-1,1))</f>
        <v/>
      </c>
      <c r="W332" s="9" t="str">
        <f t="shared" ca="1" si="51"/>
        <v/>
      </c>
      <c r="X332" s="17">
        <f t="shared" ca="1" si="50"/>
        <v>0.19164251153823256</v>
      </c>
      <c r="Y332" s="13">
        <f t="shared" si="56"/>
        <v>0</v>
      </c>
      <c r="Z332" s="13">
        <f t="shared" si="56"/>
        <v>0</v>
      </c>
      <c r="AA332" t="str">
        <f t="shared" ca="1" si="52"/>
        <v/>
      </c>
      <c r="AB332" t="str">
        <f t="shared" ca="1" si="53"/>
        <v/>
      </c>
      <c r="AC332" s="24" t="str">
        <f t="shared" ca="1" si="54"/>
        <v/>
      </c>
      <c r="AD332" s="24" t="str">
        <f t="shared" ca="1" si="55"/>
        <v/>
      </c>
    </row>
    <row r="333" spans="3:30" x14ac:dyDescent="0.25">
      <c r="C333" s="6">
        <v>326</v>
      </c>
      <c r="D333" s="35">
        <v>42472</v>
      </c>
      <c r="E333" s="37">
        <v>12.205</v>
      </c>
      <c r="F333" s="37">
        <v>40.008279381980813</v>
      </c>
      <c r="G333" s="37">
        <v>26.61</v>
      </c>
      <c r="H333" s="37">
        <v>2.0314179839006195</v>
      </c>
      <c r="I333" s="37">
        <v>43.056279710361359</v>
      </c>
      <c r="J333" s="10">
        <v>0</v>
      </c>
      <c r="K333" s="38">
        <v>0</v>
      </c>
      <c r="L333" s="38">
        <v>0</v>
      </c>
      <c r="M333" s="38">
        <v>1</v>
      </c>
      <c r="N333" s="38">
        <v>0</v>
      </c>
      <c r="O333" s="38">
        <v>0</v>
      </c>
      <c r="P333" s="38">
        <v>0</v>
      </c>
      <c r="Q333" s="38">
        <v>0</v>
      </c>
      <c r="R333" s="38">
        <v>0</v>
      </c>
      <c r="S333" s="38">
        <v>0</v>
      </c>
      <c r="T333" s="38">
        <v>0</v>
      </c>
      <c r="U333" s="29" cm="1">
        <f t="array" aca="1" ref="U333" ca="1">+fair_value_gap(OFFSET(T332,0,0,-1*$J$5,-1*$AA$1),OFFSET(E332,0,0,-1*$J$5,1),F333:T333,0)</f>
        <v>13.076001535505409</v>
      </c>
      <c r="V333" s="9" t="str" cm="1">
        <f t="array" aca="1" ref="V333" ca="1">z_score_diff(OFFSET(U333,0,0,$J$5*-1,1),OFFSET(E333,0,0,$J$5*-1,1))</f>
        <v/>
      </c>
      <c r="W333" s="9" t="str">
        <f t="shared" ca="1" si="51"/>
        <v/>
      </c>
      <c r="X333" s="17">
        <f t="shared" ca="1" si="50"/>
        <v>0.17917582486936737</v>
      </c>
      <c r="Y333" s="13">
        <f t="shared" si="56"/>
        <v>0</v>
      </c>
      <c r="Z333" s="13">
        <f t="shared" si="56"/>
        <v>0</v>
      </c>
      <c r="AA333" t="str">
        <f t="shared" ca="1" si="52"/>
        <v/>
      </c>
      <c r="AB333" t="str">
        <f t="shared" ca="1" si="53"/>
        <v/>
      </c>
      <c r="AC333" s="24" t="str">
        <f t="shared" ca="1" si="54"/>
        <v/>
      </c>
      <c r="AD333" s="24" t="str">
        <f t="shared" ca="1" si="55"/>
        <v/>
      </c>
    </row>
    <row r="334" spans="3:30" x14ac:dyDescent="0.25">
      <c r="C334" s="6">
        <v>327</v>
      </c>
      <c r="D334" s="35">
        <v>42473</v>
      </c>
      <c r="E334" s="37">
        <v>12.262</v>
      </c>
      <c r="F334" s="37">
        <v>40.135683822842346</v>
      </c>
      <c r="G334" s="37">
        <v>26.52</v>
      </c>
      <c r="H334" s="37">
        <v>2.073339080854935</v>
      </c>
      <c r="I334" s="37">
        <v>43.987933730723327</v>
      </c>
      <c r="J334" s="10">
        <v>0</v>
      </c>
      <c r="K334" s="38">
        <v>0</v>
      </c>
      <c r="L334" s="38">
        <v>0</v>
      </c>
      <c r="M334" s="38">
        <v>1</v>
      </c>
      <c r="N334" s="38">
        <v>0</v>
      </c>
      <c r="O334" s="38">
        <v>0</v>
      </c>
      <c r="P334" s="38">
        <v>0</v>
      </c>
      <c r="Q334" s="38">
        <v>0</v>
      </c>
      <c r="R334" s="38">
        <v>0</v>
      </c>
      <c r="S334" s="38">
        <v>0</v>
      </c>
      <c r="T334" s="38">
        <v>0</v>
      </c>
      <c r="U334" s="29" cm="1">
        <f t="array" aca="1" ref="U334" ca="1">+fair_value_gap(OFFSET(T333,0,0,-1*$J$5,-1*$AA$1),OFFSET(E333,0,0,-1*$J$5,1),F334:T334,0)</f>
        <v>12.935768201596952</v>
      </c>
      <c r="V334" s="9" t="str" cm="1">
        <f t="array" aca="1" ref="V334" ca="1">z_score_diff(OFFSET(U334,0,0,$J$5*-1,1),OFFSET(E334,0,0,$J$5*-1,1))</f>
        <v/>
      </c>
      <c r="W334" s="9" t="str">
        <f t="shared" ca="1" si="51"/>
        <v/>
      </c>
      <c r="X334" s="17">
        <f t="shared" ca="1" si="50"/>
        <v>0.1863638297660497</v>
      </c>
      <c r="Y334" s="13">
        <f t="shared" si="56"/>
        <v>0</v>
      </c>
      <c r="Z334" s="13">
        <f t="shared" si="56"/>
        <v>0</v>
      </c>
      <c r="AA334" t="str">
        <f t="shared" ca="1" si="52"/>
        <v/>
      </c>
      <c r="AB334" t="str">
        <f t="shared" ca="1" si="53"/>
        <v/>
      </c>
      <c r="AC334" s="24" t="str">
        <f t="shared" ca="1" si="54"/>
        <v/>
      </c>
      <c r="AD334" s="24" t="str">
        <f t="shared" ca="1" si="55"/>
        <v/>
      </c>
    </row>
    <row r="335" spans="3:30" x14ac:dyDescent="0.25">
      <c r="C335" s="6">
        <v>328</v>
      </c>
      <c r="D335" s="35">
        <v>42474</v>
      </c>
      <c r="E335" s="37">
        <v>12.122999999999999</v>
      </c>
      <c r="F335" s="37">
        <v>39.827766096614106</v>
      </c>
      <c r="G335" s="37">
        <v>26.8</v>
      </c>
      <c r="H335" s="37">
        <v>2.0461161749102725</v>
      </c>
      <c r="I335" s="37">
        <v>45.062222057450136</v>
      </c>
      <c r="J335" s="10">
        <v>0</v>
      </c>
      <c r="K335" s="38">
        <v>0</v>
      </c>
      <c r="L335" s="38">
        <v>0</v>
      </c>
      <c r="M335" s="38">
        <v>1</v>
      </c>
      <c r="N335" s="38">
        <v>0</v>
      </c>
      <c r="O335" s="38">
        <v>0</v>
      </c>
      <c r="P335" s="38">
        <v>0</v>
      </c>
      <c r="Q335" s="38">
        <v>0</v>
      </c>
      <c r="R335" s="38">
        <v>0</v>
      </c>
      <c r="S335" s="38">
        <v>0</v>
      </c>
      <c r="T335" s="38">
        <v>0</v>
      </c>
      <c r="U335" s="29" cm="1">
        <f t="array" aca="1" ref="U335" ca="1">+fair_value_gap(OFFSET(T334,0,0,-1*$J$5,-1*$AA$1),OFFSET(E334,0,0,-1*$J$5,1),F335:T335,0)</f>
        <v>12.788972492941838</v>
      </c>
      <c r="V335" s="9" t="str" cm="1">
        <f t="array" aca="1" ref="V335" ca="1">z_score_diff(OFFSET(U335,0,0,$J$5*-1,1),OFFSET(E335,0,0,$J$5*-1,1))</f>
        <v/>
      </c>
      <c r="W335" s="9" t="str">
        <f t="shared" ca="1" si="51"/>
        <v/>
      </c>
      <c r="X335" s="17">
        <f t="shared" ca="1" si="50"/>
        <v>0.18899450551525054</v>
      </c>
      <c r="Y335" s="13">
        <f t="shared" si="56"/>
        <v>0</v>
      </c>
      <c r="Z335" s="13">
        <f t="shared" si="56"/>
        <v>0</v>
      </c>
      <c r="AA335" t="str">
        <f t="shared" ca="1" si="52"/>
        <v/>
      </c>
      <c r="AB335" t="str">
        <f t="shared" ca="1" si="53"/>
        <v/>
      </c>
      <c r="AC335" s="24" t="str">
        <f t="shared" ca="1" si="54"/>
        <v/>
      </c>
      <c r="AD335" s="24" t="str">
        <f t="shared" ca="1" si="55"/>
        <v/>
      </c>
    </row>
    <row r="336" spans="3:30" x14ac:dyDescent="0.25">
      <c r="C336" s="6">
        <v>329</v>
      </c>
      <c r="D336" s="35">
        <v>42475</v>
      </c>
      <c r="E336" s="37">
        <v>12.103999999999999</v>
      </c>
      <c r="F336" s="37">
        <v>39.038708170451692</v>
      </c>
      <c r="G336" s="37">
        <v>26.82</v>
      </c>
      <c r="H336" s="37">
        <v>2.005262160482673</v>
      </c>
      <c r="I336" s="37">
        <v>44.997201447314488</v>
      </c>
      <c r="J336" s="10">
        <v>0</v>
      </c>
      <c r="K336" s="38">
        <v>0</v>
      </c>
      <c r="L336" s="38">
        <v>0</v>
      </c>
      <c r="M336" s="38">
        <v>1</v>
      </c>
      <c r="N336" s="38">
        <v>0</v>
      </c>
      <c r="O336" s="38">
        <v>0</v>
      </c>
      <c r="P336" s="38">
        <v>0</v>
      </c>
      <c r="Q336" s="38">
        <v>0</v>
      </c>
      <c r="R336" s="38">
        <v>0</v>
      </c>
      <c r="S336" s="38">
        <v>0</v>
      </c>
      <c r="T336" s="38">
        <v>0</v>
      </c>
      <c r="U336" s="29" cm="1">
        <f t="array" aca="1" ref="U336" ca="1">+fair_value_gap(OFFSET(T335,0,0,-1*$J$5,-1*$AA$1),OFFSET(E335,0,0,-1*$J$5,1),F336:T336,0)</f>
        <v>12.549582264356474</v>
      </c>
      <c r="V336" s="9" t="str" cm="1">
        <f t="array" aca="1" ref="V336" ca="1">z_score_diff(OFFSET(U336,0,0,$J$5*-1,1),OFFSET(E336,0,0,$J$5*-1,1))</f>
        <v/>
      </c>
      <c r="W336" s="9" t="str">
        <f t="shared" ca="1" si="51"/>
        <v/>
      </c>
      <c r="X336" s="17">
        <f t="shared" ca="1" si="50"/>
        <v>0.18741705673178816</v>
      </c>
      <c r="Y336" s="13">
        <f t="shared" si="56"/>
        <v>0</v>
      </c>
      <c r="Z336" s="13">
        <f t="shared" si="56"/>
        <v>0</v>
      </c>
      <c r="AA336" t="str">
        <f t="shared" ca="1" si="52"/>
        <v/>
      </c>
      <c r="AB336" t="str">
        <f t="shared" ca="1" si="53"/>
        <v/>
      </c>
      <c r="AC336" s="24" t="str">
        <f t="shared" ca="1" si="54"/>
        <v/>
      </c>
      <c r="AD336" s="24" t="str">
        <f t="shared" ca="1" si="55"/>
        <v/>
      </c>
    </row>
    <row r="337" spans="3:30" x14ac:dyDescent="0.25">
      <c r="C337" s="6">
        <v>330</v>
      </c>
      <c r="D337" s="35">
        <v>42478</v>
      </c>
      <c r="E337" s="37">
        <v>12.217000000000001</v>
      </c>
      <c r="F337" s="37">
        <v>38.575425107512842</v>
      </c>
      <c r="G337" s="37">
        <v>26.86</v>
      </c>
      <c r="H337" s="37">
        <v>2.0399535583170954</v>
      </c>
      <c r="I337" s="37">
        <v>45.307887087999248</v>
      </c>
      <c r="J337" s="10">
        <v>0</v>
      </c>
      <c r="K337" s="38">
        <v>0</v>
      </c>
      <c r="L337" s="38">
        <v>0</v>
      </c>
      <c r="M337" s="38">
        <v>1</v>
      </c>
      <c r="N337" s="38">
        <v>0</v>
      </c>
      <c r="O337" s="38">
        <v>0</v>
      </c>
      <c r="P337" s="38">
        <v>0</v>
      </c>
      <c r="Q337" s="38">
        <v>0</v>
      </c>
      <c r="R337" s="38">
        <v>0</v>
      </c>
      <c r="S337" s="38">
        <v>0</v>
      </c>
      <c r="T337" s="38">
        <v>0</v>
      </c>
      <c r="U337" s="29" cm="1">
        <f t="array" aca="1" ref="U337" ca="1">+fair_value_gap(OFFSET(T336,0,0,-1*$J$5,-1*$AA$1),OFFSET(E336,0,0,-1*$J$5,1),F337:T337,0)</f>
        <v>12.44133867249915</v>
      </c>
      <c r="V337" s="9" t="str" cm="1">
        <f t="array" aca="1" ref="V337" ca="1">z_score_diff(OFFSET(U337,0,0,$J$5*-1,1),OFFSET(E337,0,0,$J$5*-1,1))</f>
        <v/>
      </c>
      <c r="W337" s="9" t="str">
        <f t="shared" ca="1" si="51"/>
        <v/>
      </c>
      <c r="X337" s="17">
        <f t="shared" ca="1" si="50"/>
        <v>0.19792857918614512</v>
      </c>
      <c r="Y337" s="13">
        <f t="shared" si="56"/>
        <v>0</v>
      </c>
      <c r="Z337" s="13">
        <f t="shared" si="56"/>
        <v>0</v>
      </c>
      <c r="AA337" t="str">
        <f t="shared" ca="1" si="52"/>
        <v/>
      </c>
      <c r="AB337" t="str">
        <f t="shared" ca="1" si="53"/>
        <v/>
      </c>
      <c r="AC337" s="24" t="str">
        <f t="shared" ca="1" si="54"/>
        <v/>
      </c>
      <c r="AD337" s="24" t="str">
        <f t="shared" ca="1" si="55"/>
        <v/>
      </c>
    </row>
    <row r="338" spans="3:30" x14ac:dyDescent="0.25">
      <c r="C338" s="6">
        <v>331</v>
      </c>
      <c r="D338" s="35">
        <v>42479</v>
      </c>
      <c r="E338" s="37">
        <v>12.579000000000001</v>
      </c>
      <c r="F338" s="37">
        <v>39.463748041031799</v>
      </c>
      <c r="G338" s="37">
        <v>27.14</v>
      </c>
      <c r="H338" s="37">
        <v>2.1271922724556163</v>
      </c>
      <c r="I338" s="37">
        <v>45.545190366645336</v>
      </c>
      <c r="J338" s="10">
        <v>0</v>
      </c>
      <c r="K338" s="38">
        <v>0</v>
      </c>
      <c r="L338" s="38">
        <v>0</v>
      </c>
      <c r="M338" s="38">
        <v>1</v>
      </c>
      <c r="N338" s="38">
        <v>0</v>
      </c>
      <c r="O338" s="38">
        <v>0</v>
      </c>
      <c r="P338" s="38">
        <v>0</v>
      </c>
      <c r="Q338" s="38">
        <v>0</v>
      </c>
      <c r="R338" s="38">
        <v>0</v>
      </c>
      <c r="S338" s="38">
        <v>0</v>
      </c>
      <c r="T338" s="38">
        <v>0</v>
      </c>
      <c r="U338" s="29" cm="1">
        <f t="array" aca="1" ref="U338" ca="1">+fair_value_gap(OFFSET(T337,0,0,-1*$J$5,-1*$AA$1),OFFSET(E337,0,0,-1*$J$5,1),F338:T338,0)</f>
        <v>12.72031695469888</v>
      </c>
      <c r="V338" s="9" t="str" cm="1">
        <f t="array" aca="1" ref="V338" ca="1">z_score_diff(OFFSET(U338,0,0,$J$5*-1,1),OFFSET(E338,0,0,$J$5*-1,1))</f>
        <v/>
      </c>
      <c r="W338" s="9" t="str">
        <f t="shared" ca="1" si="51"/>
        <v/>
      </c>
      <c r="X338" s="17">
        <f t="shared" ca="1" si="50"/>
        <v>0.17435338714477774</v>
      </c>
      <c r="Y338" s="13">
        <f t="shared" si="56"/>
        <v>0</v>
      </c>
      <c r="Z338" s="13">
        <f t="shared" si="56"/>
        <v>0</v>
      </c>
      <c r="AA338" t="str">
        <f t="shared" ca="1" si="52"/>
        <v/>
      </c>
      <c r="AB338" t="str">
        <f t="shared" ca="1" si="53"/>
        <v/>
      </c>
      <c r="AC338" s="24" t="str">
        <f t="shared" ca="1" si="54"/>
        <v/>
      </c>
      <c r="AD338" s="24" t="str">
        <f t="shared" ca="1" si="55"/>
        <v/>
      </c>
    </row>
    <row r="339" spans="3:30" x14ac:dyDescent="0.25">
      <c r="C339" s="6">
        <v>332</v>
      </c>
      <c r="D339" s="35">
        <v>42480</v>
      </c>
      <c r="E339" s="37">
        <v>12.749000000000001</v>
      </c>
      <c r="F339" s="37">
        <v>41.28231258393307</v>
      </c>
      <c r="G339" s="37">
        <v>27.12</v>
      </c>
      <c r="H339" s="37">
        <v>2.1358382571137406</v>
      </c>
      <c r="I339" s="37">
        <v>45.585670258958281</v>
      </c>
      <c r="J339" s="10">
        <v>0</v>
      </c>
      <c r="K339" s="38">
        <v>0</v>
      </c>
      <c r="L339" s="38">
        <v>0</v>
      </c>
      <c r="M339" s="38">
        <v>1</v>
      </c>
      <c r="N339" s="38">
        <v>0</v>
      </c>
      <c r="O339" s="38">
        <v>0</v>
      </c>
      <c r="P339" s="38">
        <v>0</v>
      </c>
      <c r="Q339" s="38">
        <v>0</v>
      </c>
      <c r="R339" s="38">
        <v>0</v>
      </c>
      <c r="S339" s="38">
        <v>0</v>
      </c>
      <c r="T339" s="38">
        <v>0</v>
      </c>
      <c r="U339" s="29" cm="1">
        <f t="array" aca="1" ref="U339" ca="1">+fair_value_gap(OFFSET(T338,0,0,-1*$J$5,-1*$AA$1),OFFSET(E338,0,0,-1*$J$5,1),F339:T339,0)</f>
        <v>12.956275261585366</v>
      </c>
      <c r="V339" s="9" t="str" cm="1">
        <f t="array" aca="1" ref="V339" ca="1">z_score_diff(OFFSET(U339,0,0,$J$5*-1,1),OFFSET(E339,0,0,$J$5*-1,1))</f>
        <v/>
      </c>
      <c r="W339" s="9" t="str">
        <f t="shared" ca="1" si="51"/>
        <v/>
      </c>
      <c r="X339" s="17">
        <f t="shared" ca="1" si="50"/>
        <v>0.15631097930351692</v>
      </c>
      <c r="Y339" s="13">
        <f t="shared" si="56"/>
        <v>0</v>
      </c>
      <c r="Z339" s="13">
        <f t="shared" si="56"/>
        <v>0</v>
      </c>
      <c r="AA339" t="str">
        <f t="shared" ca="1" si="52"/>
        <v/>
      </c>
      <c r="AB339" t="str">
        <f t="shared" ca="1" si="53"/>
        <v/>
      </c>
      <c r="AC339" s="24" t="str">
        <f t="shared" ca="1" si="54"/>
        <v/>
      </c>
      <c r="AD339" s="24" t="str">
        <f t="shared" ca="1" si="55"/>
        <v/>
      </c>
    </row>
    <row r="340" spans="3:30" x14ac:dyDescent="0.25">
      <c r="C340" s="6">
        <v>333</v>
      </c>
      <c r="D340" s="35">
        <v>42481</v>
      </c>
      <c r="E340" s="37">
        <v>13.446</v>
      </c>
      <c r="F340" s="37">
        <v>40.39309485109176</v>
      </c>
      <c r="G340" s="37">
        <v>28.08</v>
      </c>
      <c r="H340" s="37">
        <v>2.1848391544320078</v>
      </c>
      <c r="I340" s="37">
        <v>45.062307560160164</v>
      </c>
      <c r="J340" s="10">
        <v>0</v>
      </c>
      <c r="K340" s="38">
        <v>0</v>
      </c>
      <c r="L340" s="38">
        <v>0</v>
      </c>
      <c r="M340" s="38">
        <v>1</v>
      </c>
      <c r="N340" s="38">
        <v>0</v>
      </c>
      <c r="O340" s="38">
        <v>0</v>
      </c>
      <c r="P340" s="38">
        <v>0</v>
      </c>
      <c r="Q340" s="38">
        <v>0</v>
      </c>
      <c r="R340" s="38">
        <v>0</v>
      </c>
      <c r="S340" s="38">
        <v>0</v>
      </c>
      <c r="T340" s="38">
        <v>0</v>
      </c>
      <c r="U340" s="29" cm="1">
        <f t="array" aca="1" ref="U340" ca="1">+fair_value_gap(OFFSET(T339,0,0,-1*$J$5,-1*$AA$1),OFFSET(E339,0,0,-1*$J$5,1),F340:T340,0)</f>
        <v>13.018717580865651</v>
      </c>
      <c r="V340" s="9" t="str" cm="1">
        <f t="array" aca="1" ref="V340" ca="1">z_score_diff(OFFSET(U340,0,0,$J$5*-1,1),OFFSET(E340,0,0,$J$5*-1,1))</f>
        <v/>
      </c>
      <c r="W340" s="9" t="str">
        <f t="shared" ca="1" si="51"/>
        <v/>
      </c>
      <c r="X340" s="17">
        <f t="shared" ca="1" si="50"/>
        <v>9.0457512163604648E-2</v>
      </c>
      <c r="Y340" s="13">
        <f t="shared" si="56"/>
        <v>0</v>
      </c>
      <c r="Z340" s="13">
        <f t="shared" si="56"/>
        <v>0</v>
      </c>
      <c r="AA340" t="str">
        <f t="shared" ca="1" si="52"/>
        <v/>
      </c>
      <c r="AB340" t="str">
        <f t="shared" ca="1" si="53"/>
        <v/>
      </c>
      <c r="AC340" s="24" t="str">
        <f t="shared" ca="1" si="54"/>
        <v/>
      </c>
      <c r="AD340" s="24" t="str">
        <f t="shared" ca="1" si="55"/>
        <v/>
      </c>
    </row>
    <row r="341" spans="3:30" x14ac:dyDescent="0.25">
      <c r="C341" s="6">
        <v>334</v>
      </c>
      <c r="D341" s="35">
        <v>42482</v>
      </c>
      <c r="E341" s="37">
        <v>14.029</v>
      </c>
      <c r="F341" s="37">
        <v>41.161993877064852</v>
      </c>
      <c r="G341" s="37">
        <v>28.97</v>
      </c>
      <c r="H341" s="37">
        <v>2.2502716532190572</v>
      </c>
      <c r="I341" s="37">
        <v>45.0762798696773</v>
      </c>
      <c r="J341" s="10">
        <v>0</v>
      </c>
      <c r="K341" s="38">
        <v>0</v>
      </c>
      <c r="L341" s="38">
        <v>0</v>
      </c>
      <c r="M341" s="38">
        <v>1</v>
      </c>
      <c r="N341" s="38">
        <v>0</v>
      </c>
      <c r="O341" s="38">
        <v>0</v>
      </c>
      <c r="P341" s="38">
        <v>0</v>
      </c>
      <c r="Q341" s="38">
        <v>0</v>
      </c>
      <c r="R341" s="38">
        <v>0</v>
      </c>
      <c r="S341" s="38">
        <v>0</v>
      </c>
      <c r="T341" s="38">
        <v>0</v>
      </c>
      <c r="U341" s="29" cm="1">
        <f t="array" aca="1" ref="U341" ca="1">+fair_value_gap(OFFSET(T340,0,0,-1*$J$5,-1*$AA$1),OFFSET(E340,0,0,-1*$J$5,1),F341:T341,0)</f>
        <v>13.412122070857716</v>
      </c>
      <c r="V341" s="9" t="str" cm="1">
        <f t="array" aca="1" ref="V341" ca="1">z_score_diff(OFFSET(U341,0,0,$J$5*-1,1),OFFSET(E341,0,0,$J$5*-1,1))</f>
        <v/>
      </c>
      <c r="W341" s="9" t="str">
        <f t="shared" ca="1" si="51"/>
        <v/>
      </c>
      <c r="X341" s="17">
        <f t="shared" ca="1" si="50"/>
        <v>5.0997434815315497E-2</v>
      </c>
      <c r="Y341" s="13">
        <f t="shared" si="56"/>
        <v>0</v>
      </c>
      <c r="Z341" s="13">
        <f t="shared" si="56"/>
        <v>0</v>
      </c>
      <c r="AA341" t="str">
        <f t="shared" ca="1" si="52"/>
        <v/>
      </c>
      <c r="AB341" t="str">
        <f t="shared" ca="1" si="53"/>
        <v/>
      </c>
      <c r="AC341" s="24" t="str">
        <f t="shared" ca="1" si="54"/>
        <v/>
      </c>
      <c r="AD341" s="24" t="str">
        <f t="shared" ca="1" si="55"/>
        <v/>
      </c>
    </row>
    <row r="342" spans="3:30" x14ac:dyDescent="0.25">
      <c r="C342" s="6">
        <v>335</v>
      </c>
      <c r="D342" s="35">
        <v>42485</v>
      </c>
      <c r="E342" s="37">
        <v>13.888</v>
      </c>
      <c r="F342" s="37">
        <v>40.426132355016229</v>
      </c>
      <c r="G342" s="37">
        <v>29.61</v>
      </c>
      <c r="H342" s="37">
        <v>2.1862212501763794</v>
      </c>
      <c r="I342" s="37">
        <v>44.71214900522083</v>
      </c>
      <c r="J342" s="10">
        <v>0</v>
      </c>
      <c r="K342" s="38">
        <v>0</v>
      </c>
      <c r="L342" s="38">
        <v>0</v>
      </c>
      <c r="M342" s="38">
        <v>1</v>
      </c>
      <c r="N342" s="38">
        <v>0</v>
      </c>
      <c r="O342" s="38">
        <v>0</v>
      </c>
      <c r="P342" s="38">
        <v>0</v>
      </c>
      <c r="Q342" s="38">
        <v>0</v>
      </c>
      <c r="R342" s="38">
        <v>0</v>
      </c>
      <c r="S342" s="38">
        <v>0</v>
      </c>
      <c r="T342" s="38">
        <v>0</v>
      </c>
      <c r="U342" s="29" cm="1">
        <f t="array" aca="1" ref="U342" ca="1">+fair_value_gap(OFFSET(T341,0,0,-1*$J$5,-1*$AA$1),OFFSET(E341,0,0,-1*$J$5,1),F342:T342,0)</f>
        <v>13.43329634799453</v>
      </c>
      <c r="V342" s="9" t="str" cm="1">
        <f t="array" aca="1" ref="V342" ca="1">z_score_diff(OFFSET(U342,0,0,$J$5*-1,1),OFFSET(E342,0,0,$J$5*-1,1))</f>
        <v/>
      </c>
      <c r="W342" s="9" t="str">
        <f t="shared" ca="1" si="51"/>
        <v/>
      </c>
      <c r="X342" s="17">
        <f t="shared" ca="1" si="50"/>
        <v>4.9927875299848601E-2</v>
      </c>
      <c r="Y342" s="13">
        <f t="shared" si="56"/>
        <v>0</v>
      </c>
      <c r="Z342" s="13">
        <f t="shared" si="56"/>
        <v>0</v>
      </c>
      <c r="AA342" t="str">
        <f t="shared" ca="1" si="52"/>
        <v/>
      </c>
      <c r="AB342" t="str">
        <f t="shared" ca="1" si="53"/>
        <v/>
      </c>
      <c r="AC342" s="24" t="str">
        <f t="shared" ca="1" si="54"/>
        <v/>
      </c>
      <c r="AD342" s="24" t="str">
        <f t="shared" ca="1" si="55"/>
        <v/>
      </c>
    </row>
    <row r="343" spans="3:30" x14ac:dyDescent="0.25">
      <c r="C343" s="6">
        <v>336</v>
      </c>
      <c r="D343" s="35">
        <v>42486</v>
      </c>
      <c r="E343" s="37">
        <v>14.664</v>
      </c>
      <c r="F343" s="37">
        <v>41.358086601246811</v>
      </c>
      <c r="G343" s="37">
        <v>30.76</v>
      </c>
      <c r="H343" s="37">
        <v>2.1730370964705306</v>
      </c>
      <c r="I343" s="37">
        <v>44.604445664395101</v>
      </c>
      <c r="J343" s="10">
        <v>0</v>
      </c>
      <c r="K343" s="38">
        <v>0</v>
      </c>
      <c r="L343" s="38">
        <v>0</v>
      </c>
      <c r="M343" s="38">
        <v>1</v>
      </c>
      <c r="N343" s="38">
        <v>0</v>
      </c>
      <c r="O343" s="38">
        <v>0</v>
      </c>
      <c r="P343" s="38">
        <v>0</v>
      </c>
      <c r="Q343" s="38">
        <v>0</v>
      </c>
      <c r="R343" s="38">
        <v>0</v>
      </c>
      <c r="S343" s="38">
        <v>0</v>
      </c>
      <c r="T343" s="38">
        <v>0</v>
      </c>
      <c r="U343" s="29" cm="1">
        <f t="array" aca="1" ref="U343" ca="1">+fair_value_gap(OFFSET(T342,0,0,-1*$J$5,-1*$AA$1),OFFSET(E342,0,0,-1*$J$5,1),F343:T343,0)</f>
        <v>13.812972355923002</v>
      </c>
      <c r="V343" s="9" t="str" cm="1">
        <f t="array" aca="1" ref="V343" ca="1">z_score_diff(OFFSET(U343,0,0,$J$5*-1,1),OFFSET(E343,0,0,$J$5*-1,1))</f>
        <v/>
      </c>
      <c r="W343" s="9" t="str">
        <f t="shared" ca="1" si="51"/>
        <v/>
      </c>
      <c r="X343" s="17">
        <f t="shared" ca="1" si="50"/>
        <v>-4.1000467440135465E-3</v>
      </c>
      <c r="Y343" s="13">
        <f t="shared" si="56"/>
        <v>0</v>
      </c>
      <c r="Z343" s="13">
        <f t="shared" si="56"/>
        <v>0</v>
      </c>
      <c r="AA343" t="str">
        <f t="shared" ca="1" si="52"/>
        <v/>
      </c>
      <c r="AB343" t="str">
        <f t="shared" ca="1" si="53"/>
        <v/>
      </c>
      <c r="AC343" s="24" t="str">
        <f t="shared" ca="1" si="54"/>
        <v/>
      </c>
      <c r="AD343" s="24" t="str">
        <f t="shared" ca="1" si="55"/>
        <v/>
      </c>
    </row>
    <row r="344" spans="3:30" x14ac:dyDescent="0.25">
      <c r="C344" s="6">
        <v>337</v>
      </c>
      <c r="D344" s="35">
        <v>42487</v>
      </c>
      <c r="E344" s="37">
        <v>14.757</v>
      </c>
      <c r="F344" s="37">
        <v>42.33352355032703</v>
      </c>
      <c r="G344" s="37">
        <v>31.06</v>
      </c>
      <c r="H344" s="37">
        <v>2.195689390281375</v>
      </c>
      <c r="I344" s="37">
        <v>44.466880294982666</v>
      </c>
      <c r="J344" s="10">
        <v>0</v>
      </c>
      <c r="K344" s="38">
        <v>0</v>
      </c>
      <c r="L344" s="38">
        <v>0</v>
      </c>
      <c r="M344" s="38">
        <v>1</v>
      </c>
      <c r="N344" s="38">
        <v>0</v>
      </c>
      <c r="O344" s="38">
        <v>0</v>
      </c>
      <c r="P344" s="38">
        <v>0</v>
      </c>
      <c r="Q344" s="38">
        <v>0</v>
      </c>
      <c r="R344" s="38">
        <v>0</v>
      </c>
      <c r="S344" s="38">
        <v>0</v>
      </c>
      <c r="T344" s="38">
        <v>0</v>
      </c>
      <c r="U344" s="29" cm="1">
        <f t="array" aca="1" ref="U344" ca="1">+fair_value_gap(OFFSET(T343,0,0,-1*$J$5,-1*$AA$1),OFFSET(E343,0,0,-1*$J$5,1),F344:T344,0)</f>
        <v>14.106925989484871</v>
      </c>
      <c r="V344" s="9" t="str" cm="1">
        <f t="array" aca="1" ref="V344" ca="1">z_score_diff(OFFSET(U344,0,0,$J$5*-1,1),OFFSET(E344,0,0,$J$5*-1,1))</f>
        <v/>
      </c>
      <c r="W344" s="9" t="str">
        <f t="shared" ca="1" si="51"/>
        <v/>
      </c>
      <c r="X344" s="17">
        <f t="shared" ca="1" si="50"/>
        <v>9.5094292727720131E-3</v>
      </c>
      <c r="Y344" s="13">
        <f t="shared" si="56"/>
        <v>0</v>
      </c>
      <c r="Z344" s="13">
        <f t="shared" si="56"/>
        <v>0</v>
      </c>
      <c r="AA344" t="str">
        <f t="shared" ca="1" si="52"/>
        <v/>
      </c>
      <c r="AB344" t="str">
        <f t="shared" ca="1" si="53"/>
        <v/>
      </c>
      <c r="AC344" s="24" t="str">
        <f t="shared" ca="1" si="54"/>
        <v/>
      </c>
      <c r="AD344" s="24" t="str">
        <f t="shared" ca="1" si="55"/>
        <v/>
      </c>
    </row>
    <row r="345" spans="3:30" x14ac:dyDescent="0.25">
      <c r="C345" s="6">
        <v>338</v>
      </c>
      <c r="D345" s="35">
        <v>42488</v>
      </c>
      <c r="E345" s="37">
        <v>13.635999999999999</v>
      </c>
      <c r="F345" s="37">
        <v>42.823984932398844</v>
      </c>
      <c r="G345" s="37">
        <v>29.7</v>
      </c>
      <c r="H345" s="37">
        <v>2.3639399816556157</v>
      </c>
      <c r="I345" s="37">
        <v>45.160793429629678</v>
      </c>
      <c r="J345" s="10">
        <v>0</v>
      </c>
      <c r="K345" s="38">
        <v>0</v>
      </c>
      <c r="L345" s="38">
        <v>0</v>
      </c>
      <c r="M345" s="38">
        <v>1</v>
      </c>
      <c r="N345" s="38">
        <v>0</v>
      </c>
      <c r="O345" s="38">
        <v>0</v>
      </c>
      <c r="P345" s="38">
        <v>0</v>
      </c>
      <c r="Q345" s="38">
        <v>0</v>
      </c>
      <c r="R345" s="38">
        <v>0</v>
      </c>
      <c r="S345" s="38">
        <v>0</v>
      </c>
      <c r="T345" s="38">
        <v>0</v>
      </c>
      <c r="U345" s="29" cm="1">
        <f t="array" aca="1" ref="U345" ca="1">+fair_value_gap(OFFSET(T344,0,0,-1*$J$5,-1*$AA$1),OFFSET(E344,0,0,-1*$J$5,1),F345:T345,0)</f>
        <v>14.115868764978151</v>
      </c>
      <c r="V345" s="9" t="str" cm="1">
        <f t="array" aca="1" ref="V345" ca="1">z_score_diff(OFFSET(U345,0,0,$J$5*-1,1),OFFSET(E345,0,0,$J$5*-1,1))</f>
        <v/>
      </c>
      <c r="W345" s="9" t="str">
        <f t="shared" ca="1" si="51"/>
        <v/>
      </c>
      <c r="X345" s="17">
        <f t="shared" ca="1" si="50"/>
        <v>9.7933472673819466E-2</v>
      </c>
      <c r="Y345" s="13">
        <f t="shared" ref="Y345:Z360" si="57">+Y344</f>
        <v>0</v>
      </c>
      <c r="Z345" s="13">
        <f t="shared" si="57"/>
        <v>0</v>
      </c>
      <c r="AA345" t="str">
        <f t="shared" ca="1" si="52"/>
        <v/>
      </c>
      <c r="AB345" t="str">
        <f t="shared" ca="1" si="53"/>
        <v/>
      </c>
      <c r="AC345" s="24" t="str">
        <f t="shared" ca="1" si="54"/>
        <v/>
      </c>
      <c r="AD345" s="24" t="str">
        <f t="shared" ca="1" si="55"/>
        <v/>
      </c>
    </row>
    <row r="346" spans="3:30" x14ac:dyDescent="0.25">
      <c r="C346" s="6">
        <v>339</v>
      </c>
      <c r="D346" s="35">
        <v>42489</v>
      </c>
      <c r="E346" s="37">
        <v>14.506</v>
      </c>
      <c r="F346" s="37">
        <v>42.144776026156315</v>
      </c>
      <c r="G346" s="37">
        <v>31.41</v>
      </c>
      <c r="H346" s="37">
        <v>2.3688539952935299</v>
      </c>
      <c r="I346" s="37">
        <v>45.598270129184975</v>
      </c>
      <c r="J346" s="10">
        <v>0</v>
      </c>
      <c r="K346" s="38">
        <v>0</v>
      </c>
      <c r="L346" s="38">
        <v>0</v>
      </c>
      <c r="M346" s="38">
        <v>1</v>
      </c>
      <c r="N346" s="38">
        <v>0</v>
      </c>
      <c r="O346" s="38">
        <v>0</v>
      </c>
      <c r="P346" s="38">
        <v>0</v>
      </c>
      <c r="Q346" s="38">
        <v>0</v>
      </c>
      <c r="R346" s="38">
        <v>0</v>
      </c>
      <c r="S346" s="38">
        <v>0</v>
      </c>
      <c r="T346" s="38">
        <v>0</v>
      </c>
      <c r="U346" s="29" cm="1">
        <f t="array" aca="1" ref="U346" ca="1">+fair_value_gap(OFFSET(T345,0,0,-1*$J$5,-1*$AA$1),OFFSET(E345,0,0,-1*$J$5,1),F346:T346,0)</f>
        <v>14.435493352826034</v>
      </c>
      <c r="V346" s="9" t="str" cm="1">
        <f t="array" aca="1" ref="V346" ca="1">z_score_diff(OFFSET(U346,0,0,$J$5*-1,1),OFFSET(E346,0,0,$J$5*-1,1))</f>
        <v/>
      </c>
      <c r="W346" s="9" t="str">
        <f t="shared" ca="1" si="51"/>
        <v/>
      </c>
      <c r="X346" s="17">
        <f t="shared" ca="1" si="50"/>
        <v>5.0017146112199991E-2</v>
      </c>
      <c r="Y346" s="13">
        <f t="shared" si="57"/>
        <v>0</v>
      </c>
      <c r="Z346" s="13">
        <f t="shared" si="57"/>
        <v>0</v>
      </c>
      <c r="AA346" t="str">
        <f t="shared" ca="1" si="52"/>
        <v/>
      </c>
      <c r="AB346" t="str">
        <f t="shared" ca="1" si="53"/>
        <v/>
      </c>
      <c r="AC346" s="24" t="str">
        <f t="shared" ca="1" si="54"/>
        <v/>
      </c>
      <c r="AD346" s="24" t="str">
        <f t="shared" ca="1" si="55"/>
        <v/>
      </c>
    </row>
    <row r="347" spans="3:30" x14ac:dyDescent="0.25">
      <c r="C347" s="6">
        <v>340</v>
      </c>
      <c r="D347" s="35">
        <v>42492</v>
      </c>
      <c r="E347" s="37">
        <v>13.93</v>
      </c>
      <c r="F347" s="37">
        <v>41.041723597223886</v>
      </c>
      <c r="G347" s="37">
        <v>30.33</v>
      </c>
      <c r="H347" s="37">
        <v>2.2964745150809587</v>
      </c>
      <c r="I347" s="37">
        <v>44.653671126574189</v>
      </c>
      <c r="J347" s="10">
        <v>0</v>
      </c>
      <c r="K347" s="38">
        <v>0</v>
      </c>
      <c r="L347" s="38">
        <v>0</v>
      </c>
      <c r="M347" s="38">
        <v>0</v>
      </c>
      <c r="N347" s="38">
        <v>1</v>
      </c>
      <c r="O347" s="38">
        <v>0</v>
      </c>
      <c r="P347" s="38">
        <v>0</v>
      </c>
      <c r="Q347" s="38">
        <v>0</v>
      </c>
      <c r="R347" s="38">
        <v>0</v>
      </c>
      <c r="S347" s="38">
        <v>0</v>
      </c>
      <c r="T347" s="38">
        <v>0</v>
      </c>
      <c r="U347" s="29" cm="1">
        <f t="array" aca="1" ref="U347" ca="1">+fair_value_gap(OFFSET(T346,0,0,-1*$J$5,-1*$AA$1),OFFSET(E346,0,0,-1*$J$5,1),F347:T347,0)</f>
        <v>15.933711141222117</v>
      </c>
      <c r="V347" s="9" t="str" cm="1">
        <f t="array" aca="1" ref="V347" ca="1">z_score_diff(OFFSET(U347,0,0,$J$5*-1,1),OFFSET(E347,0,0,$J$5*-1,1))</f>
        <v/>
      </c>
      <c r="W347" s="9" t="str">
        <f t="shared" ca="1" si="51"/>
        <v/>
      </c>
      <c r="X347" s="17">
        <f t="shared" ca="1" si="50"/>
        <v>9.8372769758790071E-2</v>
      </c>
      <c r="Y347" s="13">
        <f t="shared" si="57"/>
        <v>0</v>
      </c>
      <c r="Z347" s="13">
        <f t="shared" si="57"/>
        <v>0</v>
      </c>
      <c r="AA347" t="str">
        <f t="shared" ca="1" si="52"/>
        <v/>
      </c>
      <c r="AB347" t="str">
        <f t="shared" ca="1" si="53"/>
        <v/>
      </c>
      <c r="AC347" s="24" t="str">
        <f t="shared" ca="1" si="54"/>
        <v/>
      </c>
      <c r="AD347" s="24" t="str">
        <f t="shared" ca="1" si="55"/>
        <v/>
      </c>
    </row>
    <row r="348" spans="3:30" x14ac:dyDescent="0.25">
      <c r="C348" s="6">
        <v>341</v>
      </c>
      <c r="D348" s="35">
        <v>42493</v>
      </c>
      <c r="E348" s="37">
        <v>13.914999999999999</v>
      </c>
      <c r="F348" s="37">
        <v>40.432664959567333</v>
      </c>
      <c r="G348" s="37">
        <v>30.1</v>
      </c>
      <c r="H348" s="37">
        <v>2.3177244976822755</v>
      </c>
      <c r="I348" s="37">
        <v>44.435299955564695</v>
      </c>
      <c r="J348" s="10">
        <v>0</v>
      </c>
      <c r="K348" s="38">
        <v>0</v>
      </c>
      <c r="L348" s="38">
        <v>0</v>
      </c>
      <c r="M348" s="38">
        <v>0</v>
      </c>
      <c r="N348" s="38">
        <v>1</v>
      </c>
      <c r="O348" s="38">
        <v>0</v>
      </c>
      <c r="P348" s="38">
        <v>0</v>
      </c>
      <c r="Q348" s="38">
        <v>0</v>
      </c>
      <c r="R348" s="38">
        <v>0</v>
      </c>
      <c r="S348" s="38">
        <v>0</v>
      </c>
      <c r="T348" s="38">
        <v>0</v>
      </c>
      <c r="U348" s="29" cm="1">
        <f t="array" aca="1" ref="U348" ca="1">+fair_value_gap(OFFSET(T347,0,0,-1*$J$5,-1*$AA$1),OFFSET(E347,0,0,-1*$J$5,1),F348:T348,0)</f>
        <v>15.017986074940021</v>
      </c>
      <c r="V348" s="9" t="str" cm="1">
        <f t="array" aca="1" ref="V348" ca="1">z_score_diff(OFFSET(U348,0,0,$J$5*-1,1),OFFSET(E348,0,0,$J$5*-1,1))</f>
        <v/>
      </c>
      <c r="W348" s="9" t="str">
        <f t="shared" ca="1" si="51"/>
        <v/>
      </c>
      <c r="X348" s="17">
        <f t="shared" ca="1" si="50"/>
        <v>0.14386232151918177</v>
      </c>
      <c r="Y348" s="13">
        <f t="shared" si="57"/>
        <v>0</v>
      </c>
      <c r="Z348" s="13">
        <f t="shared" si="57"/>
        <v>0</v>
      </c>
      <c r="AA348" t="str">
        <f t="shared" ca="1" si="52"/>
        <v/>
      </c>
      <c r="AB348" t="str">
        <f t="shared" ca="1" si="53"/>
        <v/>
      </c>
      <c r="AC348" s="24" t="str">
        <f t="shared" ca="1" si="54"/>
        <v/>
      </c>
      <c r="AD348" s="24" t="str">
        <f t="shared" ca="1" si="55"/>
        <v/>
      </c>
    </row>
    <row r="349" spans="3:30" x14ac:dyDescent="0.25">
      <c r="C349" s="6">
        <v>342</v>
      </c>
      <c r="D349" s="35">
        <v>42494</v>
      </c>
      <c r="E349" s="37">
        <v>14.319000000000001</v>
      </c>
      <c r="F349" s="37">
        <v>40.292187590594686</v>
      </c>
      <c r="G349" s="37">
        <v>30.42</v>
      </c>
      <c r="H349" s="37">
        <v>2.3443199352001933</v>
      </c>
      <c r="I349" s="37">
        <v>44.610443949638224</v>
      </c>
      <c r="J349" s="10">
        <v>0</v>
      </c>
      <c r="K349" s="38">
        <v>0</v>
      </c>
      <c r="L349" s="38">
        <v>0</v>
      </c>
      <c r="M349" s="38">
        <v>0</v>
      </c>
      <c r="N349" s="38">
        <v>1</v>
      </c>
      <c r="O349" s="38">
        <v>0</v>
      </c>
      <c r="P349" s="38">
        <v>0</v>
      </c>
      <c r="Q349" s="38">
        <v>0</v>
      </c>
      <c r="R349" s="38">
        <v>0</v>
      </c>
      <c r="S349" s="38">
        <v>0</v>
      </c>
      <c r="T349" s="38">
        <v>0</v>
      </c>
      <c r="U349" s="29" cm="1">
        <f t="array" aca="1" ref="U349" ca="1">+fair_value_gap(OFFSET(T348,0,0,-1*$J$5,-1*$AA$1),OFFSET(E348,0,0,-1*$J$5,1),F349:T349,0)</f>
        <v>14.783653493347124</v>
      </c>
      <c r="V349" s="9" t="str" cm="1">
        <f t="array" aca="1" ref="V349" ca="1">z_score_diff(OFFSET(U349,0,0,$J$5*-1,1),OFFSET(E349,0,0,$J$5*-1,1))</f>
        <v/>
      </c>
      <c r="W349" s="9" t="str">
        <f t="shared" ca="1" si="51"/>
        <v/>
      </c>
      <c r="X349" s="17">
        <f t="shared" ca="1" si="50"/>
        <v>9.8928814313642782E-2</v>
      </c>
      <c r="Y349" s="13">
        <f t="shared" si="57"/>
        <v>0</v>
      </c>
      <c r="Z349" s="13">
        <f t="shared" si="57"/>
        <v>0</v>
      </c>
      <c r="AA349" t="str">
        <f t="shared" ca="1" si="52"/>
        <v/>
      </c>
      <c r="AB349" t="str">
        <f t="shared" ca="1" si="53"/>
        <v/>
      </c>
      <c r="AC349" s="24" t="str">
        <f t="shared" ca="1" si="54"/>
        <v/>
      </c>
      <c r="AD349" s="24" t="str">
        <f t="shared" ca="1" si="55"/>
        <v/>
      </c>
    </row>
    <row r="350" spans="3:30" x14ac:dyDescent="0.25">
      <c r="C350" s="6">
        <v>343</v>
      </c>
      <c r="D350" s="35">
        <v>42495</v>
      </c>
      <c r="E350" s="37">
        <v>14.615</v>
      </c>
      <c r="F350" s="37">
        <v>40.890187488177929</v>
      </c>
      <c r="G350" s="37">
        <v>30.42</v>
      </c>
      <c r="H350" s="37">
        <v>2.3386990626898614</v>
      </c>
      <c r="I350" s="37">
        <v>45.239836508983899</v>
      </c>
      <c r="J350" s="10">
        <v>0</v>
      </c>
      <c r="K350" s="38">
        <v>0</v>
      </c>
      <c r="L350" s="38">
        <v>0</v>
      </c>
      <c r="M350" s="38">
        <v>0</v>
      </c>
      <c r="N350" s="38">
        <v>1</v>
      </c>
      <c r="O350" s="38">
        <v>0</v>
      </c>
      <c r="P350" s="38">
        <v>0</v>
      </c>
      <c r="Q350" s="38">
        <v>0</v>
      </c>
      <c r="R350" s="38">
        <v>0</v>
      </c>
      <c r="S350" s="38">
        <v>0</v>
      </c>
      <c r="T350" s="38">
        <v>0</v>
      </c>
      <c r="U350" s="29" cm="1">
        <f t="array" aca="1" ref="U350" ca="1">+fair_value_gap(OFFSET(T349,0,0,-1*$J$5,-1*$AA$1),OFFSET(E349,0,0,-1*$J$5,1),F350:T350,0)</f>
        <v>14.726363341006387</v>
      </c>
      <c r="V350" s="9" t="str" cm="1">
        <f t="array" aca="1" ref="V350" ca="1">z_score_diff(OFFSET(U350,0,0,$J$5*-1,1),OFFSET(E350,0,0,$J$5*-1,1))</f>
        <v/>
      </c>
      <c r="W350" s="9" t="str">
        <f t="shared" ca="1" si="51"/>
        <v/>
      </c>
      <c r="X350" s="17">
        <f t="shared" ca="1" si="50"/>
        <v>9.9685875336274613E-2</v>
      </c>
      <c r="Y350" s="13">
        <f t="shared" si="57"/>
        <v>0</v>
      </c>
      <c r="Z350" s="13">
        <f t="shared" si="57"/>
        <v>0</v>
      </c>
      <c r="AA350" t="str">
        <f t="shared" ca="1" si="52"/>
        <v/>
      </c>
      <c r="AB350" t="str">
        <f t="shared" ca="1" si="53"/>
        <v/>
      </c>
      <c r="AC350" s="24" t="str">
        <f t="shared" ca="1" si="54"/>
        <v/>
      </c>
      <c r="AD350" s="24" t="str">
        <f t="shared" ca="1" si="55"/>
        <v/>
      </c>
    </row>
    <row r="351" spans="3:30" x14ac:dyDescent="0.25">
      <c r="C351" s="6">
        <v>344</v>
      </c>
      <c r="D351" s="35">
        <v>42496</v>
      </c>
      <c r="E351" s="37">
        <v>14.506</v>
      </c>
      <c r="F351" s="37">
        <v>41.314928908506481</v>
      </c>
      <c r="G351" s="37">
        <v>30.77</v>
      </c>
      <c r="H351" s="37">
        <v>2.3268526114539734</v>
      </c>
      <c r="I351" s="37">
        <v>45.159597329829829</v>
      </c>
      <c r="J351" s="10">
        <v>0</v>
      </c>
      <c r="K351" s="38">
        <v>0</v>
      </c>
      <c r="L351" s="38">
        <v>0</v>
      </c>
      <c r="M351" s="38">
        <v>0</v>
      </c>
      <c r="N351" s="38">
        <v>1</v>
      </c>
      <c r="O351" s="38">
        <v>0</v>
      </c>
      <c r="P351" s="38">
        <v>0</v>
      </c>
      <c r="Q351" s="38">
        <v>0</v>
      </c>
      <c r="R351" s="38">
        <v>0</v>
      </c>
      <c r="S351" s="38">
        <v>0</v>
      </c>
      <c r="T351" s="38">
        <v>0</v>
      </c>
      <c r="U351" s="29" cm="1">
        <f t="array" aca="1" ref="U351" ca="1">+fair_value_gap(OFFSET(T350,0,0,-1*$J$5,-1*$AA$1),OFFSET(E350,0,0,-1*$J$5,1),F351:T351,0)</f>
        <v>14.87818539489551</v>
      </c>
      <c r="V351" s="9" t="str" cm="1">
        <f t="array" aca="1" ref="V351" ca="1">z_score_diff(OFFSET(U351,0,0,$J$5*-1,1),OFFSET(E351,0,0,$J$5*-1,1))</f>
        <v/>
      </c>
      <c r="W351" s="9" t="str">
        <f t="shared" ca="1" si="51"/>
        <v/>
      </c>
      <c r="X351" s="17">
        <f t="shared" ca="1" si="50"/>
        <v>0.1059325290571579</v>
      </c>
      <c r="Y351" s="13">
        <f t="shared" si="57"/>
        <v>0</v>
      </c>
      <c r="Z351" s="13">
        <f t="shared" si="57"/>
        <v>0</v>
      </c>
      <c r="AA351" t="str">
        <f t="shared" ca="1" si="52"/>
        <v/>
      </c>
      <c r="AB351" t="str">
        <f t="shared" ca="1" si="53"/>
        <v/>
      </c>
      <c r="AC351" s="24" t="str">
        <f t="shared" ca="1" si="54"/>
        <v/>
      </c>
      <c r="AD351" s="24" t="str">
        <f t="shared" ca="1" si="55"/>
        <v/>
      </c>
    </row>
    <row r="352" spans="3:30" x14ac:dyDescent="0.25">
      <c r="C352" s="6">
        <v>345</v>
      </c>
      <c r="D352" s="35">
        <v>42499</v>
      </c>
      <c r="E352" s="37">
        <v>14.702</v>
      </c>
      <c r="F352" s="37">
        <v>40.089526578421371</v>
      </c>
      <c r="G352" s="37">
        <v>31.11</v>
      </c>
      <c r="H352" s="37">
        <v>2.3115469018632151</v>
      </c>
      <c r="I352" s="37">
        <v>45.339865535412272</v>
      </c>
      <c r="J352" s="10">
        <v>0</v>
      </c>
      <c r="K352" s="38">
        <v>0</v>
      </c>
      <c r="L352" s="38">
        <v>0</v>
      </c>
      <c r="M352" s="38">
        <v>0</v>
      </c>
      <c r="N352" s="38">
        <v>1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29" cm="1">
        <f t="array" aca="1" ref="U352" ca="1">+fair_value_gap(OFFSET(T351,0,0,-1*$J$5,-1*$AA$1),OFFSET(E351,0,0,-1*$J$5,1),F352:T352,0)</f>
        <v>14.696575277912441</v>
      </c>
      <c r="V352" s="9" t="str" cm="1">
        <f t="array" aca="1" ref="V352" ca="1">z_score_diff(OFFSET(U352,0,0,$J$5*-1,1),OFFSET(E352,0,0,$J$5*-1,1))</f>
        <v/>
      </c>
      <c r="W352" s="9" t="str">
        <f t="shared" ca="1" si="51"/>
        <v/>
      </c>
      <c r="X352" s="17">
        <f t="shared" ca="1" si="50"/>
        <v>0.12166009123889644</v>
      </c>
      <c r="Y352" s="13">
        <f t="shared" si="57"/>
        <v>0</v>
      </c>
      <c r="Z352" s="13">
        <f t="shared" si="57"/>
        <v>0</v>
      </c>
      <c r="AA352" t="str">
        <f t="shared" ca="1" si="52"/>
        <v/>
      </c>
      <c r="AB352" t="str">
        <f t="shared" ca="1" si="53"/>
        <v/>
      </c>
      <c r="AC352" s="24" t="str">
        <f t="shared" ca="1" si="54"/>
        <v/>
      </c>
      <c r="AD352" s="24" t="str">
        <f t="shared" ca="1" si="55"/>
        <v/>
      </c>
    </row>
    <row r="353" spans="3:30" x14ac:dyDescent="0.25">
      <c r="C353" s="6">
        <v>346</v>
      </c>
      <c r="D353" s="35">
        <v>42500</v>
      </c>
      <c r="E353" s="37">
        <v>14.6</v>
      </c>
      <c r="F353" s="37">
        <v>41.610585746997849</v>
      </c>
      <c r="G353" s="37">
        <v>30.97</v>
      </c>
      <c r="H353" s="37">
        <v>2.3352968938453742</v>
      </c>
      <c r="I353" s="37">
        <v>45.75329056616966</v>
      </c>
      <c r="J353" s="10">
        <v>0</v>
      </c>
      <c r="K353" s="38">
        <v>0</v>
      </c>
      <c r="L353" s="38">
        <v>0</v>
      </c>
      <c r="M353" s="38">
        <v>0</v>
      </c>
      <c r="N353" s="38">
        <v>1</v>
      </c>
      <c r="O353" s="38">
        <v>0</v>
      </c>
      <c r="P353" s="38">
        <v>0</v>
      </c>
      <c r="Q353" s="38">
        <v>0</v>
      </c>
      <c r="R353" s="38">
        <v>0</v>
      </c>
      <c r="S353" s="38">
        <v>0</v>
      </c>
      <c r="T353" s="38">
        <v>0</v>
      </c>
      <c r="U353" s="29" cm="1">
        <f t="array" aca="1" ref="U353" ca="1">+fair_value_gap(OFFSET(T352,0,0,-1*$J$5,-1*$AA$1),OFFSET(E352,0,0,-1*$J$5,1),F353:T353,0)</f>
        <v>14.896526836752745</v>
      </c>
      <c r="V353" s="9" t="str" cm="1">
        <f t="array" aca="1" ref="V353" ca="1">z_score_diff(OFFSET(U353,0,0,$J$5*-1,1),OFFSET(E353,0,0,$J$5*-1,1))</f>
        <v/>
      </c>
      <c r="W353" s="9" t="str">
        <f t="shared" ca="1" si="51"/>
        <v/>
      </c>
      <c r="X353" s="17">
        <f t="shared" ca="1" si="50"/>
        <v>0.14190378041433116</v>
      </c>
      <c r="Y353" s="13">
        <f t="shared" si="57"/>
        <v>0</v>
      </c>
      <c r="Z353" s="13">
        <f t="shared" si="57"/>
        <v>0</v>
      </c>
      <c r="AA353" t="str">
        <f t="shared" ca="1" si="52"/>
        <v/>
      </c>
      <c r="AB353" t="str">
        <f t="shared" ca="1" si="53"/>
        <v/>
      </c>
      <c r="AC353" s="24" t="str">
        <f t="shared" ca="1" si="54"/>
        <v/>
      </c>
      <c r="AD353" s="24" t="str">
        <f t="shared" ca="1" si="55"/>
        <v/>
      </c>
    </row>
    <row r="354" spans="3:30" x14ac:dyDescent="0.25">
      <c r="C354" s="6">
        <v>347</v>
      </c>
      <c r="D354" s="35">
        <v>42501</v>
      </c>
      <c r="E354" s="37">
        <v>14.773999999999999</v>
      </c>
      <c r="F354" s="37">
        <v>42.966544555497656</v>
      </c>
      <c r="G354" s="37">
        <v>31.01</v>
      </c>
      <c r="H354" s="37">
        <v>2.3349302609223672</v>
      </c>
      <c r="I354" s="37">
        <v>46.150540365846332</v>
      </c>
      <c r="J354" s="10">
        <v>0</v>
      </c>
      <c r="K354" s="38">
        <v>0</v>
      </c>
      <c r="L354" s="38">
        <v>0</v>
      </c>
      <c r="M354" s="38">
        <v>0</v>
      </c>
      <c r="N354" s="38">
        <v>1</v>
      </c>
      <c r="O354" s="38">
        <v>0</v>
      </c>
      <c r="P354" s="38">
        <v>0</v>
      </c>
      <c r="Q354" s="38">
        <v>0</v>
      </c>
      <c r="R354" s="38">
        <v>0</v>
      </c>
      <c r="S354" s="38">
        <v>0</v>
      </c>
      <c r="T354" s="38">
        <v>0</v>
      </c>
      <c r="U354" s="29" cm="1">
        <f t="array" aca="1" ref="U354" ca="1">+fair_value_gap(OFFSET(T353,0,0,-1*$J$5,-1*$AA$1),OFFSET(E353,0,0,-1*$J$5,1),F354:T354,0)</f>
        <v>15.069067692375386</v>
      </c>
      <c r="V354" s="9" t="str" cm="1">
        <f t="array" aca="1" ref="V354" ca="1">z_score_diff(OFFSET(U354,0,0,$J$5*-1,1),OFFSET(E354,0,0,$J$5*-1,1))</f>
        <v/>
      </c>
      <c r="W354" s="9" t="str">
        <f t="shared" ca="1" si="51"/>
        <v/>
      </c>
      <c r="X354" s="17">
        <f t="shared" ca="1" si="50"/>
        <v>0.12481270450413633</v>
      </c>
      <c r="Y354" s="13">
        <f t="shared" si="57"/>
        <v>0</v>
      </c>
      <c r="Z354" s="13">
        <f t="shared" si="57"/>
        <v>0</v>
      </c>
      <c r="AA354" t="str">
        <f t="shared" ca="1" si="52"/>
        <v/>
      </c>
      <c r="AB354" t="str">
        <f t="shared" ca="1" si="53"/>
        <v/>
      </c>
      <c r="AC354" s="24" t="str">
        <f t="shared" ca="1" si="54"/>
        <v/>
      </c>
      <c r="AD354" s="24" t="str">
        <f t="shared" ca="1" si="55"/>
        <v/>
      </c>
    </row>
    <row r="355" spans="3:30" x14ac:dyDescent="0.25">
      <c r="C355" s="6">
        <v>348</v>
      </c>
      <c r="D355" s="35">
        <v>42502</v>
      </c>
      <c r="E355" s="37">
        <v>14.645</v>
      </c>
      <c r="F355" s="37">
        <v>43.423233177867438</v>
      </c>
      <c r="G355" s="37">
        <v>31.41</v>
      </c>
      <c r="H355" s="37">
        <v>2.3407290348294887</v>
      </c>
      <c r="I355" s="37">
        <v>46.587325450489821</v>
      </c>
      <c r="J355" s="10">
        <v>0</v>
      </c>
      <c r="K355" s="38">
        <v>0</v>
      </c>
      <c r="L355" s="38">
        <v>0</v>
      </c>
      <c r="M355" s="38">
        <v>0</v>
      </c>
      <c r="N355" s="38">
        <v>1</v>
      </c>
      <c r="O355" s="38">
        <v>0</v>
      </c>
      <c r="P355" s="38">
        <v>0</v>
      </c>
      <c r="Q355" s="38">
        <v>0</v>
      </c>
      <c r="R355" s="38">
        <v>0</v>
      </c>
      <c r="S355" s="38">
        <v>0</v>
      </c>
      <c r="T355" s="38">
        <v>0</v>
      </c>
      <c r="U355" s="29" cm="1">
        <f t="array" aca="1" ref="U355" ca="1">+fair_value_gap(OFFSET(T354,0,0,-1*$J$5,-1*$AA$1),OFFSET(E354,0,0,-1*$J$5,1),F355:T355,0)</f>
        <v>15.214728323100408</v>
      </c>
      <c r="V355" s="9" t="str" cm="1">
        <f t="array" aca="1" ref="V355" ca="1">z_score_diff(OFFSET(U355,0,0,$J$5*-1,1),OFFSET(E355,0,0,$J$5*-1,1))</f>
        <v/>
      </c>
      <c r="W355" s="9" t="str">
        <f t="shared" ca="1" si="51"/>
        <v/>
      </c>
      <c r="X355" s="17">
        <f t="shared" ca="1" si="50"/>
        <v>0.12047278781313525</v>
      </c>
      <c r="Y355" s="13">
        <f t="shared" si="57"/>
        <v>0</v>
      </c>
      <c r="Z355" s="13">
        <f t="shared" si="57"/>
        <v>0</v>
      </c>
      <c r="AA355" t="str">
        <f t="shared" ca="1" si="52"/>
        <v/>
      </c>
      <c r="AB355" t="str">
        <f t="shared" ca="1" si="53"/>
        <v/>
      </c>
      <c r="AC355" s="24" t="str">
        <f t="shared" ca="1" si="54"/>
        <v/>
      </c>
      <c r="AD355" s="24" t="str">
        <f t="shared" ca="1" si="55"/>
        <v/>
      </c>
    </row>
    <row r="356" spans="3:30" x14ac:dyDescent="0.25">
      <c r="C356" s="6">
        <v>349</v>
      </c>
      <c r="D356" s="35">
        <v>42503</v>
      </c>
      <c r="E356" s="37">
        <v>14.599</v>
      </c>
      <c r="F356" s="37">
        <v>43.304958492456571</v>
      </c>
      <c r="G356" s="37">
        <v>31.18</v>
      </c>
      <c r="H356" s="37">
        <v>2.3151057574412541</v>
      </c>
      <c r="I356" s="37">
        <v>46.934945879788529</v>
      </c>
      <c r="J356" s="10">
        <v>0</v>
      </c>
      <c r="K356" s="38">
        <v>0</v>
      </c>
      <c r="L356" s="38">
        <v>0</v>
      </c>
      <c r="M356" s="38">
        <v>0</v>
      </c>
      <c r="N356" s="38">
        <v>1</v>
      </c>
      <c r="O356" s="38">
        <v>0</v>
      </c>
      <c r="P356" s="38">
        <v>0</v>
      </c>
      <c r="Q356" s="38">
        <v>0</v>
      </c>
      <c r="R356" s="38">
        <v>0</v>
      </c>
      <c r="S356" s="38">
        <v>0</v>
      </c>
      <c r="T356" s="38">
        <v>0</v>
      </c>
      <c r="U356" s="29" cm="1">
        <f t="array" aca="1" ref="U356" ca="1">+fair_value_gap(OFFSET(T355,0,0,-1*$J$5,-1*$AA$1),OFFSET(E355,0,0,-1*$J$5,1),F356:T356,0)</f>
        <v>15.010670928814454</v>
      </c>
      <c r="V356" s="9" t="str" cm="1">
        <f t="array" aca="1" ref="V356" ca="1">z_score_diff(OFFSET(U356,0,0,$J$5*-1,1),OFFSET(E356,0,0,$J$5*-1,1))</f>
        <v/>
      </c>
      <c r="W356" s="9" t="str">
        <f t="shared" ca="1" si="51"/>
        <v/>
      </c>
      <c r="X356" s="17">
        <f t="shared" ca="1" si="50"/>
        <v>0.10387300668641659</v>
      </c>
      <c r="Y356" s="13">
        <f t="shared" si="57"/>
        <v>0</v>
      </c>
      <c r="Z356" s="13">
        <f t="shared" si="57"/>
        <v>0</v>
      </c>
      <c r="AA356" t="str">
        <f t="shared" ca="1" si="52"/>
        <v/>
      </c>
      <c r="AB356" t="str">
        <f t="shared" ca="1" si="53"/>
        <v/>
      </c>
      <c r="AC356" s="24" t="str">
        <f t="shared" ca="1" si="54"/>
        <v/>
      </c>
      <c r="AD356" s="24" t="str">
        <f t="shared" ca="1" si="55"/>
        <v/>
      </c>
    </row>
    <row r="357" spans="3:30" x14ac:dyDescent="0.25">
      <c r="C357" s="6">
        <v>350</v>
      </c>
      <c r="D357" s="35">
        <v>42506</v>
      </c>
      <c r="E357" s="37">
        <v>14.891</v>
      </c>
      <c r="F357" s="37">
        <v>44.342197380753475</v>
      </c>
      <c r="G357" s="37">
        <v>31.58</v>
      </c>
      <c r="H357" s="37">
        <v>2.2575167842420054</v>
      </c>
      <c r="I357" s="37">
        <v>47.390284245080238</v>
      </c>
      <c r="J357" s="10">
        <v>0</v>
      </c>
      <c r="K357" s="38">
        <v>0</v>
      </c>
      <c r="L357" s="38">
        <v>0</v>
      </c>
      <c r="M357" s="38">
        <v>0</v>
      </c>
      <c r="N357" s="38">
        <v>1</v>
      </c>
      <c r="O357" s="38">
        <v>0</v>
      </c>
      <c r="P357" s="38">
        <v>0</v>
      </c>
      <c r="Q357" s="38">
        <v>0</v>
      </c>
      <c r="R357" s="38">
        <v>0</v>
      </c>
      <c r="S357" s="38">
        <v>0</v>
      </c>
      <c r="T357" s="38">
        <v>0</v>
      </c>
      <c r="U357" s="29" cm="1">
        <f t="array" aca="1" ref="U357" ca="1">+fair_value_gap(OFFSET(T356,0,0,-1*$J$5,-1*$AA$1),OFFSET(E356,0,0,-1*$J$5,1),F357:T357,0)</f>
        <v>15.177623685724223</v>
      </c>
      <c r="V357" s="9" t="str" cm="1">
        <f t="array" aca="1" ref="V357" ca="1">z_score_diff(OFFSET(U357,0,0,$J$5*-1,1),OFFSET(E357,0,0,$J$5*-1,1))</f>
        <v/>
      </c>
      <c r="W357" s="9" t="str">
        <f t="shared" ca="1" si="51"/>
        <v/>
      </c>
      <c r="X357" s="17">
        <f t="shared" ca="1" si="50"/>
        <v>7.9303733470414195E-2</v>
      </c>
      <c r="Y357" s="13">
        <f t="shared" si="57"/>
        <v>0</v>
      </c>
      <c r="Z357" s="13">
        <f t="shared" si="57"/>
        <v>0</v>
      </c>
      <c r="AA357" t="str">
        <f t="shared" ca="1" si="52"/>
        <v/>
      </c>
      <c r="AB357" t="str">
        <f t="shared" ca="1" si="53"/>
        <v/>
      </c>
      <c r="AC357" s="24" t="str">
        <f t="shared" ca="1" si="54"/>
        <v/>
      </c>
      <c r="AD357" s="24" t="str">
        <f t="shared" ca="1" si="55"/>
        <v/>
      </c>
    </row>
    <row r="358" spans="3:30" x14ac:dyDescent="0.25">
      <c r="C358" s="6">
        <v>351</v>
      </c>
      <c r="D358" s="35">
        <v>42507</v>
      </c>
      <c r="E358" s="37">
        <v>14.975</v>
      </c>
      <c r="F358" s="37">
        <v>44.68708501085559</v>
      </c>
      <c r="G358" s="37">
        <v>32.340000000000003</v>
      </c>
      <c r="H358" s="37">
        <v>2.2440153734814472</v>
      </c>
      <c r="I358" s="37">
        <v>47.33950239947162</v>
      </c>
      <c r="J358" s="10">
        <v>0</v>
      </c>
      <c r="K358" s="38">
        <v>0</v>
      </c>
      <c r="L358" s="38">
        <v>0</v>
      </c>
      <c r="M358" s="38">
        <v>0</v>
      </c>
      <c r="N358" s="38">
        <v>1</v>
      </c>
      <c r="O358" s="38">
        <v>0</v>
      </c>
      <c r="P358" s="38">
        <v>0</v>
      </c>
      <c r="Q358" s="38">
        <v>0</v>
      </c>
      <c r="R358" s="38">
        <v>0</v>
      </c>
      <c r="S358" s="38">
        <v>0</v>
      </c>
      <c r="T358" s="38">
        <v>0</v>
      </c>
      <c r="U358" s="29" cm="1">
        <f t="array" aca="1" ref="U358" ca="1">+fair_value_gap(OFFSET(T357,0,0,-1*$J$5,-1*$AA$1),OFFSET(E357,0,0,-1*$J$5,1),F358:T358,0)</f>
        <v>15.422915870478901</v>
      </c>
      <c r="V358" s="9" t="str" cm="1">
        <f t="array" aca="1" ref="V358" ca="1">z_score_diff(OFFSET(U358,0,0,$J$5*-1,1),OFFSET(E358,0,0,$J$5*-1,1))</f>
        <v/>
      </c>
      <c r="W358" s="9" t="str">
        <f t="shared" ca="1" si="51"/>
        <v/>
      </c>
      <c r="X358" s="17">
        <f t="shared" ca="1" si="50"/>
        <v>8.6621762980860689E-2</v>
      </c>
      <c r="Y358" s="13">
        <f t="shared" si="57"/>
        <v>0</v>
      </c>
      <c r="Z358" s="13">
        <f t="shared" si="57"/>
        <v>0</v>
      </c>
      <c r="AA358" t="str">
        <f t="shared" ca="1" si="52"/>
        <v/>
      </c>
      <c r="AB358" t="str">
        <f t="shared" ca="1" si="53"/>
        <v/>
      </c>
      <c r="AC358" s="24" t="str">
        <f t="shared" ca="1" si="54"/>
        <v/>
      </c>
      <c r="AD358" s="24" t="str">
        <f t="shared" ca="1" si="55"/>
        <v/>
      </c>
    </row>
    <row r="359" spans="3:30" x14ac:dyDescent="0.25">
      <c r="C359" s="6">
        <v>352</v>
      </c>
      <c r="D359" s="35">
        <v>42508</v>
      </c>
      <c r="E359" s="37">
        <v>14.906000000000001</v>
      </c>
      <c r="F359" s="37">
        <v>44.983900778468694</v>
      </c>
      <c r="G359" s="37">
        <v>32.22</v>
      </c>
      <c r="H359" s="37">
        <v>2.2257151616212991</v>
      </c>
      <c r="I359" s="37">
        <v>47.62427943357676</v>
      </c>
      <c r="J359" s="10">
        <v>0</v>
      </c>
      <c r="K359" s="38">
        <v>0</v>
      </c>
      <c r="L359" s="38">
        <v>0</v>
      </c>
      <c r="M359" s="38">
        <v>0</v>
      </c>
      <c r="N359" s="38">
        <v>1</v>
      </c>
      <c r="O359" s="38">
        <v>0</v>
      </c>
      <c r="P359" s="38">
        <v>0</v>
      </c>
      <c r="Q359" s="38">
        <v>0</v>
      </c>
      <c r="R359" s="38">
        <v>0</v>
      </c>
      <c r="S359" s="38">
        <v>0</v>
      </c>
      <c r="T359" s="38">
        <v>0</v>
      </c>
      <c r="U359" s="29" cm="1">
        <f t="array" aca="1" ref="U359" ca="1">+fair_value_gap(OFFSET(T358,0,0,-1*$J$5,-1*$AA$1),OFFSET(E358,0,0,-1*$J$5,1),F359:T359,0)</f>
        <v>15.309870370761885</v>
      </c>
      <c r="V359" s="9" t="str" cm="1">
        <f t="array" aca="1" ref="V359" ca="1">z_score_diff(OFFSET(U359,0,0,$J$5*-1,1),OFFSET(E359,0,0,$J$5*-1,1))</f>
        <v/>
      </c>
      <c r="W359" s="9" t="str">
        <f t="shared" ca="1" si="51"/>
        <v/>
      </c>
      <c r="X359" s="17">
        <f t="shared" ca="1" si="50"/>
        <v>9.716250609956073E-2</v>
      </c>
      <c r="Y359" s="13">
        <f t="shared" si="57"/>
        <v>0</v>
      </c>
      <c r="Z359" s="13">
        <f t="shared" si="57"/>
        <v>0</v>
      </c>
      <c r="AA359" t="str">
        <f t="shared" ca="1" si="52"/>
        <v/>
      </c>
      <c r="AB359" t="str">
        <f t="shared" ca="1" si="53"/>
        <v/>
      </c>
      <c r="AC359" s="24" t="str">
        <f t="shared" ca="1" si="54"/>
        <v/>
      </c>
      <c r="AD359" s="24" t="str">
        <f t="shared" ca="1" si="55"/>
        <v/>
      </c>
    </row>
    <row r="360" spans="3:30" x14ac:dyDescent="0.25">
      <c r="C360" s="6">
        <v>353</v>
      </c>
      <c r="D360" s="35">
        <v>42509</v>
      </c>
      <c r="E360" s="37">
        <v>14.718999999999999</v>
      </c>
      <c r="F360" s="37">
        <v>44.953431581338556</v>
      </c>
      <c r="G360" s="37">
        <v>31.82</v>
      </c>
      <c r="H360" s="37">
        <v>2.3000255558395093</v>
      </c>
      <c r="I360" s="37">
        <v>47.340417979952868</v>
      </c>
      <c r="J360" s="10">
        <v>0</v>
      </c>
      <c r="K360" s="38">
        <v>0</v>
      </c>
      <c r="L360" s="38">
        <v>0</v>
      </c>
      <c r="M360" s="38">
        <v>0</v>
      </c>
      <c r="N360" s="38">
        <v>1</v>
      </c>
      <c r="O360" s="38">
        <v>0</v>
      </c>
      <c r="P360" s="38">
        <v>0</v>
      </c>
      <c r="Q360" s="38">
        <v>0</v>
      </c>
      <c r="R360" s="38">
        <v>0</v>
      </c>
      <c r="S360" s="38">
        <v>0</v>
      </c>
      <c r="T360" s="38">
        <v>0</v>
      </c>
      <c r="U360" s="29" cm="1">
        <f t="array" aca="1" ref="U360" ca="1">+fair_value_gap(OFFSET(T359,0,0,-1*$J$5,-1*$AA$1),OFFSET(E359,0,0,-1*$J$5,1),F360:T360,0)</f>
        <v>15.206741103145784</v>
      </c>
      <c r="V360" s="9" t="str" cm="1">
        <f t="array" aca="1" ref="V360" ca="1">z_score_diff(OFFSET(U360,0,0,$J$5*-1,1),OFFSET(E360,0,0,$J$5*-1,1))</f>
        <v/>
      </c>
      <c r="W360" s="9" t="str">
        <f t="shared" ca="1" si="51"/>
        <v/>
      </c>
      <c r="X360" s="17">
        <f t="shared" ca="1" si="50"/>
        <v>0.10875172889154999</v>
      </c>
      <c r="Y360" s="13">
        <f t="shared" si="57"/>
        <v>0</v>
      </c>
      <c r="Z360" s="13">
        <f t="shared" si="57"/>
        <v>0</v>
      </c>
      <c r="AA360" t="str">
        <f t="shared" ca="1" si="52"/>
        <v/>
      </c>
      <c r="AB360" t="str">
        <f t="shared" ca="1" si="53"/>
        <v/>
      </c>
      <c r="AC360" s="24" t="str">
        <f t="shared" ca="1" si="54"/>
        <v/>
      </c>
      <c r="AD360" s="24" t="str">
        <f t="shared" ca="1" si="55"/>
        <v/>
      </c>
    </row>
    <row r="361" spans="3:30" x14ac:dyDescent="0.25">
      <c r="C361" s="6">
        <v>354</v>
      </c>
      <c r="D361" s="35">
        <v>42510</v>
      </c>
      <c r="E361" s="37">
        <v>14.763</v>
      </c>
      <c r="F361" s="37">
        <v>44.79000755206097</v>
      </c>
      <c r="G361" s="37">
        <v>31.97</v>
      </c>
      <c r="H361" s="37">
        <v>2.3107712929606468</v>
      </c>
      <c r="I361" s="37">
        <v>47.012243546440743</v>
      </c>
      <c r="J361" s="10">
        <v>0</v>
      </c>
      <c r="K361" s="38">
        <v>0</v>
      </c>
      <c r="L361" s="38">
        <v>0</v>
      </c>
      <c r="M361" s="38">
        <v>0</v>
      </c>
      <c r="N361" s="38">
        <v>1</v>
      </c>
      <c r="O361" s="38">
        <v>0</v>
      </c>
      <c r="P361" s="38">
        <v>0</v>
      </c>
      <c r="Q361" s="38">
        <v>0</v>
      </c>
      <c r="R361" s="38">
        <v>0</v>
      </c>
      <c r="S361" s="38">
        <v>0</v>
      </c>
      <c r="T361" s="38">
        <v>0</v>
      </c>
      <c r="U361" s="29" cm="1">
        <f t="array" aca="1" ref="U361" ca="1">+fair_value_gap(OFFSET(T360,0,0,-1*$J$5,-1*$AA$1),OFFSET(E360,0,0,-1*$J$5,1),F361:T361,0)</f>
        <v>15.063570717269938</v>
      </c>
      <c r="V361" s="9" t="str" cm="1">
        <f t="array" aca="1" ref="V361" ca="1">z_score_diff(OFFSET(U361,0,0,$J$5*-1,1),OFFSET(E361,0,0,$J$5*-1,1))</f>
        <v/>
      </c>
      <c r="W361" s="9" t="str">
        <f t="shared" ca="1" si="51"/>
        <v/>
      </c>
      <c r="X361" s="17">
        <f t="shared" ca="1" si="50"/>
        <v>0.12764640016066714</v>
      </c>
      <c r="Y361" s="13">
        <f t="shared" ref="Y361:Z376" si="58">+Y360</f>
        <v>0</v>
      </c>
      <c r="Z361" s="13">
        <f t="shared" si="58"/>
        <v>0</v>
      </c>
      <c r="AA361" t="str">
        <f t="shared" ca="1" si="52"/>
        <v/>
      </c>
      <c r="AB361" t="str">
        <f t="shared" ca="1" si="53"/>
        <v/>
      </c>
      <c r="AC361" s="24" t="str">
        <f t="shared" ca="1" si="54"/>
        <v/>
      </c>
      <c r="AD361" s="24" t="str">
        <f t="shared" ca="1" si="55"/>
        <v/>
      </c>
    </row>
    <row r="362" spans="3:30" x14ac:dyDescent="0.25">
      <c r="C362" s="6">
        <v>355</v>
      </c>
      <c r="D362" s="35">
        <v>42513</v>
      </c>
      <c r="E362" s="37">
        <v>14.599</v>
      </c>
      <c r="F362" s="37">
        <v>44.604858174088264</v>
      </c>
      <c r="G362" s="37">
        <v>31.52</v>
      </c>
      <c r="H362" s="37">
        <v>2.3117291468302295</v>
      </c>
      <c r="I362" s="37">
        <v>47.164588915214459</v>
      </c>
      <c r="J362" s="10">
        <v>0</v>
      </c>
      <c r="K362" s="38">
        <v>0</v>
      </c>
      <c r="L362" s="38">
        <v>0</v>
      </c>
      <c r="M362" s="38">
        <v>0</v>
      </c>
      <c r="N362" s="38">
        <v>1</v>
      </c>
      <c r="O362" s="38">
        <v>0</v>
      </c>
      <c r="P362" s="38">
        <v>0</v>
      </c>
      <c r="Q362" s="38">
        <v>0</v>
      </c>
      <c r="R362" s="38">
        <v>0</v>
      </c>
      <c r="S362" s="38">
        <v>0</v>
      </c>
      <c r="T362" s="38">
        <v>0</v>
      </c>
      <c r="U362" s="29" cm="1">
        <f t="array" aca="1" ref="U362" ca="1">+fair_value_gap(OFFSET(T361,0,0,-1*$J$5,-1*$AA$1),OFFSET(E361,0,0,-1*$J$5,1),F362:T362,0)</f>
        <v>14.908553299894892</v>
      </c>
      <c r="V362" s="9" t="str" cm="1">
        <f t="array" aca="1" ref="V362" ca="1">z_score_diff(OFFSET(U362,0,0,$J$5*-1,1),OFFSET(E362,0,0,$J$5*-1,1))</f>
        <v/>
      </c>
      <c r="W362" s="9" t="str">
        <f t="shared" ca="1" si="51"/>
        <v/>
      </c>
      <c r="X362" s="17">
        <f t="shared" ca="1" si="50"/>
        <v>0.17970379913905837</v>
      </c>
      <c r="Y362" s="13">
        <f t="shared" si="58"/>
        <v>0</v>
      </c>
      <c r="Z362" s="13">
        <f t="shared" si="58"/>
        <v>0</v>
      </c>
      <c r="AA362" t="str">
        <f t="shared" ca="1" si="52"/>
        <v/>
      </c>
      <c r="AB362" t="str">
        <f t="shared" ca="1" si="53"/>
        <v/>
      </c>
      <c r="AC362" s="24" t="str">
        <f t="shared" ca="1" si="54"/>
        <v/>
      </c>
      <c r="AD362" s="24" t="str">
        <f t="shared" ca="1" si="55"/>
        <v/>
      </c>
    </row>
    <row r="363" spans="3:30" x14ac:dyDescent="0.25">
      <c r="C363" s="6">
        <v>356</v>
      </c>
      <c r="D363" s="35">
        <v>42514</v>
      </c>
      <c r="E363" s="37">
        <v>14.603999999999999</v>
      </c>
      <c r="F363" s="37">
        <v>45.132615515774567</v>
      </c>
      <c r="G363" s="37">
        <v>31.41</v>
      </c>
      <c r="H363" s="37">
        <v>2.3096912504614924</v>
      </c>
      <c r="I363" s="37">
        <v>47.79901583966641</v>
      </c>
      <c r="J363" s="10">
        <v>0</v>
      </c>
      <c r="K363" s="38">
        <v>0</v>
      </c>
      <c r="L363" s="38">
        <v>0</v>
      </c>
      <c r="M363" s="38">
        <v>0</v>
      </c>
      <c r="N363" s="38">
        <v>1</v>
      </c>
      <c r="O363" s="38">
        <v>0</v>
      </c>
      <c r="P363" s="38">
        <v>0</v>
      </c>
      <c r="Q363" s="38">
        <v>0</v>
      </c>
      <c r="R363" s="38">
        <v>0</v>
      </c>
      <c r="S363" s="38">
        <v>0</v>
      </c>
      <c r="T363" s="38">
        <v>0</v>
      </c>
      <c r="U363" s="29" cm="1">
        <f t="array" aca="1" ref="U363" ca="1">+fair_value_gap(OFFSET(T362,0,0,-1*$J$5,-1*$AA$1),OFFSET(E362,0,0,-1*$J$5,1),F363:T363,0)</f>
        <v>14.916288147898104</v>
      </c>
      <c r="V363" s="9" t="str" cm="1">
        <f t="array" aca="1" ref="V363" ca="1">z_score_diff(OFFSET(U363,0,0,$J$5*-1,1),OFFSET(E363,0,0,$J$5*-1,1))</f>
        <v/>
      </c>
      <c r="W363" s="9" t="str">
        <f t="shared" ca="1" si="51"/>
        <v/>
      </c>
      <c r="X363" s="17">
        <f t="shared" ca="1" si="50"/>
        <v>0.16279963509764098</v>
      </c>
      <c r="Y363" s="13">
        <f t="shared" si="58"/>
        <v>0</v>
      </c>
      <c r="Z363" s="13">
        <f t="shared" si="58"/>
        <v>0</v>
      </c>
      <c r="AA363" t="str">
        <f t="shared" ca="1" si="52"/>
        <v/>
      </c>
      <c r="AB363" t="str">
        <f t="shared" ca="1" si="53"/>
        <v/>
      </c>
      <c r="AC363" s="24" t="str">
        <f t="shared" ca="1" si="54"/>
        <v/>
      </c>
      <c r="AD363" s="24" t="str">
        <f t="shared" ca="1" si="55"/>
        <v/>
      </c>
    </row>
    <row r="364" spans="3:30" x14ac:dyDescent="0.25">
      <c r="C364" s="6">
        <v>357</v>
      </c>
      <c r="D364" s="35">
        <v>42515</v>
      </c>
      <c r="E364" s="37">
        <v>14.898</v>
      </c>
      <c r="F364" s="37">
        <v>45.886352217617642</v>
      </c>
      <c r="G364" s="37">
        <v>32.07</v>
      </c>
      <c r="H364" s="37">
        <v>2.3633564828837046</v>
      </c>
      <c r="I364" s="37">
        <v>48.193586778744219</v>
      </c>
      <c r="J364" s="10">
        <v>0</v>
      </c>
      <c r="K364" s="38">
        <v>0</v>
      </c>
      <c r="L364" s="38">
        <v>0</v>
      </c>
      <c r="M364" s="38">
        <v>0</v>
      </c>
      <c r="N364" s="38">
        <v>1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29" cm="1">
        <f t="array" aca="1" ref="U364" ca="1">+fair_value_gap(OFFSET(T363,0,0,-1*$J$5,-1*$AA$1),OFFSET(E363,0,0,-1*$J$5,1),F364:T364,0)</f>
        <v>15.220581876326293</v>
      </c>
      <c r="V364" s="9" t="str" cm="1">
        <f t="array" aca="1" ref="V364" ca="1">z_score_diff(OFFSET(U364,0,0,$J$5*-1,1),OFFSET(E364,0,0,$J$5*-1,1))</f>
        <v/>
      </c>
      <c r="W364" s="9" t="str">
        <f t="shared" ca="1" si="51"/>
        <v/>
      </c>
      <c r="X364" s="17">
        <f t="shared" ca="1" si="50"/>
        <v>0.19019978099059262</v>
      </c>
      <c r="Y364" s="13">
        <f t="shared" si="58"/>
        <v>0</v>
      </c>
      <c r="Z364" s="13">
        <f t="shared" si="58"/>
        <v>0</v>
      </c>
      <c r="AA364" t="str">
        <f t="shared" ca="1" si="52"/>
        <v/>
      </c>
      <c r="AB364" t="str">
        <f t="shared" ca="1" si="53"/>
        <v/>
      </c>
      <c r="AC364" s="24" t="str">
        <f t="shared" ca="1" si="54"/>
        <v/>
      </c>
      <c r="AD364" s="24" t="str">
        <f t="shared" ca="1" si="55"/>
        <v/>
      </c>
    </row>
    <row r="365" spans="3:30" x14ac:dyDescent="0.25">
      <c r="C365" s="6">
        <v>358</v>
      </c>
      <c r="D365" s="35">
        <v>42516</v>
      </c>
      <c r="E365" s="37">
        <v>15.039</v>
      </c>
      <c r="F365" s="37">
        <v>45.613486745717019</v>
      </c>
      <c r="G365" s="37">
        <v>32.69</v>
      </c>
      <c r="H365" s="37">
        <v>2.3574811623492056</v>
      </c>
      <c r="I365" s="37">
        <v>48.126357438541227</v>
      </c>
      <c r="J365" s="10">
        <v>0</v>
      </c>
      <c r="K365" s="38">
        <v>0</v>
      </c>
      <c r="L365" s="38">
        <v>0</v>
      </c>
      <c r="M365" s="38">
        <v>0</v>
      </c>
      <c r="N365" s="38">
        <v>1</v>
      </c>
      <c r="O365" s="38">
        <v>0</v>
      </c>
      <c r="P365" s="38">
        <v>0</v>
      </c>
      <c r="Q365" s="38">
        <v>0</v>
      </c>
      <c r="R365" s="38">
        <v>0</v>
      </c>
      <c r="S365" s="38">
        <v>0</v>
      </c>
      <c r="T365" s="38">
        <v>0</v>
      </c>
      <c r="U365" s="29" cm="1">
        <f t="array" aca="1" ref="U365" ca="1">+fair_value_gap(OFFSET(T364,0,0,-1*$J$5,-1*$AA$1),OFFSET(E364,0,0,-1*$J$5,1),F365:T365,0)</f>
        <v>15.323138800253867</v>
      </c>
      <c r="V365" s="9" t="str" cm="1">
        <f t="array" aca="1" ref="V365" ca="1">z_score_diff(OFFSET(U365,0,0,$J$5*-1,1),OFFSET(E365,0,0,$J$5*-1,1))</f>
        <v/>
      </c>
      <c r="W365" s="9" t="str">
        <f t="shared" ca="1" si="51"/>
        <v/>
      </c>
      <c r="X365" s="17">
        <f t="shared" ca="1" si="50"/>
        <v>0.16031555964856514</v>
      </c>
      <c r="Y365" s="13">
        <f t="shared" si="58"/>
        <v>0</v>
      </c>
      <c r="Z365" s="13">
        <f t="shared" si="58"/>
        <v>0</v>
      </c>
      <c r="AA365" t="str">
        <f t="shared" ca="1" si="52"/>
        <v/>
      </c>
      <c r="AB365" t="str">
        <f t="shared" ca="1" si="53"/>
        <v/>
      </c>
      <c r="AC365" s="24" t="str">
        <f t="shared" ca="1" si="54"/>
        <v/>
      </c>
      <c r="AD365" s="24" t="str">
        <f t="shared" ca="1" si="55"/>
        <v/>
      </c>
    </row>
    <row r="366" spans="3:30" x14ac:dyDescent="0.25">
      <c r="C366" s="6">
        <v>359</v>
      </c>
      <c r="D366" s="35">
        <v>42517</v>
      </c>
      <c r="E366" s="37">
        <v>15.25</v>
      </c>
      <c r="F366" s="37">
        <v>45.858314791854205</v>
      </c>
      <c r="G366" s="37">
        <v>32.76</v>
      </c>
      <c r="H366" s="37">
        <v>2.6522732941019771</v>
      </c>
      <c r="I366" s="37">
        <v>48.808264866184011</v>
      </c>
      <c r="J366" s="10">
        <v>0</v>
      </c>
      <c r="K366" s="38">
        <v>0</v>
      </c>
      <c r="L366" s="38">
        <v>0</v>
      </c>
      <c r="M366" s="38">
        <v>0</v>
      </c>
      <c r="N366" s="38">
        <v>1</v>
      </c>
      <c r="O366" s="38">
        <v>0</v>
      </c>
      <c r="P366" s="38">
        <v>0</v>
      </c>
      <c r="Q366" s="38">
        <v>0</v>
      </c>
      <c r="R366" s="38">
        <v>0</v>
      </c>
      <c r="S366" s="38">
        <v>0</v>
      </c>
      <c r="T366" s="38">
        <v>0</v>
      </c>
      <c r="U366" s="29" cm="1">
        <f t="array" aca="1" ref="U366" ca="1">+fair_value_gap(OFFSET(T365,0,0,-1*$J$5,-1*$AA$1),OFFSET(E365,0,0,-1*$J$5,1),F366:T366,0)</f>
        <v>15.771543861092425</v>
      </c>
      <c r="V366" s="9" t="str" cm="1">
        <f t="array" aca="1" ref="V366" ca="1">z_score_diff(OFFSET(U366,0,0,$J$5*-1,1),OFFSET(E366,0,0,$J$5*-1,1))</f>
        <v/>
      </c>
      <c r="W366" s="9" t="str">
        <f t="shared" ca="1" si="51"/>
        <v/>
      </c>
      <c r="X366" s="17">
        <f t="shared" ca="1" si="50"/>
        <v>0.12739786685543239</v>
      </c>
      <c r="Y366" s="13">
        <f t="shared" si="58"/>
        <v>0</v>
      </c>
      <c r="Z366" s="13">
        <f t="shared" si="58"/>
        <v>0</v>
      </c>
      <c r="AA366" t="str">
        <f t="shared" ca="1" si="52"/>
        <v/>
      </c>
      <c r="AB366" t="str">
        <f t="shared" ca="1" si="53"/>
        <v/>
      </c>
      <c r="AC366" s="24" t="str">
        <f t="shared" ca="1" si="54"/>
        <v/>
      </c>
      <c r="AD366" s="24" t="str">
        <f t="shared" ca="1" si="55"/>
        <v/>
      </c>
    </row>
    <row r="367" spans="3:30" x14ac:dyDescent="0.25">
      <c r="C367" s="6">
        <v>360</v>
      </c>
      <c r="D367" s="35">
        <v>42520</v>
      </c>
      <c r="E367" s="37">
        <v>15.37</v>
      </c>
      <c r="F367" s="37">
        <v>46.069308140099913</v>
      </c>
      <c r="G367" s="37">
        <v>32.75</v>
      </c>
      <c r="H367" s="37">
        <v>2.6453965018710361</v>
      </c>
      <c r="I367" s="37">
        <v>48.68171520126679</v>
      </c>
      <c r="J367" s="10">
        <v>0</v>
      </c>
      <c r="K367" s="38">
        <v>0</v>
      </c>
      <c r="L367" s="38">
        <v>0</v>
      </c>
      <c r="M367" s="38">
        <v>0</v>
      </c>
      <c r="N367" s="38">
        <v>1</v>
      </c>
      <c r="O367" s="38">
        <v>0</v>
      </c>
      <c r="P367" s="38">
        <v>0</v>
      </c>
      <c r="Q367" s="38">
        <v>0</v>
      </c>
      <c r="R367" s="38">
        <v>0</v>
      </c>
      <c r="S367" s="38">
        <v>0</v>
      </c>
      <c r="T367" s="38">
        <v>0</v>
      </c>
      <c r="U367" s="29" cm="1">
        <f t="array" aca="1" ref="U367" ca="1">+fair_value_gap(OFFSET(T366,0,0,-1*$J$5,-1*$AA$1),OFFSET(E366,0,0,-1*$J$5,1),F367:T367,0)</f>
        <v>15.731730835851563</v>
      </c>
      <c r="V367" s="9" t="str" cm="1">
        <f t="array" aca="1" ref="V367" ca="1">z_score_diff(OFFSET(U367,0,0,$J$5*-1,1),OFFSET(E367,0,0,$J$5*-1,1))</f>
        <v/>
      </c>
      <c r="W367" s="9" t="str">
        <f t="shared" ca="1" si="51"/>
        <v/>
      </c>
      <c r="X367" s="17">
        <f t="shared" ca="1" si="50"/>
        <v>8.1373087027817301E-2</v>
      </c>
      <c r="Y367" s="13">
        <f t="shared" si="58"/>
        <v>0</v>
      </c>
      <c r="Z367" s="13">
        <f t="shared" si="58"/>
        <v>0</v>
      </c>
      <c r="AA367" t="str">
        <f t="shared" ca="1" si="52"/>
        <v/>
      </c>
      <c r="AB367" t="str">
        <f t="shared" ca="1" si="53"/>
        <v/>
      </c>
      <c r="AC367" s="24" t="str">
        <f t="shared" ca="1" si="54"/>
        <v/>
      </c>
      <c r="AD367" s="24" t="str">
        <f t="shared" ca="1" si="55"/>
        <v/>
      </c>
    </row>
    <row r="368" spans="3:30" x14ac:dyDescent="0.25">
      <c r="C368" s="6">
        <v>361</v>
      </c>
      <c r="D368" s="35">
        <v>42521</v>
      </c>
      <c r="E368" s="37">
        <v>16.068000000000001</v>
      </c>
      <c r="F368" s="37">
        <v>45.721050700279363</v>
      </c>
      <c r="G368" s="37">
        <v>31.83</v>
      </c>
      <c r="H368" s="37">
        <v>2.6757662360620436</v>
      </c>
      <c r="I368" s="37">
        <v>49.104819146951087</v>
      </c>
      <c r="J368" s="10">
        <v>0</v>
      </c>
      <c r="K368" s="38">
        <v>0</v>
      </c>
      <c r="L368" s="38">
        <v>0</v>
      </c>
      <c r="M368" s="38">
        <v>0</v>
      </c>
      <c r="N368" s="38">
        <v>1</v>
      </c>
      <c r="O368" s="38">
        <v>0</v>
      </c>
      <c r="P368" s="38">
        <v>0</v>
      </c>
      <c r="Q368" s="38">
        <v>0</v>
      </c>
      <c r="R368" s="38">
        <v>0</v>
      </c>
      <c r="S368" s="38">
        <v>0</v>
      </c>
      <c r="T368" s="38">
        <v>0</v>
      </c>
      <c r="U368" s="29" cm="1">
        <f t="array" aca="1" ref="U368" ca="1">+fair_value_gap(OFFSET(T367,0,0,-1*$J$5,-1*$AA$1),OFFSET(E367,0,0,-1*$J$5,1),F368:T368,0)</f>
        <v>15.453740599853816</v>
      </c>
      <c r="V368" s="9" t="str" cm="1">
        <f t="array" aca="1" ref="V368" ca="1">z_score_diff(OFFSET(U368,0,0,$J$5*-1,1),OFFSET(E368,0,0,$J$5*-1,1))</f>
        <v/>
      </c>
      <c r="W368" s="9" t="str">
        <f t="shared" ca="1" si="51"/>
        <v/>
      </c>
      <c r="X368" s="17">
        <f t="shared" ca="1" si="50"/>
        <v>3.5039813244171276E-2</v>
      </c>
      <c r="Y368" s="13">
        <f t="shared" si="58"/>
        <v>0</v>
      </c>
      <c r="Z368" s="13">
        <f t="shared" si="58"/>
        <v>0</v>
      </c>
      <c r="AA368" t="str">
        <f t="shared" ca="1" si="52"/>
        <v/>
      </c>
      <c r="AB368" t="str">
        <f t="shared" ca="1" si="53"/>
        <v/>
      </c>
      <c r="AC368" s="24" t="str">
        <f t="shared" ca="1" si="54"/>
        <v/>
      </c>
      <c r="AD368" s="24" t="str">
        <f t="shared" ca="1" si="55"/>
        <v/>
      </c>
    </row>
    <row r="369" spans="3:30" x14ac:dyDescent="0.25">
      <c r="C369" s="6">
        <v>362</v>
      </c>
      <c r="D369" s="35">
        <v>42522</v>
      </c>
      <c r="E369" s="37">
        <v>15.808</v>
      </c>
      <c r="F369" s="37">
        <v>45.555378090116946</v>
      </c>
      <c r="G369" s="37">
        <v>31.91</v>
      </c>
      <c r="H369" s="37">
        <v>2.6646435606665602</v>
      </c>
      <c r="I369" s="37">
        <v>49.246659213118242</v>
      </c>
      <c r="J369" s="10">
        <v>0</v>
      </c>
      <c r="K369" s="38">
        <v>0</v>
      </c>
      <c r="L369" s="38">
        <v>0</v>
      </c>
      <c r="M369" s="38">
        <v>0</v>
      </c>
      <c r="N369" s="38">
        <v>0</v>
      </c>
      <c r="O369" s="38">
        <v>1</v>
      </c>
      <c r="P369" s="38">
        <v>0</v>
      </c>
      <c r="Q369" s="38">
        <v>0</v>
      </c>
      <c r="R369" s="38">
        <v>0</v>
      </c>
      <c r="S369" s="38">
        <v>0</v>
      </c>
      <c r="T369" s="38">
        <v>0</v>
      </c>
      <c r="U369" s="29" cm="1">
        <f t="array" aca="1" ref="U369" ca="1">+fair_value_gap(OFFSET(T368,0,0,-1*$J$5,-1*$AA$1),OFFSET(E368,0,0,-1*$J$5,1),F369:T369,0)</f>
        <v>17.708271520859597</v>
      </c>
      <c r="V369" s="9" t="str" cm="1">
        <f t="array" aca="1" ref="V369" ca="1">z_score_diff(OFFSET(U369,0,0,$J$5*-1,1),OFFSET(E369,0,0,$J$5*-1,1))</f>
        <v/>
      </c>
      <c r="W369" s="9" t="str">
        <f t="shared" ca="1" si="51"/>
        <v/>
      </c>
      <c r="X369" s="17">
        <f t="shared" ca="1" si="50"/>
        <v>7.6630633431108139E-2</v>
      </c>
      <c r="Y369" s="13">
        <f t="shared" si="58"/>
        <v>0</v>
      </c>
      <c r="Z369" s="13">
        <f t="shared" si="58"/>
        <v>0</v>
      </c>
      <c r="AA369" t="str">
        <f t="shared" ca="1" si="52"/>
        <v/>
      </c>
      <c r="AB369" t="str">
        <f t="shared" ca="1" si="53"/>
        <v/>
      </c>
      <c r="AC369" s="24" t="str">
        <f t="shared" ca="1" si="54"/>
        <v/>
      </c>
      <c r="AD369" s="24" t="str">
        <f t="shared" ca="1" si="55"/>
        <v/>
      </c>
    </row>
    <row r="370" spans="3:30" x14ac:dyDescent="0.25">
      <c r="C370" s="6">
        <v>363</v>
      </c>
      <c r="D370" s="35">
        <v>42523</v>
      </c>
      <c r="E370" s="37">
        <v>16.146999999999998</v>
      </c>
      <c r="F370" s="37">
        <v>45.971175600805232</v>
      </c>
      <c r="G370" s="37">
        <v>32.42</v>
      </c>
      <c r="H370" s="37">
        <v>2.7007286266545525</v>
      </c>
      <c r="I370" s="37">
        <v>50.505050505050505</v>
      </c>
      <c r="J370" s="10">
        <v>0</v>
      </c>
      <c r="K370" s="38">
        <v>0</v>
      </c>
      <c r="L370" s="38">
        <v>0</v>
      </c>
      <c r="M370" s="38">
        <v>0</v>
      </c>
      <c r="N370" s="38">
        <v>0</v>
      </c>
      <c r="O370" s="38">
        <v>1</v>
      </c>
      <c r="P370" s="38">
        <v>0</v>
      </c>
      <c r="Q370" s="38">
        <v>0</v>
      </c>
      <c r="R370" s="38">
        <v>0</v>
      </c>
      <c r="S370" s="38">
        <v>0</v>
      </c>
      <c r="T370" s="38">
        <v>0</v>
      </c>
      <c r="U370" s="29" cm="1">
        <f t="array" aca="1" ref="U370" ca="1">+fair_value_gap(OFFSET(T369,0,0,-1*$J$5,-1*$AA$1),OFFSET(E369,0,0,-1*$J$5,1),F370:T370,0)</f>
        <v>17.171152289957455</v>
      </c>
      <c r="V370" s="9" t="str" cm="1">
        <f t="array" aca="1" ref="V370" ca="1">z_score_diff(OFFSET(U370,0,0,$J$5*-1,1),OFFSET(E370,0,0,$J$5*-1,1))</f>
        <v/>
      </c>
      <c r="W370" s="9" t="str">
        <f t="shared" ca="1" si="51"/>
        <v/>
      </c>
      <c r="X370" s="17">
        <f t="shared" ca="1" si="50"/>
        <v>4.4809821250515386E-2</v>
      </c>
      <c r="Y370" s="13">
        <f t="shared" si="58"/>
        <v>0</v>
      </c>
      <c r="Z370" s="13">
        <f t="shared" si="58"/>
        <v>0</v>
      </c>
      <c r="AA370" t="str">
        <f t="shared" ca="1" si="52"/>
        <v/>
      </c>
      <c r="AB370" t="str">
        <f t="shared" ca="1" si="53"/>
        <v/>
      </c>
      <c r="AC370" s="24" t="str">
        <f t="shared" ca="1" si="54"/>
        <v/>
      </c>
      <c r="AD370" s="24" t="str">
        <f t="shared" ca="1" si="55"/>
        <v/>
      </c>
    </row>
    <row r="371" spans="3:30" x14ac:dyDescent="0.25">
      <c r="C371" s="6">
        <v>364</v>
      </c>
      <c r="D371" s="35">
        <v>42524</v>
      </c>
      <c r="E371" s="37">
        <v>16.126999999999999</v>
      </c>
      <c r="F371" s="37">
        <v>44.716566369051513</v>
      </c>
      <c r="G371" s="37">
        <v>32.79</v>
      </c>
      <c r="H371" s="37">
        <v>2.6431371520721618</v>
      </c>
      <c r="I371" s="37">
        <v>50.869901537896766</v>
      </c>
      <c r="J371" s="10">
        <v>0</v>
      </c>
      <c r="K371" s="38">
        <v>0</v>
      </c>
      <c r="L371" s="38">
        <v>0</v>
      </c>
      <c r="M371" s="38">
        <v>0</v>
      </c>
      <c r="N371" s="38">
        <v>0</v>
      </c>
      <c r="O371" s="38">
        <v>1</v>
      </c>
      <c r="P371" s="38">
        <v>0</v>
      </c>
      <c r="Q371" s="38">
        <v>0</v>
      </c>
      <c r="R371" s="38">
        <v>0</v>
      </c>
      <c r="S371" s="38">
        <v>0</v>
      </c>
      <c r="T371" s="38">
        <v>0</v>
      </c>
      <c r="U371" s="29" cm="1">
        <f t="array" aca="1" ref="U371" ca="1">+fair_value_gap(OFFSET(T370,0,0,-1*$J$5,-1*$AA$1),OFFSET(E370,0,0,-1*$J$5,1),F371:T371,0)</f>
        <v>16.718209424871226</v>
      </c>
      <c r="V371" s="9" t="str" cm="1">
        <f t="array" aca="1" ref="V371" ca="1">z_score_diff(OFFSET(U371,0,0,$J$5*-1,1),OFFSET(E371,0,0,$J$5*-1,1))</f>
        <v/>
      </c>
      <c r="W371" s="9" t="str">
        <f t="shared" ca="1" si="51"/>
        <v/>
      </c>
      <c r="X371" s="17">
        <f t="shared" ca="1" si="50"/>
        <v>5.7764528731048231E-2</v>
      </c>
      <c r="Y371" s="13">
        <f t="shared" si="58"/>
        <v>0</v>
      </c>
      <c r="Z371" s="13">
        <f t="shared" si="58"/>
        <v>0</v>
      </c>
      <c r="AA371" t="str">
        <f t="shared" ca="1" si="52"/>
        <v/>
      </c>
      <c r="AB371" t="str">
        <f t="shared" ca="1" si="53"/>
        <v/>
      </c>
      <c r="AC371" s="24" t="str">
        <f t="shared" ca="1" si="54"/>
        <v/>
      </c>
      <c r="AD371" s="24" t="str">
        <f t="shared" ca="1" si="55"/>
        <v/>
      </c>
    </row>
    <row r="372" spans="3:30" x14ac:dyDescent="0.25">
      <c r="C372" s="6">
        <v>365</v>
      </c>
      <c r="D372" s="35">
        <v>42527</v>
      </c>
      <c r="E372" s="37">
        <v>16.603999999999999</v>
      </c>
      <c r="F372" s="37">
        <v>45.607679451167755</v>
      </c>
      <c r="G372" s="37">
        <v>33.880000000000003</v>
      </c>
      <c r="H372" s="37">
        <v>2.6662816440465877</v>
      </c>
      <c r="I372" s="37">
        <v>52.328074274363615</v>
      </c>
      <c r="J372" s="10">
        <v>0</v>
      </c>
      <c r="K372" s="38">
        <v>0</v>
      </c>
      <c r="L372" s="38">
        <v>0</v>
      </c>
      <c r="M372" s="38">
        <v>0</v>
      </c>
      <c r="N372" s="38">
        <v>0</v>
      </c>
      <c r="O372" s="38">
        <v>1</v>
      </c>
      <c r="P372" s="38">
        <v>0</v>
      </c>
      <c r="Q372" s="38">
        <v>0</v>
      </c>
      <c r="R372" s="38">
        <v>0</v>
      </c>
      <c r="S372" s="38">
        <v>0</v>
      </c>
      <c r="T372" s="38">
        <v>0</v>
      </c>
      <c r="U372" s="29" cm="1">
        <f t="array" aca="1" ref="U372" ca="1">+fair_value_gap(OFFSET(T371,0,0,-1*$J$5,-1*$AA$1),OFFSET(E371,0,0,-1*$J$5,1),F372:T372,0)</f>
        <v>16.973476923855074</v>
      </c>
      <c r="V372" s="9" t="str" cm="1">
        <f t="array" aca="1" ref="V372" ca="1">z_score_diff(OFFSET(U372,0,0,$J$5*-1,1),OFFSET(E372,0,0,$J$5*-1,1))</f>
        <v/>
      </c>
      <c r="W372" s="9" t="str">
        <f t="shared" ca="1" si="51"/>
        <v/>
      </c>
      <c r="X372" s="17">
        <f t="shared" ca="1" si="50"/>
        <v>5.1013202166109044E-2</v>
      </c>
      <c r="Y372" s="13">
        <f t="shared" si="58"/>
        <v>0</v>
      </c>
      <c r="Z372" s="13">
        <f t="shared" si="58"/>
        <v>0</v>
      </c>
      <c r="AA372" t="str">
        <f t="shared" ca="1" si="52"/>
        <v/>
      </c>
      <c r="AB372" t="str">
        <f t="shared" ca="1" si="53"/>
        <v/>
      </c>
      <c r="AC372" s="24" t="str">
        <f t="shared" ca="1" si="54"/>
        <v/>
      </c>
      <c r="AD372" s="24" t="str">
        <f t="shared" ca="1" si="55"/>
        <v/>
      </c>
    </row>
    <row r="373" spans="3:30" x14ac:dyDescent="0.25">
      <c r="C373" s="6">
        <v>366</v>
      </c>
      <c r="D373" s="35">
        <v>42528</v>
      </c>
      <c r="E373" s="37">
        <v>16.826000000000001</v>
      </c>
      <c r="F373" s="37">
        <v>46.401622001278781</v>
      </c>
      <c r="G373" s="37">
        <v>34.29</v>
      </c>
      <c r="H373" s="37">
        <v>2.7184965349665307</v>
      </c>
      <c r="I373" s="37">
        <v>51.562217096614219</v>
      </c>
      <c r="J373" s="10">
        <v>0</v>
      </c>
      <c r="K373" s="38">
        <v>0</v>
      </c>
      <c r="L373" s="38">
        <v>0</v>
      </c>
      <c r="M373" s="38">
        <v>0</v>
      </c>
      <c r="N373" s="38">
        <v>0</v>
      </c>
      <c r="O373" s="38">
        <v>1</v>
      </c>
      <c r="P373" s="38">
        <v>0</v>
      </c>
      <c r="Q373" s="38">
        <v>0</v>
      </c>
      <c r="R373" s="38">
        <v>0</v>
      </c>
      <c r="S373" s="38">
        <v>0</v>
      </c>
      <c r="T373" s="38">
        <v>0</v>
      </c>
      <c r="U373" s="29" cm="1">
        <f t="array" aca="1" ref="U373" ca="1">+fair_value_gap(OFFSET(T372,0,0,-1*$J$5,-1*$AA$1),OFFSET(E372,0,0,-1*$J$5,1),F373:T373,0)</f>
        <v>17.242733239783103</v>
      </c>
      <c r="V373" s="9" t="str" cm="1">
        <f t="array" aca="1" ref="V373" ca="1">z_score_diff(OFFSET(U373,0,0,$J$5*-1,1),OFFSET(E373,0,0,$J$5*-1,1))</f>
        <v/>
      </c>
      <c r="W373" s="9" t="str">
        <f t="shared" ca="1" si="51"/>
        <v/>
      </c>
      <c r="X373" s="17">
        <f t="shared" ca="1" si="50"/>
        <v>1.5802215615204479E-2</v>
      </c>
      <c r="Y373" s="13">
        <f t="shared" si="58"/>
        <v>0</v>
      </c>
      <c r="Z373" s="13">
        <f t="shared" si="58"/>
        <v>0</v>
      </c>
      <c r="AA373" t="str">
        <f t="shared" ca="1" si="52"/>
        <v/>
      </c>
      <c r="AB373" t="str">
        <f t="shared" ca="1" si="53"/>
        <v/>
      </c>
      <c r="AC373" s="24" t="str">
        <f t="shared" ca="1" si="54"/>
        <v/>
      </c>
      <c r="AD373" s="24" t="str">
        <f t="shared" ca="1" si="55"/>
        <v/>
      </c>
    </row>
    <row r="374" spans="3:30" x14ac:dyDescent="0.25">
      <c r="C374" s="6">
        <v>367</v>
      </c>
      <c r="D374" s="35">
        <v>42529</v>
      </c>
      <c r="E374" s="37">
        <v>16.738</v>
      </c>
      <c r="F374" s="37">
        <v>47.157921911644522</v>
      </c>
      <c r="G374" s="37">
        <v>34.42</v>
      </c>
      <c r="H374" s="37">
        <v>2.7176638556812343</v>
      </c>
      <c r="I374" s="37">
        <v>50.14944534713446</v>
      </c>
      <c r="J374" s="10">
        <v>0</v>
      </c>
      <c r="K374" s="38">
        <v>0</v>
      </c>
      <c r="L374" s="38">
        <v>0</v>
      </c>
      <c r="M374" s="38">
        <v>0</v>
      </c>
      <c r="N374" s="38">
        <v>0</v>
      </c>
      <c r="O374" s="38">
        <v>1</v>
      </c>
      <c r="P374" s="38">
        <v>0</v>
      </c>
      <c r="Q374" s="38">
        <v>0</v>
      </c>
      <c r="R374" s="38">
        <v>0</v>
      </c>
      <c r="S374" s="38">
        <v>0</v>
      </c>
      <c r="T374" s="38">
        <v>0</v>
      </c>
      <c r="U374" s="29" cm="1">
        <f t="array" aca="1" ref="U374" ca="1">+fair_value_gap(OFFSET(T373,0,0,-1*$J$5,-1*$AA$1),OFFSET(E373,0,0,-1*$J$5,1),F374:T374,0)</f>
        <v>17.42899245654392</v>
      </c>
      <c r="V374" s="9" t="str" cm="1">
        <f t="array" aca="1" ref="V374" ca="1">z_score_diff(OFFSET(U374,0,0,$J$5*-1,1),OFFSET(E374,0,0,$J$5*-1,1))</f>
        <v/>
      </c>
      <c r="W374" s="9" t="str">
        <f t="shared" ca="1" si="51"/>
        <v/>
      </c>
      <c r="X374" s="17">
        <f t="shared" ca="1" si="50"/>
        <v>1.2704237355315824E-2</v>
      </c>
      <c r="Y374" s="13">
        <f t="shared" si="58"/>
        <v>0</v>
      </c>
      <c r="Z374" s="13">
        <f t="shared" si="58"/>
        <v>0</v>
      </c>
      <c r="AA374" t="str">
        <f t="shared" ca="1" si="52"/>
        <v/>
      </c>
      <c r="AB374" t="str">
        <f t="shared" ca="1" si="53"/>
        <v/>
      </c>
      <c r="AC374" s="24" t="str">
        <f t="shared" ca="1" si="54"/>
        <v/>
      </c>
      <c r="AD374" s="24" t="str">
        <f t="shared" ca="1" si="55"/>
        <v/>
      </c>
    </row>
    <row r="375" spans="3:30" x14ac:dyDescent="0.25">
      <c r="C375" s="6">
        <v>368</v>
      </c>
      <c r="D375" s="35">
        <v>42530</v>
      </c>
      <c r="E375" s="37">
        <v>16.52</v>
      </c>
      <c r="F375" s="37">
        <v>47.042745132138649</v>
      </c>
      <c r="G375" s="37">
        <v>33.74</v>
      </c>
      <c r="H375" s="37">
        <v>2.8352124960146297</v>
      </c>
      <c r="I375" s="37">
        <v>50.19590896754525</v>
      </c>
      <c r="J375" s="10">
        <v>0</v>
      </c>
      <c r="K375" s="38">
        <v>0</v>
      </c>
      <c r="L375" s="38">
        <v>0</v>
      </c>
      <c r="M375" s="38">
        <v>0</v>
      </c>
      <c r="N375" s="38">
        <v>0</v>
      </c>
      <c r="O375" s="38">
        <v>1</v>
      </c>
      <c r="P375" s="38">
        <v>0</v>
      </c>
      <c r="Q375" s="38">
        <v>0</v>
      </c>
      <c r="R375" s="38">
        <v>0</v>
      </c>
      <c r="S375" s="38">
        <v>0</v>
      </c>
      <c r="T375" s="38">
        <v>0</v>
      </c>
      <c r="U375" s="29" cm="1">
        <f t="array" aca="1" ref="U375" ca="1">+fair_value_gap(OFFSET(T374,0,0,-1*$J$5,-1*$AA$1),OFFSET(E374,0,0,-1*$J$5,1),F375:T375,0)</f>
        <v>17.191011185754782</v>
      </c>
      <c r="V375" s="9" t="str" cm="1">
        <f t="array" aca="1" ref="V375" ca="1">z_score_diff(OFFSET(U375,0,0,$J$5*-1,1),OFFSET(E375,0,0,$J$5*-1,1))</f>
        <v/>
      </c>
      <c r="W375" s="9" t="str">
        <f t="shared" ca="1" si="51"/>
        <v/>
      </c>
      <c r="X375" s="17">
        <f t="shared" ca="1" si="50"/>
        <v>4.2196352321200795E-2</v>
      </c>
      <c r="Y375" s="13">
        <f t="shared" si="58"/>
        <v>0</v>
      </c>
      <c r="Z375" s="13">
        <f t="shared" si="58"/>
        <v>0</v>
      </c>
      <c r="AA375" t="str">
        <f t="shared" ca="1" si="52"/>
        <v/>
      </c>
      <c r="AB375" t="str">
        <f t="shared" ca="1" si="53"/>
        <v/>
      </c>
      <c r="AC375" s="24" t="str">
        <f t="shared" ca="1" si="54"/>
        <v/>
      </c>
      <c r="AD375" s="24" t="str">
        <f t="shared" ca="1" si="55"/>
        <v/>
      </c>
    </row>
    <row r="376" spans="3:30" x14ac:dyDescent="0.25">
      <c r="C376" s="6">
        <v>369</v>
      </c>
      <c r="D376" s="35">
        <v>42531</v>
      </c>
      <c r="E376" s="37">
        <v>16.196999999999999</v>
      </c>
      <c r="F376" s="37">
        <v>46.139464527746412</v>
      </c>
      <c r="G376" s="37">
        <v>33.49</v>
      </c>
      <c r="H376" s="37">
        <v>2.8123691227846961</v>
      </c>
      <c r="I376" s="37">
        <v>50.009454084075969</v>
      </c>
      <c r="J376" s="10">
        <v>0</v>
      </c>
      <c r="K376" s="38">
        <v>0</v>
      </c>
      <c r="L376" s="38">
        <v>0</v>
      </c>
      <c r="M376" s="38">
        <v>0</v>
      </c>
      <c r="N376" s="38">
        <v>0</v>
      </c>
      <c r="O376" s="38">
        <v>1</v>
      </c>
      <c r="P376" s="38">
        <v>0</v>
      </c>
      <c r="Q376" s="38">
        <v>0</v>
      </c>
      <c r="R376" s="38">
        <v>0</v>
      </c>
      <c r="S376" s="38">
        <v>0</v>
      </c>
      <c r="T376" s="38">
        <v>0</v>
      </c>
      <c r="U376" s="29" cm="1">
        <f t="array" aca="1" ref="U376" ca="1">+fair_value_gap(OFFSET(T375,0,0,-1*$J$5,-1*$AA$1),OFFSET(E375,0,0,-1*$J$5,1),F376:T376,0)</f>
        <v>16.865140672020637</v>
      </c>
      <c r="V376" s="9" t="str" cm="1">
        <f t="array" aca="1" ref="V376" ca="1">z_score_diff(OFFSET(U376,0,0,$J$5*-1,1),OFFSET(E376,0,0,$J$5*-1,1))</f>
        <v/>
      </c>
      <c r="W376" s="9" t="str">
        <f t="shared" ca="1" si="51"/>
        <v/>
      </c>
      <c r="X376" s="17">
        <f t="shared" ca="1" si="50"/>
        <v>4.4615493928304516E-2</v>
      </c>
      <c r="Y376" s="13">
        <f t="shared" si="58"/>
        <v>0</v>
      </c>
      <c r="Z376" s="13">
        <f t="shared" si="58"/>
        <v>0</v>
      </c>
      <c r="AA376" t="str">
        <f t="shared" ca="1" si="52"/>
        <v/>
      </c>
      <c r="AB376" t="str">
        <f t="shared" ca="1" si="53"/>
        <v/>
      </c>
      <c r="AC376" s="24" t="str">
        <f t="shared" ca="1" si="54"/>
        <v/>
      </c>
      <c r="AD376" s="24" t="str">
        <f t="shared" ca="1" si="55"/>
        <v/>
      </c>
    </row>
    <row r="377" spans="3:30" x14ac:dyDescent="0.25">
      <c r="C377" s="6">
        <v>370</v>
      </c>
      <c r="D377" s="35">
        <v>42534</v>
      </c>
      <c r="E377" s="37">
        <v>16.12</v>
      </c>
      <c r="F377" s="37">
        <v>45.858197757867664</v>
      </c>
      <c r="G377" s="37">
        <v>33.24</v>
      </c>
      <c r="H377" s="37">
        <v>2.800245351478313</v>
      </c>
      <c r="I377" s="37">
        <v>50.029524899918954</v>
      </c>
      <c r="J377" s="10">
        <v>0</v>
      </c>
      <c r="K377" s="38">
        <v>0</v>
      </c>
      <c r="L377" s="38">
        <v>0</v>
      </c>
      <c r="M377" s="38">
        <v>0</v>
      </c>
      <c r="N377" s="38">
        <v>0</v>
      </c>
      <c r="O377" s="38">
        <v>1</v>
      </c>
      <c r="P377" s="38">
        <v>0</v>
      </c>
      <c r="Q377" s="38">
        <v>0</v>
      </c>
      <c r="R377" s="38">
        <v>0</v>
      </c>
      <c r="S377" s="38">
        <v>0</v>
      </c>
      <c r="T377" s="38">
        <v>0</v>
      </c>
      <c r="U377" s="29" cm="1">
        <f t="array" aca="1" ref="U377" ca="1">+fair_value_gap(OFFSET(T376,0,0,-1*$J$5,-1*$AA$1),OFFSET(E376,0,0,-1*$J$5,1),F377:T377,0)</f>
        <v>16.642346591368067</v>
      </c>
      <c r="V377" s="9" t="str" cm="1">
        <f t="array" aca="1" ref="V377" ca="1">z_score_diff(OFFSET(U377,0,0,$J$5*-1,1),OFFSET(E377,0,0,$J$5*-1,1))</f>
        <v/>
      </c>
      <c r="W377" s="9" t="str">
        <f t="shared" ca="1" si="51"/>
        <v/>
      </c>
      <c r="X377" s="17">
        <f t="shared" ca="1" si="50"/>
        <v>4.9085524067612477E-2</v>
      </c>
      <c r="Y377" s="13">
        <f t="shared" ref="Y377:Z392" si="59">+Y376</f>
        <v>0</v>
      </c>
      <c r="Z377" s="13">
        <f t="shared" si="59"/>
        <v>0</v>
      </c>
      <c r="AA377" t="str">
        <f t="shared" ca="1" si="52"/>
        <v/>
      </c>
      <c r="AB377" t="str">
        <f t="shared" ca="1" si="53"/>
        <v/>
      </c>
      <c r="AC377" s="24" t="str">
        <f t="shared" ca="1" si="54"/>
        <v/>
      </c>
      <c r="AD377" s="24" t="str">
        <f t="shared" ca="1" si="55"/>
        <v/>
      </c>
    </row>
    <row r="378" spans="3:30" x14ac:dyDescent="0.25">
      <c r="C378" s="6">
        <v>371</v>
      </c>
      <c r="D378" s="35">
        <v>42535</v>
      </c>
      <c r="E378" s="37">
        <v>16.329999999999998</v>
      </c>
      <c r="F378" s="37">
        <v>45.756791261791612</v>
      </c>
      <c r="G378" s="37">
        <v>32.85</v>
      </c>
      <c r="H378" s="37">
        <v>2.7829987942407262</v>
      </c>
      <c r="I378" s="37">
        <v>51.244769132562588</v>
      </c>
      <c r="J378" s="10">
        <v>0</v>
      </c>
      <c r="K378" s="38">
        <v>0</v>
      </c>
      <c r="L378" s="38">
        <v>0</v>
      </c>
      <c r="M378" s="38">
        <v>0</v>
      </c>
      <c r="N378" s="38">
        <v>0</v>
      </c>
      <c r="O378" s="38">
        <v>1</v>
      </c>
      <c r="P378" s="38">
        <v>0</v>
      </c>
      <c r="Q378" s="38">
        <v>0</v>
      </c>
      <c r="R378" s="38">
        <v>0</v>
      </c>
      <c r="S378" s="38">
        <v>0</v>
      </c>
      <c r="T378" s="38">
        <v>0</v>
      </c>
      <c r="U378" s="29" cm="1">
        <f t="array" aca="1" ref="U378" ca="1">+fair_value_gap(OFFSET(T377,0,0,-1*$J$5,-1*$AA$1),OFFSET(E377,0,0,-1*$J$5,1),F378:T378,0)</f>
        <v>16.347311681570275</v>
      </c>
      <c r="V378" s="9" t="str" cm="1">
        <f t="array" aca="1" ref="V378" ca="1">z_score_diff(OFFSET(U378,0,0,$J$5*-1,1),OFFSET(E378,0,0,$J$5*-1,1))</f>
        <v/>
      </c>
      <c r="W378" s="9" t="str">
        <f t="shared" ca="1" si="51"/>
        <v/>
      </c>
      <c r="X378" s="17">
        <f t="shared" ca="1" si="50"/>
        <v>4.7126634477044294E-2</v>
      </c>
      <c r="Y378" s="13">
        <f t="shared" si="59"/>
        <v>0</v>
      </c>
      <c r="Z378" s="13">
        <f t="shared" si="59"/>
        <v>0</v>
      </c>
      <c r="AA378" t="str">
        <f t="shared" ca="1" si="52"/>
        <v/>
      </c>
      <c r="AB378" t="str">
        <f t="shared" ca="1" si="53"/>
        <v/>
      </c>
      <c r="AC378" s="24" t="str">
        <f t="shared" ca="1" si="54"/>
        <v/>
      </c>
      <c r="AD378" s="24" t="str">
        <f t="shared" ca="1" si="55"/>
        <v/>
      </c>
    </row>
    <row r="379" spans="3:30" x14ac:dyDescent="0.25">
      <c r="C379" s="6">
        <v>372</v>
      </c>
      <c r="D379" s="35">
        <v>42536</v>
      </c>
      <c r="E379" s="37">
        <v>16.427</v>
      </c>
      <c r="F379" s="37">
        <v>44.903271347583441</v>
      </c>
      <c r="G379" s="37">
        <v>33.770000000000003</v>
      </c>
      <c r="H379" s="37">
        <v>2.7423731056846008</v>
      </c>
      <c r="I379" s="37">
        <v>51.573908631681121</v>
      </c>
      <c r="J379" s="10">
        <v>0</v>
      </c>
      <c r="K379" s="38">
        <v>0</v>
      </c>
      <c r="L379" s="38">
        <v>0</v>
      </c>
      <c r="M379" s="38">
        <v>0</v>
      </c>
      <c r="N379" s="38">
        <v>0</v>
      </c>
      <c r="O379" s="38">
        <v>1</v>
      </c>
      <c r="P379" s="38">
        <v>0</v>
      </c>
      <c r="Q379" s="38">
        <v>0</v>
      </c>
      <c r="R379" s="38">
        <v>0</v>
      </c>
      <c r="S379" s="38">
        <v>0</v>
      </c>
      <c r="T379" s="38">
        <v>0</v>
      </c>
      <c r="U379" s="29" cm="1">
        <f t="array" aca="1" ref="U379" ca="1">+fair_value_gap(OFFSET(T378,0,0,-1*$J$5,-1*$AA$1),OFFSET(E378,0,0,-1*$J$5,1),F379:T379,0)</f>
        <v>16.48481018534687</v>
      </c>
      <c r="V379" s="9" t="str" cm="1">
        <f t="array" aca="1" ref="V379" ca="1">z_score_diff(OFFSET(U379,0,0,$J$5*-1,1),OFFSET(E379,0,0,$J$5*-1,1))</f>
        <v/>
      </c>
      <c r="W379" s="9" t="str">
        <f t="shared" ca="1" si="51"/>
        <v/>
      </c>
      <c r="X379" s="17">
        <f t="shared" ca="1" si="50"/>
        <v>3.5345284868302872E-2</v>
      </c>
      <c r="Y379" s="13">
        <f t="shared" si="59"/>
        <v>0</v>
      </c>
      <c r="Z379" s="13">
        <f t="shared" si="59"/>
        <v>0</v>
      </c>
      <c r="AA379" t="str">
        <f t="shared" ca="1" si="52"/>
        <v/>
      </c>
      <c r="AB379" t="str">
        <f t="shared" ca="1" si="53"/>
        <v/>
      </c>
      <c r="AC379" s="24" t="str">
        <f t="shared" ca="1" si="54"/>
        <v/>
      </c>
      <c r="AD379" s="24" t="str">
        <f t="shared" ca="1" si="55"/>
        <v/>
      </c>
    </row>
    <row r="380" spans="3:30" x14ac:dyDescent="0.25">
      <c r="C380" s="6">
        <v>373</v>
      </c>
      <c r="D380" s="35">
        <v>42537</v>
      </c>
      <c r="E380" s="37">
        <v>16.41</v>
      </c>
      <c r="F380" s="37">
        <v>43.555093831051892</v>
      </c>
      <c r="G380" s="37">
        <v>33.81</v>
      </c>
      <c r="H380" s="37">
        <v>2.7405551725877229</v>
      </c>
      <c r="I380" s="37">
        <v>52.342214549100355</v>
      </c>
      <c r="J380" s="10">
        <v>0</v>
      </c>
      <c r="K380" s="38">
        <v>0</v>
      </c>
      <c r="L380" s="38">
        <v>0</v>
      </c>
      <c r="M380" s="38">
        <v>0</v>
      </c>
      <c r="N380" s="38">
        <v>0</v>
      </c>
      <c r="O380" s="38">
        <v>1</v>
      </c>
      <c r="P380" s="38">
        <v>0</v>
      </c>
      <c r="Q380" s="38">
        <v>0</v>
      </c>
      <c r="R380" s="38">
        <v>0</v>
      </c>
      <c r="S380" s="38">
        <v>0</v>
      </c>
      <c r="T380" s="38">
        <v>0</v>
      </c>
      <c r="U380" s="29" cm="1">
        <f t="array" aca="1" ref="U380" ca="1">+fair_value_gap(OFFSET(T379,0,0,-1*$J$5,-1*$AA$1),OFFSET(E379,0,0,-1*$J$5,1),F380:T380,0)</f>
        <v>16.262448726739631</v>
      </c>
      <c r="V380" s="9" t="str" cm="1">
        <f t="array" aca="1" ref="V380" ca="1">z_score_diff(OFFSET(U380,0,0,$J$5*-1,1),OFFSET(E380,0,0,$J$5*-1,1))</f>
        <v/>
      </c>
      <c r="W380" s="9" t="str">
        <f t="shared" ca="1" si="51"/>
        <v/>
      </c>
      <c r="X380" s="17">
        <f t="shared" ca="1" si="50"/>
        <v>3.6086852598001116E-2</v>
      </c>
      <c r="Y380" s="13">
        <f t="shared" si="59"/>
        <v>0</v>
      </c>
      <c r="Z380" s="13">
        <f t="shared" si="59"/>
        <v>0</v>
      </c>
      <c r="AA380" t="str">
        <f t="shared" ca="1" si="52"/>
        <v/>
      </c>
      <c r="AB380" t="str">
        <f t="shared" ca="1" si="53"/>
        <v/>
      </c>
      <c r="AC380" s="24" t="str">
        <f t="shared" ca="1" si="54"/>
        <v/>
      </c>
      <c r="AD380" s="24" t="str">
        <f t="shared" ca="1" si="55"/>
        <v/>
      </c>
    </row>
    <row r="381" spans="3:30" x14ac:dyDescent="0.25">
      <c r="C381" s="6">
        <v>374</v>
      </c>
      <c r="D381" s="35">
        <v>42538</v>
      </c>
      <c r="E381" s="37">
        <v>16.773</v>
      </c>
      <c r="F381" s="37">
        <v>45.030720782223788</v>
      </c>
      <c r="G381" s="37">
        <v>34.15</v>
      </c>
      <c r="H381" s="37">
        <v>2.7598053249355856</v>
      </c>
      <c r="I381" s="37">
        <v>53.073179325684336</v>
      </c>
      <c r="J381" s="10">
        <v>0</v>
      </c>
      <c r="K381" s="38">
        <v>0</v>
      </c>
      <c r="L381" s="38">
        <v>0</v>
      </c>
      <c r="M381" s="38">
        <v>0</v>
      </c>
      <c r="N381" s="38">
        <v>0</v>
      </c>
      <c r="O381" s="38">
        <v>1</v>
      </c>
      <c r="P381" s="38">
        <v>0</v>
      </c>
      <c r="Q381" s="38">
        <v>0</v>
      </c>
      <c r="R381" s="38">
        <v>0</v>
      </c>
      <c r="S381" s="38">
        <v>0</v>
      </c>
      <c r="T381" s="38">
        <v>0</v>
      </c>
      <c r="U381" s="29" cm="1">
        <f t="array" aca="1" ref="U381" ca="1">+fair_value_gap(OFFSET(T380,0,0,-1*$J$5,-1*$AA$1),OFFSET(E380,0,0,-1*$J$5,1),F381:T381,0)</f>
        <v>16.563960236534612</v>
      </c>
      <c r="V381" s="9" t="str" cm="1">
        <f t="array" aca="1" ref="V381" ca="1">z_score_diff(OFFSET(U381,0,0,$J$5*-1,1),OFFSET(E381,0,0,$J$5*-1,1))</f>
        <v/>
      </c>
      <c r="W381" s="9" t="str">
        <f t="shared" ca="1" si="51"/>
        <v/>
      </c>
      <c r="X381" s="17">
        <f t="shared" ca="1" si="50"/>
        <v>9.0403934479726347E-2</v>
      </c>
      <c r="Y381" s="13">
        <f t="shared" si="59"/>
        <v>0</v>
      </c>
      <c r="Z381" s="13">
        <f t="shared" si="59"/>
        <v>0</v>
      </c>
      <c r="AA381" t="str">
        <f t="shared" ca="1" si="52"/>
        <v/>
      </c>
      <c r="AB381" t="str">
        <f t="shared" ca="1" si="53"/>
        <v/>
      </c>
      <c r="AC381" s="24" t="str">
        <f t="shared" ca="1" si="54"/>
        <v/>
      </c>
      <c r="AD381" s="24" t="str">
        <f t="shared" ca="1" si="55"/>
        <v/>
      </c>
    </row>
    <row r="382" spans="3:30" x14ac:dyDescent="0.25">
      <c r="C382" s="6">
        <v>375</v>
      </c>
      <c r="D382" s="35">
        <v>42541</v>
      </c>
      <c r="E382" s="37">
        <v>17.472999999999999</v>
      </c>
      <c r="F382" s="37">
        <v>46.255582077960639</v>
      </c>
      <c r="G382" s="37">
        <v>35.090000000000003</v>
      </c>
      <c r="H382" s="37">
        <v>2.8166267073493221</v>
      </c>
      <c r="I382" s="37">
        <v>55.875688891895479</v>
      </c>
      <c r="J382" s="10">
        <v>0</v>
      </c>
      <c r="K382" s="38">
        <v>0</v>
      </c>
      <c r="L382" s="38">
        <v>0</v>
      </c>
      <c r="M382" s="38">
        <v>0</v>
      </c>
      <c r="N382" s="38">
        <v>0</v>
      </c>
      <c r="O382" s="38">
        <v>1</v>
      </c>
      <c r="P382" s="38">
        <v>0</v>
      </c>
      <c r="Q382" s="38">
        <v>0</v>
      </c>
      <c r="R382" s="38">
        <v>0</v>
      </c>
      <c r="S382" s="38">
        <v>0</v>
      </c>
      <c r="T382" s="38">
        <v>0</v>
      </c>
      <c r="U382" s="29" cm="1">
        <f t="array" aca="1" ref="U382" ca="1">+fair_value_gap(OFFSET(T381,0,0,-1*$J$5,-1*$AA$1),OFFSET(E381,0,0,-1*$J$5,1),F382:T382,0)</f>
        <v>17.014315013836001</v>
      </c>
      <c r="V382" s="9" t="str" cm="1">
        <f t="array" aca="1" ref="V382" ca="1">z_score_diff(OFFSET(U382,0,0,$J$5*-1,1),OFFSET(E382,0,0,$J$5*-1,1))</f>
        <v/>
      </c>
      <c r="W382" s="9" t="str">
        <f t="shared" ca="1" si="51"/>
        <v/>
      </c>
      <c r="X382" s="17">
        <f t="shared" ca="1" si="50"/>
        <v>1.0248908250244633E-2</v>
      </c>
      <c r="Y382" s="13">
        <f t="shared" si="59"/>
        <v>0</v>
      </c>
      <c r="Z382" s="13">
        <f t="shared" si="59"/>
        <v>0</v>
      </c>
      <c r="AA382" t="str">
        <f t="shared" ca="1" si="52"/>
        <v/>
      </c>
      <c r="AB382" t="str">
        <f t="shared" ca="1" si="53"/>
        <v/>
      </c>
      <c r="AC382" s="24" t="str">
        <f t="shared" ca="1" si="54"/>
        <v/>
      </c>
      <c r="AD382" s="24" t="str">
        <f t="shared" ca="1" si="55"/>
        <v/>
      </c>
    </row>
    <row r="383" spans="3:30" x14ac:dyDescent="0.25">
      <c r="C383" s="6">
        <v>376</v>
      </c>
      <c r="D383" s="35">
        <v>42542</v>
      </c>
      <c r="E383" s="37">
        <v>17.186</v>
      </c>
      <c r="F383" s="37">
        <v>46.603938978354002</v>
      </c>
      <c r="G383" s="37">
        <v>34.68</v>
      </c>
      <c r="H383" s="37">
        <v>2.8497858021462203</v>
      </c>
      <c r="I383" s="37">
        <v>53.991290701126836</v>
      </c>
      <c r="J383" s="10">
        <v>0</v>
      </c>
      <c r="K383" s="38">
        <v>0</v>
      </c>
      <c r="L383" s="38">
        <v>0</v>
      </c>
      <c r="M383" s="38">
        <v>0</v>
      </c>
      <c r="N383" s="38">
        <v>0</v>
      </c>
      <c r="O383" s="38">
        <v>1</v>
      </c>
      <c r="P383" s="38">
        <v>0</v>
      </c>
      <c r="Q383" s="38">
        <v>0</v>
      </c>
      <c r="R383" s="38">
        <v>0</v>
      </c>
      <c r="S383" s="38">
        <v>0</v>
      </c>
      <c r="T383" s="38">
        <v>0</v>
      </c>
      <c r="U383" s="29" cm="1">
        <f t="array" aca="1" ref="U383" ca="1">+fair_value_gap(OFFSET(T382,0,0,-1*$J$5,-1*$AA$1),OFFSET(E382,0,0,-1*$J$5,1),F383:T383,0)</f>
        <v>17.028064550534737</v>
      </c>
      <c r="V383" s="9" t="str" cm="1">
        <f t="array" aca="1" ref="V383" ca="1">z_score_diff(OFFSET(U383,0,0,$J$5*-1,1),OFFSET(E383,0,0,$J$5*-1,1))</f>
        <v/>
      </c>
      <c r="W383" s="9" t="str">
        <f t="shared" ca="1" si="51"/>
        <v/>
      </c>
      <c r="X383" s="17">
        <f t="shared" ca="1" si="50"/>
        <v>2.4258245333129265E-2</v>
      </c>
      <c r="Y383" s="13">
        <f t="shared" si="59"/>
        <v>0</v>
      </c>
      <c r="Z383" s="13">
        <f t="shared" si="59"/>
        <v>0</v>
      </c>
      <c r="AA383" t="str">
        <f t="shared" ca="1" si="52"/>
        <v/>
      </c>
      <c r="AB383" t="str">
        <f t="shared" ca="1" si="53"/>
        <v/>
      </c>
      <c r="AC383" s="24" t="str">
        <f t="shared" ca="1" si="54"/>
        <v/>
      </c>
      <c r="AD383" s="24" t="str">
        <f t="shared" ca="1" si="55"/>
        <v/>
      </c>
    </row>
    <row r="384" spans="3:30" x14ac:dyDescent="0.25">
      <c r="C384" s="6">
        <v>377</v>
      </c>
      <c r="D384" s="35">
        <v>42543</v>
      </c>
      <c r="E384" s="37">
        <v>18.018999999999998</v>
      </c>
      <c r="F384" s="37">
        <v>45.750079219966416</v>
      </c>
      <c r="G384" s="37">
        <v>35.72</v>
      </c>
      <c r="H384" s="37">
        <v>2.7887183745555126</v>
      </c>
      <c r="I384" s="37">
        <v>54.949250943397885</v>
      </c>
      <c r="J384" s="10">
        <v>0</v>
      </c>
      <c r="K384" s="38">
        <v>0</v>
      </c>
      <c r="L384" s="38">
        <v>0</v>
      </c>
      <c r="M384" s="38">
        <v>0</v>
      </c>
      <c r="N384" s="38">
        <v>0</v>
      </c>
      <c r="O384" s="38">
        <v>1</v>
      </c>
      <c r="P384" s="38">
        <v>0</v>
      </c>
      <c r="Q384" s="38">
        <v>0</v>
      </c>
      <c r="R384" s="38">
        <v>0</v>
      </c>
      <c r="S384" s="38">
        <v>0</v>
      </c>
      <c r="T384" s="38">
        <v>0</v>
      </c>
      <c r="U384" s="29" cm="1">
        <f t="array" aca="1" ref="U384" ca="1">+fair_value_gap(OFFSET(T383,0,0,-1*$J$5,-1*$AA$1),OFFSET(E383,0,0,-1*$J$5,1),F384:T384,0)</f>
        <v>17.186930218026255</v>
      </c>
      <c r="V384" s="9" t="str" cm="1">
        <f t="array" aca="1" ref="V384" ca="1">z_score_diff(OFFSET(U384,0,0,$J$5*-1,1),OFFSET(E384,0,0,$J$5*-1,1))</f>
        <v/>
      </c>
      <c r="W384" s="9" t="str">
        <f t="shared" ca="1" si="51"/>
        <v/>
      </c>
      <c r="X384" s="17">
        <f t="shared" ca="1" si="50"/>
        <v>-2.0974299617443685E-2</v>
      </c>
      <c r="Y384" s="13">
        <f t="shared" si="59"/>
        <v>0</v>
      </c>
      <c r="Z384" s="13">
        <f t="shared" si="59"/>
        <v>0</v>
      </c>
      <c r="AA384" t="str">
        <f t="shared" ca="1" si="52"/>
        <v/>
      </c>
      <c r="AB384" t="str">
        <f t="shared" ca="1" si="53"/>
        <v/>
      </c>
      <c r="AC384" s="24" t="str">
        <f t="shared" ca="1" si="54"/>
        <v/>
      </c>
      <c r="AD384" s="24" t="str">
        <f t="shared" ca="1" si="55"/>
        <v/>
      </c>
    </row>
    <row r="385" spans="3:30" x14ac:dyDescent="0.25">
      <c r="C385" s="6">
        <v>378</v>
      </c>
      <c r="D385" s="35">
        <v>42544</v>
      </c>
      <c r="E385" s="37">
        <v>17.654</v>
      </c>
      <c r="F385" s="37">
        <v>46.242573439226163</v>
      </c>
      <c r="G385" s="37">
        <v>36.5</v>
      </c>
      <c r="H385" s="37">
        <v>2.7853408606546686</v>
      </c>
      <c r="I385" s="37">
        <v>53.671308901434429</v>
      </c>
      <c r="J385" s="10">
        <v>0</v>
      </c>
      <c r="K385" s="38">
        <v>0</v>
      </c>
      <c r="L385" s="38">
        <v>0</v>
      </c>
      <c r="M385" s="38">
        <v>0</v>
      </c>
      <c r="N385" s="38">
        <v>0</v>
      </c>
      <c r="O385" s="38">
        <v>1</v>
      </c>
      <c r="P385" s="38">
        <v>0</v>
      </c>
      <c r="Q385" s="38">
        <v>0</v>
      </c>
      <c r="R385" s="38">
        <v>0</v>
      </c>
      <c r="S385" s="38">
        <v>0</v>
      </c>
      <c r="T385" s="38">
        <v>0</v>
      </c>
      <c r="U385" s="29" cm="1">
        <f t="array" aca="1" ref="U385" ca="1">+fair_value_gap(OFFSET(T384,0,0,-1*$J$5,-1*$AA$1),OFFSET(E384,0,0,-1*$J$5,1),F385:T385,0)</f>
        <v>17.465656438723421</v>
      </c>
      <c r="V385" s="9" t="str" cm="1">
        <f t="array" aca="1" ref="V385" ca="1">z_score_diff(OFFSET(U385,0,0,$J$5*-1,1),OFFSET(E385,0,0,$J$5*-1,1))</f>
        <v/>
      </c>
      <c r="W385" s="9" t="str">
        <f t="shared" ca="1" si="51"/>
        <v/>
      </c>
      <c r="X385" s="17">
        <f t="shared" ca="1" si="50"/>
        <v>9.9761289538684381E-3</v>
      </c>
      <c r="Y385" s="13">
        <f t="shared" si="59"/>
        <v>0</v>
      </c>
      <c r="Z385" s="13">
        <f t="shared" si="59"/>
        <v>0</v>
      </c>
      <c r="AA385" t="str">
        <f t="shared" ca="1" si="52"/>
        <v/>
      </c>
      <c r="AB385" t="str">
        <f t="shared" ca="1" si="53"/>
        <v/>
      </c>
      <c r="AC385" s="24" t="str">
        <f t="shared" ca="1" si="54"/>
        <v/>
      </c>
      <c r="AD385" s="24" t="str">
        <f t="shared" ca="1" si="55"/>
        <v/>
      </c>
    </row>
    <row r="386" spans="3:30" x14ac:dyDescent="0.25">
      <c r="C386" s="6">
        <v>379</v>
      </c>
      <c r="D386" s="35">
        <v>42545</v>
      </c>
      <c r="E386" s="37">
        <v>17.321999999999999</v>
      </c>
      <c r="F386" s="37">
        <v>45.324824926145617</v>
      </c>
      <c r="G386" s="37">
        <v>35.72</v>
      </c>
      <c r="H386" s="37">
        <v>2.8439984019864095</v>
      </c>
      <c r="I386" s="37">
        <v>53.655276938263285</v>
      </c>
      <c r="J386" s="10">
        <v>0</v>
      </c>
      <c r="K386" s="38">
        <v>0</v>
      </c>
      <c r="L386" s="38">
        <v>0</v>
      </c>
      <c r="M386" s="38">
        <v>0</v>
      </c>
      <c r="N386" s="38">
        <v>0</v>
      </c>
      <c r="O386" s="38">
        <v>1</v>
      </c>
      <c r="P386" s="38">
        <v>0</v>
      </c>
      <c r="Q386" s="38">
        <v>0</v>
      </c>
      <c r="R386" s="38">
        <v>0</v>
      </c>
      <c r="S386" s="38">
        <v>0</v>
      </c>
      <c r="T386" s="38">
        <v>0</v>
      </c>
      <c r="U386" s="29" cm="1">
        <f t="array" aca="1" ref="U386" ca="1">+fair_value_gap(OFFSET(T385,0,0,-1*$J$5,-1*$AA$1),OFFSET(E385,0,0,-1*$J$5,1),F386:T386,0)</f>
        <v>17.256801488845447</v>
      </c>
      <c r="V386" s="9" t="str" cm="1">
        <f t="array" aca="1" ref="V386" ca="1">z_score_diff(OFFSET(U386,0,0,$J$5*-1,1),OFFSET(E386,0,0,$J$5*-1,1))</f>
        <v/>
      </c>
      <c r="W386" s="9" t="str">
        <f t="shared" ca="1" si="51"/>
        <v/>
      </c>
      <c r="X386" s="17">
        <f t="shared" ca="1" si="50"/>
        <v>1.5182622845374043E-2</v>
      </c>
      <c r="Y386" s="13">
        <f t="shared" si="59"/>
        <v>0</v>
      </c>
      <c r="Z386" s="13">
        <f t="shared" si="59"/>
        <v>0</v>
      </c>
      <c r="AA386" t="str">
        <f t="shared" ca="1" si="52"/>
        <v/>
      </c>
      <c r="AB386" t="str">
        <f t="shared" ca="1" si="53"/>
        <v/>
      </c>
      <c r="AC386" s="24" t="str">
        <f t="shared" ca="1" si="54"/>
        <v/>
      </c>
      <c r="AD386" s="24" t="str">
        <f t="shared" ca="1" si="55"/>
        <v/>
      </c>
    </row>
    <row r="387" spans="3:30" x14ac:dyDescent="0.25">
      <c r="C387" s="6">
        <v>380</v>
      </c>
      <c r="D387" s="35">
        <v>42548</v>
      </c>
      <c r="E387" s="37">
        <v>16.672999999999998</v>
      </c>
      <c r="F387" s="37">
        <v>44.580153222302158</v>
      </c>
      <c r="G387" s="37">
        <v>34.86</v>
      </c>
      <c r="H387" s="37">
        <v>2.8794541838631567</v>
      </c>
      <c r="I387" s="37">
        <v>53.054439173558791</v>
      </c>
      <c r="J387" s="10">
        <v>0</v>
      </c>
      <c r="K387" s="38">
        <v>0</v>
      </c>
      <c r="L387" s="38">
        <v>0</v>
      </c>
      <c r="M387" s="38">
        <v>0</v>
      </c>
      <c r="N387" s="38">
        <v>0</v>
      </c>
      <c r="O387" s="38">
        <v>1</v>
      </c>
      <c r="P387" s="38">
        <v>0</v>
      </c>
      <c r="Q387" s="38">
        <v>0</v>
      </c>
      <c r="R387" s="38">
        <v>0</v>
      </c>
      <c r="S387" s="38">
        <v>0</v>
      </c>
      <c r="T387" s="38">
        <v>0</v>
      </c>
      <c r="U387" s="29" cm="1">
        <f t="array" aca="1" ref="U387" ca="1">+fair_value_gap(OFFSET(T386,0,0,-1*$J$5,-1*$AA$1),OFFSET(E386,0,0,-1*$J$5,1),F387:T387,0)</f>
        <v>16.989118888183629</v>
      </c>
      <c r="V387" s="9" t="str" cm="1">
        <f t="array" aca="1" ref="V387" ca="1">z_score_diff(OFFSET(U387,0,0,$J$5*-1,1),OFFSET(E387,0,0,$J$5*-1,1))</f>
        <v/>
      </c>
      <c r="W387" s="9" t="str">
        <f t="shared" ca="1" si="51"/>
        <v/>
      </c>
      <c r="X387" s="17">
        <f t="shared" ca="1" si="50"/>
        <v>4.9095715642240093E-2</v>
      </c>
      <c r="Y387" s="13">
        <f t="shared" si="59"/>
        <v>0</v>
      </c>
      <c r="Z387" s="13">
        <f t="shared" si="59"/>
        <v>0</v>
      </c>
      <c r="AA387" t="str">
        <f t="shared" ca="1" si="52"/>
        <v/>
      </c>
      <c r="AB387" t="str">
        <f t="shared" ca="1" si="53"/>
        <v/>
      </c>
      <c r="AC387" s="24" t="str">
        <f t="shared" ca="1" si="54"/>
        <v/>
      </c>
      <c r="AD387" s="24" t="str">
        <f t="shared" ca="1" si="55"/>
        <v/>
      </c>
    </row>
    <row r="388" spans="3:30" x14ac:dyDescent="0.25">
      <c r="C388" s="6">
        <v>381</v>
      </c>
      <c r="D388" s="35">
        <v>42549</v>
      </c>
      <c r="E388" s="37">
        <v>16.640999999999998</v>
      </c>
      <c r="F388" s="37">
        <v>45.830575926196971</v>
      </c>
      <c r="G388" s="37">
        <v>34.69</v>
      </c>
      <c r="H388" s="37">
        <v>2.9595920504064499</v>
      </c>
      <c r="I388" s="37">
        <v>53.112824569642449</v>
      </c>
      <c r="J388" s="10">
        <v>0</v>
      </c>
      <c r="K388" s="38">
        <v>0</v>
      </c>
      <c r="L388" s="38">
        <v>0</v>
      </c>
      <c r="M388" s="38">
        <v>0</v>
      </c>
      <c r="N388" s="38">
        <v>0</v>
      </c>
      <c r="O388" s="38">
        <v>1</v>
      </c>
      <c r="P388" s="38">
        <v>0</v>
      </c>
      <c r="Q388" s="38">
        <v>0</v>
      </c>
      <c r="R388" s="38">
        <v>0</v>
      </c>
      <c r="S388" s="38">
        <v>0</v>
      </c>
      <c r="T388" s="38">
        <v>0</v>
      </c>
      <c r="U388" s="29" cm="1">
        <f t="array" aca="1" ref="U388" ca="1">+fair_value_gap(OFFSET(T387,0,0,-1*$J$5,-1*$AA$1),OFFSET(E387,0,0,-1*$J$5,1),F388:T388,0)</f>
        <v>17.123547145667871</v>
      </c>
      <c r="V388" s="9" t="str" cm="1">
        <f t="array" aca="1" ref="V388" ca="1">z_score_diff(OFFSET(U388,0,0,$J$5*-1,1),OFFSET(E388,0,0,$J$5*-1,1))</f>
        <v/>
      </c>
      <c r="W388" s="9" t="str">
        <f t="shared" ca="1" si="51"/>
        <v/>
      </c>
      <c r="X388" s="17">
        <f t="shared" ca="1" si="50"/>
        <v>4.2529567696140046E-2</v>
      </c>
      <c r="Y388" s="13">
        <f t="shared" si="59"/>
        <v>0</v>
      </c>
      <c r="Z388" s="13">
        <f t="shared" si="59"/>
        <v>0</v>
      </c>
      <c r="AA388" t="str">
        <f t="shared" ca="1" si="52"/>
        <v/>
      </c>
      <c r="AB388" t="str">
        <f t="shared" ca="1" si="53"/>
        <v/>
      </c>
      <c r="AC388" s="24" t="str">
        <f t="shared" ca="1" si="54"/>
        <v/>
      </c>
      <c r="AD388" s="24" t="str">
        <f t="shared" ca="1" si="55"/>
        <v/>
      </c>
    </row>
    <row r="389" spans="3:30" x14ac:dyDescent="0.25">
      <c r="C389" s="6">
        <v>382</v>
      </c>
      <c r="D389" s="35">
        <v>42550</v>
      </c>
      <c r="E389" s="37">
        <v>17.067</v>
      </c>
      <c r="F389" s="37">
        <v>47.460213101984522</v>
      </c>
      <c r="G389" s="37">
        <v>34.590000000000003</v>
      </c>
      <c r="H389" s="37">
        <v>3.0452073492314176</v>
      </c>
      <c r="I389" s="37">
        <v>52.971779351546807</v>
      </c>
      <c r="J389" s="10">
        <v>0</v>
      </c>
      <c r="K389" s="38">
        <v>0</v>
      </c>
      <c r="L389" s="38">
        <v>0</v>
      </c>
      <c r="M389" s="38">
        <v>0</v>
      </c>
      <c r="N389" s="38">
        <v>0</v>
      </c>
      <c r="O389" s="38">
        <v>1</v>
      </c>
      <c r="P389" s="38">
        <v>0</v>
      </c>
      <c r="Q389" s="38">
        <v>0</v>
      </c>
      <c r="R389" s="38">
        <v>0</v>
      </c>
      <c r="S389" s="38">
        <v>0</v>
      </c>
      <c r="T389" s="38">
        <v>0</v>
      </c>
      <c r="U389" s="29" cm="1">
        <f t="array" aca="1" ref="U389" ca="1">+fair_value_gap(OFFSET(T388,0,0,-1*$J$5,-1*$AA$1),OFFSET(E388,0,0,-1*$J$5,1),F389:T389,0)</f>
        <v>17.293957184014211</v>
      </c>
      <c r="V389" s="9" t="str" cm="1">
        <f t="array" aca="1" ref="V389" ca="1">z_score_diff(OFFSET(U389,0,0,$J$5*-1,1),OFFSET(E389,0,0,$J$5*-1,1))</f>
        <v/>
      </c>
      <c r="W389" s="9" t="str">
        <f t="shared" ca="1" si="51"/>
        <v/>
      </c>
      <c r="X389" s="17">
        <f t="shared" ca="1" si="50"/>
        <v>1.2113595217113478E-2</v>
      </c>
      <c r="Y389" s="13">
        <f t="shared" si="59"/>
        <v>0</v>
      </c>
      <c r="Z389" s="13">
        <f t="shared" si="59"/>
        <v>0</v>
      </c>
      <c r="AA389" t="str">
        <f t="shared" ca="1" si="52"/>
        <v/>
      </c>
      <c r="AB389" t="str">
        <f t="shared" ca="1" si="53"/>
        <v/>
      </c>
      <c r="AC389" s="24" t="str">
        <f t="shared" ca="1" si="54"/>
        <v/>
      </c>
      <c r="AD389" s="24" t="str">
        <f t="shared" ca="1" si="55"/>
        <v/>
      </c>
    </row>
    <row r="390" spans="3:30" x14ac:dyDescent="0.25">
      <c r="C390" s="6">
        <v>383</v>
      </c>
      <c r="D390" s="35">
        <v>42551</v>
      </c>
      <c r="E390" s="37">
        <v>16.887</v>
      </c>
      <c r="F390" s="37">
        <v>46.034035498429311</v>
      </c>
      <c r="G390" s="37">
        <v>35.619999999999997</v>
      </c>
      <c r="H390" s="37">
        <v>3.0814546683680542</v>
      </c>
      <c r="I390" s="37">
        <v>53.608011424452947</v>
      </c>
      <c r="J390" s="10">
        <v>0</v>
      </c>
      <c r="K390" s="38">
        <v>0</v>
      </c>
      <c r="L390" s="38">
        <v>0</v>
      </c>
      <c r="M390" s="38">
        <v>0</v>
      </c>
      <c r="N390" s="38">
        <v>0</v>
      </c>
      <c r="O390" s="38">
        <v>1</v>
      </c>
      <c r="P390" s="38">
        <v>0</v>
      </c>
      <c r="Q390" s="38">
        <v>0</v>
      </c>
      <c r="R390" s="38">
        <v>0</v>
      </c>
      <c r="S390" s="38">
        <v>0</v>
      </c>
      <c r="T390" s="38">
        <v>0</v>
      </c>
      <c r="U390" s="29" cm="1">
        <f t="array" aca="1" ref="U390" ca="1">+fair_value_gap(OFFSET(T389,0,0,-1*$J$5,-1*$AA$1),OFFSET(E389,0,0,-1*$J$5,1),F390:T390,0)</f>
        <v>17.483354871969482</v>
      </c>
      <c r="V390" s="9" t="str" cm="1">
        <f t="array" aca="1" ref="V390" ca="1">z_score_diff(OFFSET(U390,0,0,$J$5*-1,1),OFFSET(E390,0,0,$J$5*-1,1))</f>
        <v/>
      </c>
      <c r="W390" s="9" t="str">
        <f t="shared" ca="1" si="51"/>
        <v/>
      </c>
      <c r="X390" s="17">
        <f t="shared" ca="1" si="50"/>
        <v>7.5512128028699362E-3</v>
      </c>
      <c r="Y390" s="13">
        <f t="shared" si="59"/>
        <v>0</v>
      </c>
      <c r="Z390" s="13">
        <f t="shared" si="59"/>
        <v>0</v>
      </c>
      <c r="AA390" t="str">
        <f t="shared" ca="1" si="52"/>
        <v/>
      </c>
      <c r="AB390" t="str">
        <f t="shared" ca="1" si="53"/>
        <v/>
      </c>
      <c r="AC390" s="24" t="str">
        <f t="shared" ca="1" si="54"/>
        <v/>
      </c>
      <c r="AD390" s="24" t="str">
        <f t="shared" ca="1" si="55"/>
        <v/>
      </c>
    </row>
    <row r="391" spans="3:30" x14ac:dyDescent="0.25">
      <c r="C391" s="6">
        <v>384</v>
      </c>
      <c r="D391" s="35">
        <v>42552</v>
      </c>
      <c r="E391" s="37">
        <v>17.085999999999999</v>
      </c>
      <c r="F391" s="37">
        <v>47.009027231524136</v>
      </c>
      <c r="G391" s="37">
        <v>35.97</v>
      </c>
      <c r="H391" s="37">
        <v>3.114314609988281</v>
      </c>
      <c r="I391" s="37">
        <v>54.848324316803918</v>
      </c>
      <c r="J391" s="10">
        <v>0</v>
      </c>
      <c r="K391" s="38">
        <v>0</v>
      </c>
      <c r="L391" s="38">
        <v>0</v>
      </c>
      <c r="M391" s="38">
        <v>0</v>
      </c>
      <c r="N391" s="38">
        <v>0</v>
      </c>
      <c r="O391" s="38">
        <v>0</v>
      </c>
      <c r="P391" s="38">
        <v>1</v>
      </c>
      <c r="Q391" s="38">
        <v>0</v>
      </c>
      <c r="R391" s="38">
        <v>0</v>
      </c>
      <c r="S391" s="38">
        <v>0</v>
      </c>
      <c r="T391" s="38">
        <v>0</v>
      </c>
      <c r="U391" s="29" cm="1">
        <f t="array" aca="1" ref="U391" ca="1">+fair_value_gap(OFFSET(T390,0,0,-1*$J$5,-1*$AA$1),OFFSET(E390,0,0,-1*$J$5,1),F391:T391,0)</f>
        <v>19.189822743503978</v>
      </c>
      <c r="V391" s="9" t="str" cm="1">
        <f t="array" aca="1" ref="V391" ca="1">z_score_diff(OFFSET(U391,0,0,$J$5*-1,1),OFFSET(E391,0,0,$J$5*-1,1))</f>
        <v/>
      </c>
      <c r="W391" s="9" t="str">
        <f t="shared" ca="1" si="51"/>
        <v/>
      </c>
      <c r="X391" s="17">
        <f t="shared" ref="X391:X454" ca="1" si="60">+LN(OFFSET(E391,$X$3,0,1,1)/E391)</f>
        <v>-1.7475943639977468E-2</v>
      </c>
      <c r="Y391" s="13">
        <f t="shared" si="59"/>
        <v>0</v>
      </c>
      <c r="Z391" s="13">
        <f t="shared" si="59"/>
        <v>0</v>
      </c>
      <c r="AA391" t="str">
        <f t="shared" ca="1" si="52"/>
        <v/>
      </c>
      <c r="AB391" t="str">
        <f t="shared" ca="1" si="53"/>
        <v/>
      </c>
      <c r="AC391" s="24" t="str">
        <f t="shared" ca="1" si="54"/>
        <v/>
      </c>
      <c r="AD391" s="24" t="str">
        <f t="shared" ca="1" si="55"/>
        <v/>
      </c>
    </row>
    <row r="392" spans="3:30" x14ac:dyDescent="0.25">
      <c r="C392" s="6">
        <v>385</v>
      </c>
      <c r="D392" s="35">
        <v>42555</v>
      </c>
      <c r="E392" s="37">
        <v>17.472999999999999</v>
      </c>
      <c r="F392" s="37">
        <v>46.745234024335652</v>
      </c>
      <c r="G392" s="37">
        <v>36.89</v>
      </c>
      <c r="H392" s="37">
        <v>3.108041835738387</v>
      </c>
      <c r="I392" s="37">
        <v>55.67239886180873</v>
      </c>
      <c r="J392" s="10">
        <v>0</v>
      </c>
      <c r="K392" s="38">
        <v>0</v>
      </c>
      <c r="L392" s="38">
        <v>0</v>
      </c>
      <c r="M392" s="38">
        <v>0</v>
      </c>
      <c r="N392" s="38">
        <v>0</v>
      </c>
      <c r="O392" s="38">
        <v>0</v>
      </c>
      <c r="P392" s="38">
        <v>1</v>
      </c>
      <c r="Q392" s="38">
        <v>0</v>
      </c>
      <c r="R392" s="38">
        <v>0</v>
      </c>
      <c r="S392" s="38">
        <v>0</v>
      </c>
      <c r="T392" s="38">
        <v>0</v>
      </c>
      <c r="U392" s="29" cm="1">
        <f t="array" aca="1" ref="U392" ca="1">+fair_value_gap(OFFSET(T391,0,0,-1*$J$5,-1*$AA$1),OFFSET(E391,0,0,-1*$J$5,1),F392:T392,0)</f>
        <v>18.506538323912977</v>
      </c>
      <c r="V392" s="9" t="str" cm="1">
        <f t="array" aca="1" ref="V392" ca="1">z_score_diff(OFFSET(U392,0,0,$J$5*-1,1),OFFSET(E392,0,0,$J$5*-1,1))</f>
        <v/>
      </c>
      <c r="W392" s="9" t="str">
        <f t="shared" ref="W392:W455" ca="1" si="61">+IF(ISERROR(AVERAGE(OFFSET(V392,0,0,$W$5*-1,1))),"",AVERAGE(OFFSET(V392,0,0,$W$5*-1,1)))</f>
        <v/>
      </c>
      <c r="X392" s="17">
        <f t="shared" ca="1" si="60"/>
        <v>-5.8691363281606831E-2</v>
      </c>
      <c r="Y392" s="13">
        <f t="shared" si="59"/>
        <v>0</v>
      </c>
      <c r="Z392" s="13">
        <f t="shared" si="59"/>
        <v>0</v>
      </c>
      <c r="AA392" t="str">
        <f t="shared" ref="AA392:AA455" ca="1" si="62">+IF(W392="","",IF(W392&lt;Y392,1,0))</f>
        <v/>
      </c>
      <c r="AB392" t="str">
        <f t="shared" ref="AB392:AB455" ca="1" si="63">+IF(W392="","",IF(W392&gt;Z392,1,0))</f>
        <v/>
      </c>
      <c r="AC392" s="24" t="str">
        <f t="shared" ref="AC392:AC455" ca="1" si="64">+IF(ISERROR(AA392*X392),"",AA392*X392)</f>
        <v/>
      </c>
      <c r="AD392" s="24" t="str">
        <f t="shared" ref="AD392:AD455" ca="1" si="65">+IF(ISERROR(AB392*X392),"",AB392*X392)</f>
        <v/>
      </c>
    </row>
    <row r="393" spans="3:30" x14ac:dyDescent="0.25">
      <c r="C393" s="6">
        <v>386</v>
      </c>
      <c r="D393" s="35">
        <v>42556</v>
      </c>
      <c r="E393" s="37">
        <v>17.094000000000001</v>
      </c>
      <c r="F393" s="37">
        <v>45.287710158654981</v>
      </c>
      <c r="G393" s="37">
        <v>36.32</v>
      </c>
      <c r="H393" s="37">
        <v>2.9967565783336561</v>
      </c>
      <c r="I393" s="37">
        <v>55.611765296823307</v>
      </c>
      <c r="J393" s="10">
        <v>0</v>
      </c>
      <c r="K393" s="38">
        <v>0</v>
      </c>
      <c r="L393" s="38">
        <v>0</v>
      </c>
      <c r="M393" s="38">
        <v>0</v>
      </c>
      <c r="N393" s="38">
        <v>0</v>
      </c>
      <c r="O393" s="38">
        <v>0</v>
      </c>
      <c r="P393" s="38">
        <v>1</v>
      </c>
      <c r="Q393" s="38">
        <v>0</v>
      </c>
      <c r="R393" s="38">
        <v>0</v>
      </c>
      <c r="S393" s="38">
        <v>0</v>
      </c>
      <c r="T393" s="38">
        <v>0</v>
      </c>
      <c r="U393" s="29" cm="1">
        <f t="array" aca="1" ref="U393" ca="1">+fair_value_gap(OFFSET(T392,0,0,-1*$J$5,-1*$AA$1),OFFSET(E392,0,0,-1*$J$5,1),F393:T393,0)</f>
        <v>17.770330679698368</v>
      </c>
      <c r="V393" s="9" t="str" cm="1">
        <f t="array" aca="1" ref="V393" ca="1">z_score_diff(OFFSET(U393,0,0,$J$5*-1,1),OFFSET(E393,0,0,$J$5*-1,1))</f>
        <v/>
      </c>
      <c r="W393" s="9" t="str">
        <f t="shared" ca="1" si="61"/>
        <v/>
      </c>
      <c r="X393" s="17">
        <f t="shared" ca="1" si="60"/>
        <v>-5.0696156323187198E-2</v>
      </c>
      <c r="Y393" s="13">
        <f t="shared" ref="Y393:Z408" si="66">+Y392</f>
        <v>0</v>
      </c>
      <c r="Z393" s="13">
        <f t="shared" si="66"/>
        <v>0</v>
      </c>
      <c r="AA393" t="str">
        <f t="shared" ca="1" si="62"/>
        <v/>
      </c>
      <c r="AB393" t="str">
        <f t="shared" ca="1" si="63"/>
        <v/>
      </c>
      <c r="AC393" s="24" t="str">
        <f t="shared" ca="1" si="64"/>
        <v/>
      </c>
      <c r="AD393" s="24" t="str">
        <f t="shared" ca="1" si="65"/>
        <v/>
      </c>
    </row>
    <row r="394" spans="3:30" x14ac:dyDescent="0.25">
      <c r="C394" s="6">
        <v>387</v>
      </c>
      <c r="D394" s="35">
        <v>42557</v>
      </c>
      <c r="E394" s="37">
        <v>16.952000000000002</v>
      </c>
      <c r="F394" s="37">
        <v>45.954558829974395</v>
      </c>
      <c r="G394" s="37">
        <v>35.99</v>
      </c>
      <c r="H394" s="37">
        <v>2.9998363237783985</v>
      </c>
      <c r="I394" s="37">
        <v>54.961223045969767</v>
      </c>
      <c r="J394" s="10">
        <v>0</v>
      </c>
      <c r="K394" s="38">
        <v>0</v>
      </c>
      <c r="L394" s="38">
        <v>0</v>
      </c>
      <c r="M394" s="38">
        <v>0</v>
      </c>
      <c r="N394" s="38">
        <v>0</v>
      </c>
      <c r="O394" s="38">
        <v>0</v>
      </c>
      <c r="P394" s="38">
        <v>1</v>
      </c>
      <c r="Q394" s="38">
        <v>0</v>
      </c>
      <c r="R394" s="38">
        <v>0</v>
      </c>
      <c r="S394" s="38">
        <v>0</v>
      </c>
      <c r="T394" s="38">
        <v>0</v>
      </c>
      <c r="U394" s="29" cm="1">
        <f t="array" aca="1" ref="U394" ca="1">+fair_value_gap(OFFSET(T393,0,0,-1*$J$5,-1*$AA$1),OFFSET(E393,0,0,-1*$J$5,1),F394:T394,0)</f>
        <v>17.590314543817204</v>
      </c>
      <c r="V394" s="9" t="str" cm="1">
        <f t="array" aca="1" ref="V394" ca="1">z_score_diff(OFFSET(U394,0,0,$J$5*-1,1),OFFSET(E394,0,0,$J$5*-1,1))</f>
        <v/>
      </c>
      <c r="W394" s="9" t="str">
        <f t="shared" ca="1" si="61"/>
        <v/>
      </c>
      <c r="X394" s="17">
        <f t="shared" ca="1" si="60"/>
        <v>-4.4757485218413225E-2</v>
      </c>
      <c r="Y394" s="13">
        <f t="shared" si="66"/>
        <v>0</v>
      </c>
      <c r="Z394" s="13">
        <f t="shared" si="66"/>
        <v>0</v>
      </c>
      <c r="AA394" t="str">
        <f t="shared" ca="1" si="62"/>
        <v/>
      </c>
      <c r="AB394" t="str">
        <f t="shared" ca="1" si="63"/>
        <v/>
      </c>
      <c r="AC394" s="24" t="str">
        <f t="shared" ca="1" si="64"/>
        <v/>
      </c>
      <c r="AD394" s="24" t="str">
        <f t="shared" ca="1" si="65"/>
        <v/>
      </c>
    </row>
    <row r="395" spans="3:30" x14ac:dyDescent="0.25">
      <c r="C395" s="6">
        <v>388</v>
      </c>
      <c r="D395" s="35">
        <v>42558</v>
      </c>
      <c r="E395" s="37">
        <v>17.231999999999999</v>
      </c>
      <c r="F395" s="37">
        <v>44.078722390213819</v>
      </c>
      <c r="G395" s="37">
        <v>36.47</v>
      </c>
      <c r="H395" s="37">
        <v>3.0041027049490054</v>
      </c>
      <c r="I395" s="37">
        <v>55.917418141118326</v>
      </c>
      <c r="J395" s="10">
        <v>0</v>
      </c>
      <c r="K395" s="38">
        <v>0</v>
      </c>
      <c r="L395" s="38">
        <v>0</v>
      </c>
      <c r="M395" s="38">
        <v>0</v>
      </c>
      <c r="N395" s="38">
        <v>0</v>
      </c>
      <c r="O395" s="38">
        <v>0</v>
      </c>
      <c r="P395" s="38">
        <v>1</v>
      </c>
      <c r="Q395" s="38">
        <v>0</v>
      </c>
      <c r="R395" s="38">
        <v>0</v>
      </c>
      <c r="S395" s="38">
        <v>0</v>
      </c>
      <c r="T395" s="38">
        <v>0</v>
      </c>
      <c r="U395" s="29" cm="1">
        <f t="array" aca="1" ref="U395" ca="1">+fair_value_gap(OFFSET(T394,0,0,-1*$J$5,-1*$AA$1),OFFSET(E394,0,0,-1*$J$5,1),F395:T395,0)</f>
        <v>17.361740096170191</v>
      </c>
      <c r="V395" s="9" t="str" cm="1">
        <f t="array" aca="1" ref="V395" ca="1">z_score_diff(OFFSET(U395,0,0,$J$5*-1,1),OFFSET(E395,0,0,$J$5*-1,1))</f>
        <v/>
      </c>
      <c r="W395" s="9" t="str">
        <f t="shared" ca="1" si="61"/>
        <v/>
      </c>
      <c r="X395" s="17">
        <f t="shared" ca="1" si="60"/>
        <v>-6.3301280027068432E-2</v>
      </c>
      <c r="Y395" s="13">
        <f t="shared" si="66"/>
        <v>0</v>
      </c>
      <c r="Z395" s="13">
        <f t="shared" si="66"/>
        <v>0</v>
      </c>
      <c r="AA395" t="str">
        <f t="shared" ca="1" si="62"/>
        <v/>
      </c>
      <c r="AB395" t="str">
        <f t="shared" ca="1" si="63"/>
        <v/>
      </c>
      <c r="AC395" s="24" t="str">
        <f t="shared" ca="1" si="64"/>
        <v/>
      </c>
      <c r="AD395" s="24" t="str">
        <f t="shared" ca="1" si="65"/>
        <v/>
      </c>
    </row>
    <row r="396" spans="3:30" x14ac:dyDescent="0.25">
      <c r="C396" s="6">
        <v>389</v>
      </c>
      <c r="D396" s="35">
        <v>42559</v>
      </c>
      <c r="E396" s="37">
        <v>16.936</v>
      </c>
      <c r="F396" s="37">
        <v>44.485648168111197</v>
      </c>
      <c r="G396" s="37">
        <v>36.17</v>
      </c>
      <c r="H396" s="37">
        <v>3.0399724030874045</v>
      </c>
      <c r="I396" s="37">
        <v>55.33755911057451</v>
      </c>
      <c r="J396" s="10">
        <v>0</v>
      </c>
      <c r="K396" s="38">
        <v>0</v>
      </c>
      <c r="L396" s="38">
        <v>0</v>
      </c>
      <c r="M396" s="38">
        <v>0</v>
      </c>
      <c r="N396" s="38">
        <v>0</v>
      </c>
      <c r="O396" s="38">
        <v>0</v>
      </c>
      <c r="P396" s="38">
        <v>1</v>
      </c>
      <c r="Q396" s="38">
        <v>0</v>
      </c>
      <c r="R396" s="38">
        <v>0</v>
      </c>
      <c r="S396" s="38">
        <v>0</v>
      </c>
      <c r="T396" s="38">
        <v>0</v>
      </c>
      <c r="U396" s="29" cm="1">
        <f t="array" aca="1" ref="U396" ca="1">+fair_value_gap(OFFSET(T395,0,0,-1*$J$5,-1*$AA$1),OFFSET(E395,0,0,-1*$J$5,1),F396:T396,0)</f>
        <v>17.324450159708071</v>
      </c>
      <c r="V396" s="9" t="str" cm="1">
        <f t="array" aca="1" ref="V396" ca="1">z_score_diff(OFFSET(U396,0,0,$J$5*-1,1),OFFSET(E396,0,0,$J$5*-1,1))</f>
        <v/>
      </c>
      <c r="W396" s="9" t="str">
        <f t="shared" ca="1" si="61"/>
        <v/>
      </c>
      <c r="X396" s="17">
        <f t="shared" ca="1" si="60"/>
        <v>-5.8980072608956963E-2</v>
      </c>
      <c r="Y396" s="13">
        <f t="shared" si="66"/>
        <v>0</v>
      </c>
      <c r="Z396" s="13">
        <f t="shared" si="66"/>
        <v>0</v>
      </c>
      <c r="AA396" t="str">
        <f t="shared" ca="1" si="62"/>
        <v/>
      </c>
      <c r="AB396" t="str">
        <f t="shared" ca="1" si="63"/>
        <v/>
      </c>
      <c r="AC396" s="24" t="str">
        <f t="shared" ca="1" si="64"/>
        <v/>
      </c>
      <c r="AD396" s="24" t="str">
        <f t="shared" ca="1" si="65"/>
        <v/>
      </c>
    </row>
    <row r="397" spans="3:30" x14ac:dyDescent="0.25">
      <c r="C397" s="6">
        <v>390</v>
      </c>
      <c r="D397" s="35">
        <v>42562</v>
      </c>
      <c r="E397" s="37">
        <v>16.931000000000001</v>
      </c>
      <c r="F397" s="37">
        <v>44.215087904874707</v>
      </c>
      <c r="G397" s="37">
        <v>35.81</v>
      </c>
      <c r="H397" s="37">
        <v>2.9910734730125434</v>
      </c>
      <c r="I397" s="37">
        <v>54.954577168528267</v>
      </c>
      <c r="J397" s="10">
        <v>0</v>
      </c>
      <c r="K397" s="38">
        <v>0</v>
      </c>
      <c r="L397" s="38">
        <v>0</v>
      </c>
      <c r="M397" s="38">
        <v>0</v>
      </c>
      <c r="N397" s="38">
        <v>0</v>
      </c>
      <c r="O397" s="38">
        <v>0</v>
      </c>
      <c r="P397" s="38">
        <v>1</v>
      </c>
      <c r="Q397" s="38">
        <v>0</v>
      </c>
      <c r="R397" s="38">
        <v>0</v>
      </c>
      <c r="S397" s="38">
        <v>0</v>
      </c>
      <c r="T397" s="38">
        <v>0</v>
      </c>
      <c r="U397" s="29" cm="1">
        <f t="array" aca="1" ref="U397" ca="1">+fair_value_gap(OFFSET(T396,0,0,-1*$J$5,-1*$AA$1),OFFSET(E396,0,0,-1*$J$5,1),F397:T397,0)</f>
        <v>17.099265203752083</v>
      </c>
      <c r="V397" s="9" t="str" cm="1">
        <f t="array" aca="1" ref="V397" ca="1">z_score_diff(OFFSET(U397,0,0,$J$5*-1,1),OFFSET(E397,0,0,$J$5*-1,1))</f>
        <v/>
      </c>
      <c r="W397" s="9" t="str">
        <f t="shared" ca="1" si="61"/>
        <v/>
      </c>
      <c r="X397" s="17">
        <f t="shared" ca="1" si="60"/>
        <v>-5.3250513148817548E-2</v>
      </c>
      <c r="Y397" s="13">
        <f t="shared" si="66"/>
        <v>0</v>
      </c>
      <c r="Z397" s="13">
        <f t="shared" si="66"/>
        <v>0</v>
      </c>
      <c r="AA397" t="str">
        <f t="shared" ca="1" si="62"/>
        <v/>
      </c>
      <c r="AB397" t="str">
        <f t="shared" ca="1" si="63"/>
        <v/>
      </c>
      <c r="AC397" s="24" t="str">
        <f t="shared" ca="1" si="64"/>
        <v/>
      </c>
      <c r="AD397" s="24" t="str">
        <f t="shared" ca="1" si="65"/>
        <v/>
      </c>
    </row>
    <row r="398" spans="3:30" x14ac:dyDescent="0.25">
      <c r="C398" s="6">
        <v>391</v>
      </c>
      <c r="D398" s="35">
        <v>42563</v>
      </c>
      <c r="E398" s="37">
        <v>17.117999999999999</v>
      </c>
      <c r="F398" s="37">
        <v>45.95685565724316</v>
      </c>
      <c r="G398" s="37">
        <v>35.99</v>
      </c>
      <c r="H398" s="37">
        <v>2.9919968123657235</v>
      </c>
      <c r="I398" s="37">
        <v>56.941271069167719</v>
      </c>
      <c r="J398" s="10">
        <v>0</v>
      </c>
      <c r="K398" s="38">
        <v>0</v>
      </c>
      <c r="L398" s="38">
        <v>0</v>
      </c>
      <c r="M398" s="38">
        <v>0</v>
      </c>
      <c r="N398" s="38">
        <v>0</v>
      </c>
      <c r="O398" s="38">
        <v>0</v>
      </c>
      <c r="P398" s="38">
        <v>1</v>
      </c>
      <c r="Q398" s="38">
        <v>0</v>
      </c>
      <c r="R398" s="38">
        <v>0</v>
      </c>
      <c r="S398" s="38">
        <v>0</v>
      </c>
      <c r="T398" s="38">
        <v>0</v>
      </c>
      <c r="U398" s="29" cm="1">
        <f t="array" aca="1" ref="U398" ca="1">+fair_value_gap(OFFSET(T397,0,0,-1*$J$5,-1*$AA$1),OFFSET(E397,0,0,-1*$J$5,1),F398:T398,0)</f>
        <v>17.253430169726954</v>
      </c>
      <c r="V398" s="9" t="str" cm="1">
        <f t="array" aca="1" ref="V398" ca="1">z_score_diff(OFFSET(U398,0,0,$J$5*-1,1),OFFSET(E398,0,0,$J$5*-1,1))</f>
        <v/>
      </c>
      <c r="W398" s="9" t="str">
        <f t="shared" ca="1" si="61"/>
        <v/>
      </c>
      <c r="X398" s="17">
        <f t="shared" ca="1" si="60"/>
        <v>-6.3425303707797129E-2</v>
      </c>
      <c r="Y398" s="13">
        <f t="shared" si="66"/>
        <v>0</v>
      </c>
      <c r="Z398" s="13">
        <f t="shared" si="66"/>
        <v>0</v>
      </c>
      <c r="AA398" t="str">
        <f t="shared" ca="1" si="62"/>
        <v/>
      </c>
      <c r="AB398" t="str">
        <f t="shared" ca="1" si="63"/>
        <v/>
      </c>
      <c r="AC398" s="24" t="str">
        <f t="shared" ca="1" si="64"/>
        <v/>
      </c>
      <c r="AD398" s="24" t="str">
        <f t="shared" ca="1" si="65"/>
        <v/>
      </c>
    </row>
    <row r="399" spans="3:30" x14ac:dyDescent="0.25">
      <c r="C399" s="6">
        <v>392</v>
      </c>
      <c r="D399" s="35">
        <v>42564</v>
      </c>
      <c r="E399" s="37">
        <v>17.018000000000001</v>
      </c>
      <c r="F399" s="37">
        <v>43.827572161972242</v>
      </c>
      <c r="G399" s="37">
        <v>36.43</v>
      </c>
      <c r="H399" s="37">
        <v>2.9836049431342624</v>
      </c>
      <c r="I399" s="37">
        <v>57.201426902574063</v>
      </c>
      <c r="J399" s="10">
        <v>0</v>
      </c>
      <c r="K399" s="38">
        <v>0</v>
      </c>
      <c r="L399" s="38">
        <v>0</v>
      </c>
      <c r="M399" s="38">
        <v>0</v>
      </c>
      <c r="N399" s="38">
        <v>0</v>
      </c>
      <c r="O399" s="38">
        <v>0</v>
      </c>
      <c r="P399" s="38">
        <v>1</v>
      </c>
      <c r="Q399" s="38">
        <v>0</v>
      </c>
      <c r="R399" s="38">
        <v>0</v>
      </c>
      <c r="S399" s="38">
        <v>0</v>
      </c>
      <c r="T399" s="38">
        <v>0</v>
      </c>
      <c r="U399" s="29" cm="1">
        <f t="array" aca="1" ref="U399" ca="1">+fair_value_gap(OFFSET(T398,0,0,-1*$J$5,-1*$AA$1),OFFSET(E398,0,0,-1*$J$5,1),F399:T399,0)</f>
        <v>17.109323528429844</v>
      </c>
      <c r="V399" s="9" t="str" cm="1">
        <f t="array" aca="1" ref="V399" ca="1">z_score_diff(OFFSET(U399,0,0,$J$5*-1,1),OFFSET(E399,0,0,$J$5*-1,1))</f>
        <v/>
      </c>
      <c r="W399" s="9" t="str">
        <f t="shared" ca="1" si="61"/>
        <v/>
      </c>
      <c r="X399" s="17">
        <f t="shared" ca="1" si="60"/>
        <v>-6.3309206932168419E-2</v>
      </c>
      <c r="Y399" s="13">
        <f t="shared" si="66"/>
        <v>0</v>
      </c>
      <c r="Z399" s="13">
        <f t="shared" si="66"/>
        <v>0</v>
      </c>
      <c r="AA399" t="str">
        <f t="shared" ca="1" si="62"/>
        <v/>
      </c>
      <c r="AB399" t="str">
        <f t="shared" ca="1" si="63"/>
        <v/>
      </c>
      <c r="AC399" s="24" t="str">
        <f t="shared" ca="1" si="64"/>
        <v/>
      </c>
      <c r="AD399" s="24" t="str">
        <f t="shared" ca="1" si="65"/>
        <v/>
      </c>
    </row>
    <row r="400" spans="3:30" x14ac:dyDescent="0.25">
      <c r="C400" s="6">
        <v>393</v>
      </c>
      <c r="D400" s="35">
        <v>42565</v>
      </c>
      <c r="E400" s="37">
        <v>17.013000000000002</v>
      </c>
      <c r="F400" s="37">
        <v>44.586556152980478</v>
      </c>
      <c r="G400" s="37">
        <v>36.369999999999997</v>
      </c>
      <c r="H400" s="37">
        <v>2.9769028777620981</v>
      </c>
      <c r="I400" s="37">
        <v>57.430199531984059</v>
      </c>
      <c r="J400" s="10">
        <v>0</v>
      </c>
      <c r="K400" s="38">
        <v>0</v>
      </c>
      <c r="L400" s="38">
        <v>0</v>
      </c>
      <c r="M400" s="38">
        <v>0</v>
      </c>
      <c r="N400" s="38">
        <v>0</v>
      </c>
      <c r="O400" s="38">
        <v>0</v>
      </c>
      <c r="P400" s="38">
        <v>1</v>
      </c>
      <c r="Q400" s="38">
        <v>0</v>
      </c>
      <c r="R400" s="38">
        <v>0</v>
      </c>
      <c r="S400" s="38">
        <v>0</v>
      </c>
      <c r="T400" s="38">
        <v>0</v>
      </c>
      <c r="U400" s="29" cm="1">
        <f t="array" aca="1" ref="U400" ca="1">+fair_value_gap(OFFSET(T399,0,0,-1*$J$5,-1*$AA$1),OFFSET(E399,0,0,-1*$J$5,1),F400:T400,0)</f>
        <v>17.154488763867516</v>
      </c>
      <c r="V400" s="9" t="str" cm="1">
        <f t="array" aca="1" ref="V400" ca="1">z_score_diff(OFFSET(U400,0,0,$J$5*-1,1),OFFSET(E400,0,0,$J$5*-1,1))</f>
        <v/>
      </c>
      <c r="W400" s="9" t="str">
        <f t="shared" ca="1" si="61"/>
        <v/>
      </c>
      <c r="X400" s="17">
        <f t="shared" ca="1" si="60"/>
        <v>-6.4518928469147183E-2</v>
      </c>
      <c r="Y400" s="13">
        <f t="shared" si="66"/>
        <v>0</v>
      </c>
      <c r="Z400" s="13">
        <f t="shared" si="66"/>
        <v>0</v>
      </c>
      <c r="AA400" t="str">
        <f t="shared" ca="1" si="62"/>
        <v/>
      </c>
      <c r="AB400" t="str">
        <f t="shared" ca="1" si="63"/>
        <v/>
      </c>
      <c r="AC400" s="24" t="str">
        <f t="shared" ca="1" si="64"/>
        <v/>
      </c>
      <c r="AD400" s="24" t="str">
        <f t="shared" ca="1" si="65"/>
        <v/>
      </c>
    </row>
    <row r="401" spans="3:30" x14ac:dyDescent="0.25">
      <c r="C401" s="6">
        <v>394</v>
      </c>
      <c r="D401" s="35">
        <v>42566</v>
      </c>
      <c r="E401" s="37">
        <v>18.36</v>
      </c>
      <c r="F401" s="37">
        <v>44.963511004275041</v>
      </c>
      <c r="G401" s="37">
        <v>36.25</v>
      </c>
      <c r="H401" s="37">
        <v>3.0110618513667182</v>
      </c>
      <c r="I401" s="37">
        <v>58.475954687432534</v>
      </c>
      <c r="J401" s="10">
        <v>0</v>
      </c>
      <c r="K401" s="38">
        <v>0</v>
      </c>
      <c r="L401" s="38">
        <v>0</v>
      </c>
      <c r="M401" s="38">
        <v>0</v>
      </c>
      <c r="N401" s="38">
        <v>0</v>
      </c>
      <c r="O401" s="38">
        <v>0</v>
      </c>
      <c r="P401" s="38">
        <v>1</v>
      </c>
      <c r="Q401" s="38">
        <v>0</v>
      </c>
      <c r="R401" s="38">
        <v>0</v>
      </c>
      <c r="S401" s="38">
        <v>0</v>
      </c>
      <c r="T401" s="38">
        <v>0</v>
      </c>
      <c r="U401" s="29" cm="1">
        <f t="array" aca="1" ref="U401" ca="1">+fair_value_gap(OFFSET(T400,0,0,-1*$J$5,-1*$AA$1),OFFSET(E400,0,0,-1*$J$5,1),F401:T401,0)</f>
        <v>17.093485399703702</v>
      </c>
      <c r="V401" s="9" t="str" cm="1">
        <f t="array" aca="1" ref="V401" ca="1">z_score_diff(OFFSET(U401,0,0,$J$5*-1,1),OFFSET(E401,0,0,$J$5*-1,1))</f>
        <v/>
      </c>
      <c r="W401" s="9" t="str">
        <f t="shared" ca="1" si="61"/>
        <v/>
      </c>
      <c r="X401" s="17">
        <f t="shared" ca="1" si="60"/>
        <v>-0.14404397301360966</v>
      </c>
      <c r="Y401" s="13">
        <f t="shared" si="66"/>
        <v>0</v>
      </c>
      <c r="Z401" s="13">
        <f t="shared" si="66"/>
        <v>0</v>
      </c>
      <c r="AA401" t="str">
        <f t="shared" ca="1" si="62"/>
        <v/>
      </c>
      <c r="AB401" t="str">
        <f t="shared" ca="1" si="63"/>
        <v/>
      </c>
      <c r="AC401" s="24" t="str">
        <f t="shared" ca="1" si="64"/>
        <v/>
      </c>
      <c r="AD401" s="24" t="str">
        <f t="shared" ca="1" si="65"/>
        <v/>
      </c>
    </row>
    <row r="402" spans="3:30" x14ac:dyDescent="0.25">
      <c r="C402" s="6">
        <v>395</v>
      </c>
      <c r="D402" s="35">
        <v>42569</v>
      </c>
      <c r="E402" s="37">
        <v>17.652999999999999</v>
      </c>
      <c r="F402" s="37">
        <v>44.192190771172108</v>
      </c>
      <c r="G402" s="37">
        <v>37.33</v>
      </c>
      <c r="H402" s="37">
        <v>2.9799033525481091</v>
      </c>
      <c r="I402" s="37">
        <v>58.253749749060773</v>
      </c>
      <c r="J402" s="10">
        <v>0</v>
      </c>
      <c r="K402" s="38">
        <v>0</v>
      </c>
      <c r="L402" s="38">
        <v>0</v>
      </c>
      <c r="M402" s="38">
        <v>0</v>
      </c>
      <c r="N402" s="38">
        <v>0</v>
      </c>
      <c r="O402" s="38">
        <v>0</v>
      </c>
      <c r="P402" s="38">
        <v>1</v>
      </c>
      <c r="Q402" s="38">
        <v>0</v>
      </c>
      <c r="R402" s="38">
        <v>0</v>
      </c>
      <c r="S402" s="38">
        <v>0</v>
      </c>
      <c r="T402" s="38">
        <v>0</v>
      </c>
      <c r="U402" s="29" cm="1">
        <f t="array" aca="1" ref="U402" ca="1">+fair_value_gap(OFFSET(T401,0,0,-1*$J$5,-1*$AA$1),OFFSET(E401,0,0,-1*$J$5,1),F402:T402,0)</f>
        <v>17.533704738011998</v>
      </c>
      <c r="V402" s="9" t="str" cm="1">
        <f t="array" aca="1" ref="V402" ca="1">z_score_diff(OFFSET(U402,0,0,$J$5*-1,1),OFFSET(E402,0,0,$J$5*-1,1))</f>
        <v/>
      </c>
      <c r="W402" s="9" t="str">
        <f t="shared" ca="1" si="61"/>
        <v/>
      </c>
      <c r="X402" s="17">
        <f t="shared" ca="1" si="60"/>
        <v>-0.11045286071188747</v>
      </c>
      <c r="Y402" s="13">
        <f t="shared" si="66"/>
        <v>0</v>
      </c>
      <c r="Z402" s="13">
        <f t="shared" si="66"/>
        <v>0</v>
      </c>
      <c r="AA402" t="str">
        <f t="shared" ca="1" si="62"/>
        <v/>
      </c>
      <c r="AB402" t="str">
        <f t="shared" ca="1" si="63"/>
        <v/>
      </c>
      <c r="AC402" s="24" t="str">
        <f t="shared" ca="1" si="64"/>
        <v/>
      </c>
      <c r="AD402" s="24" t="str">
        <f t="shared" ca="1" si="65"/>
        <v/>
      </c>
    </row>
    <row r="403" spans="3:30" x14ac:dyDescent="0.25">
      <c r="C403" s="6">
        <v>396</v>
      </c>
      <c r="D403" s="35">
        <v>42570</v>
      </c>
      <c r="E403" s="37">
        <v>17.608000000000001</v>
      </c>
      <c r="F403" s="37">
        <v>44.266960218289988</v>
      </c>
      <c r="G403" s="37">
        <v>36.93</v>
      </c>
      <c r="H403" s="37">
        <v>2.9835606887052588</v>
      </c>
      <c r="I403" s="37">
        <v>57.293013225137223</v>
      </c>
      <c r="J403" s="10">
        <v>0</v>
      </c>
      <c r="K403" s="38">
        <v>0</v>
      </c>
      <c r="L403" s="38">
        <v>0</v>
      </c>
      <c r="M403" s="38">
        <v>0</v>
      </c>
      <c r="N403" s="38">
        <v>0</v>
      </c>
      <c r="O403" s="38">
        <v>0</v>
      </c>
      <c r="P403" s="38">
        <v>1</v>
      </c>
      <c r="Q403" s="38">
        <v>0</v>
      </c>
      <c r="R403" s="38">
        <v>0</v>
      </c>
      <c r="S403" s="38">
        <v>0</v>
      </c>
      <c r="T403" s="38">
        <v>0</v>
      </c>
      <c r="U403" s="29" cm="1">
        <f t="array" aca="1" ref="U403" ca="1">+fair_value_gap(OFFSET(T402,0,0,-1*$J$5,-1*$AA$1),OFFSET(E402,0,0,-1*$J$5,1),F403:T403,0)</f>
        <v>17.44732328506916</v>
      </c>
      <c r="V403" s="9" t="str" cm="1">
        <f t="array" aca="1" ref="V403" ca="1">z_score_diff(OFFSET(U403,0,0,$J$5*-1,1),OFFSET(E403,0,0,$J$5*-1,1))</f>
        <v/>
      </c>
      <c r="W403" s="9" t="str">
        <f t="shared" ca="1" si="61"/>
        <v/>
      </c>
      <c r="X403" s="17">
        <f t="shared" ca="1" si="60"/>
        <v>-9.9521670862091585E-2</v>
      </c>
      <c r="Y403" s="13">
        <f t="shared" si="66"/>
        <v>0</v>
      </c>
      <c r="Z403" s="13">
        <f t="shared" si="66"/>
        <v>0</v>
      </c>
      <c r="AA403" t="str">
        <f t="shared" ca="1" si="62"/>
        <v/>
      </c>
      <c r="AB403" t="str">
        <f t="shared" ca="1" si="63"/>
        <v/>
      </c>
      <c r="AC403" s="24" t="str">
        <f t="shared" ca="1" si="64"/>
        <v/>
      </c>
      <c r="AD403" s="24" t="str">
        <f t="shared" ca="1" si="65"/>
        <v/>
      </c>
    </row>
    <row r="404" spans="3:30" x14ac:dyDescent="0.25">
      <c r="C404" s="6">
        <v>397</v>
      </c>
      <c r="D404" s="35">
        <v>42571</v>
      </c>
      <c r="E404" s="37">
        <v>17.645</v>
      </c>
      <c r="F404" s="37">
        <v>44.654723300196693</v>
      </c>
      <c r="G404" s="37">
        <v>37.18</v>
      </c>
      <c r="H404" s="37">
        <v>2.9346334501360092</v>
      </c>
      <c r="I404" s="37">
        <v>56.94468346594897</v>
      </c>
      <c r="J404" s="10">
        <v>0</v>
      </c>
      <c r="K404" s="38">
        <v>0</v>
      </c>
      <c r="L404" s="38">
        <v>0</v>
      </c>
      <c r="M404" s="38">
        <v>0</v>
      </c>
      <c r="N404" s="38">
        <v>0</v>
      </c>
      <c r="O404" s="38">
        <v>0</v>
      </c>
      <c r="P404" s="38">
        <v>1</v>
      </c>
      <c r="Q404" s="38">
        <v>0</v>
      </c>
      <c r="R404" s="38">
        <v>0</v>
      </c>
      <c r="S404" s="38">
        <v>0</v>
      </c>
      <c r="T404" s="38">
        <v>0</v>
      </c>
      <c r="U404" s="29" cm="1">
        <f t="array" aca="1" ref="U404" ca="1">+fair_value_gap(OFFSET(T403,0,0,-1*$J$5,-1*$AA$1),OFFSET(E403,0,0,-1*$J$5,1),F404:T404,0)</f>
        <v>17.575972085329497</v>
      </c>
      <c r="V404" s="9" t="str" cm="1">
        <f t="array" aca="1" ref="V404" ca="1">z_score_diff(OFFSET(U404,0,0,$J$5*-1,1),OFFSET(E404,0,0,$J$5*-1,1))</f>
        <v/>
      </c>
      <c r="W404" s="9" t="str">
        <f t="shared" ca="1" si="61"/>
        <v/>
      </c>
      <c r="X404" s="17">
        <f t="shared" ca="1" si="60"/>
        <v>-8.9399656475322775E-2</v>
      </c>
      <c r="Y404" s="13">
        <f t="shared" si="66"/>
        <v>0</v>
      </c>
      <c r="Z404" s="13">
        <f t="shared" si="66"/>
        <v>0</v>
      </c>
      <c r="AA404" t="str">
        <f t="shared" ca="1" si="62"/>
        <v/>
      </c>
      <c r="AB404" t="str">
        <f t="shared" ca="1" si="63"/>
        <v/>
      </c>
      <c r="AC404" s="24" t="str">
        <f t="shared" ca="1" si="64"/>
        <v/>
      </c>
      <c r="AD404" s="24" t="str">
        <f t="shared" ca="1" si="65"/>
        <v/>
      </c>
    </row>
    <row r="405" spans="3:30" x14ac:dyDescent="0.25">
      <c r="C405" s="6">
        <v>398</v>
      </c>
      <c r="D405" s="35">
        <v>42572</v>
      </c>
      <c r="E405" s="37">
        <v>17.831</v>
      </c>
      <c r="F405" s="37">
        <v>43.634360618909483</v>
      </c>
      <c r="G405" s="37">
        <v>37.36</v>
      </c>
      <c r="H405" s="37">
        <v>2.9458593709919709</v>
      </c>
      <c r="I405" s="37">
        <v>56.928079809117669</v>
      </c>
      <c r="J405" s="10">
        <v>0</v>
      </c>
      <c r="K405" s="38">
        <v>0</v>
      </c>
      <c r="L405" s="38">
        <v>0</v>
      </c>
      <c r="M405" s="38">
        <v>0</v>
      </c>
      <c r="N405" s="38">
        <v>0</v>
      </c>
      <c r="O405" s="38">
        <v>0</v>
      </c>
      <c r="P405" s="38">
        <v>1</v>
      </c>
      <c r="Q405" s="38">
        <v>0</v>
      </c>
      <c r="R405" s="38">
        <v>0</v>
      </c>
      <c r="S405" s="38">
        <v>0</v>
      </c>
      <c r="T405" s="38">
        <v>0</v>
      </c>
      <c r="U405" s="29" cm="1">
        <f t="array" aca="1" ref="U405" ca="1">+fair_value_gap(OFFSET(T404,0,0,-1*$J$5,-1*$AA$1),OFFSET(E404,0,0,-1*$J$5,1),F405:T405,0)</f>
        <v>17.507497814139217</v>
      </c>
      <c r="V405" s="9" t="str" cm="1">
        <f t="array" aca="1" ref="V405" ca="1">z_score_diff(OFFSET(U405,0,0,$J$5*-1,1),OFFSET(E405,0,0,$J$5*-1,1))</f>
        <v/>
      </c>
      <c r="W405" s="9" t="str">
        <f t="shared" ca="1" si="61"/>
        <v/>
      </c>
      <c r="X405" s="17">
        <f t="shared" ca="1" si="60"/>
        <v>-0.10162247256270181</v>
      </c>
      <c r="Y405" s="13">
        <f t="shared" si="66"/>
        <v>0</v>
      </c>
      <c r="Z405" s="13">
        <f t="shared" si="66"/>
        <v>0</v>
      </c>
      <c r="AA405" t="str">
        <f t="shared" ca="1" si="62"/>
        <v/>
      </c>
      <c r="AB405" t="str">
        <f t="shared" ca="1" si="63"/>
        <v/>
      </c>
      <c r="AC405" s="24" t="str">
        <f t="shared" ca="1" si="64"/>
        <v/>
      </c>
      <c r="AD405" s="24" t="str">
        <f t="shared" ca="1" si="65"/>
        <v/>
      </c>
    </row>
    <row r="406" spans="3:30" x14ac:dyDescent="0.25">
      <c r="C406" s="6">
        <v>399</v>
      </c>
      <c r="D406" s="35">
        <v>42573</v>
      </c>
      <c r="E406" s="37">
        <v>17.587</v>
      </c>
      <c r="F406" s="37">
        <v>43.387262280927779</v>
      </c>
      <c r="G406" s="37">
        <v>37.36</v>
      </c>
      <c r="H406" s="37">
        <v>3.0133308018823151</v>
      </c>
      <c r="I406" s="37">
        <v>57.364488262656131</v>
      </c>
      <c r="J406" s="10">
        <v>0</v>
      </c>
      <c r="K406" s="38">
        <v>0</v>
      </c>
      <c r="L406" s="38">
        <v>0</v>
      </c>
      <c r="M406" s="38">
        <v>0</v>
      </c>
      <c r="N406" s="38">
        <v>0</v>
      </c>
      <c r="O406" s="38">
        <v>0</v>
      </c>
      <c r="P406" s="38">
        <v>1</v>
      </c>
      <c r="Q406" s="38">
        <v>0</v>
      </c>
      <c r="R406" s="38">
        <v>0</v>
      </c>
      <c r="S406" s="38">
        <v>0</v>
      </c>
      <c r="T406" s="38">
        <v>0</v>
      </c>
      <c r="U406" s="29" cm="1">
        <f t="array" aca="1" ref="U406" ca="1">+fair_value_gap(OFFSET(T405,0,0,-1*$J$5,-1*$AA$1),OFFSET(E405,0,0,-1*$J$5,1),F406:T406,0)</f>
        <v>17.482716199851179</v>
      </c>
      <c r="V406" s="9" t="str" cm="1">
        <f t="array" aca="1" ref="V406" ca="1">z_score_diff(OFFSET(U406,0,0,$J$5*-1,1),OFFSET(E406,0,0,$J$5*-1,1))</f>
        <v/>
      </c>
      <c r="W406" s="9" t="str">
        <f t="shared" ca="1" si="61"/>
        <v/>
      </c>
      <c r="X406" s="17">
        <f t="shared" ca="1" si="60"/>
        <v>-0.10765651006310133</v>
      </c>
      <c r="Y406" s="13">
        <f t="shared" si="66"/>
        <v>0</v>
      </c>
      <c r="Z406" s="13">
        <f t="shared" si="66"/>
        <v>0</v>
      </c>
      <c r="AA406" t="str">
        <f t="shared" ca="1" si="62"/>
        <v/>
      </c>
      <c r="AB406" t="str">
        <f t="shared" ca="1" si="63"/>
        <v/>
      </c>
      <c r="AC406" s="24" t="str">
        <f t="shared" ca="1" si="64"/>
        <v/>
      </c>
      <c r="AD406" s="24" t="str">
        <f t="shared" ca="1" si="65"/>
        <v/>
      </c>
    </row>
    <row r="407" spans="3:30" x14ac:dyDescent="0.25">
      <c r="C407" s="6">
        <v>400</v>
      </c>
      <c r="D407" s="35">
        <v>42576</v>
      </c>
      <c r="E407" s="37">
        <v>17.512</v>
      </c>
      <c r="F407" s="37">
        <v>42.501019447080772</v>
      </c>
      <c r="G407" s="37">
        <v>37.21</v>
      </c>
      <c r="H407" s="37">
        <v>2.9969939843600581</v>
      </c>
      <c r="I407" s="37">
        <v>57.9641371147302</v>
      </c>
      <c r="J407" s="10">
        <v>0</v>
      </c>
      <c r="K407" s="38">
        <v>0</v>
      </c>
      <c r="L407" s="38">
        <v>0</v>
      </c>
      <c r="M407" s="38">
        <v>0</v>
      </c>
      <c r="N407" s="38">
        <v>0</v>
      </c>
      <c r="O407" s="38">
        <v>0</v>
      </c>
      <c r="P407" s="38">
        <v>1</v>
      </c>
      <c r="Q407" s="38">
        <v>0</v>
      </c>
      <c r="R407" s="38">
        <v>0</v>
      </c>
      <c r="S407" s="38">
        <v>0</v>
      </c>
      <c r="T407" s="38">
        <v>0</v>
      </c>
      <c r="U407" s="29" cm="1">
        <f t="array" aca="1" ref="U407" ca="1">+fair_value_gap(OFFSET(T406,0,0,-1*$J$5,-1*$AA$1),OFFSET(E406,0,0,-1*$J$5,1),F407:T407,0)</f>
        <v>17.390149226290163</v>
      </c>
      <c r="V407" s="9" t="str" cm="1">
        <f t="array" aca="1" ref="V407" ca="1">z_score_diff(OFFSET(U407,0,0,$J$5*-1,1),OFFSET(E407,0,0,$J$5*-1,1))</f>
        <v/>
      </c>
      <c r="W407" s="9" t="str">
        <f t="shared" ca="1" si="61"/>
        <v/>
      </c>
      <c r="X407" s="17">
        <f t="shared" ca="1" si="60"/>
        <v>-0.12088571974880429</v>
      </c>
      <c r="Y407" s="13">
        <f t="shared" si="66"/>
        <v>0</v>
      </c>
      <c r="Z407" s="13">
        <f t="shared" si="66"/>
        <v>0</v>
      </c>
      <c r="AA407" t="str">
        <f t="shared" ca="1" si="62"/>
        <v/>
      </c>
      <c r="AB407" t="str">
        <f t="shared" ca="1" si="63"/>
        <v/>
      </c>
      <c r="AC407" s="24" t="str">
        <f t="shared" ca="1" si="64"/>
        <v/>
      </c>
      <c r="AD407" s="24" t="str">
        <f t="shared" ca="1" si="65"/>
        <v/>
      </c>
    </row>
    <row r="408" spans="3:30" x14ac:dyDescent="0.25">
      <c r="C408" s="6">
        <v>401</v>
      </c>
      <c r="D408" s="35">
        <v>42577</v>
      </c>
      <c r="E408" s="37">
        <v>17.364000000000001</v>
      </c>
      <c r="F408" s="37">
        <v>42.500284418729386</v>
      </c>
      <c r="G408" s="37">
        <v>36.86</v>
      </c>
      <c r="H408" s="37">
        <v>2.980527700578409</v>
      </c>
      <c r="I408" s="37">
        <v>59.005599888760678</v>
      </c>
      <c r="J408" s="10">
        <v>0</v>
      </c>
      <c r="K408" s="38">
        <v>0</v>
      </c>
      <c r="L408" s="38">
        <v>0</v>
      </c>
      <c r="M408" s="38">
        <v>0</v>
      </c>
      <c r="N408" s="38">
        <v>0</v>
      </c>
      <c r="O408" s="38">
        <v>0</v>
      </c>
      <c r="P408" s="38">
        <v>1</v>
      </c>
      <c r="Q408" s="38">
        <v>0</v>
      </c>
      <c r="R408" s="38">
        <v>0</v>
      </c>
      <c r="S408" s="38">
        <v>0</v>
      </c>
      <c r="T408" s="38">
        <v>0</v>
      </c>
      <c r="U408" s="29" cm="1">
        <f t="array" aca="1" ref="U408" ca="1">+fair_value_gap(OFFSET(T407,0,0,-1*$J$5,-1*$AA$1),OFFSET(E407,0,0,-1*$J$5,1),F408:T408,0)</f>
        <v>17.341146411180723</v>
      </c>
      <c r="V408" s="9" t="str" cm="1">
        <f t="array" aca="1" ref="V408" ca="1">z_score_diff(OFFSET(U408,0,0,$J$5*-1,1),OFFSET(E408,0,0,$J$5*-1,1))</f>
        <v/>
      </c>
      <c r="W408" s="9" t="str">
        <f t="shared" ca="1" si="61"/>
        <v/>
      </c>
      <c r="X408" s="17">
        <f t="shared" ca="1" si="60"/>
        <v>-0.10853943493959047</v>
      </c>
      <c r="Y408" s="13">
        <f t="shared" si="66"/>
        <v>0</v>
      </c>
      <c r="Z408" s="13">
        <f t="shared" si="66"/>
        <v>0</v>
      </c>
      <c r="AA408" t="str">
        <f t="shared" ca="1" si="62"/>
        <v/>
      </c>
      <c r="AB408" t="str">
        <f t="shared" ca="1" si="63"/>
        <v/>
      </c>
      <c r="AC408" s="24" t="str">
        <f t="shared" ca="1" si="64"/>
        <v/>
      </c>
      <c r="AD408" s="24" t="str">
        <f t="shared" ca="1" si="65"/>
        <v/>
      </c>
    </row>
    <row r="409" spans="3:30" x14ac:dyDescent="0.25">
      <c r="C409" s="6">
        <v>402</v>
      </c>
      <c r="D409" s="35">
        <v>42578</v>
      </c>
      <c r="E409" s="37">
        <v>17.274999999999999</v>
      </c>
      <c r="F409" s="37">
        <v>41.136836705501679</v>
      </c>
      <c r="G409" s="37">
        <v>36.86</v>
      </c>
      <c r="H409" s="37">
        <v>2.9487228926899829</v>
      </c>
      <c r="I409" s="37">
        <v>59.682940543953279</v>
      </c>
      <c r="J409" s="10">
        <v>0</v>
      </c>
      <c r="K409" s="38">
        <v>0</v>
      </c>
      <c r="L409" s="38">
        <v>0</v>
      </c>
      <c r="M409" s="38">
        <v>0</v>
      </c>
      <c r="N409" s="38">
        <v>0</v>
      </c>
      <c r="O409" s="38">
        <v>0</v>
      </c>
      <c r="P409" s="38">
        <v>1</v>
      </c>
      <c r="Q409" s="38">
        <v>0</v>
      </c>
      <c r="R409" s="38">
        <v>0</v>
      </c>
      <c r="S409" s="38">
        <v>0</v>
      </c>
      <c r="T409" s="38">
        <v>0</v>
      </c>
      <c r="U409" s="29" cm="1">
        <f t="array" aca="1" ref="U409" ca="1">+fair_value_gap(OFFSET(T408,0,0,-1*$J$5,-1*$AA$1),OFFSET(E408,0,0,-1*$J$5,1),F409:T409,0)</f>
        <v>17.238487756912026</v>
      </c>
      <c r="V409" s="9" t="str" cm="1">
        <f t="array" aca="1" ref="V409" ca="1">z_score_diff(OFFSET(U409,0,0,$J$5*-1,1),OFFSET(E409,0,0,$J$5*-1,1))</f>
        <v/>
      </c>
      <c r="W409" s="9" t="str">
        <f t="shared" ca="1" si="61"/>
        <v/>
      </c>
      <c r="X409" s="17">
        <f t="shared" ca="1" si="60"/>
        <v>-0.11424372032170908</v>
      </c>
      <c r="Y409" s="13">
        <f t="shared" ref="Y409:Z424" si="67">+Y408</f>
        <v>0</v>
      </c>
      <c r="Z409" s="13">
        <f t="shared" si="67"/>
        <v>0</v>
      </c>
      <c r="AA409" t="str">
        <f t="shared" ca="1" si="62"/>
        <v/>
      </c>
      <c r="AB409" t="str">
        <f t="shared" ca="1" si="63"/>
        <v/>
      </c>
      <c r="AC409" s="24" t="str">
        <f t="shared" ca="1" si="64"/>
        <v/>
      </c>
      <c r="AD409" s="24" t="str">
        <f t="shared" ca="1" si="65"/>
        <v/>
      </c>
    </row>
    <row r="410" spans="3:30" x14ac:dyDescent="0.25">
      <c r="C410" s="6">
        <v>403</v>
      </c>
      <c r="D410" s="35">
        <v>42579</v>
      </c>
      <c r="E410" s="37">
        <v>17.015000000000001</v>
      </c>
      <c r="F410" s="37">
        <v>40.39752887456352</v>
      </c>
      <c r="G410" s="37">
        <v>36.69</v>
      </c>
      <c r="H410" s="37">
        <v>3.0262333243799802</v>
      </c>
      <c r="I410" s="37">
        <v>59.853165010296351</v>
      </c>
      <c r="J410" s="10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38">
        <v>1</v>
      </c>
      <c r="Q410" s="38">
        <v>0</v>
      </c>
      <c r="R410" s="38">
        <v>0</v>
      </c>
      <c r="S410" s="38">
        <v>0</v>
      </c>
      <c r="T410" s="38">
        <v>0</v>
      </c>
      <c r="U410" s="29" cm="1">
        <f t="array" aca="1" ref="U410" ca="1">+fair_value_gap(OFFSET(T409,0,0,-1*$J$5,-1*$AA$1),OFFSET(E409,0,0,-1*$J$5,1),F410:T410,0)</f>
        <v>17.208676303099764</v>
      </c>
      <c r="V410" s="9" t="str" cm="1">
        <f t="array" aca="1" ref="V410" ca="1">z_score_diff(OFFSET(U410,0,0,$J$5*-1,1),OFFSET(E410,0,0,$J$5*-1,1))</f>
        <v/>
      </c>
      <c r="W410" s="9" t="str">
        <f t="shared" ca="1" si="61"/>
        <v/>
      </c>
      <c r="X410" s="17">
        <f t="shared" ca="1" si="60"/>
        <v>-0.10037736010208123</v>
      </c>
      <c r="Y410" s="13">
        <f t="shared" si="67"/>
        <v>0</v>
      </c>
      <c r="Z410" s="13">
        <f t="shared" si="67"/>
        <v>0</v>
      </c>
      <c r="AA410" t="str">
        <f t="shared" ca="1" si="62"/>
        <v/>
      </c>
      <c r="AB410" t="str">
        <f t="shared" ca="1" si="63"/>
        <v/>
      </c>
      <c r="AC410" s="24" t="str">
        <f t="shared" ca="1" si="64"/>
        <v/>
      </c>
      <c r="AD410" s="24" t="str">
        <f t="shared" ca="1" si="65"/>
        <v/>
      </c>
    </row>
    <row r="411" spans="3:30" x14ac:dyDescent="0.25">
      <c r="C411" s="6">
        <v>404</v>
      </c>
      <c r="D411" s="35">
        <v>42580</v>
      </c>
      <c r="E411" s="37">
        <v>16.79</v>
      </c>
      <c r="F411" s="37">
        <v>40.403861168287321</v>
      </c>
      <c r="G411" s="37">
        <v>36.43</v>
      </c>
      <c r="H411" s="37">
        <v>3.0325076300660094</v>
      </c>
      <c r="I411" s="37">
        <v>59.399176662644621</v>
      </c>
      <c r="J411" s="10">
        <v>0</v>
      </c>
      <c r="K411" s="38">
        <v>0</v>
      </c>
      <c r="L411" s="38">
        <v>0</v>
      </c>
      <c r="M411" s="38">
        <v>0</v>
      </c>
      <c r="N411" s="38">
        <v>0</v>
      </c>
      <c r="O411" s="38">
        <v>0</v>
      </c>
      <c r="P411" s="38">
        <v>1</v>
      </c>
      <c r="Q411" s="38">
        <v>0</v>
      </c>
      <c r="R411" s="38">
        <v>0</v>
      </c>
      <c r="S411" s="38">
        <v>0</v>
      </c>
      <c r="T411" s="38">
        <v>0</v>
      </c>
      <c r="U411" s="29" cm="1">
        <f t="array" aca="1" ref="U411" ca="1">+fair_value_gap(OFFSET(T410,0,0,-1*$J$5,-1*$AA$1),OFFSET(E410,0,0,-1*$J$5,1),F411:T411,0)</f>
        <v>17.101053839069202</v>
      </c>
      <c r="V411" s="9" t="str" cm="1">
        <f t="array" aca="1" ref="V411" ca="1">z_score_diff(OFFSET(U411,0,0,$J$5*-1,1),OFFSET(E411,0,0,$J$5*-1,1))</f>
        <v/>
      </c>
      <c r="W411" s="9" t="str">
        <f t="shared" ca="1" si="61"/>
        <v/>
      </c>
      <c r="X411" s="17">
        <f t="shared" ca="1" si="60"/>
        <v>-6.7377568266442117E-2</v>
      </c>
      <c r="Y411" s="13">
        <f t="shared" si="67"/>
        <v>0</v>
      </c>
      <c r="Z411" s="13">
        <f t="shared" si="67"/>
        <v>0</v>
      </c>
      <c r="AA411" t="str">
        <f t="shared" ca="1" si="62"/>
        <v/>
      </c>
      <c r="AB411" t="str">
        <f t="shared" ca="1" si="63"/>
        <v/>
      </c>
      <c r="AC411" s="24" t="str">
        <f t="shared" ca="1" si="64"/>
        <v/>
      </c>
      <c r="AD411" s="24" t="str">
        <f t="shared" ca="1" si="65"/>
        <v/>
      </c>
    </row>
    <row r="412" spans="3:30" x14ac:dyDescent="0.25">
      <c r="C412" s="6">
        <v>405</v>
      </c>
      <c r="D412" s="35">
        <v>42583</v>
      </c>
      <c r="E412" s="37">
        <v>16.477</v>
      </c>
      <c r="F412" s="37">
        <v>39.731567485889514</v>
      </c>
      <c r="G412" s="37">
        <v>36.21</v>
      </c>
      <c r="H412" s="37">
        <v>2.9723123416737032</v>
      </c>
      <c r="I412" s="37">
        <v>58.975156659704005</v>
      </c>
      <c r="J412" s="10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1</v>
      </c>
      <c r="R412" s="38">
        <v>0</v>
      </c>
      <c r="S412" s="38">
        <v>0</v>
      </c>
      <c r="T412" s="38">
        <v>0</v>
      </c>
      <c r="U412" s="29" cm="1">
        <f t="array" aca="1" ref="U412" ca="1">+fair_value_gap(OFFSET(T411,0,0,-1*$J$5,-1*$AA$1),OFFSET(E411,0,0,-1*$J$5,1),F412:T412,0)</f>
        <v>18.952571555697311</v>
      </c>
      <c r="V412" s="9" t="str" cm="1">
        <f t="array" aca="1" ref="V412" ca="1">z_score_diff(OFFSET(U412,0,0,$J$5*-1,1),OFFSET(E412,0,0,$J$5*-1,1))</f>
        <v/>
      </c>
      <c r="W412" s="9" t="str">
        <f t="shared" ca="1" si="61"/>
        <v/>
      </c>
      <c r="X412" s="17">
        <f t="shared" ca="1" si="60"/>
        <v>-2.825237917380383E-2</v>
      </c>
      <c r="Y412" s="13">
        <f t="shared" si="67"/>
        <v>0</v>
      </c>
      <c r="Z412" s="13">
        <f t="shared" si="67"/>
        <v>0</v>
      </c>
      <c r="AA412" t="str">
        <f t="shared" ca="1" si="62"/>
        <v/>
      </c>
      <c r="AB412" t="str">
        <f t="shared" ca="1" si="63"/>
        <v/>
      </c>
      <c r="AC412" s="24" t="str">
        <f t="shared" ca="1" si="64"/>
        <v/>
      </c>
      <c r="AD412" s="24" t="str">
        <f t="shared" ca="1" si="65"/>
        <v/>
      </c>
    </row>
    <row r="413" spans="3:30" x14ac:dyDescent="0.25">
      <c r="C413" s="6">
        <v>406</v>
      </c>
      <c r="D413" s="35">
        <v>42584</v>
      </c>
      <c r="E413" s="37">
        <v>16.248999999999999</v>
      </c>
      <c r="F413" s="37">
        <v>39.133358250034675</v>
      </c>
      <c r="G413" s="37">
        <v>35.909999999999997</v>
      </c>
      <c r="H413" s="37">
        <v>2.9193184840396156</v>
      </c>
      <c r="I413" s="37">
        <v>58.669112391110922</v>
      </c>
      <c r="J413" s="10">
        <v>0</v>
      </c>
      <c r="K413" s="38">
        <v>0</v>
      </c>
      <c r="L413" s="38">
        <v>0</v>
      </c>
      <c r="M413" s="38">
        <v>0</v>
      </c>
      <c r="N413" s="38">
        <v>0</v>
      </c>
      <c r="O413" s="38">
        <v>0</v>
      </c>
      <c r="P413" s="38">
        <v>0</v>
      </c>
      <c r="Q413" s="38">
        <v>1</v>
      </c>
      <c r="R413" s="38">
        <v>0</v>
      </c>
      <c r="S413" s="38">
        <v>0</v>
      </c>
      <c r="T413" s="38">
        <v>0</v>
      </c>
      <c r="U413" s="29" cm="1">
        <f t="array" aca="1" ref="U413" ca="1">+fair_value_gap(OFFSET(T412,0,0,-1*$J$5,-1*$AA$1),OFFSET(E412,0,0,-1*$J$5,1),F413:T413,0)</f>
        <v>17.433869688414259</v>
      </c>
      <c r="V413" s="9" t="str" cm="1">
        <f t="array" aca="1" ref="V413" ca="1">z_score_diff(OFFSET(U413,0,0,$J$5*-1,1),OFFSET(E413,0,0,$J$5*-1,1))</f>
        <v/>
      </c>
      <c r="W413" s="9" t="str">
        <f t="shared" ca="1" si="61"/>
        <v/>
      </c>
      <c r="X413" s="17">
        <f t="shared" ca="1" si="60"/>
        <v>-4.3263584383266329E-2</v>
      </c>
      <c r="Y413" s="13">
        <f t="shared" si="67"/>
        <v>0</v>
      </c>
      <c r="Z413" s="13">
        <f t="shared" si="67"/>
        <v>0</v>
      </c>
      <c r="AA413" t="str">
        <f t="shared" ca="1" si="62"/>
        <v/>
      </c>
      <c r="AB413" t="str">
        <f t="shared" ca="1" si="63"/>
        <v/>
      </c>
      <c r="AC413" s="24" t="str">
        <f t="shared" ca="1" si="64"/>
        <v/>
      </c>
      <c r="AD413" s="24" t="str">
        <f t="shared" ca="1" si="65"/>
        <v/>
      </c>
    </row>
    <row r="414" spans="3:30" x14ac:dyDescent="0.25">
      <c r="C414" s="6">
        <v>407</v>
      </c>
      <c r="D414" s="35">
        <v>42585</v>
      </c>
      <c r="E414" s="37">
        <v>16.21</v>
      </c>
      <c r="F414" s="37">
        <v>40.396886058536332</v>
      </c>
      <c r="G414" s="37">
        <v>35.729999999999997</v>
      </c>
      <c r="H414" s="37">
        <v>3.0057418745756768</v>
      </c>
      <c r="I414" s="37">
        <v>57.970421293252031</v>
      </c>
      <c r="J414" s="10">
        <v>0</v>
      </c>
      <c r="K414" s="38">
        <v>0</v>
      </c>
      <c r="L414" s="38">
        <v>0</v>
      </c>
      <c r="M414" s="38">
        <v>0</v>
      </c>
      <c r="N414" s="38">
        <v>0</v>
      </c>
      <c r="O414" s="38">
        <v>0</v>
      </c>
      <c r="P414" s="38">
        <v>0</v>
      </c>
      <c r="Q414" s="38">
        <v>1</v>
      </c>
      <c r="R414" s="38">
        <v>0</v>
      </c>
      <c r="S414" s="38">
        <v>0</v>
      </c>
      <c r="T414" s="38">
        <v>0</v>
      </c>
      <c r="U414" s="29" cm="1">
        <f t="array" aca="1" ref="U414" ca="1">+fair_value_gap(OFFSET(T413,0,0,-1*$J$5,-1*$AA$1),OFFSET(E413,0,0,-1*$J$5,1),F414:T414,0)</f>
        <v>17.175331543573158</v>
      </c>
      <c r="V414" s="9" t="str" cm="1">
        <f t="array" aca="1" ref="V414" ca="1">z_score_diff(OFFSET(U414,0,0,$J$5*-1,1),OFFSET(E414,0,0,$J$5*-1,1))</f>
        <v/>
      </c>
      <c r="W414" s="9" t="str">
        <f t="shared" ca="1" si="61"/>
        <v/>
      </c>
      <c r="X414" s="17">
        <f t="shared" ca="1" si="60"/>
        <v>-5.986920086460145E-2</v>
      </c>
      <c r="Y414" s="13">
        <f t="shared" si="67"/>
        <v>0</v>
      </c>
      <c r="Z414" s="13">
        <f t="shared" si="67"/>
        <v>0</v>
      </c>
      <c r="AA414" t="str">
        <f t="shared" ca="1" si="62"/>
        <v/>
      </c>
      <c r="AB414" t="str">
        <f t="shared" ca="1" si="63"/>
        <v/>
      </c>
      <c r="AC414" s="24" t="str">
        <f t="shared" ca="1" si="64"/>
        <v/>
      </c>
      <c r="AD414" s="24" t="str">
        <f t="shared" ca="1" si="65"/>
        <v/>
      </c>
    </row>
    <row r="415" spans="3:30" x14ac:dyDescent="0.25">
      <c r="C415" s="6">
        <v>408</v>
      </c>
      <c r="D415" s="35">
        <v>42586</v>
      </c>
      <c r="E415" s="37">
        <v>16.175000000000001</v>
      </c>
      <c r="F415" s="37">
        <v>41.357163998673435</v>
      </c>
      <c r="G415" s="37">
        <v>35.49</v>
      </c>
      <c r="H415" s="37">
        <v>3.0061728174935722</v>
      </c>
      <c r="I415" s="37">
        <v>56.388028086141297</v>
      </c>
      <c r="J415" s="10">
        <v>0</v>
      </c>
      <c r="K415" s="38">
        <v>0</v>
      </c>
      <c r="L415" s="38">
        <v>0</v>
      </c>
      <c r="M415" s="38">
        <v>0</v>
      </c>
      <c r="N415" s="38">
        <v>0</v>
      </c>
      <c r="O415" s="38">
        <v>0</v>
      </c>
      <c r="P415" s="38">
        <v>0</v>
      </c>
      <c r="Q415" s="38">
        <v>1</v>
      </c>
      <c r="R415" s="38">
        <v>0</v>
      </c>
      <c r="S415" s="38">
        <v>0</v>
      </c>
      <c r="T415" s="38">
        <v>0</v>
      </c>
      <c r="U415" s="29" cm="1">
        <f t="array" aca="1" ref="U415" ca="1">+fair_value_gap(OFFSET(T414,0,0,-1*$J$5,-1*$AA$1),OFFSET(E414,0,0,-1*$J$5,1),F415:T415,0)</f>
        <v>17.025916904092085</v>
      </c>
      <c r="V415" s="9" t="str" cm="1">
        <f t="array" aca="1" ref="V415" ca="1">z_score_diff(OFFSET(U415,0,0,$J$5*-1,1),OFFSET(E415,0,0,$J$5*-1,1))</f>
        <v/>
      </c>
      <c r="W415" s="9" t="str">
        <f t="shared" ca="1" si="61"/>
        <v/>
      </c>
      <c r="X415" s="17">
        <f t="shared" ca="1" si="60"/>
        <v>-6.3619829405243217E-2</v>
      </c>
      <c r="Y415" s="13">
        <f t="shared" si="67"/>
        <v>0</v>
      </c>
      <c r="Z415" s="13">
        <f t="shared" si="67"/>
        <v>0</v>
      </c>
      <c r="AA415" t="str">
        <f t="shared" ca="1" si="62"/>
        <v/>
      </c>
      <c r="AB415" t="str">
        <f t="shared" ca="1" si="63"/>
        <v/>
      </c>
      <c r="AC415" s="24" t="str">
        <f t="shared" ca="1" si="64"/>
        <v/>
      </c>
      <c r="AD415" s="24" t="str">
        <f t="shared" ca="1" si="65"/>
        <v/>
      </c>
    </row>
    <row r="416" spans="3:30" x14ac:dyDescent="0.25">
      <c r="C416" s="6">
        <v>409</v>
      </c>
      <c r="D416" s="35">
        <v>42587</v>
      </c>
      <c r="E416" s="37">
        <v>15.965999999999999</v>
      </c>
      <c r="F416" s="37">
        <v>41.502204413121426</v>
      </c>
      <c r="G416" s="37">
        <v>35.119999999999997</v>
      </c>
      <c r="H416" s="37">
        <v>2.9779934516357933</v>
      </c>
      <c r="I416" s="37">
        <v>54.897805966903825</v>
      </c>
      <c r="J416" s="10">
        <v>0</v>
      </c>
      <c r="K416" s="38">
        <v>0</v>
      </c>
      <c r="L416" s="38">
        <v>0</v>
      </c>
      <c r="M416" s="38">
        <v>0</v>
      </c>
      <c r="N416" s="38">
        <v>0</v>
      </c>
      <c r="O416" s="38">
        <v>0</v>
      </c>
      <c r="P416" s="38">
        <v>0</v>
      </c>
      <c r="Q416" s="38">
        <v>1</v>
      </c>
      <c r="R416" s="38">
        <v>0</v>
      </c>
      <c r="S416" s="38">
        <v>0</v>
      </c>
      <c r="T416" s="38">
        <v>0</v>
      </c>
      <c r="U416" s="29" cm="1">
        <f t="array" aca="1" ref="U416" ca="1">+fair_value_gap(OFFSET(T415,0,0,-1*$J$5,-1*$AA$1),OFFSET(E415,0,0,-1*$J$5,1),F416:T416,0)</f>
        <v>16.800936717240798</v>
      </c>
      <c r="V416" s="9" t="str" cm="1">
        <f t="array" aca="1" ref="V416" ca="1">z_score_diff(OFFSET(U416,0,0,$J$5*-1,1),OFFSET(E416,0,0,$J$5*-1,1))</f>
        <v/>
      </c>
      <c r="W416" s="9" t="str">
        <f t="shared" ca="1" si="61"/>
        <v/>
      </c>
      <c r="X416" s="17">
        <f t="shared" ca="1" si="60"/>
        <v>-5.199898977408722E-2</v>
      </c>
      <c r="Y416" s="13">
        <f t="shared" si="67"/>
        <v>0</v>
      </c>
      <c r="Z416" s="13">
        <f t="shared" si="67"/>
        <v>0</v>
      </c>
      <c r="AA416" t="str">
        <f t="shared" ca="1" si="62"/>
        <v/>
      </c>
      <c r="AB416" t="str">
        <f t="shared" ca="1" si="63"/>
        <v/>
      </c>
      <c r="AC416" s="24" t="str">
        <f t="shared" ca="1" si="64"/>
        <v/>
      </c>
      <c r="AD416" s="24" t="str">
        <f t="shared" ca="1" si="65"/>
        <v/>
      </c>
    </row>
    <row r="417" spans="3:30" x14ac:dyDescent="0.25">
      <c r="C417" s="6">
        <v>410</v>
      </c>
      <c r="D417" s="35">
        <v>42590</v>
      </c>
      <c r="E417" s="37">
        <v>16.053000000000001</v>
      </c>
      <c r="F417" s="37">
        <v>42.425049823728166</v>
      </c>
      <c r="G417" s="37">
        <v>35.47</v>
      </c>
      <c r="H417" s="37">
        <v>2.9585772363902318</v>
      </c>
      <c r="I417" s="37">
        <v>57.445931531602412</v>
      </c>
      <c r="J417" s="10">
        <v>0</v>
      </c>
      <c r="K417" s="38">
        <v>0</v>
      </c>
      <c r="L417" s="38">
        <v>0</v>
      </c>
      <c r="M417" s="38">
        <v>0</v>
      </c>
      <c r="N417" s="38">
        <v>0</v>
      </c>
      <c r="O417" s="38">
        <v>0</v>
      </c>
      <c r="P417" s="38">
        <v>0</v>
      </c>
      <c r="Q417" s="38">
        <v>1</v>
      </c>
      <c r="R417" s="38">
        <v>0</v>
      </c>
      <c r="S417" s="38">
        <v>0</v>
      </c>
      <c r="T417" s="38">
        <v>0</v>
      </c>
      <c r="U417" s="29" cm="1">
        <f t="array" aca="1" ref="U417" ca="1">+fair_value_gap(OFFSET(T416,0,0,-1*$J$5,-1*$AA$1),OFFSET(E416,0,0,-1*$J$5,1),F417:T417,0)</f>
        <v>16.776059890594002</v>
      </c>
      <c r="V417" s="9" t="str" cm="1">
        <f t="array" aca="1" ref="V417" ca="1">z_score_diff(OFFSET(U417,0,0,$J$5*-1,1),OFFSET(E417,0,0,$J$5*-1,1))</f>
        <v/>
      </c>
      <c r="W417" s="9" t="str">
        <f t="shared" ca="1" si="61"/>
        <v/>
      </c>
      <c r="X417" s="17">
        <f t="shared" ca="1" si="60"/>
        <v>-6.1465939931028259E-2</v>
      </c>
      <c r="Y417" s="13">
        <f t="shared" si="67"/>
        <v>0</v>
      </c>
      <c r="Z417" s="13">
        <f t="shared" si="67"/>
        <v>0</v>
      </c>
      <c r="AA417" t="str">
        <f t="shared" ca="1" si="62"/>
        <v/>
      </c>
      <c r="AB417" t="str">
        <f t="shared" ca="1" si="63"/>
        <v/>
      </c>
      <c r="AC417" s="24" t="str">
        <f t="shared" ca="1" si="64"/>
        <v/>
      </c>
      <c r="AD417" s="24" t="str">
        <f t="shared" ca="1" si="65"/>
        <v/>
      </c>
    </row>
    <row r="418" spans="3:30" x14ac:dyDescent="0.25">
      <c r="C418" s="6">
        <v>411</v>
      </c>
      <c r="D418" s="35">
        <v>42591</v>
      </c>
      <c r="E418" s="37">
        <v>16.065999999999999</v>
      </c>
      <c r="F418" s="37">
        <v>42.02381408921498</v>
      </c>
      <c r="G418" s="37">
        <v>35.340000000000003</v>
      </c>
      <c r="H418" s="37">
        <v>2.8770972888753721</v>
      </c>
      <c r="I418" s="37">
        <v>57.657885841845271</v>
      </c>
      <c r="J418" s="10">
        <v>0</v>
      </c>
      <c r="K418" s="38">
        <v>0</v>
      </c>
      <c r="L418" s="38">
        <v>0</v>
      </c>
      <c r="M418" s="38">
        <v>0</v>
      </c>
      <c r="N418" s="38">
        <v>0</v>
      </c>
      <c r="O418" s="38">
        <v>0</v>
      </c>
      <c r="P418" s="38">
        <v>0</v>
      </c>
      <c r="Q418" s="38">
        <v>1</v>
      </c>
      <c r="R418" s="38">
        <v>0</v>
      </c>
      <c r="S418" s="38">
        <v>0</v>
      </c>
      <c r="T418" s="38">
        <v>0</v>
      </c>
      <c r="U418" s="29" cm="1">
        <f t="array" aca="1" ref="U418" ca="1">+fair_value_gap(OFFSET(T417,0,0,-1*$J$5,-1*$AA$1),OFFSET(E417,0,0,-1*$J$5,1),F418:T418,0)</f>
        <v>16.539733672697249</v>
      </c>
      <c r="V418" s="9" t="str" cm="1">
        <f t="array" aca="1" ref="V418" ca="1">z_score_diff(OFFSET(U418,0,0,$J$5*-1,1),OFFSET(E418,0,0,$J$5*-1,1))</f>
        <v/>
      </c>
      <c r="W418" s="9" t="str">
        <f t="shared" ca="1" si="61"/>
        <v/>
      </c>
      <c r="X418" s="17">
        <f t="shared" ca="1" si="60"/>
        <v>-6.9655536982994273E-2</v>
      </c>
      <c r="Y418" s="13">
        <f t="shared" si="67"/>
        <v>0</v>
      </c>
      <c r="Z418" s="13">
        <f t="shared" si="67"/>
        <v>0</v>
      </c>
      <c r="AA418" t="str">
        <f t="shared" ca="1" si="62"/>
        <v/>
      </c>
      <c r="AB418" t="str">
        <f t="shared" ca="1" si="63"/>
        <v/>
      </c>
      <c r="AC418" s="24" t="str">
        <f t="shared" ca="1" si="64"/>
        <v/>
      </c>
      <c r="AD418" s="24" t="str">
        <f t="shared" ca="1" si="65"/>
        <v/>
      </c>
    </row>
    <row r="419" spans="3:30" x14ac:dyDescent="0.25">
      <c r="C419" s="6">
        <v>412</v>
      </c>
      <c r="D419" s="35">
        <v>42592</v>
      </c>
      <c r="E419" s="37">
        <v>15.974</v>
      </c>
      <c r="F419" s="37">
        <v>41.12381427370854</v>
      </c>
      <c r="G419" s="37">
        <v>35.49</v>
      </c>
      <c r="H419" s="37">
        <v>2.832697780787174</v>
      </c>
      <c r="I419" s="37">
        <v>56.174739825760689</v>
      </c>
      <c r="J419" s="10">
        <v>0</v>
      </c>
      <c r="K419" s="38">
        <v>0</v>
      </c>
      <c r="L419" s="38">
        <v>0</v>
      </c>
      <c r="M419" s="38">
        <v>0</v>
      </c>
      <c r="N419" s="38">
        <v>0</v>
      </c>
      <c r="O419" s="38">
        <v>0</v>
      </c>
      <c r="P419" s="38">
        <v>0</v>
      </c>
      <c r="Q419" s="38">
        <v>1</v>
      </c>
      <c r="R419" s="38">
        <v>0</v>
      </c>
      <c r="S419" s="38">
        <v>0</v>
      </c>
      <c r="T419" s="38">
        <v>0</v>
      </c>
      <c r="U419" s="29" cm="1">
        <f t="array" aca="1" ref="U419" ca="1">+fair_value_gap(OFFSET(T418,0,0,-1*$J$5,-1*$AA$1),OFFSET(E418,0,0,-1*$J$5,1),F419:T419,0)</f>
        <v>16.506309220271007</v>
      </c>
      <c r="V419" s="9" t="str" cm="1">
        <f t="array" aca="1" ref="V419" ca="1">z_score_diff(OFFSET(U419,0,0,$J$5*-1,1),OFFSET(E419,0,0,$J$5*-1,1))</f>
        <v/>
      </c>
      <c r="W419" s="9" t="str">
        <f t="shared" ca="1" si="61"/>
        <v/>
      </c>
      <c r="X419" s="17">
        <f t="shared" ca="1" si="60"/>
        <v>-7.5659772215489779E-2</v>
      </c>
      <c r="Y419" s="13">
        <f t="shared" si="67"/>
        <v>0</v>
      </c>
      <c r="Z419" s="13">
        <f t="shared" si="67"/>
        <v>0</v>
      </c>
      <c r="AA419" t="str">
        <f t="shared" ca="1" si="62"/>
        <v/>
      </c>
      <c r="AB419" t="str">
        <f t="shared" ca="1" si="63"/>
        <v/>
      </c>
      <c r="AC419" s="24" t="str">
        <f t="shared" ca="1" si="64"/>
        <v/>
      </c>
      <c r="AD419" s="24" t="str">
        <f t="shared" ca="1" si="65"/>
        <v/>
      </c>
    </row>
    <row r="420" spans="3:30" x14ac:dyDescent="0.25">
      <c r="C420" s="6">
        <v>413</v>
      </c>
      <c r="D420" s="35">
        <v>42593</v>
      </c>
      <c r="E420" s="37">
        <v>15.95</v>
      </c>
      <c r="F420" s="37">
        <v>42.82115420247716</v>
      </c>
      <c r="G420" s="37">
        <v>35.22</v>
      </c>
      <c r="H420" s="37">
        <v>2.8372243839169911</v>
      </c>
      <c r="I420" s="37">
        <v>57.81345761890509</v>
      </c>
      <c r="J420" s="10">
        <v>0</v>
      </c>
      <c r="K420" s="38">
        <v>0</v>
      </c>
      <c r="L420" s="38">
        <v>0</v>
      </c>
      <c r="M420" s="38">
        <v>0</v>
      </c>
      <c r="N420" s="38">
        <v>0</v>
      </c>
      <c r="O420" s="38">
        <v>0</v>
      </c>
      <c r="P420" s="38">
        <v>0</v>
      </c>
      <c r="Q420" s="38">
        <v>1</v>
      </c>
      <c r="R420" s="38">
        <v>0</v>
      </c>
      <c r="S420" s="38">
        <v>0</v>
      </c>
      <c r="T420" s="38">
        <v>0</v>
      </c>
      <c r="U420" s="29" cm="1">
        <f t="array" aca="1" ref="U420" ca="1">+fair_value_gap(OFFSET(T419,0,0,-1*$J$5,-1*$AA$1),OFFSET(E419,0,0,-1*$J$5,1),F420:T420,0)</f>
        <v>16.443968861468704</v>
      </c>
      <c r="V420" s="9" t="str" cm="1">
        <f t="array" aca="1" ref="V420" ca="1">z_score_diff(OFFSET(U420,0,0,$J$5*-1,1),OFFSET(E420,0,0,$J$5*-1,1))</f>
        <v/>
      </c>
      <c r="W420" s="9" t="str">
        <f t="shared" ca="1" si="61"/>
        <v/>
      </c>
      <c r="X420" s="17">
        <f t="shared" ca="1" si="60"/>
        <v>-7.4156200951146112E-2</v>
      </c>
      <c r="Y420" s="13">
        <f t="shared" si="67"/>
        <v>0</v>
      </c>
      <c r="Z420" s="13">
        <f t="shared" si="67"/>
        <v>0</v>
      </c>
      <c r="AA420" t="str">
        <f t="shared" ca="1" si="62"/>
        <v/>
      </c>
      <c r="AB420" t="str">
        <f t="shared" ca="1" si="63"/>
        <v/>
      </c>
      <c r="AC420" s="24" t="str">
        <f t="shared" ca="1" si="64"/>
        <v/>
      </c>
      <c r="AD420" s="24" t="str">
        <f t="shared" ca="1" si="65"/>
        <v/>
      </c>
    </row>
    <row r="421" spans="3:30" x14ac:dyDescent="0.25">
      <c r="C421" s="6">
        <v>414</v>
      </c>
      <c r="D421" s="35">
        <v>42594</v>
      </c>
      <c r="E421" s="37">
        <v>15.897</v>
      </c>
      <c r="F421" s="37">
        <v>43.417538659999884</v>
      </c>
      <c r="G421" s="37">
        <v>35.32</v>
      </c>
      <c r="H421" s="37">
        <v>2.8403083915698724</v>
      </c>
      <c r="I421" s="37">
        <v>58.90286091995074</v>
      </c>
      <c r="J421" s="10">
        <v>0</v>
      </c>
      <c r="K421" s="38">
        <v>0</v>
      </c>
      <c r="L421" s="38">
        <v>0</v>
      </c>
      <c r="M421" s="38">
        <v>0</v>
      </c>
      <c r="N421" s="38">
        <v>0</v>
      </c>
      <c r="O421" s="38">
        <v>0</v>
      </c>
      <c r="P421" s="38">
        <v>0</v>
      </c>
      <c r="Q421" s="38">
        <v>1</v>
      </c>
      <c r="R421" s="38">
        <v>0</v>
      </c>
      <c r="S421" s="38">
        <v>0</v>
      </c>
      <c r="T421" s="38">
        <v>0</v>
      </c>
      <c r="U421" s="29" cm="1">
        <f t="array" aca="1" ref="U421" ca="1">+fair_value_gap(OFFSET(T420,0,0,-1*$J$5,-1*$AA$1),OFFSET(E420,0,0,-1*$J$5,1),F421:T421,0)</f>
        <v>16.430095124333661</v>
      </c>
      <c r="V421" s="9" t="str" cm="1">
        <f t="array" aca="1" ref="V421" ca="1">z_score_diff(OFFSET(U421,0,0,$J$5*-1,1),OFFSET(E421,0,0,$J$5*-1,1))</f>
        <v/>
      </c>
      <c r="W421" s="9" t="str">
        <f t="shared" ca="1" si="61"/>
        <v/>
      </c>
      <c r="X421" s="17">
        <f t="shared" ca="1" si="60"/>
        <v>-7.6651596661960003E-2</v>
      </c>
      <c r="Y421" s="13">
        <f t="shared" si="67"/>
        <v>0</v>
      </c>
      <c r="Z421" s="13">
        <f t="shared" si="67"/>
        <v>0</v>
      </c>
      <c r="AA421" t="str">
        <f t="shared" ca="1" si="62"/>
        <v/>
      </c>
      <c r="AB421" t="str">
        <f t="shared" ca="1" si="63"/>
        <v/>
      </c>
      <c r="AC421" s="24" t="str">
        <f t="shared" ca="1" si="64"/>
        <v/>
      </c>
      <c r="AD421" s="24" t="str">
        <f t="shared" ca="1" si="65"/>
        <v/>
      </c>
    </row>
    <row r="422" spans="3:30" x14ac:dyDescent="0.25">
      <c r="C422" s="6">
        <v>415</v>
      </c>
      <c r="D422" s="35">
        <v>42597</v>
      </c>
      <c r="E422" s="37">
        <v>15.807</v>
      </c>
      <c r="F422" s="37">
        <v>44.489313250008649</v>
      </c>
      <c r="G422" s="37">
        <v>34.479999999999997</v>
      </c>
      <c r="H422" s="37">
        <v>2.8432352735050395</v>
      </c>
      <c r="I422" s="37">
        <v>58.372817783660395</v>
      </c>
      <c r="J422" s="10">
        <v>0</v>
      </c>
      <c r="K422" s="38">
        <v>0</v>
      </c>
      <c r="L422" s="38">
        <v>0</v>
      </c>
      <c r="M422" s="38">
        <v>0</v>
      </c>
      <c r="N422" s="38">
        <v>0</v>
      </c>
      <c r="O422" s="38">
        <v>0</v>
      </c>
      <c r="P422" s="38">
        <v>0</v>
      </c>
      <c r="Q422" s="38">
        <v>1</v>
      </c>
      <c r="R422" s="38">
        <v>0</v>
      </c>
      <c r="S422" s="38">
        <v>0</v>
      </c>
      <c r="T422" s="38">
        <v>0</v>
      </c>
      <c r="U422" s="29" cm="1">
        <f t="array" aca="1" ref="U422" ca="1">+fair_value_gap(OFFSET(T421,0,0,-1*$J$5,-1*$AA$1),OFFSET(E421,0,0,-1*$J$5,1),F422:T422,0)</f>
        <v>16.197509670346243</v>
      </c>
      <c r="V422" s="9" t="str" cm="1">
        <f t="array" aca="1" ref="V422" ca="1">z_score_diff(OFFSET(U422,0,0,$J$5*-1,1),OFFSET(E422,0,0,$J$5*-1,1))</f>
        <v/>
      </c>
      <c r="W422" s="9" t="str">
        <f t="shared" ca="1" si="61"/>
        <v/>
      </c>
      <c r="X422" s="17">
        <f t="shared" ca="1" si="60"/>
        <v>-7.0091541664132589E-2</v>
      </c>
      <c r="Y422" s="13">
        <f t="shared" si="67"/>
        <v>0</v>
      </c>
      <c r="Z422" s="13">
        <f t="shared" si="67"/>
        <v>0</v>
      </c>
      <c r="AA422" t="str">
        <f t="shared" ca="1" si="62"/>
        <v/>
      </c>
      <c r="AB422" t="str">
        <f t="shared" ca="1" si="63"/>
        <v/>
      </c>
      <c r="AC422" s="24" t="str">
        <f t="shared" ca="1" si="64"/>
        <v/>
      </c>
      <c r="AD422" s="24" t="str">
        <f t="shared" ca="1" si="65"/>
        <v/>
      </c>
    </row>
    <row r="423" spans="3:30" x14ac:dyDescent="0.25">
      <c r="C423" s="6">
        <v>416</v>
      </c>
      <c r="D423" s="35">
        <v>42598</v>
      </c>
      <c r="E423" s="37">
        <v>15.94</v>
      </c>
      <c r="F423" s="37">
        <v>44.850821311970101</v>
      </c>
      <c r="G423" s="37">
        <v>34.58</v>
      </c>
      <c r="H423" s="37">
        <v>2.8381473038920273</v>
      </c>
      <c r="I423" s="37">
        <v>57.757089429792806</v>
      </c>
      <c r="J423" s="10">
        <v>0</v>
      </c>
      <c r="K423" s="38">
        <v>0</v>
      </c>
      <c r="L423" s="38">
        <v>0</v>
      </c>
      <c r="M423" s="38">
        <v>0</v>
      </c>
      <c r="N423" s="38">
        <v>0</v>
      </c>
      <c r="O423" s="38">
        <v>0</v>
      </c>
      <c r="P423" s="38">
        <v>0</v>
      </c>
      <c r="Q423" s="38">
        <v>1</v>
      </c>
      <c r="R423" s="38">
        <v>0</v>
      </c>
      <c r="S423" s="38">
        <v>0</v>
      </c>
      <c r="T423" s="38">
        <v>0</v>
      </c>
      <c r="U423" s="29" cm="1">
        <f t="array" aca="1" ref="U423" ca="1">+fair_value_gap(OFFSET(T422,0,0,-1*$J$5,-1*$AA$1),OFFSET(E422,0,0,-1*$J$5,1),F423:T423,0)</f>
        <v>16.285815971260341</v>
      </c>
      <c r="V423" s="9" t="str" cm="1">
        <f t="array" aca="1" ref="V423" ca="1">z_score_diff(OFFSET(U423,0,0,$J$5*-1,1),OFFSET(E423,0,0,$J$5*-1,1))</f>
        <v/>
      </c>
      <c r="W423" s="9" t="str">
        <f t="shared" ca="1" si="61"/>
        <v/>
      </c>
      <c r="X423" s="17">
        <f t="shared" ca="1" si="60"/>
        <v>-7.8063279494386212E-2</v>
      </c>
      <c r="Y423" s="13">
        <f t="shared" si="67"/>
        <v>0</v>
      </c>
      <c r="Z423" s="13">
        <f t="shared" si="67"/>
        <v>0</v>
      </c>
      <c r="AA423" t="str">
        <f t="shared" ca="1" si="62"/>
        <v/>
      </c>
      <c r="AB423" t="str">
        <f t="shared" ca="1" si="63"/>
        <v/>
      </c>
      <c r="AC423" s="24" t="str">
        <f t="shared" ca="1" si="64"/>
        <v/>
      </c>
      <c r="AD423" s="24" t="str">
        <f t="shared" ca="1" si="65"/>
        <v/>
      </c>
    </row>
    <row r="424" spans="3:30" x14ac:dyDescent="0.25">
      <c r="C424" s="6">
        <v>417</v>
      </c>
      <c r="D424" s="35">
        <v>42599</v>
      </c>
      <c r="E424" s="37">
        <v>16.135999999999999</v>
      </c>
      <c r="F424" s="37">
        <v>45.362278452302355</v>
      </c>
      <c r="G424" s="37">
        <v>34.26</v>
      </c>
      <c r="H424" s="37">
        <v>2.8281094918809431</v>
      </c>
      <c r="I424" s="37">
        <v>57.845696165920437</v>
      </c>
      <c r="J424" s="10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1</v>
      </c>
      <c r="R424" s="38">
        <v>0</v>
      </c>
      <c r="S424" s="38">
        <v>0</v>
      </c>
      <c r="T424" s="38">
        <v>0</v>
      </c>
      <c r="U424" s="29" cm="1">
        <f t="array" aca="1" ref="U424" ca="1">+fair_value_gap(OFFSET(T423,0,0,-1*$J$5,-1*$AA$1),OFFSET(E423,0,0,-1*$J$5,1),F424:T424,0)</f>
        <v>16.189641720833436</v>
      </c>
      <c r="V424" s="9" t="str" cm="1">
        <f t="array" aca="1" ref="V424" ca="1">z_score_diff(OFFSET(U424,0,0,$J$5*-1,1),OFFSET(E424,0,0,$J$5*-1,1))</f>
        <v/>
      </c>
      <c r="W424" s="9" t="str">
        <f t="shared" ca="1" si="61"/>
        <v/>
      </c>
      <c r="X424" s="17">
        <f t="shared" ca="1" si="60"/>
        <v>-9.5725486656968464E-2</v>
      </c>
      <c r="Y424" s="13">
        <f t="shared" si="67"/>
        <v>0</v>
      </c>
      <c r="Z424" s="13">
        <f t="shared" si="67"/>
        <v>0</v>
      </c>
      <c r="AA424" t="str">
        <f t="shared" ca="1" si="62"/>
        <v/>
      </c>
      <c r="AB424" t="str">
        <f t="shared" ca="1" si="63"/>
        <v/>
      </c>
      <c r="AC424" s="24" t="str">
        <f t="shared" ca="1" si="64"/>
        <v/>
      </c>
      <c r="AD424" s="24" t="str">
        <f t="shared" ca="1" si="65"/>
        <v/>
      </c>
    </row>
    <row r="425" spans="3:30" x14ac:dyDescent="0.25">
      <c r="C425" s="6">
        <v>418</v>
      </c>
      <c r="D425" s="35">
        <v>42600</v>
      </c>
      <c r="E425" s="37">
        <v>16.108000000000001</v>
      </c>
      <c r="F425" s="37">
        <v>46.032292509528894</v>
      </c>
      <c r="G425" s="37">
        <v>34.33</v>
      </c>
      <c r="H425" s="37">
        <v>2.8285218461151298</v>
      </c>
      <c r="I425" s="37">
        <v>56.273341640350438</v>
      </c>
      <c r="J425" s="10">
        <v>0</v>
      </c>
      <c r="K425" s="38">
        <v>0</v>
      </c>
      <c r="L425" s="38">
        <v>0</v>
      </c>
      <c r="M425" s="38">
        <v>0</v>
      </c>
      <c r="N425" s="38">
        <v>0</v>
      </c>
      <c r="O425" s="38">
        <v>0</v>
      </c>
      <c r="P425" s="38">
        <v>0</v>
      </c>
      <c r="Q425" s="38">
        <v>1</v>
      </c>
      <c r="R425" s="38">
        <v>0</v>
      </c>
      <c r="S425" s="38">
        <v>0</v>
      </c>
      <c r="T425" s="38">
        <v>0</v>
      </c>
      <c r="U425" s="29" cm="1">
        <f t="array" aca="1" ref="U425" ca="1">+fair_value_gap(OFFSET(T424,0,0,-1*$J$5,-1*$AA$1),OFFSET(E424,0,0,-1*$J$5,1),F425:T425,0)</f>
        <v>16.383258246154412</v>
      </c>
      <c r="V425" s="9" t="str" cm="1">
        <f t="array" aca="1" ref="V425" ca="1">z_score_diff(OFFSET(U425,0,0,$J$5*-1,1),OFFSET(E425,0,0,$J$5*-1,1))</f>
        <v/>
      </c>
      <c r="W425" s="9" t="str">
        <f t="shared" ca="1" si="61"/>
        <v/>
      </c>
      <c r="X425" s="17">
        <f t="shared" ca="1" si="60"/>
        <v>-7.4470972835946087E-2</v>
      </c>
      <c r="Y425" s="13">
        <f t="shared" ref="Y425:Z440" si="68">+Y424</f>
        <v>0</v>
      </c>
      <c r="Z425" s="13">
        <f t="shared" si="68"/>
        <v>0</v>
      </c>
      <c r="AA425" t="str">
        <f t="shared" ca="1" si="62"/>
        <v/>
      </c>
      <c r="AB425" t="str">
        <f t="shared" ca="1" si="63"/>
        <v/>
      </c>
      <c r="AC425" s="24" t="str">
        <f t="shared" ca="1" si="64"/>
        <v/>
      </c>
      <c r="AD425" s="24" t="str">
        <f t="shared" ca="1" si="65"/>
        <v/>
      </c>
    </row>
    <row r="426" spans="3:30" x14ac:dyDescent="0.25">
      <c r="C426" s="6">
        <v>419</v>
      </c>
      <c r="D426" s="35">
        <v>42601</v>
      </c>
      <c r="E426" s="37">
        <v>15.792</v>
      </c>
      <c r="F426" s="37">
        <v>46.216849528064294</v>
      </c>
      <c r="G426" s="37">
        <v>33.85</v>
      </c>
      <c r="H426" s="37">
        <v>2.7654775200928543</v>
      </c>
      <c r="I426" s="37">
        <v>55.405908503602475</v>
      </c>
      <c r="J426" s="10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8">
        <v>1</v>
      </c>
      <c r="R426" s="38">
        <v>0</v>
      </c>
      <c r="S426" s="38">
        <v>0</v>
      </c>
      <c r="T426" s="38">
        <v>0</v>
      </c>
      <c r="U426" s="29" cm="1">
        <f t="array" aca="1" ref="U426" ca="1">+fair_value_gap(OFFSET(T425,0,0,-1*$J$5,-1*$AA$1),OFFSET(E425,0,0,-1*$J$5,1),F426:T426,0)</f>
        <v>16.202429718790288</v>
      </c>
      <c r="V426" s="9" t="str" cm="1">
        <f t="array" aca="1" ref="V426" ca="1">z_score_diff(OFFSET(U426,0,0,$J$5*-1,1),OFFSET(E426,0,0,$J$5*-1,1))</f>
        <v/>
      </c>
      <c r="W426" s="9" t="str">
        <f t="shared" ca="1" si="61"/>
        <v/>
      </c>
      <c r="X426" s="17">
        <f t="shared" ca="1" si="60"/>
        <v>-5.0586990260957927E-2</v>
      </c>
      <c r="Y426" s="13">
        <f t="shared" si="68"/>
        <v>0</v>
      </c>
      <c r="Z426" s="13">
        <f t="shared" si="68"/>
        <v>0</v>
      </c>
      <c r="AA426" t="str">
        <f t="shared" ca="1" si="62"/>
        <v/>
      </c>
      <c r="AB426" t="str">
        <f t="shared" ca="1" si="63"/>
        <v/>
      </c>
      <c r="AC426" s="24" t="str">
        <f t="shared" ca="1" si="64"/>
        <v/>
      </c>
      <c r="AD426" s="24" t="str">
        <f t="shared" ca="1" si="65"/>
        <v/>
      </c>
    </row>
    <row r="427" spans="3:30" x14ac:dyDescent="0.25">
      <c r="C427" s="6">
        <v>420</v>
      </c>
      <c r="D427" s="35">
        <v>42604</v>
      </c>
      <c r="E427" s="37">
        <v>15.518000000000001</v>
      </c>
      <c r="F427" s="37">
        <v>44.847882606855464</v>
      </c>
      <c r="G427" s="37">
        <v>33.22</v>
      </c>
      <c r="H427" s="37">
        <v>2.7751708522061596</v>
      </c>
      <c r="I427" s="37">
        <v>55.468365944000602</v>
      </c>
      <c r="J427" s="10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0</v>
      </c>
      <c r="Q427" s="38">
        <v>1</v>
      </c>
      <c r="R427" s="38">
        <v>0</v>
      </c>
      <c r="S427" s="38">
        <v>0</v>
      </c>
      <c r="T427" s="38">
        <v>0</v>
      </c>
      <c r="U427" s="29" cm="1">
        <f t="array" aca="1" ref="U427" ca="1">+fair_value_gap(OFFSET(T426,0,0,-1*$J$5,-1*$AA$1),OFFSET(E426,0,0,-1*$J$5,1),F427:T427,0)</f>
        <v>15.486520908730416</v>
      </c>
      <c r="V427" s="9" t="str" cm="1">
        <f t="array" aca="1" ref="V427" ca="1">z_score_diff(OFFSET(U427,0,0,$J$5*-1,1),OFFSET(E427,0,0,$J$5*-1,1))</f>
        <v/>
      </c>
      <c r="W427" s="9" t="str">
        <f t="shared" ca="1" si="61"/>
        <v/>
      </c>
      <c r="X427" s="17">
        <f t="shared" ca="1" si="60"/>
        <v>-6.205579060988591E-3</v>
      </c>
      <c r="Y427" s="13">
        <f t="shared" si="68"/>
        <v>0</v>
      </c>
      <c r="Z427" s="13">
        <f t="shared" si="68"/>
        <v>0</v>
      </c>
      <c r="AA427" t="str">
        <f t="shared" ca="1" si="62"/>
        <v/>
      </c>
      <c r="AB427" t="str">
        <f t="shared" ca="1" si="63"/>
        <v/>
      </c>
      <c r="AC427" s="24" t="str">
        <f t="shared" ca="1" si="64"/>
        <v/>
      </c>
      <c r="AD427" s="24" t="str">
        <f t="shared" ca="1" si="65"/>
        <v/>
      </c>
    </row>
    <row r="428" spans="3:30" x14ac:dyDescent="0.25">
      <c r="C428" s="6">
        <v>421</v>
      </c>
      <c r="D428" s="35">
        <v>42605</v>
      </c>
      <c r="E428" s="37">
        <v>15.577999999999999</v>
      </c>
      <c r="F428" s="37">
        <v>45.556487587787494</v>
      </c>
      <c r="G428" s="37">
        <v>33.880000000000003</v>
      </c>
      <c r="H428" s="37">
        <v>2.8428932932286499</v>
      </c>
      <c r="I428" s="37">
        <v>55.936557852878522</v>
      </c>
      <c r="J428" s="10">
        <v>0</v>
      </c>
      <c r="K428" s="38">
        <v>0</v>
      </c>
      <c r="L428" s="38">
        <v>0</v>
      </c>
      <c r="M428" s="38">
        <v>0</v>
      </c>
      <c r="N428" s="38">
        <v>0</v>
      </c>
      <c r="O428" s="38">
        <v>0</v>
      </c>
      <c r="P428" s="38">
        <v>0</v>
      </c>
      <c r="Q428" s="38">
        <v>1</v>
      </c>
      <c r="R428" s="38">
        <v>0</v>
      </c>
      <c r="S428" s="38">
        <v>0</v>
      </c>
      <c r="T428" s="38">
        <v>0</v>
      </c>
      <c r="U428" s="29" cm="1">
        <f t="array" aca="1" ref="U428" ca="1">+fair_value_gap(OFFSET(T427,0,0,-1*$J$5,-1*$AA$1),OFFSET(E427,0,0,-1*$J$5,1),F428:T428,0)</f>
        <v>15.805826576073764</v>
      </c>
      <c r="V428" s="9" t="str" cm="1">
        <f t="array" aca="1" ref="V428" ca="1">z_score_diff(OFFSET(U428,0,0,$J$5*-1,1),OFFSET(E428,0,0,$J$5*-1,1))</f>
        <v/>
      </c>
      <c r="W428" s="9" t="str">
        <f t="shared" ca="1" si="61"/>
        <v/>
      </c>
      <c r="X428" s="17">
        <f t="shared" ca="1" si="60"/>
        <v>-3.1893660966242368E-2</v>
      </c>
      <c r="Y428" s="13">
        <f t="shared" si="68"/>
        <v>0</v>
      </c>
      <c r="Z428" s="13">
        <f t="shared" si="68"/>
        <v>0</v>
      </c>
      <c r="AA428" t="str">
        <f t="shared" ca="1" si="62"/>
        <v/>
      </c>
      <c r="AB428" t="str">
        <f t="shared" ca="1" si="63"/>
        <v/>
      </c>
      <c r="AC428" s="24" t="str">
        <f t="shared" ca="1" si="64"/>
        <v/>
      </c>
      <c r="AD428" s="24" t="str">
        <f t="shared" ca="1" si="65"/>
        <v/>
      </c>
    </row>
    <row r="429" spans="3:30" x14ac:dyDescent="0.25">
      <c r="C429" s="6">
        <v>422</v>
      </c>
      <c r="D429" s="35">
        <v>42606</v>
      </c>
      <c r="E429" s="37">
        <v>15.41</v>
      </c>
      <c r="F429" s="37">
        <v>44.857739148812506</v>
      </c>
      <c r="G429" s="37">
        <v>33.630000000000003</v>
      </c>
      <c r="H429" s="37">
        <v>2.8962917954543452</v>
      </c>
      <c r="I429" s="37">
        <v>55.521799240923215</v>
      </c>
      <c r="J429" s="10">
        <v>0</v>
      </c>
      <c r="K429" s="38">
        <v>0</v>
      </c>
      <c r="L429" s="38">
        <v>0</v>
      </c>
      <c r="M429" s="38">
        <v>0</v>
      </c>
      <c r="N429" s="38">
        <v>0</v>
      </c>
      <c r="O429" s="38">
        <v>0</v>
      </c>
      <c r="P429" s="38">
        <v>0</v>
      </c>
      <c r="Q429" s="38">
        <v>1</v>
      </c>
      <c r="R429" s="38">
        <v>0</v>
      </c>
      <c r="S429" s="38">
        <v>0</v>
      </c>
      <c r="T429" s="38">
        <v>0</v>
      </c>
      <c r="U429" s="29" cm="1">
        <f t="array" aca="1" ref="U429" ca="1">+fair_value_gap(OFFSET(T428,0,0,-1*$J$5,-1*$AA$1),OFFSET(E428,0,0,-1*$J$5,1),F429:T429,0)</f>
        <v>15.684674791845236</v>
      </c>
      <c r="V429" s="9" t="str" cm="1">
        <f t="array" aca="1" ref="V429" ca="1">z_score_diff(OFFSET(U429,0,0,$J$5*-1,1),OFFSET(E429,0,0,$J$5*-1,1))</f>
        <v/>
      </c>
      <c r="W429" s="9" t="str">
        <f t="shared" ca="1" si="61"/>
        <v/>
      </c>
      <c r="X429" s="17">
        <f t="shared" ca="1" si="60"/>
        <v>-6.5104396624320101E-3</v>
      </c>
      <c r="Y429" s="13">
        <f t="shared" si="68"/>
        <v>0</v>
      </c>
      <c r="Z429" s="13">
        <f t="shared" si="68"/>
        <v>0</v>
      </c>
      <c r="AA429" t="str">
        <f t="shared" ca="1" si="62"/>
        <v/>
      </c>
      <c r="AB429" t="str">
        <f t="shared" ca="1" si="63"/>
        <v/>
      </c>
      <c r="AC429" s="24" t="str">
        <f t="shared" ca="1" si="64"/>
        <v/>
      </c>
      <c r="AD429" s="24" t="str">
        <f t="shared" ca="1" si="65"/>
        <v/>
      </c>
    </row>
    <row r="430" spans="3:30" x14ac:dyDescent="0.25">
      <c r="C430" s="6">
        <v>423</v>
      </c>
      <c r="D430" s="35">
        <v>42607</v>
      </c>
      <c r="E430" s="37">
        <v>15.39</v>
      </c>
      <c r="F430" s="37">
        <v>45.258260556009958</v>
      </c>
      <c r="G430" s="37">
        <v>33.4</v>
      </c>
      <c r="H430" s="37">
        <v>2.9234057148887893</v>
      </c>
      <c r="I430" s="37">
        <v>55.539431677264453</v>
      </c>
      <c r="J430" s="10">
        <v>0</v>
      </c>
      <c r="K430" s="38">
        <v>0</v>
      </c>
      <c r="L430" s="38">
        <v>0</v>
      </c>
      <c r="M430" s="38">
        <v>0</v>
      </c>
      <c r="N430" s="38">
        <v>0</v>
      </c>
      <c r="O430" s="38">
        <v>0</v>
      </c>
      <c r="P430" s="38">
        <v>0</v>
      </c>
      <c r="Q430" s="38">
        <v>1</v>
      </c>
      <c r="R430" s="38">
        <v>0</v>
      </c>
      <c r="S430" s="38">
        <v>0</v>
      </c>
      <c r="T430" s="38">
        <v>0</v>
      </c>
      <c r="U430" s="29" cm="1">
        <f t="array" aca="1" ref="U430" ca="1">+fair_value_gap(OFFSET(T429,0,0,-1*$J$5,-1*$AA$1),OFFSET(E429,0,0,-1*$J$5,1),F430:T430,0)</f>
        <v>15.626387643458937</v>
      </c>
      <c r="V430" s="9" t="str" cm="1">
        <f t="array" aca="1" ref="V430" ca="1">z_score_diff(OFFSET(U430,0,0,$J$5*-1,1),OFFSET(E430,0,0,$J$5*-1,1))</f>
        <v/>
      </c>
      <c r="W430" s="9" t="str">
        <f t="shared" ca="1" si="61"/>
        <v/>
      </c>
      <c r="X430" s="17">
        <f t="shared" ca="1" si="60"/>
        <v>9.3132221466676827E-3</v>
      </c>
      <c r="Y430" s="13">
        <f t="shared" si="68"/>
        <v>0</v>
      </c>
      <c r="Z430" s="13">
        <f t="shared" si="68"/>
        <v>0</v>
      </c>
      <c r="AA430" t="str">
        <f t="shared" ca="1" si="62"/>
        <v/>
      </c>
      <c r="AB430" t="str">
        <f t="shared" ca="1" si="63"/>
        <v/>
      </c>
      <c r="AC430" s="24" t="str">
        <f t="shared" ca="1" si="64"/>
        <v/>
      </c>
      <c r="AD430" s="24" t="str">
        <f t="shared" ca="1" si="65"/>
        <v/>
      </c>
    </row>
    <row r="431" spans="3:30" x14ac:dyDescent="0.25">
      <c r="C431" s="6">
        <v>424</v>
      </c>
      <c r="D431" s="35">
        <v>42608</v>
      </c>
      <c r="E431" s="37">
        <v>15.696</v>
      </c>
      <c r="F431" s="37">
        <v>45.806775149868784</v>
      </c>
      <c r="G431" s="37">
        <v>33.770000000000003</v>
      </c>
      <c r="H431" s="37">
        <v>2.9610491789334907</v>
      </c>
      <c r="I431" s="37">
        <v>56.306006978223614</v>
      </c>
      <c r="J431" s="10">
        <v>0</v>
      </c>
      <c r="K431" s="38">
        <v>0</v>
      </c>
      <c r="L431" s="38">
        <v>0</v>
      </c>
      <c r="M431" s="38">
        <v>0</v>
      </c>
      <c r="N431" s="38">
        <v>0</v>
      </c>
      <c r="O431" s="38">
        <v>0</v>
      </c>
      <c r="P431" s="38">
        <v>0</v>
      </c>
      <c r="Q431" s="38">
        <v>1</v>
      </c>
      <c r="R431" s="38">
        <v>0</v>
      </c>
      <c r="S431" s="38">
        <v>0</v>
      </c>
      <c r="T431" s="38">
        <v>0</v>
      </c>
      <c r="U431" s="29" cm="1">
        <f t="array" aca="1" ref="U431" ca="1">+fair_value_gap(OFFSET(T430,0,0,-1*$J$5,-1*$AA$1),OFFSET(E430,0,0,-1*$J$5,1),F431:T431,0)</f>
        <v>15.79853618226241</v>
      </c>
      <c r="V431" s="9" t="str" cm="1">
        <f t="array" aca="1" ref="V431" ca="1">z_score_diff(OFFSET(U431,0,0,$J$5*-1,1),OFFSET(E431,0,0,$J$5*-1,1))</f>
        <v/>
      </c>
      <c r="W431" s="9" t="str">
        <f t="shared" ca="1" si="61"/>
        <v/>
      </c>
      <c r="X431" s="17">
        <f t="shared" ca="1" si="60"/>
        <v>1.2787412327913536E-2</v>
      </c>
      <c r="Y431" s="13">
        <f t="shared" si="68"/>
        <v>0</v>
      </c>
      <c r="Z431" s="13">
        <f t="shared" si="68"/>
        <v>0</v>
      </c>
      <c r="AA431" t="str">
        <f t="shared" ca="1" si="62"/>
        <v/>
      </c>
      <c r="AB431" t="str">
        <f t="shared" ca="1" si="63"/>
        <v/>
      </c>
      <c r="AC431" s="24" t="str">
        <f t="shared" ca="1" si="64"/>
        <v/>
      </c>
      <c r="AD431" s="24" t="str">
        <f t="shared" ca="1" si="65"/>
        <v/>
      </c>
    </row>
    <row r="432" spans="3:30" x14ac:dyDescent="0.25">
      <c r="C432" s="6">
        <v>425</v>
      </c>
      <c r="D432" s="35">
        <v>42611</v>
      </c>
      <c r="E432" s="37">
        <v>16.018000000000001</v>
      </c>
      <c r="F432" s="37">
        <v>45.244616174396143</v>
      </c>
      <c r="G432" s="37">
        <v>33.909999999999997</v>
      </c>
      <c r="H432" s="37">
        <v>2.9489240328442401</v>
      </c>
      <c r="I432" s="37">
        <v>56.345196117634224</v>
      </c>
      <c r="J432" s="10">
        <v>0</v>
      </c>
      <c r="K432" s="38">
        <v>0</v>
      </c>
      <c r="L432" s="38">
        <v>0</v>
      </c>
      <c r="M432" s="38">
        <v>0</v>
      </c>
      <c r="N432" s="38">
        <v>0</v>
      </c>
      <c r="O432" s="38">
        <v>0</v>
      </c>
      <c r="P432" s="38">
        <v>0</v>
      </c>
      <c r="Q432" s="38">
        <v>1</v>
      </c>
      <c r="R432" s="38">
        <v>0</v>
      </c>
      <c r="S432" s="38">
        <v>0</v>
      </c>
      <c r="T432" s="38">
        <v>0</v>
      </c>
      <c r="U432" s="29" cm="1">
        <f t="array" aca="1" ref="U432" ca="1">+fair_value_gap(OFFSET(T431,0,0,-1*$J$5,-1*$AA$1),OFFSET(E431,0,0,-1*$J$5,1),F432:T432,0)</f>
        <v>15.786922602646703</v>
      </c>
      <c r="V432" s="9" t="str" cm="1">
        <f t="array" aca="1" ref="V432" ca="1">z_score_diff(OFFSET(U432,0,0,$J$5*-1,1),OFFSET(E432,0,0,$J$5*-1,1))</f>
        <v/>
      </c>
      <c r="W432" s="9" t="str">
        <f t="shared" ca="1" si="61"/>
        <v/>
      </c>
      <c r="X432" s="17">
        <f t="shared" ca="1" si="60"/>
        <v>-1.4716321181176245E-2</v>
      </c>
      <c r="Y432" s="13">
        <f t="shared" si="68"/>
        <v>0</v>
      </c>
      <c r="Z432" s="13">
        <f t="shared" si="68"/>
        <v>0</v>
      </c>
      <c r="AA432" t="str">
        <f t="shared" ca="1" si="62"/>
        <v/>
      </c>
      <c r="AB432" t="str">
        <f t="shared" ca="1" si="63"/>
        <v/>
      </c>
      <c r="AC432" s="24" t="str">
        <f t="shared" ca="1" si="64"/>
        <v/>
      </c>
      <c r="AD432" s="24" t="str">
        <f t="shared" ca="1" si="65"/>
        <v/>
      </c>
    </row>
    <row r="433" spans="3:30" x14ac:dyDescent="0.25">
      <c r="C433" s="6">
        <v>426</v>
      </c>
      <c r="D433" s="35">
        <v>42612</v>
      </c>
      <c r="E433" s="37">
        <v>15.561</v>
      </c>
      <c r="F433" s="37">
        <v>44.828479436848902</v>
      </c>
      <c r="G433" s="37">
        <v>33.99</v>
      </c>
      <c r="H433" s="37">
        <v>2.8823394840452092</v>
      </c>
      <c r="I433" s="37">
        <v>57.548872033206543</v>
      </c>
      <c r="J433" s="10">
        <v>0</v>
      </c>
      <c r="K433" s="38">
        <v>0</v>
      </c>
      <c r="L433" s="38">
        <v>0</v>
      </c>
      <c r="M433" s="38">
        <v>0</v>
      </c>
      <c r="N433" s="38">
        <v>0</v>
      </c>
      <c r="O433" s="38">
        <v>0</v>
      </c>
      <c r="P433" s="38">
        <v>0</v>
      </c>
      <c r="Q433" s="38">
        <v>1</v>
      </c>
      <c r="R433" s="38">
        <v>0</v>
      </c>
      <c r="S433" s="38">
        <v>0</v>
      </c>
      <c r="T433" s="38">
        <v>0</v>
      </c>
      <c r="U433" s="29" cm="1">
        <f t="array" aca="1" ref="U433" ca="1">+fair_value_gap(OFFSET(T432,0,0,-1*$J$5,-1*$AA$1),OFFSET(E432,0,0,-1*$J$5,1),F433:T433,0)</f>
        <v>15.779472368732982</v>
      </c>
      <c r="V433" s="9" t="str" cm="1">
        <f t="array" aca="1" ref="V433" ca="1">z_score_diff(OFFSET(U433,0,0,$J$5*-1,1),OFFSET(E433,0,0,$J$5*-1,1))</f>
        <v/>
      </c>
      <c r="W433" s="9" t="str">
        <f t="shared" ca="1" si="61"/>
        <v/>
      </c>
      <c r="X433" s="17">
        <f t="shared" ca="1" si="60"/>
        <v>-1.855027897971381E-2</v>
      </c>
      <c r="Y433" s="13">
        <f t="shared" si="68"/>
        <v>0</v>
      </c>
      <c r="Z433" s="13">
        <f t="shared" si="68"/>
        <v>0</v>
      </c>
      <c r="AA433" t="str">
        <f t="shared" ca="1" si="62"/>
        <v/>
      </c>
      <c r="AB433" t="str">
        <f t="shared" ca="1" si="63"/>
        <v/>
      </c>
      <c r="AC433" s="24" t="str">
        <f t="shared" ca="1" si="64"/>
        <v/>
      </c>
      <c r="AD433" s="24" t="str">
        <f t="shared" ca="1" si="65"/>
        <v/>
      </c>
    </row>
    <row r="434" spans="3:30" x14ac:dyDescent="0.25">
      <c r="C434" s="6">
        <v>427</v>
      </c>
      <c r="D434" s="35">
        <v>42613</v>
      </c>
      <c r="E434" s="37">
        <v>15.268000000000001</v>
      </c>
      <c r="F434" s="37">
        <v>43.121954861953739</v>
      </c>
      <c r="G434" s="37">
        <v>30.52</v>
      </c>
      <c r="H434" s="37">
        <v>2.9156877333994697</v>
      </c>
      <c r="I434" s="37">
        <v>57.29148610292556</v>
      </c>
      <c r="J434" s="10">
        <v>0</v>
      </c>
      <c r="K434" s="38">
        <v>0</v>
      </c>
      <c r="L434" s="38">
        <v>0</v>
      </c>
      <c r="M434" s="38">
        <v>0</v>
      </c>
      <c r="N434" s="38">
        <v>0</v>
      </c>
      <c r="O434" s="38">
        <v>0</v>
      </c>
      <c r="P434" s="38">
        <v>0</v>
      </c>
      <c r="Q434" s="38">
        <v>1</v>
      </c>
      <c r="R434" s="38">
        <v>0</v>
      </c>
      <c r="S434" s="38">
        <v>0</v>
      </c>
      <c r="T434" s="38">
        <v>0</v>
      </c>
      <c r="U434" s="29" cm="1">
        <f t="array" aca="1" ref="U434" ca="1">+fair_value_gap(OFFSET(T433,0,0,-1*$J$5,-1*$AA$1),OFFSET(E433,0,0,-1*$J$5,1),F434:T434,0)</f>
        <v>14.476106570248298</v>
      </c>
      <c r="V434" s="9" t="str" cm="1">
        <f t="array" aca="1" ref="V434" ca="1">z_score_diff(OFFSET(U434,0,0,$J$5*-1,1),OFFSET(E434,0,0,$J$5*-1,1))</f>
        <v/>
      </c>
      <c r="W434" s="9" t="str">
        <f t="shared" ca="1" si="61"/>
        <v/>
      </c>
      <c r="X434" s="17">
        <f t="shared" ca="1" si="60"/>
        <v>3.1715949546749625E-2</v>
      </c>
      <c r="Y434" s="13">
        <f t="shared" si="68"/>
        <v>0</v>
      </c>
      <c r="Z434" s="13">
        <f t="shared" si="68"/>
        <v>0</v>
      </c>
      <c r="AA434" t="str">
        <f t="shared" ca="1" si="62"/>
        <v/>
      </c>
      <c r="AB434" t="str">
        <f t="shared" ca="1" si="63"/>
        <v/>
      </c>
      <c r="AC434" s="24" t="str">
        <f t="shared" ca="1" si="64"/>
        <v/>
      </c>
      <c r="AD434" s="24" t="str">
        <f t="shared" ca="1" si="65"/>
        <v/>
      </c>
    </row>
    <row r="435" spans="3:30" x14ac:dyDescent="0.25">
      <c r="C435" s="6">
        <v>428</v>
      </c>
      <c r="D435" s="35">
        <v>42614</v>
      </c>
      <c r="E435" s="37">
        <v>15.178000000000001</v>
      </c>
      <c r="F435" s="37">
        <v>42.068702763527462</v>
      </c>
      <c r="G435" s="37">
        <v>30.35</v>
      </c>
      <c r="H435" s="37">
        <v>2.8423841294312573</v>
      </c>
      <c r="I435" s="37">
        <v>57.148932776906513</v>
      </c>
      <c r="J435" s="10">
        <v>0</v>
      </c>
      <c r="K435" s="38">
        <v>0</v>
      </c>
      <c r="L435" s="38">
        <v>0</v>
      </c>
      <c r="M435" s="38">
        <v>0</v>
      </c>
      <c r="N435" s="38">
        <v>0</v>
      </c>
      <c r="O435" s="38">
        <v>0</v>
      </c>
      <c r="P435" s="38">
        <v>0</v>
      </c>
      <c r="Q435" s="38">
        <v>0</v>
      </c>
      <c r="R435" s="38">
        <v>1</v>
      </c>
      <c r="S435" s="38">
        <v>0</v>
      </c>
      <c r="T435" s="38">
        <v>0</v>
      </c>
      <c r="U435" s="29" cm="1">
        <f t="array" aca="1" ref="U435" ca="1">+fair_value_gap(OFFSET(T434,0,0,-1*$J$5,-1*$AA$1),OFFSET(E434,0,0,-1*$J$5,1),F435:T435,0)</f>
        <v>17.582843990110302</v>
      </c>
      <c r="V435" s="9" t="str" cm="1">
        <f t="array" aca="1" ref="V435" ca="1">z_score_diff(OFFSET(U435,0,0,$J$5*-1,1),OFFSET(E435,0,0,$J$5*-1,1))</f>
        <v/>
      </c>
      <c r="W435" s="9" t="str">
        <f t="shared" ca="1" si="61"/>
        <v/>
      </c>
      <c r="X435" s="17">
        <f t="shared" ca="1" si="60"/>
        <v>5.1240585131793061E-2</v>
      </c>
      <c r="Y435" s="13">
        <f t="shared" si="68"/>
        <v>0</v>
      </c>
      <c r="Z435" s="13">
        <f t="shared" si="68"/>
        <v>0</v>
      </c>
      <c r="AA435" t="str">
        <f t="shared" ca="1" si="62"/>
        <v/>
      </c>
      <c r="AB435" t="str">
        <f t="shared" ca="1" si="63"/>
        <v/>
      </c>
      <c r="AC435" s="24" t="str">
        <f t="shared" ca="1" si="64"/>
        <v/>
      </c>
      <c r="AD435" s="24" t="str">
        <f t="shared" ca="1" si="65"/>
        <v/>
      </c>
    </row>
    <row r="436" spans="3:30" x14ac:dyDescent="0.25">
      <c r="C436" s="6">
        <v>429</v>
      </c>
      <c r="D436" s="35">
        <v>42615</v>
      </c>
      <c r="E436" s="37">
        <v>15.157</v>
      </c>
      <c r="F436" s="37">
        <v>43.414413300589445</v>
      </c>
      <c r="G436" s="37">
        <v>30.21</v>
      </c>
      <c r="H436" s="37">
        <v>2.8418162363323756</v>
      </c>
      <c r="I436" s="37">
        <v>57.770254945160502</v>
      </c>
      <c r="J436" s="10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1</v>
      </c>
      <c r="S436" s="38">
        <v>0</v>
      </c>
      <c r="T436" s="38">
        <v>0</v>
      </c>
      <c r="U436" s="29" cm="1">
        <f t="array" aca="1" ref="U436" ca="1">+fair_value_gap(OFFSET(T435,0,0,-1*$J$5,-1*$AA$1),OFFSET(E435,0,0,-1*$J$5,1),F436:T436,0)</f>
        <v>16.227819220732258</v>
      </c>
      <c r="V436" s="9" t="str" cm="1">
        <f t="array" aca="1" ref="V436" ca="1">z_score_diff(OFFSET(U436,0,0,$J$5*-1,1),OFFSET(E436,0,0,$J$5*-1,1))</f>
        <v/>
      </c>
      <c r="W436" s="9" t="str">
        <f t="shared" ca="1" si="61"/>
        <v/>
      </c>
      <c r="X436" s="17">
        <f t="shared" ca="1" si="60"/>
        <v>3.1618496798082132E-3</v>
      </c>
      <c r="Y436" s="13">
        <f t="shared" si="68"/>
        <v>0</v>
      </c>
      <c r="Z436" s="13">
        <f t="shared" si="68"/>
        <v>0</v>
      </c>
      <c r="AA436" t="str">
        <f t="shared" ca="1" si="62"/>
        <v/>
      </c>
      <c r="AB436" t="str">
        <f t="shared" ca="1" si="63"/>
        <v/>
      </c>
      <c r="AC436" s="24" t="str">
        <f t="shared" ca="1" si="64"/>
        <v/>
      </c>
      <c r="AD436" s="24" t="str">
        <f t="shared" ca="1" si="65"/>
        <v/>
      </c>
    </row>
    <row r="437" spans="3:30" x14ac:dyDescent="0.25">
      <c r="C437" s="6">
        <v>430</v>
      </c>
      <c r="D437" s="35">
        <v>42618</v>
      </c>
      <c r="E437" s="37">
        <v>15.096</v>
      </c>
      <c r="F437" s="37">
        <v>44.120879463145535</v>
      </c>
      <c r="G437" s="37">
        <v>30.49</v>
      </c>
      <c r="H437" s="37">
        <v>2.8432071376512704</v>
      </c>
      <c r="I437" s="37">
        <v>58.243476419178613</v>
      </c>
      <c r="J437" s="10">
        <v>0</v>
      </c>
      <c r="K437" s="38">
        <v>0</v>
      </c>
      <c r="L437" s="38">
        <v>0</v>
      </c>
      <c r="M437" s="38">
        <v>0</v>
      </c>
      <c r="N437" s="38">
        <v>0</v>
      </c>
      <c r="O437" s="38">
        <v>0</v>
      </c>
      <c r="P437" s="38">
        <v>0</v>
      </c>
      <c r="Q437" s="38">
        <v>0</v>
      </c>
      <c r="R437" s="38">
        <v>1</v>
      </c>
      <c r="S437" s="38">
        <v>0</v>
      </c>
      <c r="T437" s="38">
        <v>0</v>
      </c>
      <c r="U437" s="29" cm="1">
        <f t="array" aca="1" ref="U437" ca="1">+fair_value_gap(OFFSET(T436,0,0,-1*$J$5,-1*$AA$1),OFFSET(E436,0,0,-1*$J$5,1),F437:T437,0)</f>
        <v>15.954022660219064</v>
      </c>
      <c r="V437" s="9" t="str" cm="1">
        <f t="array" aca="1" ref="V437" ca="1">z_score_diff(OFFSET(U437,0,0,$J$5*-1,1),OFFSET(E437,0,0,$J$5*-1,1))</f>
        <v/>
      </c>
      <c r="W437" s="9" t="str">
        <f t="shared" ca="1" si="61"/>
        <v/>
      </c>
      <c r="X437" s="17">
        <f t="shared" ca="1" si="60"/>
        <v>1.6620517265021822E-2</v>
      </c>
      <c r="Y437" s="13">
        <f t="shared" si="68"/>
        <v>0</v>
      </c>
      <c r="Z437" s="13">
        <f t="shared" si="68"/>
        <v>0</v>
      </c>
      <c r="AA437" t="str">
        <f t="shared" ca="1" si="62"/>
        <v/>
      </c>
      <c r="AB437" t="str">
        <f t="shared" ca="1" si="63"/>
        <v/>
      </c>
      <c r="AC437" s="24" t="str">
        <f t="shared" ca="1" si="64"/>
        <v/>
      </c>
      <c r="AD437" s="24" t="str">
        <f t="shared" ca="1" si="65"/>
        <v/>
      </c>
    </row>
    <row r="438" spans="3:30" x14ac:dyDescent="0.25">
      <c r="C438" s="6">
        <v>431</v>
      </c>
      <c r="D438" s="35">
        <v>42619</v>
      </c>
      <c r="E438" s="37">
        <v>14.984999999999999</v>
      </c>
      <c r="F438" s="37">
        <v>43.465186845630242</v>
      </c>
      <c r="G438" s="37">
        <v>29.94</v>
      </c>
      <c r="H438" s="37">
        <v>2.7848054383952179</v>
      </c>
      <c r="I438" s="37">
        <v>57.935945947614265</v>
      </c>
      <c r="J438" s="10">
        <v>0</v>
      </c>
      <c r="K438" s="38">
        <v>0</v>
      </c>
      <c r="L438" s="38">
        <v>0</v>
      </c>
      <c r="M438" s="38">
        <v>0</v>
      </c>
      <c r="N438" s="38">
        <v>0</v>
      </c>
      <c r="O438" s="38">
        <v>0</v>
      </c>
      <c r="P438" s="38">
        <v>0</v>
      </c>
      <c r="Q438" s="38">
        <v>0</v>
      </c>
      <c r="R438" s="38">
        <v>1</v>
      </c>
      <c r="S438" s="38">
        <v>0</v>
      </c>
      <c r="T438" s="38">
        <v>0</v>
      </c>
      <c r="U438" s="29" cm="1">
        <f t="array" aca="1" ref="U438" ca="1">+fair_value_gap(OFFSET(T437,0,0,-1*$J$5,-1*$AA$1),OFFSET(E437,0,0,-1*$J$5,1),F438:T438,0)</f>
        <v>15.413508054517806</v>
      </c>
      <c r="V438" s="9" t="str" cm="1">
        <f t="array" aca="1" ref="V438" ca="1">z_score_diff(OFFSET(U438,0,0,$J$5*-1,1),OFFSET(E438,0,0,$J$5*-1,1))</f>
        <v/>
      </c>
      <c r="W438" s="9" t="str">
        <f t="shared" ca="1" si="61"/>
        <v/>
      </c>
      <c r="X438" s="17">
        <f t="shared" ca="1" si="60"/>
        <v>4.111824692947276E-2</v>
      </c>
      <c r="Y438" s="13">
        <f t="shared" si="68"/>
        <v>0</v>
      </c>
      <c r="Z438" s="13">
        <f t="shared" si="68"/>
        <v>0</v>
      </c>
      <c r="AA438" t="str">
        <f t="shared" ca="1" si="62"/>
        <v/>
      </c>
      <c r="AB438" t="str">
        <f t="shared" ca="1" si="63"/>
        <v/>
      </c>
      <c r="AC438" s="24" t="str">
        <f t="shared" ca="1" si="64"/>
        <v/>
      </c>
      <c r="AD438" s="24" t="str">
        <f t="shared" ca="1" si="65"/>
        <v/>
      </c>
    </row>
    <row r="439" spans="3:30" x14ac:dyDescent="0.25">
      <c r="C439" s="6">
        <v>432</v>
      </c>
      <c r="D439" s="35">
        <v>42620</v>
      </c>
      <c r="E439" s="37">
        <v>14.81</v>
      </c>
      <c r="F439" s="37">
        <v>44.213020593309075</v>
      </c>
      <c r="G439" s="37">
        <v>29.73</v>
      </c>
      <c r="H439" s="37">
        <v>2.775673657055985</v>
      </c>
      <c r="I439" s="37">
        <v>56.458120346288247</v>
      </c>
      <c r="J439" s="10">
        <v>0</v>
      </c>
      <c r="K439" s="38">
        <v>0</v>
      </c>
      <c r="L439" s="38">
        <v>0</v>
      </c>
      <c r="M439" s="38">
        <v>0</v>
      </c>
      <c r="N439" s="38">
        <v>0</v>
      </c>
      <c r="O439" s="38">
        <v>0</v>
      </c>
      <c r="P439" s="38">
        <v>0</v>
      </c>
      <c r="Q439" s="38">
        <v>0</v>
      </c>
      <c r="R439" s="38">
        <v>1</v>
      </c>
      <c r="S439" s="38">
        <v>0</v>
      </c>
      <c r="T439" s="38">
        <v>0</v>
      </c>
      <c r="U439" s="29" cm="1">
        <f t="array" aca="1" ref="U439" ca="1">+fair_value_gap(OFFSET(T438,0,0,-1*$J$5,-1*$AA$1),OFFSET(E438,0,0,-1*$J$5,1),F439:T439,0)</f>
        <v>15.350486525208639</v>
      </c>
      <c r="V439" s="9" t="str" cm="1">
        <f t="array" aca="1" ref="V439" ca="1">z_score_diff(OFFSET(U439,0,0,$J$5*-1,1),OFFSET(E439,0,0,$J$5*-1,1))</f>
        <v/>
      </c>
      <c r="W439" s="9" t="str">
        <f t="shared" ca="1" si="61"/>
        <v/>
      </c>
      <c r="X439" s="17">
        <f t="shared" ca="1" si="60"/>
        <v>6.6730580020557304E-2</v>
      </c>
      <c r="Y439" s="13">
        <f t="shared" si="68"/>
        <v>0</v>
      </c>
      <c r="Z439" s="13">
        <f t="shared" si="68"/>
        <v>0</v>
      </c>
      <c r="AA439" t="str">
        <f t="shared" ca="1" si="62"/>
        <v/>
      </c>
      <c r="AB439" t="str">
        <f t="shared" ca="1" si="63"/>
        <v/>
      </c>
      <c r="AC439" s="24" t="str">
        <f t="shared" ca="1" si="64"/>
        <v/>
      </c>
      <c r="AD439" s="24" t="str">
        <f t="shared" ca="1" si="65"/>
        <v/>
      </c>
    </row>
    <row r="440" spans="3:30" x14ac:dyDescent="0.25">
      <c r="C440" s="6">
        <v>433</v>
      </c>
      <c r="D440" s="35">
        <v>42621</v>
      </c>
      <c r="E440" s="37">
        <v>14.81</v>
      </c>
      <c r="F440" s="37">
        <v>45.94889221221797</v>
      </c>
      <c r="G440" s="37">
        <v>29.79</v>
      </c>
      <c r="H440" s="37">
        <v>2.8438257608137203</v>
      </c>
      <c r="I440" s="37">
        <v>55.695626923900569</v>
      </c>
      <c r="J440" s="10">
        <v>0</v>
      </c>
      <c r="K440" s="38">
        <v>0</v>
      </c>
      <c r="L440" s="38">
        <v>0</v>
      </c>
      <c r="M440" s="38">
        <v>0</v>
      </c>
      <c r="N440" s="38">
        <v>0</v>
      </c>
      <c r="O440" s="38">
        <v>0</v>
      </c>
      <c r="P440" s="38">
        <v>0</v>
      </c>
      <c r="Q440" s="38">
        <v>0</v>
      </c>
      <c r="R440" s="38">
        <v>1</v>
      </c>
      <c r="S440" s="38">
        <v>0</v>
      </c>
      <c r="T440" s="38">
        <v>0</v>
      </c>
      <c r="U440" s="29" cm="1">
        <f t="array" aca="1" ref="U440" ca="1">+fair_value_gap(OFFSET(T439,0,0,-1*$J$5,-1*$AA$1),OFFSET(E439,0,0,-1*$J$5,1),F440:T440,0)</f>
        <v>15.463063068466152</v>
      </c>
      <c r="V440" s="9" t="str" cm="1">
        <f t="array" aca="1" ref="V440" ca="1">z_score_diff(OFFSET(U440,0,0,$J$5*-1,1),OFFSET(E440,0,0,$J$5*-1,1))</f>
        <v/>
      </c>
      <c r="W440" s="9" t="str">
        <f t="shared" ca="1" si="61"/>
        <v/>
      </c>
      <c r="X440" s="17">
        <f t="shared" ca="1" si="60"/>
        <v>8.8102386393922982E-2</v>
      </c>
      <c r="Y440" s="13">
        <f t="shared" si="68"/>
        <v>0</v>
      </c>
      <c r="Z440" s="13">
        <f t="shared" si="68"/>
        <v>0</v>
      </c>
      <c r="AA440" t="str">
        <f t="shared" ca="1" si="62"/>
        <v/>
      </c>
      <c r="AB440" t="str">
        <f t="shared" ca="1" si="63"/>
        <v/>
      </c>
      <c r="AC440" s="24" t="str">
        <f t="shared" ca="1" si="64"/>
        <v/>
      </c>
      <c r="AD440" s="24" t="str">
        <f t="shared" ca="1" si="65"/>
        <v/>
      </c>
    </row>
    <row r="441" spans="3:30" x14ac:dyDescent="0.25">
      <c r="C441" s="6">
        <v>434</v>
      </c>
      <c r="D441" s="35">
        <v>42622</v>
      </c>
      <c r="E441" s="37">
        <v>14.724</v>
      </c>
      <c r="F441" s="37">
        <v>44.397853558678435</v>
      </c>
      <c r="G441" s="37">
        <v>29.58</v>
      </c>
      <c r="H441" s="37">
        <v>2.8328712055656857</v>
      </c>
      <c r="I441" s="37">
        <v>56.082894849654529</v>
      </c>
      <c r="J441" s="10">
        <v>0</v>
      </c>
      <c r="K441" s="38">
        <v>0</v>
      </c>
      <c r="L441" s="38">
        <v>0</v>
      </c>
      <c r="M441" s="38">
        <v>0</v>
      </c>
      <c r="N441" s="38">
        <v>0</v>
      </c>
      <c r="O441" s="38">
        <v>0</v>
      </c>
      <c r="P441" s="38">
        <v>0</v>
      </c>
      <c r="Q441" s="38">
        <v>0</v>
      </c>
      <c r="R441" s="38">
        <v>1</v>
      </c>
      <c r="S441" s="38">
        <v>0</v>
      </c>
      <c r="T441" s="38">
        <v>0</v>
      </c>
      <c r="U441" s="29" cm="1">
        <f t="array" aca="1" ref="U441" ca="1">+fair_value_gap(OFFSET(T440,0,0,-1*$J$5,-1*$AA$1),OFFSET(E440,0,0,-1*$J$5,1),F441:T441,0)</f>
        <v>15.119327853333665</v>
      </c>
      <c r="V441" s="9" t="str" cm="1">
        <f t="array" aca="1" ref="V441" ca="1">z_score_diff(OFFSET(U441,0,0,$J$5*-1,1),OFFSET(E441,0,0,$J$5*-1,1))</f>
        <v/>
      </c>
      <c r="W441" s="9" t="str">
        <f t="shared" ca="1" si="61"/>
        <v/>
      </c>
      <c r="X441" s="17">
        <f t="shared" ca="1" si="60"/>
        <v>6.9961341967731377E-2</v>
      </c>
      <c r="Y441" s="13">
        <f t="shared" ref="Y441:Z456" si="69">+Y440</f>
        <v>0</v>
      </c>
      <c r="Z441" s="13">
        <f t="shared" si="69"/>
        <v>0</v>
      </c>
      <c r="AA441" t="str">
        <f t="shared" ca="1" si="62"/>
        <v/>
      </c>
      <c r="AB441" t="str">
        <f t="shared" ca="1" si="63"/>
        <v/>
      </c>
      <c r="AC441" s="24" t="str">
        <f t="shared" ca="1" si="64"/>
        <v/>
      </c>
      <c r="AD441" s="24" t="str">
        <f t="shared" ca="1" si="65"/>
        <v/>
      </c>
    </row>
    <row r="442" spans="3:30" x14ac:dyDescent="0.25">
      <c r="C442" s="6">
        <v>435</v>
      </c>
      <c r="D442" s="35">
        <v>42625</v>
      </c>
      <c r="E442" s="37">
        <v>14.737</v>
      </c>
      <c r="F442" s="37">
        <v>44.693369040920935</v>
      </c>
      <c r="G442" s="37">
        <v>29.19</v>
      </c>
      <c r="H442" s="37">
        <v>2.8723880656338907</v>
      </c>
      <c r="I442" s="37">
        <v>55.955038117437574</v>
      </c>
      <c r="J442" s="10">
        <v>0</v>
      </c>
      <c r="K442" s="38">
        <v>0</v>
      </c>
      <c r="L442" s="38">
        <v>0</v>
      </c>
      <c r="M442" s="38">
        <v>0</v>
      </c>
      <c r="N442" s="38">
        <v>0</v>
      </c>
      <c r="O442" s="38">
        <v>0</v>
      </c>
      <c r="P442" s="38">
        <v>0</v>
      </c>
      <c r="Q442" s="38">
        <v>0</v>
      </c>
      <c r="R442" s="38">
        <v>1</v>
      </c>
      <c r="S442" s="38">
        <v>0</v>
      </c>
      <c r="T442" s="38">
        <v>0</v>
      </c>
      <c r="U442" s="29" cm="1">
        <f t="array" aca="1" ref="U442" ca="1">+fair_value_gap(OFFSET(T441,0,0,-1*$J$5,-1*$AA$1),OFFSET(E441,0,0,-1*$J$5,1),F442:T442,0)</f>
        <v>14.910368307615217</v>
      </c>
      <c r="V442" s="9" t="str" cm="1">
        <f t="array" aca="1" ref="V442" ca="1">z_score_diff(OFFSET(U442,0,0,$J$5*-1,1),OFFSET(E442,0,0,$J$5*-1,1))</f>
        <v/>
      </c>
      <c r="W442" s="9" t="str">
        <f t="shared" ca="1" si="61"/>
        <v/>
      </c>
      <c r="X442" s="17">
        <f t="shared" ca="1" si="60"/>
        <v>6.247100564297723E-2</v>
      </c>
      <c r="Y442" s="13">
        <f t="shared" si="69"/>
        <v>0</v>
      </c>
      <c r="Z442" s="13">
        <f t="shared" si="69"/>
        <v>0</v>
      </c>
      <c r="AA442" t="str">
        <f t="shared" ca="1" si="62"/>
        <v/>
      </c>
      <c r="AB442" t="str">
        <f t="shared" ca="1" si="63"/>
        <v/>
      </c>
      <c r="AC442" s="24" t="str">
        <f t="shared" ca="1" si="64"/>
        <v/>
      </c>
      <c r="AD442" s="24" t="str">
        <f t="shared" ca="1" si="65"/>
        <v/>
      </c>
    </row>
    <row r="443" spans="3:30" x14ac:dyDescent="0.25">
      <c r="C443" s="6">
        <v>436</v>
      </c>
      <c r="D443" s="35">
        <v>42626</v>
      </c>
      <c r="E443" s="37">
        <v>14.743</v>
      </c>
      <c r="F443" s="37">
        <v>43.75039268278222</v>
      </c>
      <c r="G443" s="37">
        <v>29.73</v>
      </c>
      <c r="H443" s="37">
        <v>2.8812960876848481</v>
      </c>
      <c r="I443" s="37">
        <v>56.502074692468547</v>
      </c>
      <c r="J443" s="10">
        <v>0</v>
      </c>
      <c r="K443" s="38">
        <v>0</v>
      </c>
      <c r="L443" s="38">
        <v>0</v>
      </c>
      <c r="M443" s="38">
        <v>0</v>
      </c>
      <c r="N443" s="38">
        <v>0</v>
      </c>
      <c r="O443" s="38">
        <v>0</v>
      </c>
      <c r="P443" s="38">
        <v>0</v>
      </c>
      <c r="Q443" s="38">
        <v>0</v>
      </c>
      <c r="R443" s="38">
        <v>1</v>
      </c>
      <c r="S443" s="38">
        <v>0</v>
      </c>
      <c r="T443" s="38">
        <v>0</v>
      </c>
      <c r="U443" s="29" cm="1">
        <f t="array" aca="1" ref="U443" ca="1">+fair_value_gap(OFFSET(T442,0,0,-1*$J$5,-1*$AA$1),OFFSET(E442,0,0,-1*$J$5,1),F443:T443,0)</f>
        <v>15.022112505779495</v>
      </c>
      <c r="V443" s="9" t="str" cm="1">
        <f t="array" aca="1" ref="V443" ca="1">z_score_diff(OFFSET(U443,0,0,$J$5*-1,1),OFFSET(E443,0,0,$J$5*-1,1))</f>
        <v/>
      </c>
      <c r="W443" s="9" t="str">
        <f t="shared" ca="1" si="61"/>
        <v/>
      </c>
      <c r="X443" s="17">
        <f t="shared" ca="1" si="60"/>
        <v>4.1584099757492263E-2</v>
      </c>
      <c r="Y443" s="13">
        <f t="shared" si="69"/>
        <v>0</v>
      </c>
      <c r="Z443" s="13">
        <f t="shared" si="69"/>
        <v>0</v>
      </c>
      <c r="AA443" t="str">
        <f t="shared" ca="1" si="62"/>
        <v/>
      </c>
      <c r="AB443" t="str">
        <f t="shared" ca="1" si="63"/>
        <v/>
      </c>
      <c r="AC443" s="24" t="str">
        <f t="shared" ca="1" si="64"/>
        <v/>
      </c>
      <c r="AD443" s="24" t="str">
        <f t="shared" ca="1" si="65"/>
        <v/>
      </c>
    </row>
    <row r="444" spans="3:30" x14ac:dyDescent="0.25">
      <c r="C444" s="6">
        <v>437</v>
      </c>
      <c r="D444" s="35">
        <v>42627</v>
      </c>
      <c r="E444" s="37">
        <v>14.663</v>
      </c>
      <c r="F444" s="37">
        <v>42.542379161821607</v>
      </c>
      <c r="G444" s="37">
        <v>29.62</v>
      </c>
      <c r="H444" s="37">
        <v>2.8761542112720537</v>
      </c>
      <c r="I444" s="37">
        <v>56.817279511018498</v>
      </c>
      <c r="J444" s="10">
        <v>0</v>
      </c>
      <c r="K444" s="38">
        <v>0</v>
      </c>
      <c r="L444" s="38">
        <v>0</v>
      </c>
      <c r="M444" s="38">
        <v>0</v>
      </c>
      <c r="N444" s="38">
        <v>0</v>
      </c>
      <c r="O444" s="38">
        <v>0</v>
      </c>
      <c r="P444" s="38">
        <v>0</v>
      </c>
      <c r="Q444" s="38">
        <v>0</v>
      </c>
      <c r="R444" s="38">
        <v>1</v>
      </c>
      <c r="S444" s="38">
        <v>0</v>
      </c>
      <c r="T444" s="38">
        <v>0</v>
      </c>
      <c r="U444" s="29" cm="1">
        <f t="array" aca="1" ref="U444" ca="1">+fair_value_gap(OFFSET(T443,0,0,-1*$J$5,-1*$AA$1),OFFSET(E443,0,0,-1*$J$5,1),F444:T444,0)</f>
        <v>14.827847956409778</v>
      </c>
      <c r="V444" s="9" t="str" cm="1">
        <f t="array" aca="1" ref="V444" ca="1">z_score_diff(OFFSET(U444,0,0,$J$5*-1,1),OFFSET(E444,0,0,$J$5*-1,1))</f>
        <v/>
      </c>
      <c r="W444" s="9" t="str">
        <f t="shared" ca="1" si="61"/>
        <v/>
      </c>
      <c r="X444" s="17">
        <f t="shared" ca="1" si="60"/>
        <v>4.2329416746186184E-2</v>
      </c>
      <c r="Y444" s="13">
        <f t="shared" si="69"/>
        <v>0</v>
      </c>
      <c r="Z444" s="13">
        <f t="shared" si="69"/>
        <v>0</v>
      </c>
      <c r="AA444" t="str">
        <f t="shared" ca="1" si="62"/>
        <v/>
      </c>
      <c r="AB444" t="str">
        <f t="shared" ca="1" si="63"/>
        <v/>
      </c>
      <c r="AC444" s="24" t="str">
        <f t="shared" ca="1" si="64"/>
        <v/>
      </c>
      <c r="AD444" s="24" t="str">
        <f t="shared" ca="1" si="65"/>
        <v/>
      </c>
    </row>
    <row r="445" spans="3:30" x14ac:dyDescent="0.25">
      <c r="C445" s="6">
        <v>438</v>
      </c>
      <c r="D445" s="35">
        <v>42628</v>
      </c>
      <c r="E445" s="37">
        <v>14.952</v>
      </c>
      <c r="F445" s="37">
        <v>43.124706098246342</v>
      </c>
      <c r="G445" s="37">
        <v>29.81</v>
      </c>
      <c r="H445" s="37">
        <v>2.8885083421779565</v>
      </c>
      <c r="I445" s="37">
        <v>57.214345140574366</v>
      </c>
      <c r="J445" s="10">
        <v>0</v>
      </c>
      <c r="K445" s="38">
        <v>0</v>
      </c>
      <c r="L445" s="38">
        <v>0</v>
      </c>
      <c r="M445" s="38">
        <v>0</v>
      </c>
      <c r="N445" s="38">
        <v>0</v>
      </c>
      <c r="O445" s="38">
        <v>0</v>
      </c>
      <c r="P445" s="38">
        <v>0</v>
      </c>
      <c r="Q445" s="38">
        <v>0</v>
      </c>
      <c r="R445" s="38">
        <v>1</v>
      </c>
      <c r="S445" s="38">
        <v>0</v>
      </c>
      <c r="T445" s="38">
        <v>0</v>
      </c>
      <c r="U445" s="29" cm="1">
        <f t="array" aca="1" ref="U445" ca="1">+fair_value_gap(OFFSET(T444,0,0,-1*$J$5,-1*$AA$1),OFFSET(E444,0,0,-1*$J$5,1),F445:T445,0)</f>
        <v>14.916842439931253</v>
      </c>
      <c r="V445" s="9" t="str" cm="1">
        <f t="array" aca="1" ref="V445" ca="1">z_score_diff(OFFSET(U445,0,0,$J$5*-1,1),OFFSET(E445,0,0,$J$5*-1,1))</f>
        <v/>
      </c>
      <c r="W445" s="9" t="str">
        <f t="shared" ca="1" si="61"/>
        <v/>
      </c>
      <c r="X445" s="17">
        <f t="shared" ca="1" si="60"/>
        <v>4.204115473414638E-2</v>
      </c>
      <c r="Y445" s="13">
        <f t="shared" si="69"/>
        <v>0</v>
      </c>
      <c r="Z445" s="13">
        <f t="shared" si="69"/>
        <v>0</v>
      </c>
      <c r="AA445" t="str">
        <f t="shared" ca="1" si="62"/>
        <v/>
      </c>
      <c r="AB445" t="str">
        <f t="shared" ca="1" si="63"/>
        <v/>
      </c>
      <c r="AC445" s="24" t="str">
        <f t="shared" ca="1" si="64"/>
        <v/>
      </c>
      <c r="AD445" s="24" t="str">
        <f t="shared" ca="1" si="65"/>
        <v/>
      </c>
    </row>
    <row r="446" spans="3:30" x14ac:dyDescent="0.25">
      <c r="C446" s="6">
        <v>439</v>
      </c>
      <c r="D446" s="35">
        <v>42629</v>
      </c>
      <c r="E446" s="37">
        <v>15.013</v>
      </c>
      <c r="F446" s="37">
        <v>42.85237809352278</v>
      </c>
      <c r="G446" s="37">
        <v>30.48</v>
      </c>
      <c r="H446" s="37">
        <v>2.9324261223400709</v>
      </c>
      <c r="I446" s="37">
        <v>57.679051875569783</v>
      </c>
      <c r="J446" s="10">
        <v>0</v>
      </c>
      <c r="K446" s="38">
        <v>0</v>
      </c>
      <c r="L446" s="38">
        <v>0</v>
      </c>
      <c r="M446" s="38">
        <v>0</v>
      </c>
      <c r="N446" s="38">
        <v>0</v>
      </c>
      <c r="O446" s="38">
        <v>0</v>
      </c>
      <c r="P446" s="38">
        <v>0</v>
      </c>
      <c r="Q446" s="38">
        <v>0</v>
      </c>
      <c r="R446" s="38">
        <v>1</v>
      </c>
      <c r="S446" s="38">
        <v>0</v>
      </c>
      <c r="T446" s="38">
        <v>0</v>
      </c>
      <c r="U446" s="29" cm="1">
        <f t="array" aca="1" ref="U446" ca="1">+fair_value_gap(OFFSET(T445,0,0,-1*$J$5,-1*$AA$1),OFFSET(E445,0,0,-1*$J$5,1),F446:T446,0)</f>
        <v>15.173817475980318</v>
      </c>
      <c r="V446" s="9" t="str" cm="1">
        <f t="array" aca="1" ref="V446" ca="1">z_score_diff(OFFSET(U446,0,0,$J$5*-1,1),OFFSET(E446,0,0,$J$5*-1,1))</f>
        <v/>
      </c>
      <c r="W446" s="9" t="str">
        <f t="shared" ca="1" si="61"/>
        <v/>
      </c>
      <c r="X446" s="17">
        <f t="shared" ca="1" si="60"/>
        <v>6.0228808031853015E-2</v>
      </c>
      <c r="Y446" s="13">
        <f t="shared" si="69"/>
        <v>0</v>
      </c>
      <c r="Z446" s="13">
        <f t="shared" si="69"/>
        <v>0</v>
      </c>
      <c r="AA446" t="str">
        <f t="shared" ca="1" si="62"/>
        <v/>
      </c>
      <c r="AB446" t="str">
        <f t="shared" ca="1" si="63"/>
        <v/>
      </c>
      <c r="AC446" s="24" t="str">
        <f t="shared" ca="1" si="64"/>
        <v/>
      </c>
      <c r="AD446" s="24" t="str">
        <f t="shared" ca="1" si="65"/>
        <v/>
      </c>
    </row>
    <row r="447" spans="3:30" x14ac:dyDescent="0.25">
      <c r="C447" s="6">
        <v>440</v>
      </c>
      <c r="D447" s="35">
        <v>42632</v>
      </c>
      <c r="E447" s="37">
        <v>15.422000000000001</v>
      </c>
      <c r="F447" s="37">
        <v>42.968548903907021</v>
      </c>
      <c r="G447" s="37">
        <v>30.77</v>
      </c>
      <c r="H447" s="37">
        <v>2.9210802405031604</v>
      </c>
      <c r="I447" s="37">
        <v>58.048814259771113</v>
      </c>
      <c r="J447" s="10">
        <v>0</v>
      </c>
      <c r="K447" s="38">
        <v>0</v>
      </c>
      <c r="L447" s="38">
        <v>0</v>
      </c>
      <c r="M447" s="38">
        <v>0</v>
      </c>
      <c r="N447" s="38">
        <v>0</v>
      </c>
      <c r="O447" s="38">
        <v>0</v>
      </c>
      <c r="P447" s="38">
        <v>0</v>
      </c>
      <c r="Q447" s="38">
        <v>0</v>
      </c>
      <c r="R447" s="38">
        <v>1</v>
      </c>
      <c r="S447" s="38">
        <v>0</v>
      </c>
      <c r="T447" s="38">
        <v>0</v>
      </c>
      <c r="U447" s="29" cm="1">
        <f t="array" aca="1" ref="U447" ca="1">+fair_value_gap(OFFSET(T446,0,0,-1*$J$5,-1*$AA$1),OFFSET(E446,0,0,-1*$J$5,1),F447:T447,0)</f>
        <v>15.268230382698505</v>
      </c>
      <c r="V447" s="9" t="str" cm="1">
        <f t="array" aca="1" ref="V447" ca="1">z_score_diff(OFFSET(U447,0,0,$J$5*-1,1),OFFSET(E447,0,0,$J$5*-1,1))</f>
        <v/>
      </c>
      <c r="W447" s="9" t="str">
        <f t="shared" ca="1" si="61"/>
        <v/>
      </c>
      <c r="X447" s="17">
        <f t="shared" ca="1" si="60"/>
        <v>4.209209928022082E-2</v>
      </c>
      <c r="Y447" s="13">
        <f t="shared" si="69"/>
        <v>0</v>
      </c>
      <c r="Z447" s="13">
        <f t="shared" si="69"/>
        <v>0</v>
      </c>
      <c r="AA447" t="str">
        <f t="shared" ca="1" si="62"/>
        <v/>
      </c>
      <c r="AB447" t="str">
        <f t="shared" ca="1" si="63"/>
        <v/>
      </c>
      <c r="AC447" s="24" t="str">
        <f t="shared" ca="1" si="64"/>
        <v/>
      </c>
      <c r="AD447" s="24" t="str">
        <f t="shared" ca="1" si="65"/>
        <v/>
      </c>
    </row>
    <row r="448" spans="3:30" x14ac:dyDescent="0.25">
      <c r="C448" s="6">
        <v>441</v>
      </c>
      <c r="D448" s="35">
        <v>42633</v>
      </c>
      <c r="E448" s="37">
        <v>15.089</v>
      </c>
      <c r="F448" s="37">
        <v>43.052148248827187</v>
      </c>
      <c r="G448" s="37">
        <v>30.6</v>
      </c>
      <c r="H448" s="37">
        <v>2.993191711927758</v>
      </c>
      <c r="I448" s="37">
        <v>58.307196646913674</v>
      </c>
      <c r="J448" s="10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1</v>
      </c>
      <c r="S448" s="38">
        <v>0</v>
      </c>
      <c r="T448" s="38">
        <v>0</v>
      </c>
      <c r="U448" s="29" cm="1">
        <f t="array" aca="1" ref="U448" ca="1">+fair_value_gap(OFFSET(T447,0,0,-1*$J$5,-1*$AA$1),OFFSET(E447,0,0,-1*$J$5,1),F448:T448,0)</f>
        <v>15.210402290276164</v>
      </c>
      <c r="V448" s="9" t="str" cm="1">
        <f t="array" aca="1" ref="V448" ca="1">z_score_diff(OFFSET(U448,0,0,$J$5*-1,1),OFFSET(E448,0,0,$J$5*-1,1))</f>
        <v/>
      </c>
      <c r="W448" s="9" t="str">
        <f t="shared" ca="1" si="61"/>
        <v/>
      </c>
      <c r="X448" s="17">
        <f t="shared" ca="1" si="60"/>
        <v>9.2117939842061139E-2</v>
      </c>
      <c r="Y448" s="13">
        <f t="shared" si="69"/>
        <v>0</v>
      </c>
      <c r="Z448" s="13">
        <f t="shared" si="69"/>
        <v>0</v>
      </c>
      <c r="AA448" t="str">
        <f t="shared" ca="1" si="62"/>
        <v/>
      </c>
      <c r="AB448" t="str">
        <f t="shared" ca="1" si="63"/>
        <v/>
      </c>
      <c r="AC448" s="24" t="str">
        <f t="shared" ca="1" si="64"/>
        <v/>
      </c>
      <c r="AD448" s="24" t="str">
        <f t="shared" ca="1" si="65"/>
        <v/>
      </c>
    </row>
    <row r="449" spans="3:30" x14ac:dyDescent="0.25">
      <c r="C449" s="6">
        <v>442</v>
      </c>
      <c r="D449" s="35">
        <v>42634</v>
      </c>
      <c r="E449" s="37">
        <v>15.31</v>
      </c>
      <c r="F449" s="37">
        <v>43.67772471506624</v>
      </c>
      <c r="G449" s="37">
        <v>30.89</v>
      </c>
      <c r="H449" s="37">
        <v>3.012929528660071</v>
      </c>
      <c r="I449" s="37">
        <v>59.363046481398392</v>
      </c>
      <c r="J449" s="10">
        <v>0</v>
      </c>
      <c r="K449" s="38">
        <v>0</v>
      </c>
      <c r="L449" s="38">
        <v>0</v>
      </c>
      <c r="M449" s="38">
        <v>0</v>
      </c>
      <c r="N449" s="38">
        <v>0</v>
      </c>
      <c r="O449" s="38">
        <v>0</v>
      </c>
      <c r="P449" s="38">
        <v>0</v>
      </c>
      <c r="Q449" s="38">
        <v>0</v>
      </c>
      <c r="R449" s="38">
        <v>1</v>
      </c>
      <c r="S449" s="38">
        <v>0</v>
      </c>
      <c r="T449" s="38">
        <v>0</v>
      </c>
      <c r="U449" s="29" cm="1">
        <f t="array" aca="1" ref="U449" ca="1">+fair_value_gap(OFFSET(T448,0,0,-1*$J$5,-1*$AA$1),OFFSET(E448,0,0,-1*$J$5,1),F449:T449,0)</f>
        <v>15.373691442219769</v>
      </c>
      <c r="V449" s="9" t="str" cm="1">
        <f t="array" aca="1" ref="V449" ca="1">z_score_diff(OFFSET(U449,0,0,$J$5*-1,1),OFFSET(E449,0,0,$J$5*-1,1))</f>
        <v/>
      </c>
      <c r="W449" s="9" t="str">
        <f t="shared" ca="1" si="61"/>
        <v/>
      </c>
      <c r="X449" s="17">
        <f t="shared" ca="1" si="60"/>
        <v>7.4308567877040474E-2</v>
      </c>
      <c r="Y449" s="13">
        <f t="shared" si="69"/>
        <v>0</v>
      </c>
      <c r="Z449" s="13">
        <f t="shared" si="69"/>
        <v>0</v>
      </c>
      <c r="AA449" t="str">
        <f t="shared" ca="1" si="62"/>
        <v/>
      </c>
      <c r="AB449" t="str">
        <f t="shared" ca="1" si="63"/>
        <v/>
      </c>
      <c r="AC449" s="24" t="str">
        <f t="shared" ca="1" si="64"/>
        <v/>
      </c>
      <c r="AD449" s="24" t="str">
        <f t="shared" ca="1" si="65"/>
        <v/>
      </c>
    </row>
    <row r="450" spans="3:30" x14ac:dyDescent="0.25">
      <c r="C450" s="6">
        <v>443</v>
      </c>
      <c r="D450" s="35">
        <v>42635</v>
      </c>
      <c r="E450" s="37">
        <v>15.534000000000001</v>
      </c>
      <c r="F450" s="37">
        <v>44.501493858581384</v>
      </c>
      <c r="G450" s="37">
        <v>31.5</v>
      </c>
      <c r="H450" s="37">
        <v>2.9673564235918994</v>
      </c>
      <c r="I450" s="37">
        <v>59.311718490649547</v>
      </c>
      <c r="J450" s="10">
        <v>0</v>
      </c>
      <c r="K450" s="38">
        <v>0</v>
      </c>
      <c r="L450" s="38">
        <v>0</v>
      </c>
      <c r="M450" s="38">
        <v>0</v>
      </c>
      <c r="N450" s="38">
        <v>0</v>
      </c>
      <c r="O450" s="38">
        <v>0</v>
      </c>
      <c r="P450" s="38">
        <v>0</v>
      </c>
      <c r="Q450" s="38">
        <v>0</v>
      </c>
      <c r="R450" s="38">
        <v>1</v>
      </c>
      <c r="S450" s="38">
        <v>0</v>
      </c>
      <c r="T450" s="38">
        <v>0</v>
      </c>
      <c r="U450" s="29" cm="1">
        <f t="array" aca="1" ref="U450" ca="1">+fair_value_gap(OFFSET(T449,0,0,-1*$J$5,-1*$AA$1),OFFSET(E449,0,0,-1*$J$5,1),F450:T450,0)</f>
        <v>15.609523233932357</v>
      </c>
      <c r="V450" s="9" t="str" cm="1">
        <f t="array" aca="1" ref="V450" ca="1">z_score_diff(OFFSET(U450,0,0,$J$5*-1,1),OFFSET(E450,0,0,$J$5*-1,1))</f>
        <v/>
      </c>
      <c r="W450" s="9" t="str">
        <f t="shared" ca="1" si="61"/>
        <v/>
      </c>
      <c r="X450" s="17">
        <f t="shared" ca="1" si="60"/>
        <v>5.729430721392513E-2</v>
      </c>
      <c r="Y450" s="13">
        <f t="shared" si="69"/>
        <v>0</v>
      </c>
      <c r="Z450" s="13">
        <f t="shared" si="69"/>
        <v>0</v>
      </c>
      <c r="AA450" t="str">
        <f t="shared" ca="1" si="62"/>
        <v/>
      </c>
      <c r="AB450" t="str">
        <f t="shared" ca="1" si="63"/>
        <v/>
      </c>
      <c r="AC450" s="24" t="str">
        <f t="shared" ca="1" si="64"/>
        <v/>
      </c>
      <c r="AD450" s="24" t="str">
        <f t="shared" ca="1" si="65"/>
        <v/>
      </c>
    </row>
    <row r="451" spans="3:30" x14ac:dyDescent="0.25">
      <c r="C451" s="6">
        <v>444</v>
      </c>
      <c r="D451" s="35">
        <v>42636</v>
      </c>
      <c r="E451" s="37">
        <v>15.898</v>
      </c>
      <c r="F451" s="37">
        <v>42.914621744705315</v>
      </c>
      <c r="G451" s="37">
        <v>31.77</v>
      </c>
      <c r="H451" s="37">
        <v>2.9181589070168457</v>
      </c>
      <c r="I451" s="37">
        <v>59.424326833797593</v>
      </c>
      <c r="J451" s="10">
        <v>0</v>
      </c>
      <c r="K451" s="38">
        <v>0</v>
      </c>
      <c r="L451" s="38">
        <v>0</v>
      </c>
      <c r="M451" s="38">
        <v>0</v>
      </c>
      <c r="N451" s="38">
        <v>0</v>
      </c>
      <c r="O451" s="38">
        <v>0</v>
      </c>
      <c r="P451" s="38">
        <v>0</v>
      </c>
      <c r="Q451" s="38">
        <v>0</v>
      </c>
      <c r="R451" s="38">
        <v>1</v>
      </c>
      <c r="S451" s="38">
        <v>0</v>
      </c>
      <c r="T451" s="38">
        <v>0</v>
      </c>
      <c r="U451" s="29" cm="1">
        <f t="array" aca="1" ref="U451" ca="1">+fair_value_gap(OFFSET(T450,0,0,-1*$J$5,-1*$AA$1),OFFSET(E450,0,0,-1*$J$5,1),F451:T451,0)</f>
        <v>15.569650061877805</v>
      </c>
      <c r="V451" s="9" t="str" cm="1">
        <f t="array" aca="1" ref="V451" ca="1">z_score_diff(OFFSET(U451,0,0,$J$5*-1,1),OFFSET(E451,0,0,$J$5*-1,1))</f>
        <v/>
      </c>
      <c r="W451" s="9" t="str">
        <f t="shared" ca="1" si="61"/>
        <v/>
      </c>
      <c r="X451" s="17">
        <f t="shared" ca="1" si="60"/>
        <v>3.2184978775153493E-2</v>
      </c>
      <c r="Y451" s="13">
        <f t="shared" si="69"/>
        <v>0</v>
      </c>
      <c r="Z451" s="13">
        <f t="shared" si="69"/>
        <v>0</v>
      </c>
      <c r="AA451" t="str">
        <f t="shared" ca="1" si="62"/>
        <v/>
      </c>
      <c r="AB451" t="str">
        <f t="shared" ca="1" si="63"/>
        <v/>
      </c>
      <c r="AC451" s="24" t="str">
        <f t="shared" ca="1" si="64"/>
        <v/>
      </c>
      <c r="AD451" s="24" t="str">
        <f t="shared" ca="1" si="65"/>
        <v/>
      </c>
    </row>
    <row r="452" spans="3:30" x14ac:dyDescent="0.25">
      <c r="C452" s="6">
        <v>445</v>
      </c>
      <c r="D452" s="35">
        <v>42639</v>
      </c>
      <c r="E452" s="37">
        <v>15.784000000000001</v>
      </c>
      <c r="F452" s="37">
        <v>44.031030721190014</v>
      </c>
      <c r="G452" s="37">
        <v>31.83</v>
      </c>
      <c r="H452" s="37">
        <v>2.9312867237579732</v>
      </c>
      <c r="I452" s="37">
        <v>60.142525439318227</v>
      </c>
      <c r="J452" s="10">
        <v>0</v>
      </c>
      <c r="K452" s="38">
        <v>0</v>
      </c>
      <c r="L452" s="38">
        <v>0</v>
      </c>
      <c r="M452" s="38">
        <v>0</v>
      </c>
      <c r="N452" s="38">
        <v>0</v>
      </c>
      <c r="O452" s="38">
        <v>0</v>
      </c>
      <c r="P452" s="38">
        <v>0</v>
      </c>
      <c r="Q452" s="38">
        <v>0</v>
      </c>
      <c r="R452" s="38">
        <v>1</v>
      </c>
      <c r="S452" s="38">
        <v>0</v>
      </c>
      <c r="T452" s="38">
        <v>0</v>
      </c>
      <c r="U452" s="29" cm="1">
        <f t="array" aca="1" ref="U452" ca="1">+fair_value_gap(OFFSET(T451,0,0,-1*$J$5,-1*$AA$1),OFFSET(E451,0,0,-1*$J$5,1),F452:T452,0)</f>
        <v>15.707440379276441</v>
      </c>
      <c r="V452" s="9" t="str" cm="1">
        <f t="array" aca="1" ref="V452" ca="1">z_score_diff(OFFSET(U452,0,0,$J$5*-1,1),OFFSET(E452,0,0,$J$5*-1,1))</f>
        <v/>
      </c>
      <c r="W452" s="9" t="str">
        <f t="shared" ca="1" si="61"/>
        <v/>
      </c>
      <c r="X452" s="17">
        <f t="shared" ca="1" si="60"/>
        <v>5.5093716944479371E-2</v>
      </c>
      <c r="Y452" s="13">
        <f t="shared" si="69"/>
        <v>0</v>
      </c>
      <c r="Z452" s="13">
        <f t="shared" si="69"/>
        <v>0</v>
      </c>
      <c r="AA452" t="str">
        <f t="shared" ca="1" si="62"/>
        <v/>
      </c>
      <c r="AB452" t="str">
        <f t="shared" ca="1" si="63"/>
        <v/>
      </c>
      <c r="AC452" s="24" t="str">
        <f t="shared" ca="1" si="64"/>
        <v/>
      </c>
      <c r="AD452" s="24" t="str">
        <f t="shared" ca="1" si="65"/>
        <v/>
      </c>
    </row>
    <row r="453" spans="3:30" x14ac:dyDescent="0.25">
      <c r="C453" s="6">
        <v>446</v>
      </c>
      <c r="D453" s="35">
        <v>42640</v>
      </c>
      <c r="E453" s="37">
        <v>15.275</v>
      </c>
      <c r="F453" s="37">
        <v>42.956785014466305</v>
      </c>
      <c r="G453" s="37">
        <v>31.6</v>
      </c>
      <c r="H453" s="37">
        <v>2.934820285364629</v>
      </c>
      <c r="I453" s="37">
        <v>60.084675622333997</v>
      </c>
      <c r="J453" s="10">
        <v>0</v>
      </c>
      <c r="K453" s="38">
        <v>0</v>
      </c>
      <c r="L453" s="38">
        <v>0</v>
      </c>
      <c r="M453" s="38">
        <v>0</v>
      </c>
      <c r="N453" s="38">
        <v>0</v>
      </c>
      <c r="O453" s="38">
        <v>0</v>
      </c>
      <c r="P453" s="38">
        <v>0</v>
      </c>
      <c r="Q453" s="38">
        <v>0</v>
      </c>
      <c r="R453" s="38">
        <v>1</v>
      </c>
      <c r="S453" s="38">
        <v>0</v>
      </c>
      <c r="T453" s="38">
        <v>0</v>
      </c>
      <c r="U453" s="29" cm="1">
        <f t="array" aca="1" ref="U453" ca="1">+fair_value_gap(OFFSET(T452,0,0,-1*$J$5,-1*$AA$1),OFFSET(E452,0,0,-1*$J$5,1),F453:T453,0)</f>
        <v>15.563928511189403</v>
      </c>
      <c r="V453" s="9" t="str" cm="1">
        <f t="array" aca="1" ref="V453" ca="1">z_score_diff(OFFSET(U453,0,0,$J$5*-1,1),OFFSET(E453,0,0,$J$5*-1,1))</f>
        <v/>
      </c>
      <c r="W453" s="9" t="str">
        <f t="shared" ca="1" si="61"/>
        <v/>
      </c>
      <c r="X453" s="17">
        <f t="shared" ca="1" si="60"/>
        <v>9.8073802798589266E-2</v>
      </c>
      <c r="Y453" s="13">
        <f t="shared" si="69"/>
        <v>0</v>
      </c>
      <c r="Z453" s="13">
        <f t="shared" si="69"/>
        <v>0</v>
      </c>
      <c r="AA453" t="str">
        <f t="shared" ca="1" si="62"/>
        <v/>
      </c>
      <c r="AB453" t="str">
        <f t="shared" ca="1" si="63"/>
        <v/>
      </c>
      <c r="AC453" s="24" t="str">
        <f t="shared" ca="1" si="64"/>
        <v/>
      </c>
      <c r="AD453" s="24" t="str">
        <f t="shared" ca="1" si="65"/>
        <v/>
      </c>
    </row>
    <row r="454" spans="3:30" x14ac:dyDescent="0.25">
      <c r="C454" s="6">
        <v>447</v>
      </c>
      <c r="D454" s="35">
        <v>42641</v>
      </c>
      <c r="E454" s="37">
        <v>15.76</v>
      </c>
      <c r="F454" s="37">
        <v>45.109936124471943</v>
      </c>
      <c r="G454" s="37">
        <v>33.08</v>
      </c>
      <c r="H454" s="37">
        <v>2.9032723053644656</v>
      </c>
      <c r="I454" s="37">
        <v>62.522495275439454</v>
      </c>
      <c r="J454" s="10">
        <v>0</v>
      </c>
      <c r="K454" s="38">
        <v>0</v>
      </c>
      <c r="L454" s="38">
        <v>0</v>
      </c>
      <c r="M454" s="38">
        <v>0</v>
      </c>
      <c r="N454" s="38">
        <v>0</v>
      </c>
      <c r="O454" s="38">
        <v>0</v>
      </c>
      <c r="P454" s="38">
        <v>0</v>
      </c>
      <c r="Q454" s="38">
        <v>0</v>
      </c>
      <c r="R454" s="38">
        <v>1</v>
      </c>
      <c r="S454" s="38">
        <v>0</v>
      </c>
      <c r="T454" s="38">
        <v>0</v>
      </c>
      <c r="U454" s="29" cm="1">
        <f t="array" aca="1" ref="U454" ca="1">+fair_value_gap(OFFSET(T453,0,0,-1*$J$5,-1*$AA$1),OFFSET(E453,0,0,-1*$J$5,1),F454:T454,0)</f>
        <v>16.231677992178383</v>
      </c>
      <c r="V454" s="9" t="str" cm="1">
        <f t="array" aca="1" ref="V454" ca="1">z_score_diff(OFFSET(U454,0,0,$J$5*-1,1),OFFSET(E454,0,0,$J$5*-1,1))</f>
        <v/>
      </c>
      <c r="W454" s="9" t="str">
        <f t="shared" ca="1" si="61"/>
        <v/>
      </c>
      <c r="X454" s="17">
        <f t="shared" ca="1" si="60"/>
        <v>5.8292851903981452E-2</v>
      </c>
      <c r="Y454" s="13">
        <f t="shared" si="69"/>
        <v>0</v>
      </c>
      <c r="Z454" s="13">
        <f t="shared" si="69"/>
        <v>0</v>
      </c>
      <c r="AA454" t="str">
        <f t="shared" ca="1" si="62"/>
        <v/>
      </c>
      <c r="AB454" t="str">
        <f t="shared" ca="1" si="63"/>
        <v/>
      </c>
      <c r="AC454" s="24" t="str">
        <f t="shared" ca="1" si="64"/>
        <v/>
      </c>
      <c r="AD454" s="24" t="str">
        <f t="shared" ca="1" si="65"/>
        <v/>
      </c>
    </row>
    <row r="455" spans="3:30" x14ac:dyDescent="0.25">
      <c r="C455" s="6">
        <v>448</v>
      </c>
      <c r="D455" s="35">
        <v>42642</v>
      </c>
      <c r="E455" s="37">
        <v>15.976000000000001</v>
      </c>
      <c r="F455" s="37">
        <v>45.68655786389489</v>
      </c>
      <c r="G455" s="37">
        <v>33.630000000000003</v>
      </c>
      <c r="H455" s="37">
        <v>2.6674798149203864</v>
      </c>
      <c r="I455" s="37">
        <v>63.107375343046925</v>
      </c>
      <c r="J455" s="10">
        <v>0</v>
      </c>
      <c r="K455" s="38">
        <v>0</v>
      </c>
      <c r="L455" s="38">
        <v>0</v>
      </c>
      <c r="M455" s="38">
        <v>0</v>
      </c>
      <c r="N455" s="38">
        <v>0</v>
      </c>
      <c r="O455" s="38">
        <v>0</v>
      </c>
      <c r="P455" s="38">
        <v>0</v>
      </c>
      <c r="Q455" s="38">
        <v>0</v>
      </c>
      <c r="R455" s="38">
        <v>1</v>
      </c>
      <c r="S455" s="38">
        <v>0</v>
      </c>
      <c r="T455" s="38">
        <v>0</v>
      </c>
      <c r="U455" s="29" cm="1">
        <f t="array" aca="1" ref="U455" ca="1">+fair_value_gap(OFFSET(T454,0,0,-1*$J$5,-1*$AA$1),OFFSET(E454,0,0,-1*$J$5,1),F455:T455,0)</f>
        <v>16.313723433328569</v>
      </c>
      <c r="V455" s="9" t="str" cm="1">
        <f t="array" aca="1" ref="V455" ca="1">z_score_diff(OFFSET(U455,0,0,$J$5*-1,1),OFFSET(E455,0,0,$J$5*-1,1))</f>
        <v/>
      </c>
      <c r="W455" s="9" t="str">
        <f t="shared" ca="1" si="61"/>
        <v/>
      </c>
      <c r="X455" s="17">
        <f t="shared" ref="X455:X518" ca="1" si="70">+LN(OFFSET(E455,$X$3,0,1,1)/E455)</f>
        <v>5.6876701654033524E-2</v>
      </c>
      <c r="Y455" s="13">
        <f t="shared" si="69"/>
        <v>0</v>
      </c>
      <c r="Z455" s="13">
        <f t="shared" si="69"/>
        <v>0</v>
      </c>
      <c r="AA455" t="str">
        <f t="shared" ca="1" si="62"/>
        <v/>
      </c>
      <c r="AB455" t="str">
        <f t="shared" ca="1" si="63"/>
        <v/>
      </c>
      <c r="AC455" s="24" t="str">
        <f t="shared" ca="1" si="64"/>
        <v/>
      </c>
      <c r="AD455" s="24" t="str">
        <f t="shared" ca="1" si="65"/>
        <v/>
      </c>
    </row>
    <row r="456" spans="3:30" x14ac:dyDescent="0.25">
      <c r="C456" s="6">
        <v>449</v>
      </c>
      <c r="D456" s="35">
        <v>42643</v>
      </c>
      <c r="E456" s="37">
        <v>15.205</v>
      </c>
      <c r="F456" s="37">
        <v>45.990556676260532</v>
      </c>
      <c r="G456" s="37">
        <v>32.86</v>
      </c>
      <c r="H456" s="37">
        <v>2.6461770239505484</v>
      </c>
      <c r="I456" s="37">
        <v>62.361571864434595</v>
      </c>
      <c r="J456" s="10">
        <v>0</v>
      </c>
      <c r="K456" s="38">
        <v>0</v>
      </c>
      <c r="L456" s="38">
        <v>0</v>
      </c>
      <c r="M456" s="38">
        <v>0</v>
      </c>
      <c r="N456" s="38">
        <v>0</v>
      </c>
      <c r="O456" s="38">
        <v>0</v>
      </c>
      <c r="P456" s="38">
        <v>0</v>
      </c>
      <c r="Q456" s="38">
        <v>0</v>
      </c>
      <c r="R456" s="38">
        <v>1</v>
      </c>
      <c r="S456" s="38">
        <v>0</v>
      </c>
      <c r="T456" s="38">
        <v>0</v>
      </c>
      <c r="U456" s="29" cm="1">
        <f t="array" aca="1" ref="U456" ca="1">+fair_value_gap(OFFSET(T455,0,0,-1*$J$5,-1*$AA$1),OFFSET(E455,0,0,-1*$J$5,1),F456:T456,0)</f>
        <v>15.99718632652041</v>
      </c>
      <c r="V456" s="9" t="str" cm="1">
        <f t="array" aca="1" ref="V456" ca="1">z_score_diff(OFFSET(U456,0,0,$J$5*-1,1),OFFSET(E456,0,0,$J$5*-1,1))</f>
        <v/>
      </c>
      <c r="W456" s="9" t="str">
        <f t="shared" ref="W456:W519" ca="1" si="71">+IF(ISERROR(AVERAGE(OFFSET(V456,0,0,$W$5*-1,1))),"",AVERAGE(OFFSET(V456,0,0,$W$5*-1,1)))</f>
        <v/>
      </c>
      <c r="X456" s="17">
        <f t="shared" ca="1" si="70"/>
        <v>0.10124155440146346</v>
      </c>
      <c r="Y456" s="13">
        <f t="shared" si="69"/>
        <v>0</v>
      </c>
      <c r="Z456" s="13">
        <f t="shared" si="69"/>
        <v>0</v>
      </c>
      <c r="AA456" t="str">
        <f t="shared" ref="AA456:AA519" ca="1" si="72">+IF(W456="","",IF(W456&lt;Y456,1,0))</f>
        <v/>
      </c>
      <c r="AB456" t="str">
        <f t="shared" ref="AB456:AB519" ca="1" si="73">+IF(W456="","",IF(W456&gt;Z456,1,0))</f>
        <v/>
      </c>
      <c r="AC456" s="24" t="str">
        <f t="shared" ref="AC456:AC519" ca="1" si="74">+IF(ISERROR(AA456*X456),"",AA456*X456)</f>
        <v/>
      </c>
      <c r="AD456" s="24" t="str">
        <f t="shared" ref="AD456:AD519" ca="1" si="75">+IF(ISERROR(AB456*X456),"",AB456*X456)</f>
        <v/>
      </c>
    </row>
    <row r="457" spans="3:30" x14ac:dyDescent="0.25">
      <c r="C457" s="6">
        <v>450</v>
      </c>
      <c r="D457" s="35">
        <v>42646</v>
      </c>
      <c r="E457" s="37">
        <v>15.349</v>
      </c>
      <c r="F457" s="37">
        <v>47.065543389072801</v>
      </c>
      <c r="G457" s="37">
        <v>33.409999999999997</v>
      </c>
      <c r="H457" s="37">
        <v>2.6835229041111397</v>
      </c>
      <c r="I457" s="37">
        <v>64.457601222307105</v>
      </c>
      <c r="J457" s="10">
        <v>0</v>
      </c>
      <c r="K457" s="38">
        <v>0</v>
      </c>
      <c r="L457" s="38">
        <v>0</v>
      </c>
      <c r="M457" s="38">
        <v>0</v>
      </c>
      <c r="N457" s="38">
        <v>0</v>
      </c>
      <c r="O457" s="38">
        <v>0</v>
      </c>
      <c r="P457" s="38">
        <v>0</v>
      </c>
      <c r="Q457" s="38">
        <v>0</v>
      </c>
      <c r="R457" s="38">
        <v>0</v>
      </c>
      <c r="S457" s="38">
        <v>1</v>
      </c>
      <c r="T457" s="38">
        <v>0</v>
      </c>
      <c r="U457" s="29" cm="1">
        <f t="array" aca="1" ref="U457" ca="1">+fair_value_gap(OFFSET(T456,0,0,-1*$J$5,-1*$AA$1),OFFSET(E456,0,0,-1*$J$5,1),F457:T457,0)</f>
        <v>17.863059050674963</v>
      </c>
      <c r="V457" s="9" t="str" cm="1">
        <f t="array" aca="1" ref="V457" ca="1">z_score_diff(OFFSET(U457,0,0,$J$5*-1,1),OFFSET(E457,0,0,$J$5*-1,1))</f>
        <v/>
      </c>
      <c r="W457" s="9" t="str">
        <f t="shared" ca="1" si="71"/>
        <v/>
      </c>
      <c r="X457" s="17">
        <f t="shared" ca="1" si="70"/>
        <v>7.4912726293607887E-2</v>
      </c>
      <c r="Y457" s="13">
        <f t="shared" ref="Y457:Z472" si="76">+Y456</f>
        <v>0</v>
      </c>
      <c r="Z457" s="13">
        <f t="shared" si="76"/>
        <v>0</v>
      </c>
      <c r="AA457" t="str">
        <f t="shared" ca="1" si="72"/>
        <v/>
      </c>
      <c r="AB457" t="str">
        <f t="shared" ca="1" si="73"/>
        <v/>
      </c>
      <c r="AC457" s="24" t="str">
        <f t="shared" ca="1" si="74"/>
        <v/>
      </c>
      <c r="AD457" s="24" t="str">
        <f t="shared" ca="1" si="75"/>
        <v/>
      </c>
    </row>
    <row r="458" spans="3:30" x14ac:dyDescent="0.25">
      <c r="C458" s="6">
        <v>451</v>
      </c>
      <c r="D458" s="35">
        <v>42647</v>
      </c>
      <c r="E458" s="37">
        <v>15.614000000000001</v>
      </c>
      <c r="F458" s="37">
        <v>47.13169347493789</v>
      </c>
      <c r="G458" s="37">
        <v>33.590000000000003</v>
      </c>
      <c r="H458" s="37">
        <v>2.6889405591898834</v>
      </c>
      <c r="I458" s="37">
        <v>62.930768189071998</v>
      </c>
      <c r="J458" s="10">
        <v>0</v>
      </c>
      <c r="K458" s="38">
        <v>0</v>
      </c>
      <c r="L458" s="38">
        <v>0</v>
      </c>
      <c r="M458" s="38">
        <v>0</v>
      </c>
      <c r="N458" s="38">
        <v>0</v>
      </c>
      <c r="O458" s="38">
        <v>0</v>
      </c>
      <c r="P458" s="38">
        <v>0</v>
      </c>
      <c r="Q458" s="38">
        <v>0</v>
      </c>
      <c r="R458" s="38">
        <v>0</v>
      </c>
      <c r="S458" s="38">
        <v>1</v>
      </c>
      <c r="T458" s="38">
        <v>0</v>
      </c>
      <c r="U458" s="29" cm="1">
        <f t="array" aca="1" ref="U458" ca="1">+fair_value_gap(OFFSET(T457,0,0,-1*$J$5,-1*$AA$1),OFFSET(E457,0,0,-1*$J$5,1),F458:T458,0)</f>
        <v>16.446244313330709</v>
      </c>
      <c r="V458" s="9" t="str" cm="1">
        <f t="array" aca="1" ref="V458" ca="1">z_score_diff(OFFSET(U458,0,0,$J$5*-1,1),OFFSET(E458,0,0,$J$5*-1,1))</f>
        <v/>
      </c>
      <c r="W458" s="9" t="str">
        <f t="shared" ca="1" si="71"/>
        <v/>
      </c>
      <c r="X458" s="17">
        <f t="shared" ca="1" si="70"/>
        <v>8.1627798311259978E-2</v>
      </c>
      <c r="Y458" s="13">
        <f t="shared" si="76"/>
        <v>0</v>
      </c>
      <c r="Z458" s="13">
        <f t="shared" si="76"/>
        <v>0</v>
      </c>
      <c r="AA458" t="str">
        <f t="shared" ca="1" si="72"/>
        <v/>
      </c>
      <c r="AB458" t="str">
        <f t="shared" ca="1" si="73"/>
        <v/>
      </c>
      <c r="AC458" s="24" t="str">
        <f t="shared" ca="1" si="74"/>
        <v/>
      </c>
      <c r="AD458" s="24" t="str">
        <f t="shared" ca="1" si="75"/>
        <v/>
      </c>
    </row>
    <row r="459" spans="3:30" x14ac:dyDescent="0.25">
      <c r="C459" s="6">
        <v>452</v>
      </c>
      <c r="D459" s="35">
        <v>42648</v>
      </c>
      <c r="E459" s="37">
        <v>15.832000000000001</v>
      </c>
      <c r="F459" s="37">
        <v>48.013712638416806</v>
      </c>
      <c r="G459" s="37">
        <v>34.03</v>
      </c>
      <c r="H459" s="37">
        <v>2.75350629366543</v>
      </c>
      <c r="I459" s="37">
        <v>65.163364377419825</v>
      </c>
      <c r="J459" s="10">
        <v>0</v>
      </c>
      <c r="K459" s="38">
        <v>0</v>
      </c>
      <c r="L459" s="38">
        <v>0</v>
      </c>
      <c r="M459" s="38">
        <v>0</v>
      </c>
      <c r="N459" s="38">
        <v>0</v>
      </c>
      <c r="O459" s="38">
        <v>0</v>
      </c>
      <c r="P459" s="38">
        <v>0</v>
      </c>
      <c r="Q459" s="38">
        <v>0</v>
      </c>
      <c r="R459" s="38">
        <v>0</v>
      </c>
      <c r="S459" s="38">
        <v>1</v>
      </c>
      <c r="T459" s="38">
        <v>0</v>
      </c>
      <c r="U459" s="29" cm="1">
        <f t="array" aca="1" ref="U459" ca="1">+fair_value_gap(OFFSET(T458,0,0,-1*$J$5,-1*$AA$1),OFFSET(E458,0,0,-1*$J$5,1),F459:T459,0)</f>
        <v>16.309457983118406</v>
      </c>
      <c r="V459" s="9" t="str" cm="1">
        <f t="array" aca="1" ref="V459" ca="1">z_score_diff(OFFSET(U459,0,0,$J$5*-1,1),OFFSET(E459,0,0,$J$5*-1,1))</f>
        <v/>
      </c>
      <c r="W459" s="9" t="str">
        <f t="shared" ca="1" si="71"/>
        <v/>
      </c>
      <c r="X459" s="17">
        <f t="shared" ca="1" si="70"/>
        <v>7.2003326253427966E-2</v>
      </c>
      <c r="Y459" s="13">
        <f t="shared" si="76"/>
        <v>0</v>
      </c>
      <c r="Z459" s="13">
        <f t="shared" si="76"/>
        <v>0</v>
      </c>
      <c r="AA459" t="str">
        <f t="shared" ca="1" si="72"/>
        <v/>
      </c>
      <c r="AB459" t="str">
        <f t="shared" ca="1" si="73"/>
        <v/>
      </c>
      <c r="AC459" s="24" t="str">
        <f t="shared" ca="1" si="74"/>
        <v/>
      </c>
      <c r="AD459" s="24" t="str">
        <f t="shared" ca="1" si="75"/>
        <v/>
      </c>
    </row>
    <row r="460" spans="3:30" x14ac:dyDescent="0.25">
      <c r="C460" s="6">
        <v>453</v>
      </c>
      <c r="D460" s="35">
        <v>42649</v>
      </c>
      <c r="E460" s="37">
        <v>16.173999999999999</v>
      </c>
      <c r="F460" s="37">
        <v>48.804147106592211</v>
      </c>
      <c r="G460" s="37">
        <v>35.380000000000003</v>
      </c>
      <c r="H460" s="37">
        <v>2.7846129886310544</v>
      </c>
      <c r="I460" s="37">
        <v>66.211315549424882</v>
      </c>
      <c r="J460" s="10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1</v>
      </c>
      <c r="T460" s="38">
        <v>0</v>
      </c>
      <c r="U460" s="29" cm="1">
        <f t="array" aca="1" ref="U460" ca="1">+fair_value_gap(OFFSET(T459,0,0,-1*$J$5,-1*$AA$1),OFFSET(E459,0,0,-1*$J$5,1),F460:T460,0)</f>
        <v>16.767927751142864</v>
      </c>
      <c r="V460" s="9" t="str" cm="1">
        <f t="array" aca="1" ref="V460" ca="1">z_score_diff(OFFSET(U460,0,0,$J$5*-1,1),OFFSET(E460,0,0,$J$5*-1,1))</f>
        <v/>
      </c>
      <c r="W460" s="9" t="str">
        <f t="shared" ca="1" si="71"/>
        <v/>
      </c>
      <c r="X460" s="17">
        <f t="shared" ca="1" si="70"/>
        <v>4.3435122398066774E-2</v>
      </c>
      <c r="Y460" s="13">
        <f t="shared" si="76"/>
        <v>0</v>
      </c>
      <c r="Z460" s="13">
        <f t="shared" si="76"/>
        <v>0</v>
      </c>
      <c r="AA460" t="str">
        <f t="shared" ca="1" si="72"/>
        <v/>
      </c>
      <c r="AB460" t="str">
        <f t="shared" ca="1" si="73"/>
        <v/>
      </c>
      <c r="AC460" s="24" t="str">
        <f t="shared" ca="1" si="74"/>
        <v/>
      </c>
      <c r="AD460" s="24" t="str">
        <f t="shared" ca="1" si="75"/>
        <v/>
      </c>
    </row>
    <row r="461" spans="3:30" x14ac:dyDescent="0.25">
      <c r="C461" s="6">
        <v>454</v>
      </c>
      <c r="D461" s="35">
        <v>42650</v>
      </c>
      <c r="E461" s="37">
        <v>15.791</v>
      </c>
      <c r="F461" s="37">
        <v>48.110604792461018</v>
      </c>
      <c r="G461" s="37">
        <v>34.590000000000003</v>
      </c>
      <c r="H461" s="37">
        <v>2.8297750793798406</v>
      </c>
      <c r="I461" s="37">
        <v>65.053827724710274</v>
      </c>
      <c r="J461" s="10">
        <v>0</v>
      </c>
      <c r="K461" s="38">
        <v>0</v>
      </c>
      <c r="L461" s="38">
        <v>0</v>
      </c>
      <c r="M461" s="38">
        <v>0</v>
      </c>
      <c r="N461" s="38">
        <v>0</v>
      </c>
      <c r="O461" s="38">
        <v>0</v>
      </c>
      <c r="P461" s="38">
        <v>0</v>
      </c>
      <c r="Q461" s="38">
        <v>0</v>
      </c>
      <c r="R461" s="38">
        <v>0</v>
      </c>
      <c r="S461" s="38">
        <v>1</v>
      </c>
      <c r="T461" s="38">
        <v>0</v>
      </c>
      <c r="U461" s="29" cm="1">
        <f t="array" aca="1" ref="U461" ca="1">+fair_value_gap(OFFSET(T460,0,0,-1*$J$5,-1*$AA$1),OFFSET(E460,0,0,-1*$J$5,1),F461:T461,0)</f>
        <v>16.336465196917423</v>
      </c>
      <c r="V461" s="9" t="str" cm="1">
        <f t="array" aca="1" ref="V461" ca="1">z_score_diff(OFFSET(U461,0,0,$J$5*-1,1),OFFSET(E461,0,0,$J$5*-1,1))</f>
        <v/>
      </c>
      <c r="W461" s="9" t="str">
        <f t="shared" ca="1" si="71"/>
        <v/>
      </c>
      <c r="X461" s="17">
        <f t="shared" ca="1" si="70"/>
        <v>4.5736754348426667E-2</v>
      </c>
      <c r="Y461" s="13">
        <f t="shared" si="76"/>
        <v>0</v>
      </c>
      <c r="Z461" s="13">
        <f t="shared" si="76"/>
        <v>0</v>
      </c>
      <c r="AA461" t="str">
        <f t="shared" ca="1" si="72"/>
        <v/>
      </c>
      <c r="AB461" t="str">
        <f t="shared" ca="1" si="73"/>
        <v/>
      </c>
      <c r="AC461" s="24" t="str">
        <f t="shared" ca="1" si="74"/>
        <v/>
      </c>
      <c r="AD461" s="24" t="str">
        <f t="shared" ca="1" si="75"/>
        <v/>
      </c>
    </row>
    <row r="462" spans="3:30" x14ac:dyDescent="0.25">
      <c r="C462" s="6">
        <v>455</v>
      </c>
      <c r="D462" s="35">
        <v>42653</v>
      </c>
      <c r="E462" s="37">
        <v>15.686999999999999</v>
      </c>
      <c r="F462" s="37">
        <v>49.403937530337508</v>
      </c>
      <c r="G462" s="37">
        <v>33.909999999999997</v>
      </c>
      <c r="H462" s="37">
        <v>2.8794470891577642</v>
      </c>
      <c r="I462" s="37">
        <v>64.43798233855992</v>
      </c>
      <c r="J462" s="10">
        <v>0</v>
      </c>
      <c r="K462" s="38">
        <v>0</v>
      </c>
      <c r="L462" s="38">
        <v>0</v>
      </c>
      <c r="M462" s="38">
        <v>0</v>
      </c>
      <c r="N462" s="38">
        <v>0</v>
      </c>
      <c r="O462" s="38">
        <v>0</v>
      </c>
      <c r="P462" s="38">
        <v>0</v>
      </c>
      <c r="Q462" s="38">
        <v>0</v>
      </c>
      <c r="R462" s="38">
        <v>0</v>
      </c>
      <c r="S462" s="38">
        <v>1</v>
      </c>
      <c r="T462" s="38">
        <v>0</v>
      </c>
      <c r="U462" s="29" cm="1">
        <f t="array" aca="1" ref="U462" ca="1">+fair_value_gap(OFFSET(T461,0,0,-1*$J$5,-1*$AA$1),OFFSET(E461,0,0,-1*$J$5,1),F462:T462,0)</f>
        <v>16.10061465545494</v>
      </c>
      <c r="V462" s="9" t="str" cm="1">
        <f t="array" aca="1" ref="V462" ca="1">z_score_diff(OFFSET(U462,0,0,$J$5*-1,1),OFFSET(E462,0,0,$J$5*-1,1))</f>
        <v/>
      </c>
      <c r="W462" s="9" t="str">
        <f t="shared" ca="1" si="71"/>
        <v/>
      </c>
      <c r="X462" s="17">
        <f t="shared" ca="1" si="70"/>
        <v>4.108969630207062E-2</v>
      </c>
      <c r="Y462" s="13">
        <f t="shared" si="76"/>
        <v>0</v>
      </c>
      <c r="Z462" s="13">
        <f t="shared" si="76"/>
        <v>0</v>
      </c>
      <c r="AA462" t="str">
        <f t="shared" ca="1" si="72"/>
        <v/>
      </c>
      <c r="AB462" t="str">
        <f t="shared" ca="1" si="73"/>
        <v/>
      </c>
      <c r="AC462" s="24" t="str">
        <f t="shared" ca="1" si="74"/>
        <v/>
      </c>
      <c r="AD462" s="24" t="str">
        <f t="shared" ca="1" si="75"/>
        <v/>
      </c>
    </row>
    <row r="463" spans="3:30" x14ac:dyDescent="0.25">
      <c r="C463" s="6">
        <v>456</v>
      </c>
      <c r="D463" s="35">
        <v>42654</v>
      </c>
      <c r="E463" s="37">
        <v>15.369</v>
      </c>
      <c r="F463" s="37">
        <v>49.110500420921504</v>
      </c>
      <c r="G463" s="37">
        <v>33.76</v>
      </c>
      <c r="H463" s="37">
        <v>2.8890113460333757</v>
      </c>
      <c r="I463" s="37">
        <v>64.439582058153576</v>
      </c>
      <c r="J463" s="10">
        <v>0</v>
      </c>
      <c r="K463" s="38">
        <v>0</v>
      </c>
      <c r="L463" s="38">
        <v>0</v>
      </c>
      <c r="M463" s="38">
        <v>0</v>
      </c>
      <c r="N463" s="38">
        <v>0</v>
      </c>
      <c r="O463" s="38">
        <v>0</v>
      </c>
      <c r="P463" s="38">
        <v>0</v>
      </c>
      <c r="Q463" s="38">
        <v>0</v>
      </c>
      <c r="R463" s="38">
        <v>0</v>
      </c>
      <c r="S463" s="38">
        <v>1</v>
      </c>
      <c r="T463" s="38">
        <v>0</v>
      </c>
      <c r="U463" s="29" cm="1">
        <f t="array" aca="1" ref="U463" ca="1">+fair_value_gap(OFFSET(T462,0,0,-1*$J$5,-1*$AA$1),OFFSET(E462,0,0,-1*$J$5,1),F463:T463,0)</f>
        <v>15.944287219421177</v>
      </c>
      <c r="V463" s="9" t="str" cm="1">
        <f t="array" aca="1" ref="V463" ca="1">z_score_diff(OFFSET(U463,0,0,$J$5*-1,1),OFFSET(E463,0,0,$J$5*-1,1))</f>
        <v/>
      </c>
      <c r="W463" s="9" t="str">
        <f t="shared" ca="1" si="71"/>
        <v/>
      </c>
      <c r="X463" s="17">
        <f t="shared" ca="1" si="70"/>
        <v>4.6901466483367245E-2</v>
      </c>
      <c r="Y463" s="13">
        <f t="shared" si="76"/>
        <v>0</v>
      </c>
      <c r="Z463" s="13">
        <f t="shared" si="76"/>
        <v>0</v>
      </c>
      <c r="AA463" t="str">
        <f t="shared" ca="1" si="72"/>
        <v/>
      </c>
      <c r="AB463" t="str">
        <f t="shared" ca="1" si="73"/>
        <v/>
      </c>
      <c r="AC463" s="24" t="str">
        <f t="shared" ca="1" si="74"/>
        <v/>
      </c>
      <c r="AD463" s="24" t="str">
        <f t="shared" ca="1" si="75"/>
        <v/>
      </c>
    </row>
    <row r="464" spans="3:30" x14ac:dyDescent="0.25">
      <c r="C464" s="6">
        <v>457</v>
      </c>
      <c r="D464" s="35">
        <v>42655</v>
      </c>
      <c r="E464" s="37">
        <v>15.297000000000001</v>
      </c>
      <c r="F464" s="37">
        <v>48.842678103235457</v>
      </c>
      <c r="G464" s="37">
        <v>34.020000000000003</v>
      </c>
      <c r="H464" s="37">
        <v>2.9056933569993424</v>
      </c>
      <c r="I464" s="37">
        <v>66.7633729468686</v>
      </c>
      <c r="J464" s="10">
        <v>0</v>
      </c>
      <c r="K464" s="38">
        <v>0</v>
      </c>
      <c r="L464" s="38">
        <v>0</v>
      </c>
      <c r="M464" s="38">
        <v>0</v>
      </c>
      <c r="N464" s="38">
        <v>0</v>
      </c>
      <c r="O464" s="38">
        <v>0</v>
      </c>
      <c r="P464" s="38">
        <v>0</v>
      </c>
      <c r="Q464" s="38">
        <v>0</v>
      </c>
      <c r="R464" s="38">
        <v>0</v>
      </c>
      <c r="S464" s="38">
        <v>1</v>
      </c>
      <c r="T464" s="38">
        <v>0</v>
      </c>
      <c r="U464" s="29" cm="1">
        <f t="array" aca="1" ref="U464" ca="1">+fair_value_gap(OFFSET(T463,0,0,-1*$J$5,-1*$AA$1),OFFSET(E463,0,0,-1*$J$5,1),F464:T464,0)</f>
        <v>15.795133657960916</v>
      </c>
      <c r="V464" s="9" t="str" cm="1">
        <f t="array" aca="1" ref="V464" ca="1">z_score_diff(OFFSET(U464,0,0,$J$5*-1,1),OFFSET(E464,0,0,$J$5*-1,1))</f>
        <v/>
      </c>
      <c r="W464" s="9" t="str">
        <f t="shared" ca="1" si="71"/>
        <v/>
      </c>
      <c r="X464" s="17">
        <f t="shared" ca="1" si="70"/>
        <v>5.7663105852382275E-2</v>
      </c>
      <c r="Y464" s="13">
        <f t="shared" si="76"/>
        <v>0</v>
      </c>
      <c r="Z464" s="13">
        <f t="shared" si="76"/>
        <v>0</v>
      </c>
      <c r="AA464" t="str">
        <f t="shared" ca="1" si="72"/>
        <v/>
      </c>
      <c r="AB464" t="str">
        <f t="shared" ca="1" si="73"/>
        <v/>
      </c>
      <c r="AC464" s="24" t="str">
        <f t="shared" ca="1" si="74"/>
        <v/>
      </c>
      <c r="AD464" s="24" t="str">
        <f t="shared" ca="1" si="75"/>
        <v/>
      </c>
    </row>
    <row r="465" spans="3:30" x14ac:dyDescent="0.25">
      <c r="C465" s="6">
        <v>458</v>
      </c>
      <c r="D465" s="35">
        <v>42656</v>
      </c>
      <c r="E465" s="37">
        <v>15.593999999999999</v>
      </c>
      <c r="F465" s="37">
        <v>48.885231868361615</v>
      </c>
      <c r="G465" s="37">
        <v>34.47</v>
      </c>
      <c r="H465" s="37">
        <v>2.9691856140309949</v>
      </c>
      <c r="I465" s="37">
        <v>67.88120027242212</v>
      </c>
      <c r="J465" s="10">
        <v>0</v>
      </c>
      <c r="K465" s="38">
        <v>0</v>
      </c>
      <c r="L465" s="38">
        <v>0</v>
      </c>
      <c r="M465" s="38">
        <v>0</v>
      </c>
      <c r="N465" s="38">
        <v>0</v>
      </c>
      <c r="O465" s="38">
        <v>0</v>
      </c>
      <c r="P465" s="38">
        <v>0</v>
      </c>
      <c r="Q465" s="38">
        <v>0</v>
      </c>
      <c r="R465" s="38">
        <v>0</v>
      </c>
      <c r="S465" s="38">
        <v>1</v>
      </c>
      <c r="T465" s="38">
        <v>0</v>
      </c>
      <c r="U465" s="29" cm="1">
        <f t="array" aca="1" ref="U465" ca="1">+fair_value_gap(OFFSET(T464,0,0,-1*$J$5,-1*$AA$1),OFFSET(E464,0,0,-1*$J$5,1),F465:T465,0)</f>
        <v>15.871636463331001</v>
      </c>
      <c r="V465" s="9" t="str" cm="1">
        <f t="array" aca="1" ref="V465" ca="1">z_score_diff(OFFSET(U465,0,0,$J$5*-1,1),OFFSET(E465,0,0,$J$5*-1,1))</f>
        <v/>
      </c>
      <c r="W465" s="9" t="str">
        <f t="shared" ca="1" si="71"/>
        <v/>
      </c>
      <c r="X465" s="17">
        <f t="shared" ca="1" si="70"/>
        <v>5.2891990141331745E-2</v>
      </c>
      <c r="Y465" s="13">
        <f t="shared" si="76"/>
        <v>0</v>
      </c>
      <c r="Z465" s="13">
        <f t="shared" si="76"/>
        <v>0</v>
      </c>
      <c r="AA465" t="str">
        <f t="shared" ca="1" si="72"/>
        <v/>
      </c>
      <c r="AB465" t="str">
        <f t="shared" ca="1" si="73"/>
        <v/>
      </c>
      <c r="AC465" s="24" t="str">
        <f t="shared" ca="1" si="74"/>
        <v/>
      </c>
      <c r="AD465" s="24" t="str">
        <f t="shared" ca="1" si="75"/>
        <v/>
      </c>
    </row>
    <row r="466" spans="3:30" x14ac:dyDescent="0.25">
      <c r="C466" s="6">
        <v>459</v>
      </c>
      <c r="D466" s="35">
        <v>42657</v>
      </c>
      <c r="E466" s="37">
        <v>15.945</v>
      </c>
      <c r="F466" s="37">
        <v>49.167250052911768</v>
      </c>
      <c r="G466" s="37">
        <v>35.14</v>
      </c>
      <c r="H466" s="37">
        <v>2.9938115834278509</v>
      </c>
      <c r="I466" s="37">
        <v>71.453509090876196</v>
      </c>
      <c r="J466" s="10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38">
        <v>0</v>
      </c>
      <c r="Q466" s="38">
        <v>0</v>
      </c>
      <c r="R466" s="38">
        <v>0</v>
      </c>
      <c r="S466" s="38">
        <v>1</v>
      </c>
      <c r="T466" s="38">
        <v>0</v>
      </c>
      <c r="U466" s="29" cm="1">
        <f t="array" aca="1" ref="U466" ca="1">+fair_value_gap(OFFSET(T465,0,0,-1*$J$5,-1*$AA$1),OFFSET(E465,0,0,-1*$J$5,1),F466:T466,0)</f>
        <v>15.922990932469736</v>
      </c>
      <c r="V466" s="9" t="str" cm="1">
        <f t="array" aca="1" ref="V466" ca="1">z_score_diff(OFFSET(U466,0,0,$J$5*-1,1),OFFSET(E466,0,0,$J$5*-1,1))</f>
        <v/>
      </c>
      <c r="W466" s="9" t="str">
        <f t="shared" ca="1" si="71"/>
        <v/>
      </c>
      <c r="X466" s="17">
        <f t="shared" ca="1" si="70"/>
        <v>1.4383361816094569E-2</v>
      </c>
      <c r="Y466" s="13">
        <f t="shared" si="76"/>
        <v>0</v>
      </c>
      <c r="Z466" s="13">
        <f t="shared" si="76"/>
        <v>0</v>
      </c>
      <c r="AA466" t="str">
        <f t="shared" ca="1" si="72"/>
        <v/>
      </c>
      <c r="AB466" t="str">
        <f t="shared" ca="1" si="73"/>
        <v/>
      </c>
      <c r="AC466" s="24" t="str">
        <f t="shared" ca="1" si="74"/>
        <v/>
      </c>
      <c r="AD466" s="24" t="str">
        <f t="shared" ca="1" si="75"/>
        <v/>
      </c>
    </row>
    <row r="467" spans="3:30" x14ac:dyDescent="0.25">
      <c r="C467" s="6">
        <v>460</v>
      </c>
      <c r="D467" s="35">
        <v>42660</v>
      </c>
      <c r="E467" s="37">
        <v>16.085000000000001</v>
      </c>
      <c r="F467" s="37">
        <v>48.736055121163751</v>
      </c>
      <c r="G467" s="37">
        <v>35.61</v>
      </c>
      <c r="H467" s="37">
        <v>2.9869321717485997</v>
      </c>
      <c r="I467" s="37">
        <v>73.500897342243633</v>
      </c>
      <c r="J467" s="10">
        <v>0</v>
      </c>
      <c r="K467" s="38">
        <v>0</v>
      </c>
      <c r="L467" s="38">
        <v>0</v>
      </c>
      <c r="M467" s="38">
        <v>0</v>
      </c>
      <c r="N467" s="38">
        <v>0</v>
      </c>
      <c r="O467" s="38">
        <v>0</v>
      </c>
      <c r="P467" s="38">
        <v>0</v>
      </c>
      <c r="Q467" s="38">
        <v>0</v>
      </c>
      <c r="R467" s="38">
        <v>0</v>
      </c>
      <c r="S467" s="38">
        <v>1</v>
      </c>
      <c r="T467" s="38">
        <v>0</v>
      </c>
      <c r="U467" s="29" cm="1">
        <f t="array" aca="1" ref="U467" ca="1">+fair_value_gap(OFFSET(T466,0,0,-1*$J$5,-1*$AA$1),OFFSET(E466,0,0,-1*$J$5,1),F467:T467,0)</f>
        <v>15.977361191456156</v>
      </c>
      <c r="V467" s="9" t="str" cm="1">
        <f t="array" aca="1" ref="V467" ca="1">z_score_diff(OFFSET(U467,0,0,$J$5*-1,1),OFFSET(E467,0,0,$J$5*-1,1))</f>
        <v/>
      </c>
      <c r="W467" s="9" t="str">
        <f t="shared" ca="1" si="71"/>
        <v/>
      </c>
      <c r="X467" s="17">
        <f t="shared" ca="1" si="70"/>
        <v>-1.7940513800277825E-2</v>
      </c>
      <c r="Y467" s="13">
        <f t="shared" si="76"/>
        <v>0</v>
      </c>
      <c r="Z467" s="13">
        <f t="shared" si="76"/>
        <v>0</v>
      </c>
      <c r="AA467" t="str">
        <f t="shared" ca="1" si="72"/>
        <v/>
      </c>
      <c r="AB467" t="str">
        <f t="shared" ca="1" si="73"/>
        <v/>
      </c>
      <c r="AC467" s="24" t="str">
        <f t="shared" ca="1" si="74"/>
        <v/>
      </c>
      <c r="AD467" s="24" t="str">
        <f t="shared" ca="1" si="75"/>
        <v/>
      </c>
    </row>
    <row r="468" spans="3:30" x14ac:dyDescent="0.25">
      <c r="C468" s="6">
        <v>461</v>
      </c>
      <c r="D468" s="35">
        <v>42661</v>
      </c>
      <c r="E468" s="37">
        <v>16.545000000000002</v>
      </c>
      <c r="F468" s="37">
        <v>49.172090568465876</v>
      </c>
      <c r="G468" s="37">
        <v>36.17</v>
      </c>
      <c r="H468" s="37">
        <v>3.0184668718742147</v>
      </c>
      <c r="I468" s="37">
        <v>76.184657873950997</v>
      </c>
      <c r="J468" s="10">
        <v>0</v>
      </c>
      <c r="K468" s="38">
        <v>0</v>
      </c>
      <c r="L468" s="38">
        <v>0</v>
      </c>
      <c r="M468" s="38">
        <v>0</v>
      </c>
      <c r="N468" s="38">
        <v>0</v>
      </c>
      <c r="O468" s="38">
        <v>0</v>
      </c>
      <c r="P468" s="38">
        <v>0</v>
      </c>
      <c r="Q468" s="38">
        <v>0</v>
      </c>
      <c r="R468" s="38">
        <v>0</v>
      </c>
      <c r="S468" s="38">
        <v>1</v>
      </c>
      <c r="T468" s="38">
        <v>0</v>
      </c>
      <c r="U468" s="29" cm="1">
        <f t="array" aca="1" ref="U468" ca="1">+fair_value_gap(OFFSET(T467,0,0,-1*$J$5,-1*$AA$1),OFFSET(E467,0,0,-1*$J$5,1),F468:T468,0)</f>
        <v>16.146268577326776</v>
      </c>
      <c r="V468" s="9" t="str" cm="1">
        <f t="array" aca="1" ref="V468" ca="1">z_score_diff(OFFSET(U468,0,0,$J$5*-1,1),OFFSET(E468,0,0,$J$5*-1,1))</f>
        <v/>
      </c>
      <c r="W468" s="9" t="str">
        <f t="shared" ca="1" si="71"/>
        <v/>
      </c>
      <c r="X468" s="17">
        <f t="shared" ca="1" si="70"/>
        <v>-2.8943095786571563E-2</v>
      </c>
      <c r="Y468" s="13">
        <f t="shared" si="76"/>
        <v>0</v>
      </c>
      <c r="Z468" s="13">
        <f t="shared" si="76"/>
        <v>0</v>
      </c>
      <c r="AA468" t="str">
        <f t="shared" ca="1" si="72"/>
        <v/>
      </c>
      <c r="AB468" t="str">
        <f t="shared" ca="1" si="73"/>
        <v/>
      </c>
      <c r="AC468" s="24" t="str">
        <f t="shared" ca="1" si="74"/>
        <v/>
      </c>
      <c r="AD468" s="24" t="str">
        <f t="shared" ca="1" si="75"/>
        <v/>
      </c>
    </row>
    <row r="469" spans="3:30" x14ac:dyDescent="0.25">
      <c r="C469" s="6">
        <v>462</v>
      </c>
      <c r="D469" s="35">
        <v>42662</v>
      </c>
      <c r="E469" s="37">
        <v>16.491</v>
      </c>
      <c r="F469" s="37">
        <v>50.05878628922855</v>
      </c>
      <c r="G469" s="37">
        <v>35.43</v>
      </c>
      <c r="H469" s="37">
        <v>2.9899611106086645</v>
      </c>
      <c r="I469" s="37">
        <v>72.216695306140906</v>
      </c>
      <c r="J469" s="10">
        <v>0</v>
      </c>
      <c r="K469" s="38">
        <v>0</v>
      </c>
      <c r="L469" s="38">
        <v>0</v>
      </c>
      <c r="M469" s="38">
        <v>0</v>
      </c>
      <c r="N469" s="38">
        <v>0</v>
      </c>
      <c r="O469" s="38">
        <v>0</v>
      </c>
      <c r="P469" s="38">
        <v>0</v>
      </c>
      <c r="Q469" s="38">
        <v>0</v>
      </c>
      <c r="R469" s="38">
        <v>0</v>
      </c>
      <c r="S469" s="38">
        <v>1</v>
      </c>
      <c r="T469" s="38">
        <v>0</v>
      </c>
      <c r="U469" s="29" cm="1">
        <f t="array" aca="1" ref="U469" ca="1">+fair_value_gap(OFFSET(T468,0,0,-1*$J$5,-1*$AA$1),OFFSET(E468,0,0,-1*$J$5,1),F469:T469,0)</f>
        <v>16.18264575645907</v>
      </c>
      <c r="V469" s="9" t="str" cm="1">
        <f t="array" aca="1" ref="V469" ca="1">z_score_diff(OFFSET(U469,0,0,$J$5*-1,1),OFFSET(E469,0,0,$J$5*-1,1))</f>
        <v/>
      </c>
      <c r="W469" s="9" t="str">
        <f t="shared" ca="1" si="71"/>
        <v/>
      </c>
      <c r="X469" s="17">
        <f t="shared" ca="1" si="70"/>
        <v>-3.2415951379887641E-2</v>
      </c>
      <c r="Y469" s="13">
        <f t="shared" si="76"/>
        <v>0</v>
      </c>
      <c r="Z469" s="13">
        <f t="shared" si="76"/>
        <v>0</v>
      </c>
      <c r="AA469" t="str">
        <f t="shared" ca="1" si="72"/>
        <v/>
      </c>
      <c r="AB469" t="str">
        <f t="shared" ca="1" si="73"/>
        <v/>
      </c>
      <c r="AC469" s="24" t="str">
        <f t="shared" ca="1" si="74"/>
        <v/>
      </c>
      <c r="AD469" s="24" t="str">
        <f t="shared" ca="1" si="75"/>
        <v/>
      </c>
    </row>
    <row r="470" spans="3:30" x14ac:dyDescent="0.25">
      <c r="C470" s="6">
        <v>463</v>
      </c>
      <c r="D470" s="35">
        <v>42663</v>
      </c>
      <c r="E470" s="37">
        <v>16.45</v>
      </c>
      <c r="F470" s="37">
        <v>49.37469310996125</v>
      </c>
      <c r="G470" s="37">
        <v>35.56</v>
      </c>
      <c r="H470" s="37">
        <v>3.0051398692478255</v>
      </c>
      <c r="I470" s="37">
        <v>71.929125532434355</v>
      </c>
      <c r="J470" s="10">
        <v>0</v>
      </c>
      <c r="K470" s="38">
        <v>0</v>
      </c>
      <c r="L470" s="38">
        <v>0</v>
      </c>
      <c r="M470" s="38">
        <v>0</v>
      </c>
      <c r="N470" s="38">
        <v>0</v>
      </c>
      <c r="O470" s="38">
        <v>0</v>
      </c>
      <c r="P470" s="38">
        <v>0</v>
      </c>
      <c r="Q470" s="38">
        <v>0</v>
      </c>
      <c r="R470" s="38">
        <v>0</v>
      </c>
      <c r="S470" s="38">
        <v>1</v>
      </c>
      <c r="T470" s="38">
        <v>0</v>
      </c>
      <c r="U470" s="29" cm="1">
        <f t="array" aca="1" ref="U470" ca="1">+fair_value_gap(OFFSET(T469,0,0,-1*$J$5,-1*$AA$1),OFFSET(E469,0,0,-1*$J$5,1),F470:T470,0)</f>
        <v>16.259507360802623</v>
      </c>
      <c r="V470" s="9" t="str" cm="1">
        <f t="array" aca="1" ref="V470" ca="1">z_score_diff(OFFSET(U470,0,0,$J$5*-1,1),OFFSET(E470,0,0,$J$5*-1,1))</f>
        <v/>
      </c>
      <c r="W470" s="9" t="str">
        <f t="shared" ca="1" si="71"/>
        <v/>
      </c>
      <c r="X470" s="17">
        <f t="shared" ca="1" si="70"/>
        <v>-2.6300287185637952E-2</v>
      </c>
      <c r="Y470" s="13">
        <f t="shared" si="76"/>
        <v>0</v>
      </c>
      <c r="Z470" s="13">
        <f t="shared" si="76"/>
        <v>0</v>
      </c>
      <c r="AA470" t="str">
        <f t="shared" ca="1" si="72"/>
        <v/>
      </c>
      <c r="AB470" t="str">
        <f t="shared" ca="1" si="73"/>
        <v/>
      </c>
      <c r="AC470" s="24" t="str">
        <f t="shared" ca="1" si="74"/>
        <v/>
      </c>
      <c r="AD470" s="24" t="str">
        <f t="shared" ca="1" si="75"/>
        <v/>
      </c>
    </row>
    <row r="471" spans="3:30" x14ac:dyDescent="0.25">
      <c r="C471" s="6">
        <v>464</v>
      </c>
      <c r="D471" s="35">
        <v>42664</v>
      </c>
      <c r="E471" s="37">
        <v>16.417999999999999</v>
      </c>
      <c r="F471" s="37">
        <v>50.005742547904696</v>
      </c>
      <c r="G471" s="37">
        <v>35.14</v>
      </c>
      <c r="H471" s="37">
        <v>2.9751867239584562</v>
      </c>
      <c r="I471" s="37">
        <v>74.561971207047094</v>
      </c>
      <c r="J471" s="10">
        <v>0</v>
      </c>
      <c r="K471" s="38">
        <v>0</v>
      </c>
      <c r="L471" s="38">
        <v>0</v>
      </c>
      <c r="M471" s="38">
        <v>0</v>
      </c>
      <c r="N471" s="38">
        <v>0</v>
      </c>
      <c r="O471" s="38">
        <v>0</v>
      </c>
      <c r="P471" s="38">
        <v>0</v>
      </c>
      <c r="Q471" s="38">
        <v>0</v>
      </c>
      <c r="R471" s="38">
        <v>0</v>
      </c>
      <c r="S471" s="38">
        <v>1</v>
      </c>
      <c r="T471" s="38">
        <v>0</v>
      </c>
      <c r="U471" s="29" cm="1">
        <f t="array" aca="1" ref="U471" ca="1">+fair_value_gap(OFFSET(T470,0,0,-1*$J$5,-1*$AA$1),OFFSET(E470,0,0,-1*$J$5,1),F471:T471,0)</f>
        <v>16.242978456289816</v>
      </c>
      <c r="V471" s="9" t="str" cm="1">
        <f t="array" aca="1" ref="V471" ca="1">z_score_diff(OFFSET(U471,0,0,$J$5*-1,1),OFFSET(E471,0,0,$J$5*-1,1))</f>
        <v/>
      </c>
      <c r="W471" s="9" t="str">
        <f t="shared" ca="1" si="71"/>
        <v/>
      </c>
      <c r="X471" s="17">
        <f t="shared" ca="1" si="70"/>
        <v>-1.5344313824754579E-2</v>
      </c>
      <c r="Y471" s="13">
        <f t="shared" si="76"/>
        <v>0</v>
      </c>
      <c r="Z471" s="13">
        <f t="shared" si="76"/>
        <v>0</v>
      </c>
      <c r="AA471" t="str">
        <f t="shared" ca="1" si="72"/>
        <v/>
      </c>
      <c r="AB471" t="str">
        <f t="shared" ca="1" si="73"/>
        <v/>
      </c>
      <c r="AC471" s="24" t="str">
        <f t="shared" ca="1" si="74"/>
        <v/>
      </c>
      <c r="AD471" s="24" t="str">
        <f t="shared" ca="1" si="75"/>
        <v/>
      </c>
    </row>
    <row r="472" spans="3:30" x14ac:dyDescent="0.25">
      <c r="C472" s="6">
        <v>465</v>
      </c>
      <c r="D472" s="35">
        <v>42667</v>
      </c>
      <c r="E472" s="37">
        <v>16.678000000000001</v>
      </c>
      <c r="F472" s="37">
        <v>49.921356766737333</v>
      </c>
      <c r="G472" s="37">
        <v>36.06</v>
      </c>
      <c r="H472" s="37">
        <v>2.9633682098976499</v>
      </c>
      <c r="I472" s="37">
        <v>75.269552531400308</v>
      </c>
      <c r="J472" s="10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1</v>
      </c>
      <c r="T472" s="38">
        <v>0</v>
      </c>
      <c r="U472" s="29" cm="1">
        <f t="array" aca="1" ref="U472" ca="1">+fair_value_gap(OFFSET(T471,0,0,-1*$J$5,-1*$AA$1),OFFSET(E471,0,0,-1*$J$5,1),F472:T472,0)</f>
        <v>16.569761928069632</v>
      </c>
      <c r="V472" s="9" t="str" cm="1">
        <f t="array" aca="1" ref="V472" ca="1">z_score_diff(OFFSET(U472,0,0,$J$5*-1,1),OFFSET(E472,0,0,$J$5*-1,1))</f>
        <v/>
      </c>
      <c r="W472" s="9" t="str">
        <f t="shared" ca="1" si="71"/>
        <v/>
      </c>
      <c r="X472" s="17">
        <f t="shared" ca="1" si="70"/>
        <v>-3.7323006603595596E-2</v>
      </c>
      <c r="Y472" s="13">
        <f t="shared" si="76"/>
        <v>0</v>
      </c>
      <c r="Z472" s="13">
        <f t="shared" si="76"/>
        <v>0</v>
      </c>
      <c r="AA472" t="str">
        <f t="shared" ca="1" si="72"/>
        <v/>
      </c>
      <c r="AB472" t="str">
        <f t="shared" ca="1" si="73"/>
        <v/>
      </c>
      <c r="AC472" s="24" t="str">
        <f t="shared" ca="1" si="74"/>
        <v/>
      </c>
      <c r="AD472" s="24" t="str">
        <f t="shared" ca="1" si="75"/>
        <v/>
      </c>
    </row>
    <row r="473" spans="3:30" x14ac:dyDescent="0.25">
      <c r="C473" s="6">
        <v>466</v>
      </c>
      <c r="D473" s="35">
        <v>42668</v>
      </c>
      <c r="E473" s="37">
        <v>16.849</v>
      </c>
      <c r="F473" s="37">
        <v>49.360869232423447</v>
      </c>
      <c r="G473" s="37">
        <v>36.1</v>
      </c>
      <c r="H473" s="37">
        <v>2.8566794359174357</v>
      </c>
      <c r="I473" s="37">
        <v>76.223679366664598</v>
      </c>
      <c r="J473" s="10">
        <v>0</v>
      </c>
      <c r="K473" s="38">
        <v>0</v>
      </c>
      <c r="L473" s="38">
        <v>0</v>
      </c>
      <c r="M473" s="38">
        <v>0</v>
      </c>
      <c r="N473" s="38">
        <v>0</v>
      </c>
      <c r="O473" s="38">
        <v>0</v>
      </c>
      <c r="P473" s="38">
        <v>0</v>
      </c>
      <c r="Q473" s="38">
        <v>0</v>
      </c>
      <c r="R473" s="38">
        <v>0</v>
      </c>
      <c r="S473" s="38">
        <v>1</v>
      </c>
      <c r="T473" s="38">
        <v>0</v>
      </c>
      <c r="U473" s="29" cm="1">
        <f t="array" aca="1" ref="U473" ca="1">+fair_value_gap(OFFSET(T472,0,0,-1*$J$5,-1*$AA$1),OFFSET(E472,0,0,-1*$J$5,1),F473:T473,0)</f>
        <v>16.502910816621785</v>
      </c>
      <c r="V473" s="9" t="str" cm="1">
        <f t="array" aca="1" ref="V473" ca="1">z_score_diff(OFFSET(U473,0,0,$J$5*-1,1),OFFSET(E473,0,0,$J$5*-1,1))</f>
        <v/>
      </c>
      <c r="W473" s="9" t="str">
        <f t="shared" ca="1" si="71"/>
        <v/>
      </c>
      <c r="X473" s="17">
        <f t="shared" ca="1" si="70"/>
        <v>-3.4046869128051375E-2</v>
      </c>
      <c r="Y473" s="13">
        <f t="shared" ref="Y473:Z488" si="77">+Y472</f>
        <v>0</v>
      </c>
      <c r="Z473" s="13">
        <f t="shared" si="77"/>
        <v>0</v>
      </c>
      <c r="AA473" t="str">
        <f t="shared" ca="1" si="72"/>
        <v/>
      </c>
      <c r="AB473" t="str">
        <f t="shared" ca="1" si="73"/>
        <v/>
      </c>
      <c r="AC473" s="24" t="str">
        <f t="shared" ca="1" si="74"/>
        <v/>
      </c>
      <c r="AD473" s="24" t="str">
        <f t="shared" ca="1" si="75"/>
        <v/>
      </c>
    </row>
    <row r="474" spans="3:30" x14ac:dyDescent="0.25">
      <c r="C474" s="6">
        <v>467</v>
      </c>
      <c r="D474" s="35">
        <v>42669</v>
      </c>
      <c r="E474" s="37">
        <v>16.706</v>
      </c>
      <c r="F474" s="37">
        <v>48.502770222899969</v>
      </c>
      <c r="G474" s="37">
        <v>37.07</v>
      </c>
      <c r="H474" s="37">
        <v>2.7379422786117695</v>
      </c>
      <c r="I474" s="37">
        <v>77.791750891808988</v>
      </c>
      <c r="J474" s="10">
        <v>0</v>
      </c>
      <c r="K474" s="38">
        <v>0</v>
      </c>
      <c r="L474" s="38">
        <v>0</v>
      </c>
      <c r="M474" s="38">
        <v>0</v>
      </c>
      <c r="N474" s="38">
        <v>0</v>
      </c>
      <c r="O474" s="38">
        <v>0</v>
      </c>
      <c r="P474" s="38">
        <v>0</v>
      </c>
      <c r="Q474" s="38">
        <v>0</v>
      </c>
      <c r="R474" s="38">
        <v>0</v>
      </c>
      <c r="S474" s="38">
        <v>1</v>
      </c>
      <c r="T474" s="38">
        <v>0</v>
      </c>
      <c r="U474" s="29" cm="1">
        <f t="array" aca="1" ref="U474" ca="1">+fair_value_gap(OFFSET(T473,0,0,-1*$J$5,-1*$AA$1),OFFSET(E473,0,0,-1*$J$5,1),F474:T474,0)</f>
        <v>16.780730316400494</v>
      </c>
      <c r="V474" s="9" t="str" cm="1">
        <f t="array" aca="1" ref="V474" ca="1">z_score_diff(OFFSET(U474,0,0,$J$5*-1,1),OFFSET(E474,0,0,$J$5*-1,1))</f>
        <v/>
      </c>
      <c r="W474" s="9" t="str">
        <f t="shared" ca="1" si="71"/>
        <v/>
      </c>
      <c r="X474" s="17">
        <f t="shared" ca="1" si="70"/>
        <v>-1.6050546705680551E-2</v>
      </c>
      <c r="Y474" s="13">
        <f t="shared" si="77"/>
        <v>0</v>
      </c>
      <c r="Z474" s="13">
        <f t="shared" si="77"/>
        <v>0</v>
      </c>
      <c r="AA474" t="str">
        <f t="shared" ca="1" si="72"/>
        <v/>
      </c>
      <c r="AB474" t="str">
        <f t="shared" ca="1" si="73"/>
        <v/>
      </c>
      <c r="AC474" s="24" t="str">
        <f t="shared" ca="1" si="74"/>
        <v/>
      </c>
      <c r="AD474" s="24" t="str">
        <f t="shared" ca="1" si="75"/>
        <v/>
      </c>
    </row>
    <row r="475" spans="3:30" x14ac:dyDescent="0.25">
      <c r="C475" s="6">
        <v>468</v>
      </c>
      <c r="D475" s="35">
        <v>42670</v>
      </c>
      <c r="E475" s="37">
        <v>16.911000000000001</v>
      </c>
      <c r="F475" s="37">
        <v>48.976872942234223</v>
      </c>
      <c r="G475" s="37">
        <v>36.81</v>
      </c>
      <c r="H475" s="37">
        <v>2.793738385965423</v>
      </c>
      <c r="I475" s="37">
        <v>77.260061553245748</v>
      </c>
      <c r="J475" s="10">
        <v>0</v>
      </c>
      <c r="K475" s="38">
        <v>0</v>
      </c>
      <c r="L475" s="38">
        <v>0</v>
      </c>
      <c r="M475" s="38">
        <v>0</v>
      </c>
      <c r="N475" s="38">
        <v>0</v>
      </c>
      <c r="O475" s="38">
        <v>0</v>
      </c>
      <c r="P475" s="38">
        <v>0</v>
      </c>
      <c r="Q475" s="38">
        <v>0</v>
      </c>
      <c r="R475" s="38">
        <v>0</v>
      </c>
      <c r="S475" s="38">
        <v>1</v>
      </c>
      <c r="T475" s="38">
        <v>0</v>
      </c>
      <c r="U475" s="29" cm="1">
        <f t="array" aca="1" ref="U475" ca="1">+fair_value_gap(OFFSET(T474,0,0,-1*$J$5,-1*$AA$1),OFFSET(E474,0,0,-1*$J$5,1),F475:T475,0)</f>
        <v>16.73130809745356</v>
      </c>
      <c r="V475" s="9" t="str" cm="1">
        <f t="array" aca="1" ref="V475" ca="1">z_score_diff(OFFSET(U475,0,0,$J$5*-1,1),OFFSET(E475,0,0,$J$5*-1,1))</f>
        <v/>
      </c>
      <c r="W475" s="9" t="str">
        <f t="shared" ca="1" si="71"/>
        <v/>
      </c>
      <c r="X475" s="17">
        <f t="shared" ca="1" si="70"/>
        <v>-2.4906993087002942E-2</v>
      </c>
      <c r="Y475" s="13">
        <f t="shared" si="77"/>
        <v>0</v>
      </c>
      <c r="Z475" s="13">
        <f t="shared" si="77"/>
        <v>0</v>
      </c>
      <c r="AA475" t="str">
        <f t="shared" ca="1" si="72"/>
        <v/>
      </c>
      <c r="AB475" t="str">
        <f t="shared" ca="1" si="73"/>
        <v/>
      </c>
      <c r="AC475" s="24" t="str">
        <f t="shared" ca="1" si="74"/>
        <v/>
      </c>
      <c r="AD475" s="24" t="str">
        <f t="shared" ca="1" si="75"/>
        <v/>
      </c>
    </row>
    <row r="476" spans="3:30" x14ac:dyDescent="0.25">
      <c r="C476" s="6">
        <v>469</v>
      </c>
      <c r="D476" s="35">
        <v>42671</v>
      </c>
      <c r="E476" s="37">
        <v>16.824999999999999</v>
      </c>
      <c r="F476" s="37">
        <v>47.730002619054069</v>
      </c>
      <c r="G476" s="37">
        <v>36.78</v>
      </c>
      <c r="H476" s="37">
        <v>2.7942597559764102</v>
      </c>
      <c r="I476" s="37">
        <v>75.86225581836409</v>
      </c>
      <c r="J476" s="10">
        <v>0</v>
      </c>
      <c r="K476" s="38">
        <v>0</v>
      </c>
      <c r="L476" s="38">
        <v>0</v>
      </c>
      <c r="M476" s="38">
        <v>0</v>
      </c>
      <c r="N476" s="38">
        <v>0</v>
      </c>
      <c r="O476" s="38">
        <v>0</v>
      </c>
      <c r="P476" s="38">
        <v>0</v>
      </c>
      <c r="Q476" s="38">
        <v>0</v>
      </c>
      <c r="R476" s="38">
        <v>0</v>
      </c>
      <c r="S476" s="38">
        <v>1</v>
      </c>
      <c r="T476" s="38">
        <v>0</v>
      </c>
      <c r="U476" s="29" cm="1">
        <f t="array" aca="1" ref="U476" ca="1">+fair_value_gap(OFFSET(T475,0,0,-1*$J$5,-1*$AA$1),OFFSET(E475,0,0,-1*$J$5,1),F476:T476,0)</f>
        <v>16.634453706584821</v>
      </c>
      <c r="V476" s="9" t="str" cm="1">
        <f t="array" aca="1" ref="V476" ca="1">z_score_diff(OFFSET(U476,0,0,$J$5*-1,1),OFFSET(E476,0,0,$J$5*-1,1))</f>
        <v/>
      </c>
      <c r="W476" s="9" t="str">
        <f t="shared" ca="1" si="71"/>
        <v/>
      </c>
      <c r="X476" s="17">
        <f t="shared" ca="1" si="70"/>
        <v>-3.1148772856010684E-2</v>
      </c>
      <c r="Y476" s="13">
        <f t="shared" si="77"/>
        <v>0</v>
      </c>
      <c r="Z476" s="13">
        <f t="shared" si="77"/>
        <v>0</v>
      </c>
      <c r="AA476" t="str">
        <f t="shared" ca="1" si="72"/>
        <v/>
      </c>
      <c r="AB476" t="str">
        <f t="shared" ca="1" si="73"/>
        <v/>
      </c>
      <c r="AC476" s="24" t="str">
        <f t="shared" ca="1" si="74"/>
        <v/>
      </c>
      <c r="AD476" s="24" t="str">
        <f t="shared" ca="1" si="75"/>
        <v/>
      </c>
    </row>
    <row r="477" spans="3:30" x14ac:dyDescent="0.25">
      <c r="C477" s="6">
        <v>470</v>
      </c>
      <c r="D477" s="35">
        <v>42674</v>
      </c>
      <c r="E477" s="37">
        <v>16.542999999999999</v>
      </c>
      <c r="F477" s="37">
        <v>46.000884979726742</v>
      </c>
      <c r="G477" s="37">
        <v>35.380000000000003</v>
      </c>
      <c r="H477" s="37">
        <v>2.7651101257935466</v>
      </c>
      <c r="I477" s="37">
        <v>72.469003133550672</v>
      </c>
      <c r="J477" s="10">
        <v>0</v>
      </c>
      <c r="K477" s="38">
        <v>0</v>
      </c>
      <c r="L477" s="38">
        <v>0</v>
      </c>
      <c r="M477" s="38">
        <v>0</v>
      </c>
      <c r="N477" s="38">
        <v>0</v>
      </c>
      <c r="O477" s="38">
        <v>0</v>
      </c>
      <c r="P477" s="38">
        <v>0</v>
      </c>
      <c r="Q477" s="38">
        <v>0</v>
      </c>
      <c r="R477" s="38">
        <v>0</v>
      </c>
      <c r="S477" s="38">
        <v>1</v>
      </c>
      <c r="T477" s="38">
        <v>0</v>
      </c>
      <c r="U477" s="29" cm="1">
        <f t="array" aca="1" ref="U477" ca="1">+fair_value_gap(OFFSET(T476,0,0,-1*$J$5,-1*$AA$1),OFFSET(E476,0,0,-1*$J$5,1),F477:T477,0)</f>
        <v>15.982431072287806</v>
      </c>
      <c r="V477" s="9" t="str" cm="1">
        <f t="array" aca="1" ref="V477" ca="1">z_score_diff(OFFSET(U477,0,0,$J$5*-1,1),OFFSET(E477,0,0,$J$5*-1,1))</f>
        <v/>
      </c>
      <c r="W477" s="9" t="str">
        <f t="shared" ca="1" si="71"/>
        <v/>
      </c>
      <c r="X477" s="17">
        <f t="shared" ca="1" si="70"/>
        <v>-1.0024080776882403E-2</v>
      </c>
      <c r="Y477" s="13">
        <f t="shared" si="77"/>
        <v>0</v>
      </c>
      <c r="Z477" s="13">
        <f t="shared" si="77"/>
        <v>0</v>
      </c>
      <c r="AA477" t="str">
        <f t="shared" ca="1" si="72"/>
        <v/>
      </c>
      <c r="AB477" t="str">
        <f t="shared" ca="1" si="73"/>
        <v/>
      </c>
      <c r="AC477" s="24" t="str">
        <f t="shared" ca="1" si="74"/>
        <v/>
      </c>
      <c r="AD477" s="24" t="str">
        <f t="shared" ca="1" si="75"/>
        <v/>
      </c>
    </row>
    <row r="478" spans="3:30" x14ac:dyDescent="0.25">
      <c r="C478" s="6">
        <v>471</v>
      </c>
      <c r="D478" s="35">
        <v>42675</v>
      </c>
      <c r="E478" s="37">
        <v>16.942</v>
      </c>
      <c r="F478" s="37">
        <v>45.855300056085255</v>
      </c>
      <c r="G478" s="37">
        <v>35.619999999999997</v>
      </c>
      <c r="H478" s="37">
        <v>2.6885025238362315</v>
      </c>
      <c r="I478" s="37">
        <v>74.436343241727442</v>
      </c>
      <c r="J478" s="10">
        <v>0</v>
      </c>
      <c r="K478" s="38">
        <v>0</v>
      </c>
      <c r="L478" s="38">
        <v>0</v>
      </c>
      <c r="M478" s="38">
        <v>0</v>
      </c>
      <c r="N478" s="38">
        <v>0</v>
      </c>
      <c r="O478" s="38">
        <v>0</v>
      </c>
      <c r="P478" s="38">
        <v>0</v>
      </c>
      <c r="Q478" s="38">
        <v>0</v>
      </c>
      <c r="R478" s="38">
        <v>0</v>
      </c>
      <c r="S478" s="38">
        <v>0</v>
      </c>
      <c r="T478" s="38">
        <v>1</v>
      </c>
      <c r="U478" s="29" cm="1">
        <f t="array" aca="1" ref="U478" ca="1">+fair_value_gap(OFFSET(T477,0,0,-1*$J$5,-1*$AA$1),OFFSET(E477,0,0,-1*$J$5,1),F478:T478,0)</f>
        <v>18.525633365866639</v>
      </c>
      <c r="V478" s="9" t="str" cm="1">
        <f t="array" aca="1" ref="V478" ca="1">z_score_diff(OFFSET(U478,0,0,$J$5*-1,1),OFFSET(E478,0,0,$J$5*-1,1))</f>
        <v/>
      </c>
      <c r="W478" s="9" t="str">
        <f t="shared" ca="1" si="71"/>
        <v/>
      </c>
      <c r="X478" s="17">
        <f t="shared" ca="1" si="70"/>
        <v>-3.8630638196642468E-2</v>
      </c>
      <c r="Y478" s="13">
        <f t="shared" si="77"/>
        <v>0</v>
      </c>
      <c r="Z478" s="13">
        <f t="shared" si="77"/>
        <v>0</v>
      </c>
      <c r="AA478" t="str">
        <f t="shared" ca="1" si="72"/>
        <v/>
      </c>
      <c r="AB478" t="str">
        <f t="shared" ca="1" si="73"/>
        <v/>
      </c>
      <c r="AC478" s="24" t="str">
        <f t="shared" ca="1" si="74"/>
        <v/>
      </c>
      <c r="AD478" s="24" t="str">
        <f t="shared" ca="1" si="75"/>
        <v/>
      </c>
    </row>
    <row r="479" spans="3:30" x14ac:dyDescent="0.25">
      <c r="C479" s="6">
        <v>472</v>
      </c>
      <c r="D479" s="35">
        <v>42676</v>
      </c>
      <c r="E479" s="37">
        <v>17.013999999999999</v>
      </c>
      <c r="F479" s="37">
        <v>44.686737126538254</v>
      </c>
      <c r="G479" s="37">
        <v>35.950000000000003</v>
      </c>
      <c r="H479" s="37">
        <v>2.6056093873422426</v>
      </c>
      <c r="I479" s="37">
        <v>72.780138751380548</v>
      </c>
      <c r="J479" s="10">
        <v>0</v>
      </c>
      <c r="K479" s="38">
        <v>0</v>
      </c>
      <c r="L479" s="38">
        <v>0</v>
      </c>
      <c r="M479" s="38">
        <v>0</v>
      </c>
      <c r="N479" s="38">
        <v>0</v>
      </c>
      <c r="O479" s="38">
        <v>0</v>
      </c>
      <c r="P479" s="38">
        <v>0</v>
      </c>
      <c r="Q479" s="38">
        <v>0</v>
      </c>
      <c r="R479" s="38">
        <v>0</v>
      </c>
      <c r="S479" s="38">
        <v>0</v>
      </c>
      <c r="T479" s="38">
        <v>1</v>
      </c>
      <c r="U479" s="29" cm="1">
        <f t="array" aca="1" ref="U479" ca="1">+fair_value_gap(OFFSET(T478,0,0,-1*$J$5,-1*$AA$1),OFFSET(E478,0,0,-1*$J$5,1),F479:T479,0)</f>
        <v>17.682964466459747</v>
      </c>
      <c r="V479" s="9" t="str" cm="1">
        <f t="array" aca="1" ref="V479" ca="1">z_score_diff(OFFSET(U479,0,0,$J$5*-1,1),OFFSET(E479,0,0,$J$5*-1,1))</f>
        <v/>
      </c>
      <c r="W479" s="9" t="str">
        <f t="shared" ca="1" si="71"/>
        <v/>
      </c>
      <c r="X479" s="17">
        <f t="shared" ca="1" si="70"/>
        <v>-4.0665273131382879E-2</v>
      </c>
      <c r="Y479" s="13">
        <f t="shared" si="77"/>
        <v>0</v>
      </c>
      <c r="Z479" s="13">
        <f t="shared" si="77"/>
        <v>0</v>
      </c>
      <c r="AA479" t="str">
        <f t="shared" ca="1" si="72"/>
        <v/>
      </c>
      <c r="AB479" t="str">
        <f t="shared" ca="1" si="73"/>
        <v/>
      </c>
      <c r="AC479" s="24" t="str">
        <f t="shared" ca="1" si="74"/>
        <v/>
      </c>
      <c r="AD479" s="24" t="str">
        <f t="shared" ca="1" si="75"/>
        <v/>
      </c>
    </row>
    <row r="480" spans="3:30" x14ac:dyDescent="0.25">
      <c r="C480" s="6">
        <v>473</v>
      </c>
      <c r="D480" s="35">
        <v>42677</v>
      </c>
      <c r="E480" s="37">
        <v>16.891999999999999</v>
      </c>
      <c r="F480" s="37">
        <v>44.286837215949689</v>
      </c>
      <c r="G480" s="37">
        <v>36.18</v>
      </c>
      <c r="H480" s="37">
        <v>2.6020080034300412</v>
      </c>
      <c r="I480" s="37">
        <v>74.585536658567946</v>
      </c>
      <c r="J480" s="10">
        <v>0</v>
      </c>
      <c r="K480" s="38">
        <v>0</v>
      </c>
      <c r="L480" s="38">
        <v>0</v>
      </c>
      <c r="M480" s="38">
        <v>0</v>
      </c>
      <c r="N480" s="38">
        <v>0</v>
      </c>
      <c r="O480" s="38">
        <v>0</v>
      </c>
      <c r="P480" s="38">
        <v>0</v>
      </c>
      <c r="Q480" s="38">
        <v>0</v>
      </c>
      <c r="R480" s="38">
        <v>0</v>
      </c>
      <c r="S480" s="38">
        <v>0</v>
      </c>
      <c r="T480" s="38">
        <v>1</v>
      </c>
      <c r="U480" s="29" cm="1">
        <f t="array" aca="1" ref="U480" ca="1">+fair_value_gap(OFFSET(T479,0,0,-1*$J$5,-1*$AA$1),OFFSET(E479,0,0,-1*$J$5,1),F480:T480,0)</f>
        <v>17.473082265898483</v>
      </c>
      <c r="V480" s="9" t="str" cm="1">
        <f t="array" aca="1" ref="V480" ca="1">z_score_diff(OFFSET(U480,0,0,$J$5*-1,1),OFFSET(E480,0,0,$J$5*-1,1))</f>
        <v/>
      </c>
      <c r="W480" s="9" t="str">
        <f t="shared" ca="1" si="71"/>
        <v/>
      </c>
      <c r="X480" s="17">
        <f t="shared" ca="1" si="70"/>
        <v>-2.3540364062389824E-2</v>
      </c>
      <c r="Y480" s="13">
        <f t="shared" si="77"/>
        <v>0</v>
      </c>
      <c r="Z480" s="13">
        <f t="shared" si="77"/>
        <v>0</v>
      </c>
      <c r="AA480" t="str">
        <f t="shared" ca="1" si="72"/>
        <v/>
      </c>
      <c r="AB480" t="str">
        <f t="shared" ca="1" si="73"/>
        <v/>
      </c>
      <c r="AC480" s="24" t="str">
        <f t="shared" ca="1" si="74"/>
        <v/>
      </c>
      <c r="AD480" s="24" t="str">
        <f t="shared" ca="1" si="75"/>
        <v/>
      </c>
    </row>
    <row r="481" spans="3:30" x14ac:dyDescent="0.25">
      <c r="C481" s="6">
        <v>474</v>
      </c>
      <c r="D481" s="35">
        <v>42678</v>
      </c>
      <c r="E481" s="37">
        <v>16.53</v>
      </c>
      <c r="F481" s="37">
        <v>43.644648546661678</v>
      </c>
      <c r="G481" s="37">
        <v>35.94</v>
      </c>
      <c r="H481" s="37">
        <v>2.579163774229722</v>
      </c>
      <c r="I481" s="37">
        <v>76.40483437461063</v>
      </c>
      <c r="J481" s="10">
        <v>0</v>
      </c>
      <c r="K481" s="38">
        <v>0</v>
      </c>
      <c r="L481" s="38">
        <v>0</v>
      </c>
      <c r="M481" s="38">
        <v>0</v>
      </c>
      <c r="N481" s="38">
        <v>0</v>
      </c>
      <c r="O481" s="38">
        <v>0</v>
      </c>
      <c r="P481" s="38">
        <v>0</v>
      </c>
      <c r="Q481" s="38">
        <v>0</v>
      </c>
      <c r="R481" s="38">
        <v>0</v>
      </c>
      <c r="S481" s="38">
        <v>0</v>
      </c>
      <c r="T481" s="38">
        <v>1</v>
      </c>
      <c r="U481" s="29" cm="1">
        <f t="array" aca="1" ref="U481" ca="1">+fair_value_gap(OFFSET(T480,0,0,-1*$J$5,-1*$AA$1),OFFSET(E480,0,0,-1*$J$5,1),F481:T481,0)</f>
        <v>17.097397034225782</v>
      </c>
      <c r="V481" s="9" t="str" cm="1">
        <f t="array" aca="1" ref="V481" ca="1">z_score_diff(OFFSET(U481,0,0,$J$5*-1,1),OFFSET(E481,0,0,$J$5*-1,1))</f>
        <v/>
      </c>
      <c r="W481" s="9" t="str">
        <f t="shared" ca="1" si="71"/>
        <v/>
      </c>
      <c r="X481" s="17">
        <f t="shared" ca="1" si="70"/>
        <v>-1.7884323227955631E-2</v>
      </c>
      <c r="Y481" s="13">
        <f t="shared" si="77"/>
        <v>0</v>
      </c>
      <c r="Z481" s="13">
        <f t="shared" si="77"/>
        <v>0</v>
      </c>
      <c r="AA481" t="str">
        <f t="shared" ca="1" si="72"/>
        <v/>
      </c>
      <c r="AB481" t="str">
        <f t="shared" ca="1" si="73"/>
        <v/>
      </c>
      <c r="AC481" s="24" t="str">
        <f t="shared" ca="1" si="74"/>
        <v/>
      </c>
      <c r="AD481" s="24" t="str">
        <f t="shared" ca="1" si="75"/>
        <v/>
      </c>
    </row>
    <row r="482" spans="3:30" x14ac:dyDescent="0.25">
      <c r="C482" s="6">
        <v>475</v>
      </c>
      <c r="D482" s="35">
        <v>42681</v>
      </c>
      <c r="E482" s="37">
        <v>16.344999999999999</v>
      </c>
      <c r="F482" s="37">
        <v>44.705706895513885</v>
      </c>
      <c r="G482" s="37">
        <v>35.79</v>
      </c>
      <c r="H482" s="37">
        <v>2.6449678677731687</v>
      </c>
      <c r="I482" s="37">
        <v>78.252955598859714</v>
      </c>
      <c r="J482" s="10">
        <v>0</v>
      </c>
      <c r="K482" s="38">
        <v>0</v>
      </c>
      <c r="L482" s="38">
        <v>0</v>
      </c>
      <c r="M482" s="38">
        <v>0</v>
      </c>
      <c r="N482" s="38">
        <v>0</v>
      </c>
      <c r="O482" s="38">
        <v>0</v>
      </c>
      <c r="P482" s="38">
        <v>0</v>
      </c>
      <c r="Q482" s="38">
        <v>0</v>
      </c>
      <c r="R482" s="38">
        <v>0</v>
      </c>
      <c r="S482" s="38">
        <v>0</v>
      </c>
      <c r="T482" s="38">
        <v>1</v>
      </c>
      <c r="U482" s="29" cm="1">
        <f t="array" aca="1" ref="U482" ca="1">+fair_value_gap(OFFSET(T481,0,0,-1*$J$5,-1*$AA$1),OFFSET(E481,0,0,-1*$J$5,1),F482:T482,0)</f>
        <v>16.930294320699353</v>
      </c>
      <c r="V482" s="9" t="str" cm="1">
        <f t="array" aca="1" ref="V482" ca="1">z_score_diff(OFFSET(U482,0,0,$J$5*-1,1),OFFSET(E482,0,0,$J$5*-1,1))</f>
        <v/>
      </c>
      <c r="W482" s="9" t="str">
        <f t="shared" ca="1" si="71"/>
        <v/>
      </c>
      <c r="X482" s="17">
        <f t="shared" ca="1" si="70"/>
        <v>-3.372224474920707E-2</v>
      </c>
      <c r="Y482" s="13">
        <f t="shared" si="77"/>
        <v>0</v>
      </c>
      <c r="Z482" s="13">
        <f t="shared" si="77"/>
        <v>0</v>
      </c>
      <c r="AA482" t="str">
        <f t="shared" ca="1" si="72"/>
        <v/>
      </c>
      <c r="AB482" t="str">
        <f t="shared" ca="1" si="73"/>
        <v/>
      </c>
      <c r="AC482" s="24" t="str">
        <f t="shared" ca="1" si="74"/>
        <v/>
      </c>
      <c r="AD482" s="24" t="str">
        <f t="shared" ca="1" si="75"/>
        <v/>
      </c>
    </row>
    <row r="483" spans="3:30" x14ac:dyDescent="0.25">
      <c r="C483" s="6">
        <v>476</v>
      </c>
      <c r="D483" s="35">
        <v>42682</v>
      </c>
      <c r="E483" s="37">
        <v>16.106999999999999</v>
      </c>
      <c r="F483" s="37">
        <v>44.935928030473576</v>
      </c>
      <c r="G483" s="37">
        <v>34.94</v>
      </c>
      <c r="H483" s="37">
        <v>2.5439678694606789</v>
      </c>
      <c r="I483" s="37">
        <v>77.264581663619907</v>
      </c>
      <c r="J483" s="10">
        <v>0</v>
      </c>
      <c r="K483" s="38">
        <v>0</v>
      </c>
      <c r="L483" s="38">
        <v>0</v>
      </c>
      <c r="M483" s="38">
        <v>0</v>
      </c>
      <c r="N483" s="38">
        <v>0</v>
      </c>
      <c r="O483" s="38">
        <v>0</v>
      </c>
      <c r="P483" s="38">
        <v>0</v>
      </c>
      <c r="Q483" s="38">
        <v>0</v>
      </c>
      <c r="R483" s="38">
        <v>0</v>
      </c>
      <c r="S483" s="38">
        <v>0</v>
      </c>
      <c r="T483" s="38">
        <v>1</v>
      </c>
      <c r="U483" s="29" cm="1">
        <f t="array" aca="1" ref="U483" ca="1">+fair_value_gap(OFFSET(T482,0,0,-1*$J$5,-1*$AA$1),OFFSET(E482,0,0,-1*$J$5,1),F483:T483,0)</f>
        <v>16.483067453703619</v>
      </c>
      <c r="V483" s="9" t="str" cm="1">
        <f t="array" aca="1" ref="V483" ca="1">z_score_diff(OFFSET(U483,0,0,$J$5*-1,1),OFFSET(E483,0,0,$J$5*-1,1))</f>
        <v/>
      </c>
      <c r="W483" s="9" t="str">
        <f t="shared" ca="1" si="71"/>
        <v/>
      </c>
      <c r="X483" s="17">
        <f t="shared" ca="1" si="70"/>
        <v>-5.3691333921700925E-2</v>
      </c>
      <c r="Y483" s="13">
        <f t="shared" si="77"/>
        <v>0</v>
      </c>
      <c r="Z483" s="13">
        <f t="shared" si="77"/>
        <v>0</v>
      </c>
      <c r="AA483" t="str">
        <f t="shared" ca="1" si="72"/>
        <v/>
      </c>
      <c r="AB483" t="str">
        <f t="shared" ca="1" si="73"/>
        <v/>
      </c>
      <c r="AC483" s="24" t="str">
        <f t="shared" ca="1" si="74"/>
        <v/>
      </c>
      <c r="AD483" s="24" t="str">
        <f t="shared" ca="1" si="75"/>
        <v/>
      </c>
    </row>
    <row r="484" spans="3:30" x14ac:dyDescent="0.25">
      <c r="C484" s="6">
        <v>477</v>
      </c>
      <c r="D484" s="35">
        <v>42683</v>
      </c>
      <c r="E484" s="37">
        <v>16.204999999999998</v>
      </c>
      <c r="F484" s="37">
        <v>45.620554063856048</v>
      </c>
      <c r="G484" s="37">
        <v>35.799999999999997</v>
      </c>
      <c r="H484" s="37">
        <v>2.5923454909367889</v>
      </c>
      <c r="I484" s="37">
        <v>77.852170862109404</v>
      </c>
      <c r="J484" s="10">
        <v>0</v>
      </c>
      <c r="K484" s="38">
        <v>0</v>
      </c>
      <c r="L484" s="38">
        <v>0</v>
      </c>
      <c r="M484" s="38">
        <v>0</v>
      </c>
      <c r="N484" s="38">
        <v>0</v>
      </c>
      <c r="O484" s="38">
        <v>0</v>
      </c>
      <c r="P484" s="38">
        <v>0</v>
      </c>
      <c r="Q484" s="38">
        <v>0</v>
      </c>
      <c r="R484" s="38">
        <v>0</v>
      </c>
      <c r="S484" s="38">
        <v>0</v>
      </c>
      <c r="T484" s="38">
        <v>1</v>
      </c>
      <c r="U484" s="29" cm="1">
        <f t="array" aca="1" ref="U484" ca="1">+fair_value_gap(OFFSET(T483,0,0,-1*$J$5,-1*$AA$1),OFFSET(E483,0,0,-1*$J$5,1),F484:T484,0)</f>
        <v>16.820572703556024</v>
      </c>
      <c r="V484" s="9" t="str" cm="1">
        <f t="array" aca="1" ref="V484" ca="1">z_score_diff(OFFSET(U484,0,0,$J$5*-1,1),OFFSET(E484,0,0,$J$5*-1,1))</f>
        <v/>
      </c>
      <c r="W484" s="9" t="str">
        <f t="shared" ca="1" si="71"/>
        <v/>
      </c>
      <c r="X484" s="17">
        <f t="shared" ca="1" si="70"/>
        <v>-6.1921358544501107E-2</v>
      </c>
      <c r="Y484" s="13">
        <f t="shared" si="77"/>
        <v>0</v>
      </c>
      <c r="Z484" s="13">
        <f t="shared" si="77"/>
        <v>0</v>
      </c>
      <c r="AA484" t="str">
        <f t="shared" ca="1" si="72"/>
        <v/>
      </c>
      <c r="AB484" t="str">
        <f t="shared" ca="1" si="73"/>
        <v/>
      </c>
      <c r="AC484" s="24" t="str">
        <f t="shared" ca="1" si="74"/>
        <v/>
      </c>
      <c r="AD484" s="24" t="str">
        <f t="shared" ca="1" si="75"/>
        <v/>
      </c>
    </row>
    <row r="485" spans="3:30" x14ac:dyDescent="0.25">
      <c r="C485" s="6">
        <v>478</v>
      </c>
      <c r="D485" s="35">
        <v>42684</v>
      </c>
      <c r="E485" s="37">
        <v>16.440999999999999</v>
      </c>
      <c r="F485" s="37">
        <v>45.245324027389501</v>
      </c>
      <c r="G485" s="37">
        <v>35.78</v>
      </c>
      <c r="H485" s="37">
        <v>2.5760776394092511</v>
      </c>
      <c r="I485" s="37">
        <v>76.334973897629155</v>
      </c>
      <c r="J485" s="10">
        <v>0</v>
      </c>
      <c r="K485" s="38">
        <v>0</v>
      </c>
      <c r="L485" s="38">
        <v>0</v>
      </c>
      <c r="M485" s="38">
        <v>0</v>
      </c>
      <c r="N485" s="38">
        <v>0</v>
      </c>
      <c r="O485" s="38">
        <v>0</v>
      </c>
      <c r="P485" s="38">
        <v>0</v>
      </c>
      <c r="Q485" s="38">
        <v>0</v>
      </c>
      <c r="R485" s="38">
        <v>0</v>
      </c>
      <c r="S485" s="38">
        <v>0</v>
      </c>
      <c r="T485" s="38">
        <v>1</v>
      </c>
      <c r="U485" s="29" cm="1">
        <f t="array" aca="1" ref="U485" ca="1">+fair_value_gap(OFFSET(T484,0,0,-1*$J$5,-1*$AA$1),OFFSET(E484,0,0,-1*$J$5,1),F485:T485,0)</f>
        <v>16.758909855556723</v>
      </c>
      <c r="V485" s="9" t="str" cm="1">
        <f t="array" aca="1" ref="V485" ca="1">z_score_diff(OFFSET(U485,0,0,$J$5*-1,1),OFFSET(E485,0,0,$J$5*-1,1))</f>
        <v/>
      </c>
      <c r="W485" s="9" t="str">
        <f t="shared" ca="1" si="71"/>
        <v/>
      </c>
      <c r="X485" s="17">
        <f t="shared" ca="1" si="70"/>
        <v>-5.8873677055582711E-2</v>
      </c>
      <c r="Y485" s="13">
        <f t="shared" si="77"/>
        <v>0</v>
      </c>
      <c r="Z485" s="13">
        <f t="shared" si="77"/>
        <v>0</v>
      </c>
      <c r="AA485" t="str">
        <f t="shared" ca="1" si="72"/>
        <v/>
      </c>
      <c r="AB485" t="str">
        <f t="shared" ca="1" si="73"/>
        <v/>
      </c>
      <c r="AC485" s="24" t="str">
        <f t="shared" ca="1" si="74"/>
        <v/>
      </c>
      <c r="AD485" s="24" t="str">
        <f t="shared" ca="1" si="75"/>
        <v/>
      </c>
    </row>
    <row r="486" spans="3:30" x14ac:dyDescent="0.25">
      <c r="C486" s="6">
        <v>479</v>
      </c>
      <c r="D486" s="35">
        <v>42685</v>
      </c>
      <c r="E486" s="37">
        <v>16.175999999999998</v>
      </c>
      <c r="F486" s="37">
        <v>44.296160877513707</v>
      </c>
      <c r="G486" s="37">
        <v>35.770000000000003</v>
      </c>
      <c r="H486" s="37">
        <v>2.6270566727605118</v>
      </c>
      <c r="I486" s="37">
        <v>75.091407678244977</v>
      </c>
      <c r="J486" s="10">
        <v>0</v>
      </c>
      <c r="K486" s="38">
        <v>0</v>
      </c>
      <c r="L486" s="38">
        <v>0</v>
      </c>
      <c r="M486" s="38">
        <v>0</v>
      </c>
      <c r="N486" s="38">
        <v>0</v>
      </c>
      <c r="O486" s="38">
        <v>0</v>
      </c>
      <c r="P486" s="38">
        <v>0</v>
      </c>
      <c r="Q486" s="38">
        <v>0</v>
      </c>
      <c r="R486" s="38">
        <v>0</v>
      </c>
      <c r="S486" s="38">
        <v>0</v>
      </c>
      <c r="T486" s="38">
        <v>1</v>
      </c>
      <c r="U486" s="29" cm="1">
        <f t="array" aca="1" ref="U486" ca="1">+fair_value_gap(OFFSET(T485,0,0,-1*$J$5,-1*$AA$1),OFFSET(E485,0,0,-1*$J$5,1),F486:T486,0)</f>
        <v>16.715558191063302</v>
      </c>
      <c r="V486" s="9" t="str" cm="1">
        <f t="array" aca="1" ref="V486" ca="1">z_score_diff(OFFSET(U486,0,0,$J$5*-1,1),OFFSET(E486,0,0,$J$5*-1,1))</f>
        <v/>
      </c>
      <c r="W486" s="9" t="str">
        <f t="shared" ca="1" si="71"/>
        <v/>
      </c>
      <c r="X486" s="17">
        <f t="shared" ca="1" si="70"/>
        <v>-4.2430607129705061E-2</v>
      </c>
      <c r="Y486" s="13">
        <f t="shared" si="77"/>
        <v>0</v>
      </c>
      <c r="Z486" s="13">
        <f t="shared" si="77"/>
        <v>0</v>
      </c>
      <c r="AA486" t="str">
        <f t="shared" ca="1" si="72"/>
        <v/>
      </c>
      <c r="AB486" t="str">
        <f t="shared" ca="1" si="73"/>
        <v/>
      </c>
      <c r="AC486" s="24" t="str">
        <f t="shared" ca="1" si="74"/>
        <v/>
      </c>
      <c r="AD486" s="24" t="str">
        <f t="shared" ca="1" si="75"/>
        <v/>
      </c>
    </row>
    <row r="487" spans="3:30" x14ac:dyDescent="0.25">
      <c r="C487" s="6">
        <v>480</v>
      </c>
      <c r="D487" s="35">
        <v>42688</v>
      </c>
      <c r="E487" s="37">
        <v>15.798999999999999</v>
      </c>
      <c r="F487" s="37">
        <v>44.316801876468872</v>
      </c>
      <c r="G487" s="37">
        <v>35.32</v>
      </c>
      <c r="H487" s="37">
        <v>2.7029647654183035</v>
      </c>
      <c r="I487" s="37">
        <v>70.783139483878713</v>
      </c>
      <c r="J487" s="10">
        <v>0</v>
      </c>
      <c r="K487" s="38">
        <v>0</v>
      </c>
      <c r="L487" s="38">
        <v>0</v>
      </c>
      <c r="M487" s="38">
        <v>0</v>
      </c>
      <c r="N487" s="38">
        <v>0</v>
      </c>
      <c r="O487" s="38">
        <v>0</v>
      </c>
      <c r="P487" s="38">
        <v>0</v>
      </c>
      <c r="Q487" s="38">
        <v>0</v>
      </c>
      <c r="R487" s="38">
        <v>0</v>
      </c>
      <c r="S487" s="38">
        <v>0</v>
      </c>
      <c r="T487" s="38">
        <v>1</v>
      </c>
      <c r="U487" s="29" cm="1">
        <f t="array" aca="1" ref="U487" ca="1">+fair_value_gap(OFFSET(T486,0,0,-1*$J$5,-1*$AA$1),OFFSET(E486,0,0,-1*$J$5,1),F487:T487,0)</f>
        <v>16.710459275236055</v>
      </c>
      <c r="V487" s="9" t="str" cm="1">
        <f t="array" aca="1" ref="V487" ca="1">z_score_diff(OFFSET(U487,0,0,$J$5*-1,1),OFFSET(E487,0,0,$J$5*-1,1))</f>
        <v/>
      </c>
      <c r="W487" s="9" t="str">
        <f t="shared" ca="1" si="71"/>
        <v/>
      </c>
      <c r="X487" s="17">
        <f t="shared" ca="1" si="70"/>
        <v>1.4452934753031974E-2</v>
      </c>
      <c r="Y487" s="13">
        <f t="shared" si="77"/>
        <v>0</v>
      </c>
      <c r="Z487" s="13">
        <f t="shared" si="77"/>
        <v>0</v>
      </c>
      <c r="AA487" t="str">
        <f t="shared" ca="1" si="72"/>
        <v/>
      </c>
      <c r="AB487" t="str">
        <f t="shared" ca="1" si="73"/>
        <v/>
      </c>
      <c r="AC487" s="24" t="str">
        <f t="shared" ca="1" si="74"/>
        <v/>
      </c>
      <c r="AD487" s="24" t="str">
        <f t="shared" ca="1" si="75"/>
        <v/>
      </c>
    </row>
    <row r="488" spans="3:30" x14ac:dyDescent="0.25">
      <c r="C488" s="6">
        <v>481</v>
      </c>
      <c r="D488" s="35">
        <v>42689</v>
      </c>
      <c r="E488" s="37">
        <v>16.073</v>
      </c>
      <c r="F488" s="37">
        <v>46.495376344483596</v>
      </c>
      <c r="G488" s="37">
        <v>35.130000000000003</v>
      </c>
      <c r="H488" s="37">
        <v>2.6926646380016046</v>
      </c>
      <c r="I488" s="37">
        <v>70.297681331967738</v>
      </c>
      <c r="J488" s="10">
        <v>0</v>
      </c>
      <c r="K488" s="38">
        <v>0</v>
      </c>
      <c r="L488" s="38">
        <v>0</v>
      </c>
      <c r="M488" s="38">
        <v>0</v>
      </c>
      <c r="N488" s="38">
        <v>0</v>
      </c>
      <c r="O488" s="38">
        <v>0</v>
      </c>
      <c r="P488" s="38">
        <v>0</v>
      </c>
      <c r="Q488" s="38">
        <v>0</v>
      </c>
      <c r="R488" s="38">
        <v>0</v>
      </c>
      <c r="S488" s="38">
        <v>0</v>
      </c>
      <c r="T488" s="38">
        <v>1</v>
      </c>
      <c r="U488" s="29" cm="1">
        <f t="array" aca="1" ref="U488" ca="1">+fair_value_gap(OFFSET(T487,0,0,-1*$J$5,-1*$AA$1),OFFSET(E487,0,0,-1*$J$5,1),F488:T488,0)</f>
        <v>16.748431542286703</v>
      </c>
      <c r="V488" s="9" t="str" cm="1">
        <f t="array" aca="1" ref="V488" ca="1">z_score_diff(OFFSET(U488,0,0,$J$5*-1,1),OFFSET(E488,0,0,$J$5*-1,1))</f>
        <v/>
      </c>
      <c r="W488" s="9" t="str">
        <f t="shared" ca="1" si="71"/>
        <v/>
      </c>
      <c r="X488" s="17">
        <f t="shared" ca="1" si="70"/>
        <v>7.4382045043298066E-3</v>
      </c>
      <c r="Y488" s="13">
        <f t="shared" si="77"/>
        <v>0</v>
      </c>
      <c r="Z488" s="13">
        <f t="shared" si="77"/>
        <v>0</v>
      </c>
      <c r="AA488" t="str">
        <f t="shared" ca="1" si="72"/>
        <v/>
      </c>
      <c r="AB488" t="str">
        <f t="shared" ca="1" si="73"/>
        <v/>
      </c>
      <c r="AC488" s="24" t="str">
        <f t="shared" ca="1" si="74"/>
        <v/>
      </c>
      <c r="AD488" s="24" t="str">
        <f t="shared" ca="1" si="75"/>
        <v/>
      </c>
    </row>
    <row r="489" spans="3:30" x14ac:dyDescent="0.25">
      <c r="C489" s="6">
        <v>482</v>
      </c>
      <c r="D489" s="35">
        <v>42690</v>
      </c>
      <c r="E489" s="37">
        <v>15.965</v>
      </c>
      <c r="F489" s="37">
        <v>46.443435051106334</v>
      </c>
      <c r="G489" s="37">
        <v>34.79</v>
      </c>
      <c r="H489" s="37">
        <v>2.7235061313685733</v>
      </c>
      <c r="I489" s="37">
        <v>67.414896233024493</v>
      </c>
      <c r="J489" s="10">
        <v>0</v>
      </c>
      <c r="K489" s="38">
        <v>0</v>
      </c>
      <c r="L489" s="38">
        <v>0</v>
      </c>
      <c r="M489" s="38">
        <v>0</v>
      </c>
      <c r="N489" s="38">
        <v>0</v>
      </c>
      <c r="O489" s="38">
        <v>0</v>
      </c>
      <c r="P489" s="38">
        <v>0</v>
      </c>
      <c r="Q489" s="38">
        <v>0</v>
      </c>
      <c r="R489" s="38">
        <v>0</v>
      </c>
      <c r="S489" s="38">
        <v>0</v>
      </c>
      <c r="T489" s="38">
        <v>1</v>
      </c>
      <c r="U489" s="29" cm="1">
        <f t="array" aca="1" ref="U489" ca="1">+fair_value_gap(OFFSET(T488,0,0,-1*$J$5,-1*$AA$1),OFFSET(E488,0,0,-1*$J$5,1),F489:T489,0)</f>
        <v>16.657843972305244</v>
      </c>
      <c r="V489" s="9" t="str" cm="1">
        <f t="array" aca="1" ref="V489" ca="1">z_score_diff(OFFSET(U489,0,0,$J$5*-1,1),OFFSET(E489,0,0,$J$5*-1,1))</f>
        <v/>
      </c>
      <c r="W489" s="9" t="str">
        <f t="shared" ca="1" si="71"/>
        <v/>
      </c>
      <c r="X489" s="17">
        <f t="shared" ca="1" si="70"/>
        <v>1.8924095064201042E-2</v>
      </c>
      <c r="Y489" s="13">
        <f t="shared" ref="Y489:Z504" si="78">+Y488</f>
        <v>0</v>
      </c>
      <c r="Z489" s="13">
        <f t="shared" si="78"/>
        <v>0</v>
      </c>
      <c r="AA489" t="str">
        <f t="shared" ca="1" si="72"/>
        <v/>
      </c>
      <c r="AB489" t="str">
        <f t="shared" ca="1" si="73"/>
        <v/>
      </c>
      <c r="AC489" s="24" t="str">
        <f t="shared" ca="1" si="74"/>
        <v/>
      </c>
      <c r="AD489" s="24" t="str">
        <f t="shared" ca="1" si="75"/>
        <v/>
      </c>
    </row>
    <row r="490" spans="3:30" x14ac:dyDescent="0.25">
      <c r="C490" s="6">
        <v>483</v>
      </c>
      <c r="D490" s="35">
        <v>42691</v>
      </c>
      <c r="E490" s="37">
        <v>16.023</v>
      </c>
      <c r="F490" s="37">
        <v>46.844241265102397</v>
      </c>
      <c r="G490" s="37">
        <v>34.32</v>
      </c>
      <c r="H490" s="37">
        <v>2.7205299248962076</v>
      </c>
      <c r="I490" s="37">
        <v>66.007370434295851</v>
      </c>
      <c r="J490" s="10">
        <v>0</v>
      </c>
      <c r="K490" s="38">
        <v>0</v>
      </c>
      <c r="L490" s="38">
        <v>0</v>
      </c>
      <c r="M490" s="38">
        <v>0</v>
      </c>
      <c r="N490" s="38">
        <v>0</v>
      </c>
      <c r="O490" s="38">
        <v>0</v>
      </c>
      <c r="P490" s="38">
        <v>0</v>
      </c>
      <c r="Q490" s="38">
        <v>0</v>
      </c>
      <c r="R490" s="38">
        <v>0</v>
      </c>
      <c r="S490" s="38">
        <v>0</v>
      </c>
      <c r="T490" s="38">
        <v>1</v>
      </c>
      <c r="U490" s="29" cm="1">
        <f t="array" aca="1" ref="U490" ca="1">+fair_value_gap(OFFSET(T489,0,0,-1*$J$5,-1*$AA$1),OFFSET(E489,0,0,-1*$J$5,1),F490:T490,0)</f>
        <v>16.423547612839521</v>
      </c>
      <c r="V490" s="9" t="str" cm="1">
        <f t="array" aca="1" ref="V490" ca="1">z_score_diff(OFFSET(U490,0,0,$J$5*-1,1),OFFSET(E490,0,0,$J$5*-1,1))</f>
        <v/>
      </c>
      <c r="W490" s="9" t="str">
        <f t="shared" ca="1" si="71"/>
        <v/>
      </c>
      <c r="X490" s="17">
        <f t="shared" ca="1" si="70"/>
        <v>1.6526232588210735E-2</v>
      </c>
      <c r="Y490" s="13">
        <f t="shared" si="78"/>
        <v>0</v>
      </c>
      <c r="Z490" s="13">
        <f t="shared" si="78"/>
        <v>0</v>
      </c>
      <c r="AA490" t="str">
        <f t="shared" ca="1" si="72"/>
        <v/>
      </c>
      <c r="AB490" t="str">
        <f t="shared" ca="1" si="73"/>
        <v/>
      </c>
      <c r="AC490" s="24" t="str">
        <f t="shared" ca="1" si="74"/>
        <v/>
      </c>
      <c r="AD490" s="24" t="str">
        <f t="shared" ca="1" si="75"/>
        <v/>
      </c>
    </row>
    <row r="491" spans="3:30" x14ac:dyDescent="0.25">
      <c r="C491" s="6">
        <v>484</v>
      </c>
      <c r="D491" s="35">
        <v>42692</v>
      </c>
      <c r="E491" s="37">
        <v>16.167999999999999</v>
      </c>
      <c r="F491" s="37">
        <v>47.332181858181329</v>
      </c>
      <c r="G491" s="37">
        <v>34.42</v>
      </c>
      <c r="H491" s="37">
        <v>2.7869443313252731</v>
      </c>
      <c r="I491" s="37">
        <v>64.688563417728034</v>
      </c>
      <c r="J491" s="10">
        <v>0</v>
      </c>
      <c r="K491" s="38">
        <v>0</v>
      </c>
      <c r="L491" s="38">
        <v>0</v>
      </c>
      <c r="M491" s="38">
        <v>0</v>
      </c>
      <c r="N491" s="38">
        <v>0</v>
      </c>
      <c r="O491" s="38">
        <v>0</v>
      </c>
      <c r="P491" s="38">
        <v>0</v>
      </c>
      <c r="Q491" s="38">
        <v>0</v>
      </c>
      <c r="R491" s="38">
        <v>0</v>
      </c>
      <c r="S491" s="38">
        <v>0</v>
      </c>
      <c r="T491" s="38">
        <v>1</v>
      </c>
      <c r="U491" s="29" cm="1">
        <f t="array" aca="1" ref="U491" ca="1">+fair_value_gap(OFFSET(T490,0,0,-1*$J$5,-1*$AA$1),OFFSET(E490,0,0,-1*$J$5,1),F491:T491,0)</f>
        <v>16.355064296401263</v>
      </c>
      <c r="V491" s="9" t="str" cm="1">
        <f t="array" aca="1" ref="V491" ca="1">z_score_diff(OFFSET(U491,0,0,$J$5*-1,1),OFFSET(E491,0,0,$J$5*-1,1))</f>
        <v/>
      </c>
      <c r="W491" s="9" t="str">
        <f t="shared" ca="1" si="71"/>
        <v/>
      </c>
      <c r="X491" s="17">
        <f t="shared" ca="1" si="70"/>
        <v>2.1356173437633408E-2</v>
      </c>
      <c r="Y491" s="13">
        <f t="shared" si="78"/>
        <v>0</v>
      </c>
      <c r="Z491" s="13">
        <f t="shared" si="78"/>
        <v>0</v>
      </c>
      <c r="AA491" t="str">
        <f t="shared" ca="1" si="72"/>
        <v/>
      </c>
      <c r="AB491" t="str">
        <f t="shared" ca="1" si="73"/>
        <v/>
      </c>
      <c r="AC491" s="24" t="str">
        <f t="shared" ca="1" si="74"/>
        <v/>
      </c>
      <c r="AD491" s="24" t="str">
        <f t="shared" ca="1" si="75"/>
        <v/>
      </c>
    </row>
    <row r="492" spans="3:30" x14ac:dyDescent="0.25">
      <c r="C492" s="6">
        <v>485</v>
      </c>
      <c r="D492" s="35">
        <v>42695</v>
      </c>
      <c r="E492" s="37">
        <v>16.067</v>
      </c>
      <c r="F492" s="37">
        <v>48.945874362315038</v>
      </c>
      <c r="G492" s="37">
        <v>34.369999999999997</v>
      </c>
      <c r="H492" s="37">
        <v>2.8470991275108997</v>
      </c>
      <c r="I492" s="37">
        <v>65.282911254382483</v>
      </c>
      <c r="J492" s="10">
        <v>0</v>
      </c>
      <c r="K492" s="38">
        <v>0</v>
      </c>
      <c r="L492" s="38">
        <v>0</v>
      </c>
      <c r="M492" s="38">
        <v>0</v>
      </c>
      <c r="N492" s="38">
        <v>0</v>
      </c>
      <c r="O492" s="38">
        <v>0</v>
      </c>
      <c r="P492" s="38">
        <v>0</v>
      </c>
      <c r="Q492" s="38">
        <v>0</v>
      </c>
      <c r="R492" s="38">
        <v>0</v>
      </c>
      <c r="S492" s="38">
        <v>0</v>
      </c>
      <c r="T492" s="38">
        <v>1</v>
      </c>
      <c r="U492" s="29" cm="1">
        <f t="array" aca="1" ref="U492" ca="1">+fair_value_gap(OFFSET(T491,0,0,-1*$J$5,-1*$AA$1),OFFSET(E491,0,0,-1*$J$5,1),F492:T492,0)</f>
        <v>16.22706478160471</v>
      </c>
      <c r="V492" s="9" t="str" cm="1">
        <f t="array" aca="1" ref="V492" ca="1">z_score_diff(OFFSET(U492,0,0,$J$5*-1,1),OFFSET(E492,0,0,$J$5*-1,1))</f>
        <v/>
      </c>
      <c r="W492" s="9" t="str">
        <f t="shared" ca="1" si="71"/>
        <v/>
      </c>
      <c r="X492" s="17">
        <f t="shared" ca="1" si="70"/>
        <v>2.3254000579822232E-2</v>
      </c>
      <c r="Y492" s="13">
        <f t="shared" si="78"/>
        <v>0</v>
      </c>
      <c r="Z492" s="13">
        <f t="shared" si="78"/>
        <v>0</v>
      </c>
      <c r="AA492" t="str">
        <f t="shared" ca="1" si="72"/>
        <v/>
      </c>
      <c r="AB492" t="str">
        <f t="shared" ca="1" si="73"/>
        <v/>
      </c>
      <c r="AC492" s="24" t="str">
        <f t="shared" ca="1" si="74"/>
        <v/>
      </c>
      <c r="AD492" s="24" t="str">
        <f t="shared" ca="1" si="75"/>
        <v/>
      </c>
    </row>
    <row r="493" spans="3:30" x14ac:dyDescent="0.25">
      <c r="C493" s="6">
        <v>486</v>
      </c>
      <c r="D493" s="35">
        <v>42696</v>
      </c>
      <c r="E493" s="37">
        <v>16.285</v>
      </c>
      <c r="F493" s="37">
        <v>49.087652524347916</v>
      </c>
      <c r="G493" s="37">
        <v>35.119999999999997</v>
      </c>
      <c r="H493" s="37">
        <v>2.8508526437553638</v>
      </c>
      <c r="I493" s="37">
        <v>68.146199485055405</v>
      </c>
      <c r="J493" s="10">
        <v>0</v>
      </c>
      <c r="K493" s="38">
        <v>0</v>
      </c>
      <c r="L493" s="38">
        <v>0</v>
      </c>
      <c r="M493" s="38">
        <v>0</v>
      </c>
      <c r="N493" s="38">
        <v>0</v>
      </c>
      <c r="O493" s="38">
        <v>0</v>
      </c>
      <c r="P493" s="38">
        <v>0</v>
      </c>
      <c r="Q493" s="38">
        <v>0</v>
      </c>
      <c r="R493" s="38">
        <v>0</v>
      </c>
      <c r="S493" s="38">
        <v>0</v>
      </c>
      <c r="T493" s="38">
        <v>1</v>
      </c>
      <c r="U493" s="29" cm="1">
        <f t="array" aca="1" ref="U493" ca="1">+fair_value_gap(OFFSET(T492,0,0,-1*$J$5,-1*$AA$1),OFFSET(E492,0,0,-1*$J$5,1),F493:T493,0)</f>
        <v>16.49868861965366</v>
      </c>
      <c r="V493" s="9" t="str" cm="1">
        <f t="array" aca="1" ref="V493" ca="1">z_score_diff(OFFSET(U493,0,0,$J$5*-1,1),OFFSET(E493,0,0,$J$5*-1,1))</f>
        <v/>
      </c>
      <c r="W493" s="9" t="str">
        <f t="shared" ca="1" si="71"/>
        <v/>
      </c>
      <c r="X493" s="17">
        <f t="shared" ca="1" si="70"/>
        <v>2.2105715834518407E-2</v>
      </c>
      <c r="Y493" s="13">
        <f t="shared" si="78"/>
        <v>0</v>
      </c>
      <c r="Z493" s="13">
        <f t="shared" si="78"/>
        <v>0</v>
      </c>
      <c r="AA493" t="str">
        <f t="shared" ca="1" si="72"/>
        <v/>
      </c>
      <c r="AB493" t="str">
        <f t="shared" ca="1" si="73"/>
        <v/>
      </c>
      <c r="AC493" s="24" t="str">
        <f t="shared" ca="1" si="74"/>
        <v/>
      </c>
      <c r="AD493" s="24" t="str">
        <f t="shared" ca="1" si="75"/>
        <v/>
      </c>
    </row>
    <row r="494" spans="3:30" x14ac:dyDescent="0.25">
      <c r="C494" s="6">
        <v>487</v>
      </c>
      <c r="D494" s="35">
        <v>42697</v>
      </c>
      <c r="E494" s="37">
        <v>16.440000000000001</v>
      </c>
      <c r="F494" s="37">
        <v>49.269507210973835</v>
      </c>
      <c r="G494" s="37">
        <v>35.840000000000003</v>
      </c>
      <c r="H494" s="37">
        <v>2.9294874806219759</v>
      </c>
      <c r="I494" s="37">
        <v>65.814816554704748</v>
      </c>
      <c r="J494" s="10">
        <v>0</v>
      </c>
      <c r="K494" s="38">
        <v>0</v>
      </c>
      <c r="L494" s="38">
        <v>0</v>
      </c>
      <c r="M494" s="38">
        <v>0</v>
      </c>
      <c r="N494" s="38">
        <v>0</v>
      </c>
      <c r="O494" s="38">
        <v>0</v>
      </c>
      <c r="P494" s="38">
        <v>0</v>
      </c>
      <c r="Q494" s="38">
        <v>0</v>
      </c>
      <c r="R494" s="38">
        <v>0</v>
      </c>
      <c r="S494" s="38">
        <v>0</v>
      </c>
      <c r="T494" s="38">
        <v>1</v>
      </c>
      <c r="U494" s="29" cm="1">
        <f t="array" aca="1" ref="U494" ca="1">+fair_value_gap(OFFSET(T493,0,0,-1*$J$5,-1*$AA$1),OFFSET(E493,0,0,-1*$J$5,1),F494:T494,0)</f>
        <v>16.758427769175192</v>
      </c>
      <c r="V494" s="9" t="str" cm="1">
        <f t="array" aca="1" ref="V494" ca="1">z_score_diff(OFFSET(U494,0,0,$J$5*-1,1),OFFSET(E494,0,0,$J$5*-1,1))</f>
        <v/>
      </c>
      <c r="W494" s="9" t="str">
        <f t="shared" ca="1" si="71"/>
        <v/>
      </c>
      <c r="X494" s="17">
        <f t="shared" ca="1" si="70"/>
        <v>2.3207919500587829E-2</v>
      </c>
      <c r="Y494" s="13">
        <f t="shared" si="78"/>
        <v>0</v>
      </c>
      <c r="Z494" s="13">
        <f t="shared" si="78"/>
        <v>0</v>
      </c>
      <c r="AA494" t="str">
        <f t="shared" ca="1" si="72"/>
        <v/>
      </c>
      <c r="AB494" t="str">
        <f t="shared" ca="1" si="73"/>
        <v/>
      </c>
      <c r="AC494" s="24" t="str">
        <f t="shared" ca="1" si="74"/>
        <v/>
      </c>
      <c r="AD494" s="24" t="str">
        <f t="shared" ca="1" si="75"/>
        <v/>
      </c>
    </row>
    <row r="495" spans="3:30" x14ac:dyDescent="0.25">
      <c r="C495" s="6">
        <v>488</v>
      </c>
      <c r="D495" s="35">
        <v>42698</v>
      </c>
      <c r="E495" s="37">
        <v>16.495000000000001</v>
      </c>
      <c r="F495" s="37">
        <v>49.181389942321253</v>
      </c>
      <c r="G495" s="37">
        <v>35.72</v>
      </c>
      <c r="H495" s="37">
        <v>2.9275978205452016</v>
      </c>
      <c r="I495" s="37">
        <v>67.791072047262205</v>
      </c>
      <c r="J495" s="10">
        <v>0</v>
      </c>
      <c r="K495" s="38">
        <v>0</v>
      </c>
      <c r="L495" s="38">
        <v>0</v>
      </c>
      <c r="M495" s="38">
        <v>0</v>
      </c>
      <c r="N495" s="38">
        <v>0</v>
      </c>
      <c r="O495" s="38">
        <v>0</v>
      </c>
      <c r="P495" s="38">
        <v>0</v>
      </c>
      <c r="Q495" s="38">
        <v>0</v>
      </c>
      <c r="R495" s="38">
        <v>0</v>
      </c>
      <c r="S495" s="38">
        <v>0</v>
      </c>
      <c r="T495" s="38">
        <v>1</v>
      </c>
      <c r="U495" s="29" cm="1">
        <f t="array" aca="1" ref="U495" ca="1">+fair_value_gap(OFFSET(T494,0,0,-1*$J$5,-1*$AA$1),OFFSET(E494,0,0,-1*$J$5,1),F495:T495,0)</f>
        <v>16.683617846501917</v>
      </c>
      <c r="V495" s="9" t="str" cm="1">
        <f t="array" aca="1" ref="V495" ca="1">z_score_diff(OFFSET(U495,0,0,$J$5*-1,1),OFFSET(E495,0,0,$J$5*-1,1))</f>
        <v/>
      </c>
      <c r="W495" s="9" t="str">
        <f t="shared" ca="1" si="71"/>
        <v/>
      </c>
      <c r="X495" s="17">
        <f t="shared" ca="1" si="70"/>
        <v>4.1619493953490426E-2</v>
      </c>
      <c r="Y495" s="13">
        <f t="shared" si="78"/>
        <v>0</v>
      </c>
      <c r="Z495" s="13">
        <f t="shared" si="78"/>
        <v>0</v>
      </c>
      <c r="AA495" t="str">
        <f t="shared" ca="1" si="72"/>
        <v/>
      </c>
      <c r="AB495" t="str">
        <f t="shared" ca="1" si="73"/>
        <v/>
      </c>
      <c r="AC495" s="24" t="str">
        <f t="shared" ca="1" si="74"/>
        <v/>
      </c>
      <c r="AD495" s="24" t="str">
        <f t="shared" ca="1" si="75"/>
        <v/>
      </c>
    </row>
    <row r="496" spans="3:30" x14ac:dyDescent="0.25">
      <c r="C496" s="6">
        <v>489</v>
      </c>
      <c r="D496" s="35">
        <v>42699</v>
      </c>
      <c r="E496" s="37">
        <v>16.309000000000001</v>
      </c>
      <c r="F496" s="37">
        <v>47.403298580895324</v>
      </c>
      <c r="G496" s="37">
        <v>35.19</v>
      </c>
      <c r="H496" s="37">
        <v>2.9652793762901162</v>
      </c>
      <c r="I496" s="37">
        <v>66.99716104208656</v>
      </c>
      <c r="J496" s="10">
        <v>0</v>
      </c>
      <c r="K496" s="38">
        <v>0</v>
      </c>
      <c r="L496" s="38">
        <v>0</v>
      </c>
      <c r="M496" s="38">
        <v>0</v>
      </c>
      <c r="N496" s="38">
        <v>0</v>
      </c>
      <c r="O496" s="38">
        <v>0</v>
      </c>
      <c r="P496" s="38">
        <v>0</v>
      </c>
      <c r="Q496" s="38">
        <v>0</v>
      </c>
      <c r="R496" s="38">
        <v>0</v>
      </c>
      <c r="S496" s="38">
        <v>0</v>
      </c>
      <c r="T496" s="38">
        <v>1</v>
      </c>
      <c r="U496" s="29" cm="1">
        <f t="array" aca="1" ref="U496" ca="1">+fair_value_gap(OFFSET(T495,0,0,-1*$J$5,-1*$AA$1),OFFSET(E495,0,0,-1*$J$5,1),F496:T496,0)</f>
        <v>16.373638338919317</v>
      </c>
      <c r="V496" s="9" t="str" cm="1">
        <f t="array" aca="1" ref="V496" ca="1">z_score_diff(OFFSET(U496,0,0,$J$5*-1,1),OFFSET(E496,0,0,$J$5*-1,1))</f>
        <v/>
      </c>
      <c r="W496" s="9" t="str">
        <f t="shared" ca="1" si="71"/>
        <v/>
      </c>
      <c r="X496" s="17">
        <f t="shared" ca="1" si="70"/>
        <v>4.4960821023601653E-2</v>
      </c>
      <c r="Y496" s="13">
        <f t="shared" si="78"/>
        <v>0</v>
      </c>
      <c r="Z496" s="13">
        <f t="shared" si="78"/>
        <v>0</v>
      </c>
      <c r="AA496" t="str">
        <f t="shared" ca="1" si="72"/>
        <v/>
      </c>
      <c r="AB496" t="str">
        <f t="shared" ca="1" si="73"/>
        <v/>
      </c>
      <c r="AC496" s="24" t="str">
        <f t="shared" ca="1" si="74"/>
        <v/>
      </c>
      <c r="AD496" s="24" t="str">
        <f t="shared" ca="1" si="75"/>
        <v/>
      </c>
    </row>
    <row r="497" spans="3:30" x14ac:dyDescent="0.25">
      <c r="C497" s="6">
        <v>490</v>
      </c>
      <c r="D497" s="35">
        <v>42702</v>
      </c>
      <c r="E497" s="37">
        <v>16.378</v>
      </c>
      <c r="F497" s="37">
        <v>48.216971701374291</v>
      </c>
      <c r="G497" s="37">
        <v>34.42</v>
      </c>
      <c r="H497" s="37">
        <v>3.0232536412642359</v>
      </c>
      <c r="I497" s="37">
        <v>67.873725907863644</v>
      </c>
      <c r="J497" s="10">
        <v>0</v>
      </c>
      <c r="K497" s="38">
        <v>0</v>
      </c>
      <c r="L497" s="38">
        <v>0</v>
      </c>
      <c r="M497" s="38">
        <v>0</v>
      </c>
      <c r="N497" s="38">
        <v>0</v>
      </c>
      <c r="O497" s="38">
        <v>0</v>
      </c>
      <c r="P497" s="38">
        <v>0</v>
      </c>
      <c r="Q497" s="38">
        <v>0</v>
      </c>
      <c r="R497" s="38">
        <v>0</v>
      </c>
      <c r="S497" s="38">
        <v>0</v>
      </c>
      <c r="T497" s="38">
        <v>1</v>
      </c>
      <c r="U497" s="29" cm="1">
        <f t="array" aca="1" ref="U497" ca="1">+fair_value_gap(OFFSET(T496,0,0,-1*$J$5,-1*$AA$1),OFFSET(E496,0,0,-1*$J$5,1),F497:T497,0)</f>
        <v>16.156472938439109</v>
      </c>
      <c r="V497" s="9" t="str" cm="1">
        <f t="array" aca="1" ref="V497" ca="1">z_score_diff(OFFSET(U497,0,0,$J$5*-1,1),OFFSET(E497,0,0,$J$5*-1,1))</f>
        <v/>
      </c>
      <c r="W497" s="9" t="str">
        <f t="shared" ca="1" si="71"/>
        <v/>
      </c>
      <c r="X497" s="17">
        <f t="shared" ca="1" si="70"/>
        <v>5.2742359993959174E-2</v>
      </c>
      <c r="Y497" s="13">
        <f t="shared" si="78"/>
        <v>0</v>
      </c>
      <c r="Z497" s="13">
        <f t="shared" si="78"/>
        <v>0</v>
      </c>
      <c r="AA497" t="str">
        <f t="shared" ca="1" si="72"/>
        <v/>
      </c>
      <c r="AB497" t="str">
        <f t="shared" ca="1" si="73"/>
        <v/>
      </c>
      <c r="AC497" s="24" t="str">
        <f t="shared" ca="1" si="74"/>
        <v/>
      </c>
      <c r="AD497" s="24" t="str">
        <f t="shared" ca="1" si="75"/>
        <v/>
      </c>
    </row>
    <row r="498" spans="3:30" x14ac:dyDescent="0.25">
      <c r="C498" s="6">
        <v>491</v>
      </c>
      <c r="D498" s="35">
        <v>42703</v>
      </c>
      <c r="E498" s="37">
        <v>16.3</v>
      </c>
      <c r="F498" s="37">
        <v>46.343179668942717</v>
      </c>
      <c r="G498" s="37">
        <v>34.619999999999997</v>
      </c>
      <c r="H498" s="37">
        <v>3.027804046255687</v>
      </c>
      <c r="I498" s="37">
        <v>67.108721713813409</v>
      </c>
      <c r="J498" s="10">
        <v>0</v>
      </c>
      <c r="K498" s="38">
        <v>0</v>
      </c>
      <c r="L498" s="38">
        <v>0</v>
      </c>
      <c r="M498" s="38">
        <v>0</v>
      </c>
      <c r="N498" s="38">
        <v>0</v>
      </c>
      <c r="O498" s="38">
        <v>0</v>
      </c>
      <c r="P498" s="38">
        <v>0</v>
      </c>
      <c r="Q498" s="38">
        <v>0</v>
      </c>
      <c r="R498" s="38">
        <v>0</v>
      </c>
      <c r="S498" s="38">
        <v>0</v>
      </c>
      <c r="T498" s="38">
        <v>1</v>
      </c>
      <c r="U498" s="29" cm="1">
        <f t="array" aca="1" ref="U498" ca="1">+fair_value_gap(OFFSET(T497,0,0,-1*$J$5,-1*$AA$1),OFFSET(E497,0,0,-1*$J$5,1),F498:T498,0)</f>
        <v>16.151974606428354</v>
      </c>
      <c r="V498" s="9" t="str" cm="1">
        <f t="array" aca="1" ref="V498" ca="1">z_score_diff(OFFSET(U498,0,0,$J$5*-1,1),OFFSET(E498,0,0,$J$5*-1,1))</f>
        <v/>
      </c>
      <c r="W498" s="9" t="str">
        <f t="shared" ca="1" si="71"/>
        <v/>
      </c>
      <c r="X498" s="17">
        <f t="shared" ca="1" si="70"/>
        <v>7.2120898440968084E-2</v>
      </c>
      <c r="Y498" s="13">
        <f t="shared" si="78"/>
        <v>0</v>
      </c>
      <c r="Z498" s="13">
        <f t="shared" si="78"/>
        <v>0</v>
      </c>
      <c r="AA498" t="str">
        <f t="shared" ca="1" si="72"/>
        <v/>
      </c>
      <c r="AB498" t="str">
        <f t="shared" ca="1" si="73"/>
        <v/>
      </c>
      <c r="AC498" s="24" t="str">
        <f t="shared" ca="1" si="74"/>
        <v/>
      </c>
      <c r="AD498" s="24" t="str">
        <f t="shared" ca="1" si="75"/>
        <v/>
      </c>
    </row>
    <row r="499" spans="3:30" x14ac:dyDescent="0.25">
      <c r="C499" s="6">
        <v>492</v>
      </c>
      <c r="D499" s="35">
        <v>42704</v>
      </c>
      <c r="E499" s="37">
        <v>16.335999999999999</v>
      </c>
      <c r="F499" s="37">
        <v>50.395126600452137</v>
      </c>
      <c r="G499" s="37">
        <v>34.49</v>
      </c>
      <c r="H499" s="37">
        <v>3.0323125545409395</v>
      </c>
      <c r="I499" s="37">
        <v>67.623750059626744</v>
      </c>
      <c r="J499" s="10">
        <v>0</v>
      </c>
      <c r="K499" s="38">
        <v>0</v>
      </c>
      <c r="L499" s="38">
        <v>0</v>
      </c>
      <c r="M499" s="38">
        <v>0</v>
      </c>
      <c r="N499" s="38">
        <v>0</v>
      </c>
      <c r="O499" s="38">
        <v>0</v>
      </c>
      <c r="P499" s="38">
        <v>0</v>
      </c>
      <c r="Q499" s="38">
        <v>0</v>
      </c>
      <c r="R499" s="38">
        <v>0</v>
      </c>
      <c r="S499" s="38">
        <v>0</v>
      </c>
      <c r="T499" s="38">
        <v>1</v>
      </c>
      <c r="U499" s="29" cm="1">
        <f t="array" aca="1" ref="U499" ca="1">+fair_value_gap(OFFSET(T498,0,0,-1*$J$5,-1*$AA$1),OFFSET(E498,0,0,-1*$J$5,1),F499:T499,0)</f>
        <v>16.329123529553616</v>
      </c>
      <c r="V499" s="9" t="str" cm="1">
        <f t="array" aca="1" ref="V499" ca="1">z_score_diff(OFFSET(U499,0,0,$J$5*-1,1),OFFSET(E499,0,0,$J$5*-1,1))</f>
        <v/>
      </c>
      <c r="W499" s="9" t="str">
        <f t="shared" ca="1" si="71"/>
        <v/>
      </c>
      <c r="X499" s="17">
        <f t="shared" ca="1" si="70"/>
        <v>7.8893098131436329E-2</v>
      </c>
      <c r="Y499" s="13">
        <f t="shared" si="78"/>
        <v>0</v>
      </c>
      <c r="Z499" s="13">
        <f t="shared" si="78"/>
        <v>0</v>
      </c>
      <c r="AA499" t="str">
        <f t="shared" ca="1" si="72"/>
        <v/>
      </c>
      <c r="AB499" t="str">
        <f t="shared" ca="1" si="73"/>
        <v/>
      </c>
      <c r="AC499" s="24" t="str">
        <f t="shared" ca="1" si="74"/>
        <v/>
      </c>
      <c r="AD499" s="24" t="str">
        <f t="shared" ca="1" si="75"/>
        <v/>
      </c>
    </row>
    <row r="500" spans="3:30" x14ac:dyDescent="0.25">
      <c r="C500" s="6">
        <v>493</v>
      </c>
      <c r="D500" s="35">
        <v>42705</v>
      </c>
      <c r="E500" s="37">
        <v>16.498999999999999</v>
      </c>
      <c r="F500" s="37">
        <v>51.848208233413636</v>
      </c>
      <c r="G500" s="37">
        <v>34.729999999999997</v>
      </c>
      <c r="H500" s="37">
        <v>3.0777899794225099</v>
      </c>
      <c r="I500" s="37">
        <v>67.320844262897197</v>
      </c>
      <c r="J500" s="10">
        <v>0</v>
      </c>
      <c r="K500" s="38">
        <v>0</v>
      </c>
      <c r="L500" s="38">
        <v>0</v>
      </c>
      <c r="M500" s="38">
        <v>0</v>
      </c>
      <c r="N500" s="38">
        <v>0</v>
      </c>
      <c r="O500" s="38">
        <v>0</v>
      </c>
      <c r="P500" s="38">
        <v>0</v>
      </c>
      <c r="Q500" s="38">
        <v>0</v>
      </c>
      <c r="R500" s="38">
        <v>0</v>
      </c>
      <c r="S500" s="38">
        <v>0</v>
      </c>
      <c r="T500" s="38">
        <v>0</v>
      </c>
      <c r="U500" s="29" cm="1">
        <f t="array" aca="1" ref="U500" ca="1">+fair_value_gap(OFFSET(T499,0,0,-1*$J$5,-1*$AA$1),OFFSET(E499,0,0,-1*$J$5,1),F500:T500,0)</f>
        <v>17.445261665640263</v>
      </c>
      <c r="V500" s="9" t="str" cm="1">
        <f t="array" aca="1" ref="V500" ca="1">z_score_diff(OFFSET(U500,0,0,$J$5*-1,1),OFFSET(E500,0,0,$J$5*-1,1))</f>
        <v/>
      </c>
      <c r="W500" s="9" t="str">
        <f t="shared" ca="1" si="71"/>
        <v/>
      </c>
      <c r="X500" s="17">
        <f t="shared" ca="1" si="70"/>
        <v>8.0103315570764083E-2</v>
      </c>
      <c r="Y500" s="13">
        <f t="shared" si="78"/>
        <v>0</v>
      </c>
      <c r="Z500" s="13">
        <f t="shared" si="78"/>
        <v>0</v>
      </c>
      <c r="AA500" t="str">
        <f t="shared" ca="1" si="72"/>
        <v/>
      </c>
      <c r="AB500" t="str">
        <f t="shared" ca="1" si="73"/>
        <v/>
      </c>
      <c r="AC500" s="24" t="str">
        <f t="shared" ca="1" si="74"/>
        <v/>
      </c>
      <c r="AD500" s="24" t="str">
        <f t="shared" ca="1" si="75"/>
        <v/>
      </c>
    </row>
    <row r="501" spans="3:30" x14ac:dyDescent="0.25">
      <c r="C501" s="6">
        <v>494</v>
      </c>
      <c r="D501" s="35">
        <v>42706</v>
      </c>
      <c r="E501" s="37">
        <v>16.236999999999998</v>
      </c>
      <c r="F501" s="37">
        <v>52.469620284909382</v>
      </c>
      <c r="G501" s="37">
        <v>34.18</v>
      </c>
      <c r="H501" s="37">
        <v>3.0595668121524429</v>
      </c>
      <c r="I501" s="37">
        <v>66.504245218614116</v>
      </c>
      <c r="J501" s="10">
        <v>0</v>
      </c>
      <c r="K501" s="38">
        <v>0</v>
      </c>
      <c r="L501" s="38">
        <v>0</v>
      </c>
      <c r="M501" s="38">
        <v>0</v>
      </c>
      <c r="N501" s="38">
        <v>0</v>
      </c>
      <c r="O501" s="38">
        <v>0</v>
      </c>
      <c r="P501" s="38">
        <v>0</v>
      </c>
      <c r="Q501" s="38">
        <v>0</v>
      </c>
      <c r="R501" s="38">
        <v>0</v>
      </c>
      <c r="S501" s="38">
        <v>0</v>
      </c>
      <c r="T501" s="38">
        <v>0</v>
      </c>
      <c r="U501" s="29" cm="1">
        <f t="array" aca="1" ref="U501" ca="1">+fair_value_gap(OFFSET(T500,0,0,-1*$J$5,-1*$AA$1),OFFSET(E500,0,0,-1*$J$5,1),F501:T501,0)</f>
        <v>16.726679844006355</v>
      </c>
      <c r="V501" s="9" t="str" cm="1">
        <f t="array" aca="1" ref="V501" ca="1">z_score_diff(OFFSET(U501,0,0,$J$5*-1,1),OFFSET(E501,0,0,$J$5*-1,1))</f>
        <v/>
      </c>
      <c r="W501" s="9" t="str">
        <f t="shared" ca="1" si="71"/>
        <v/>
      </c>
      <c r="X501" s="17">
        <f t="shared" ca="1" si="70"/>
        <v>8.1628518082626556E-2</v>
      </c>
      <c r="Y501" s="13">
        <f t="shared" si="78"/>
        <v>0</v>
      </c>
      <c r="Z501" s="13">
        <f t="shared" si="78"/>
        <v>0</v>
      </c>
      <c r="AA501" t="str">
        <f t="shared" ca="1" si="72"/>
        <v/>
      </c>
      <c r="AB501" t="str">
        <f t="shared" ca="1" si="73"/>
        <v/>
      </c>
      <c r="AC501" s="24" t="str">
        <f t="shared" ca="1" si="74"/>
        <v/>
      </c>
      <c r="AD501" s="24" t="str">
        <f t="shared" ca="1" si="75"/>
        <v/>
      </c>
    </row>
    <row r="502" spans="3:30" x14ac:dyDescent="0.25">
      <c r="C502" s="6">
        <v>495</v>
      </c>
      <c r="D502" s="35">
        <v>42709</v>
      </c>
      <c r="E502" s="37">
        <v>15.803000000000001</v>
      </c>
      <c r="F502" s="37">
        <v>52.51576669889058</v>
      </c>
      <c r="G502" s="37">
        <v>33.44</v>
      </c>
      <c r="H502" s="37">
        <v>3.1349261151774614</v>
      </c>
      <c r="I502" s="37">
        <v>65.644708373613227</v>
      </c>
      <c r="J502" s="10">
        <v>0</v>
      </c>
      <c r="K502" s="38">
        <v>0</v>
      </c>
      <c r="L502" s="38">
        <v>0</v>
      </c>
      <c r="M502" s="38">
        <v>0</v>
      </c>
      <c r="N502" s="38">
        <v>0</v>
      </c>
      <c r="O502" s="38">
        <v>0</v>
      </c>
      <c r="P502" s="38">
        <v>0</v>
      </c>
      <c r="Q502" s="38">
        <v>0</v>
      </c>
      <c r="R502" s="38">
        <v>0</v>
      </c>
      <c r="S502" s="38">
        <v>0</v>
      </c>
      <c r="T502" s="38">
        <v>0</v>
      </c>
      <c r="U502" s="29" cm="1">
        <f t="array" aca="1" ref="U502" ca="1">+fair_value_gap(OFFSET(T501,0,0,-1*$J$5,-1*$AA$1),OFFSET(E501,0,0,-1*$J$5,1),F502:T502,0)</f>
        <v>16.278912922657057</v>
      </c>
      <c r="V502" s="9" t="str" cm="1">
        <f t="array" aca="1" ref="V502" ca="1">z_score_diff(OFFSET(U502,0,0,$J$5*-1,1),OFFSET(E502,0,0,$J$5*-1,1))</f>
        <v/>
      </c>
      <c r="W502" s="9" t="str">
        <f t="shared" ca="1" si="71"/>
        <v/>
      </c>
      <c r="X502" s="17">
        <f t="shared" ca="1" si="70"/>
        <v>8.3487912217341642E-2</v>
      </c>
      <c r="Y502" s="13">
        <f t="shared" si="78"/>
        <v>0</v>
      </c>
      <c r="Z502" s="13">
        <f t="shared" si="78"/>
        <v>0</v>
      </c>
      <c r="AA502" t="str">
        <f t="shared" ca="1" si="72"/>
        <v/>
      </c>
      <c r="AB502" t="str">
        <f t="shared" ca="1" si="73"/>
        <v/>
      </c>
      <c r="AC502" s="24" t="str">
        <f t="shared" ca="1" si="74"/>
        <v/>
      </c>
      <c r="AD502" s="24" t="str">
        <f t="shared" ca="1" si="75"/>
        <v/>
      </c>
    </row>
    <row r="503" spans="3:30" x14ac:dyDescent="0.25">
      <c r="C503" s="6">
        <v>496</v>
      </c>
      <c r="D503" s="35">
        <v>42710</v>
      </c>
      <c r="E503" s="37">
        <v>15.265000000000001</v>
      </c>
      <c r="F503" s="37">
        <v>52.006561852114203</v>
      </c>
      <c r="G503" s="37">
        <v>32.58</v>
      </c>
      <c r="H503" s="37">
        <v>3.1227979974144673</v>
      </c>
      <c r="I503" s="37">
        <v>62.881333676098251</v>
      </c>
      <c r="J503" s="10">
        <v>0</v>
      </c>
      <c r="K503" s="38">
        <v>0</v>
      </c>
      <c r="L503" s="38">
        <v>0</v>
      </c>
      <c r="M503" s="38">
        <v>0</v>
      </c>
      <c r="N503" s="38">
        <v>0</v>
      </c>
      <c r="O503" s="38">
        <v>0</v>
      </c>
      <c r="P503" s="38">
        <v>0</v>
      </c>
      <c r="Q503" s="38">
        <v>0</v>
      </c>
      <c r="R503" s="38">
        <v>0</v>
      </c>
      <c r="S503" s="38">
        <v>0</v>
      </c>
      <c r="T503" s="38">
        <v>0</v>
      </c>
      <c r="U503" s="29" cm="1">
        <f t="array" aca="1" ref="U503" ca="1">+fair_value_gap(OFFSET(T502,0,0,-1*$J$5,-1*$AA$1),OFFSET(E502,0,0,-1*$J$5,1),F503:T503,0)</f>
        <v>15.788051566463315</v>
      </c>
      <c r="V503" s="9" t="str" cm="1">
        <f t="array" aca="1" ref="V503" ca="1">z_score_diff(OFFSET(U503,0,0,$J$5*-1,1),OFFSET(E503,0,0,$J$5*-1,1))</f>
        <v/>
      </c>
      <c r="W503" s="9" t="str">
        <f t="shared" ca="1" si="71"/>
        <v/>
      </c>
      <c r="X503" s="17">
        <f t="shared" ca="1" si="70"/>
        <v>0.12998761676728732</v>
      </c>
      <c r="Y503" s="13">
        <f t="shared" si="78"/>
        <v>0</v>
      </c>
      <c r="Z503" s="13">
        <f t="shared" si="78"/>
        <v>0</v>
      </c>
      <c r="AA503" t="str">
        <f t="shared" ca="1" si="72"/>
        <v/>
      </c>
      <c r="AB503" t="str">
        <f t="shared" ca="1" si="73"/>
        <v/>
      </c>
      <c r="AC503" s="24" t="str">
        <f t="shared" ca="1" si="74"/>
        <v/>
      </c>
      <c r="AD503" s="24" t="str">
        <f t="shared" ca="1" si="75"/>
        <v/>
      </c>
    </row>
    <row r="504" spans="3:30" x14ac:dyDescent="0.25">
      <c r="C504" s="6">
        <v>497</v>
      </c>
      <c r="D504" s="35">
        <v>42711</v>
      </c>
      <c r="E504" s="37">
        <v>15.231999999999999</v>
      </c>
      <c r="F504" s="37">
        <v>51.080448711746108</v>
      </c>
      <c r="G504" s="37">
        <v>32.42</v>
      </c>
      <c r="H504" s="37">
        <v>3.0935786816765596</v>
      </c>
      <c r="I504" s="37">
        <v>61.604329720011314</v>
      </c>
      <c r="J504" s="10">
        <v>0</v>
      </c>
      <c r="K504" s="38">
        <v>0</v>
      </c>
      <c r="L504" s="38">
        <v>0</v>
      </c>
      <c r="M504" s="38">
        <v>0</v>
      </c>
      <c r="N504" s="38">
        <v>0</v>
      </c>
      <c r="O504" s="38">
        <v>0</v>
      </c>
      <c r="P504" s="38">
        <v>0</v>
      </c>
      <c r="Q504" s="38">
        <v>0</v>
      </c>
      <c r="R504" s="38">
        <v>0</v>
      </c>
      <c r="S504" s="38">
        <v>0</v>
      </c>
      <c r="T504" s="38">
        <v>0</v>
      </c>
      <c r="U504" s="29" cm="1">
        <f t="array" aca="1" ref="U504" ca="1">+fair_value_gap(OFFSET(T503,0,0,-1*$J$5,-1*$AA$1),OFFSET(E503,0,0,-1*$J$5,1),F504:T504,0)</f>
        <v>15.575084728415606</v>
      </c>
      <c r="V504" s="9" t="str" cm="1">
        <f t="array" aca="1" ref="V504" ca="1">z_score_diff(OFFSET(U504,0,0,$J$5*-1,1),OFFSET(E504,0,0,$J$5*-1,1))</f>
        <v/>
      </c>
      <c r="W504" s="9" t="str">
        <f t="shared" ca="1" si="71"/>
        <v/>
      </c>
      <c r="X504" s="17">
        <f t="shared" ca="1" si="70"/>
        <v>0.12701896434012272</v>
      </c>
      <c r="Y504" s="13">
        <f t="shared" si="78"/>
        <v>0</v>
      </c>
      <c r="Z504" s="13">
        <f t="shared" si="78"/>
        <v>0</v>
      </c>
      <c r="AA504" t="str">
        <f t="shared" ca="1" si="72"/>
        <v/>
      </c>
      <c r="AB504" t="str">
        <f t="shared" ca="1" si="73"/>
        <v/>
      </c>
      <c r="AC504" s="24" t="str">
        <f t="shared" ca="1" si="74"/>
        <v/>
      </c>
      <c r="AD504" s="24" t="str">
        <f t="shared" ca="1" si="75"/>
        <v/>
      </c>
    </row>
    <row r="505" spans="3:30" x14ac:dyDescent="0.25">
      <c r="C505" s="6">
        <v>498</v>
      </c>
      <c r="D505" s="35">
        <v>42712</v>
      </c>
      <c r="E505" s="37">
        <v>15.500999999999999</v>
      </c>
      <c r="F505" s="37">
        <v>52.374458227469738</v>
      </c>
      <c r="G505" s="37">
        <v>32.409999999999997</v>
      </c>
      <c r="H505" s="37">
        <v>3.1805783888805856</v>
      </c>
      <c r="I505" s="37">
        <v>64.825885517859817</v>
      </c>
      <c r="J505" s="10">
        <v>0</v>
      </c>
      <c r="K505" s="38">
        <v>0</v>
      </c>
      <c r="L505" s="38">
        <v>0</v>
      </c>
      <c r="M505" s="38">
        <v>0</v>
      </c>
      <c r="N505" s="38">
        <v>0</v>
      </c>
      <c r="O505" s="38">
        <v>0</v>
      </c>
      <c r="P505" s="38">
        <v>0</v>
      </c>
      <c r="Q505" s="38">
        <v>0</v>
      </c>
      <c r="R505" s="38">
        <v>0</v>
      </c>
      <c r="S505" s="38">
        <v>0</v>
      </c>
      <c r="T505" s="38">
        <v>0</v>
      </c>
      <c r="U505" s="29" cm="1">
        <f t="array" aca="1" ref="U505" ca="1">+fair_value_gap(OFFSET(T504,0,0,-1*$J$5,-1*$AA$1),OFFSET(E504,0,0,-1*$J$5,1),F505:T505,0)</f>
        <v>15.562239404778506</v>
      </c>
      <c r="V505" s="9" t="str" cm="1">
        <f t="array" aca="1" ref="V505" ca="1">z_score_diff(OFFSET(U505,0,0,$J$5*-1,1),OFFSET(E505,0,0,$J$5*-1,1))</f>
        <v/>
      </c>
      <c r="W505" s="9" t="str">
        <f t="shared" ca="1" si="71"/>
        <v/>
      </c>
      <c r="X505" s="17">
        <f t="shared" ca="1" si="70"/>
        <v>9.5245665756368642E-2</v>
      </c>
      <c r="Y505" s="13">
        <f t="shared" ref="Y505:Z520" si="79">+Y504</f>
        <v>0</v>
      </c>
      <c r="Z505" s="13">
        <f t="shared" si="79"/>
        <v>0</v>
      </c>
      <c r="AA505" t="str">
        <f t="shared" ca="1" si="72"/>
        <v/>
      </c>
      <c r="AB505" t="str">
        <f t="shared" ca="1" si="73"/>
        <v/>
      </c>
      <c r="AC505" s="24" t="str">
        <f t="shared" ca="1" si="74"/>
        <v/>
      </c>
      <c r="AD505" s="24" t="str">
        <f t="shared" ca="1" si="75"/>
        <v/>
      </c>
    </row>
    <row r="506" spans="3:30" x14ac:dyDescent="0.25">
      <c r="C506" s="6">
        <v>499</v>
      </c>
      <c r="D506" s="35">
        <v>42713</v>
      </c>
      <c r="E506" s="37">
        <v>15.504</v>
      </c>
      <c r="F506" s="37">
        <v>53.107766975702845</v>
      </c>
      <c r="G506" s="37">
        <v>32.979999999999997</v>
      </c>
      <c r="H506" s="37">
        <v>3.2099442532794402</v>
      </c>
      <c r="I506" s="37">
        <v>66.490360775946272</v>
      </c>
      <c r="J506" s="10">
        <v>0</v>
      </c>
      <c r="K506" s="38">
        <v>0</v>
      </c>
      <c r="L506" s="38">
        <v>0</v>
      </c>
      <c r="M506" s="38">
        <v>0</v>
      </c>
      <c r="N506" s="38">
        <v>0</v>
      </c>
      <c r="O506" s="38">
        <v>0</v>
      </c>
      <c r="P506" s="38">
        <v>0</v>
      </c>
      <c r="Q506" s="38">
        <v>0</v>
      </c>
      <c r="R506" s="38">
        <v>0</v>
      </c>
      <c r="S506" s="38">
        <v>0</v>
      </c>
      <c r="T506" s="38">
        <v>0</v>
      </c>
      <c r="U506" s="29" cm="1">
        <f t="array" aca="1" ref="U506" ca="1">+fair_value_gap(OFFSET(T505,0,0,-1*$J$5,-1*$AA$1),OFFSET(E505,0,0,-1*$J$5,1),F506:T506,0)</f>
        <v>15.808334913966581</v>
      </c>
      <c r="V506" s="9" cm="1">
        <f t="array" aca="1" ref="V506" ca="1">z_score_diff(OFFSET(U506,0,0,$J$5*-1,1),OFFSET(E506,0,0,$J$5*-1,1))</f>
        <v>-6.7529158191229621E-2</v>
      </c>
      <c r="W506" s="9">
        <f t="shared" ca="1" si="71"/>
        <v>-6.7529158191229621E-2</v>
      </c>
      <c r="X506" s="17">
        <f t="shared" ca="1" si="70"/>
        <v>0.10827808204423474</v>
      </c>
      <c r="Y506" s="13">
        <f t="shared" si="79"/>
        <v>0</v>
      </c>
      <c r="Z506" s="13">
        <f t="shared" si="79"/>
        <v>0</v>
      </c>
      <c r="AA506">
        <f t="shared" ca="1" si="72"/>
        <v>1</v>
      </c>
      <c r="AB506">
        <f t="shared" ca="1" si="73"/>
        <v>0</v>
      </c>
      <c r="AC506" s="24">
        <f t="shared" ca="1" si="74"/>
        <v>0.10827808204423474</v>
      </c>
      <c r="AD506" s="24">
        <f t="shared" ca="1" si="75"/>
        <v>0</v>
      </c>
    </row>
    <row r="507" spans="3:30" x14ac:dyDescent="0.25">
      <c r="C507" s="6">
        <v>500</v>
      </c>
      <c r="D507" s="35">
        <v>42716</v>
      </c>
      <c r="E507" s="37">
        <v>16.029</v>
      </c>
      <c r="F507" s="37">
        <v>53.746048290334933</v>
      </c>
      <c r="G507" s="37">
        <v>34.270000000000003</v>
      </c>
      <c r="H507" s="37">
        <v>3.1306024312045921</v>
      </c>
      <c r="I507" s="37">
        <v>66.564923641455593</v>
      </c>
      <c r="J507" s="10">
        <v>0</v>
      </c>
      <c r="K507" s="38">
        <v>0</v>
      </c>
      <c r="L507" s="38">
        <v>0</v>
      </c>
      <c r="M507" s="38">
        <v>0</v>
      </c>
      <c r="N507" s="38">
        <v>0</v>
      </c>
      <c r="O507" s="38">
        <v>0</v>
      </c>
      <c r="P507" s="38">
        <v>0</v>
      </c>
      <c r="Q507" s="38">
        <v>0</v>
      </c>
      <c r="R507" s="38">
        <v>0</v>
      </c>
      <c r="S507" s="38">
        <v>0</v>
      </c>
      <c r="T507" s="38">
        <v>0</v>
      </c>
      <c r="U507" s="29" cm="1">
        <f t="array" aca="1" ref="U507" ca="1">+fair_value_gap(OFFSET(T506,0,0,-1*$J$5,-1*$AA$1),OFFSET(E506,0,0,-1*$J$5,1),F507:T507,0)</f>
        <v>16.279935286849394</v>
      </c>
      <c r="V507" s="9" cm="1">
        <f t="array" aca="1" ref="V507" ca="1">z_score_diff(OFFSET(U507,0,0,$J$5*-1,1),OFFSET(E507,0,0,$J$5*-1,1))</f>
        <v>-8.7169615972945369E-2</v>
      </c>
      <c r="W507" s="9">
        <f t="shared" ca="1" si="71"/>
        <v>-7.7349387082087495E-2</v>
      </c>
      <c r="X507" s="17">
        <f t="shared" ca="1" si="70"/>
        <v>8.848677857681779E-2</v>
      </c>
      <c r="Y507" s="13">
        <f t="shared" si="79"/>
        <v>0</v>
      </c>
      <c r="Z507" s="13">
        <f t="shared" si="79"/>
        <v>0</v>
      </c>
      <c r="AA507">
        <f t="shared" ca="1" si="72"/>
        <v>1</v>
      </c>
      <c r="AB507">
        <f t="shared" ca="1" si="73"/>
        <v>0</v>
      </c>
      <c r="AC507" s="24">
        <f t="shared" ca="1" si="74"/>
        <v>8.848677857681779E-2</v>
      </c>
      <c r="AD507" s="24">
        <f t="shared" ca="1" si="75"/>
        <v>0</v>
      </c>
    </row>
    <row r="508" spans="3:30" x14ac:dyDescent="0.25">
      <c r="C508" s="6">
        <v>501</v>
      </c>
      <c r="D508" s="35">
        <v>42717</v>
      </c>
      <c r="E508" s="37">
        <v>16.193000000000001</v>
      </c>
      <c r="F508" s="37">
        <v>53.972630099424244</v>
      </c>
      <c r="G508" s="37">
        <v>34.43</v>
      </c>
      <c r="H508" s="37">
        <v>3.1377482689653178</v>
      </c>
      <c r="I508" s="37">
        <v>66.17083648710323</v>
      </c>
      <c r="J508" s="10">
        <v>0</v>
      </c>
      <c r="K508" s="38">
        <v>0</v>
      </c>
      <c r="L508" s="38">
        <v>0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v>0</v>
      </c>
      <c r="S508" s="38">
        <v>0</v>
      </c>
      <c r="T508" s="38">
        <v>0</v>
      </c>
      <c r="U508" s="29" cm="1">
        <f t="array" aca="1" ref="U508" ca="1">+fair_value_gap(OFFSET(T507,0,0,-1*$J$5,-1*$AA$1),OFFSET(E507,0,0,-1*$J$5,1),F508:T508,0)</f>
        <v>16.324751252509312</v>
      </c>
      <c r="V508" s="9" cm="1">
        <f t="array" aca="1" ref="V508" ca="1">z_score_diff(OFFSET(U508,0,0,$J$5*-1,1),OFFSET(E508,0,0,$J$5*-1,1))</f>
        <v>-0.15036303280085439</v>
      </c>
      <c r="W508" s="9">
        <f t="shared" ca="1" si="71"/>
        <v>-0.10168726898834313</v>
      </c>
      <c r="X508" s="17">
        <f t="shared" ca="1" si="70"/>
        <v>9.6303381783715156E-2</v>
      </c>
      <c r="Y508" s="13">
        <f t="shared" si="79"/>
        <v>0</v>
      </c>
      <c r="Z508" s="13">
        <f t="shared" si="79"/>
        <v>0</v>
      </c>
      <c r="AA508">
        <f t="shared" ca="1" si="72"/>
        <v>1</v>
      </c>
      <c r="AB508">
        <f t="shared" ca="1" si="73"/>
        <v>0</v>
      </c>
      <c r="AC508" s="24">
        <f t="shared" ca="1" si="74"/>
        <v>9.6303381783715156E-2</v>
      </c>
      <c r="AD508" s="24">
        <f t="shared" ca="1" si="75"/>
        <v>0</v>
      </c>
    </row>
    <row r="509" spans="3:30" x14ac:dyDescent="0.25">
      <c r="C509" s="6">
        <v>502</v>
      </c>
      <c r="D509" s="35">
        <v>42718</v>
      </c>
      <c r="E509" s="37">
        <v>16.27</v>
      </c>
      <c r="F509" s="37">
        <v>53.01049093348206</v>
      </c>
      <c r="G509" s="37">
        <v>34.4</v>
      </c>
      <c r="H509" s="37">
        <v>3.2190660657492125</v>
      </c>
      <c r="I509" s="37">
        <v>69.148214581794619</v>
      </c>
      <c r="J509" s="10">
        <v>0</v>
      </c>
      <c r="K509" s="38">
        <v>0</v>
      </c>
      <c r="L509" s="38">
        <v>0</v>
      </c>
      <c r="M509" s="38">
        <v>0</v>
      </c>
      <c r="N509" s="38">
        <v>0</v>
      </c>
      <c r="O509" s="38">
        <v>0</v>
      </c>
      <c r="P509" s="38">
        <v>0</v>
      </c>
      <c r="Q509" s="38">
        <v>0</v>
      </c>
      <c r="R509" s="38">
        <v>0</v>
      </c>
      <c r="S509" s="38">
        <v>0</v>
      </c>
      <c r="T509" s="38">
        <v>0</v>
      </c>
      <c r="U509" s="29" cm="1">
        <f t="array" aca="1" ref="U509" ca="1">+fair_value_gap(OFFSET(T508,0,0,-1*$J$5,-1*$AA$1),OFFSET(E508,0,0,-1*$J$5,1),F509:T509,0)</f>
        <v>16.275758901647393</v>
      </c>
      <c r="V509" s="9" cm="1">
        <f t="array" aca="1" ref="V509" ca="1">z_score_diff(OFFSET(U509,0,0,$J$5*-1,1),OFFSET(E509,0,0,$J$5*-1,1))</f>
        <v>-0.2185202439049394</v>
      </c>
      <c r="W509" s="9">
        <f t="shared" ca="1" si="71"/>
        <v>-0.1308955127174922</v>
      </c>
      <c r="X509" s="17">
        <f t="shared" ca="1" si="70"/>
        <v>8.2035897483287684E-2</v>
      </c>
      <c r="Y509" s="13">
        <f t="shared" si="79"/>
        <v>0</v>
      </c>
      <c r="Z509" s="13">
        <f t="shared" si="79"/>
        <v>0</v>
      </c>
      <c r="AA509">
        <f t="shared" ca="1" si="72"/>
        <v>1</v>
      </c>
      <c r="AB509">
        <f t="shared" ca="1" si="73"/>
        <v>0</v>
      </c>
      <c r="AC509" s="24">
        <f t="shared" ca="1" si="74"/>
        <v>8.2035897483287684E-2</v>
      </c>
      <c r="AD509" s="24">
        <f t="shared" ca="1" si="75"/>
        <v>0</v>
      </c>
    </row>
    <row r="510" spans="3:30" x14ac:dyDescent="0.25">
      <c r="C510" s="6">
        <v>503</v>
      </c>
      <c r="D510" s="35">
        <v>42719</v>
      </c>
      <c r="E510" s="37">
        <v>16.29</v>
      </c>
      <c r="F510" s="37">
        <v>53.616751570959401</v>
      </c>
      <c r="G510" s="37">
        <v>35.020000000000003</v>
      </c>
      <c r="H510" s="37">
        <v>3.21757609267685</v>
      </c>
      <c r="I510" s="37">
        <v>69.328724741646994</v>
      </c>
      <c r="J510" s="10">
        <v>0</v>
      </c>
      <c r="K510" s="38">
        <v>0</v>
      </c>
      <c r="L510" s="38">
        <v>0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v>0</v>
      </c>
      <c r="S510" s="38">
        <v>0</v>
      </c>
      <c r="T510" s="38">
        <v>0</v>
      </c>
      <c r="U510" s="29" cm="1">
        <f t="array" aca="1" ref="U510" ca="1">+fair_value_gap(OFFSET(T509,0,0,-1*$J$5,-1*$AA$1),OFFSET(E509,0,0,-1*$J$5,1),F510:T510,0)</f>
        <v>16.548346859238528</v>
      </c>
      <c r="V510" s="9" cm="1">
        <f t="array" aca="1" ref="V510" ca="1">z_score_diff(OFFSET(U510,0,0,$J$5*-1,1),OFFSET(E510,0,0,$J$5*-1,1))</f>
        <v>-7.0568169262271163E-2</v>
      </c>
      <c r="W510" s="9">
        <f t="shared" ca="1" si="71"/>
        <v>-0.11883004402644799</v>
      </c>
      <c r="X510" s="17">
        <f t="shared" ca="1" si="70"/>
        <v>7.2449138486078923E-2</v>
      </c>
      <c r="Y510" s="13">
        <f t="shared" si="79"/>
        <v>0</v>
      </c>
      <c r="Z510" s="13">
        <f t="shared" si="79"/>
        <v>0</v>
      </c>
      <c r="AA510">
        <f t="shared" ca="1" si="72"/>
        <v>1</v>
      </c>
      <c r="AB510">
        <f t="shared" ca="1" si="73"/>
        <v>0</v>
      </c>
      <c r="AC510" s="24">
        <f t="shared" ca="1" si="74"/>
        <v>7.2449138486078923E-2</v>
      </c>
      <c r="AD510" s="24">
        <f t="shared" ca="1" si="75"/>
        <v>0</v>
      </c>
    </row>
    <row r="511" spans="3:30" x14ac:dyDescent="0.25">
      <c r="C511" s="6">
        <v>504</v>
      </c>
      <c r="D511" s="35">
        <v>42720</v>
      </c>
      <c r="E511" s="37">
        <v>16.516999999999999</v>
      </c>
      <c r="F511" s="37">
        <v>54.327196811539189</v>
      </c>
      <c r="G511" s="37">
        <v>35.49</v>
      </c>
      <c r="H511" s="37">
        <v>3.2017460618713227</v>
      </c>
      <c r="I511" s="37">
        <v>69.795027519453399</v>
      </c>
      <c r="J511" s="10">
        <v>0</v>
      </c>
      <c r="K511" s="38">
        <v>0</v>
      </c>
      <c r="L511" s="38">
        <v>0</v>
      </c>
      <c r="M511" s="38">
        <v>0</v>
      </c>
      <c r="N511" s="38">
        <v>0</v>
      </c>
      <c r="O511" s="38">
        <v>0</v>
      </c>
      <c r="P511" s="38">
        <v>0</v>
      </c>
      <c r="Q511" s="38">
        <v>0</v>
      </c>
      <c r="R511" s="38">
        <v>0</v>
      </c>
      <c r="S511" s="38">
        <v>0</v>
      </c>
      <c r="T511" s="38">
        <v>0</v>
      </c>
      <c r="U511" s="29" cm="1">
        <f t="array" aca="1" ref="U511" ca="1">+fair_value_gap(OFFSET(T510,0,0,-1*$J$5,-1*$AA$1),OFFSET(E510,0,0,-1*$J$5,1),F511:T511,0)</f>
        <v>16.732614496251976</v>
      </c>
      <c r="V511" s="9" cm="1">
        <f t="array" aca="1" ref="V511" ca="1">z_score_diff(OFFSET(U511,0,0,$J$5*-1,1),OFFSET(E511,0,0,$J$5*-1,1))</f>
        <v>-8.9090373795634448E-2</v>
      </c>
      <c r="W511" s="9">
        <f t="shared" ca="1" si="71"/>
        <v>-0.1138734323213124</v>
      </c>
      <c r="X511" s="17">
        <f t="shared" ca="1" si="70"/>
        <v>3.947217067691141E-2</v>
      </c>
      <c r="Y511" s="13">
        <f t="shared" si="79"/>
        <v>0</v>
      </c>
      <c r="Z511" s="13">
        <f t="shared" si="79"/>
        <v>0</v>
      </c>
      <c r="AA511">
        <f t="shared" ca="1" si="72"/>
        <v>1</v>
      </c>
      <c r="AB511">
        <f t="shared" ca="1" si="73"/>
        <v>0</v>
      </c>
      <c r="AC511" s="24">
        <f t="shared" ca="1" si="74"/>
        <v>3.947217067691141E-2</v>
      </c>
      <c r="AD511" s="24">
        <f t="shared" ca="1" si="75"/>
        <v>0</v>
      </c>
    </row>
    <row r="512" spans="3:30" x14ac:dyDescent="0.25">
      <c r="C512" s="6">
        <v>505</v>
      </c>
      <c r="D512" s="35">
        <v>42723</v>
      </c>
      <c r="E512" s="37">
        <v>16.445</v>
      </c>
      <c r="F512" s="37">
        <v>54.416129508673137</v>
      </c>
      <c r="G512" s="37">
        <v>35.450000000000003</v>
      </c>
      <c r="H512" s="37">
        <v>3.2281885269722395</v>
      </c>
      <c r="I512" s="37">
        <v>70.604713650721052</v>
      </c>
      <c r="J512" s="10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v>0</v>
      </c>
      <c r="S512" s="38">
        <v>0</v>
      </c>
      <c r="T512" s="38">
        <v>0</v>
      </c>
      <c r="U512" s="29" cm="1">
        <f t="array" aca="1" ref="U512" ca="1">+fair_value_gap(OFFSET(T511,0,0,-1*$J$5,-1*$AA$1),OFFSET(E511,0,0,-1*$J$5,1),F512:T512,0)</f>
        <v>16.695062822190131</v>
      </c>
      <c r="V512" s="9" cm="1">
        <f t="array" aca="1" ref="V512" ca="1">z_score_diff(OFFSET(U512,0,0,$J$5*-1,1),OFFSET(E512,0,0,$J$5*-1,1))</f>
        <v>-6.9418581803090795E-2</v>
      </c>
      <c r="W512" s="9">
        <f t="shared" ca="1" si="71"/>
        <v>-0.10752273939013789</v>
      </c>
      <c r="X512" s="17">
        <f t="shared" ca="1" si="70"/>
        <v>6.2065109043052576E-2</v>
      </c>
      <c r="Y512" s="13">
        <f t="shared" si="79"/>
        <v>0</v>
      </c>
      <c r="Z512" s="13">
        <f t="shared" si="79"/>
        <v>0</v>
      </c>
      <c r="AA512">
        <f t="shared" ca="1" si="72"/>
        <v>1</v>
      </c>
      <c r="AB512">
        <f t="shared" ca="1" si="73"/>
        <v>0</v>
      </c>
      <c r="AC512" s="24">
        <f t="shared" ca="1" si="74"/>
        <v>6.2065109043052576E-2</v>
      </c>
      <c r="AD512" s="24">
        <f t="shared" ca="1" si="75"/>
        <v>0</v>
      </c>
    </row>
    <row r="513" spans="3:30" x14ac:dyDescent="0.25">
      <c r="C513" s="6">
        <v>506</v>
      </c>
      <c r="D513" s="35">
        <v>42724</v>
      </c>
      <c r="E513" s="37">
        <v>16.649000000000001</v>
      </c>
      <c r="F513" s="37">
        <v>55.065365086994504</v>
      </c>
      <c r="G513" s="37">
        <v>35.75</v>
      </c>
      <c r="H513" s="37">
        <v>3.0880092163437509</v>
      </c>
      <c r="I513" s="37">
        <v>72.288788943439258</v>
      </c>
      <c r="J513" s="10">
        <v>0</v>
      </c>
      <c r="K513" s="38">
        <v>0</v>
      </c>
      <c r="L513" s="38">
        <v>0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v>0</v>
      </c>
      <c r="S513" s="38">
        <v>0</v>
      </c>
      <c r="T513" s="38">
        <v>0</v>
      </c>
      <c r="U513" s="29" cm="1">
        <f t="array" aca="1" ref="U513" ca="1">+fair_value_gap(OFFSET(T512,0,0,-1*$J$5,-1*$AA$1),OFFSET(E512,0,0,-1*$J$5,1),F513:T513,0)</f>
        <v>16.754063399871956</v>
      </c>
      <c r="V513" s="9" cm="1">
        <f t="array" aca="1" ref="V513" ca="1">z_score_diff(OFFSET(U513,0,0,$J$5*-1,1),OFFSET(E513,0,0,$J$5*-1,1))</f>
        <v>-0.14627769813500158</v>
      </c>
      <c r="W513" s="9">
        <f t="shared" ca="1" si="71"/>
        <v>-0.11236710923324585</v>
      </c>
      <c r="X513" s="17">
        <f t="shared" ca="1" si="70"/>
        <v>5.6627710645776812E-2</v>
      </c>
      <c r="Y513" s="13">
        <f t="shared" si="79"/>
        <v>0</v>
      </c>
      <c r="Z513" s="13">
        <f t="shared" si="79"/>
        <v>0</v>
      </c>
      <c r="AA513">
        <f t="shared" ca="1" si="72"/>
        <v>1</v>
      </c>
      <c r="AB513">
        <f t="shared" ca="1" si="73"/>
        <v>0</v>
      </c>
      <c r="AC513" s="24">
        <f t="shared" ca="1" si="74"/>
        <v>5.6627710645776812E-2</v>
      </c>
      <c r="AD513" s="24">
        <f t="shared" ca="1" si="75"/>
        <v>0</v>
      </c>
    </row>
    <row r="514" spans="3:30" x14ac:dyDescent="0.25">
      <c r="C514" s="6">
        <v>507</v>
      </c>
      <c r="D514" s="35">
        <v>42725</v>
      </c>
      <c r="E514" s="37">
        <v>16.826000000000001</v>
      </c>
      <c r="F514" s="37">
        <v>54.221989976485126</v>
      </c>
      <c r="G514" s="37">
        <v>35.9</v>
      </c>
      <c r="H514" s="37">
        <v>3.2312771668131397</v>
      </c>
      <c r="I514" s="37">
        <v>72.49233984940976</v>
      </c>
      <c r="J514" s="10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v>0</v>
      </c>
      <c r="S514" s="38">
        <v>0</v>
      </c>
      <c r="T514" s="38">
        <v>0</v>
      </c>
      <c r="U514" s="29" cm="1">
        <f t="array" aca="1" ref="U514" ca="1">+fair_value_gap(OFFSET(T513,0,0,-1*$J$5,-1*$AA$1),OFFSET(E513,0,0,-1*$J$5,1),F514:T514,0)</f>
        <v>16.797395006136288</v>
      </c>
      <c r="V514" s="9" cm="1">
        <f t="array" aca="1" ref="V514" ca="1">z_score_diff(OFFSET(U514,0,0,$J$5*-1,1),OFFSET(E514,0,0,$J$5*-1,1))</f>
        <v>-0.21383443663243018</v>
      </c>
      <c r="W514" s="9">
        <f t="shared" ca="1" si="71"/>
        <v>-0.12364125672204411</v>
      </c>
      <c r="X514" s="17">
        <f t="shared" ca="1" si="70"/>
        <v>4.6166063457971709E-2</v>
      </c>
      <c r="Y514" s="13">
        <f t="shared" si="79"/>
        <v>0</v>
      </c>
      <c r="Z514" s="13">
        <f t="shared" si="79"/>
        <v>0</v>
      </c>
      <c r="AA514">
        <f t="shared" ca="1" si="72"/>
        <v>1</v>
      </c>
      <c r="AB514">
        <f t="shared" ca="1" si="73"/>
        <v>0</v>
      </c>
      <c r="AC514" s="24">
        <f t="shared" ca="1" si="74"/>
        <v>4.6166063457971709E-2</v>
      </c>
      <c r="AD514" s="24">
        <f t="shared" ca="1" si="75"/>
        <v>0</v>
      </c>
    </row>
    <row r="515" spans="3:30" x14ac:dyDescent="0.25">
      <c r="C515" s="6">
        <v>508</v>
      </c>
      <c r="D515" s="35">
        <v>42726</v>
      </c>
      <c r="E515" s="37">
        <v>17.196000000000002</v>
      </c>
      <c r="F515" s="37">
        <v>54.639517774929992</v>
      </c>
      <c r="G515" s="37">
        <v>36.799999999999997</v>
      </c>
      <c r="H515" s="37">
        <v>3.2426788172196117</v>
      </c>
      <c r="I515" s="37">
        <v>72.713465280744217</v>
      </c>
      <c r="J515" s="10">
        <v>0</v>
      </c>
      <c r="K515" s="38">
        <v>0</v>
      </c>
      <c r="L515" s="38">
        <v>0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v>0</v>
      </c>
      <c r="S515" s="38">
        <v>0</v>
      </c>
      <c r="T515" s="38">
        <v>0</v>
      </c>
      <c r="U515" s="29" cm="1">
        <f t="array" aca="1" ref="U515" ca="1">+fair_value_gap(OFFSET(T514,0,0,-1*$J$5,-1*$AA$1),OFFSET(E514,0,0,-1*$J$5,1),F515:T515,0)</f>
        <v>17.145304677472794</v>
      </c>
      <c r="V515" s="9" cm="1">
        <f t="array" aca="1" ref="V515" ca="1">z_score_diff(OFFSET(U515,0,0,$J$5*-1,1),OFFSET(E515,0,0,$J$5*-1,1))</f>
        <v>-0.2128987371796498</v>
      </c>
      <c r="W515" s="9">
        <f t="shared" ca="1" si="71"/>
        <v>-0.13256700476780467</v>
      </c>
      <c r="X515" s="17">
        <f t="shared" ca="1" si="70"/>
        <v>3.9453298338653624E-2</v>
      </c>
      <c r="Y515" s="13">
        <f t="shared" si="79"/>
        <v>0</v>
      </c>
      <c r="Z515" s="13">
        <f t="shared" si="79"/>
        <v>0</v>
      </c>
      <c r="AA515">
        <f t="shared" ca="1" si="72"/>
        <v>1</v>
      </c>
      <c r="AB515">
        <f t="shared" ca="1" si="73"/>
        <v>0</v>
      </c>
      <c r="AC515" s="24">
        <f t="shared" ca="1" si="74"/>
        <v>3.9453298338653624E-2</v>
      </c>
      <c r="AD515" s="24">
        <f t="shared" ca="1" si="75"/>
        <v>0</v>
      </c>
    </row>
    <row r="516" spans="3:30" x14ac:dyDescent="0.25">
      <c r="C516" s="6">
        <v>509</v>
      </c>
      <c r="D516" s="35">
        <v>42727</v>
      </c>
      <c r="E516" s="37">
        <v>17.059000000000001</v>
      </c>
      <c r="F516" s="37">
        <v>54.675317904555165</v>
      </c>
      <c r="G516" s="37">
        <v>36.880000000000003</v>
      </c>
      <c r="H516" s="37">
        <v>3.2939793640487034</v>
      </c>
      <c r="I516" s="37">
        <v>72.751918328269923</v>
      </c>
      <c r="J516" s="10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v>0</v>
      </c>
      <c r="S516" s="38">
        <v>0</v>
      </c>
      <c r="T516" s="38">
        <v>0</v>
      </c>
      <c r="U516" s="29" cm="1">
        <f t="array" aca="1" ref="U516" ca="1">+fair_value_gap(OFFSET(T515,0,0,-1*$J$5,-1*$AA$1),OFFSET(E515,0,0,-1*$J$5,1),F516:T516,0)</f>
        <v>17.200770952783543</v>
      </c>
      <c r="V516" s="9" cm="1">
        <f t="array" aca="1" ref="V516" ca="1">z_score_diff(OFFSET(U516,0,0,$J$5*-1,1),OFFSET(E516,0,0,$J$5*-1,1))</f>
        <v>-0.1027490883301172</v>
      </c>
      <c r="W516" s="9">
        <f t="shared" ca="1" si="71"/>
        <v>-0.12985628509165126</v>
      </c>
      <c r="X516" s="17">
        <f t="shared" ca="1" si="70"/>
        <v>5.6024449536064537E-2</v>
      </c>
      <c r="Y516" s="13">
        <f t="shared" si="79"/>
        <v>0</v>
      </c>
      <c r="Z516" s="13">
        <f t="shared" si="79"/>
        <v>0</v>
      </c>
      <c r="AA516">
        <f t="shared" ca="1" si="72"/>
        <v>1</v>
      </c>
      <c r="AB516">
        <f t="shared" ca="1" si="73"/>
        <v>0</v>
      </c>
      <c r="AC516" s="24">
        <f t="shared" ca="1" si="74"/>
        <v>5.6024449536064537E-2</v>
      </c>
      <c r="AD516" s="24">
        <f t="shared" ca="1" si="75"/>
        <v>0</v>
      </c>
    </row>
    <row r="517" spans="3:30" x14ac:dyDescent="0.25">
      <c r="C517" s="6">
        <v>510</v>
      </c>
      <c r="D517" s="35">
        <v>42731</v>
      </c>
      <c r="E517" s="37">
        <v>17.265000000000001</v>
      </c>
      <c r="F517" s="37">
        <v>55.439168990449986</v>
      </c>
      <c r="G517" s="37">
        <v>38.72</v>
      </c>
      <c r="H517" s="37">
        <v>3.3513645653601367</v>
      </c>
      <c r="I517" s="37">
        <v>72.721863271526857</v>
      </c>
      <c r="J517" s="10">
        <v>0</v>
      </c>
      <c r="K517" s="38">
        <v>0</v>
      </c>
      <c r="L517" s="38">
        <v>0</v>
      </c>
      <c r="M517" s="38">
        <v>0</v>
      </c>
      <c r="N517" s="38">
        <v>0</v>
      </c>
      <c r="O517" s="38">
        <v>0</v>
      </c>
      <c r="P517" s="38">
        <v>0</v>
      </c>
      <c r="Q517" s="38">
        <v>0</v>
      </c>
      <c r="R517" s="38">
        <v>0</v>
      </c>
      <c r="S517" s="38">
        <v>0</v>
      </c>
      <c r="T517" s="38">
        <v>0</v>
      </c>
      <c r="U517" s="29" cm="1">
        <f t="array" aca="1" ref="U517" ca="1">+fair_value_gap(OFFSET(T516,0,0,-1*$J$5,-1*$AA$1),OFFSET(E516,0,0,-1*$J$5,1),F517:T517,0)</f>
        <v>17.901526718541877</v>
      </c>
      <c r="V517" s="9" cm="1">
        <f t="array" aca="1" ref="V517" ca="1">z_score_diff(OFFSET(U517,0,0,$J$5*-1,1),OFFSET(E517,0,0,$J$5*-1,1))</f>
        <v>0.18243941390931595</v>
      </c>
      <c r="W517" s="9">
        <f t="shared" ca="1" si="71"/>
        <v>-0.10383164350823733</v>
      </c>
      <c r="X517" s="17">
        <f t="shared" ca="1" si="70"/>
        <v>2.8774035120981943E-2</v>
      </c>
      <c r="Y517" s="13">
        <f t="shared" si="79"/>
        <v>0</v>
      </c>
      <c r="Z517" s="13">
        <f t="shared" si="79"/>
        <v>0</v>
      </c>
      <c r="AA517">
        <f t="shared" ca="1" si="72"/>
        <v>1</v>
      </c>
      <c r="AB517">
        <f t="shared" ca="1" si="73"/>
        <v>0</v>
      </c>
      <c r="AC517" s="24">
        <f t="shared" ca="1" si="74"/>
        <v>2.8774035120981943E-2</v>
      </c>
      <c r="AD517" s="24">
        <f t="shared" ca="1" si="75"/>
        <v>0</v>
      </c>
    </row>
    <row r="518" spans="3:30" x14ac:dyDescent="0.25">
      <c r="C518" s="6">
        <v>511</v>
      </c>
      <c r="D518" s="35">
        <v>42732</v>
      </c>
      <c r="E518" s="37">
        <v>17.518999999999998</v>
      </c>
      <c r="F518" s="37">
        <v>55.843330390037451</v>
      </c>
      <c r="G518" s="37">
        <v>37.72</v>
      </c>
      <c r="H518" s="37">
        <v>3.4349024145175533</v>
      </c>
      <c r="I518" s="37">
        <v>73.645830161678305</v>
      </c>
      <c r="J518" s="10">
        <v>0</v>
      </c>
      <c r="K518" s="38">
        <v>0</v>
      </c>
      <c r="L518" s="38">
        <v>0</v>
      </c>
      <c r="M518" s="38">
        <v>0</v>
      </c>
      <c r="N518" s="38">
        <v>0</v>
      </c>
      <c r="O518" s="38">
        <v>0</v>
      </c>
      <c r="P518" s="38">
        <v>0</v>
      </c>
      <c r="Q518" s="38">
        <v>0</v>
      </c>
      <c r="R518" s="38">
        <v>0</v>
      </c>
      <c r="S518" s="38">
        <v>0</v>
      </c>
      <c r="T518" s="38">
        <v>0</v>
      </c>
      <c r="U518" s="29" cm="1">
        <f t="array" aca="1" ref="U518" ca="1">+fair_value_gap(OFFSET(T517,0,0,-1*$J$5,-1*$AA$1),OFFSET(E517,0,0,-1*$J$5,1),F518:T518,0)</f>
        <v>17.556338026803154</v>
      </c>
      <c r="V518" s="9" cm="1">
        <f t="array" aca="1" ref="V518" ca="1">z_score_diff(OFFSET(U518,0,0,$J$5*-1,1),OFFSET(E518,0,0,$J$5*-1,1))</f>
        <v>-0.15050944891110341</v>
      </c>
      <c r="W518" s="9">
        <f t="shared" ca="1" si="71"/>
        <v>-0.10742224392384242</v>
      </c>
      <c r="X518" s="17">
        <f t="shared" ca="1" si="70"/>
        <v>-2.1714294246379571E-3</v>
      </c>
      <c r="Y518" s="13">
        <f t="shared" si="79"/>
        <v>0</v>
      </c>
      <c r="Z518" s="13">
        <f t="shared" si="79"/>
        <v>0</v>
      </c>
      <c r="AA518">
        <f t="shared" ca="1" si="72"/>
        <v>1</v>
      </c>
      <c r="AB518">
        <f t="shared" ca="1" si="73"/>
        <v>0</v>
      </c>
      <c r="AC518" s="24">
        <f t="shared" ca="1" si="74"/>
        <v>-2.1714294246379571E-3</v>
      </c>
      <c r="AD518" s="24">
        <f t="shared" ca="1" si="75"/>
        <v>0</v>
      </c>
    </row>
    <row r="519" spans="3:30" x14ac:dyDescent="0.25">
      <c r="C519" s="6">
        <v>512</v>
      </c>
      <c r="D519" s="35">
        <v>42733</v>
      </c>
      <c r="E519" s="37">
        <v>17.677</v>
      </c>
      <c r="F519" s="37">
        <v>55.440009600656175</v>
      </c>
      <c r="G519" s="37">
        <v>37.82</v>
      </c>
      <c r="H519" s="37">
        <v>3.4112567693602998</v>
      </c>
      <c r="I519" s="37">
        <v>73.894814228248052</v>
      </c>
      <c r="J519" s="10">
        <v>0</v>
      </c>
      <c r="K519" s="38">
        <v>0</v>
      </c>
      <c r="L519" s="38">
        <v>0</v>
      </c>
      <c r="M519" s="38">
        <v>0</v>
      </c>
      <c r="N519" s="38">
        <v>0</v>
      </c>
      <c r="O519" s="38">
        <v>0</v>
      </c>
      <c r="P519" s="38">
        <v>0</v>
      </c>
      <c r="Q519" s="38">
        <v>0</v>
      </c>
      <c r="R519" s="38">
        <v>0</v>
      </c>
      <c r="S519" s="38">
        <v>0</v>
      </c>
      <c r="T519" s="38">
        <v>0</v>
      </c>
      <c r="U519" s="29" cm="1">
        <f t="array" aca="1" ref="U519" ca="1">+fair_value_gap(OFFSET(T518,0,0,-1*$J$5,-1*$AA$1),OFFSET(E518,0,0,-1*$J$5,1),F519:T519,0)</f>
        <v>17.563147926364515</v>
      </c>
      <c r="V519" s="9" cm="1">
        <f t="array" aca="1" ref="V519" ca="1">z_score_diff(OFFSET(U519,0,0,$J$5*-1,1),OFFSET(E519,0,0,$J$5*-1,1))</f>
        <v>-0.22926952503133102</v>
      </c>
      <c r="W519" s="9">
        <f t="shared" ca="1" si="71"/>
        <v>-0.11612562114580589</v>
      </c>
      <c r="X519" s="17">
        <f t="shared" ref="X519:X582" ca="1" si="80">+LN(OFFSET(E519,$X$3,0,1,1)/E519)</f>
        <v>-8.0654759616046127E-3</v>
      </c>
      <c r="Y519" s="13">
        <f t="shared" si="79"/>
        <v>0</v>
      </c>
      <c r="Z519" s="13">
        <f t="shared" si="79"/>
        <v>0</v>
      </c>
      <c r="AA519">
        <f t="shared" ca="1" si="72"/>
        <v>1</v>
      </c>
      <c r="AB519">
        <f t="shared" ca="1" si="73"/>
        <v>0</v>
      </c>
      <c r="AC519" s="24">
        <f t="shared" ca="1" si="74"/>
        <v>-8.0654759616046127E-3</v>
      </c>
      <c r="AD519" s="24">
        <f t="shared" ca="1" si="75"/>
        <v>0</v>
      </c>
    </row>
    <row r="520" spans="3:30" x14ac:dyDescent="0.25">
      <c r="C520" s="6">
        <v>513</v>
      </c>
      <c r="D520" s="35">
        <v>42734</v>
      </c>
      <c r="E520" s="37">
        <v>17.875</v>
      </c>
      <c r="F520" s="37">
        <v>55.429227845035641</v>
      </c>
      <c r="G520" s="37">
        <v>36.270000000000003</v>
      </c>
      <c r="H520" s="37">
        <v>3.3792793446497416</v>
      </c>
      <c r="I520" s="37">
        <v>74.210331397425307</v>
      </c>
      <c r="J520" s="10">
        <v>0</v>
      </c>
      <c r="K520" s="38">
        <v>0</v>
      </c>
      <c r="L520" s="38">
        <v>0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v>0</v>
      </c>
      <c r="S520" s="38">
        <v>0</v>
      </c>
      <c r="T520" s="38">
        <v>0</v>
      </c>
      <c r="U520" s="29" cm="1">
        <f t="array" aca="1" ref="U520" ca="1">+fair_value_gap(OFFSET(T519,0,0,-1*$J$5,-1*$AA$1),OFFSET(E519,0,0,-1*$J$5,1),F520:T520,0)</f>
        <v>17.029444264477679</v>
      </c>
      <c r="V520" s="9" cm="1">
        <f t="array" aca="1" ref="V520" ca="1">z_score_diff(OFFSET(U520,0,0,$J$5*-1,1),OFFSET(E520,0,0,$J$5*-1,1))</f>
        <v>-0.63124302291937273</v>
      </c>
      <c r="W520" s="9">
        <f t="shared" ref="W520:W583" ca="1" si="81">+IF(ISERROR(AVERAGE(OFFSET(V520,0,0,$W$5*-1,1))),"",AVERAGE(OFFSET(V520,0,0,$W$5*-1,1)))</f>
        <v>-0.1504667812640437</v>
      </c>
      <c r="X520" s="17">
        <f t="shared" ca="1" si="80"/>
        <v>-2.992586260695158E-2</v>
      </c>
      <c r="Y520" s="13">
        <f t="shared" si="79"/>
        <v>0</v>
      </c>
      <c r="Z520" s="13">
        <f t="shared" si="79"/>
        <v>0</v>
      </c>
      <c r="AA520">
        <f t="shared" ref="AA520:AA583" ca="1" si="82">+IF(W520="","",IF(W520&lt;Y520,1,0))</f>
        <v>1</v>
      </c>
      <c r="AB520">
        <f t="shared" ref="AB520:AB583" ca="1" si="83">+IF(W520="","",IF(W520&gt;Z520,1,0))</f>
        <v>0</v>
      </c>
      <c r="AC520" s="24">
        <f t="shared" ref="AC520:AC583" ca="1" si="84">+IF(ISERROR(AA520*X520),"",AA520*X520)</f>
        <v>-2.992586260695158E-2</v>
      </c>
      <c r="AD520" s="24">
        <f t="shared" ref="AD520:AD583" ca="1" si="85">+IF(ISERROR(AB520*X520),"",AB520*X520)</f>
        <v>0</v>
      </c>
    </row>
    <row r="521" spans="3:30" x14ac:dyDescent="0.25">
      <c r="C521" s="6">
        <v>514</v>
      </c>
      <c r="D521" s="35">
        <v>42737</v>
      </c>
      <c r="E521" s="37">
        <v>17.617999999999999</v>
      </c>
      <c r="F521" s="37">
        <v>55.765976307518741</v>
      </c>
      <c r="G521" s="37">
        <v>35.06</v>
      </c>
      <c r="H521" s="37">
        <v>3.3998094362251305</v>
      </c>
      <c r="I521" s="37">
        <v>74.661180452517868</v>
      </c>
      <c r="J521" s="10">
        <v>1</v>
      </c>
      <c r="K521" s="38">
        <v>0</v>
      </c>
      <c r="L521" s="38">
        <v>0</v>
      </c>
      <c r="M521" s="38">
        <v>0</v>
      </c>
      <c r="N521" s="38">
        <v>0</v>
      </c>
      <c r="O521" s="38">
        <v>0</v>
      </c>
      <c r="P521" s="38">
        <v>0</v>
      </c>
      <c r="Q521" s="38">
        <v>0</v>
      </c>
      <c r="R521" s="38">
        <v>0</v>
      </c>
      <c r="S521" s="38">
        <v>0</v>
      </c>
      <c r="T521" s="38">
        <v>0</v>
      </c>
      <c r="U521" s="29" cm="1">
        <f t="array" aca="1" ref="U521" ca="1">+fair_value_gap(OFFSET(T520,0,0,-1*$J$5,-1*$AA$1),OFFSET(E520,0,0,-1*$J$5,1),F521:T521,0)</f>
        <v>17.418378380053618</v>
      </c>
      <c r="V521" s="9" cm="1">
        <f t="array" aca="1" ref="V521" ca="1">z_score_diff(OFFSET(U521,0,0,$J$5*-1,1),OFFSET(E521,0,0,$J$5*-1,1))</f>
        <v>-0.26843053810108342</v>
      </c>
      <c r="W521" s="9">
        <f t="shared" ca="1" si="81"/>
        <v>-0.15783951606635865</v>
      </c>
      <c r="X521" s="17">
        <f t="shared" ca="1" si="80"/>
        <v>-3.6392625176780808E-3</v>
      </c>
      <c r="Y521" s="13">
        <f t="shared" ref="Y521:Z536" si="86">+Y520</f>
        <v>0</v>
      </c>
      <c r="Z521" s="13">
        <f t="shared" si="86"/>
        <v>0</v>
      </c>
      <c r="AA521">
        <f t="shared" ca="1" si="82"/>
        <v>1</v>
      </c>
      <c r="AB521">
        <f t="shared" ca="1" si="83"/>
        <v>0</v>
      </c>
      <c r="AC521" s="24">
        <f t="shared" ca="1" si="84"/>
        <v>-3.6392625176780808E-3</v>
      </c>
      <c r="AD521" s="24">
        <f t="shared" ca="1" si="85"/>
        <v>0</v>
      </c>
    </row>
    <row r="522" spans="3:30" x14ac:dyDescent="0.25">
      <c r="C522" s="6">
        <v>515</v>
      </c>
      <c r="D522" s="35">
        <v>42738</v>
      </c>
      <c r="E522" s="37">
        <v>17.178999999999998</v>
      </c>
      <c r="F522" s="37">
        <v>54.870468542360292</v>
      </c>
      <c r="G522" s="37">
        <v>34.549999999999997</v>
      </c>
      <c r="H522" s="37">
        <v>3.176009411809535</v>
      </c>
      <c r="I522" s="37">
        <v>73.160624723147052</v>
      </c>
      <c r="J522" s="10">
        <v>1</v>
      </c>
      <c r="K522" s="38">
        <v>0</v>
      </c>
      <c r="L522" s="38">
        <v>0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v>0</v>
      </c>
      <c r="S522" s="38">
        <v>0</v>
      </c>
      <c r="T522" s="38">
        <v>0</v>
      </c>
      <c r="U522" s="29" cm="1">
        <f t="array" aca="1" ref="U522" ca="1">+fair_value_gap(OFFSET(T521,0,0,-1*$J$5,-1*$AA$1),OFFSET(E521,0,0,-1*$J$5,1),F522:T522,0)</f>
        <v>17.148670405732481</v>
      </c>
      <c r="V522" s="9" cm="1">
        <f t="array" aca="1" ref="V522" ca="1">z_score_diff(OFFSET(U522,0,0,$J$5*-1,1),OFFSET(E522,0,0,$J$5*-1,1))</f>
        <v>-0.18201114213223069</v>
      </c>
      <c r="W522" s="9">
        <f t="shared" ca="1" si="81"/>
        <v>-0.15926137642317464</v>
      </c>
      <c r="X522" s="17">
        <f t="shared" ca="1" si="80"/>
        <v>1.9312853455724296E-2</v>
      </c>
      <c r="Y522" s="13">
        <f t="shared" si="86"/>
        <v>0</v>
      </c>
      <c r="Z522" s="13">
        <f t="shared" si="86"/>
        <v>0</v>
      </c>
      <c r="AA522">
        <f t="shared" ca="1" si="82"/>
        <v>1</v>
      </c>
      <c r="AB522">
        <f t="shared" ca="1" si="83"/>
        <v>0</v>
      </c>
      <c r="AC522" s="24">
        <f t="shared" ca="1" si="84"/>
        <v>1.9312853455724296E-2</v>
      </c>
      <c r="AD522" s="24">
        <f t="shared" ca="1" si="85"/>
        <v>0</v>
      </c>
    </row>
    <row r="523" spans="3:30" x14ac:dyDescent="0.25">
      <c r="C523" s="6">
        <v>516</v>
      </c>
      <c r="D523" s="35">
        <v>42739</v>
      </c>
      <c r="E523" s="37">
        <v>17.384</v>
      </c>
      <c r="F523" s="37">
        <v>55.291482786970441</v>
      </c>
      <c r="G523" s="37">
        <v>34.049999999999997</v>
      </c>
      <c r="H523" s="37">
        <v>3.0901238884531423</v>
      </c>
      <c r="I523" s="37">
        <v>71.913892327609815</v>
      </c>
      <c r="J523" s="10">
        <v>1</v>
      </c>
      <c r="K523" s="38">
        <v>0</v>
      </c>
      <c r="L523" s="38">
        <v>0</v>
      </c>
      <c r="M523" s="38">
        <v>0</v>
      </c>
      <c r="N523" s="38">
        <v>0</v>
      </c>
      <c r="O523" s="38">
        <v>0</v>
      </c>
      <c r="P523" s="38">
        <v>0</v>
      </c>
      <c r="Q523" s="38">
        <v>0</v>
      </c>
      <c r="R523" s="38">
        <v>0</v>
      </c>
      <c r="S523" s="38">
        <v>0</v>
      </c>
      <c r="T523" s="38">
        <v>0</v>
      </c>
      <c r="U523" s="29" cm="1">
        <f t="array" aca="1" ref="U523" ca="1">+fair_value_gap(OFFSET(T522,0,0,-1*$J$5,-1*$AA$1),OFFSET(E522,0,0,-1*$J$5,1),F523:T523,0)</f>
        <v>16.938375795836134</v>
      </c>
      <c r="V523" s="9" cm="1">
        <f t="array" aca="1" ref="V523" ca="1">z_score_diff(OFFSET(U523,0,0,$J$5*-1,1),OFFSET(E523,0,0,$J$5*-1,1))</f>
        <v>-0.4081779330067371</v>
      </c>
      <c r="W523" s="9">
        <f t="shared" ca="1" si="81"/>
        <v>-0.17309007401115034</v>
      </c>
      <c r="X523" s="17">
        <f t="shared" ca="1" si="80"/>
        <v>1.6827251569757312E-2</v>
      </c>
      <c r="Y523" s="13">
        <f t="shared" si="86"/>
        <v>0</v>
      </c>
      <c r="Z523" s="13">
        <f t="shared" si="86"/>
        <v>0</v>
      </c>
      <c r="AA523">
        <f t="shared" ca="1" si="82"/>
        <v>1</v>
      </c>
      <c r="AB523">
        <f t="shared" ca="1" si="83"/>
        <v>0</v>
      </c>
      <c r="AC523" s="24">
        <f t="shared" ca="1" si="84"/>
        <v>1.6827251569757312E-2</v>
      </c>
      <c r="AD523" s="24">
        <f t="shared" ca="1" si="85"/>
        <v>0</v>
      </c>
    </row>
    <row r="524" spans="3:30" x14ac:dyDescent="0.25">
      <c r="C524" s="6">
        <v>517</v>
      </c>
      <c r="D524" s="35">
        <v>42740</v>
      </c>
      <c r="E524" s="37">
        <v>17.295000000000002</v>
      </c>
      <c r="F524" s="37">
        <v>54.989186363878623</v>
      </c>
      <c r="G524" s="37">
        <v>34.35</v>
      </c>
      <c r="H524" s="37">
        <v>3.068772481657025</v>
      </c>
      <c r="I524" s="37">
        <v>73.119441823759715</v>
      </c>
      <c r="J524" s="10">
        <v>1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38">
        <v>0</v>
      </c>
      <c r="Q524" s="38">
        <v>0</v>
      </c>
      <c r="R524" s="38">
        <v>0</v>
      </c>
      <c r="S524" s="38">
        <v>0</v>
      </c>
      <c r="T524" s="38">
        <v>0</v>
      </c>
      <c r="U524" s="29" cm="1">
        <f t="array" aca="1" ref="U524" ca="1">+fair_value_gap(OFFSET(T523,0,0,-1*$J$5,-1*$AA$1),OFFSET(E523,0,0,-1*$J$5,1),F524:T524,0)</f>
        <v>17.131462435217102</v>
      </c>
      <c r="V524" s="9" cm="1">
        <f t="array" aca="1" ref="V524" ca="1">z_score_diff(OFFSET(U524,0,0,$J$5*-1,1),OFFSET(E524,0,0,$J$5*-1,1))</f>
        <v>-0.24890190708557614</v>
      </c>
      <c r="W524" s="9">
        <f t="shared" ca="1" si="81"/>
        <v>-0.17708017048875169</v>
      </c>
      <c r="X524" s="17">
        <f t="shared" ca="1" si="80"/>
        <v>2.450221094811094E-2</v>
      </c>
      <c r="Y524" s="13">
        <f t="shared" si="86"/>
        <v>0</v>
      </c>
      <c r="Z524" s="13">
        <f t="shared" si="86"/>
        <v>0</v>
      </c>
      <c r="AA524">
        <f t="shared" ca="1" si="82"/>
        <v>1</v>
      </c>
      <c r="AB524">
        <f t="shared" ca="1" si="83"/>
        <v>0</v>
      </c>
      <c r="AC524" s="24">
        <f t="shared" ca="1" si="84"/>
        <v>2.450221094811094E-2</v>
      </c>
      <c r="AD524" s="24">
        <f t="shared" ca="1" si="85"/>
        <v>0</v>
      </c>
    </row>
    <row r="525" spans="3:30" x14ac:dyDescent="0.25">
      <c r="C525" s="6">
        <v>518</v>
      </c>
      <c r="D525" s="35">
        <v>42741</v>
      </c>
      <c r="E525" s="37">
        <v>17.05</v>
      </c>
      <c r="F525" s="37">
        <v>55.503483789369078</v>
      </c>
      <c r="G525" s="37">
        <v>33.86</v>
      </c>
      <c r="H525" s="37">
        <v>3.1308933632965572</v>
      </c>
      <c r="I525" s="37">
        <v>71.049729164078769</v>
      </c>
      <c r="J525" s="10">
        <v>1</v>
      </c>
      <c r="K525" s="38">
        <v>0</v>
      </c>
      <c r="L525" s="38">
        <v>0</v>
      </c>
      <c r="M525" s="38">
        <v>0</v>
      </c>
      <c r="N525" s="38">
        <v>0</v>
      </c>
      <c r="O525" s="38">
        <v>0</v>
      </c>
      <c r="P525" s="38">
        <v>0</v>
      </c>
      <c r="Q525" s="38">
        <v>0</v>
      </c>
      <c r="R525" s="38">
        <v>0</v>
      </c>
      <c r="S525" s="38">
        <v>0</v>
      </c>
      <c r="T525" s="38">
        <v>0</v>
      </c>
      <c r="U525" s="29" cm="1">
        <f t="array" aca="1" ref="U525" ca="1">+fair_value_gap(OFFSET(T524,0,0,-1*$J$5,-1*$AA$1),OFFSET(E524,0,0,-1*$J$5,1),F525:T525,0)</f>
        <v>17.017040033048513</v>
      </c>
      <c r="V525" s="9" cm="1">
        <f t="array" aca="1" ref="V525" ca="1">z_score_diff(OFFSET(U525,0,0,$J$5*-1,1),OFFSET(E525,0,0,$J$5*-1,1))</f>
        <v>-0.18024629451185914</v>
      </c>
      <c r="W525" s="9">
        <f t="shared" ca="1" si="81"/>
        <v>-0.17723847668990705</v>
      </c>
      <c r="X525" s="17">
        <f t="shared" ca="1" si="80"/>
        <v>4.0685914880609242E-2</v>
      </c>
      <c r="Y525" s="13">
        <f t="shared" si="86"/>
        <v>0</v>
      </c>
      <c r="Z525" s="13">
        <f t="shared" si="86"/>
        <v>0</v>
      </c>
      <c r="AA525">
        <f t="shared" ca="1" si="82"/>
        <v>1</v>
      </c>
      <c r="AB525">
        <f t="shared" ca="1" si="83"/>
        <v>0</v>
      </c>
      <c r="AC525" s="24">
        <f t="shared" ca="1" si="84"/>
        <v>4.0685914880609242E-2</v>
      </c>
      <c r="AD525" s="24">
        <f t="shared" ca="1" si="85"/>
        <v>0</v>
      </c>
    </row>
    <row r="526" spans="3:30" x14ac:dyDescent="0.25">
      <c r="C526" s="6">
        <v>519</v>
      </c>
      <c r="D526" s="35">
        <v>42744</v>
      </c>
      <c r="E526" s="37">
        <v>17.277000000000001</v>
      </c>
      <c r="F526" s="37">
        <v>53.464050326167275</v>
      </c>
      <c r="G526" s="37">
        <v>33.869999999999997</v>
      </c>
      <c r="H526" s="37">
        <v>2.9925238482862615</v>
      </c>
      <c r="I526" s="37">
        <v>72.304477813497584</v>
      </c>
      <c r="J526" s="10">
        <v>1</v>
      </c>
      <c r="K526" s="38">
        <v>0</v>
      </c>
      <c r="L526" s="38">
        <v>0</v>
      </c>
      <c r="M526" s="38">
        <v>0</v>
      </c>
      <c r="N526" s="38">
        <v>0</v>
      </c>
      <c r="O526" s="38">
        <v>0</v>
      </c>
      <c r="P526" s="38">
        <v>0</v>
      </c>
      <c r="Q526" s="38">
        <v>0</v>
      </c>
      <c r="R526" s="38">
        <v>0</v>
      </c>
      <c r="S526" s="38">
        <v>0</v>
      </c>
      <c r="T526" s="38">
        <v>0</v>
      </c>
      <c r="U526" s="29" cm="1">
        <f t="array" aca="1" ref="U526" ca="1">+fair_value_gap(OFFSET(T525,0,0,-1*$J$5,-1*$AA$1),OFFSET(E525,0,0,-1*$J$5,1),F526:T526,0)</f>
        <v>16.895884831000064</v>
      </c>
      <c r="V526" s="9" cm="1">
        <f t="array" aca="1" ref="V526" ca="1">z_score_diff(OFFSET(U526,0,0,$J$5*-1,1),OFFSET(E526,0,0,$J$5*-1,1))</f>
        <v>-0.36930721504944386</v>
      </c>
      <c r="W526" s="9">
        <f t="shared" ca="1" si="81"/>
        <v>-0.19232737953281781</v>
      </c>
      <c r="X526" s="17">
        <f t="shared" ca="1" si="80"/>
        <v>2.1359646186660614E-2</v>
      </c>
      <c r="Y526" s="13">
        <f t="shared" si="86"/>
        <v>0</v>
      </c>
      <c r="Z526" s="13">
        <f t="shared" si="86"/>
        <v>0</v>
      </c>
      <c r="AA526">
        <f t="shared" ca="1" si="82"/>
        <v>1</v>
      </c>
      <c r="AB526">
        <f t="shared" ca="1" si="83"/>
        <v>0</v>
      </c>
      <c r="AC526" s="24">
        <f t="shared" ca="1" si="84"/>
        <v>2.1359646186660614E-2</v>
      </c>
      <c r="AD526" s="24">
        <f t="shared" ca="1" si="85"/>
        <v>0</v>
      </c>
    </row>
    <row r="527" spans="3:30" x14ac:dyDescent="0.25">
      <c r="C527" s="6">
        <v>520</v>
      </c>
      <c r="D527" s="35">
        <v>42745</v>
      </c>
      <c r="E527" s="37">
        <v>17.512</v>
      </c>
      <c r="F527" s="37">
        <v>52.361377031948045</v>
      </c>
      <c r="G527" s="37">
        <v>34.340000000000003</v>
      </c>
      <c r="H527" s="37">
        <v>3.1281675864399148</v>
      </c>
      <c r="I527" s="37">
        <v>73.55370349513835</v>
      </c>
      <c r="J527" s="10">
        <v>1</v>
      </c>
      <c r="K527" s="38">
        <v>0</v>
      </c>
      <c r="L527" s="38">
        <v>0</v>
      </c>
      <c r="M527" s="38">
        <v>0</v>
      </c>
      <c r="N527" s="38">
        <v>0</v>
      </c>
      <c r="O527" s="38">
        <v>0</v>
      </c>
      <c r="P527" s="38">
        <v>0</v>
      </c>
      <c r="Q527" s="38">
        <v>0</v>
      </c>
      <c r="R527" s="38">
        <v>0</v>
      </c>
      <c r="S527" s="38">
        <v>0</v>
      </c>
      <c r="T527" s="38">
        <v>0</v>
      </c>
      <c r="U527" s="29" cm="1">
        <f t="array" aca="1" ref="U527" ca="1">+fair_value_gap(OFFSET(T526,0,0,-1*$J$5,-1*$AA$1),OFFSET(E526,0,0,-1*$J$5,1),F527:T527,0)</f>
        <v>17.158142389140181</v>
      </c>
      <c r="V527" s="9" cm="1">
        <f t="array" aca="1" ref="V527" ca="1">z_score_diff(OFFSET(U527,0,0,$J$5*-1,1),OFFSET(E527,0,0,$J$5*-1,1))</f>
        <v>-0.34535803681460775</v>
      </c>
      <c r="W527" s="9">
        <f t="shared" ca="1" si="81"/>
        <v>-0.20523680057490087</v>
      </c>
      <c r="X527" s="17">
        <f t="shared" ca="1" si="80"/>
        <v>5.977984724441319E-3</v>
      </c>
      <c r="Y527" s="13">
        <f t="shared" si="86"/>
        <v>0</v>
      </c>
      <c r="Z527" s="13">
        <f t="shared" si="86"/>
        <v>0</v>
      </c>
      <c r="AA527">
        <f t="shared" ca="1" si="82"/>
        <v>1</v>
      </c>
      <c r="AB527">
        <f t="shared" ca="1" si="83"/>
        <v>0</v>
      </c>
      <c r="AC527" s="24">
        <f t="shared" ca="1" si="84"/>
        <v>5.977984724441319E-3</v>
      </c>
      <c r="AD527" s="24">
        <f t="shared" ca="1" si="85"/>
        <v>0</v>
      </c>
    </row>
    <row r="528" spans="3:30" x14ac:dyDescent="0.25">
      <c r="C528" s="6">
        <v>521</v>
      </c>
      <c r="D528" s="35">
        <v>42746</v>
      </c>
      <c r="E528" s="37">
        <v>17.829999999999998</v>
      </c>
      <c r="F528" s="37">
        <v>53.326490360211352</v>
      </c>
      <c r="G528" s="37">
        <v>35.46</v>
      </c>
      <c r="H528" s="37">
        <v>3.0868302112268458</v>
      </c>
      <c r="I528" s="37">
        <v>75.625467098473251</v>
      </c>
      <c r="J528" s="10">
        <v>1</v>
      </c>
      <c r="K528" s="38">
        <v>0</v>
      </c>
      <c r="L528" s="38">
        <v>0</v>
      </c>
      <c r="M528" s="38">
        <v>0</v>
      </c>
      <c r="N528" s="38">
        <v>0</v>
      </c>
      <c r="O528" s="38">
        <v>0</v>
      </c>
      <c r="P528" s="38">
        <v>0</v>
      </c>
      <c r="Q528" s="38">
        <v>0</v>
      </c>
      <c r="R528" s="38">
        <v>0</v>
      </c>
      <c r="S528" s="38">
        <v>0</v>
      </c>
      <c r="T528" s="38">
        <v>0</v>
      </c>
      <c r="U528" s="29" cm="1">
        <f t="array" aca="1" ref="U528" ca="1">+fair_value_gap(OFFSET(T527,0,0,-1*$J$5,-1*$AA$1),OFFSET(E527,0,0,-1*$J$5,1),F528:T528,0)</f>
        <v>17.640723868491506</v>
      </c>
      <c r="V528" s="9" cm="1">
        <f t="array" aca="1" ref="V528" ca="1">z_score_diff(OFFSET(U528,0,0,$J$5*-1,1),OFFSET(E528,0,0,$J$5*-1,1))</f>
        <v>-0.23951339378734438</v>
      </c>
      <c r="W528" s="9">
        <f t="shared" ca="1" si="81"/>
        <v>-0.20969431862422541</v>
      </c>
      <c r="X528" s="17">
        <f t="shared" ca="1" si="80"/>
        <v>-1.3893034213783472E-2</v>
      </c>
      <c r="Y528" s="13">
        <f t="shared" si="86"/>
        <v>0</v>
      </c>
      <c r="Z528" s="13">
        <f t="shared" si="86"/>
        <v>0</v>
      </c>
      <c r="AA528">
        <f t="shared" ca="1" si="82"/>
        <v>1</v>
      </c>
      <c r="AB528">
        <f t="shared" ca="1" si="83"/>
        <v>0</v>
      </c>
      <c r="AC528" s="24">
        <f t="shared" ca="1" si="84"/>
        <v>-1.3893034213783472E-2</v>
      </c>
      <c r="AD528" s="24">
        <f t="shared" ca="1" si="85"/>
        <v>0</v>
      </c>
    </row>
    <row r="529" spans="3:30" x14ac:dyDescent="0.25">
      <c r="C529" s="6">
        <v>522</v>
      </c>
      <c r="D529" s="35">
        <v>42747</v>
      </c>
      <c r="E529" s="37">
        <v>17.661000000000001</v>
      </c>
      <c r="F529" s="37">
        <v>53.978852606474113</v>
      </c>
      <c r="G529" s="37">
        <v>35.65</v>
      </c>
      <c r="H529" s="37">
        <v>3.1986085866031675</v>
      </c>
      <c r="I529" s="37">
        <v>76.139574290203754</v>
      </c>
      <c r="J529" s="10">
        <v>1</v>
      </c>
      <c r="K529" s="38">
        <v>0</v>
      </c>
      <c r="L529" s="38">
        <v>0</v>
      </c>
      <c r="M529" s="38">
        <v>0</v>
      </c>
      <c r="N529" s="38">
        <v>0</v>
      </c>
      <c r="O529" s="38">
        <v>0</v>
      </c>
      <c r="P529" s="38">
        <v>0</v>
      </c>
      <c r="Q529" s="38">
        <v>0</v>
      </c>
      <c r="R529" s="38">
        <v>0</v>
      </c>
      <c r="S529" s="38">
        <v>0</v>
      </c>
      <c r="T529" s="38">
        <v>0</v>
      </c>
      <c r="U529" s="29" cm="1">
        <f t="array" aca="1" ref="U529" ca="1">+fair_value_gap(OFFSET(T528,0,0,-1*$J$5,-1*$AA$1),OFFSET(E528,0,0,-1*$J$5,1),F529:T529,0)</f>
        <v>17.813693284955779</v>
      </c>
      <c r="V529" s="9" cm="1">
        <f t="array" aca="1" ref="V529" ca="1">z_score_diff(OFFSET(U529,0,0,$J$5*-1,1),OFFSET(E529,0,0,$J$5*-1,1))</f>
        <v>-4.9142904389080311E-2</v>
      </c>
      <c r="W529" s="9">
        <f t="shared" ca="1" si="81"/>
        <v>-0.20122545164843242</v>
      </c>
      <c r="X529" s="17">
        <f t="shared" ca="1" si="80"/>
        <v>-1.0197145683053734E-3</v>
      </c>
      <c r="Y529" s="13">
        <f t="shared" si="86"/>
        <v>0</v>
      </c>
      <c r="Z529" s="13">
        <f t="shared" si="86"/>
        <v>0</v>
      </c>
      <c r="AA529">
        <f t="shared" ca="1" si="82"/>
        <v>1</v>
      </c>
      <c r="AB529">
        <f t="shared" ca="1" si="83"/>
        <v>0</v>
      </c>
      <c r="AC529" s="24">
        <f t="shared" ca="1" si="84"/>
        <v>-1.0197145683053734E-3</v>
      </c>
      <c r="AD529" s="24">
        <f t="shared" ca="1" si="85"/>
        <v>0</v>
      </c>
    </row>
    <row r="530" spans="3:30" x14ac:dyDescent="0.25">
      <c r="C530" s="6">
        <v>523</v>
      </c>
      <c r="D530" s="35">
        <v>42748</v>
      </c>
      <c r="E530" s="37">
        <v>17.513999999999999</v>
      </c>
      <c r="F530" s="37">
        <v>53.317507949181142</v>
      </c>
      <c r="G530" s="37">
        <v>35.33</v>
      </c>
      <c r="H530" s="37">
        <v>3.2262542377776393</v>
      </c>
      <c r="I530" s="37">
        <v>75.555650789421463</v>
      </c>
      <c r="J530" s="10">
        <v>1</v>
      </c>
      <c r="K530" s="38">
        <v>0</v>
      </c>
      <c r="L530" s="38">
        <v>0</v>
      </c>
      <c r="M530" s="38">
        <v>0</v>
      </c>
      <c r="N530" s="38">
        <v>0</v>
      </c>
      <c r="O530" s="38">
        <v>0</v>
      </c>
      <c r="P530" s="38">
        <v>0</v>
      </c>
      <c r="Q530" s="38">
        <v>0</v>
      </c>
      <c r="R530" s="38">
        <v>0</v>
      </c>
      <c r="S530" s="38">
        <v>0</v>
      </c>
      <c r="T530" s="38">
        <v>0</v>
      </c>
      <c r="U530" s="29" cm="1">
        <f t="array" aca="1" ref="U530" ca="1">+fair_value_gap(OFFSET(T529,0,0,-1*$J$5,-1*$AA$1),OFFSET(E529,0,0,-1*$J$5,1),F530:T530,0)</f>
        <v>17.688519178720099</v>
      </c>
      <c r="V530" s="9" cm="1">
        <f t="array" aca="1" ref="V530" ca="1">z_score_diff(OFFSET(U530,0,0,$J$5*-1,1),OFFSET(E530,0,0,$J$5*-1,1))</f>
        <v>-4.0273055067439056E-2</v>
      </c>
      <c r="W530" s="9">
        <f t="shared" ca="1" si="81"/>
        <v>-0.19971069593869087</v>
      </c>
      <c r="X530" s="17">
        <f t="shared" ca="1" si="80"/>
        <v>9.6031649728075333E-3</v>
      </c>
      <c r="Y530" s="13">
        <f t="shared" si="86"/>
        <v>0</v>
      </c>
      <c r="Z530" s="13">
        <f t="shared" si="86"/>
        <v>0</v>
      </c>
      <c r="AA530">
        <f t="shared" ca="1" si="82"/>
        <v>1</v>
      </c>
      <c r="AB530">
        <f t="shared" ca="1" si="83"/>
        <v>0</v>
      </c>
      <c r="AC530" s="24">
        <f t="shared" ca="1" si="84"/>
        <v>9.6031649728075333E-3</v>
      </c>
      <c r="AD530" s="24">
        <f t="shared" ca="1" si="85"/>
        <v>0</v>
      </c>
    </row>
    <row r="531" spans="3:30" x14ac:dyDescent="0.25">
      <c r="C531" s="6">
        <v>524</v>
      </c>
      <c r="D531" s="35">
        <v>42751</v>
      </c>
      <c r="E531" s="37">
        <v>17.181999999999999</v>
      </c>
      <c r="F531" s="37">
        <v>53.81027601484292</v>
      </c>
      <c r="G531" s="37">
        <v>34.53</v>
      </c>
      <c r="H531" s="37">
        <v>3.2368418592913155</v>
      </c>
      <c r="I531" s="37">
        <v>75.24278650677185</v>
      </c>
      <c r="J531" s="10">
        <v>1</v>
      </c>
      <c r="K531" s="38">
        <v>0</v>
      </c>
      <c r="L531" s="38">
        <v>0</v>
      </c>
      <c r="M531" s="38">
        <v>0</v>
      </c>
      <c r="N531" s="38">
        <v>0</v>
      </c>
      <c r="O531" s="38">
        <v>0</v>
      </c>
      <c r="P531" s="38">
        <v>0</v>
      </c>
      <c r="Q531" s="38">
        <v>0</v>
      </c>
      <c r="R531" s="38">
        <v>0</v>
      </c>
      <c r="S531" s="38">
        <v>0</v>
      </c>
      <c r="T531" s="38">
        <v>0</v>
      </c>
      <c r="U531" s="29" cm="1">
        <f t="array" aca="1" ref="U531" ca="1">+fair_value_gap(OFFSET(T530,0,0,-1*$J$5,-1*$AA$1),OFFSET(E530,0,0,-1*$J$5,1),F531:T531,0)</f>
        <v>17.433837036084594</v>
      </c>
      <c r="V531" s="9" cm="1">
        <f t="array" aca="1" ref="V531" ca="1">z_score_diff(OFFSET(U531,0,0,$J$5*-1,1),OFFSET(E531,0,0,$J$5*-1,1))</f>
        <v>-5.9738916786065133E-3</v>
      </c>
      <c r="W531" s="9">
        <f t="shared" ca="1" si="81"/>
        <v>-0.19555487183283943</v>
      </c>
      <c r="X531" s="17">
        <f t="shared" ca="1" si="80"/>
        <v>1.7481046299474452E-2</v>
      </c>
      <c r="Y531" s="13">
        <f t="shared" si="86"/>
        <v>0</v>
      </c>
      <c r="Z531" s="13">
        <f t="shared" si="86"/>
        <v>0</v>
      </c>
      <c r="AA531">
        <f t="shared" ca="1" si="82"/>
        <v>1</v>
      </c>
      <c r="AB531">
        <f t="shared" ca="1" si="83"/>
        <v>0</v>
      </c>
      <c r="AC531" s="24">
        <f t="shared" ca="1" si="84"/>
        <v>1.7481046299474452E-2</v>
      </c>
      <c r="AD531" s="24">
        <f t="shared" ca="1" si="85"/>
        <v>0</v>
      </c>
    </row>
    <row r="532" spans="3:30" x14ac:dyDescent="0.25">
      <c r="C532" s="6">
        <v>525</v>
      </c>
      <c r="D532" s="35">
        <v>42752</v>
      </c>
      <c r="E532" s="37">
        <v>17.498000000000001</v>
      </c>
      <c r="F532" s="37">
        <v>53.099573037597317</v>
      </c>
      <c r="G532" s="37">
        <v>35.11</v>
      </c>
      <c r="H532" s="37">
        <v>3.2329930036661567</v>
      </c>
      <c r="I532" s="37">
        <v>78.996837349815763</v>
      </c>
      <c r="J532" s="10">
        <v>1</v>
      </c>
      <c r="K532" s="38">
        <v>0</v>
      </c>
      <c r="L532" s="38">
        <v>0</v>
      </c>
      <c r="M532" s="38">
        <v>0</v>
      </c>
      <c r="N532" s="38">
        <v>0</v>
      </c>
      <c r="O532" s="38">
        <v>0</v>
      </c>
      <c r="P532" s="38">
        <v>0</v>
      </c>
      <c r="Q532" s="38">
        <v>0</v>
      </c>
      <c r="R532" s="38">
        <v>0</v>
      </c>
      <c r="S532" s="38">
        <v>0</v>
      </c>
      <c r="T532" s="38">
        <v>0</v>
      </c>
      <c r="U532" s="29" cm="1">
        <f t="array" aca="1" ref="U532" ca="1">+fair_value_gap(OFFSET(T531,0,0,-1*$J$5,-1*$AA$1),OFFSET(E531,0,0,-1*$J$5,1),F532:T532,0)</f>
        <v>17.649745221341476</v>
      </c>
      <c r="V532" s="9" cm="1">
        <f t="array" aca="1" ref="V532" ca="1">z_score_diff(OFFSET(U532,0,0,$J$5*-1,1),OFFSET(E532,0,0,$J$5*-1,1))</f>
        <v>-5.2705473467223429E-2</v>
      </c>
      <c r="W532" s="9">
        <f t="shared" ca="1" si="81"/>
        <v>-0.19471921641604606</v>
      </c>
      <c r="X532" s="17">
        <f t="shared" ca="1" si="80"/>
        <v>-1.0571165890490845E-2</v>
      </c>
      <c r="Y532" s="13">
        <f t="shared" si="86"/>
        <v>0</v>
      </c>
      <c r="Z532" s="13">
        <f t="shared" si="86"/>
        <v>0</v>
      </c>
      <c r="AA532">
        <f t="shared" ca="1" si="82"/>
        <v>1</v>
      </c>
      <c r="AB532">
        <f t="shared" ca="1" si="83"/>
        <v>0</v>
      </c>
      <c r="AC532" s="24">
        <f t="shared" ca="1" si="84"/>
        <v>-1.0571165890490845E-2</v>
      </c>
      <c r="AD532" s="24">
        <f t="shared" ca="1" si="85"/>
        <v>0</v>
      </c>
    </row>
    <row r="533" spans="3:30" x14ac:dyDescent="0.25">
      <c r="C533" s="6">
        <v>526</v>
      </c>
      <c r="D533" s="35">
        <v>42753</v>
      </c>
      <c r="E533" s="37">
        <v>17.619</v>
      </c>
      <c r="F533" s="37">
        <v>52.109245874024751</v>
      </c>
      <c r="G533" s="37">
        <v>35.770000000000003</v>
      </c>
      <c r="H533" s="37">
        <v>3.1677353114908664</v>
      </c>
      <c r="I533" s="37">
        <v>78.401448959398948</v>
      </c>
      <c r="J533" s="10">
        <v>1</v>
      </c>
      <c r="K533" s="38">
        <v>0</v>
      </c>
      <c r="L533" s="38">
        <v>0</v>
      </c>
      <c r="M533" s="38">
        <v>0</v>
      </c>
      <c r="N533" s="38">
        <v>0</v>
      </c>
      <c r="O533" s="38">
        <v>0</v>
      </c>
      <c r="P533" s="38">
        <v>0</v>
      </c>
      <c r="Q533" s="38">
        <v>0</v>
      </c>
      <c r="R533" s="38">
        <v>0</v>
      </c>
      <c r="S533" s="38">
        <v>0</v>
      </c>
      <c r="T533" s="38">
        <v>0</v>
      </c>
      <c r="U533" s="29" cm="1">
        <f t="array" aca="1" ref="U533" ca="1">+fair_value_gap(OFFSET(T532,0,0,-1*$J$5,-1*$AA$1),OFFSET(E532,0,0,-1*$J$5,1),F533:T533,0)</f>
        <v>17.788932704102827</v>
      </c>
      <c r="V533" s="9" cm="1">
        <f t="array" aca="1" ref="V533" ca="1">z_score_diff(OFFSET(U533,0,0,$J$5*-1,1),OFFSET(E533,0,0,$J$5*-1,1))</f>
        <v>-3.7795622776852555E-2</v>
      </c>
      <c r="W533" s="9">
        <f t="shared" ca="1" si="81"/>
        <v>-0.18929511264813859</v>
      </c>
      <c r="X533" s="17">
        <f t="shared" ca="1" si="80"/>
        <v>-1.6077240762043404E-2</v>
      </c>
      <c r="Y533" s="13">
        <f t="shared" si="86"/>
        <v>0</v>
      </c>
      <c r="Z533" s="13">
        <f t="shared" si="86"/>
        <v>0</v>
      </c>
      <c r="AA533">
        <f t="shared" ca="1" si="82"/>
        <v>1</v>
      </c>
      <c r="AB533">
        <f t="shared" ca="1" si="83"/>
        <v>0</v>
      </c>
      <c r="AC533" s="24">
        <f t="shared" ca="1" si="84"/>
        <v>-1.6077240762043404E-2</v>
      </c>
      <c r="AD533" s="24">
        <f t="shared" ca="1" si="85"/>
        <v>0</v>
      </c>
    </row>
    <row r="534" spans="3:30" x14ac:dyDescent="0.25">
      <c r="C534" s="6">
        <v>527</v>
      </c>
      <c r="D534" s="35">
        <v>42754</v>
      </c>
      <c r="E534" s="37">
        <v>17.620999999999999</v>
      </c>
      <c r="F534" s="37">
        <v>52.223616339049215</v>
      </c>
      <c r="G534" s="37">
        <v>36.119999999999997</v>
      </c>
      <c r="H534" s="37">
        <v>3.2157628142571681</v>
      </c>
      <c r="I534" s="37">
        <v>76.211719875458897</v>
      </c>
      <c r="J534" s="10">
        <v>1</v>
      </c>
      <c r="K534" s="38">
        <v>0</v>
      </c>
      <c r="L534" s="38">
        <v>0</v>
      </c>
      <c r="M534" s="38">
        <v>0</v>
      </c>
      <c r="N534" s="38">
        <v>0</v>
      </c>
      <c r="O534" s="38">
        <v>0</v>
      </c>
      <c r="P534" s="38">
        <v>0</v>
      </c>
      <c r="Q534" s="38">
        <v>0</v>
      </c>
      <c r="R534" s="38">
        <v>0</v>
      </c>
      <c r="S534" s="38">
        <v>0</v>
      </c>
      <c r="T534" s="38">
        <v>0</v>
      </c>
      <c r="U534" s="29" cm="1">
        <f t="array" aca="1" ref="U534" ca="1">+fair_value_gap(OFFSET(T533,0,0,-1*$J$5,-1*$AA$1),OFFSET(E533,0,0,-1*$J$5,1),F534:T534,0)</f>
        <v>17.886970270984431</v>
      </c>
      <c r="V534" s="9" cm="1">
        <f t="array" aca="1" ref="V534" ca="1">z_score_diff(OFFSET(U534,0,0,$J$5*-1,1),OFFSET(E534,0,0,$J$5*-1,1))</f>
        <v>1.8581293418530764E-2</v>
      </c>
      <c r="W534" s="9">
        <f t="shared" ca="1" si="81"/>
        <v>-0.17767432614559056</v>
      </c>
      <c r="X534" s="17">
        <f t="shared" ca="1" si="80"/>
        <v>-1.526834521529555E-2</v>
      </c>
      <c r="Y534" s="13">
        <f t="shared" si="86"/>
        <v>0</v>
      </c>
      <c r="Z534" s="13">
        <f t="shared" si="86"/>
        <v>0</v>
      </c>
      <c r="AA534">
        <f t="shared" ca="1" si="82"/>
        <v>1</v>
      </c>
      <c r="AB534">
        <f t="shared" ca="1" si="83"/>
        <v>0</v>
      </c>
      <c r="AC534" s="24">
        <f t="shared" ca="1" si="84"/>
        <v>-1.526834521529555E-2</v>
      </c>
      <c r="AD534" s="24">
        <f t="shared" ca="1" si="85"/>
        <v>0</v>
      </c>
    </row>
    <row r="535" spans="3:30" x14ac:dyDescent="0.25">
      <c r="C535" s="6">
        <v>528</v>
      </c>
      <c r="D535" s="35">
        <v>42755</v>
      </c>
      <c r="E535" s="37">
        <v>17.888000000000002</v>
      </c>
      <c r="F535" s="37">
        <v>53.233834995500516</v>
      </c>
      <c r="G535" s="37">
        <v>36.56</v>
      </c>
      <c r="H535" s="37">
        <v>3.0750324602205907</v>
      </c>
      <c r="I535" s="37">
        <v>76.134393190814208</v>
      </c>
      <c r="J535" s="10">
        <v>1</v>
      </c>
      <c r="K535" s="38">
        <v>0</v>
      </c>
      <c r="L535" s="38">
        <v>0</v>
      </c>
      <c r="M535" s="38">
        <v>0</v>
      </c>
      <c r="N535" s="38">
        <v>0</v>
      </c>
      <c r="O535" s="38">
        <v>0</v>
      </c>
      <c r="P535" s="38">
        <v>0</v>
      </c>
      <c r="Q535" s="38">
        <v>0</v>
      </c>
      <c r="R535" s="38">
        <v>0</v>
      </c>
      <c r="S535" s="38">
        <v>0</v>
      </c>
      <c r="T535" s="38">
        <v>0</v>
      </c>
      <c r="U535" s="29" cm="1">
        <f t="array" aca="1" ref="U535" ca="1">+fair_value_gap(OFFSET(T534,0,0,-1*$J$5,-1*$AA$1),OFFSET(E534,0,0,-1*$J$5,1),F535:T535,0)</f>
        <v>17.975851136388542</v>
      </c>
      <c r="V535" s="9" cm="1">
        <f t="array" aca="1" ref="V535" ca="1">z_score_diff(OFFSET(U535,0,0,$J$5*-1,1),OFFSET(E535,0,0,$J$5*-1,1))</f>
        <v>-7.3985772679664885E-2</v>
      </c>
      <c r="W535" s="9">
        <f t="shared" ca="1" si="81"/>
        <v>-0.17072867792059129</v>
      </c>
      <c r="X535" s="17">
        <f t="shared" ca="1" si="80"/>
        <v>-3.742000981172619E-2</v>
      </c>
      <c r="Y535" s="13">
        <f t="shared" si="86"/>
        <v>0</v>
      </c>
      <c r="Z535" s="13">
        <f t="shared" si="86"/>
        <v>0</v>
      </c>
      <c r="AA535">
        <f t="shared" ca="1" si="82"/>
        <v>1</v>
      </c>
      <c r="AB535">
        <f t="shared" ca="1" si="83"/>
        <v>0</v>
      </c>
      <c r="AC535" s="24">
        <f t="shared" ca="1" si="84"/>
        <v>-3.742000981172619E-2</v>
      </c>
      <c r="AD535" s="24">
        <f t="shared" ca="1" si="85"/>
        <v>0</v>
      </c>
    </row>
    <row r="536" spans="3:30" x14ac:dyDescent="0.25">
      <c r="C536" s="6">
        <v>529</v>
      </c>
      <c r="D536" s="35">
        <v>42758</v>
      </c>
      <c r="E536" s="37">
        <v>18.042000000000002</v>
      </c>
      <c r="F536" s="37">
        <v>52.591772735657628</v>
      </c>
      <c r="G536" s="37">
        <v>37.6</v>
      </c>
      <c r="H536" s="37">
        <v>3.1184283342556722</v>
      </c>
      <c r="I536" s="37">
        <v>76.646375207526276</v>
      </c>
      <c r="J536" s="10">
        <v>1</v>
      </c>
      <c r="K536" s="38">
        <v>0</v>
      </c>
      <c r="L536" s="38">
        <v>0</v>
      </c>
      <c r="M536" s="38">
        <v>0</v>
      </c>
      <c r="N536" s="38">
        <v>0</v>
      </c>
      <c r="O536" s="38">
        <v>0</v>
      </c>
      <c r="P536" s="38">
        <v>0</v>
      </c>
      <c r="Q536" s="38">
        <v>0</v>
      </c>
      <c r="R536" s="38">
        <v>0</v>
      </c>
      <c r="S536" s="38">
        <v>0</v>
      </c>
      <c r="T536" s="38">
        <v>0</v>
      </c>
      <c r="U536" s="29" cm="1">
        <f t="array" aca="1" ref="U536" ca="1">+fair_value_gap(OFFSET(T535,0,0,-1*$J$5,-1*$AA$1),OFFSET(E535,0,0,-1*$J$5,1),F536:T536,0)</f>
        <v>18.327255674868148</v>
      </c>
      <c r="V536" s="9" cm="1">
        <f t="array" aca="1" ref="V536" ca="1">z_score_diff(OFFSET(U536,0,0,$J$5*-1,1),OFFSET(E536,0,0,$J$5*-1,1))</f>
        <v>4.047624343810674E-2</v>
      </c>
      <c r="W536" s="9">
        <f t="shared" ca="1" si="81"/>
        <v>-0.16356741133218011</v>
      </c>
      <c r="X536" s="17">
        <f t="shared" ca="1" si="80"/>
        <v>-2.9816013013885218E-2</v>
      </c>
      <c r="Y536" s="13">
        <f t="shared" si="86"/>
        <v>0</v>
      </c>
      <c r="Z536" s="13">
        <f t="shared" si="86"/>
        <v>0</v>
      </c>
      <c r="AA536">
        <f t="shared" ca="1" si="82"/>
        <v>1</v>
      </c>
      <c r="AB536">
        <f t="shared" ca="1" si="83"/>
        <v>0</v>
      </c>
      <c r="AC536" s="24">
        <f t="shared" ca="1" si="84"/>
        <v>-2.9816013013885218E-2</v>
      </c>
      <c r="AD536" s="24">
        <f t="shared" ca="1" si="85"/>
        <v>0</v>
      </c>
    </row>
    <row r="537" spans="3:30" x14ac:dyDescent="0.25">
      <c r="C537" s="6">
        <v>530</v>
      </c>
      <c r="D537" s="35">
        <v>42759</v>
      </c>
      <c r="E537" s="37">
        <v>17.768999999999998</v>
      </c>
      <c r="F537" s="37">
        <v>52.82719201451571</v>
      </c>
      <c r="G537" s="37">
        <v>36.96</v>
      </c>
      <c r="H537" s="37">
        <v>3.158920186709635</v>
      </c>
      <c r="I537" s="37">
        <v>76.779951337300844</v>
      </c>
      <c r="J537" s="10">
        <v>1</v>
      </c>
      <c r="K537" s="38">
        <v>0</v>
      </c>
      <c r="L537" s="38">
        <v>0</v>
      </c>
      <c r="M537" s="38">
        <v>0</v>
      </c>
      <c r="N537" s="38">
        <v>0</v>
      </c>
      <c r="O537" s="38">
        <v>0</v>
      </c>
      <c r="P537" s="38">
        <v>0</v>
      </c>
      <c r="Q537" s="38">
        <v>0</v>
      </c>
      <c r="R537" s="38">
        <v>0</v>
      </c>
      <c r="S537" s="38">
        <v>0</v>
      </c>
      <c r="T537" s="38">
        <v>0</v>
      </c>
      <c r="U537" s="29" cm="1">
        <f t="array" aca="1" ref="U537" ca="1">+fair_value_gap(OFFSET(T536,0,0,-1*$J$5,-1*$AA$1),OFFSET(E536,0,0,-1*$J$5,1),F537:T537,0)</f>
        <v>18.115292973691538</v>
      </c>
      <c r="V537" s="9" cm="1">
        <f t="array" aca="1" ref="V537" ca="1">z_score_diff(OFFSET(U537,0,0,$J$5*-1,1),OFFSET(E537,0,0,$J$5*-1,1))</f>
        <v>6.526336201461147E-2</v>
      </c>
      <c r="W537" s="9">
        <f t="shared" ca="1" si="81"/>
        <v>-0.16942621392691534</v>
      </c>
      <c r="X537" s="17">
        <f t="shared" ca="1" si="80"/>
        <v>-1.9492022153842683E-2</v>
      </c>
      <c r="Y537" s="13">
        <f t="shared" ref="Y537:Z552" si="87">+Y536</f>
        <v>0</v>
      </c>
      <c r="Z537" s="13">
        <f t="shared" si="87"/>
        <v>0</v>
      </c>
      <c r="AA537">
        <f t="shared" ca="1" si="82"/>
        <v>1</v>
      </c>
      <c r="AB537">
        <f t="shared" ca="1" si="83"/>
        <v>0</v>
      </c>
      <c r="AC537" s="24">
        <f t="shared" ca="1" si="84"/>
        <v>-1.9492022153842683E-2</v>
      </c>
      <c r="AD537" s="24">
        <f t="shared" ca="1" si="85"/>
        <v>0</v>
      </c>
    </row>
    <row r="538" spans="3:30" x14ac:dyDescent="0.25">
      <c r="C538" s="6">
        <v>531</v>
      </c>
      <c r="D538" s="35">
        <v>42760</v>
      </c>
      <c r="E538" s="37">
        <v>17.481000000000002</v>
      </c>
      <c r="F538" s="37">
        <v>52.252616088494747</v>
      </c>
      <c r="G538" s="37">
        <v>36.43</v>
      </c>
      <c r="H538" s="37">
        <v>3.1985940570140863</v>
      </c>
      <c r="I538" s="37">
        <v>75.838674312311497</v>
      </c>
      <c r="J538" s="10">
        <v>1</v>
      </c>
      <c r="K538" s="38">
        <v>0</v>
      </c>
      <c r="L538" s="38">
        <v>0</v>
      </c>
      <c r="M538" s="38">
        <v>0</v>
      </c>
      <c r="N538" s="38">
        <v>0</v>
      </c>
      <c r="O538" s="38">
        <v>0</v>
      </c>
      <c r="P538" s="38">
        <v>0</v>
      </c>
      <c r="Q538" s="38">
        <v>0</v>
      </c>
      <c r="R538" s="38">
        <v>0</v>
      </c>
      <c r="S538" s="38">
        <v>0</v>
      </c>
      <c r="T538" s="38">
        <v>0</v>
      </c>
      <c r="U538" s="29" cm="1">
        <f t="array" aca="1" ref="U538" ca="1">+fair_value_gap(OFFSET(T537,0,0,-1*$J$5,-1*$AA$1),OFFSET(E537,0,0,-1*$J$5,1),F538:T538,0)</f>
        <v>17.899433122070562</v>
      </c>
      <c r="V538" s="9" cm="1">
        <f t="array" aca="1" ref="V538" ca="1">z_score_diff(OFFSET(U538,0,0,$J$5*-1,1),OFFSET(E538,0,0,$J$5*-1,1))</f>
        <v>9.6520118219591611E-2</v>
      </c>
      <c r="W538" s="9">
        <f t="shared" ca="1" si="81"/>
        <v>-0.15707473557038054</v>
      </c>
      <c r="X538" s="17">
        <f t="shared" ca="1" si="80"/>
        <v>-5.4492921721743569E-3</v>
      </c>
      <c r="Y538" s="13">
        <f t="shared" si="87"/>
        <v>0</v>
      </c>
      <c r="Z538" s="13">
        <f t="shared" si="87"/>
        <v>0</v>
      </c>
      <c r="AA538">
        <f t="shared" ca="1" si="82"/>
        <v>1</v>
      </c>
      <c r="AB538">
        <f t="shared" ca="1" si="83"/>
        <v>0</v>
      </c>
      <c r="AC538" s="24">
        <f t="shared" ca="1" si="84"/>
        <v>-5.4492921721743569E-3</v>
      </c>
      <c r="AD538" s="24">
        <f t="shared" ca="1" si="85"/>
        <v>0</v>
      </c>
    </row>
    <row r="539" spans="3:30" x14ac:dyDescent="0.25">
      <c r="C539" s="6">
        <v>532</v>
      </c>
      <c r="D539" s="35">
        <v>42761</v>
      </c>
      <c r="E539" s="37">
        <v>17.535</v>
      </c>
      <c r="F539" s="37">
        <v>53.472706155632984</v>
      </c>
      <c r="G539" s="37">
        <v>36.479999999999997</v>
      </c>
      <c r="H539" s="37">
        <v>3.2548199767711967</v>
      </c>
      <c r="I539" s="37">
        <v>74.982578397212549</v>
      </c>
      <c r="J539" s="10">
        <v>1</v>
      </c>
      <c r="K539" s="38">
        <v>0</v>
      </c>
      <c r="L539" s="38">
        <v>0</v>
      </c>
      <c r="M539" s="38">
        <v>0</v>
      </c>
      <c r="N539" s="38">
        <v>0</v>
      </c>
      <c r="O539" s="38">
        <v>0</v>
      </c>
      <c r="P539" s="38">
        <v>0</v>
      </c>
      <c r="Q539" s="38">
        <v>0</v>
      </c>
      <c r="R539" s="38">
        <v>0</v>
      </c>
      <c r="S539" s="38">
        <v>0</v>
      </c>
      <c r="T539" s="38">
        <v>0</v>
      </c>
      <c r="U539" s="29" cm="1">
        <f t="array" aca="1" ref="U539" ca="1">+fair_value_gap(OFFSET(T538,0,0,-1*$J$5,-1*$AA$1),OFFSET(E538,0,0,-1*$J$5,1),F539:T539,0)</f>
        <v>17.951391717413994</v>
      </c>
      <c r="V539" s="9" cm="1">
        <f t="array" aca="1" ref="V539" ca="1">z_score_diff(OFFSET(U539,0,0,$J$5*-1,1),OFFSET(E539,0,0,$J$5*-1,1))</f>
        <v>9.4750035946655542E-2</v>
      </c>
      <c r="W539" s="9">
        <f t="shared" ca="1" si="81"/>
        <v>-0.14087375752148121</v>
      </c>
      <c r="X539" s="17">
        <f t="shared" ca="1" si="80"/>
        <v>1.1405109501404689E-4</v>
      </c>
      <c r="Y539" s="13">
        <f t="shared" si="87"/>
        <v>0</v>
      </c>
      <c r="Z539" s="13">
        <f t="shared" si="87"/>
        <v>0</v>
      </c>
      <c r="AA539">
        <f t="shared" ca="1" si="82"/>
        <v>1</v>
      </c>
      <c r="AB539">
        <f t="shared" ca="1" si="83"/>
        <v>0</v>
      </c>
      <c r="AC539" s="24">
        <f t="shared" ca="1" si="84"/>
        <v>1.1405109501404689E-4</v>
      </c>
      <c r="AD539" s="24">
        <f t="shared" ca="1" si="85"/>
        <v>0</v>
      </c>
    </row>
    <row r="540" spans="3:30" x14ac:dyDescent="0.25">
      <c r="C540" s="6">
        <v>533</v>
      </c>
      <c r="D540" s="35">
        <v>42762</v>
      </c>
      <c r="E540" s="37">
        <v>17.347999999999999</v>
      </c>
      <c r="F540" s="37">
        <v>52.479430731598846</v>
      </c>
      <c r="G540" s="37">
        <v>36.159999999999997</v>
      </c>
      <c r="H540" s="37">
        <v>3.2280779779111999</v>
      </c>
      <c r="I540" s="37">
        <v>73.845526647394564</v>
      </c>
      <c r="J540" s="10">
        <v>1</v>
      </c>
      <c r="K540" s="38">
        <v>0</v>
      </c>
      <c r="L540" s="38">
        <v>0</v>
      </c>
      <c r="M540" s="38">
        <v>0</v>
      </c>
      <c r="N540" s="38">
        <v>0</v>
      </c>
      <c r="O540" s="38">
        <v>0</v>
      </c>
      <c r="P540" s="38">
        <v>0</v>
      </c>
      <c r="Q540" s="38">
        <v>0</v>
      </c>
      <c r="R540" s="38">
        <v>0</v>
      </c>
      <c r="S540" s="38">
        <v>0</v>
      </c>
      <c r="T540" s="38">
        <v>0</v>
      </c>
      <c r="U540" s="29" cm="1">
        <f t="array" aca="1" ref="U540" ca="1">+fair_value_gap(OFFSET(T539,0,0,-1*$J$5,-1*$AA$1),OFFSET(E539,0,0,-1*$J$5,1),F540:T540,0)</f>
        <v>17.749549170991287</v>
      </c>
      <c r="V540" s="9" cm="1">
        <f t="array" aca="1" ref="V540" ca="1">z_score_diff(OFFSET(U540,0,0,$J$5*-1,1),OFFSET(E540,0,0,$J$5*-1,1))</f>
        <v>8.1877980422822016E-2</v>
      </c>
      <c r="W540" s="9">
        <f t="shared" ca="1" si="81"/>
        <v>-0.10521770735437148</v>
      </c>
      <c r="X540" s="17">
        <f t="shared" ca="1" si="80"/>
        <v>-3.5224520324700637E-3</v>
      </c>
      <c r="Y540" s="13">
        <f t="shared" si="87"/>
        <v>0</v>
      </c>
      <c r="Z540" s="13">
        <f t="shared" si="87"/>
        <v>0</v>
      </c>
      <c r="AA540">
        <f t="shared" ca="1" si="82"/>
        <v>1</v>
      </c>
      <c r="AB540">
        <f t="shared" ca="1" si="83"/>
        <v>0</v>
      </c>
      <c r="AC540" s="24">
        <f t="shared" ca="1" si="84"/>
        <v>-3.5224520324700637E-3</v>
      </c>
      <c r="AD540" s="24">
        <f t="shared" ca="1" si="85"/>
        <v>0</v>
      </c>
    </row>
    <row r="541" spans="3:30" x14ac:dyDescent="0.25">
      <c r="C541" s="6">
        <v>534</v>
      </c>
      <c r="D541" s="35">
        <v>42765</v>
      </c>
      <c r="E541" s="37">
        <v>17.553999999999998</v>
      </c>
      <c r="F541" s="37">
        <v>52.236157835099405</v>
      </c>
      <c r="G541" s="37">
        <v>36.36</v>
      </c>
      <c r="H541" s="37">
        <v>3.1454727891124952</v>
      </c>
      <c r="I541" s="37">
        <v>70.831044102400668</v>
      </c>
      <c r="J541" s="10">
        <v>1</v>
      </c>
      <c r="K541" s="38">
        <v>0</v>
      </c>
      <c r="L541" s="38">
        <v>0</v>
      </c>
      <c r="M541" s="38">
        <v>0</v>
      </c>
      <c r="N541" s="38">
        <v>0</v>
      </c>
      <c r="O541" s="38">
        <v>0</v>
      </c>
      <c r="P541" s="38">
        <v>0</v>
      </c>
      <c r="Q541" s="38">
        <v>0</v>
      </c>
      <c r="R541" s="38">
        <v>0</v>
      </c>
      <c r="S541" s="38">
        <v>0</v>
      </c>
      <c r="T541" s="38">
        <v>0</v>
      </c>
      <c r="U541" s="29" cm="1">
        <f t="array" aca="1" ref="U541" ca="1">+fair_value_gap(OFFSET(T540,0,0,-1*$J$5,-1*$AA$1),OFFSET(E540,0,0,-1*$J$5,1),F541:T541,0)</f>
        <v>17.681883931308203</v>
      </c>
      <c r="V541" s="9" cm="1">
        <f t="array" aca="1" ref="V541" ca="1">z_score_diff(OFFSET(U541,0,0,$J$5*-1,1),OFFSET(E541,0,0,$J$5*-1,1))</f>
        <v>-6.7387012502072796E-2</v>
      </c>
      <c r="W541" s="9">
        <f t="shared" ca="1" si="81"/>
        <v>-9.5165531074421023E-2</v>
      </c>
      <c r="X541" s="17">
        <f t="shared" ca="1" si="80"/>
        <v>-3.9744947612048796E-2</v>
      </c>
      <c r="Y541" s="13">
        <f t="shared" si="87"/>
        <v>0</v>
      </c>
      <c r="Z541" s="13">
        <f t="shared" si="87"/>
        <v>0</v>
      </c>
      <c r="AA541">
        <f t="shared" ca="1" si="82"/>
        <v>1</v>
      </c>
      <c r="AB541">
        <f t="shared" ca="1" si="83"/>
        <v>0</v>
      </c>
      <c r="AC541" s="24">
        <f t="shared" ca="1" si="84"/>
        <v>-3.9744947612048796E-2</v>
      </c>
      <c r="AD541" s="24">
        <f t="shared" ca="1" si="85"/>
        <v>0</v>
      </c>
    </row>
    <row r="542" spans="3:30" x14ac:dyDescent="0.25">
      <c r="C542" s="6">
        <v>535</v>
      </c>
      <c r="D542" s="35">
        <v>42766</v>
      </c>
      <c r="E542" s="37">
        <v>17.513999999999999</v>
      </c>
      <c r="F542" s="37">
        <v>51.931113662456937</v>
      </c>
      <c r="G542" s="37">
        <v>35.5</v>
      </c>
      <c r="H542" s="37">
        <v>3.033754305396096</v>
      </c>
      <c r="I542" s="37">
        <v>71.733639494833511</v>
      </c>
      <c r="J542" s="10">
        <v>1</v>
      </c>
      <c r="K542" s="38">
        <v>0</v>
      </c>
      <c r="L542" s="38">
        <v>0</v>
      </c>
      <c r="M542" s="38">
        <v>0</v>
      </c>
      <c r="N542" s="38">
        <v>0</v>
      </c>
      <c r="O542" s="38">
        <v>0</v>
      </c>
      <c r="P542" s="38">
        <v>0</v>
      </c>
      <c r="Q542" s="38">
        <v>0</v>
      </c>
      <c r="R542" s="38">
        <v>0</v>
      </c>
      <c r="S542" s="38">
        <v>0</v>
      </c>
      <c r="T542" s="38">
        <v>0</v>
      </c>
      <c r="U542" s="29" cm="1">
        <f t="array" aca="1" ref="U542" ca="1">+fair_value_gap(OFFSET(T541,0,0,-1*$J$5,-1*$AA$1),OFFSET(E541,0,0,-1*$J$5,1),F542:T542,0)</f>
        <v>17.34081191394549</v>
      </c>
      <c r="V542" s="9" cm="1">
        <f t="array" aca="1" ref="V542" ca="1">z_score_diff(OFFSET(U542,0,0,$J$5*-1,1),OFFSET(E542,0,0,$J$5*-1,1))</f>
        <v>-0.23756188490844243</v>
      </c>
      <c r="W542" s="9">
        <f t="shared" ca="1" si="81"/>
        <v>-9.7943068213231635E-2</v>
      </c>
      <c r="X542" s="17">
        <f t="shared" ca="1" si="80"/>
        <v>-5.1491651629592509E-2</v>
      </c>
      <c r="Y542" s="13">
        <f t="shared" si="87"/>
        <v>0</v>
      </c>
      <c r="Z542" s="13">
        <f t="shared" si="87"/>
        <v>0</v>
      </c>
      <c r="AA542">
        <f t="shared" ca="1" si="82"/>
        <v>1</v>
      </c>
      <c r="AB542">
        <f t="shared" ca="1" si="83"/>
        <v>0</v>
      </c>
      <c r="AC542" s="24">
        <f t="shared" ca="1" si="84"/>
        <v>-5.1491651629592509E-2</v>
      </c>
      <c r="AD542" s="24">
        <f t="shared" ca="1" si="85"/>
        <v>0</v>
      </c>
    </row>
    <row r="543" spans="3:30" x14ac:dyDescent="0.25">
      <c r="C543" s="6">
        <v>536</v>
      </c>
      <c r="D543" s="35">
        <v>42767</v>
      </c>
      <c r="E543" s="37">
        <v>17.678999999999998</v>
      </c>
      <c r="F543" s="37">
        <v>53.116548123758243</v>
      </c>
      <c r="G543" s="37">
        <v>35.51</v>
      </c>
      <c r="H543" s="37">
        <v>3.0763794244234894</v>
      </c>
      <c r="I543" s="37">
        <v>72.101204876931007</v>
      </c>
      <c r="J543" s="10">
        <v>0</v>
      </c>
      <c r="K543" s="38">
        <v>1</v>
      </c>
      <c r="L543" s="38">
        <v>0</v>
      </c>
      <c r="M543" s="38">
        <v>0</v>
      </c>
      <c r="N543" s="38">
        <v>0</v>
      </c>
      <c r="O543" s="38">
        <v>0</v>
      </c>
      <c r="P543" s="38">
        <v>0</v>
      </c>
      <c r="Q543" s="38">
        <v>0</v>
      </c>
      <c r="R543" s="38">
        <v>0</v>
      </c>
      <c r="S543" s="38">
        <v>0</v>
      </c>
      <c r="T543" s="38">
        <v>0</v>
      </c>
      <c r="U543" s="29" cm="1">
        <f t="array" aca="1" ref="U543" ca="1">+fair_value_gap(OFFSET(T542,0,0,-1*$J$5,-1*$AA$1),OFFSET(E542,0,0,-1*$J$5,1),F543:T543,0)</f>
        <v>17.363177043496172</v>
      </c>
      <c r="V543" s="9" cm="1">
        <f t="array" aca="1" ref="V543" ca="1">z_score_diff(OFFSET(U543,0,0,$J$5*-1,1),OFFSET(E543,0,0,$J$5*-1,1))</f>
        <v>-0.31362960290864206</v>
      </c>
      <c r="W543" s="9">
        <f t="shared" ca="1" si="81"/>
        <v>-9.3215651708326852E-2</v>
      </c>
      <c r="X543" s="17">
        <f t="shared" ca="1" si="80"/>
        <v>-4.8501727916085507E-2</v>
      </c>
      <c r="Y543" s="13">
        <f t="shared" si="87"/>
        <v>0</v>
      </c>
      <c r="Z543" s="13">
        <f t="shared" si="87"/>
        <v>0</v>
      </c>
      <c r="AA543">
        <f t="shared" ca="1" si="82"/>
        <v>1</v>
      </c>
      <c r="AB543">
        <f t="shared" ca="1" si="83"/>
        <v>0</v>
      </c>
      <c r="AC543" s="24">
        <f t="shared" ca="1" si="84"/>
        <v>-4.8501727916085507E-2</v>
      </c>
      <c r="AD543" s="24">
        <f t="shared" ca="1" si="85"/>
        <v>0</v>
      </c>
    </row>
    <row r="544" spans="3:30" x14ac:dyDescent="0.25">
      <c r="C544" s="6">
        <v>537</v>
      </c>
      <c r="D544" s="35">
        <v>42768</v>
      </c>
      <c r="E544" s="37">
        <v>17.724</v>
      </c>
      <c r="F544" s="37">
        <v>52.895620537507966</v>
      </c>
      <c r="G544" s="37">
        <v>35.58</v>
      </c>
      <c r="H544" s="37">
        <v>3.1248963282698523</v>
      </c>
      <c r="I544" s="37">
        <v>72.892745374858535</v>
      </c>
      <c r="J544" s="10">
        <v>0</v>
      </c>
      <c r="K544" s="38">
        <v>1</v>
      </c>
      <c r="L544" s="38">
        <v>0</v>
      </c>
      <c r="M544" s="38">
        <v>0</v>
      </c>
      <c r="N544" s="38">
        <v>0</v>
      </c>
      <c r="O544" s="38">
        <v>0</v>
      </c>
      <c r="P544" s="38">
        <v>0</v>
      </c>
      <c r="Q544" s="38">
        <v>0</v>
      </c>
      <c r="R544" s="38">
        <v>0</v>
      </c>
      <c r="S544" s="38">
        <v>0</v>
      </c>
      <c r="T544" s="38">
        <v>0</v>
      </c>
      <c r="U544" s="29" cm="1">
        <f t="array" aca="1" ref="U544" ca="1">+fair_value_gap(OFFSET(T543,0,0,-1*$J$5,-1*$AA$1),OFFSET(E543,0,0,-1*$J$5,1),F544:T544,0)</f>
        <v>17.479125508921172</v>
      </c>
      <c r="V544" s="9" cm="1">
        <f t="array" aca="1" ref="V544" ca="1">z_score_diff(OFFSET(U544,0,0,$J$5*-1,1),OFFSET(E544,0,0,$J$5*-1,1))</f>
        <v>-0.27092694059327349</v>
      </c>
      <c r="W544" s="9">
        <f t="shared" ca="1" si="81"/>
        <v>-9.4316903383711723E-2</v>
      </c>
      <c r="X544" s="17">
        <f t="shared" ca="1" si="80"/>
        <v>-6.7446529243959996E-2</v>
      </c>
      <c r="Y544" s="13">
        <f t="shared" si="87"/>
        <v>0</v>
      </c>
      <c r="Z544" s="13">
        <f t="shared" si="87"/>
        <v>0</v>
      </c>
      <c r="AA544">
        <f t="shared" ca="1" si="82"/>
        <v>1</v>
      </c>
      <c r="AB544">
        <f t="shared" ca="1" si="83"/>
        <v>0</v>
      </c>
      <c r="AC544" s="24">
        <f t="shared" ca="1" si="84"/>
        <v>-6.7446529243959996E-2</v>
      </c>
      <c r="AD544" s="24">
        <f t="shared" ca="1" si="85"/>
        <v>0</v>
      </c>
    </row>
    <row r="545" spans="3:30" x14ac:dyDescent="0.25">
      <c r="C545" s="6">
        <v>538</v>
      </c>
      <c r="D545" s="35">
        <v>42769</v>
      </c>
      <c r="E545" s="37">
        <v>17.757999999999999</v>
      </c>
      <c r="F545" s="37">
        <v>53.096335865365418</v>
      </c>
      <c r="G545" s="37">
        <v>35.409999999999997</v>
      </c>
      <c r="H545" s="37">
        <v>2.9983380377808984</v>
      </c>
      <c r="I545" s="37">
        <v>72.061283822126811</v>
      </c>
      <c r="J545" s="10">
        <v>0</v>
      </c>
      <c r="K545" s="38">
        <v>1</v>
      </c>
      <c r="L545" s="38">
        <v>0</v>
      </c>
      <c r="M545" s="38">
        <v>0</v>
      </c>
      <c r="N545" s="38">
        <v>0</v>
      </c>
      <c r="O545" s="38">
        <v>0</v>
      </c>
      <c r="P545" s="38">
        <v>0</v>
      </c>
      <c r="Q545" s="38">
        <v>0</v>
      </c>
      <c r="R545" s="38">
        <v>0</v>
      </c>
      <c r="S545" s="38">
        <v>0</v>
      </c>
      <c r="T545" s="38">
        <v>0</v>
      </c>
      <c r="U545" s="29" cm="1">
        <f t="array" aca="1" ref="U545" ca="1">+fair_value_gap(OFFSET(T544,0,0,-1*$J$5,-1*$AA$1),OFFSET(E544,0,0,-1*$J$5,1),F545:T545,0)</f>
        <v>17.394495772980687</v>
      </c>
      <c r="V545" s="9" cm="1">
        <f t="array" aca="1" ref="V545" ca="1">z_score_diff(OFFSET(U545,0,0,$J$5*-1,1),OFFSET(E545,0,0,$J$5*-1,1))</f>
        <v>-0.33709346507318305</v>
      </c>
      <c r="W545" s="9">
        <f t="shared" ca="1" si="81"/>
        <v>-0.10215926191177793</v>
      </c>
      <c r="X545" s="17">
        <f t="shared" ca="1" si="80"/>
        <v>-6.7493666026052598E-2</v>
      </c>
      <c r="Y545" s="13">
        <f t="shared" si="87"/>
        <v>0</v>
      </c>
      <c r="Z545" s="13">
        <f t="shared" si="87"/>
        <v>0</v>
      </c>
      <c r="AA545">
        <f t="shared" ca="1" si="82"/>
        <v>1</v>
      </c>
      <c r="AB545">
        <f t="shared" ca="1" si="83"/>
        <v>0</v>
      </c>
      <c r="AC545" s="24">
        <f t="shared" ca="1" si="84"/>
        <v>-6.7493666026052598E-2</v>
      </c>
      <c r="AD545" s="24">
        <f t="shared" ca="1" si="85"/>
        <v>0</v>
      </c>
    </row>
    <row r="546" spans="3:30" x14ac:dyDescent="0.25">
      <c r="C546" s="6">
        <v>539</v>
      </c>
      <c r="D546" s="35">
        <v>42772</v>
      </c>
      <c r="E546" s="37">
        <v>17.649999999999999</v>
      </c>
      <c r="F546" s="37">
        <v>52.427757390229957</v>
      </c>
      <c r="G546" s="37">
        <v>35.46</v>
      </c>
      <c r="H546" s="37">
        <v>3.022479576594685</v>
      </c>
      <c r="I546" s="37">
        <v>71.643277334169326</v>
      </c>
      <c r="J546" s="10">
        <v>0</v>
      </c>
      <c r="K546" s="38">
        <v>1</v>
      </c>
      <c r="L546" s="38">
        <v>0</v>
      </c>
      <c r="M546" s="38">
        <v>0</v>
      </c>
      <c r="N546" s="38">
        <v>0</v>
      </c>
      <c r="O546" s="38">
        <v>0</v>
      </c>
      <c r="P546" s="38">
        <v>0</v>
      </c>
      <c r="Q546" s="38">
        <v>0</v>
      </c>
      <c r="R546" s="38">
        <v>0</v>
      </c>
      <c r="S546" s="38">
        <v>0</v>
      </c>
      <c r="T546" s="38">
        <v>0</v>
      </c>
      <c r="U546" s="29" cm="1">
        <f t="array" aca="1" ref="U546" ca="1">+fair_value_gap(OFFSET(T545,0,0,-1*$J$5,-1*$AA$1),OFFSET(E545,0,0,-1*$J$5,1),F546:T546,0)</f>
        <v>17.443847586299384</v>
      </c>
      <c r="V546" s="9" cm="1">
        <f t="array" aca="1" ref="V546" ca="1">z_score_diff(OFFSET(U546,0,0,$J$5*-1,1),OFFSET(E546,0,0,$J$5*-1,1))</f>
        <v>-0.24816546823936447</v>
      </c>
      <c r="W546" s="9">
        <f t="shared" ca="1" si="81"/>
        <v>-9.6102174571273943E-2</v>
      </c>
      <c r="X546" s="17">
        <f t="shared" ca="1" si="80"/>
        <v>-6.277991730223316E-2</v>
      </c>
      <c r="Y546" s="13">
        <f t="shared" si="87"/>
        <v>0</v>
      </c>
      <c r="Z546" s="13">
        <f t="shared" si="87"/>
        <v>0</v>
      </c>
      <c r="AA546">
        <f t="shared" ca="1" si="82"/>
        <v>1</v>
      </c>
      <c r="AB546">
        <f t="shared" ca="1" si="83"/>
        <v>0</v>
      </c>
      <c r="AC546" s="24">
        <f t="shared" ca="1" si="84"/>
        <v>-6.277991730223316E-2</v>
      </c>
      <c r="AD546" s="24">
        <f t="shared" ca="1" si="85"/>
        <v>0</v>
      </c>
    </row>
    <row r="547" spans="3:30" x14ac:dyDescent="0.25">
      <c r="C547" s="6">
        <v>540</v>
      </c>
      <c r="D547" s="35">
        <v>42773</v>
      </c>
      <c r="E547" s="37">
        <v>17.617000000000001</v>
      </c>
      <c r="F547" s="37">
        <v>51.996396252622326</v>
      </c>
      <c r="G547" s="37">
        <v>35.15</v>
      </c>
      <c r="H547" s="37">
        <v>3.111989882785426</v>
      </c>
      <c r="I547" s="37">
        <v>72.511034388694412</v>
      </c>
      <c r="J547" s="10">
        <v>0</v>
      </c>
      <c r="K547" s="38">
        <v>1</v>
      </c>
      <c r="L547" s="38">
        <v>0</v>
      </c>
      <c r="M547" s="38">
        <v>0</v>
      </c>
      <c r="N547" s="38">
        <v>0</v>
      </c>
      <c r="O547" s="38">
        <v>0</v>
      </c>
      <c r="P547" s="38">
        <v>0</v>
      </c>
      <c r="Q547" s="38">
        <v>0</v>
      </c>
      <c r="R547" s="38">
        <v>0</v>
      </c>
      <c r="S547" s="38">
        <v>0</v>
      </c>
      <c r="T547" s="38">
        <v>0</v>
      </c>
      <c r="U547" s="29" cm="1">
        <f t="array" aca="1" ref="U547" ca="1">+fair_value_gap(OFFSET(T546,0,0,-1*$J$5,-1*$AA$1),OFFSET(E546,0,0,-1*$J$5,1),F547:T547,0)</f>
        <v>17.433977676760676</v>
      </c>
      <c r="V547" s="9" cm="1">
        <f t="array" aca="1" ref="V547" ca="1">z_score_diff(OFFSET(U547,0,0,$J$5*-1,1),OFFSET(E547,0,0,$J$5*-1,1))</f>
        <v>-0.23396402389189364</v>
      </c>
      <c r="W547" s="9">
        <f t="shared" ca="1" si="81"/>
        <v>-9.0532473925138232E-2</v>
      </c>
      <c r="X547" s="17">
        <f t="shared" ca="1" si="80"/>
        <v>-6.9877148850691032E-2</v>
      </c>
      <c r="Y547" s="13">
        <f t="shared" si="87"/>
        <v>0</v>
      </c>
      <c r="Z547" s="13">
        <f t="shared" si="87"/>
        <v>0</v>
      </c>
      <c r="AA547">
        <f t="shared" ca="1" si="82"/>
        <v>1</v>
      </c>
      <c r="AB547">
        <f t="shared" ca="1" si="83"/>
        <v>0</v>
      </c>
      <c r="AC547" s="24">
        <f t="shared" ca="1" si="84"/>
        <v>-6.9877148850691032E-2</v>
      </c>
      <c r="AD547" s="24">
        <f t="shared" ca="1" si="85"/>
        <v>0</v>
      </c>
    </row>
    <row r="548" spans="3:30" x14ac:dyDescent="0.25">
      <c r="C548" s="6">
        <v>541</v>
      </c>
      <c r="D548" s="35">
        <v>42774</v>
      </c>
      <c r="E548" s="37">
        <v>17.584</v>
      </c>
      <c r="F548" s="37">
        <v>52.182431636376116</v>
      </c>
      <c r="G548" s="37">
        <v>35.26</v>
      </c>
      <c r="H548" s="37">
        <v>3.1244520844678179</v>
      </c>
      <c r="I548" s="37">
        <v>71.246413327532181</v>
      </c>
      <c r="J548" s="10">
        <v>0</v>
      </c>
      <c r="K548" s="38">
        <v>1</v>
      </c>
      <c r="L548" s="38">
        <v>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v>0</v>
      </c>
      <c r="S548" s="38">
        <v>0</v>
      </c>
      <c r="T548" s="38">
        <v>0</v>
      </c>
      <c r="U548" s="29" cm="1">
        <f t="array" aca="1" ref="U548" ca="1">+fair_value_gap(OFFSET(T547,0,0,-1*$J$5,-1*$AA$1),OFFSET(E547,0,0,-1*$J$5,1),F548:T548,0)</f>
        <v>17.471580395470788</v>
      </c>
      <c r="V548" s="9" cm="1">
        <f t="array" aca="1" ref="V548" ca="1">z_score_diff(OFFSET(U548,0,0,$J$5*-1,1),OFFSET(E548,0,0,$J$5*-1,1))</f>
        <v>-0.19196004925015342</v>
      </c>
      <c r="W548" s="9">
        <f t="shared" ca="1" si="81"/>
        <v>-8.8154806698278701E-2</v>
      </c>
      <c r="X548" s="17">
        <f t="shared" ca="1" si="80"/>
        <v>-7.9081121313652289E-2</v>
      </c>
      <c r="Y548" s="13">
        <f t="shared" si="87"/>
        <v>0</v>
      </c>
      <c r="Z548" s="13">
        <f t="shared" si="87"/>
        <v>0</v>
      </c>
      <c r="AA548">
        <f t="shared" ca="1" si="82"/>
        <v>1</v>
      </c>
      <c r="AB548">
        <f t="shared" ca="1" si="83"/>
        <v>0</v>
      </c>
      <c r="AC548" s="24">
        <f t="shared" ca="1" si="84"/>
        <v>-7.9081121313652289E-2</v>
      </c>
      <c r="AD548" s="24">
        <f t="shared" ca="1" si="85"/>
        <v>0</v>
      </c>
    </row>
    <row r="549" spans="3:30" x14ac:dyDescent="0.25">
      <c r="C549" s="6">
        <v>542</v>
      </c>
      <c r="D549" s="35">
        <v>42775</v>
      </c>
      <c r="E549" s="37">
        <v>17.643000000000001</v>
      </c>
      <c r="F549" s="37">
        <v>52.801855411446226</v>
      </c>
      <c r="G549" s="37">
        <v>35.75</v>
      </c>
      <c r="H549" s="37">
        <v>3.1506284983089081</v>
      </c>
      <c r="I549" s="37">
        <v>71.558696264719742</v>
      </c>
      <c r="J549" s="10">
        <v>0</v>
      </c>
      <c r="K549" s="38">
        <v>1</v>
      </c>
      <c r="L549" s="38">
        <v>0</v>
      </c>
      <c r="M549" s="38">
        <v>0</v>
      </c>
      <c r="N549" s="38">
        <v>0</v>
      </c>
      <c r="O549" s="38">
        <v>0</v>
      </c>
      <c r="P549" s="38">
        <v>0</v>
      </c>
      <c r="Q549" s="38">
        <v>0</v>
      </c>
      <c r="R549" s="38">
        <v>0</v>
      </c>
      <c r="S549" s="38">
        <v>0</v>
      </c>
      <c r="T549" s="38">
        <v>0</v>
      </c>
      <c r="U549" s="29" cm="1">
        <f t="array" aca="1" ref="U549" ca="1">+fair_value_gap(OFFSET(T548,0,0,-1*$J$5,-1*$AA$1),OFFSET(E548,0,0,-1*$J$5,1),F549:T549,0)</f>
        <v>17.686532959116807</v>
      </c>
      <c r="V549" s="9" cm="1">
        <f t="array" aca="1" ref="V549" ca="1">z_score_diff(OFFSET(U549,0,0,$J$5*-1,1),OFFSET(E549,0,0,$J$5*-1,1))</f>
        <v>-9.6242767643085037E-2</v>
      </c>
      <c r="W549" s="9">
        <f t="shared" ca="1" si="81"/>
        <v>-9.0509799860978929E-2</v>
      </c>
      <c r="X549" s="17">
        <f t="shared" ca="1" si="80"/>
        <v>-9.5627636525168799E-2</v>
      </c>
      <c r="Y549" s="13">
        <f t="shared" si="87"/>
        <v>0</v>
      </c>
      <c r="Z549" s="13">
        <f t="shared" si="87"/>
        <v>0</v>
      </c>
      <c r="AA549">
        <f t="shared" ca="1" si="82"/>
        <v>1</v>
      </c>
      <c r="AB549">
        <f t="shared" ca="1" si="83"/>
        <v>0</v>
      </c>
      <c r="AC549" s="24">
        <f t="shared" ca="1" si="84"/>
        <v>-9.5627636525168799E-2</v>
      </c>
      <c r="AD549" s="24">
        <f t="shared" ca="1" si="85"/>
        <v>0</v>
      </c>
    </row>
    <row r="550" spans="3:30" x14ac:dyDescent="0.25">
      <c r="C550" s="6">
        <v>543</v>
      </c>
      <c r="D550" s="35">
        <v>42776</v>
      </c>
      <c r="E550" s="37">
        <v>17.683</v>
      </c>
      <c r="F550" s="37">
        <v>53.787347016014088</v>
      </c>
      <c r="G550" s="37">
        <v>35.36</v>
      </c>
      <c r="H550" s="37">
        <v>3.0995308289124237</v>
      </c>
      <c r="I550" s="37">
        <v>71.918437127998047</v>
      </c>
      <c r="J550" s="10">
        <v>0</v>
      </c>
      <c r="K550" s="38">
        <v>1</v>
      </c>
      <c r="L550" s="38">
        <v>0</v>
      </c>
      <c r="M550" s="38">
        <v>0</v>
      </c>
      <c r="N550" s="38">
        <v>0</v>
      </c>
      <c r="O550" s="38">
        <v>0</v>
      </c>
      <c r="P550" s="38">
        <v>0</v>
      </c>
      <c r="Q550" s="38">
        <v>0</v>
      </c>
      <c r="R550" s="38">
        <v>0</v>
      </c>
      <c r="S550" s="38">
        <v>0</v>
      </c>
      <c r="T550" s="38">
        <v>0</v>
      </c>
      <c r="U550" s="29" cm="1">
        <f t="array" aca="1" ref="U550" ca="1">+fair_value_gap(OFFSET(T549,0,0,-1*$J$5,-1*$AA$1),OFFSET(E549,0,0,-1*$J$5,1),F550:T550,0)</f>
        <v>17.579534662309307</v>
      </c>
      <c r="V550" s="9" cm="1">
        <f t="array" aca="1" ref="V550" ca="1">z_score_diff(OFFSET(U550,0,0,$J$5*-1,1),OFFSET(E550,0,0,$J$5*-1,1))</f>
        <v>-0.18010570387720071</v>
      </c>
      <c r="W550" s="9">
        <f t="shared" ca="1" si="81"/>
        <v>-9.7501432301467017E-2</v>
      </c>
      <c r="X550" s="17">
        <f t="shared" ca="1" si="80"/>
        <v>-9.2356902091237439E-2</v>
      </c>
      <c r="Y550" s="13">
        <f t="shared" si="87"/>
        <v>0</v>
      </c>
      <c r="Z550" s="13">
        <f t="shared" si="87"/>
        <v>0</v>
      </c>
      <c r="AA550">
        <f t="shared" ca="1" si="82"/>
        <v>1</v>
      </c>
      <c r="AB550">
        <f t="shared" ca="1" si="83"/>
        <v>0</v>
      </c>
      <c r="AC550" s="24">
        <f t="shared" ca="1" si="84"/>
        <v>-9.2356902091237439E-2</v>
      </c>
      <c r="AD550" s="24">
        <f t="shared" ca="1" si="85"/>
        <v>0</v>
      </c>
    </row>
    <row r="551" spans="3:30" x14ac:dyDescent="0.25">
      <c r="C551" s="6">
        <v>544</v>
      </c>
      <c r="D551" s="35">
        <v>42779</v>
      </c>
      <c r="E551" s="37">
        <v>17.484999999999999</v>
      </c>
      <c r="F551" s="37">
        <v>52.944549470881903</v>
      </c>
      <c r="G551" s="37">
        <v>35.15</v>
      </c>
      <c r="H551" s="37">
        <v>3.0447793026099044</v>
      </c>
      <c r="I551" s="37">
        <v>71.512558428426175</v>
      </c>
      <c r="J551" s="10">
        <v>0</v>
      </c>
      <c r="K551" s="38">
        <v>1</v>
      </c>
      <c r="L551" s="38">
        <v>0</v>
      </c>
      <c r="M551" s="38">
        <v>0</v>
      </c>
      <c r="N551" s="38">
        <v>0</v>
      </c>
      <c r="O551" s="38">
        <v>0</v>
      </c>
      <c r="P551" s="38">
        <v>0</v>
      </c>
      <c r="Q551" s="38">
        <v>0</v>
      </c>
      <c r="R551" s="38">
        <v>0</v>
      </c>
      <c r="S551" s="38">
        <v>0</v>
      </c>
      <c r="T551" s="38">
        <v>0</v>
      </c>
      <c r="U551" s="29" cm="1">
        <f t="array" aca="1" ref="U551" ca="1">+fair_value_gap(OFFSET(T550,0,0,-1*$J$5,-1*$AA$1),OFFSET(E550,0,0,-1*$J$5,1),F551:T551,0)</f>
        <v>17.446157721700672</v>
      </c>
      <c r="V551" s="9" cm="1">
        <f t="array" aca="1" ref="V551" ca="1">z_score_diff(OFFSET(U551,0,0,$J$5*-1,1),OFFSET(E551,0,0,$J$5*-1,1))</f>
        <v>-0.14734597757084889</v>
      </c>
      <c r="W551" s="9">
        <f t="shared" ca="1" si="81"/>
        <v>-0.10457003659607914</v>
      </c>
      <c r="X551" s="17">
        <f t="shared" ca="1" si="80"/>
        <v>-9.4898483036047393E-2</v>
      </c>
      <c r="Y551" s="13">
        <f t="shared" si="87"/>
        <v>0</v>
      </c>
      <c r="Z551" s="13">
        <f t="shared" si="87"/>
        <v>0</v>
      </c>
      <c r="AA551">
        <f t="shared" ca="1" si="82"/>
        <v>1</v>
      </c>
      <c r="AB551">
        <f t="shared" ca="1" si="83"/>
        <v>0</v>
      </c>
      <c r="AC551" s="24">
        <f t="shared" ca="1" si="84"/>
        <v>-9.4898483036047393E-2</v>
      </c>
      <c r="AD551" s="24">
        <f t="shared" ca="1" si="85"/>
        <v>0</v>
      </c>
    </row>
    <row r="552" spans="3:30" x14ac:dyDescent="0.25">
      <c r="C552" s="6">
        <v>545</v>
      </c>
      <c r="D552" s="35">
        <v>42780</v>
      </c>
      <c r="E552" s="37">
        <v>17.314</v>
      </c>
      <c r="F552" s="37">
        <v>53.300137140521699</v>
      </c>
      <c r="G552" s="37">
        <v>35.06</v>
      </c>
      <c r="H552" s="37">
        <v>3.0296525367246945</v>
      </c>
      <c r="I552" s="37">
        <v>70.445045833805935</v>
      </c>
      <c r="J552" s="10">
        <v>0</v>
      </c>
      <c r="K552" s="38">
        <v>1</v>
      </c>
      <c r="L552" s="38">
        <v>0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v>0</v>
      </c>
      <c r="S552" s="38">
        <v>0</v>
      </c>
      <c r="T552" s="38">
        <v>0</v>
      </c>
      <c r="U552" s="29" cm="1">
        <f t="array" aca="1" ref="U552" ca="1">+fair_value_gap(OFFSET(T551,0,0,-1*$J$5,-1*$AA$1),OFFSET(E551,0,0,-1*$J$5,1),F552:T552,0)</f>
        <v>17.412523326768103</v>
      </c>
      <c r="V552" s="9" cm="1">
        <f t="array" aca="1" ref="V552" ca="1">z_score_diff(OFFSET(U552,0,0,$J$5*-1,1),OFFSET(E552,0,0,$J$5*-1,1))</f>
        <v>-7.003512112164656E-2</v>
      </c>
      <c r="W552" s="9">
        <f t="shared" ca="1" si="81"/>
        <v>-0.10543651897880028</v>
      </c>
      <c r="X552" s="17">
        <f t="shared" ca="1" si="80"/>
        <v>-8.3060231835407811E-2</v>
      </c>
      <c r="Y552" s="13">
        <f t="shared" si="87"/>
        <v>0</v>
      </c>
      <c r="Z552" s="13">
        <f t="shared" si="87"/>
        <v>0</v>
      </c>
      <c r="AA552">
        <f t="shared" ca="1" si="82"/>
        <v>1</v>
      </c>
      <c r="AB552">
        <f t="shared" ca="1" si="83"/>
        <v>0</v>
      </c>
      <c r="AC552" s="24">
        <f t="shared" ca="1" si="84"/>
        <v>-8.3060231835407811E-2</v>
      </c>
      <c r="AD552" s="24">
        <f t="shared" ca="1" si="85"/>
        <v>0</v>
      </c>
    </row>
    <row r="553" spans="3:30" x14ac:dyDescent="0.25">
      <c r="C553" s="6">
        <v>546</v>
      </c>
      <c r="D553" s="35">
        <v>42781</v>
      </c>
      <c r="E553" s="37">
        <v>17.338000000000001</v>
      </c>
      <c r="F553" s="37">
        <v>52.950358454765528</v>
      </c>
      <c r="G553" s="37">
        <v>35.08</v>
      </c>
      <c r="H553" s="37">
        <v>3.0368175572733134</v>
      </c>
      <c r="I553" s="37">
        <v>71.831157056464789</v>
      </c>
      <c r="J553" s="10">
        <v>0</v>
      </c>
      <c r="K553" s="38">
        <v>1</v>
      </c>
      <c r="L553" s="38">
        <v>0</v>
      </c>
      <c r="M553" s="38">
        <v>0</v>
      </c>
      <c r="N553" s="38">
        <v>0</v>
      </c>
      <c r="O553" s="38">
        <v>0</v>
      </c>
      <c r="P553" s="38">
        <v>0</v>
      </c>
      <c r="Q553" s="38">
        <v>0</v>
      </c>
      <c r="R553" s="38">
        <v>0</v>
      </c>
      <c r="S553" s="38">
        <v>0</v>
      </c>
      <c r="T553" s="38">
        <v>0</v>
      </c>
      <c r="U553" s="29" cm="1">
        <f t="array" aca="1" ref="U553" ca="1">+fair_value_gap(OFFSET(T552,0,0,-1*$J$5,-1*$AA$1),OFFSET(E552,0,0,-1*$J$5,1),F553:T553,0)</f>
        <v>17.460460578391523</v>
      </c>
      <c r="V553" s="9" cm="1">
        <f t="array" aca="1" ref="V553" ca="1">z_score_diff(OFFSET(U553,0,0,$J$5*-1,1),OFFSET(E553,0,0,$J$5*-1,1))</f>
        <v>-5.3511351393932149E-2</v>
      </c>
      <c r="W553" s="9">
        <f t="shared" ca="1" si="81"/>
        <v>-0.10622230540965427</v>
      </c>
      <c r="X553" s="17">
        <f t="shared" ca="1" si="80"/>
        <v>-7.06091267452824E-2</v>
      </c>
      <c r="Y553" s="13">
        <f t="shared" ref="Y553:Z568" si="88">+Y552</f>
        <v>0</v>
      </c>
      <c r="Z553" s="13">
        <f t="shared" si="88"/>
        <v>0</v>
      </c>
      <c r="AA553">
        <f t="shared" ca="1" si="82"/>
        <v>1</v>
      </c>
      <c r="AB553">
        <f t="shared" ca="1" si="83"/>
        <v>0</v>
      </c>
      <c r="AC553" s="24">
        <f t="shared" ca="1" si="84"/>
        <v>-7.06091267452824E-2</v>
      </c>
      <c r="AD553" s="24">
        <f t="shared" ca="1" si="85"/>
        <v>0</v>
      </c>
    </row>
    <row r="554" spans="3:30" x14ac:dyDescent="0.25">
      <c r="C554" s="6">
        <v>547</v>
      </c>
      <c r="D554" s="35">
        <v>42782</v>
      </c>
      <c r="E554" s="37">
        <v>17.353999999999999</v>
      </c>
      <c r="F554" s="37">
        <v>52.564835072952526</v>
      </c>
      <c r="G554" s="37">
        <v>35.17</v>
      </c>
      <c r="H554" s="37">
        <v>2.9617655392819486</v>
      </c>
      <c r="I554" s="37">
        <v>71.721549445598001</v>
      </c>
      <c r="J554" s="10">
        <v>0</v>
      </c>
      <c r="K554" s="38">
        <v>1</v>
      </c>
      <c r="L554" s="38">
        <v>0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v>0</v>
      </c>
      <c r="S554" s="38">
        <v>0</v>
      </c>
      <c r="T554" s="38">
        <v>0</v>
      </c>
      <c r="U554" s="29" cm="1">
        <f t="array" aca="1" ref="U554" ca="1">+fair_value_gap(OFFSET(T553,0,0,-1*$J$5,-1*$AA$1),OFFSET(E553,0,0,-1*$J$5,1),F554:T554,0)</f>
        <v>17.43310581708867</v>
      </c>
      <c r="V554" s="9" cm="1">
        <f t="array" aca="1" ref="V554" ca="1">z_score_diff(OFFSET(U554,0,0,$J$5*-1,1),OFFSET(E554,0,0,$J$5*-1,1))</f>
        <v>-7.8801874400931671E-2</v>
      </c>
      <c r="W554" s="9">
        <f t="shared" ca="1" si="81"/>
        <v>-0.11109146380062737</v>
      </c>
      <c r="X554" s="17">
        <f t="shared" ca="1" si="80"/>
        <v>-7.8051874440217273E-2</v>
      </c>
      <c r="Y554" s="13">
        <f t="shared" si="88"/>
        <v>0</v>
      </c>
      <c r="Z554" s="13">
        <f t="shared" si="88"/>
        <v>0</v>
      </c>
      <c r="AA554">
        <f t="shared" ca="1" si="82"/>
        <v>1</v>
      </c>
      <c r="AB554">
        <f t="shared" ca="1" si="83"/>
        <v>0</v>
      </c>
      <c r="AC554" s="24">
        <f t="shared" ca="1" si="84"/>
        <v>-7.8051874440217273E-2</v>
      </c>
      <c r="AD554" s="24">
        <f t="shared" ca="1" si="85"/>
        <v>0</v>
      </c>
    </row>
    <row r="555" spans="3:30" x14ac:dyDescent="0.25">
      <c r="C555" s="6">
        <v>548</v>
      </c>
      <c r="D555" s="35">
        <v>42783</v>
      </c>
      <c r="E555" s="37">
        <v>17.231000000000002</v>
      </c>
      <c r="F555" s="37">
        <v>52.911832296395943</v>
      </c>
      <c r="G555" s="37">
        <v>35.1</v>
      </c>
      <c r="H555" s="37">
        <v>2.9520019430898867</v>
      </c>
      <c r="I555" s="37">
        <v>72.258655157595797</v>
      </c>
      <c r="J555" s="10">
        <v>0</v>
      </c>
      <c r="K555" s="38">
        <v>1</v>
      </c>
      <c r="L555" s="38">
        <v>0</v>
      </c>
      <c r="M555" s="38">
        <v>0</v>
      </c>
      <c r="N555" s="38">
        <v>0</v>
      </c>
      <c r="O555" s="38">
        <v>0</v>
      </c>
      <c r="P555" s="38">
        <v>0</v>
      </c>
      <c r="Q555" s="38">
        <v>0</v>
      </c>
      <c r="R555" s="38">
        <v>0</v>
      </c>
      <c r="S555" s="38">
        <v>0</v>
      </c>
      <c r="T555" s="38">
        <v>0</v>
      </c>
      <c r="U555" s="29" cm="1">
        <f t="array" aca="1" ref="U555" ca="1">+fair_value_gap(OFFSET(T554,0,0,-1*$J$5,-1*$AA$1),OFFSET(E554,0,0,-1*$J$5,1),F555:T555,0)</f>
        <v>17.451010298884086</v>
      </c>
      <c r="V555" s="9" cm="1">
        <f t="array" aca="1" ref="V555" ca="1">z_score_diff(OFFSET(U555,0,0,$J$5*-1,1),OFFSET(E555,0,0,$J$5*-1,1))</f>
        <v>2.4430306668267177E-3</v>
      </c>
      <c r="W555" s="9">
        <f t="shared" ca="1" si="81"/>
        <v>-0.10727002363330281</v>
      </c>
      <c r="X555" s="17">
        <f t="shared" ca="1" si="80"/>
        <v>-7.1375139253156111E-2</v>
      </c>
      <c r="Y555" s="13">
        <f t="shared" si="88"/>
        <v>0</v>
      </c>
      <c r="Z555" s="13">
        <f t="shared" si="88"/>
        <v>0</v>
      </c>
      <c r="AA555">
        <f t="shared" ca="1" si="82"/>
        <v>1</v>
      </c>
      <c r="AB555">
        <f t="shared" ca="1" si="83"/>
        <v>0</v>
      </c>
      <c r="AC555" s="24">
        <f t="shared" ca="1" si="84"/>
        <v>-7.1375139253156111E-2</v>
      </c>
      <c r="AD555" s="24">
        <f t="shared" ca="1" si="85"/>
        <v>0</v>
      </c>
    </row>
    <row r="556" spans="3:30" x14ac:dyDescent="0.25">
      <c r="C556" s="6">
        <v>549</v>
      </c>
      <c r="D556" s="35">
        <v>42786</v>
      </c>
      <c r="E556" s="37">
        <v>17.512</v>
      </c>
      <c r="F556" s="37">
        <v>53.046978059964196</v>
      </c>
      <c r="G556" s="37">
        <v>35.58</v>
      </c>
      <c r="H556" s="37">
        <v>2.9522446401811706</v>
      </c>
      <c r="I556" s="37">
        <v>74.740370637497989</v>
      </c>
      <c r="J556" s="10">
        <v>0</v>
      </c>
      <c r="K556" s="38">
        <v>1</v>
      </c>
      <c r="L556" s="38">
        <v>0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v>0</v>
      </c>
      <c r="S556" s="38">
        <v>0</v>
      </c>
      <c r="T556" s="38">
        <v>0</v>
      </c>
      <c r="U556" s="29" cm="1">
        <f t="array" aca="1" ref="U556" ca="1">+fair_value_gap(OFFSET(T555,0,0,-1*$J$5,-1*$AA$1),OFFSET(E555,0,0,-1*$J$5,1),F556:T556,0)</f>
        <v>17.641142480749739</v>
      </c>
      <c r="V556" s="9" cm="1">
        <f t="array" aca="1" ref="V556" ca="1">z_score_diff(OFFSET(U556,0,0,$J$5*-1,1),OFFSET(E556,0,0,$J$5*-1,1))</f>
        <v>-4.5787602704511432E-2</v>
      </c>
      <c r="W556" s="9">
        <f t="shared" ca="1" si="81"/>
        <v>-0.11158321594043372</v>
      </c>
      <c r="X556" s="17">
        <f t="shared" ca="1" si="80"/>
        <v>-9.8581857568478065E-2</v>
      </c>
      <c r="Y556" s="13">
        <f t="shared" si="88"/>
        <v>0</v>
      </c>
      <c r="Z556" s="13">
        <f t="shared" si="88"/>
        <v>0</v>
      </c>
      <c r="AA556">
        <f t="shared" ca="1" si="82"/>
        <v>1</v>
      </c>
      <c r="AB556">
        <f t="shared" ca="1" si="83"/>
        <v>0</v>
      </c>
      <c r="AC556" s="24">
        <f t="shared" ca="1" si="84"/>
        <v>-9.8581857568478065E-2</v>
      </c>
      <c r="AD556" s="24">
        <f t="shared" ca="1" si="85"/>
        <v>0</v>
      </c>
    </row>
    <row r="557" spans="3:30" x14ac:dyDescent="0.25">
      <c r="C557" s="6">
        <v>550</v>
      </c>
      <c r="D557" s="35">
        <v>42787</v>
      </c>
      <c r="E557" s="37">
        <v>17.425999999999998</v>
      </c>
      <c r="F557" s="37">
        <v>53.483478231434518</v>
      </c>
      <c r="G557" s="37">
        <v>35.270000000000003</v>
      </c>
      <c r="H557" s="37">
        <v>2.7823068229046193</v>
      </c>
      <c r="I557" s="37">
        <v>75.222894840273582</v>
      </c>
      <c r="J557" s="10">
        <v>0</v>
      </c>
      <c r="K557" s="38">
        <v>1</v>
      </c>
      <c r="L557" s="38">
        <v>0</v>
      </c>
      <c r="M557" s="38">
        <v>0</v>
      </c>
      <c r="N557" s="38">
        <v>0</v>
      </c>
      <c r="O557" s="38">
        <v>0</v>
      </c>
      <c r="P557" s="38">
        <v>0</v>
      </c>
      <c r="Q557" s="38">
        <v>0</v>
      </c>
      <c r="R557" s="38">
        <v>0</v>
      </c>
      <c r="S557" s="38">
        <v>0</v>
      </c>
      <c r="T557" s="38">
        <v>0</v>
      </c>
      <c r="U557" s="29" cm="1">
        <f t="array" aca="1" ref="U557" ca="1">+fair_value_gap(OFFSET(T556,0,0,-1*$J$5,-1*$AA$1),OFFSET(E556,0,0,-1*$J$5,1),F557:T557,0)</f>
        <v>17.471777788516974</v>
      </c>
      <c r="V557" s="9" cm="1">
        <f t="array" aca="1" ref="V557" ca="1">z_score_diff(OFFSET(U557,0,0,$J$5*-1,1),OFFSET(E557,0,0,$J$5*-1,1))</f>
        <v>-0.1016675968519295</v>
      </c>
      <c r="W557" s="9">
        <f t="shared" ca="1" si="81"/>
        <v>-0.11992976388376075</v>
      </c>
      <c r="X557" s="17">
        <f t="shared" ca="1" si="80"/>
        <v>-0.10525850216645348</v>
      </c>
      <c r="Y557" s="13">
        <f t="shared" si="88"/>
        <v>0</v>
      </c>
      <c r="Z557" s="13">
        <f t="shared" si="88"/>
        <v>0</v>
      </c>
      <c r="AA557">
        <f t="shared" ca="1" si="82"/>
        <v>1</v>
      </c>
      <c r="AB557">
        <f t="shared" ca="1" si="83"/>
        <v>0</v>
      </c>
      <c r="AC557" s="24">
        <f t="shared" ca="1" si="84"/>
        <v>-0.10525850216645348</v>
      </c>
      <c r="AD557" s="24">
        <f t="shared" ca="1" si="85"/>
        <v>0</v>
      </c>
    </row>
    <row r="558" spans="3:30" x14ac:dyDescent="0.25">
      <c r="C558" s="6">
        <v>551</v>
      </c>
      <c r="D558" s="35">
        <v>42788</v>
      </c>
      <c r="E558" s="37">
        <v>17.385999999999999</v>
      </c>
      <c r="F558" s="37">
        <v>52.850663118282903</v>
      </c>
      <c r="G558" s="37">
        <v>34.9</v>
      </c>
      <c r="H558" s="37">
        <v>2.7663139850769087</v>
      </c>
      <c r="I558" s="37">
        <v>74.596704241650187</v>
      </c>
      <c r="J558" s="10">
        <v>0</v>
      </c>
      <c r="K558" s="38">
        <v>1</v>
      </c>
      <c r="L558" s="38">
        <v>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v>0</v>
      </c>
      <c r="S558" s="38">
        <v>0</v>
      </c>
      <c r="T558" s="38">
        <v>0</v>
      </c>
      <c r="U558" s="29" cm="1">
        <f t="array" aca="1" ref="U558" ca="1">+fair_value_gap(OFFSET(T557,0,0,-1*$J$5,-1*$AA$1),OFFSET(E557,0,0,-1*$J$5,1),F558:T558,0)</f>
        <v>17.30205684459473</v>
      </c>
      <c r="V558" s="9" cm="1">
        <f t="array" aca="1" ref="V558" ca="1">z_score_diff(OFFSET(U558,0,0,$J$5*-1,1),OFFSET(E558,0,0,$J$5*-1,1))</f>
        <v>-0.18515526007994854</v>
      </c>
      <c r="W558" s="9">
        <f t="shared" ca="1" si="81"/>
        <v>-0.13401353279873776</v>
      </c>
      <c r="X558" s="17">
        <f t="shared" ca="1" si="80"/>
        <v>-0.10270545480605399</v>
      </c>
      <c r="Y558" s="13">
        <f t="shared" si="88"/>
        <v>0</v>
      </c>
      <c r="Z558" s="13">
        <f t="shared" si="88"/>
        <v>0</v>
      </c>
      <c r="AA558">
        <f t="shared" ca="1" si="82"/>
        <v>1</v>
      </c>
      <c r="AB558">
        <f t="shared" ca="1" si="83"/>
        <v>0</v>
      </c>
      <c r="AC558" s="24">
        <f t="shared" ca="1" si="84"/>
        <v>-0.10270545480605399</v>
      </c>
      <c r="AD558" s="24">
        <f t="shared" ca="1" si="85"/>
        <v>0</v>
      </c>
    </row>
    <row r="559" spans="3:30" x14ac:dyDescent="0.25">
      <c r="C559" s="6">
        <v>552</v>
      </c>
      <c r="D559" s="35">
        <v>42789</v>
      </c>
      <c r="E559" s="37">
        <v>17.536999999999999</v>
      </c>
      <c r="F559" s="37">
        <v>53.507639800767635</v>
      </c>
      <c r="G559" s="37">
        <v>35.26</v>
      </c>
      <c r="H559" s="37">
        <v>2.7882416188847405</v>
      </c>
      <c r="I559" s="37">
        <v>75.06804358535841</v>
      </c>
      <c r="J559" s="10">
        <v>0</v>
      </c>
      <c r="K559" s="38">
        <v>1</v>
      </c>
      <c r="L559" s="38">
        <v>0</v>
      </c>
      <c r="M559" s="38">
        <v>0</v>
      </c>
      <c r="N559" s="38">
        <v>0</v>
      </c>
      <c r="O559" s="38">
        <v>0</v>
      </c>
      <c r="P559" s="38">
        <v>0</v>
      </c>
      <c r="Q559" s="38">
        <v>0</v>
      </c>
      <c r="R559" s="38">
        <v>0</v>
      </c>
      <c r="S559" s="38">
        <v>0</v>
      </c>
      <c r="T559" s="38">
        <v>0</v>
      </c>
      <c r="U559" s="29" cm="1">
        <f t="array" aca="1" ref="U559" ca="1">+fair_value_gap(OFFSET(T558,0,0,-1*$J$5,-1*$AA$1),OFFSET(E558,0,0,-1*$J$5,1),F559:T559,0)</f>
        <v>17.472695223228236</v>
      </c>
      <c r="V559" s="9" cm="1">
        <f t="array" aca="1" ref="V559" ca="1">z_score_diff(OFFSET(U559,0,0,$J$5*-1,1),OFFSET(E559,0,0,$J$5*-1,1))</f>
        <v>-0.17057558019091845</v>
      </c>
      <c r="W559" s="9">
        <f t="shared" ca="1" si="81"/>
        <v>-0.14727981360561646</v>
      </c>
      <c r="X559" s="17">
        <f t="shared" ca="1" si="80"/>
        <v>-0.11307553835840949</v>
      </c>
      <c r="Y559" s="13">
        <f t="shared" si="88"/>
        <v>0</v>
      </c>
      <c r="Z559" s="13">
        <f t="shared" si="88"/>
        <v>0</v>
      </c>
      <c r="AA559">
        <f t="shared" ca="1" si="82"/>
        <v>1</v>
      </c>
      <c r="AB559">
        <f t="shared" ca="1" si="83"/>
        <v>0</v>
      </c>
      <c r="AC559" s="24">
        <f t="shared" ca="1" si="84"/>
        <v>-0.11307553835840949</v>
      </c>
      <c r="AD559" s="24">
        <f t="shared" ca="1" si="85"/>
        <v>0</v>
      </c>
    </row>
    <row r="560" spans="3:30" x14ac:dyDescent="0.25">
      <c r="C560" s="6">
        <v>553</v>
      </c>
      <c r="D560" s="35">
        <v>42790</v>
      </c>
      <c r="E560" s="37">
        <v>17.286999999999999</v>
      </c>
      <c r="F560" s="37">
        <v>53.298539406000074</v>
      </c>
      <c r="G560" s="37">
        <v>35.11</v>
      </c>
      <c r="H560" s="37">
        <v>2.8376450268463937</v>
      </c>
      <c r="I560" s="37">
        <v>74.907070176097321</v>
      </c>
      <c r="J560" s="10">
        <v>0</v>
      </c>
      <c r="K560" s="38">
        <v>1</v>
      </c>
      <c r="L560" s="38">
        <v>0</v>
      </c>
      <c r="M560" s="38">
        <v>0</v>
      </c>
      <c r="N560" s="38">
        <v>0</v>
      </c>
      <c r="O560" s="38">
        <v>0</v>
      </c>
      <c r="P560" s="38">
        <v>0</v>
      </c>
      <c r="Q560" s="38">
        <v>0</v>
      </c>
      <c r="R560" s="38">
        <v>0</v>
      </c>
      <c r="S560" s="38">
        <v>0</v>
      </c>
      <c r="T560" s="38">
        <v>0</v>
      </c>
      <c r="U560" s="29" cm="1">
        <f t="array" aca="1" ref="U560" ca="1">+fair_value_gap(OFFSET(T559,0,0,-1*$J$5,-1*$AA$1),OFFSET(E559,0,0,-1*$J$5,1),F560:T560,0)</f>
        <v>17.444828246818592</v>
      </c>
      <c r="V560" s="9" cm="1">
        <f t="array" aca="1" ref="V560" ca="1">z_score_diff(OFFSET(U560,0,0,$J$5*-1,1),OFFSET(E560,0,0,$J$5*-1,1))</f>
        <v>-3.8894277397428123E-2</v>
      </c>
      <c r="W560" s="9">
        <f t="shared" ca="1" si="81"/>
        <v>-0.15331842649662894</v>
      </c>
      <c r="X560" s="17">
        <f t="shared" ca="1" si="80"/>
        <v>-0.11519773000987554</v>
      </c>
      <c r="Y560" s="13">
        <f t="shared" si="88"/>
        <v>0</v>
      </c>
      <c r="Z560" s="13">
        <f t="shared" si="88"/>
        <v>0</v>
      </c>
      <c r="AA560">
        <f t="shared" ca="1" si="82"/>
        <v>1</v>
      </c>
      <c r="AB560">
        <f t="shared" ca="1" si="83"/>
        <v>0</v>
      </c>
      <c r="AC560" s="24">
        <f t="shared" ca="1" si="84"/>
        <v>-0.11519773000987554</v>
      </c>
      <c r="AD560" s="24">
        <f t="shared" ca="1" si="85"/>
        <v>0</v>
      </c>
    </row>
    <row r="561" spans="3:30" x14ac:dyDescent="0.25">
      <c r="C561" s="6">
        <v>554</v>
      </c>
      <c r="D561" s="35">
        <v>42793</v>
      </c>
      <c r="E561" s="37">
        <v>16.87</v>
      </c>
      <c r="F561" s="37">
        <v>53.284388694312518</v>
      </c>
      <c r="G561" s="37">
        <v>34.869999999999997</v>
      </c>
      <c r="H561" s="37">
        <v>2.7498600734918357</v>
      </c>
      <c r="I561" s="37">
        <v>74.736666735303956</v>
      </c>
      <c r="J561" s="10">
        <v>0</v>
      </c>
      <c r="K561" s="38">
        <v>1</v>
      </c>
      <c r="L561" s="38">
        <v>0</v>
      </c>
      <c r="M561" s="38">
        <v>0</v>
      </c>
      <c r="N561" s="38">
        <v>0</v>
      </c>
      <c r="O561" s="38">
        <v>0</v>
      </c>
      <c r="P561" s="38">
        <v>0</v>
      </c>
      <c r="Q561" s="38">
        <v>0</v>
      </c>
      <c r="R561" s="38">
        <v>0</v>
      </c>
      <c r="S561" s="38">
        <v>0</v>
      </c>
      <c r="T561" s="38">
        <v>0</v>
      </c>
      <c r="U561" s="29" cm="1">
        <f t="array" aca="1" ref="U561" ca="1">+fair_value_gap(OFFSET(T560,0,0,-1*$J$5,-1*$AA$1),OFFSET(E560,0,0,-1*$J$5,1),F561:T561,0)</f>
        <v>17.309340188705558</v>
      </c>
      <c r="V561" s="9" cm="1">
        <f t="array" aca="1" ref="V561" ca="1">z_score_diff(OFFSET(U561,0,0,$J$5*-1,1),OFFSET(E561,0,0,$J$5*-1,1))</f>
        <v>0.1282542900854845</v>
      </c>
      <c r="W561" s="9">
        <f t="shared" ca="1" si="81"/>
        <v>-0.14353636136725109</v>
      </c>
      <c r="X561" s="17">
        <f t="shared" ca="1" si="80"/>
        <v>-0.10753636460249888</v>
      </c>
      <c r="Y561" s="13">
        <f t="shared" si="88"/>
        <v>0</v>
      </c>
      <c r="Z561" s="13">
        <f t="shared" si="88"/>
        <v>0</v>
      </c>
      <c r="AA561">
        <f t="shared" ca="1" si="82"/>
        <v>1</v>
      </c>
      <c r="AB561">
        <f t="shared" ca="1" si="83"/>
        <v>0</v>
      </c>
      <c r="AC561" s="24">
        <f t="shared" ca="1" si="84"/>
        <v>-0.10753636460249888</v>
      </c>
      <c r="AD561" s="24">
        <f t="shared" ca="1" si="85"/>
        <v>0</v>
      </c>
    </row>
    <row r="562" spans="3:30" x14ac:dyDescent="0.25">
      <c r="C562" s="6">
        <v>555</v>
      </c>
      <c r="D562" s="35">
        <v>42794</v>
      </c>
      <c r="E562" s="37">
        <v>16.635000000000002</v>
      </c>
      <c r="F562" s="37">
        <v>53.474934385291071</v>
      </c>
      <c r="G562" s="37">
        <v>36.75</v>
      </c>
      <c r="H562" s="37">
        <v>2.8483759481711686</v>
      </c>
      <c r="I562" s="37">
        <v>74.346170376328331</v>
      </c>
      <c r="J562" s="10">
        <v>0</v>
      </c>
      <c r="K562" s="38">
        <v>1</v>
      </c>
      <c r="L562" s="38">
        <v>0</v>
      </c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v>0</v>
      </c>
      <c r="S562" s="38">
        <v>0</v>
      </c>
      <c r="T562" s="38">
        <v>0</v>
      </c>
      <c r="U562" s="29" cm="1">
        <f t="array" aca="1" ref="U562" ca="1">+fair_value_gap(OFFSET(T561,0,0,-1*$J$5,-1*$AA$1),OFFSET(E561,0,0,-1*$J$5,1),F562:T562,0)</f>
        <v>17.934752518454697</v>
      </c>
      <c r="V562" s="9" cm="1">
        <f t="array" aca="1" ref="V562" ca="1">z_score_diff(OFFSET(U562,0,0,$J$5*-1,1),OFFSET(E562,0,0,$J$5*-1,1))</f>
        <v>0.66957954638171713</v>
      </c>
      <c r="W562" s="9">
        <f t="shared" ca="1" si="81"/>
        <v>-9.8179289802743139E-2</v>
      </c>
      <c r="X562" s="17">
        <f t="shared" ca="1" si="80"/>
        <v>-8.4833244245065192E-2</v>
      </c>
      <c r="Y562" s="13">
        <f t="shared" si="88"/>
        <v>0</v>
      </c>
      <c r="Z562" s="13">
        <f t="shared" si="88"/>
        <v>0</v>
      </c>
      <c r="AA562">
        <f t="shared" ca="1" si="82"/>
        <v>1</v>
      </c>
      <c r="AB562">
        <f t="shared" ca="1" si="83"/>
        <v>0</v>
      </c>
      <c r="AC562" s="24">
        <f t="shared" ca="1" si="84"/>
        <v>-8.4833244245065192E-2</v>
      </c>
      <c r="AD562" s="24">
        <f t="shared" ca="1" si="85"/>
        <v>0</v>
      </c>
    </row>
    <row r="563" spans="3:30" x14ac:dyDescent="0.25">
      <c r="C563" s="6">
        <v>556</v>
      </c>
      <c r="D563" s="35">
        <v>42795</v>
      </c>
      <c r="E563" s="37">
        <v>16.841999999999999</v>
      </c>
      <c r="F563" s="37">
        <v>53.475935828877006</v>
      </c>
      <c r="G563" s="37">
        <v>37.020000000000003</v>
      </c>
      <c r="H563" s="37">
        <v>2.9115720421416689</v>
      </c>
      <c r="I563" s="37">
        <v>75.091867710496885</v>
      </c>
      <c r="J563" s="10">
        <v>0</v>
      </c>
      <c r="K563" s="38">
        <v>0</v>
      </c>
      <c r="L563" s="38">
        <v>1</v>
      </c>
      <c r="M563" s="38">
        <v>0</v>
      </c>
      <c r="N563" s="38">
        <v>0</v>
      </c>
      <c r="O563" s="38">
        <v>0</v>
      </c>
      <c r="P563" s="38">
        <v>0</v>
      </c>
      <c r="Q563" s="38">
        <v>0</v>
      </c>
      <c r="R563" s="38">
        <v>0</v>
      </c>
      <c r="S563" s="38">
        <v>0</v>
      </c>
      <c r="T563" s="38">
        <v>0</v>
      </c>
      <c r="U563" s="29" cm="1">
        <f t="array" aca="1" ref="U563" ca="1">+fair_value_gap(OFFSET(T562,0,0,-1*$J$5,-1*$AA$1),OFFSET(E562,0,0,-1*$J$5,1),F563:T563,0)</f>
        <v>17.488609145366809</v>
      </c>
      <c r="V563" s="9" cm="1">
        <f t="array" aca="1" ref="V563" ca="1">z_score_diff(OFFSET(U563,0,0,$J$5*-1,1),OFFSET(E563,0,0,$J$5*-1,1))</f>
        <v>0.25690373275675382</v>
      </c>
      <c r="W563" s="9">
        <f t="shared" ca="1" si="81"/>
        <v>-6.9652623019473336E-2</v>
      </c>
      <c r="X563" s="17">
        <f t="shared" ca="1" si="80"/>
        <v>-6.5385968747520742E-2</v>
      </c>
      <c r="Y563" s="13">
        <f t="shared" si="88"/>
        <v>0</v>
      </c>
      <c r="Z563" s="13">
        <f t="shared" si="88"/>
        <v>0</v>
      </c>
      <c r="AA563">
        <f t="shared" ca="1" si="82"/>
        <v>1</v>
      </c>
      <c r="AB563">
        <f t="shared" ca="1" si="83"/>
        <v>0</v>
      </c>
      <c r="AC563" s="24">
        <f t="shared" ca="1" si="84"/>
        <v>-6.5385968747520742E-2</v>
      </c>
      <c r="AD563" s="24">
        <f t="shared" ca="1" si="85"/>
        <v>0</v>
      </c>
    </row>
    <row r="564" spans="3:30" x14ac:dyDescent="0.25">
      <c r="C564" s="6">
        <v>557</v>
      </c>
      <c r="D564" s="35">
        <v>42796</v>
      </c>
      <c r="E564" s="37">
        <v>16.568000000000001</v>
      </c>
      <c r="F564" s="37">
        <v>52.635898248582926</v>
      </c>
      <c r="G564" s="37">
        <v>36.979999999999997</v>
      </c>
      <c r="H564" s="37">
        <v>2.9383660043787785</v>
      </c>
      <c r="I564" s="37">
        <v>75.27499426947881</v>
      </c>
      <c r="J564" s="10">
        <v>0</v>
      </c>
      <c r="K564" s="38">
        <v>0</v>
      </c>
      <c r="L564" s="38">
        <v>1</v>
      </c>
      <c r="M564" s="38">
        <v>0</v>
      </c>
      <c r="N564" s="38">
        <v>0</v>
      </c>
      <c r="O564" s="38">
        <v>0</v>
      </c>
      <c r="P564" s="38">
        <v>0</v>
      </c>
      <c r="Q564" s="38">
        <v>0</v>
      </c>
      <c r="R564" s="38">
        <v>0</v>
      </c>
      <c r="S564" s="38">
        <v>0</v>
      </c>
      <c r="T564" s="38">
        <v>0</v>
      </c>
      <c r="U564" s="29" cm="1">
        <f t="array" aca="1" ref="U564" ca="1">+fair_value_gap(OFFSET(T563,0,0,-1*$J$5,-1*$AA$1),OFFSET(E563,0,0,-1*$J$5,1),F564:T564,0)</f>
        <v>17.366940511203097</v>
      </c>
      <c r="V564" s="9" cm="1">
        <f t="array" aca="1" ref="V564" ca="1">z_score_diff(OFFSET(U564,0,0,$J$5*-1,1),OFFSET(E564,0,0,$J$5*-1,1))</f>
        <v>0.35124383896914674</v>
      </c>
      <c r="W564" s="9">
        <f t="shared" ca="1" si="81"/>
        <v>-3.8544084041352331E-2</v>
      </c>
      <c r="X564" s="17">
        <f t="shared" ca="1" si="80"/>
        <v>-2.6792231956165646E-2</v>
      </c>
      <c r="Y564" s="13">
        <f t="shared" si="88"/>
        <v>0</v>
      </c>
      <c r="Z564" s="13">
        <f t="shared" si="88"/>
        <v>0</v>
      </c>
      <c r="AA564">
        <f t="shared" ca="1" si="82"/>
        <v>1</v>
      </c>
      <c r="AB564">
        <f t="shared" ca="1" si="83"/>
        <v>0</v>
      </c>
      <c r="AC564" s="24">
        <f t="shared" ca="1" si="84"/>
        <v>-2.6792231956165646E-2</v>
      </c>
      <c r="AD564" s="24">
        <f t="shared" ca="1" si="85"/>
        <v>0</v>
      </c>
    </row>
    <row r="565" spans="3:30" x14ac:dyDescent="0.25">
      <c r="C565" s="6">
        <v>558</v>
      </c>
      <c r="D565" s="35">
        <v>42797</v>
      </c>
      <c r="E565" s="37">
        <v>16.599</v>
      </c>
      <c r="F565" s="37">
        <v>52.76899539146418</v>
      </c>
      <c r="G565" s="37">
        <v>36.880000000000003</v>
      </c>
      <c r="H565" s="37">
        <v>2.9142898215487558</v>
      </c>
      <c r="I565" s="37">
        <v>73.83738785538327</v>
      </c>
      <c r="J565" s="10">
        <v>0</v>
      </c>
      <c r="K565" s="38">
        <v>0</v>
      </c>
      <c r="L565" s="38">
        <v>1</v>
      </c>
      <c r="M565" s="38">
        <v>0</v>
      </c>
      <c r="N565" s="38">
        <v>0</v>
      </c>
      <c r="O565" s="38">
        <v>0</v>
      </c>
      <c r="P565" s="38">
        <v>0</v>
      </c>
      <c r="Q565" s="38">
        <v>0</v>
      </c>
      <c r="R565" s="38">
        <v>0</v>
      </c>
      <c r="S565" s="38">
        <v>0</v>
      </c>
      <c r="T565" s="38">
        <v>0</v>
      </c>
      <c r="U565" s="29" cm="1">
        <f t="array" aca="1" ref="U565" ca="1">+fair_value_gap(OFFSET(T564,0,0,-1*$J$5,-1*$AA$1),OFFSET(E564,0,0,-1*$J$5,1),F565:T565,0)</f>
        <v>17.198951543008612</v>
      </c>
      <c r="V565" s="9" cm="1">
        <f t="array" aca="1" ref="V565" ca="1">z_score_diff(OFFSET(U565,0,0,$J$5*-1,1),OFFSET(E565,0,0,$J$5*-1,1))</f>
        <v>0.22387905083090298</v>
      </c>
      <c r="W565" s="9">
        <f t="shared" ca="1" si="81"/>
        <v>-1.0495458246148018E-2</v>
      </c>
      <c r="X565" s="17">
        <f t="shared" ca="1" si="80"/>
        <v>-2.2296245255374512E-2</v>
      </c>
      <c r="Y565" s="13">
        <f t="shared" si="88"/>
        <v>0</v>
      </c>
      <c r="Z565" s="13">
        <f t="shared" si="88"/>
        <v>0</v>
      </c>
      <c r="AA565">
        <f t="shared" ca="1" si="82"/>
        <v>1</v>
      </c>
      <c r="AB565">
        <f t="shared" ca="1" si="83"/>
        <v>0</v>
      </c>
      <c r="AC565" s="24">
        <f t="shared" ca="1" si="84"/>
        <v>-2.2296245255374512E-2</v>
      </c>
      <c r="AD565" s="24">
        <f t="shared" ca="1" si="85"/>
        <v>0</v>
      </c>
    </row>
    <row r="566" spans="3:30" x14ac:dyDescent="0.25">
      <c r="C566" s="6">
        <v>559</v>
      </c>
      <c r="D566" s="35">
        <v>42800</v>
      </c>
      <c r="E566" s="37">
        <v>16.576000000000001</v>
      </c>
      <c r="F566" s="37">
        <v>53.079391483694032</v>
      </c>
      <c r="G566" s="37">
        <v>36.549999999999997</v>
      </c>
      <c r="H566" s="37">
        <v>2.9335566283206229</v>
      </c>
      <c r="I566" s="37">
        <v>73.5730757198547</v>
      </c>
      <c r="J566" s="10">
        <v>0</v>
      </c>
      <c r="K566" s="38">
        <v>0</v>
      </c>
      <c r="L566" s="38">
        <v>1</v>
      </c>
      <c r="M566" s="38">
        <v>0</v>
      </c>
      <c r="N566" s="38">
        <v>0</v>
      </c>
      <c r="O566" s="38">
        <v>0</v>
      </c>
      <c r="P566" s="38">
        <v>0</v>
      </c>
      <c r="Q566" s="38">
        <v>0</v>
      </c>
      <c r="R566" s="38">
        <v>0</v>
      </c>
      <c r="S566" s="38">
        <v>0</v>
      </c>
      <c r="T566" s="38">
        <v>0</v>
      </c>
      <c r="U566" s="29" cm="1">
        <f t="array" aca="1" ref="U566" ca="1">+fair_value_gap(OFFSET(T565,0,0,-1*$J$5,-1*$AA$1),OFFSET(E565,0,0,-1*$J$5,1),F566:T566,0)</f>
        <v>17.040405126080032</v>
      </c>
      <c r="V566" s="9" cm="1">
        <f t="array" aca="1" ref="V566" ca="1">z_score_diff(OFFSET(U566,0,0,$J$5*-1,1),OFFSET(E566,0,0,$J$5*-1,1))</f>
        <v>0.13515025440585754</v>
      </c>
      <c r="W566" s="9">
        <f t="shared" ca="1" si="81"/>
        <v>8.6703278861130773E-3</v>
      </c>
      <c r="X566" s="17">
        <f t="shared" ca="1" si="80"/>
        <v>-9.5775721509982065E-3</v>
      </c>
      <c r="Y566" s="13">
        <f t="shared" si="88"/>
        <v>0</v>
      </c>
      <c r="Z566" s="13">
        <f t="shared" si="88"/>
        <v>0</v>
      </c>
      <c r="AA566">
        <f t="shared" ca="1" si="82"/>
        <v>0</v>
      </c>
      <c r="AB566">
        <f t="shared" ca="1" si="83"/>
        <v>1</v>
      </c>
      <c r="AC566" s="24">
        <f t="shared" ca="1" si="84"/>
        <v>0</v>
      </c>
      <c r="AD566" s="24">
        <f t="shared" ca="1" si="85"/>
        <v>-9.5775721509982065E-3</v>
      </c>
    </row>
    <row r="567" spans="3:30" x14ac:dyDescent="0.25">
      <c r="C567" s="6">
        <v>560</v>
      </c>
      <c r="D567" s="35">
        <v>42801</v>
      </c>
      <c r="E567" s="37">
        <v>16.428000000000001</v>
      </c>
      <c r="F567" s="37">
        <v>53.000318883532479</v>
      </c>
      <c r="G567" s="37">
        <v>36.520000000000003</v>
      </c>
      <c r="H567" s="37">
        <v>2.9084053947590554</v>
      </c>
      <c r="I567" s="37">
        <v>72.546003639023837</v>
      </c>
      <c r="J567" s="10">
        <v>0</v>
      </c>
      <c r="K567" s="38">
        <v>0</v>
      </c>
      <c r="L567" s="38">
        <v>1</v>
      </c>
      <c r="M567" s="38">
        <v>0</v>
      </c>
      <c r="N567" s="38">
        <v>0</v>
      </c>
      <c r="O567" s="38">
        <v>0</v>
      </c>
      <c r="P567" s="38">
        <v>0</v>
      </c>
      <c r="Q567" s="38">
        <v>0</v>
      </c>
      <c r="R567" s="38">
        <v>0</v>
      </c>
      <c r="S567" s="38">
        <v>0</v>
      </c>
      <c r="T567" s="38">
        <v>0</v>
      </c>
      <c r="U567" s="29" cm="1">
        <f t="array" aca="1" ref="U567" ca="1">+fair_value_gap(OFFSET(T566,0,0,-1*$J$5,-1*$AA$1),OFFSET(E566,0,0,-1*$J$5,1),F567:T567,0)</f>
        <v>16.95340497620812</v>
      </c>
      <c r="V567" s="9" cm="1">
        <f t="array" aca="1" ref="V567" ca="1">z_score_diff(OFFSET(U567,0,0,$J$5*-1,1),OFFSET(E567,0,0,$J$5*-1,1))</f>
        <v>0.17425900060310395</v>
      </c>
      <c r="W567" s="9">
        <f t="shared" ca="1" si="81"/>
        <v>2.9081479110862958E-2</v>
      </c>
      <c r="X567" s="17">
        <f t="shared" ca="1" si="80"/>
        <v>2.0674984561401275E-3</v>
      </c>
      <c r="Y567" s="13">
        <f t="shared" si="88"/>
        <v>0</v>
      </c>
      <c r="Z567" s="13">
        <f t="shared" si="88"/>
        <v>0</v>
      </c>
      <c r="AA567">
        <f t="shared" ca="1" si="82"/>
        <v>0</v>
      </c>
      <c r="AB567">
        <f t="shared" ca="1" si="83"/>
        <v>1</v>
      </c>
      <c r="AC567" s="24">
        <f t="shared" ca="1" si="84"/>
        <v>0</v>
      </c>
      <c r="AD567" s="24">
        <f t="shared" ca="1" si="85"/>
        <v>2.0674984561401275E-3</v>
      </c>
    </row>
    <row r="568" spans="3:30" x14ac:dyDescent="0.25">
      <c r="C568" s="6">
        <v>561</v>
      </c>
      <c r="D568" s="35">
        <v>42802</v>
      </c>
      <c r="E568" s="37">
        <v>16.247</v>
      </c>
      <c r="F568" s="37">
        <v>50.657942347690181</v>
      </c>
      <c r="G568" s="37">
        <v>36.229999999999997</v>
      </c>
      <c r="H568" s="37">
        <v>2.9483110416457161</v>
      </c>
      <c r="I568" s="37">
        <v>72.556459169604494</v>
      </c>
      <c r="J568" s="10">
        <v>0</v>
      </c>
      <c r="K568" s="38">
        <v>0</v>
      </c>
      <c r="L568" s="38">
        <v>1</v>
      </c>
      <c r="M568" s="38">
        <v>0</v>
      </c>
      <c r="N568" s="38">
        <v>0</v>
      </c>
      <c r="O568" s="38">
        <v>0</v>
      </c>
      <c r="P568" s="38">
        <v>0</v>
      </c>
      <c r="Q568" s="38">
        <v>0</v>
      </c>
      <c r="R568" s="38">
        <v>0</v>
      </c>
      <c r="S568" s="38">
        <v>0</v>
      </c>
      <c r="T568" s="38">
        <v>0</v>
      </c>
      <c r="U568" s="29" cm="1">
        <f t="array" aca="1" ref="U568" ca="1">+fair_value_gap(OFFSET(T567,0,0,-1*$J$5,-1*$AA$1),OFFSET(E567,0,0,-1*$J$5,1),F568:T568,0)</f>
        <v>16.716184082191511</v>
      </c>
      <c r="V568" s="9" cm="1">
        <f t="array" aca="1" ref="V568" ca="1">z_score_diff(OFFSET(U568,0,0,$J$5*-1,1),OFFSET(E568,0,0,$J$5*-1,1))</f>
        <v>0.13418634849254327</v>
      </c>
      <c r="W568" s="9">
        <f t="shared" ca="1" si="81"/>
        <v>4.5388798997997783E-2</v>
      </c>
      <c r="X568" s="17">
        <f t="shared" ca="1" si="80"/>
        <v>1.7450107221594836E-2</v>
      </c>
      <c r="Y568" s="13">
        <f t="shared" si="88"/>
        <v>0</v>
      </c>
      <c r="Z568" s="13">
        <f t="shared" si="88"/>
        <v>0</v>
      </c>
      <c r="AA568">
        <f t="shared" ca="1" si="82"/>
        <v>0</v>
      </c>
      <c r="AB568">
        <f t="shared" ca="1" si="83"/>
        <v>1</v>
      </c>
      <c r="AC568" s="24">
        <f t="shared" ca="1" si="84"/>
        <v>0</v>
      </c>
      <c r="AD568" s="24">
        <f t="shared" ca="1" si="85"/>
        <v>1.7450107221594836E-2</v>
      </c>
    </row>
    <row r="569" spans="3:30" x14ac:dyDescent="0.25">
      <c r="C569" s="6">
        <v>562</v>
      </c>
      <c r="D569" s="35">
        <v>42803</v>
      </c>
      <c r="E569" s="37">
        <v>16.033999999999999</v>
      </c>
      <c r="F569" s="37">
        <v>49.658004145347533</v>
      </c>
      <c r="G569" s="37">
        <v>36.020000000000003</v>
      </c>
      <c r="H569" s="37">
        <v>2.9895954211985916</v>
      </c>
      <c r="I569" s="37">
        <v>70.806207344177167</v>
      </c>
      <c r="J569" s="10">
        <v>0</v>
      </c>
      <c r="K569" s="38">
        <v>0</v>
      </c>
      <c r="L569" s="38">
        <v>1</v>
      </c>
      <c r="M569" s="38">
        <v>0</v>
      </c>
      <c r="N569" s="38">
        <v>0</v>
      </c>
      <c r="O569" s="38">
        <v>0</v>
      </c>
      <c r="P569" s="38">
        <v>0</v>
      </c>
      <c r="Q569" s="38">
        <v>0</v>
      </c>
      <c r="R569" s="38">
        <v>0</v>
      </c>
      <c r="S569" s="38">
        <v>0</v>
      </c>
      <c r="T569" s="38">
        <v>0</v>
      </c>
      <c r="U569" s="29" cm="1">
        <f t="array" aca="1" ref="U569" ca="1">+fair_value_gap(OFFSET(T568,0,0,-1*$J$5,-1*$AA$1),OFFSET(E568,0,0,-1*$J$5,1),F569:T569,0)</f>
        <v>16.553570125980592</v>
      </c>
      <c r="V569" s="9" cm="1">
        <f t="array" aca="1" ref="V569" ca="1">z_score_diff(OFFSET(U569,0,0,$J$5*-1,1),OFFSET(E569,0,0,$J$5*-1,1))</f>
        <v>0.16597348425497677</v>
      </c>
      <c r="W569" s="9">
        <f t="shared" ca="1" si="81"/>
        <v>5.8499611592900867E-2</v>
      </c>
      <c r="X569" s="17">
        <f t="shared" ca="1" si="80"/>
        <v>3.0707399209723922E-2</v>
      </c>
      <c r="Y569" s="13">
        <f t="shared" ref="Y569:Z584" si="89">+Y568</f>
        <v>0</v>
      </c>
      <c r="Z569" s="13">
        <f t="shared" si="89"/>
        <v>0</v>
      </c>
      <c r="AA569">
        <f t="shared" ca="1" si="82"/>
        <v>0</v>
      </c>
      <c r="AB569">
        <f t="shared" ca="1" si="83"/>
        <v>1</v>
      </c>
      <c r="AC569" s="24">
        <f t="shared" ca="1" si="84"/>
        <v>0</v>
      </c>
      <c r="AD569" s="24">
        <f t="shared" ca="1" si="85"/>
        <v>3.0707399209723922E-2</v>
      </c>
    </row>
    <row r="570" spans="3:30" x14ac:dyDescent="0.25">
      <c r="C570" s="6">
        <v>563</v>
      </c>
      <c r="D570" s="35">
        <v>42804</v>
      </c>
      <c r="E570" s="37">
        <v>16.123000000000001</v>
      </c>
      <c r="F570" s="37">
        <v>48.355684157809804</v>
      </c>
      <c r="G570" s="37">
        <v>36.07</v>
      </c>
      <c r="H570" s="37">
        <v>2.9779459499564109</v>
      </c>
      <c r="I570" s="37">
        <v>70.94763786099827</v>
      </c>
      <c r="J570" s="10">
        <v>0</v>
      </c>
      <c r="K570" s="38">
        <v>0</v>
      </c>
      <c r="L570" s="38">
        <v>1</v>
      </c>
      <c r="M570" s="38">
        <v>0</v>
      </c>
      <c r="N570" s="38">
        <v>0</v>
      </c>
      <c r="O570" s="38">
        <v>0</v>
      </c>
      <c r="P570" s="38">
        <v>0</v>
      </c>
      <c r="Q570" s="38">
        <v>0</v>
      </c>
      <c r="R570" s="38">
        <v>0</v>
      </c>
      <c r="S570" s="38">
        <v>0</v>
      </c>
      <c r="T570" s="38">
        <v>0</v>
      </c>
      <c r="U570" s="29" cm="1">
        <f t="array" aca="1" ref="U570" ca="1">+fair_value_gap(OFFSET(T569,0,0,-1*$J$5,-1*$AA$1),OFFSET(E569,0,0,-1*$J$5,1),F570:T570,0)</f>
        <v>16.439174421766651</v>
      </c>
      <c r="V570" s="9" cm="1">
        <f t="array" aca="1" ref="V570" ca="1">z_score_diff(OFFSET(U570,0,0,$J$5*-1,1),OFFSET(E570,0,0,$J$5*-1,1))</f>
        <v>2.7021921091857234E-2</v>
      </c>
      <c r="W570" s="9">
        <f t="shared" ca="1" si="81"/>
        <v>6.8855992841353769E-2</v>
      </c>
      <c r="X570" s="17">
        <f t="shared" ca="1" si="80"/>
        <v>2.1065683130906377E-3</v>
      </c>
      <c r="Y570" s="13">
        <f t="shared" si="89"/>
        <v>0</v>
      </c>
      <c r="Z570" s="13">
        <f t="shared" si="89"/>
        <v>0</v>
      </c>
      <c r="AA570">
        <f t="shared" ca="1" si="82"/>
        <v>0</v>
      </c>
      <c r="AB570">
        <f t="shared" ca="1" si="83"/>
        <v>1</v>
      </c>
      <c r="AC570" s="24">
        <f t="shared" ca="1" si="84"/>
        <v>0</v>
      </c>
      <c r="AD570" s="24">
        <f t="shared" ca="1" si="85"/>
        <v>2.1065683130906377E-3</v>
      </c>
    </row>
    <row r="571" spans="3:30" x14ac:dyDescent="0.25">
      <c r="C571" s="6">
        <v>564</v>
      </c>
      <c r="D571" s="35">
        <v>42807</v>
      </c>
      <c r="E571" s="37">
        <v>15.901999999999999</v>
      </c>
      <c r="F571" s="37">
        <v>48.512756110607221</v>
      </c>
      <c r="G571" s="37">
        <v>35.9</v>
      </c>
      <c r="H571" s="37">
        <v>3.0112328193678923</v>
      </c>
      <c r="I571" s="37">
        <v>71.862136328751831</v>
      </c>
      <c r="J571" s="10">
        <v>0</v>
      </c>
      <c r="K571" s="38">
        <v>0</v>
      </c>
      <c r="L571" s="38">
        <v>1</v>
      </c>
      <c r="M571" s="38">
        <v>0</v>
      </c>
      <c r="N571" s="38">
        <v>0</v>
      </c>
      <c r="O571" s="38">
        <v>0</v>
      </c>
      <c r="P571" s="38">
        <v>0</v>
      </c>
      <c r="Q571" s="38">
        <v>0</v>
      </c>
      <c r="R571" s="38">
        <v>0</v>
      </c>
      <c r="S571" s="38">
        <v>0</v>
      </c>
      <c r="T571" s="38">
        <v>0</v>
      </c>
      <c r="U571" s="29" cm="1">
        <f t="array" aca="1" ref="U571" ca="1">+fair_value_gap(OFFSET(T570,0,0,-1*$J$5,-1*$AA$1),OFFSET(E570,0,0,-1*$J$5,1),F571:T571,0)</f>
        <v>16.36501223555771</v>
      </c>
      <c r="V571" s="9" cm="1">
        <f t="array" aca="1" ref="V571" ca="1">z_score_diff(OFFSET(U571,0,0,$J$5*-1,1),OFFSET(E571,0,0,$J$5*-1,1))</f>
        <v>0.12587434451832594</v>
      </c>
      <c r="W571" s="9">
        <f t="shared" ca="1" si="81"/>
        <v>8.2517008945812501E-2</v>
      </c>
      <c r="X571" s="17">
        <f t="shared" ca="1" si="80"/>
        <v>7.7675158765871119E-3</v>
      </c>
      <c r="Y571" s="13">
        <f t="shared" si="89"/>
        <v>0</v>
      </c>
      <c r="Z571" s="13">
        <f t="shared" si="89"/>
        <v>0</v>
      </c>
      <c r="AA571">
        <f t="shared" ca="1" si="82"/>
        <v>0</v>
      </c>
      <c r="AB571">
        <f t="shared" ca="1" si="83"/>
        <v>1</v>
      </c>
      <c r="AC571" s="24">
        <f t="shared" ca="1" si="84"/>
        <v>0</v>
      </c>
      <c r="AD571" s="24">
        <f t="shared" ca="1" si="85"/>
        <v>7.7675158765871119E-3</v>
      </c>
    </row>
    <row r="572" spans="3:30" x14ac:dyDescent="0.25">
      <c r="C572" s="6">
        <v>565</v>
      </c>
      <c r="D572" s="35">
        <v>42808</v>
      </c>
      <c r="E572" s="37">
        <v>15.933999999999999</v>
      </c>
      <c r="F572" s="37">
        <v>48.291663707618653</v>
      </c>
      <c r="G572" s="37">
        <v>35.85</v>
      </c>
      <c r="H572" s="37">
        <v>2.922916487566392</v>
      </c>
      <c r="I572" s="37">
        <v>71.204039754654431</v>
      </c>
      <c r="J572" s="10">
        <v>0</v>
      </c>
      <c r="K572" s="38">
        <v>0</v>
      </c>
      <c r="L572" s="38">
        <v>1</v>
      </c>
      <c r="M572" s="38">
        <v>0</v>
      </c>
      <c r="N572" s="38">
        <v>0</v>
      </c>
      <c r="O572" s="38">
        <v>0</v>
      </c>
      <c r="P572" s="38">
        <v>0</v>
      </c>
      <c r="Q572" s="38">
        <v>0</v>
      </c>
      <c r="R572" s="38">
        <v>0</v>
      </c>
      <c r="S572" s="38">
        <v>0</v>
      </c>
      <c r="T572" s="38">
        <v>0</v>
      </c>
      <c r="U572" s="29" cm="1">
        <f t="array" aca="1" ref="U572" ca="1">+fair_value_gap(OFFSET(T571,0,0,-1*$J$5,-1*$AA$1),OFFSET(E571,0,0,-1*$J$5,1),F572:T572,0)</f>
        <v>16.219667508876341</v>
      </c>
      <c r="V572" s="9" cm="1">
        <f t="array" aca="1" ref="V572" ca="1">z_score_diff(OFFSET(U572,0,0,$J$5*-1,1),OFFSET(E572,0,0,$J$5*-1,1))</f>
        <v>-1.8090325591320136E-3</v>
      </c>
      <c r="W572" s="9">
        <f t="shared" ca="1" si="81"/>
        <v>8.592831337393822E-2</v>
      </c>
      <c r="X572" s="17">
        <f t="shared" ca="1" si="80"/>
        <v>7.7519768043179237E-3</v>
      </c>
      <c r="Y572" s="13">
        <f t="shared" si="89"/>
        <v>0</v>
      </c>
      <c r="Z572" s="13">
        <f t="shared" si="89"/>
        <v>0</v>
      </c>
      <c r="AA572">
        <f t="shared" ca="1" si="82"/>
        <v>0</v>
      </c>
      <c r="AB572">
        <f t="shared" ca="1" si="83"/>
        <v>1</v>
      </c>
      <c r="AC572" s="24">
        <f t="shared" ca="1" si="84"/>
        <v>0</v>
      </c>
      <c r="AD572" s="24">
        <f t="shared" ca="1" si="85"/>
        <v>7.7519768043179237E-3</v>
      </c>
    </row>
    <row r="573" spans="3:30" x14ac:dyDescent="0.25">
      <c r="C573" s="6">
        <v>566</v>
      </c>
      <c r="D573" s="35">
        <v>42809</v>
      </c>
      <c r="E573" s="37">
        <v>16.155999999999999</v>
      </c>
      <c r="F573" s="37">
        <v>48.431585189892829</v>
      </c>
      <c r="G573" s="37">
        <v>36.1</v>
      </c>
      <c r="H573" s="37">
        <v>2.9254783577415715</v>
      </c>
      <c r="I573" s="37">
        <v>70.481212092100378</v>
      </c>
      <c r="J573" s="10">
        <v>0</v>
      </c>
      <c r="K573" s="38">
        <v>0</v>
      </c>
      <c r="L573" s="38">
        <v>1</v>
      </c>
      <c r="M573" s="38">
        <v>0</v>
      </c>
      <c r="N573" s="38">
        <v>0</v>
      </c>
      <c r="O573" s="38">
        <v>0</v>
      </c>
      <c r="P573" s="38">
        <v>0</v>
      </c>
      <c r="Q573" s="38">
        <v>0</v>
      </c>
      <c r="R573" s="38">
        <v>0</v>
      </c>
      <c r="S573" s="38">
        <v>0</v>
      </c>
      <c r="T573" s="38">
        <v>0</v>
      </c>
      <c r="U573" s="29" cm="1">
        <f t="array" aca="1" ref="U573" ca="1">+fair_value_gap(OFFSET(T572,0,0,-1*$J$5,-1*$AA$1),OFFSET(E572,0,0,-1*$J$5,1),F573:T573,0)</f>
        <v>16.248895451579639</v>
      </c>
      <c r="V573" s="9" cm="1">
        <f t="array" aca="1" ref="V573" ca="1">z_score_diff(OFFSET(U573,0,0,$J$5*-1,1),OFFSET(E573,0,0,$J$5*-1,1))</f>
        <v>-0.13939209445904069</v>
      </c>
      <c r="W573" s="9">
        <f t="shared" ca="1" si="81"/>
        <v>8.1634276220682797E-2</v>
      </c>
      <c r="X573" s="17">
        <f t="shared" ca="1" si="80"/>
        <v>9.8985407735818548E-4</v>
      </c>
      <c r="Y573" s="13">
        <f t="shared" si="89"/>
        <v>0</v>
      </c>
      <c r="Z573" s="13">
        <f t="shared" si="89"/>
        <v>0</v>
      </c>
      <c r="AA573">
        <f t="shared" ca="1" si="82"/>
        <v>0</v>
      </c>
      <c r="AB573">
        <f t="shared" ca="1" si="83"/>
        <v>1</v>
      </c>
      <c r="AC573" s="24">
        <f t="shared" ca="1" si="84"/>
        <v>0</v>
      </c>
      <c r="AD573" s="24">
        <f t="shared" ca="1" si="85"/>
        <v>9.8985407735818548E-4</v>
      </c>
    </row>
    <row r="574" spans="3:30" x14ac:dyDescent="0.25">
      <c r="C574" s="6">
        <v>567</v>
      </c>
      <c r="D574" s="35">
        <v>42810</v>
      </c>
      <c r="E574" s="37">
        <v>16.050999999999998</v>
      </c>
      <c r="F574" s="37">
        <v>48.168023021995872</v>
      </c>
      <c r="G574" s="37">
        <v>36.1</v>
      </c>
      <c r="H574" s="37">
        <v>2.8676262846109886</v>
      </c>
      <c r="I574" s="37">
        <v>70.448264469502931</v>
      </c>
      <c r="J574" s="10">
        <v>0</v>
      </c>
      <c r="K574" s="38">
        <v>0</v>
      </c>
      <c r="L574" s="38">
        <v>1</v>
      </c>
      <c r="M574" s="38">
        <v>0</v>
      </c>
      <c r="N574" s="38">
        <v>0</v>
      </c>
      <c r="O574" s="38">
        <v>0</v>
      </c>
      <c r="P574" s="38">
        <v>0</v>
      </c>
      <c r="Q574" s="38">
        <v>0</v>
      </c>
      <c r="R574" s="38">
        <v>0</v>
      </c>
      <c r="S574" s="38">
        <v>0</v>
      </c>
      <c r="T574" s="38">
        <v>0</v>
      </c>
      <c r="U574" s="29" cm="1">
        <f t="array" aca="1" ref="U574" ca="1">+fair_value_gap(OFFSET(T573,0,0,-1*$J$5,-1*$AA$1),OFFSET(E573,0,0,-1*$J$5,1),F574:T574,0)</f>
        <v>16.15389742224518</v>
      </c>
      <c r="V574" s="9" cm="1">
        <f t="array" aca="1" ref="V574" ca="1">z_score_diff(OFFSET(U574,0,0,$J$5*-1,1),OFFSET(E574,0,0,$J$5*-1,1))</f>
        <v>-0.13846102806324914</v>
      </c>
      <c r="W574" s="9">
        <f t="shared" ca="1" si="81"/>
        <v>7.8651318537566919E-2</v>
      </c>
      <c r="X574" s="17">
        <f t="shared" ca="1" si="80"/>
        <v>5.0957107529261804E-3</v>
      </c>
      <c r="Y574" s="13">
        <f t="shared" si="89"/>
        <v>0</v>
      </c>
      <c r="Z574" s="13">
        <f t="shared" si="89"/>
        <v>0</v>
      </c>
      <c r="AA574">
        <f t="shared" ca="1" si="82"/>
        <v>0</v>
      </c>
      <c r="AB574">
        <f t="shared" ca="1" si="83"/>
        <v>1</v>
      </c>
      <c r="AC574" s="24">
        <f t="shared" ca="1" si="84"/>
        <v>0</v>
      </c>
      <c r="AD574" s="24">
        <f t="shared" ca="1" si="85"/>
        <v>5.0957107529261804E-3</v>
      </c>
    </row>
    <row r="575" spans="3:30" x14ac:dyDescent="0.25">
      <c r="C575" s="6">
        <v>568</v>
      </c>
      <c r="D575" s="35">
        <v>42811</v>
      </c>
      <c r="E575" s="37">
        <v>16.044</v>
      </c>
      <c r="F575" s="37">
        <v>48.365140207258086</v>
      </c>
      <c r="G575" s="37">
        <v>36.18</v>
      </c>
      <c r="H575" s="37">
        <v>2.9043063789598729</v>
      </c>
      <c r="I575" s="37">
        <v>70.140520838329095</v>
      </c>
      <c r="J575" s="10">
        <v>0</v>
      </c>
      <c r="K575" s="38">
        <v>0</v>
      </c>
      <c r="L575" s="38">
        <v>1</v>
      </c>
      <c r="M575" s="38">
        <v>0</v>
      </c>
      <c r="N575" s="38">
        <v>0</v>
      </c>
      <c r="O575" s="38">
        <v>0</v>
      </c>
      <c r="P575" s="38">
        <v>0</v>
      </c>
      <c r="Q575" s="38">
        <v>0</v>
      </c>
      <c r="R575" s="38">
        <v>0</v>
      </c>
      <c r="S575" s="38">
        <v>0</v>
      </c>
      <c r="T575" s="38">
        <v>0</v>
      </c>
      <c r="U575" s="29" cm="1">
        <f t="array" aca="1" ref="U575" ca="1">+fair_value_gap(OFFSET(T574,0,0,-1*$J$5,-1*$AA$1),OFFSET(E574,0,0,-1*$J$5,1),F575:T575,0)</f>
        <v>16.148406575007527</v>
      </c>
      <c r="V575" s="9" cm="1">
        <f t="array" aca="1" ref="V575" ca="1">z_score_diff(OFFSET(U575,0,0,$J$5*-1,1),OFFSET(E575,0,0,$J$5*-1,1))</f>
        <v>-0.14129524872874569</v>
      </c>
      <c r="W575" s="9">
        <f t="shared" ca="1" si="81"/>
        <v>7.1464404567788298E-2</v>
      </c>
      <c r="X575" s="17">
        <f t="shared" ca="1" si="80"/>
        <v>4.1031396677862562E-2</v>
      </c>
      <c r="Y575" s="13">
        <f t="shared" si="89"/>
        <v>0</v>
      </c>
      <c r="Z575" s="13">
        <f t="shared" si="89"/>
        <v>0</v>
      </c>
      <c r="AA575">
        <f t="shared" ca="1" si="82"/>
        <v>0</v>
      </c>
      <c r="AB575">
        <f t="shared" ca="1" si="83"/>
        <v>1</v>
      </c>
      <c r="AC575" s="24">
        <f t="shared" ca="1" si="84"/>
        <v>0</v>
      </c>
      <c r="AD575" s="24">
        <f t="shared" ca="1" si="85"/>
        <v>4.1031396677862562E-2</v>
      </c>
    </row>
    <row r="576" spans="3:30" x14ac:dyDescent="0.25">
      <c r="C576" s="6">
        <v>569</v>
      </c>
      <c r="D576" s="35">
        <v>42814</v>
      </c>
      <c r="E576" s="37">
        <v>15.868</v>
      </c>
      <c r="F576" s="37">
        <v>48.255933533723351</v>
      </c>
      <c r="G576" s="37">
        <v>35.93</v>
      </c>
      <c r="H576" s="37">
        <v>2.9800252532006906</v>
      </c>
      <c r="I576" s="37">
        <v>69.727610381297495</v>
      </c>
      <c r="J576" s="10">
        <v>0</v>
      </c>
      <c r="K576" s="38">
        <v>0</v>
      </c>
      <c r="L576" s="38">
        <v>1</v>
      </c>
      <c r="M576" s="38">
        <v>0</v>
      </c>
      <c r="N576" s="38">
        <v>0</v>
      </c>
      <c r="O576" s="38">
        <v>0</v>
      </c>
      <c r="P576" s="38">
        <v>0</v>
      </c>
      <c r="Q576" s="38">
        <v>0</v>
      </c>
      <c r="R576" s="38">
        <v>0</v>
      </c>
      <c r="S576" s="38">
        <v>0</v>
      </c>
      <c r="T576" s="38">
        <v>0</v>
      </c>
      <c r="U576" s="29" cm="1">
        <f t="array" aca="1" ref="U576" ca="1">+fair_value_gap(OFFSET(T575,0,0,-1*$J$5,-1*$AA$1),OFFSET(E575,0,0,-1*$J$5,1),F576:T576,0)</f>
        <v>16.030880687412232</v>
      </c>
      <c r="V576" s="9" cm="1">
        <f t="array" aca="1" ref="V576" ca="1">z_score_diff(OFFSET(U576,0,0,$J$5*-1,1),OFFSET(E576,0,0,$J$5*-1,1))</f>
        <v>-9.4069482659775966E-2</v>
      </c>
      <c r="W576" s="9">
        <f t="shared" ca="1" si="81"/>
        <v>6.9050310570025072E-2</v>
      </c>
      <c r="X576" s="17">
        <f t="shared" ca="1" si="80"/>
        <v>4.3832331605244412E-2</v>
      </c>
      <c r="Y576" s="13">
        <f t="shared" si="89"/>
        <v>0</v>
      </c>
      <c r="Z576" s="13">
        <f t="shared" si="89"/>
        <v>0</v>
      </c>
      <c r="AA576">
        <f t="shared" ca="1" si="82"/>
        <v>0</v>
      </c>
      <c r="AB576">
        <f t="shared" ca="1" si="83"/>
        <v>1</v>
      </c>
      <c r="AC576" s="24">
        <f t="shared" ca="1" si="84"/>
        <v>0</v>
      </c>
      <c r="AD576" s="24">
        <f t="shared" ca="1" si="85"/>
        <v>4.3832331605244412E-2</v>
      </c>
    </row>
    <row r="577" spans="3:30" x14ac:dyDescent="0.25">
      <c r="C577" s="6">
        <v>570</v>
      </c>
      <c r="D577" s="35">
        <v>42815</v>
      </c>
      <c r="E577" s="37">
        <v>15.685</v>
      </c>
      <c r="F577" s="37">
        <v>47.564736817013291</v>
      </c>
      <c r="G577" s="37">
        <v>35.520000000000003</v>
      </c>
      <c r="H577" s="37">
        <v>3.0080937065655475</v>
      </c>
      <c r="I577" s="37">
        <v>68.578302118592788</v>
      </c>
      <c r="J577" s="10">
        <v>0</v>
      </c>
      <c r="K577" s="38">
        <v>0</v>
      </c>
      <c r="L577" s="38">
        <v>1</v>
      </c>
      <c r="M577" s="38">
        <v>0</v>
      </c>
      <c r="N577" s="38">
        <v>0</v>
      </c>
      <c r="O577" s="38">
        <v>0</v>
      </c>
      <c r="P577" s="38">
        <v>0</v>
      </c>
      <c r="Q577" s="38">
        <v>0</v>
      </c>
      <c r="R577" s="38">
        <v>0</v>
      </c>
      <c r="S577" s="38">
        <v>0</v>
      </c>
      <c r="T577" s="38">
        <v>0</v>
      </c>
      <c r="U577" s="29" cm="1">
        <f t="array" aca="1" ref="U577" ca="1">+fair_value_gap(OFFSET(T576,0,0,-1*$J$5,-1*$AA$1),OFFSET(E576,0,0,-1*$J$5,1),F577:T577,0)</f>
        <v>15.855276669661192</v>
      </c>
      <c r="V577" s="9" cm="1">
        <f t="array" aca="1" ref="V577" ca="1">z_score_diff(OFFSET(U577,0,0,$J$5*-1,1),OFFSET(E577,0,0,$J$5*-1,1))</f>
        <v>-8.9686989625000546E-2</v>
      </c>
      <c r="W577" s="9">
        <f t="shared" ca="1" si="81"/>
        <v>6.9649340931371512E-2</v>
      </c>
      <c r="X577" s="17">
        <f t="shared" ca="1" si="80"/>
        <v>4.6890886083666733E-2</v>
      </c>
      <c r="Y577" s="13">
        <f t="shared" si="89"/>
        <v>0</v>
      </c>
      <c r="Z577" s="13">
        <f t="shared" si="89"/>
        <v>0</v>
      </c>
      <c r="AA577">
        <f t="shared" ca="1" si="82"/>
        <v>0</v>
      </c>
      <c r="AB577">
        <f t="shared" ca="1" si="83"/>
        <v>1</v>
      </c>
      <c r="AC577" s="24">
        <f t="shared" ca="1" si="84"/>
        <v>0</v>
      </c>
      <c r="AD577" s="24">
        <f t="shared" ca="1" si="85"/>
        <v>4.6890886083666733E-2</v>
      </c>
    </row>
    <row r="578" spans="3:30" x14ac:dyDescent="0.25">
      <c r="C578" s="6">
        <v>571</v>
      </c>
      <c r="D578" s="35">
        <v>42816</v>
      </c>
      <c r="E578" s="37">
        <v>15.689</v>
      </c>
      <c r="F578" s="37">
        <v>47.375444431595625</v>
      </c>
      <c r="G578" s="37">
        <v>35.159999999999997</v>
      </c>
      <c r="H578" s="37">
        <v>2.956146968503865</v>
      </c>
      <c r="I578" s="37">
        <v>67.961093765200616</v>
      </c>
      <c r="J578" s="10">
        <v>0</v>
      </c>
      <c r="K578" s="38">
        <v>0</v>
      </c>
      <c r="L578" s="38">
        <v>1</v>
      </c>
      <c r="M578" s="38">
        <v>0</v>
      </c>
      <c r="N578" s="38">
        <v>0</v>
      </c>
      <c r="O578" s="38">
        <v>0</v>
      </c>
      <c r="P578" s="38">
        <v>0</v>
      </c>
      <c r="Q578" s="38">
        <v>0</v>
      </c>
      <c r="R578" s="38">
        <v>0</v>
      </c>
      <c r="S578" s="38">
        <v>0</v>
      </c>
      <c r="T578" s="38">
        <v>0</v>
      </c>
      <c r="U578" s="29" cm="1">
        <f t="array" aca="1" ref="U578" ca="1">+fair_value_gap(OFFSET(T577,0,0,-1*$J$5,-1*$AA$1),OFFSET(E577,0,0,-1*$J$5,1),F578:T578,0)</f>
        <v>15.679882751484293</v>
      </c>
      <c r="V578" s="9" cm="1">
        <f t="array" aca="1" ref="V578" ca="1">z_score_diff(OFFSET(U578,0,0,$J$5*-1,1),OFFSET(E578,0,0,$J$5*-1,1))</f>
        <v>-0.23043765103268649</v>
      </c>
      <c r="W578" s="9">
        <f t="shared" ca="1" si="81"/>
        <v>6.738522138373465E-2</v>
      </c>
      <c r="X578" s="17">
        <f t="shared" ca="1" si="80"/>
        <v>5.9870718644152263E-2</v>
      </c>
      <c r="Y578" s="13">
        <f t="shared" si="89"/>
        <v>0</v>
      </c>
      <c r="Z578" s="13">
        <f t="shared" si="89"/>
        <v>0</v>
      </c>
      <c r="AA578">
        <f t="shared" ca="1" si="82"/>
        <v>0</v>
      </c>
      <c r="AB578">
        <f t="shared" ca="1" si="83"/>
        <v>1</v>
      </c>
      <c r="AC578" s="24">
        <f t="shared" ca="1" si="84"/>
        <v>0</v>
      </c>
      <c r="AD578" s="24">
        <f t="shared" ca="1" si="85"/>
        <v>5.9870718644152263E-2</v>
      </c>
    </row>
    <row r="579" spans="3:30" x14ac:dyDescent="0.25">
      <c r="C579" s="6">
        <v>572</v>
      </c>
      <c r="D579" s="35">
        <v>42817</v>
      </c>
      <c r="E579" s="37">
        <v>15.662000000000001</v>
      </c>
      <c r="F579" s="37">
        <v>47.164002433559602</v>
      </c>
      <c r="G579" s="37">
        <v>35.090000000000003</v>
      </c>
      <c r="H579" s="37">
        <v>3.0152979731977601</v>
      </c>
      <c r="I579" s="37">
        <v>69.293955251176811</v>
      </c>
      <c r="J579" s="10">
        <v>0</v>
      </c>
      <c r="K579" s="38">
        <v>0</v>
      </c>
      <c r="L579" s="38">
        <v>1</v>
      </c>
      <c r="M579" s="38">
        <v>0</v>
      </c>
      <c r="N579" s="38">
        <v>0</v>
      </c>
      <c r="O579" s="38">
        <v>0</v>
      </c>
      <c r="P579" s="38">
        <v>0</v>
      </c>
      <c r="Q579" s="38">
        <v>0</v>
      </c>
      <c r="R579" s="38">
        <v>0</v>
      </c>
      <c r="S579" s="38">
        <v>0</v>
      </c>
      <c r="T579" s="38">
        <v>0</v>
      </c>
      <c r="U579" s="29" cm="1">
        <f t="array" aca="1" ref="U579" ca="1">+fair_value_gap(OFFSET(T578,0,0,-1*$J$5,-1*$AA$1),OFFSET(E578,0,0,-1*$J$5,1),F579:T579,0)</f>
        <v>15.715071075737853</v>
      </c>
      <c r="V579" s="9" cm="1">
        <f t="array" aca="1" ref="V579" ca="1">z_score_diff(OFFSET(U579,0,0,$J$5*-1,1),OFFSET(E579,0,0,$J$5*-1,1))</f>
        <v>-0.18182415524850443</v>
      </c>
      <c r="W579" s="9">
        <f t="shared" ca="1" si="81"/>
        <v>6.682279263085536E-2</v>
      </c>
      <c r="X579" s="17">
        <f t="shared" ca="1" si="80"/>
        <v>4.8175810787436733E-2</v>
      </c>
      <c r="Y579" s="13">
        <f t="shared" si="89"/>
        <v>0</v>
      </c>
      <c r="Z579" s="13">
        <f t="shared" si="89"/>
        <v>0</v>
      </c>
      <c r="AA579">
        <f t="shared" ca="1" si="82"/>
        <v>0</v>
      </c>
      <c r="AB579">
        <f t="shared" ca="1" si="83"/>
        <v>1</v>
      </c>
      <c r="AC579" s="24">
        <f t="shared" ca="1" si="84"/>
        <v>0</v>
      </c>
      <c r="AD579" s="24">
        <f t="shared" ca="1" si="85"/>
        <v>4.8175810787436733E-2</v>
      </c>
    </row>
    <row r="580" spans="3:30" x14ac:dyDescent="0.25">
      <c r="C580" s="6">
        <v>573</v>
      </c>
      <c r="D580" s="35">
        <v>42818</v>
      </c>
      <c r="E580" s="37">
        <v>15.406000000000001</v>
      </c>
      <c r="F580" s="37">
        <v>47.375400951729766</v>
      </c>
      <c r="G580" s="37">
        <v>35.119999999999997</v>
      </c>
      <c r="H580" s="37">
        <v>3.0350726646139159</v>
      </c>
      <c r="I580" s="37">
        <v>69.934241621887026</v>
      </c>
      <c r="J580" s="10">
        <v>0</v>
      </c>
      <c r="K580" s="38">
        <v>0</v>
      </c>
      <c r="L580" s="38">
        <v>1</v>
      </c>
      <c r="M580" s="38">
        <v>0</v>
      </c>
      <c r="N580" s="38">
        <v>0</v>
      </c>
      <c r="O580" s="38">
        <v>0</v>
      </c>
      <c r="P580" s="38">
        <v>0</v>
      </c>
      <c r="Q580" s="38">
        <v>0</v>
      </c>
      <c r="R580" s="38">
        <v>0</v>
      </c>
      <c r="S580" s="38">
        <v>0</v>
      </c>
      <c r="T580" s="38">
        <v>0</v>
      </c>
      <c r="U580" s="29" cm="1">
        <f t="array" aca="1" ref="U580" ca="1">+fair_value_gap(OFFSET(T579,0,0,-1*$J$5,-1*$AA$1),OFFSET(E579,0,0,-1*$J$5,1),F580:T580,0)</f>
        <v>15.75469624420203</v>
      </c>
      <c r="V580" s="9" cm="1">
        <f t="array" aca="1" ref="V580" ca="1">z_score_diff(OFFSET(U580,0,0,$J$5*-1,1),OFFSET(E580,0,0,$J$5*-1,1))</f>
        <v>5.5220273493921557E-2</v>
      </c>
      <c r="W580" s="9">
        <f t="shared" ca="1" si="81"/>
        <v>7.1528520175422841E-2</v>
      </c>
      <c r="X580" s="17">
        <f t="shared" ca="1" si="80"/>
        <v>4.3130116760215692E-2</v>
      </c>
      <c r="Y580" s="13">
        <f t="shared" si="89"/>
        <v>0</v>
      </c>
      <c r="Z580" s="13">
        <f t="shared" si="89"/>
        <v>0</v>
      </c>
      <c r="AA580">
        <f t="shared" ca="1" si="82"/>
        <v>0</v>
      </c>
      <c r="AB580">
        <f t="shared" ca="1" si="83"/>
        <v>1</v>
      </c>
      <c r="AC580" s="24">
        <f t="shared" ca="1" si="84"/>
        <v>0</v>
      </c>
      <c r="AD580" s="24">
        <f t="shared" ca="1" si="85"/>
        <v>4.3130116760215692E-2</v>
      </c>
    </row>
    <row r="581" spans="3:30" x14ac:dyDescent="0.25">
      <c r="C581" s="6">
        <v>574</v>
      </c>
      <c r="D581" s="35">
        <v>42821</v>
      </c>
      <c r="E581" s="37">
        <v>15.15</v>
      </c>
      <c r="F581" s="37">
        <v>47.155782855328717</v>
      </c>
      <c r="G581" s="37">
        <v>34.64</v>
      </c>
      <c r="H581" s="37">
        <v>2.9959294040800835</v>
      </c>
      <c r="I581" s="37">
        <v>68.603499143368538</v>
      </c>
      <c r="J581" s="10">
        <v>0</v>
      </c>
      <c r="K581" s="38">
        <v>0</v>
      </c>
      <c r="L581" s="38">
        <v>1</v>
      </c>
      <c r="M581" s="38">
        <v>0</v>
      </c>
      <c r="N581" s="38">
        <v>0</v>
      </c>
      <c r="O581" s="38">
        <v>0</v>
      </c>
      <c r="P581" s="38">
        <v>0</v>
      </c>
      <c r="Q581" s="38">
        <v>0</v>
      </c>
      <c r="R581" s="38">
        <v>0</v>
      </c>
      <c r="S581" s="38">
        <v>0</v>
      </c>
      <c r="T581" s="38">
        <v>0</v>
      </c>
      <c r="U581" s="29" cm="1">
        <f t="array" aca="1" ref="U581" ca="1">+fair_value_gap(OFFSET(T580,0,0,-1*$J$5,-1*$AA$1),OFFSET(E580,0,0,-1*$J$5,1),F581:T581,0)</f>
        <v>15.523106035463305</v>
      </c>
      <c r="V581" s="9" cm="1">
        <f t="array" aca="1" ref="V581" ca="1">z_score_diff(OFFSET(U581,0,0,$J$5*-1,1),OFFSET(E581,0,0,$J$5*-1,1))</f>
        <v>7.6060249589814388E-2</v>
      </c>
      <c r="W581" s="9">
        <f t="shared" ca="1" si="81"/>
        <v>6.8918818150639341E-2</v>
      </c>
      <c r="X581" s="17">
        <f t="shared" ca="1" si="80"/>
        <v>7.3777884677544342E-2</v>
      </c>
      <c r="Y581" s="13">
        <f t="shared" si="89"/>
        <v>0</v>
      </c>
      <c r="Z581" s="13">
        <f t="shared" si="89"/>
        <v>0</v>
      </c>
      <c r="AA581">
        <f t="shared" ca="1" si="82"/>
        <v>0</v>
      </c>
      <c r="AB581">
        <f t="shared" ca="1" si="83"/>
        <v>1</v>
      </c>
      <c r="AC581" s="24">
        <f t="shared" ca="1" si="84"/>
        <v>0</v>
      </c>
      <c r="AD581" s="24">
        <f t="shared" ca="1" si="85"/>
        <v>7.3777884677544342E-2</v>
      </c>
    </row>
    <row r="582" spans="3:30" x14ac:dyDescent="0.25">
      <c r="C582" s="6">
        <v>575</v>
      </c>
      <c r="D582" s="35">
        <v>42822</v>
      </c>
      <c r="E582" s="37">
        <v>15.282</v>
      </c>
      <c r="F582" s="37">
        <v>47.763766461768363</v>
      </c>
      <c r="G582" s="37">
        <v>34.85</v>
      </c>
      <c r="H582" s="37">
        <v>3.0491801775785334</v>
      </c>
      <c r="I582" s="37">
        <v>70.408008911013638</v>
      </c>
      <c r="J582" s="10">
        <v>0</v>
      </c>
      <c r="K582" s="38">
        <v>0</v>
      </c>
      <c r="L582" s="38">
        <v>1</v>
      </c>
      <c r="M582" s="38">
        <v>0</v>
      </c>
      <c r="N582" s="38">
        <v>0</v>
      </c>
      <c r="O582" s="38">
        <v>0</v>
      </c>
      <c r="P582" s="38">
        <v>0</v>
      </c>
      <c r="Q582" s="38">
        <v>0</v>
      </c>
      <c r="R582" s="38">
        <v>0</v>
      </c>
      <c r="S582" s="38">
        <v>0</v>
      </c>
      <c r="T582" s="38">
        <v>0</v>
      </c>
      <c r="U582" s="29" cm="1">
        <f t="array" aca="1" ref="U582" ca="1">+fair_value_gap(OFFSET(T581,0,0,-1*$J$5,-1*$AA$1),OFFSET(E581,0,0,-1*$J$5,1),F582:T582,0)</f>
        <v>15.658820235309596</v>
      </c>
      <c r="V582" s="9" cm="1">
        <f t="array" aca="1" ref="V582" ca="1">z_score_diff(OFFSET(U582,0,0,$J$5*-1,1),OFFSET(E582,0,0,$J$5*-1,1))</f>
        <v>8.6247234969846542E-2</v>
      </c>
      <c r="W582" s="9">
        <f t="shared" ca="1" si="81"/>
        <v>3.9752202580045776E-2</v>
      </c>
      <c r="X582" s="17">
        <f t="shared" ca="1" si="80"/>
        <v>6.0863243967090884E-2</v>
      </c>
      <c r="Y582" s="13">
        <f t="shared" si="89"/>
        <v>0</v>
      </c>
      <c r="Z582" s="13">
        <f t="shared" si="89"/>
        <v>0</v>
      </c>
      <c r="AA582">
        <f t="shared" ca="1" si="82"/>
        <v>0</v>
      </c>
      <c r="AB582">
        <f t="shared" ca="1" si="83"/>
        <v>1</v>
      </c>
      <c r="AC582" s="24">
        <f t="shared" ca="1" si="84"/>
        <v>0</v>
      </c>
      <c r="AD582" s="24">
        <f t="shared" ca="1" si="85"/>
        <v>6.0863243967090884E-2</v>
      </c>
    </row>
    <row r="583" spans="3:30" x14ac:dyDescent="0.25">
      <c r="C583" s="6">
        <v>576</v>
      </c>
      <c r="D583" s="35">
        <v>42823</v>
      </c>
      <c r="E583" s="37">
        <v>15.776</v>
      </c>
      <c r="F583" s="37">
        <v>48.90857999388642</v>
      </c>
      <c r="G583" s="37">
        <v>35.32</v>
      </c>
      <c r="H583" s="37">
        <v>3.0991393121126074</v>
      </c>
      <c r="I583" s="37">
        <v>71.125523428609299</v>
      </c>
      <c r="J583" s="10">
        <v>0</v>
      </c>
      <c r="K583" s="38">
        <v>0</v>
      </c>
      <c r="L583" s="38">
        <v>1</v>
      </c>
      <c r="M583" s="38">
        <v>0</v>
      </c>
      <c r="N583" s="38">
        <v>0</v>
      </c>
      <c r="O583" s="38">
        <v>0</v>
      </c>
      <c r="P583" s="38">
        <v>0</v>
      </c>
      <c r="Q583" s="38">
        <v>0</v>
      </c>
      <c r="R583" s="38">
        <v>0</v>
      </c>
      <c r="S583" s="38">
        <v>0</v>
      </c>
      <c r="T583" s="38">
        <v>0</v>
      </c>
      <c r="U583" s="29" cm="1">
        <f t="array" aca="1" ref="U583" ca="1">+fair_value_gap(OFFSET(T582,0,0,-1*$J$5,-1*$AA$1),OFFSET(E582,0,0,-1*$J$5,1),F583:T583,0)</f>
        <v>15.871968088208474</v>
      </c>
      <c r="V583" s="9" cm="1">
        <f t="array" aca="1" ref="V583" ca="1">z_score_diff(OFFSET(U583,0,0,$J$5*-1,1),OFFSET(E583,0,0,$J$5*-1,1))</f>
        <v>-0.14436581787299191</v>
      </c>
      <c r="W583" s="9">
        <f t="shared" ca="1" si="81"/>
        <v>1.9688725048558495E-2</v>
      </c>
      <c r="X583" s="17">
        <f t="shared" ref="X583:X646" ca="1" si="90">+LN(OFFSET(E583,$X$3,0,1,1)/E583)</f>
        <v>8.0120719921498829E-2</v>
      </c>
      <c r="Y583" s="13">
        <f t="shared" si="89"/>
        <v>0</v>
      </c>
      <c r="Z583" s="13">
        <f t="shared" si="89"/>
        <v>0</v>
      </c>
      <c r="AA583">
        <f t="shared" ca="1" si="82"/>
        <v>0</v>
      </c>
      <c r="AB583">
        <f t="shared" ca="1" si="83"/>
        <v>1</v>
      </c>
      <c r="AC583" s="24">
        <f t="shared" ca="1" si="84"/>
        <v>0</v>
      </c>
      <c r="AD583" s="24">
        <f t="shared" ca="1" si="85"/>
        <v>8.0120719921498829E-2</v>
      </c>
    </row>
    <row r="584" spans="3:30" x14ac:dyDescent="0.25">
      <c r="C584" s="6">
        <v>577</v>
      </c>
      <c r="D584" s="35">
        <v>42824</v>
      </c>
      <c r="E584" s="37">
        <v>16.13</v>
      </c>
      <c r="F584" s="37">
        <v>49.911353278072241</v>
      </c>
      <c r="G584" s="37">
        <v>35.630000000000003</v>
      </c>
      <c r="H584" s="37">
        <v>3.0919605313233887</v>
      </c>
      <c r="I584" s="37">
        <v>71.474320297778732</v>
      </c>
      <c r="J584" s="10">
        <v>0</v>
      </c>
      <c r="K584" s="38">
        <v>0</v>
      </c>
      <c r="L584" s="38">
        <v>1</v>
      </c>
      <c r="M584" s="38">
        <v>0</v>
      </c>
      <c r="N584" s="38">
        <v>0</v>
      </c>
      <c r="O584" s="38">
        <v>0</v>
      </c>
      <c r="P584" s="38">
        <v>0</v>
      </c>
      <c r="Q584" s="38">
        <v>0</v>
      </c>
      <c r="R584" s="38">
        <v>0</v>
      </c>
      <c r="S584" s="38">
        <v>0</v>
      </c>
      <c r="T584" s="38">
        <v>0</v>
      </c>
      <c r="U584" s="29" cm="1">
        <f t="array" aca="1" ref="U584" ca="1">+fair_value_gap(OFFSET(T583,0,0,-1*$J$5,-1*$AA$1),OFFSET(E583,0,0,-1*$J$5,1),F584:T584,0)</f>
        <v>16.010610800784182</v>
      </c>
      <c r="V584" s="9" cm="1">
        <f t="array" aca="1" ref="V584" ca="1">z_score_diff(OFFSET(U584,0,0,$J$5*-1,1),OFFSET(E584,0,0,$J$5*-1,1))</f>
        <v>-0.33114526787328491</v>
      </c>
      <c r="W584" s="9">
        <f t="shared" ref="W584:W647" ca="1" si="91">+IF(ISERROR(AVERAGE(OFFSET(V584,0,0,$W$5*-1,1))),"",AVERAGE(OFFSET(V584,0,0,$W$5*-1,1)))</f>
        <v>-1.4430730293563074E-2</v>
      </c>
      <c r="X584" s="17">
        <f t="shared" ca="1" si="90"/>
        <v>5.751999343013775E-2</v>
      </c>
      <c r="Y584" s="13">
        <f t="shared" si="89"/>
        <v>0</v>
      </c>
      <c r="Z584" s="13">
        <f t="shared" si="89"/>
        <v>0</v>
      </c>
      <c r="AA584">
        <f t="shared" ref="AA584:AA647" ca="1" si="92">+IF(W584="","",IF(W584&lt;Y584,1,0))</f>
        <v>1</v>
      </c>
      <c r="AB584">
        <f t="shared" ref="AB584:AB647" ca="1" si="93">+IF(W584="","",IF(W584&gt;Z584,1,0))</f>
        <v>0</v>
      </c>
      <c r="AC584" s="24">
        <f t="shared" ref="AC584:AC647" ca="1" si="94">+IF(ISERROR(AA584*X584),"",AA584*X584)</f>
        <v>5.751999343013775E-2</v>
      </c>
      <c r="AD584" s="24">
        <f t="shared" ref="AD584:AD647" ca="1" si="95">+IF(ISERROR(AB584*X584),"",AB584*X584)</f>
        <v>0</v>
      </c>
    </row>
    <row r="585" spans="3:30" x14ac:dyDescent="0.25">
      <c r="C585" s="6">
        <v>578</v>
      </c>
      <c r="D585" s="35">
        <v>42825</v>
      </c>
      <c r="E585" s="37">
        <v>16.233000000000001</v>
      </c>
      <c r="F585" s="37">
        <v>50.404276546004141</v>
      </c>
      <c r="G585" s="37">
        <v>38.21</v>
      </c>
      <c r="H585" s="37">
        <v>3.0972199472876989</v>
      </c>
      <c r="I585" s="37">
        <v>71.939633991988927</v>
      </c>
      <c r="J585" s="10">
        <v>0</v>
      </c>
      <c r="K585" s="38">
        <v>0</v>
      </c>
      <c r="L585" s="38">
        <v>1</v>
      </c>
      <c r="M585" s="38">
        <v>0</v>
      </c>
      <c r="N585" s="38">
        <v>0</v>
      </c>
      <c r="O585" s="38">
        <v>0</v>
      </c>
      <c r="P585" s="38">
        <v>0</v>
      </c>
      <c r="Q585" s="38">
        <v>0</v>
      </c>
      <c r="R585" s="38">
        <v>0</v>
      </c>
      <c r="S585" s="38">
        <v>0</v>
      </c>
      <c r="T585" s="38">
        <v>0</v>
      </c>
      <c r="U585" s="29" cm="1">
        <f t="array" aca="1" ref="U585" ca="1">+fair_value_gap(OFFSET(T584,0,0,-1*$J$5,-1*$AA$1),OFFSET(E584,0,0,-1*$J$5,1),F585:T585,0)</f>
        <v>16.850801061546463</v>
      </c>
      <c r="V585" s="9" cm="1">
        <f t="array" aca="1" ref="V585" ca="1">z_score_diff(OFFSET(U585,0,0,$J$5*-1,1),OFFSET(E585,0,0,$J$5*-1,1))</f>
        <v>0.32361201439737269</v>
      </c>
      <c r="W585" s="9">
        <f t="shared" ca="1" si="91"/>
        <v>-9.4440821152396021E-3</v>
      </c>
      <c r="X585" s="17">
        <f t="shared" ca="1" si="90"/>
        <v>6.9194087406684174E-2</v>
      </c>
      <c r="Y585" s="13">
        <f t="shared" ref="Y585:Z600" si="96">+Y584</f>
        <v>0</v>
      </c>
      <c r="Z585" s="13">
        <f t="shared" si="96"/>
        <v>0</v>
      </c>
      <c r="AA585">
        <f t="shared" ca="1" si="92"/>
        <v>1</v>
      </c>
      <c r="AB585">
        <f t="shared" ca="1" si="93"/>
        <v>0</v>
      </c>
      <c r="AC585" s="24">
        <f t="shared" ca="1" si="94"/>
        <v>6.9194087406684174E-2</v>
      </c>
      <c r="AD585" s="24">
        <f t="shared" ca="1" si="95"/>
        <v>0</v>
      </c>
    </row>
    <row r="586" spans="3:30" x14ac:dyDescent="0.25">
      <c r="C586" s="6">
        <v>579</v>
      </c>
      <c r="D586" s="35">
        <v>42828</v>
      </c>
      <c r="E586" s="37">
        <v>16.417999999999999</v>
      </c>
      <c r="F586" s="37">
        <v>50.079875171824497</v>
      </c>
      <c r="G586" s="37">
        <v>38.700000000000003</v>
      </c>
      <c r="H586" s="37">
        <v>3.0668350856336142</v>
      </c>
      <c r="I586" s="37">
        <v>74.34892447152356</v>
      </c>
      <c r="J586" s="10">
        <v>0</v>
      </c>
      <c r="K586" s="38">
        <v>0</v>
      </c>
      <c r="L586" s="38">
        <v>0</v>
      </c>
      <c r="M586" s="38">
        <v>1</v>
      </c>
      <c r="N586" s="38">
        <v>0</v>
      </c>
      <c r="O586" s="38">
        <v>0</v>
      </c>
      <c r="P586" s="38">
        <v>0</v>
      </c>
      <c r="Q586" s="38">
        <v>0</v>
      </c>
      <c r="R586" s="38">
        <v>0</v>
      </c>
      <c r="S586" s="38">
        <v>0</v>
      </c>
      <c r="T586" s="38">
        <v>0</v>
      </c>
      <c r="U586" s="29" cm="1">
        <f t="array" aca="1" ref="U586" ca="1">+fair_value_gap(OFFSET(T585,0,0,-1*$J$5,-1*$AA$1),OFFSET(E585,0,0,-1*$J$5,1),F586:T586,0)</f>
        <v>18.098239682790325</v>
      </c>
      <c r="V586" s="9" cm="1">
        <f t="array" aca="1" ref="V586" ca="1">z_score_diff(OFFSET(U586,0,0,$J$5*-1,1),OFFSET(E586,0,0,$J$5*-1,1))</f>
        <v>1.2977925999267479</v>
      </c>
      <c r="W586" s="9">
        <f t="shared" ca="1" si="91"/>
        <v>4.8688035160804922E-2</v>
      </c>
      <c r="X586" s="17">
        <f t="shared" ca="1" si="90"/>
        <v>5.3599075982778667E-2</v>
      </c>
      <c r="Y586" s="13">
        <f t="shared" si="96"/>
        <v>0</v>
      </c>
      <c r="Z586" s="13">
        <f t="shared" si="96"/>
        <v>0</v>
      </c>
      <c r="AA586">
        <f t="shared" ca="1" si="92"/>
        <v>0</v>
      </c>
      <c r="AB586">
        <f t="shared" ca="1" si="93"/>
        <v>1</v>
      </c>
      <c r="AC586" s="24">
        <f t="shared" ca="1" si="94"/>
        <v>0</v>
      </c>
      <c r="AD586" s="24">
        <f t="shared" ca="1" si="95"/>
        <v>5.3599075982778667E-2</v>
      </c>
    </row>
    <row r="587" spans="3:30" x14ac:dyDescent="0.25">
      <c r="C587" s="6">
        <v>580</v>
      </c>
      <c r="D587" s="35">
        <v>42829</v>
      </c>
      <c r="E587" s="37">
        <v>16.462</v>
      </c>
      <c r="F587" s="37">
        <v>50.937175317289579</v>
      </c>
      <c r="G587" s="37">
        <v>38.94</v>
      </c>
      <c r="H587" s="37">
        <v>3.2023754587920479</v>
      </c>
      <c r="I587" s="37">
        <v>73.351018047135923</v>
      </c>
      <c r="J587" s="10">
        <v>0</v>
      </c>
      <c r="K587" s="38">
        <v>0</v>
      </c>
      <c r="L587" s="38">
        <v>0</v>
      </c>
      <c r="M587" s="38">
        <v>1</v>
      </c>
      <c r="N587" s="38">
        <v>0</v>
      </c>
      <c r="O587" s="38">
        <v>0</v>
      </c>
      <c r="P587" s="38">
        <v>0</v>
      </c>
      <c r="Q587" s="38">
        <v>0</v>
      </c>
      <c r="R587" s="38">
        <v>0</v>
      </c>
      <c r="S587" s="38">
        <v>0</v>
      </c>
      <c r="T587" s="38">
        <v>0</v>
      </c>
      <c r="U587" s="29" cm="1">
        <f t="array" aca="1" ref="U587" ca="1">+fair_value_gap(OFFSET(T586,0,0,-1*$J$5,-1*$AA$1),OFFSET(E586,0,0,-1*$J$5,1),F587:T587,0)</f>
        <v>17.985152664769977</v>
      </c>
      <c r="V587" s="9" cm="1">
        <f t="array" aca="1" ref="V587" ca="1">z_score_diff(OFFSET(U587,0,0,$J$5*-1,1),OFFSET(E587,0,0,$J$5*-1,1))</f>
        <v>1.1764314978516102</v>
      </c>
      <c r="W587" s="9">
        <f t="shared" ca="1" si="91"/>
        <v>9.8796660023230232E-2</v>
      </c>
      <c r="X587" s="17">
        <f t="shared" ca="1" si="90"/>
        <v>2.9213139276007095E-2</v>
      </c>
      <c r="Y587" s="13">
        <f t="shared" si="96"/>
        <v>0</v>
      </c>
      <c r="Z587" s="13">
        <f t="shared" si="96"/>
        <v>0</v>
      </c>
      <c r="AA587">
        <f t="shared" ca="1" si="92"/>
        <v>0</v>
      </c>
      <c r="AB587">
        <f t="shared" ca="1" si="93"/>
        <v>1</v>
      </c>
      <c r="AC587" s="24">
        <f t="shared" ca="1" si="94"/>
        <v>0</v>
      </c>
      <c r="AD587" s="24">
        <f t="shared" ca="1" si="95"/>
        <v>2.9213139276007095E-2</v>
      </c>
    </row>
    <row r="588" spans="3:30" x14ac:dyDescent="0.25">
      <c r="C588" s="6">
        <v>581</v>
      </c>
      <c r="D588" s="35">
        <v>42830</v>
      </c>
      <c r="E588" s="37">
        <v>16.533000000000001</v>
      </c>
      <c r="F588" s="37">
        <v>51.14267263207288</v>
      </c>
      <c r="G588" s="37">
        <v>38.85</v>
      </c>
      <c r="H588" s="37">
        <v>3.1936294665049871</v>
      </c>
      <c r="I588" s="37">
        <v>74.149441788506834</v>
      </c>
      <c r="J588" s="10">
        <v>0</v>
      </c>
      <c r="K588" s="38">
        <v>0</v>
      </c>
      <c r="L588" s="38">
        <v>0</v>
      </c>
      <c r="M588" s="38">
        <v>1</v>
      </c>
      <c r="N588" s="38">
        <v>0</v>
      </c>
      <c r="O588" s="38">
        <v>0</v>
      </c>
      <c r="P588" s="38">
        <v>0</v>
      </c>
      <c r="Q588" s="38">
        <v>0</v>
      </c>
      <c r="R588" s="38">
        <v>0</v>
      </c>
      <c r="S588" s="38">
        <v>0</v>
      </c>
      <c r="T588" s="38">
        <v>0</v>
      </c>
      <c r="U588" s="29" cm="1">
        <f t="array" aca="1" ref="U588" ca="1">+fair_value_gap(OFFSET(T587,0,0,-1*$J$5,-1*$AA$1),OFFSET(E587,0,0,-1*$J$5,1),F588:T588,0)</f>
        <v>17.748653939253931</v>
      </c>
      <c r="V588" s="9" cm="1">
        <f t="array" aca="1" ref="V588" ca="1">z_score_diff(OFFSET(U588,0,0,$J$5*-1,1),OFFSET(E588,0,0,$J$5*-1,1))</f>
        <v>0.90325785088143329</v>
      </c>
      <c r="W588" s="9">
        <f t="shared" ca="1" si="91"/>
        <v>0.1372502351426747</v>
      </c>
      <c r="X588" s="17">
        <f t="shared" ca="1" si="90"/>
        <v>2.1955238359819551E-2</v>
      </c>
      <c r="Y588" s="13">
        <f t="shared" si="96"/>
        <v>0</v>
      </c>
      <c r="Z588" s="13">
        <f t="shared" si="96"/>
        <v>0</v>
      </c>
      <c r="AA588">
        <f t="shared" ca="1" si="92"/>
        <v>0</v>
      </c>
      <c r="AB588">
        <f t="shared" ca="1" si="93"/>
        <v>1</v>
      </c>
      <c r="AC588" s="24">
        <f t="shared" ca="1" si="94"/>
        <v>0</v>
      </c>
      <c r="AD588" s="24">
        <f t="shared" ca="1" si="95"/>
        <v>2.1955238359819551E-2</v>
      </c>
    </row>
    <row r="589" spans="3:30" x14ac:dyDescent="0.25">
      <c r="C589" s="6">
        <v>582</v>
      </c>
      <c r="D589" s="35">
        <v>42831</v>
      </c>
      <c r="E589" s="37">
        <v>16.533999999999999</v>
      </c>
      <c r="F589" s="37">
        <v>51.70116669785682</v>
      </c>
      <c r="G589" s="37">
        <v>39.36</v>
      </c>
      <c r="H589" s="37">
        <v>3.2456378013457385</v>
      </c>
      <c r="I589" s="37">
        <v>75.089124692637355</v>
      </c>
      <c r="J589" s="10">
        <v>0</v>
      </c>
      <c r="K589" s="38">
        <v>0</v>
      </c>
      <c r="L589" s="38">
        <v>0</v>
      </c>
      <c r="M589" s="38">
        <v>1</v>
      </c>
      <c r="N589" s="38">
        <v>0</v>
      </c>
      <c r="O589" s="38">
        <v>0</v>
      </c>
      <c r="P589" s="38">
        <v>0</v>
      </c>
      <c r="Q589" s="38">
        <v>0</v>
      </c>
      <c r="R589" s="38">
        <v>0</v>
      </c>
      <c r="S589" s="38">
        <v>0</v>
      </c>
      <c r="T589" s="38">
        <v>0</v>
      </c>
      <c r="U589" s="29" cm="1">
        <f t="array" aca="1" ref="U589" ca="1">+fair_value_gap(OFFSET(T588,0,0,-1*$J$5,-1*$AA$1),OFFSET(E588,0,0,-1*$J$5,1),F589:T589,0)</f>
        <v>17.78410378333168</v>
      </c>
      <c r="V589" s="9" cm="1">
        <f t="array" aca="1" ref="V589" ca="1">z_score_diff(OFFSET(U589,0,0,$J$5*-1,1),OFFSET(E589,0,0,$J$5*-1,1))</f>
        <v>0.95184696983655215</v>
      </c>
      <c r="W589" s="9">
        <f t="shared" ca="1" si="91"/>
        <v>0.17654390942175349</v>
      </c>
      <c r="X589" s="17">
        <f t="shared" ca="1" si="90"/>
        <v>9.810195736336208E-3</v>
      </c>
      <c r="Y589" s="13">
        <f t="shared" si="96"/>
        <v>0</v>
      </c>
      <c r="Z589" s="13">
        <f t="shared" si="96"/>
        <v>0</v>
      </c>
      <c r="AA589">
        <f t="shared" ca="1" si="92"/>
        <v>0</v>
      </c>
      <c r="AB589">
        <f t="shared" ca="1" si="93"/>
        <v>1</v>
      </c>
      <c r="AC589" s="24">
        <f t="shared" ca="1" si="94"/>
        <v>0</v>
      </c>
      <c r="AD589" s="24">
        <f t="shared" ca="1" si="95"/>
        <v>9.810195736336208E-3</v>
      </c>
    </row>
    <row r="590" spans="3:30" x14ac:dyDescent="0.25">
      <c r="C590" s="6">
        <v>583</v>
      </c>
      <c r="D590" s="35">
        <v>42832</v>
      </c>
      <c r="E590" s="37">
        <v>16.157</v>
      </c>
      <c r="F590" s="37">
        <v>52.28333846281933</v>
      </c>
      <c r="G590" s="37">
        <v>39.06</v>
      </c>
      <c r="H590" s="37">
        <v>3.2021089203476576</v>
      </c>
      <c r="I590" s="37">
        <v>73.995564008033796</v>
      </c>
      <c r="J590" s="10">
        <v>0</v>
      </c>
      <c r="K590" s="38">
        <v>0</v>
      </c>
      <c r="L590" s="38">
        <v>0</v>
      </c>
      <c r="M590" s="38">
        <v>1</v>
      </c>
      <c r="N590" s="38">
        <v>0</v>
      </c>
      <c r="O590" s="38">
        <v>0</v>
      </c>
      <c r="P590" s="38">
        <v>0</v>
      </c>
      <c r="Q590" s="38">
        <v>0</v>
      </c>
      <c r="R590" s="38">
        <v>0</v>
      </c>
      <c r="S590" s="38">
        <v>0</v>
      </c>
      <c r="T590" s="38">
        <v>0</v>
      </c>
      <c r="U590" s="29" cm="1">
        <f t="array" aca="1" ref="U590" ca="1">+fair_value_gap(OFFSET(T589,0,0,-1*$J$5,-1*$AA$1),OFFSET(E589,0,0,-1*$J$5,1),F590:T590,0)</f>
        <v>17.540305899686736</v>
      </c>
      <c r="V590" s="9" cm="1">
        <f t="array" aca="1" ref="V590" ca="1">z_score_diff(OFFSET(U590,0,0,$J$5*-1,1),OFFSET(E590,0,0,$J$5*-1,1))</f>
        <v>1.1064750239005601</v>
      </c>
      <c r="W590" s="9">
        <f t="shared" ca="1" si="91"/>
        <v>0.23051656456218864</v>
      </c>
      <c r="X590" s="17">
        <f t="shared" ca="1" si="90"/>
        <v>3.0357079350949511E-2</v>
      </c>
      <c r="Y590" s="13">
        <f t="shared" si="96"/>
        <v>0</v>
      </c>
      <c r="Z590" s="13">
        <f t="shared" si="96"/>
        <v>0</v>
      </c>
      <c r="AA590">
        <f t="shared" ca="1" si="92"/>
        <v>0</v>
      </c>
      <c r="AB590">
        <f t="shared" ca="1" si="93"/>
        <v>1</v>
      </c>
      <c r="AC590" s="24">
        <f t="shared" ca="1" si="94"/>
        <v>0</v>
      </c>
      <c r="AD590" s="24">
        <f t="shared" ca="1" si="95"/>
        <v>3.0357079350949511E-2</v>
      </c>
    </row>
    <row r="591" spans="3:30" x14ac:dyDescent="0.25">
      <c r="C591" s="6">
        <v>584</v>
      </c>
      <c r="D591" s="35">
        <v>42835</v>
      </c>
      <c r="E591" s="37">
        <v>16.026</v>
      </c>
      <c r="F591" s="37">
        <v>53.074336804597593</v>
      </c>
      <c r="G591" s="37">
        <v>38.93</v>
      </c>
      <c r="H591" s="37">
        <v>3.1882011306938005</v>
      </c>
      <c r="I591" s="37">
        <v>72.85446408948286</v>
      </c>
      <c r="J591" s="10">
        <v>0</v>
      </c>
      <c r="K591" s="38">
        <v>0</v>
      </c>
      <c r="L591" s="38">
        <v>0</v>
      </c>
      <c r="M591" s="38">
        <v>1</v>
      </c>
      <c r="N591" s="38">
        <v>0</v>
      </c>
      <c r="O591" s="38">
        <v>0</v>
      </c>
      <c r="P591" s="38">
        <v>0</v>
      </c>
      <c r="Q591" s="38">
        <v>0</v>
      </c>
      <c r="R591" s="38">
        <v>0</v>
      </c>
      <c r="S591" s="38">
        <v>0</v>
      </c>
      <c r="T591" s="38">
        <v>0</v>
      </c>
      <c r="U591" s="29" cm="1">
        <f t="array" aca="1" ref="U591" ca="1">+fair_value_gap(OFFSET(T590,0,0,-1*$J$5,-1*$AA$1),OFFSET(E590,0,0,-1*$J$5,1),F591:T591,0)</f>
        <v>17.35190338786262</v>
      </c>
      <c r="V591" s="9" cm="1">
        <f t="array" aca="1" ref="V591" ca="1">z_score_diff(OFFSET(U591,0,0,$J$5*-1,1),OFFSET(E591,0,0,$J$5*-1,1))</f>
        <v>1.0605369492531003</v>
      </c>
      <c r="W591" s="9">
        <f t="shared" ca="1" si="91"/>
        <v>0.27724969479892736</v>
      </c>
      <c r="X591" s="17">
        <f t="shared" ca="1" si="90"/>
        <v>4.2393204300676696E-2</v>
      </c>
      <c r="Y591" s="13">
        <f t="shared" si="96"/>
        <v>0</v>
      </c>
      <c r="Z591" s="13">
        <f t="shared" si="96"/>
        <v>0</v>
      </c>
      <c r="AA591">
        <f t="shared" ca="1" si="92"/>
        <v>0</v>
      </c>
      <c r="AB591">
        <f t="shared" ca="1" si="93"/>
        <v>1</v>
      </c>
      <c r="AC591" s="24">
        <f t="shared" ca="1" si="94"/>
        <v>0</v>
      </c>
      <c r="AD591" s="24">
        <f t="shared" ca="1" si="95"/>
        <v>4.2393204300676696E-2</v>
      </c>
    </row>
    <row r="592" spans="3:30" x14ac:dyDescent="0.25">
      <c r="C592" s="6">
        <v>585</v>
      </c>
      <c r="D592" s="35">
        <v>42836</v>
      </c>
      <c r="E592" s="37">
        <v>16.058</v>
      </c>
      <c r="F592" s="37">
        <v>53.32999358843751</v>
      </c>
      <c r="G592" s="37">
        <v>38.299999999999997</v>
      </c>
      <c r="H592" s="37">
        <v>3.1160567582168008</v>
      </c>
      <c r="I592" s="37">
        <v>71.078619214873328</v>
      </c>
      <c r="J592" s="10">
        <v>0</v>
      </c>
      <c r="K592" s="38">
        <v>0</v>
      </c>
      <c r="L592" s="38">
        <v>0</v>
      </c>
      <c r="M592" s="38">
        <v>1</v>
      </c>
      <c r="N592" s="38">
        <v>0</v>
      </c>
      <c r="O592" s="38">
        <v>0</v>
      </c>
      <c r="P592" s="38">
        <v>0</v>
      </c>
      <c r="Q592" s="38">
        <v>0</v>
      </c>
      <c r="R592" s="38">
        <v>0</v>
      </c>
      <c r="S592" s="38">
        <v>0</v>
      </c>
      <c r="T592" s="38">
        <v>0</v>
      </c>
      <c r="U592" s="29" cm="1">
        <f t="array" aca="1" ref="U592" ca="1">+fair_value_gap(OFFSET(T591,0,0,-1*$J$5,-1*$AA$1),OFFSET(E591,0,0,-1*$J$5,1),F592:T592,0)</f>
        <v>16.940776510627412</v>
      </c>
      <c r="V592" s="9" cm="1">
        <f t="array" aca="1" ref="V592" ca="1">z_score_diff(OFFSET(U592,0,0,$J$5*-1,1),OFFSET(E592,0,0,$J$5*-1,1))</f>
        <v>0.61190608286436943</v>
      </c>
      <c r="W592" s="9">
        <f t="shared" ca="1" si="91"/>
        <v>0.30793545057010246</v>
      </c>
      <c r="X592" s="17">
        <f t="shared" ca="1" si="90"/>
        <v>3.5301741707947955E-2</v>
      </c>
      <c r="Y592" s="13">
        <f t="shared" si="96"/>
        <v>0</v>
      </c>
      <c r="Z592" s="13">
        <f t="shared" si="96"/>
        <v>0</v>
      </c>
      <c r="AA592">
        <f t="shared" ca="1" si="92"/>
        <v>0</v>
      </c>
      <c r="AB592">
        <f t="shared" ca="1" si="93"/>
        <v>1</v>
      </c>
      <c r="AC592" s="24">
        <f t="shared" ca="1" si="94"/>
        <v>0</v>
      </c>
      <c r="AD592" s="24">
        <f t="shared" ca="1" si="95"/>
        <v>3.5301741707947955E-2</v>
      </c>
    </row>
    <row r="593" spans="3:30" x14ac:dyDescent="0.25">
      <c r="C593" s="6">
        <v>586</v>
      </c>
      <c r="D593" s="35">
        <v>42837</v>
      </c>
      <c r="E593" s="37">
        <v>16.172000000000001</v>
      </c>
      <c r="F593" s="37">
        <v>52.857783501278043</v>
      </c>
      <c r="G593" s="37">
        <v>39.020000000000003</v>
      </c>
      <c r="H593" s="37">
        <v>3.1289430950168104</v>
      </c>
      <c r="I593" s="37">
        <v>70.795819286359574</v>
      </c>
      <c r="J593" s="10">
        <v>0</v>
      </c>
      <c r="K593" s="38">
        <v>0</v>
      </c>
      <c r="L593" s="38">
        <v>0</v>
      </c>
      <c r="M593" s="38">
        <v>1</v>
      </c>
      <c r="N593" s="38">
        <v>0</v>
      </c>
      <c r="O593" s="38">
        <v>0</v>
      </c>
      <c r="P593" s="38">
        <v>0</v>
      </c>
      <c r="Q593" s="38">
        <v>0</v>
      </c>
      <c r="R593" s="38">
        <v>0</v>
      </c>
      <c r="S593" s="38">
        <v>0</v>
      </c>
      <c r="T593" s="38">
        <v>0</v>
      </c>
      <c r="U593" s="29" cm="1">
        <f t="array" aca="1" ref="U593" ca="1">+fair_value_gap(OFFSET(T592,0,0,-1*$J$5,-1*$AA$1),OFFSET(E592,0,0,-1*$J$5,1),F593:T593,0)</f>
        <v>17.02758257743286</v>
      </c>
      <c r="V593" s="9" cm="1">
        <f t="array" aca="1" ref="V593" ca="1">z_score_diff(OFFSET(U593,0,0,$J$5*-1,1),OFFSET(E593,0,0,$J$5*-1,1))</f>
        <v>0.58530654792447989</v>
      </c>
      <c r="W593" s="9">
        <f t="shared" ca="1" si="91"/>
        <v>0.34417038268927846</v>
      </c>
      <c r="X593" s="17">
        <f t="shared" ca="1" si="90"/>
        <v>2.6422503050185522E-2</v>
      </c>
      <c r="Y593" s="13">
        <f t="shared" si="96"/>
        <v>0</v>
      </c>
      <c r="Z593" s="13">
        <f t="shared" si="96"/>
        <v>0</v>
      </c>
      <c r="AA593">
        <f t="shared" ca="1" si="92"/>
        <v>0</v>
      </c>
      <c r="AB593">
        <f t="shared" ca="1" si="93"/>
        <v>1</v>
      </c>
      <c r="AC593" s="24">
        <f t="shared" ca="1" si="94"/>
        <v>0</v>
      </c>
      <c r="AD593" s="24">
        <f t="shared" ca="1" si="95"/>
        <v>2.6422503050185522E-2</v>
      </c>
    </row>
    <row r="594" spans="3:30" x14ac:dyDescent="0.25">
      <c r="C594" s="6">
        <v>587</v>
      </c>
      <c r="D594" s="35">
        <v>42838</v>
      </c>
      <c r="E594" s="37">
        <v>16.132999999999999</v>
      </c>
      <c r="F594" s="37">
        <v>53.258165832077175</v>
      </c>
      <c r="G594" s="37">
        <v>39.14</v>
      </c>
      <c r="H594" s="37">
        <v>3.1865295855364786</v>
      </c>
      <c r="I594" s="37">
        <v>72.242937879473772</v>
      </c>
      <c r="J594" s="10">
        <v>0</v>
      </c>
      <c r="K594" s="38">
        <v>0</v>
      </c>
      <c r="L594" s="38">
        <v>0</v>
      </c>
      <c r="M594" s="38">
        <v>1</v>
      </c>
      <c r="N594" s="38">
        <v>0</v>
      </c>
      <c r="O594" s="38">
        <v>0</v>
      </c>
      <c r="P594" s="38">
        <v>0</v>
      </c>
      <c r="Q594" s="38">
        <v>0</v>
      </c>
      <c r="R594" s="38">
        <v>0</v>
      </c>
      <c r="S594" s="38">
        <v>0</v>
      </c>
      <c r="T594" s="38">
        <v>0</v>
      </c>
      <c r="U594" s="29" cm="1">
        <f t="array" aca="1" ref="U594" ca="1">+fair_value_gap(OFFSET(T593,0,0,-1*$J$5,-1*$AA$1),OFFSET(E593,0,0,-1*$J$5,1),F594:T594,0)</f>
        <v>16.911127387412328</v>
      </c>
      <c r="V594" s="9" cm="1">
        <f t="array" aca="1" ref="V594" ca="1">z_score_diff(OFFSET(U594,0,0,$J$5*-1,1),OFFSET(E594,0,0,$J$5*-1,1))</f>
        <v>0.50149973290147687</v>
      </c>
      <c r="W594" s="9">
        <f t="shared" ca="1" si="91"/>
        <v>0.37616842073751477</v>
      </c>
      <c r="X594" s="17">
        <f t="shared" ca="1" si="90"/>
        <v>3.8665080080965496E-2</v>
      </c>
      <c r="Y594" s="13">
        <f t="shared" si="96"/>
        <v>0</v>
      </c>
      <c r="Z594" s="13">
        <f t="shared" si="96"/>
        <v>0</v>
      </c>
      <c r="AA594">
        <f t="shared" ca="1" si="92"/>
        <v>0</v>
      </c>
      <c r="AB594">
        <f t="shared" ca="1" si="93"/>
        <v>1</v>
      </c>
      <c r="AC594" s="24">
        <f t="shared" ca="1" si="94"/>
        <v>0</v>
      </c>
      <c r="AD594" s="24">
        <f t="shared" ca="1" si="95"/>
        <v>3.8665080080965496E-2</v>
      </c>
    </row>
    <row r="595" spans="3:30" x14ac:dyDescent="0.25">
      <c r="C595" s="6">
        <v>588</v>
      </c>
      <c r="D595" s="35">
        <v>42843</v>
      </c>
      <c r="E595" s="37">
        <v>16.716000000000001</v>
      </c>
      <c r="F595" s="37">
        <v>51.97074198668966</v>
      </c>
      <c r="G595" s="37">
        <v>39.06</v>
      </c>
      <c r="H595" s="37">
        <v>3.0990371376569028</v>
      </c>
      <c r="I595" s="37">
        <v>71.565964889275918</v>
      </c>
      <c r="J595" s="10">
        <v>0</v>
      </c>
      <c r="K595" s="38">
        <v>0</v>
      </c>
      <c r="L595" s="38">
        <v>0</v>
      </c>
      <c r="M595" s="38">
        <v>1</v>
      </c>
      <c r="N595" s="38">
        <v>0</v>
      </c>
      <c r="O595" s="38">
        <v>0</v>
      </c>
      <c r="P595" s="38">
        <v>0</v>
      </c>
      <c r="Q595" s="38">
        <v>0</v>
      </c>
      <c r="R595" s="38">
        <v>0</v>
      </c>
      <c r="S595" s="38">
        <v>0</v>
      </c>
      <c r="T595" s="38">
        <v>0</v>
      </c>
      <c r="U595" s="29" cm="1">
        <f t="array" aca="1" ref="U595" ca="1">+fair_value_gap(OFFSET(T594,0,0,-1*$J$5,-1*$AA$1),OFFSET(E594,0,0,-1*$J$5,1),F595:T595,0)</f>
        <v>16.566918474438822</v>
      </c>
      <c r="V595" s="9" cm="1">
        <f t="array" aca="1" ref="V595" ca="1">z_score_diff(OFFSET(U595,0,0,$J$5*-1,1),OFFSET(E595,0,0,$J$5*-1,1))</f>
        <v>-0.48740007674654484</v>
      </c>
      <c r="W595" s="9">
        <f t="shared" ca="1" si="91"/>
        <v>0.35886317933662482</v>
      </c>
      <c r="X595" s="17">
        <f t="shared" ca="1" si="90"/>
        <v>-4.0161900229538309E-3</v>
      </c>
      <c r="Y595" s="13">
        <f t="shared" si="96"/>
        <v>0</v>
      </c>
      <c r="Z595" s="13">
        <f t="shared" si="96"/>
        <v>0</v>
      </c>
      <c r="AA595">
        <f t="shared" ca="1" si="92"/>
        <v>0</v>
      </c>
      <c r="AB595">
        <f t="shared" ca="1" si="93"/>
        <v>1</v>
      </c>
      <c r="AC595" s="24">
        <f t="shared" ca="1" si="94"/>
        <v>0</v>
      </c>
      <c r="AD595" s="24">
        <f t="shared" ca="1" si="95"/>
        <v>-4.0161900229538309E-3</v>
      </c>
    </row>
    <row r="596" spans="3:30" x14ac:dyDescent="0.25">
      <c r="C596" s="6">
        <v>589</v>
      </c>
      <c r="D596" s="35">
        <v>42844</v>
      </c>
      <c r="E596" s="37">
        <v>16.579000000000001</v>
      </c>
      <c r="F596" s="37">
        <v>50.242748984228726</v>
      </c>
      <c r="G596" s="37">
        <v>39.79</v>
      </c>
      <c r="H596" s="37">
        <v>3.1305737905105873</v>
      </c>
      <c r="I596" s="37">
        <v>71.742316032534291</v>
      </c>
      <c r="J596" s="10">
        <v>0</v>
      </c>
      <c r="K596" s="38">
        <v>0</v>
      </c>
      <c r="L596" s="38">
        <v>0</v>
      </c>
      <c r="M596" s="38">
        <v>1</v>
      </c>
      <c r="N596" s="38">
        <v>0</v>
      </c>
      <c r="O596" s="38">
        <v>0</v>
      </c>
      <c r="P596" s="38">
        <v>0</v>
      </c>
      <c r="Q596" s="38">
        <v>0</v>
      </c>
      <c r="R596" s="38">
        <v>0</v>
      </c>
      <c r="S596" s="38">
        <v>0</v>
      </c>
      <c r="T596" s="38">
        <v>0</v>
      </c>
      <c r="U596" s="29" cm="1">
        <f t="array" aca="1" ref="U596" ca="1">+fair_value_gap(OFFSET(T595,0,0,-1*$J$5,-1*$AA$1),OFFSET(E595,0,0,-1*$J$5,1),F596:T596,0)</f>
        <v>16.621568288264356</v>
      </c>
      <c r="V596" s="9" cm="1">
        <f t="array" aca="1" ref="V596" ca="1">z_score_diff(OFFSET(U596,0,0,$J$5*-1,1),OFFSET(E596,0,0,$J$5*-1,1))</f>
        <v>-0.28425492615620851</v>
      </c>
      <c r="W596" s="9">
        <f t="shared" ca="1" si="91"/>
        <v>0.3493539071618032</v>
      </c>
      <c r="X596" s="17">
        <f t="shared" ca="1" si="90"/>
        <v>1.6035765146738906E-2</v>
      </c>
      <c r="Y596" s="13">
        <f t="shared" si="96"/>
        <v>0</v>
      </c>
      <c r="Z596" s="13">
        <f t="shared" si="96"/>
        <v>0</v>
      </c>
      <c r="AA596">
        <f t="shared" ca="1" si="92"/>
        <v>0</v>
      </c>
      <c r="AB596">
        <f t="shared" ca="1" si="93"/>
        <v>1</v>
      </c>
      <c r="AC596" s="24">
        <f t="shared" ca="1" si="94"/>
        <v>0</v>
      </c>
      <c r="AD596" s="24">
        <f t="shared" ca="1" si="95"/>
        <v>1.6035765146738906E-2</v>
      </c>
    </row>
    <row r="597" spans="3:30" x14ac:dyDescent="0.25">
      <c r="C597" s="6">
        <v>590</v>
      </c>
      <c r="D597" s="35">
        <v>42845</v>
      </c>
      <c r="E597" s="37">
        <v>16.437999999999999</v>
      </c>
      <c r="F597" s="37">
        <v>50.219148188559906</v>
      </c>
      <c r="G597" s="37">
        <v>39.340000000000003</v>
      </c>
      <c r="H597" s="37">
        <v>3.1106097312891827</v>
      </c>
      <c r="I597" s="37">
        <v>72.124720285539908</v>
      </c>
      <c r="J597" s="10">
        <v>0</v>
      </c>
      <c r="K597" s="38">
        <v>0</v>
      </c>
      <c r="L597" s="38">
        <v>0</v>
      </c>
      <c r="M597" s="38">
        <v>1</v>
      </c>
      <c r="N597" s="38">
        <v>0</v>
      </c>
      <c r="O597" s="38">
        <v>0</v>
      </c>
      <c r="P597" s="38">
        <v>0</v>
      </c>
      <c r="Q597" s="38">
        <v>0</v>
      </c>
      <c r="R597" s="38">
        <v>0</v>
      </c>
      <c r="S597" s="38">
        <v>0</v>
      </c>
      <c r="T597" s="38">
        <v>0</v>
      </c>
      <c r="U597" s="29" cm="1">
        <f t="array" aca="1" ref="U597" ca="1">+fair_value_gap(OFFSET(T596,0,0,-1*$J$5,-1*$AA$1),OFFSET(E596,0,0,-1*$J$5,1),F597:T597,0)</f>
        <v>16.29409976653443</v>
      </c>
      <c r="V597" s="9" cm="1">
        <f t="array" aca="1" ref="V597" ca="1">z_score_diff(OFFSET(U597,0,0,$J$5*-1,1),OFFSET(E597,0,0,$J$5*-1,1))</f>
        <v>-0.48789081643261373</v>
      </c>
      <c r="W597" s="9">
        <f t="shared" ca="1" si="91"/>
        <v>0.32944371582142246</v>
      </c>
      <c r="X597" s="17">
        <f t="shared" ca="1" si="90"/>
        <v>3.3088064377313361E-2</v>
      </c>
      <c r="Y597" s="13">
        <f t="shared" si="96"/>
        <v>0</v>
      </c>
      <c r="Z597" s="13">
        <f t="shared" si="96"/>
        <v>0</v>
      </c>
      <c r="AA597">
        <f t="shared" ca="1" si="92"/>
        <v>0</v>
      </c>
      <c r="AB597">
        <f t="shared" ca="1" si="93"/>
        <v>1</v>
      </c>
      <c r="AC597" s="24">
        <f t="shared" ca="1" si="94"/>
        <v>0</v>
      </c>
      <c r="AD597" s="24">
        <f t="shared" ca="1" si="95"/>
        <v>3.3088064377313361E-2</v>
      </c>
    </row>
    <row r="598" spans="3:30" x14ac:dyDescent="0.25">
      <c r="C598" s="6">
        <v>591</v>
      </c>
      <c r="D598" s="35">
        <v>42846</v>
      </c>
      <c r="E598" s="37">
        <v>16.657</v>
      </c>
      <c r="F598" s="37">
        <v>49.360977205076708</v>
      </c>
      <c r="G598" s="37">
        <v>39.44</v>
      </c>
      <c r="H598" s="37">
        <v>3.0560754743476277</v>
      </c>
      <c r="I598" s="37">
        <v>71.64409100231515</v>
      </c>
      <c r="J598" s="10">
        <v>0</v>
      </c>
      <c r="K598" s="38">
        <v>0</v>
      </c>
      <c r="L598" s="38">
        <v>0</v>
      </c>
      <c r="M598" s="38">
        <v>1</v>
      </c>
      <c r="N598" s="38">
        <v>0</v>
      </c>
      <c r="O598" s="38">
        <v>0</v>
      </c>
      <c r="P598" s="38">
        <v>0</v>
      </c>
      <c r="Q598" s="38">
        <v>0</v>
      </c>
      <c r="R598" s="38">
        <v>0</v>
      </c>
      <c r="S598" s="38">
        <v>0</v>
      </c>
      <c r="T598" s="38">
        <v>0</v>
      </c>
      <c r="U598" s="29" cm="1">
        <f t="array" aca="1" ref="U598" ca="1">+fair_value_gap(OFFSET(T597,0,0,-1*$J$5,-1*$AA$1),OFFSET(E597,0,0,-1*$J$5,1),F598:T598,0)</f>
        <v>16.241307459235529</v>
      </c>
      <c r="V598" s="9" cm="1">
        <f t="array" aca="1" ref="V598" ca="1">z_score_diff(OFFSET(U598,0,0,$J$5*-1,1),OFFSET(E598,0,0,$J$5*-1,1))</f>
        <v>-0.78599134964709516</v>
      </c>
      <c r="W598" s="9">
        <f t="shared" ca="1" si="91"/>
        <v>0.3016660308907021</v>
      </c>
      <c r="X598" s="17">
        <f t="shared" ca="1" si="90"/>
        <v>1.2350623863981156E-2</v>
      </c>
      <c r="Y598" s="13">
        <f t="shared" si="96"/>
        <v>0</v>
      </c>
      <c r="Z598" s="13">
        <f t="shared" si="96"/>
        <v>0</v>
      </c>
      <c r="AA598">
        <f t="shared" ca="1" si="92"/>
        <v>0</v>
      </c>
      <c r="AB598">
        <f t="shared" ca="1" si="93"/>
        <v>1</v>
      </c>
      <c r="AC598" s="24">
        <f t="shared" ca="1" si="94"/>
        <v>0</v>
      </c>
      <c r="AD598" s="24">
        <f t="shared" ca="1" si="95"/>
        <v>1.2350623863981156E-2</v>
      </c>
    </row>
    <row r="599" spans="3:30" x14ac:dyDescent="0.25">
      <c r="C599" s="6">
        <v>592</v>
      </c>
      <c r="D599" s="35">
        <v>42849</v>
      </c>
      <c r="E599" s="37">
        <v>16.434999999999999</v>
      </c>
      <c r="F599" s="37">
        <v>48.384361649170977</v>
      </c>
      <c r="G599" s="37">
        <v>38.83</v>
      </c>
      <c r="H599" s="37">
        <v>2.9949618997084357</v>
      </c>
      <c r="I599" s="37">
        <v>69.654517241316427</v>
      </c>
      <c r="J599" s="10">
        <v>0</v>
      </c>
      <c r="K599" s="38">
        <v>0</v>
      </c>
      <c r="L599" s="38">
        <v>0</v>
      </c>
      <c r="M599" s="38">
        <v>1</v>
      </c>
      <c r="N599" s="38">
        <v>0</v>
      </c>
      <c r="O599" s="38">
        <v>0</v>
      </c>
      <c r="P599" s="38">
        <v>0</v>
      </c>
      <c r="Q599" s="38">
        <v>0</v>
      </c>
      <c r="R599" s="38">
        <v>0</v>
      </c>
      <c r="S599" s="38">
        <v>0</v>
      </c>
      <c r="T599" s="38">
        <v>0</v>
      </c>
      <c r="U599" s="29" cm="1">
        <f t="array" aca="1" ref="U599" ca="1">+fair_value_gap(OFFSET(T598,0,0,-1*$J$5,-1*$AA$1),OFFSET(E598,0,0,-1*$J$5,1),F599:T599,0)</f>
        <v>15.956571497378103</v>
      </c>
      <c r="V599" s="9" cm="1">
        <f t="array" aca="1" ref="V599" ca="1">z_score_diff(OFFSET(U599,0,0,$J$5*-1,1),OFFSET(E599,0,0,$J$5*-1,1))</f>
        <v>-0.86069177767719207</v>
      </c>
      <c r="W599" s="9">
        <f t="shared" ca="1" si="91"/>
        <v>0.26772264976926768</v>
      </c>
      <c r="X599" s="17">
        <f t="shared" ca="1" si="90"/>
        <v>2.6716282051628407E-2</v>
      </c>
      <c r="Y599" s="13">
        <f t="shared" si="96"/>
        <v>0</v>
      </c>
      <c r="Z599" s="13">
        <f t="shared" si="96"/>
        <v>0</v>
      </c>
      <c r="AA599">
        <f t="shared" ca="1" si="92"/>
        <v>0</v>
      </c>
      <c r="AB599">
        <f t="shared" ca="1" si="93"/>
        <v>1</v>
      </c>
      <c r="AC599" s="24">
        <f t="shared" ca="1" si="94"/>
        <v>0</v>
      </c>
      <c r="AD599" s="24">
        <f t="shared" ca="1" si="95"/>
        <v>2.6716282051628407E-2</v>
      </c>
    </row>
    <row r="600" spans="3:30" x14ac:dyDescent="0.25">
      <c r="C600" s="6">
        <v>593</v>
      </c>
      <c r="D600" s="35">
        <v>42850</v>
      </c>
      <c r="E600" s="37">
        <v>16.085000000000001</v>
      </c>
      <c r="F600" s="37">
        <v>48.36555436772511</v>
      </c>
      <c r="G600" s="37">
        <v>38.46</v>
      </c>
      <c r="H600" s="37">
        <v>2.9868042011114828</v>
      </c>
      <c r="I600" s="37">
        <v>68.912300936391219</v>
      </c>
      <c r="J600" s="10">
        <v>0</v>
      </c>
      <c r="K600" s="38">
        <v>0</v>
      </c>
      <c r="L600" s="38">
        <v>0</v>
      </c>
      <c r="M600" s="38">
        <v>1</v>
      </c>
      <c r="N600" s="38">
        <v>0</v>
      </c>
      <c r="O600" s="38">
        <v>0</v>
      </c>
      <c r="P600" s="38">
        <v>0</v>
      </c>
      <c r="Q600" s="38">
        <v>0</v>
      </c>
      <c r="R600" s="38">
        <v>0</v>
      </c>
      <c r="S600" s="38">
        <v>0</v>
      </c>
      <c r="T600" s="38">
        <v>0</v>
      </c>
      <c r="U600" s="29" cm="1">
        <f t="array" aca="1" ref="U600" ca="1">+fair_value_gap(OFFSET(T599,0,0,-1*$J$5,-1*$AA$1),OFFSET(E599,0,0,-1*$J$5,1),F600:T600,0)</f>
        <v>15.862731294322934</v>
      </c>
      <c r="V600" s="9" cm="1">
        <f t="array" aca="1" ref="V600" ca="1">z_score_diff(OFFSET(U600,0,0,$J$5*-1,1),OFFSET(E600,0,0,$J$5*-1,1))</f>
        <v>-0.57850143939745435</v>
      </c>
      <c r="W600" s="9">
        <f t="shared" ca="1" si="91"/>
        <v>0.23603656412469892</v>
      </c>
      <c r="X600" s="17">
        <f t="shared" ca="1" si="90"/>
        <v>5.7030612353477783E-2</v>
      </c>
      <c r="Y600" s="13">
        <f t="shared" si="96"/>
        <v>0</v>
      </c>
      <c r="Z600" s="13">
        <f t="shared" si="96"/>
        <v>0</v>
      </c>
      <c r="AA600">
        <f t="shared" ca="1" si="92"/>
        <v>0</v>
      </c>
      <c r="AB600">
        <f t="shared" ca="1" si="93"/>
        <v>1</v>
      </c>
      <c r="AC600" s="24">
        <f t="shared" ca="1" si="94"/>
        <v>0</v>
      </c>
      <c r="AD600" s="24">
        <f t="shared" ca="1" si="95"/>
        <v>5.7030612353477783E-2</v>
      </c>
    </row>
    <row r="601" spans="3:30" x14ac:dyDescent="0.25">
      <c r="C601" s="6">
        <v>594</v>
      </c>
      <c r="D601" s="35">
        <v>42851</v>
      </c>
      <c r="E601" s="37">
        <v>16.309999999999999</v>
      </c>
      <c r="F601" s="37">
        <v>48.366572295082413</v>
      </c>
      <c r="G601" s="37">
        <v>38.770000000000003</v>
      </c>
      <c r="H601" s="37">
        <v>3.0745699008235485</v>
      </c>
      <c r="I601" s="37">
        <v>69.711444575541321</v>
      </c>
      <c r="J601" s="10">
        <v>0</v>
      </c>
      <c r="K601" s="38">
        <v>0</v>
      </c>
      <c r="L601" s="38">
        <v>0</v>
      </c>
      <c r="M601" s="38">
        <v>1</v>
      </c>
      <c r="N601" s="38">
        <v>0</v>
      </c>
      <c r="O601" s="38">
        <v>0</v>
      </c>
      <c r="P601" s="38">
        <v>0</v>
      </c>
      <c r="Q601" s="38">
        <v>0</v>
      </c>
      <c r="R601" s="38">
        <v>0</v>
      </c>
      <c r="S601" s="38">
        <v>0</v>
      </c>
      <c r="T601" s="38">
        <v>0</v>
      </c>
      <c r="U601" s="29" cm="1">
        <f t="array" aca="1" ref="U601" ca="1">+fair_value_gap(OFFSET(T600,0,0,-1*$J$5,-1*$AA$1),OFFSET(E600,0,0,-1*$J$5,1),F601:T601,0)</f>
        <v>16.046959953383279</v>
      </c>
      <c r="V601" s="9" cm="1">
        <f t="array" aca="1" ref="V601" ca="1">z_score_diff(OFFSET(U601,0,0,$J$5*-1,1),OFFSET(E601,0,0,$J$5*-1,1))</f>
        <v>-0.62452377092933398</v>
      </c>
      <c r="W601" s="9">
        <f t="shared" ca="1" si="91"/>
        <v>0.20100736309874145</v>
      </c>
      <c r="X601" s="17">
        <f t="shared" ca="1" si="90"/>
        <v>3.9786510707156011E-2</v>
      </c>
      <c r="Y601" s="13">
        <f t="shared" ref="Y601:Z616" si="97">+Y600</f>
        <v>0</v>
      </c>
      <c r="Z601" s="13">
        <f t="shared" si="97"/>
        <v>0</v>
      </c>
      <c r="AA601">
        <f t="shared" ca="1" si="92"/>
        <v>0</v>
      </c>
      <c r="AB601">
        <f t="shared" ca="1" si="93"/>
        <v>1</v>
      </c>
      <c r="AC601" s="24">
        <f t="shared" ca="1" si="94"/>
        <v>0</v>
      </c>
      <c r="AD601" s="24">
        <f t="shared" ca="1" si="95"/>
        <v>3.9786510707156011E-2</v>
      </c>
    </row>
    <row r="602" spans="3:30" x14ac:dyDescent="0.25">
      <c r="C602" s="6">
        <v>595</v>
      </c>
      <c r="D602" s="35">
        <v>42852</v>
      </c>
      <c r="E602" s="37">
        <v>16.241</v>
      </c>
      <c r="F602" s="37">
        <v>47.948412864714967</v>
      </c>
      <c r="G602" s="37">
        <v>38.78</v>
      </c>
      <c r="H602" s="37">
        <v>3.1094040111585057</v>
      </c>
      <c r="I602" s="37">
        <v>70.469499051599897</v>
      </c>
      <c r="J602" s="10">
        <v>0</v>
      </c>
      <c r="K602" s="38">
        <v>0</v>
      </c>
      <c r="L602" s="38">
        <v>0</v>
      </c>
      <c r="M602" s="38">
        <v>1</v>
      </c>
      <c r="N602" s="38">
        <v>0</v>
      </c>
      <c r="O602" s="38">
        <v>0</v>
      </c>
      <c r="P602" s="38">
        <v>0</v>
      </c>
      <c r="Q602" s="38">
        <v>0</v>
      </c>
      <c r="R602" s="38">
        <v>0</v>
      </c>
      <c r="S602" s="38">
        <v>0</v>
      </c>
      <c r="T602" s="38">
        <v>0</v>
      </c>
      <c r="U602" s="29" cm="1">
        <f t="array" aca="1" ref="U602" ca="1">+fair_value_gap(OFFSET(T601,0,0,-1*$J$5,-1*$AA$1),OFFSET(E601,0,0,-1*$J$5,1),F602:T602,0)</f>
        <v>16.097687072687378</v>
      </c>
      <c r="V602" s="9" cm="1">
        <f t="array" aca="1" ref="V602" ca="1">z_score_diff(OFFSET(U602,0,0,$J$5*-1,1),OFFSET(E602,0,0,$J$5*-1,1))</f>
        <v>-0.49263294842757732</v>
      </c>
      <c r="W602" s="9">
        <f t="shared" ca="1" si="91"/>
        <v>0.17206335392887023</v>
      </c>
      <c r="X602" s="17">
        <f t="shared" ca="1" si="90"/>
        <v>3.6752398663782479E-2</v>
      </c>
      <c r="Y602" s="13">
        <f t="shared" si="97"/>
        <v>0</v>
      </c>
      <c r="Z602" s="13">
        <f t="shared" si="97"/>
        <v>0</v>
      </c>
      <c r="AA602">
        <f t="shared" ca="1" si="92"/>
        <v>0</v>
      </c>
      <c r="AB602">
        <f t="shared" ca="1" si="93"/>
        <v>1</v>
      </c>
      <c r="AC602" s="24">
        <f t="shared" ca="1" si="94"/>
        <v>0</v>
      </c>
      <c r="AD602" s="24">
        <f t="shared" ca="1" si="95"/>
        <v>3.6752398663782479E-2</v>
      </c>
    </row>
    <row r="603" spans="3:30" x14ac:dyDescent="0.25">
      <c r="C603" s="6">
        <v>596</v>
      </c>
      <c r="D603" s="35">
        <v>42853</v>
      </c>
      <c r="E603" s="37">
        <v>17.091999999999999</v>
      </c>
      <c r="F603" s="37">
        <v>48.110315535304537</v>
      </c>
      <c r="G603" s="37">
        <v>39.369999999999997</v>
      </c>
      <c r="H603" s="37">
        <v>3.1228067623539508</v>
      </c>
      <c r="I603" s="37">
        <v>70.547250293643842</v>
      </c>
      <c r="J603" s="10">
        <v>0</v>
      </c>
      <c r="K603" s="38">
        <v>0</v>
      </c>
      <c r="L603" s="38">
        <v>0</v>
      </c>
      <c r="M603" s="38">
        <v>1</v>
      </c>
      <c r="N603" s="38">
        <v>0</v>
      </c>
      <c r="O603" s="38">
        <v>0</v>
      </c>
      <c r="P603" s="38">
        <v>0</v>
      </c>
      <c r="Q603" s="38">
        <v>0</v>
      </c>
      <c r="R603" s="38">
        <v>0</v>
      </c>
      <c r="S603" s="38">
        <v>0</v>
      </c>
      <c r="T603" s="38">
        <v>0</v>
      </c>
      <c r="U603" s="29" cm="1">
        <f t="array" aca="1" ref="U603" ca="1">+fair_value_gap(OFFSET(T602,0,0,-1*$J$5,-1*$AA$1),OFFSET(E602,0,0,-1*$J$5,1),F603:T603,0)</f>
        <v>16.284617167029786</v>
      </c>
      <c r="V603" s="9" cm="1">
        <f t="array" aca="1" ref="V603" ca="1">z_score_diff(OFFSET(U603,0,0,$J$5*-1,1),OFFSET(E603,0,0,$J$5*-1,1))</f>
        <v>-1.2544102952914122</v>
      </c>
      <c r="W603" s="9">
        <f t="shared" ca="1" si="91"/>
        <v>0.1165611300579493</v>
      </c>
      <c r="X603" s="17">
        <f t="shared" ca="1" si="90"/>
        <v>-1.9675090379042033E-2</v>
      </c>
      <c r="Y603" s="13">
        <f t="shared" si="97"/>
        <v>0</v>
      </c>
      <c r="Z603" s="13">
        <f t="shared" si="97"/>
        <v>0</v>
      </c>
      <c r="AA603">
        <f t="shared" ca="1" si="92"/>
        <v>0</v>
      </c>
      <c r="AB603">
        <f t="shared" ca="1" si="93"/>
        <v>1</v>
      </c>
      <c r="AC603" s="24">
        <f t="shared" ca="1" si="94"/>
        <v>0</v>
      </c>
      <c r="AD603" s="24">
        <f t="shared" ca="1" si="95"/>
        <v>-1.9675090379042033E-2</v>
      </c>
    </row>
    <row r="604" spans="3:30" x14ac:dyDescent="0.25">
      <c r="C604" s="6">
        <v>597</v>
      </c>
      <c r="D604" s="35">
        <v>42856</v>
      </c>
      <c r="E604" s="37">
        <v>17.085000000000001</v>
      </c>
      <c r="F604" s="37">
        <v>47.734410212419483</v>
      </c>
      <c r="G604" s="37">
        <v>39.369999999999997</v>
      </c>
      <c r="H604" s="37">
        <v>3.0605271958010434</v>
      </c>
      <c r="I604" s="37">
        <v>69.06177757745823</v>
      </c>
      <c r="J604" s="10">
        <v>0</v>
      </c>
      <c r="K604" s="38">
        <v>0</v>
      </c>
      <c r="L604" s="38">
        <v>0</v>
      </c>
      <c r="M604" s="38">
        <v>0</v>
      </c>
      <c r="N604" s="38">
        <v>1</v>
      </c>
      <c r="O604" s="38">
        <v>0</v>
      </c>
      <c r="P604" s="38">
        <v>0</v>
      </c>
      <c r="Q604" s="38">
        <v>0</v>
      </c>
      <c r="R604" s="38">
        <v>0</v>
      </c>
      <c r="S604" s="38">
        <v>0</v>
      </c>
      <c r="T604" s="38">
        <v>0</v>
      </c>
      <c r="U604" s="29" cm="1">
        <f t="array" aca="1" ref="U604" ca="1">+fair_value_gap(OFFSET(T603,0,0,-1*$J$5,-1*$AA$1),OFFSET(E603,0,0,-1*$J$5,1),F604:T604,0)</f>
        <v>18.312115479576125</v>
      </c>
      <c r="V604" s="9" cm="1">
        <f t="array" aca="1" ref="V604" ca="1">z_score_diff(OFFSET(U604,0,0,$J$5*-1,1),OFFSET(E604,0,0,$J$5*-1,1))</f>
        <v>1.0967651826145248</v>
      </c>
      <c r="W604" s="9">
        <f t="shared" ca="1" si="91"/>
        <v>0.18795665258233979</v>
      </c>
      <c r="X604" s="17">
        <f t="shared" ca="1" si="90"/>
        <v>-1.4800234777870881E-2</v>
      </c>
      <c r="Y604" s="13">
        <f t="shared" si="97"/>
        <v>0</v>
      </c>
      <c r="Z604" s="13">
        <f t="shared" si="97"/>
        <v>0</v>
      </c>
      <c r="AA604">
        <f t="shared" ca="1" si="92"/>
        <v>0</v>
      </c>
      <c r="AB604">
        <f t="shared" ca="1" si="93"/>
        <v>1</v>
      </c>
      <c r="AC604" s="24">
        <f t="shared" ca="1" si="94"/>
        <v>0</v>
      </c>
      <c r="AD604" s="24">
        <f t="shared" ca="1" si="95"/>
        <v>-1.4800234777870881E-2</v>
      </c>
    </row>
    <row r="605" spans="3:30" x14ac:dyDescent="0.25">
      <c r="C605" s="6">
        <v>598</v>
      </c>
      <c r="D605" s="35">
        <v>42857</v>
      </c>
      <c r="E605" s="37">
        <v>17.396000000000001</v>
      </c>
      <c r="F605" s="37">
        <v>46.578222415542989</v>
      </c>
      <c r="G605" s="37">
        <v>39.31</v>
      </c>
      <c r="H605" s="37">
        <v>3.0438958967667098</v>
      </c>
      <c r="I605" s="37">
        <v>69.323618964767292</v>
      </c>
      <c r="J605" s="10">
        <v>0</v>
      </c>
      <c r="K605" s="38">
        <v>0</v>
      </c>
      <c r="L605" s="38">
        <v>0</v>
      </c>
      <c r="M605" s="38">
        <v>0</v>
      </c>
      <c r="N605" s="38">
        <v>1</v>
      </c>
      <c r="O605" s="38">
        <v>0</v>
      </c>
      <c r="P605" s="38">
        <v>0</v>
      </c>
      <c r="Q605" s="38">
        <v>0</v>
      </c>
      <c r="R605" s="38">
        <v>0</v>
      </c>
      <c r="S605" s="38">
        <v>0</v>
      </c>
      <c r="T605" s="38">
        <v>0</v>
      </c>
      <c r="U605" s="29" cm="1">
        <f t="array" aca="1" ref="U605" ca="1">+fair_value_gap(OFFSET(T604,0,0,-1*$J$5,-1*$AA$1),OFFSET(E604,0,0,-1*$J$5,1),F605:T605,0)</f>
        <v>17.980341841714118</v>
      </c>
      <c r="V605" s="9" cm="1">
        <f t="array" aca="1" ref="V605" ca="1">z_score_diff(OFFSET(U605,0,0,$J$5*-1,1),OFFSET(E605,0,0,$J$5*-1,1))</f>
        <v>0.34721232398538548</v>
      </c>
      <c r="W605" s="9">
        <f t="shared" ca="1" si="91"/>
        <v>0.18913666806174045</v>
      </c>
      <c r="X605" s="17">
        <f t="shared" ca="1" si="90"/>
        <v>-2.0911542674424823E-2</v>
      </c>
      <c r="Y605" s="13">
        <f t="shared" si="97"/>
        <v>0</v>
      </c>
      <c r="Z605" s="13">
        <f t="shared" si="97"/>
        <v>0</v>
      </c>
      <c r="AA605">
        <f t="shared" ca="1" si="92"/>
        <v>0</v>
      </c>
      <c r="AB605">
        <f t="shared" ca="1" si="93"/>
        <v>1</v>
      </c>
      <c r="AC605" s="24">
        <f t="shared" ca="1" si="94"/>
        <v>0</v>
      </c>
      <c r="AD605" s="24">
        <f t="shared" ca="1" si="95"/>
        <v>-2.0911542674424823E-2</v>
      </c>
    </row>
    <row r="606" spans="3:30" x14ac:dyDescent="0.25">
      <c r="C606" s="6">
        <v>599</v>
      </c>
      <c r="D606" s="35">
        <v>42858</v>
      </c>
      <c r="E606" s="37">
        <v>17.321999999999999</v>
      </c>
      <c r="F606" s="37">
        <v>47.032811049844398</v>
      </c>
      <c r="G606" s="37">
        <v>39.18</v>
      </c>
      <c r="H606" s="37">
        <v>3.088205856126367</v>
      </c>
      <c r="I606" s="37">
        <v>68.470091536095794</v>
      </c>
      <c r="J606" s="10">
        <v>0</v>
      </c>
      <c r="K606" s="38">
        <v>0</v>
      </c>
      <c r="L606" s="38">
        <v>0</v>
      </c>
      <c r="M606" s="38">
        <v>0</v>
      </c>
      <c r="N606" s="38">
        <v>1</v>
      </c>
      <c r="O606" s="38">
        <v>0</v>
      </c>
      <c r="P606" s="38">
        <v>0</v>
      </c>
      <c r="Q606" s="38">
        <v>0</v>
      </c>
      <c r="R606" s="38">
        <v>0</v>
      </c>
      <c r="S606" s="38">
        <v>0</v>
      </c>
      <c r="T606" s="38">
        <v>0</v>
      </c>
      <c r="U606" s="29" cm="1">
        <f t="array" aca="1" ref="U606" ca="1">+fair_value_gap(OFFSET(T605,0,0,-1*$J$5,-1*$AA$1),OFFSET(E605,0,0,-1*$J$5,1),F606:T606,0)</f>
        <v>17.85992976585392</v>
      </c>
      <c r="V606" s="9" cm="1">
        <f t="array" aca="1" ref="V606" ca="1">z_score_diff(OFFSET(U606,0,0,$J$5*-1,1),OFFSET(E606,0,0,$J$5*-1,1))</f>
        <v>0.29127997191734734</v>
      </c>
      <c r="W606" s="9">
        <f t="shared" ca="1" si="91"/>
        <v>0.13881103666127032</v>
      </c>
      <c r="X606" s="17">
        <f t="shared" ca="1" si="90"/>
        <v>-1.6707318795923132E-2</v>
      </c>
      <c r="Y606" s="13">
        <f t="shared" si="97"/>
        <v>0</v>
      </c>
      <c r="Z606" s="13">
        <f t="shared" si="97"/>
        <v>0</v>
      </c>
      <c r="AA606">
        <f t="shared" ca="1" si="92"/>
        <v>0</v>
      </c>
      <c r="AB606">
        <f t="shared" ca="1" si="93"/>
        <v>1</v>
      </c>
      <c r="AC606" s="24">
        <f t="shared" ca="1" si="94"/>
        <v>0</v>
      </c>
      <c r="AD606" s="24">
        <f t="shared" ca="1" si="95"/>
        <v>-1.6707318795923132E-2</v>
      </c>
    </row>
    <row r="607" spans="3:30" x14ac:dyDescent="0.25">
      <c r="C607" s="6">
        <v>600</v>
      </c>
      <c r="D607" s="35">
        <v>42859</v>
      </c>
      <c r="E607" s="37">
        <v>16.95</v>
      </c>
      <c r="F607" s="37">
        <v>44.637983965328878</v>
      </c>
      <c r="G607" s="37">
        <v>38.53</v>
      </c>
      <c r="H607" s="37">
        <v>3.0393162485689773</v>
      </c>
      <c r="I607" s="37">
        <v>67.029147304444933</v>
      </c>
      <c r="J607" s="10">
        <v>0</v>
      </c>
      <c r="K607" s="38">
        <v>0</v>
      </c>
      <c r="L607" s="38">
        <v>0</v>
      </c>
      <c r="M607" s="38">
        <v>0</v>
      </c>
      <c r="N607" s="38">
        <v>1</v>
      </c>
      <c r="O607" s="38">
        <v>0</v>
      </c>
      <c r="P607" s="38">
        <v>0</v>
      </c>
      <c r="Q607" s="38">
        <v>0</v>
      </c>
      <c r="R607" s="38">
        <v>0</v>
      </c>
      <c r="S607" s="38">
        <v>0</v>
      </c>
      <c r="T607" s="38">
        <v>0</v>
      </c>
      <c r="U607" s="29" cm="1">
        <f t="array" aca="1" ref="U607" ca="1">+fair_value_gap(OFFSET(T606,0,0,-1*$J$5,-1*$AA$1),OFFSET(E606,0,0,-1*$J$5,1),F607:T607,0)</f>
        <v>17.378628410349219</v>
      </c>
      <c r="V607" s="9" cm="1">
        <f t="array" aca="1" ref="V607" ca="1">z_score_diff(OFFSET(U607,0,0,$J$5*-1,1),OFFSET(E607,0,0,$J$5*-1,1))</f>
        <v>0.16592133535909115</v>
      </c>
      <c r="W607" s="9">
        <f t="shared" ca="1" si="91"/>
        <v>8.8285528536644398E-2</v>
      </c>
      <c r="X607" s="17">
        <f t="shared" ca="1" si="90"/>
        <v>-3.2501136602060324E-3</v>
      </c>
      <c r="Y607" s="13">
        <f t="shared" si="97"/>
        <v>0</v>
      </c>
      <c r="Z607" s="13">
        <f t="shared" si="97"/>
        <v>0</v>
      </c>
      <c r="AA607">
        <f t="shared" ca="1" si="92"/>
        <v>0</v>
      </c>
      <c r="AB607">
        <f t="shared" ca="1" si="93"/>
        <v>1</v>
      </c>
      <c r="AC607" s="24">
        <f t="shared" ca="1" si="94"/>
        <v>0</v>
      </c>
      <c r="AD607" s="24">
        <f t="shared" ca="1" si="95"/>
        <v>-3.2501136602060324E-3</v>
      </c>
    </row>
    <row r="608" spans="3:30" x14ac:dyDescent="0.25">
      <c r="C608" s="6">
        <v>601</v>
      </c>
      <c r="D608" s="35">
        <v>42860</v>
      </c>
      <c r="E608" s="37">
        <v>16.899999999999999</v>
      </c>
      <c r="F608" s="37">
        <v>45.318540688931918</v>
      </c>
      <c r="G608" s="37">
        <v>38.64</v>
      </c>
      <c r="H608" s="37">
        <v>3.1002206463342885</v>
      </c>
      <c r="I608" s="37">
        <v>67.031797758579216</v>
      </c>
      <c r="J608" s="10">
        <v>0</v>
      </c>
      <c r="K608" s="38">
        <v>0</v>
      </c>
      <c r="L608" s="38">
        <v>0</v>
      </c>
      <c r="M608" s="38">
        <v>0</v>
      </c>
      <c r="N608" s="38">
        <v>1</v>
      </c>
      <c r="O608" s="38">
        <v>0</v>
      </c>
      <c r="P608" s="38">
        <v>0</v>
      </c>
      <c r="Q608" s="38">
        <v>0</v>
      </c>
      <c r="R608" s="38">
        <v>0</v>
      </c>
      <c r="S608" s="38">
        <v>0</v>
      </c>
      <c r="T608" s="38">
        <v>0</v>
      </c>
      <c r="U608" s="29" cm="1">
        <f t="array" aca="1" ref="U608" ca="1">+fair_value_gap(OFFSET(T607,0,0,-1*$J$5,-1*$AA$1),OFFSET(E607,0,0,-1*$J$5,1),F608:T608,0)</f>
        <v>17.404173019436847</v>
      </c>
      <c r="V608" s="9" cm="1">
        <f t="array" aca="1" ref="V608" ca="1">z_score_diff(OFFSET(U608,0,0,$J$5*-1,1),OFFSET(E608,0,0,$J$5*-1,1))</f>
        <v>0.25432228090703946</v>
      </c>
      <c r="W608" s="9">
        <f t="shared" ca="1" si="91"/>
        <v>5.5838750037924753E-2</v>
      </c>
      <c r="X608" s="17">
        <f t="shared" ca="1" si="90"/>
        <v>-6.3514890161568667E-3</v>
      </c>
      <c r="Y608" s="13">
        <f t="shared" si="97"/>
        <v>0</v>
      </c>
      <c r="Z608" s="13">
        <f t="shared" si="97"/>
        <v>0</v>
      </c>
      <c r="AA608">
        <f t="shared" ca="1" si="92"/>
        <v>0</v>
      </c>
      <c r="AB608">
        <f t="shared" ca="1" si="93"/>
        <v>1</v>
      </c>
      <c r="AC608" s="24">
        <f t="shared" ca="1" si="94"/>
        <v>0</v>
      </c>
      <c r="AD608" s="24">
        <f t="shared" ca="1" si="95"/>
        <v>-6.3514890161568667E-3</v>
      </c>
    </row>
    <row r="609" spans="3:30" x14ac:dyDescent="0.25">
      <c r="C609" s="6">
        <v>602</v>
      </c>
      <c r="D609" s="35">
        <v>42863</v>
      </c>
      <c r="E609" s="37">
        <v>16.696999999999999</v>
      </c>
      <c r="F609" s="37">
        <v>45.903179754348599</v>
      </c>
      <c r="G609" s="37">
        <v>38.24</v>
      </c>
      <c r="H609" s="37">
        <v>3.0429790175032516</v>
      </c>
      <c r="I609" s="37">
        <v>65.984120275219539</v>
      </c>
      <c r="J609" s="10">
        <v>0</v>
      </c>
      <c r="K609" s="38">
        <v>0</v>
      </c>
      <c r="L609" s="38">
        <v>0</v>
      </c>
      <c r="M609" s="38">
        <v>0</v>
      </c>
      <c r="N609" s="38">
        <v>1</v>
      </c>
      <c r="O609" s="38">
        <v>0</v>
      </c>
      <c r="P609" s="38">
        <v>0</v>
      </c>
      <c r="Q609" s="38">
        <v>0</v>
      </c>
      <c r="R609" s="38">
        <v>0</v>
      </c>
      <c r="S609" s="38">
        <v>0</v>
      </c>
      <c r="T609" s="38">
        <v>0</v>
      </c>
      <c r="U609" s="29" cm="1">
        <f t="array" aca="1" ref="U609" ca="1">+fair_value_gap(OFFSET(T608,0,0,-1*$J$5,-1*$AA$1),OFFSET(E608,0,0,-1*$J$5,1),F609:T609,0)</f>
        <v>17.218285397809264</v>
      </c>
      <c r="V609" s="9" cm="1">
        <f t="array" aca="1" ref="V609" ca="1">z_score_diff(OFFSET(U609,0,0,$J$5*-1,1),OFFSET(E609,0,0,$J$5*-1,1))</f>
        <v>0.27665713145180815</v>
      </c>
      <c r="W609" s="9">
        <f t="shared" ca="1" si="91"/>
        <v>2.2079258118687529E-2</v>
      </c>
      <c r="X609" s="17">
        <f t="shared" ca="1" si="90"/>
        <v>1.2735235200727705E-2</v>
      </c>
      <c r="Y609" s="13">
        <f t="shared" si="97"/>
        <v>0</v>
      </c>
      <c r="Z609" s="13">
        <f t="shared" si="97"/>
        <v>0</v>
      </c>
      <c r="AA609">
        <f t="shared" ca="1" si="92"/>
        <v>0</v>
      </c>
      <c r="AB609">
        <f t="shared" ca="1" si="93"/>
        <v>1</v>
      </c>
      <c r="AC609" s="24">
        <f t="shared" ca="1" si="94"/>
        <v>0</v>
      </c>
      <c r="AD609" s="24">
        <f t="shared" ca="1" si="95"/>
        <v>1.2735235200727705E-2</v>
      </c>
    </row>
    <row r="610" spans="3:30" x14ac:dyDescent="0.25">
      <c r="C610" s="6">
        <v>603</v>
      </c>
      <c r="D610" s="35">
        <v>42864</v>
      </c>
      <c r="E610" s="37">
        <v>16.655000000000001</v>
      </c>
      <c r="F610" s="37">
        <v>45.573752870563439</v>
      </c>
      <c r="G610" s="37">
        <v>38.130000000000003</v>
      </c>
      <c r="H610" s="37">
        <v>3.1017115435592344</v>
      </c>
      <c r="I610" s="37">
        <v>65.951223422522361</v>
      </c>
      <c r="J610" s="10">
        <v>0</v>
      </c>
      <c r="K610" s="38">
        <v>0</v>
      </c>
      <c r="L610" s="38">
        <v>0</v>
      </c>
      <c r="M610" s="38">
        <v>0</v>
      </c>
      <c r="N610" s="38">
        <v>1</v>
      </c>
      <c r="O610" s="38">
        <v>0</v>
      </c>
      <c r="P610" s="38">
        <v>0</v>
      </c>
      <c r="Q610" s="38">
        <v>0</v>
      </c>
      <c r="R610" s="38">
        <v>0</v>
      </c>
      <c r="S610" s="38">
        <v>0</v>
      </c>
      <c r="T610" s="38">
        <v>0</v>
      </c>
      <c r="U610" s="29" cm="1">
        <f t="array" aca="1" ref="U610" ca="1">+fair_value_gap(OFFSET(T609,0,0,-1*$J$5,-1*$AA$1),OFFSET(E609,0,0,-1*$J$5,1),F610:T610,0)</f>
        <v>17.122980013617155</v>
      </c>
      <c r="V610" s="9" cm="1">
        <f t="array" aca="1" ref="V610" ca="1">z_score_diff(OFFSET(U610,0,0,$J$5*-1,1),OFFSET(E610,0,0,$J$5*-1,1))</f>
        <v>0.21502880638691443</v>
      </c>
      <c r="W610" s="9">
        <f t="shared" ca="1" si="91"/>
        <v>-2.2493052756994741E-2</v>
      </c>
      <c r="X610" s="17">
        <f t="shared" ca="1" si="90"/>
        <v>9.3229624052785075E-3</v>
      </c>
      <c r="Y610" s="13">
        <f t="shared" si="97"/>
        <v>0</v>
      </c>
      <c r="Z610" s="13">
        <f t="shared" si="97"/>
        <v>0</v>
      </c>
      <c r="AA610">
        <f t="shared" ca="1" si="92"/>
        <v>1</v>
      </c>
      <c r="AB610">
        <f t="shared" ca="1" si="93"/>
        <v>0</v>
      </c>
      <c r="AC610" s="24">
        <f t="shared" ca="1" si="94"/>
        <v>9.3229624052785075E-3</v>
      </c>
      <c r="AD610" s="24">
        <f t="shared" ca="1" si="95"/>
        <v>0</v>
      </c>
    </row>
    <row r="611" spans="3:30" x14ac:dyDescent="0.25">
      <c r="C611" s="6">
        <v>604</v>
      </c>
      <c r="D611" s="35">
        <v>42865</v>
      </c>
      <c r="E611" s="37">
        <v>16.72</v>
      </c>
      <c r="F611" s="37">
        <v>46.744011123014161</v>
      </c>
      <c r="G611" s="37">
        <v>38.229999999999997</v>
      </c>
      <c r="H611" s="37">
        <v>3.1554714744831673</v>
      </c>
      <c r="I611" s="37">
        <v>66.874843297700181</v>
      </c>
      <c r="J611" s="10">
        <v>0</v>
      </c>
      <c r="K611" s="38">
        <v>0</v>
      </c>
      <c r="L611" s="38">
        <v>0</v>
      </c>
      <c r="M611" s="38">
        <v>0</v>
      </c>
      <c r="N611" s="38">
        <v>1</v>
      </c>
      <c r="O611" s="38">
        <v>0</v>
      </c>
      <c r="P611" s="38">
        <v>0</v>
      </c>
      <c r="Q611" s="38">
        <v>0</v>
      </c>
      <c r="R611" s="38">
        <v>0</v>
      </c>
      <c r="S611" s="38">
        <v>0</v>
      </c>
      <c r="T611" s="38">
        <v>0</v>
      </c>
      <c r="U611" s="29" cm="1">
        <f t="array" aca="1" ref="U611" ca="1">+fair_value_gap(OFFSET(T610,0,0,-1*$J$5,-1*$AA$1),OFFSET(E610,0,0,-1*$J$5,1),F611:T611,0)</f>
        <v>17.218741669914351</v>
      </c>
      <c r="V611" s="9" cm="1">
        <f t="array" aca="1" ref="V611" ca="1">z_score_diff(OFFSET(U611,0,0,$J$5*-1,1),OFFSET(E611,0,0,$J$5*-1,1))</f>
        <v>0.25145393985163583</v>
      </c>
      <c r="W611" s="9">
        <f t="shared" ca="1" si="91"/>
        <v>-6.2947203227067955E-2</v>
      </c>
      <c r="X611" s="17">
        <f t="shared" ca="1" si="90"/>
        <v>6.3197014720664108E-3</v>
      </c>
      <c r="Y611" s="13">
        <f t="shared" si="97"/>
        <v>0</v>
      </c>
      <c r="Z611" s="13">
        <f t="shared" si="97"/>
        <v>0</v>
      </c>
      <c r="AA611">
        <f t="shared" ca="1" si="92"/>
        <v>1</v>
      </c>
      <c r="AB611">
        <f t="shared" ca="1" si="93"/>
        <v>0</v>
      </c>
      <c r="AC611" s="24">
        <f t="shared" ca="1" si="94"/>
        <v>6.3197014720664108E-3</v>
      </c>
      <c r="AD611" s="24">
        <f t="shared" ca="1" si="95"/>
        <v>0</v>
      </c>
    </row>
    <row r="612" spans="3:30" x14ac:dyDescent="0.25">
      <c r="C612" s="6">
        <v>605</v>
      </c>
      <c r="D612" s="35">
        <v>42866</v>
      </c>
      <c r="E612" s="37">
        <v>16.635000000000002</v>
      </c>
      <c r="F612" s="37">
        <v>47.147705162267982</v>
      </c>
      <c r="G612" s="37">
        <v>38.25</v>
      </c>
      <c r="H612" s="37">
        <v>3.2185534562522911</v>
      </c>
      <c r="I612" s="37">
        <v>66.240200735617265</v>
      </c>
      <c r="J612" s="10">
        <v>0</v>
      </c>
      <c r="K612" s="38">
        <v>0</v>
      </c>
      <c r="L612" s="38">
        <v>0</v>
      </c>
      <c r="M612" s="38">
        <v>0</v>
      </c>
      <c r="N612" s="38">
        <v>1</v>
      </c>
      <c r="O612" s="38">
        <v>0</v>
      </c>
      <c r="P612" s="38">
        <v>0</v>
      </c>
      <c r="Q612" s="38">
        <v>0</v>
      </c>
      <c r="R612" s="38">
        <v>0</v>
      </c>
      <c r="S612" s="38">
        <v>0</v>
      </c>
      <c r="T612" s="38">
        <v>0</v>
      </c>
      <c r="U612" s="29" cm="1">
        <f t="array" aca="1" ref="U612" ca="1">+fair_value_gap(OFFSET(T611,0,0,-1*$J$5,-1*$AA$1),OFFSET(E611,0,0,-1*$J$5,1),F612:T612,0)</f>
        <v>17.210209489359652</v>
      </c>
      <c r="V612" s="9" cm="1">
        <f t="array" aca="1" ref="V612" ca="1">z_score_diff(OFFSET(U612,0,0,$J$5*-1,1),OFFSET(E612,0,0,$J$5*-1,1))</f>
        <v>0.3461008304907931</v>
      </c>
      <c r="W612" s="9">
        <f t="shared" ca="1" si="91"/>
        <v>-7.6237465845746782E-2</v>
      </c>
      <c r="X612" s="17">
        <f t="shared" ca="1" si="90"/>
        <v>2.464129425908573E-2</v>
      </c>
      <c r="Y612" s="13">
        <f t="shared" si="97"/>
        <v>0</v>
      </c>
      <c r="Z612" s="13">
        <f t="shared" si="97"/>
        <v>0</v>
      </c>
      <c r="AA612">
        <f t="shared" ca="1" si="92"/>
        <v>1</v>
      </c>
      <c r="AB612">
        <f t="shared" ca="1" si="93"/>
        <v>0</v>
      </c>
      <c r="AC612" s="24">
        <f t="shared" ca="1" si="94"/>
        <v>2.464129425908573E-2</v>
      </c>
      <c r="AD612" s="24">
        <f t="shared" ca="1" si="95"/>
        <v>0</v>
      </c>
    </row>
    <row r="613" spans="3:30" x14ac:dyDescent="0.25">
      <c r="C613" s="6">
        <v>606</v>
      </c>
      <c r="D613" s="35">
        <v>42867</v>
      </c>
      <c r="E613" s="37">
        <v>16.605</v>
      </c>
      <c r="F613" s="37">
        <v>46.792637547420377</v>
      </c>
      <c r="G613" s="37">
        <v>38.159999999999997</v>
      </c>
      <c r="H613" s="37">
        <v>3.2225460379906905</v>
      </c>
      <c r="I613" s="37">
        <v>66.127913775364519</v>
      </c>
      <c r="J613" s="10">
        <v>0</v>
      </c>
      <c r="K613" s="38">
        <v>0</v>
      </c>
      <c r="L613" s="38">
        <v>0</v>
      </c>
      <c r="M613" s="38">
        <v>0</v>
      </c>
      <c r="N613" s="38">
        <v>1</v>
      </c>
      <c r="O613" s="38">
        <v>0</v>
      </c>
      <c r="P613" s="38">
        <v>0</v>
      </c>
      <c r="Q613" s="38">
        <v>0</v>
      </c>
      <c r="R613" s="38">
        <v>0</v>
      </c>
      <c r="S613" s="38">
        <v>0</v>
      </c>
      <c r="T613" s="38">
        <v>0</v>
      </c>
      <c r="U613" s="29" cm="1">
        <f t="array" aca="1" ref="U613" ca="1">+fair_value_gap(OFFSET(T612,0,0,-1*$J$5,-1*$AA$1),OFFSET(E612,0,0,-1*$J$5,1),F613:T613,0)</f>
        <v>17.099119135347358</v>
      </c>
      <c r="V613" s="9" cm="1">
        <f t="array" aca="1" ref="V613" ca="1">z_score_diff(OFFSET(U613,0,0,$J$5*-1,1),OFFSET(E613,0,0,$J$5*-1,1))</f>
        <v>0.25008122240518948</v>
      </c>
      <c r="W613" s="9">
        <f t="shared" ca="1" si="91"/>
        <v>-9.2998732121711322E-2</v>
      </c>
      <c r="X613" s="17">
        <f t="shared" ca="1" si="90"/>
        <v>1.1615505999367236E-2</v>
      </c>
      <c r="Y613" s="13">
        <f t="shared" si="97"/>
        <v>0</v>
      </c>
      <c r="Z613" s="13">
        <f t="shared" si="97"/>
        <v>0</v>
      </c>
      <c r="AA613">
        <f t="shared" ca="1" si="92"/>
        <v>1</v>
      </c>
      <c r="AB613">
        <f t="shared" ca="1" si="93"/>
        <v>0</v>
      </c>
      <c r="AC613" s="24">
        <f t="shared" ca="1" si="94"/>
        <v>1.1615505999367236E-2</v>
      </c>
      <c r="AD613" s="24">
        <f t="shared" ca="1" si="95"/>
        <v>0</v>
      </c>
    </row>
    <row r="614" spans="3:30" x14ac:dyDescent="0.25">
      <c r="C614" s="6">
        <v>607</v>
      </c>
      <c r="D614" s="35">
        <v>42870</v>
      </c>
      <c r="E614" s="37">
        <v>16.768999999999998</v>
      </c>
      <c r="F614" s="37">
        <v>47.314171875676692</v>
      </c>
      <c r="G614" s="37">
        <v>38.25</v>
      </c>
      <c r="H614" s="37">
        <v>3.1506691111720633</v>
      </c>
      <c r="I614" s="37">
        <v>65.774277836324003</v>
      </c>
      <c r="J614" s="10">
        <v>0</v>
      </c>
      <c r="K614" s="38">
        <v>0</v>
      </c>
      <c r="L614" s="38">
        <v>0</v>
      </c>
      <c r="M614" s="38">
        <v>0</v>
      </c>
      <c r="N614" s="38">
        <v>1</v>
      </c>
      <c r="O614" s="38">
        <v>0</v>
      </c>
      <c r="P614" s="38">
        <v>0</v>
      </c>
      <c r="Q614" s="38">
        <v>0</v>
      </c>
      <c r="R614" s="38">
        <v>0</v>
      </c>
      <c r="S614" s="38">
        <v>0</v>
      </c>
      <c r="T614" s="38">
        <v>0</v>
      </c>
      <c r="U614" s="29" cm="1">
        <f t="array" aca="1" ref="U614" ca="1">+fair_value_gap(OFFSET(T613,0,0,-1*$J$5,-1*$AA$1),OFFSET(E613,0,0,-1*$J$5,1),F614:T614,0)</f>
        <v>17.097684345736511</v>
      </c>
      <c r="V614" s="9" cm="1">
        <f t="array" aca="1" ref="V614" ca="1">z_score_diff(OFFSET(U614,0,0,$J$5*-1,1),OFFSET(E614,0,0,$J$5*-1,1))</f>
        <v>4.5480589036707653E-2</v>
      </c>
      <c r="W614" s="9">
        <f t="shared" ca="1" si="91"/>
        <v>-0.11579968931494974</v>
      </c>
      <c r="X614" s="17">
        <f t="shared" ca="1" si="90"/>
        <v>-9.5270201397689158E-3</v>
      </c>
      <c r="Y614" s="13">
        <f t="shared" si="97"/>
        <v>0</v>
      </c>
      <c r="Z614" s="13">
        <f t="shared" si="97"/>
        <v>0</v>
      </c>
      <c r="AA614">
        <f t="shared" ca="1" si="92"/>
        <v>1</v>
      </c>
      <c r="AB614">
        <f t="shared" ca="1" si="93"/>
        <v>0</v>
      </c>
      <c r="AC614" s="24">
        <f t="shared" ca="1" si="94"/>
        <v>-9.5270201397689158E-3</v>
      </c>
      <c r="AD614" s="24">
        <f t="shared" ca="1" si="95"/>
        <v>0</v>
      </c>
    </row>
    <row r="615" spans="3:30" x14ac:dyDescent="0.25">
      <c r="C615" s="6">
        <v>608</v>
      </c>
      <c r="D615" s="35">
        <v>42871</v>
      </c>
      <c r="E615" s="37">
        <v>16.649000000000001</v>
      </c>
      <c r="F615" s="37">
        <v>46.931443441353132</v>
      </c>
      <c r="G615" s="37">
        <v>38.229999999999997</v>
      </c>
      <c r="H615" s="37">
        <v>3.0393696704876314</v>
      </c>
      <c r="I615" s="37">
        <v>65.927503881900833</v>
      </c>
      <c r="J615" s="10">
        <v>0</v>
      </c>
      <c r="K615" s="38">
        <v>0</v>
      </c>
      <c r="L615" s="38">
        <v>0</v>
      </c>
      <c r="M615" s="38">
        <v>0</v>
      </c>
      <c r="N615" s="38">
        <v>1</v>
      </c>
      <c r="O615" s="38">
        <v>0</v>
      </c>
      <c r="P615" s="38">
        <v>0</v>
      </c>
      <c r="Q615" s="38">
        <v>0</v>
      </c>
      <c r="R615" s="38">
        <v>0</v>
      </c>
      <c r="S615" s="38">
        <v>0</v>
      </c>
      <c r="T615" s="38">
        <v>0</v>
      </c>
      <c r="U615" s="29" cm="1">
        <f t="array" aca="1" ref="U615" ca="1">+fair_value_gap(OFFSET(T614,0,0,-1*$J$5,-1*$AA$1),OFFSET(E614,0,0,-1*$J$5,1),F615:T615,0)</f>
        <v>17.006617906674137</v>
      </c>
      <c r="V615" s="9" cm="1">
        <f t="array" aca="1" ref="V615" ca="1">z_score_diff(OFFSET(U615,0,0,$J$5*-1,1),OFFSET(E615,0,0,$J$5*-1,1))</f>
        <v>8.3471824871545558E-2</v>
      </c>
      <c r="W615" s="9">
        <f t="shared" ca="1" si="91"/>
        <v>-8.725609423404522E-2</v>
      </c>
      <c r="X615" s="17">
        <f t="shared" ca="1" si="90"/>
        <v>-5.2996209553613418E-3</v>
      </c>
      <c r="Y615" s="13">
        <f t="shared" si="97"/>
        <v>0</v>
      </c>
      <c r="Z615" s="13">
        <f t="shared" si="97"/>
        <v>0</v>
      </c>
      <c r="AA615">
        <f t="shared" ca="1" si="92"/>
        <v>1</v>
      </c>
      <c r="AB615">
        <f t="shared" ca="1" si="93"/>
        <v>0</v>
      </c>
      <c r="AC615" s="24">
        <f t="shared" ca="1" si="94"/>
        <v>-5.2996209553613418E-3</v>
      </c>
      <c r="AD615" s="24">
        <f t="shared" ca="1" si="95"/>
        <v>0</v>
      </c>
    </row>
    <row r="616" spans="3:30" x14ac:dyDescent="0.25">
      <c r="C616" s="6">
        <v>609</v>
      </c>
      <c r="D616" s="35">
        <v>42872</v>
      </c>
      <c r="E616" s="37">
        <v>16.847000000000001</v>
      </c>
      <c r="F616" s="37">
        <v>47.039694401743837</v>
      </c>
      <c r="G616" s="37">
        <v>38.65</v>
      </c>
      <c r="H616" s="37">
        <v>3.0025525690773471</v>
      </c>
      <c r="I616" s="37">
        <v>66.476851145105925</v>
      </c>
      <c r="J616" s="10">
        <v>0</v>
      </c>
      <c r="K616" s="38">
        <v>0</v>
      </c>
      <c r="L616" s="38">
        <v>0</v>
      </c>
      <c r="M616" s="38">
        <v>0</v>
      </c>
      <c r="N616" s="38">
        <v>1</v>
      </c>
      <c r="O616" s="38">
        <v>0</v>
      </c>
      <c r="P616" s="38">
        <v>0</v>
      </c>
      <c r="Q616" s="38">
        <v>0</v>
      </c>
      <c r="R616" s="38">
        <v>0</v>
      </c>
      <c r="S616" s="38">
        <v>0</v>
      </c>
      <c r="T616" s="38">
        <v>0</v>
      </c>
      <c r="U616" s="29" cm="1">
        <f t="array" aca="1" ref="U616" ca="1">+fair_value_gap(OFFSET(T615,0,0,-1*$J$5,-1*$AA$1),OFFSET(E615,0,0,-1*$J$5,1),F616:T616,0)</f>
        <v>17.099680162256305</v>
      </c>
      <c r="V616" s="9" cm="1">
        <f t="array" aca="1" ref="V616" ca="1">z_score_diff(OFFSET(U616,0,0,$J$5*-1,1),OFFSET(E616,0,0,$J$5*-1,1))</f>
        <v>-4.945162048141688E-2</v>
      </c>
      <c r="W616" s="9">
        <f t="shared" ca="1" si="91"/>
        <v>-7.551592895030565E-2</v>
      </c>
      <c r="X616" s="17">
        <f t="shared" ca="1" si="90"/>
        <v>-1.911668702678444E-2</v>
      </c>
      <c r="Y616" s="13">
        <f t="shared" si="97"/>
        <v>0</v>
      </c>
      <c r="Z616" s="13">
        <f t="shared" si="97"/>
        <v>0</v>
      </c>
      <c r="AA616">
        <f t="shared" ca="1" si="92"/>
        <v>1</v>
      </c>
      <c r="AB616">
        <f t="shared" ca="1" si="93"/>
        <v>0</v>
      </c>
      <c r="AC616" s="24">
        <f t="shared" ca="1" si="94"/>
        <v>-1.911668702678444E-2</v>
      </c>
      <c r="AD616" s="24">
        <f t="shared" ca="1" si="95"/>
        <v>0</v>
      </c>
    </row>
    <row r="617" spans="3:30" x14ac:dyDescent="0.25">
      <c r="C617" s="6">
        <v>610</v>
      </c>
      <c r="D617" s="35">
        <v>42873</v>
      </c>
      <c r="E617" s="37">
        <v>16.991</v>
      </c>
      <c r="F617" s="37">
        <v>47.462665528276418</v>
      </c>
      <c r="G617" s="37">
        <v>38.65</v>
      </c>
      <c r="H617" s="37">
        <v>3.0217302282757936</v>
      </c>
      <c r="I617" s="37">
        <v>66.64400592034302</v>
      </c>
      <c r="J617" s="10">
        <v>0</v>
      </c>
      <c r="K617" s="38">
        <v>0</v>
      </c>
      <c r="L617" s="38">
        <v>0</v>
      </c>
      <c r="M617" s="38">
        <v>0</v>
      </c>
      <c r="N617" s="38">
        <v>1</v>
      </c>
      <c r="O617" s="38">
        <v>0</v>
      </c>
      <c r="P617" s="38">
        <v>0</v>
      </c>
      <c r="Q617" s="38">
        <v>0</v>
      </c>
      <c r="R617" s="38">
        <v>0</v>
      </c>
      <c r="S617" s="38">
        <v>0</v>
      </c>
      <c r="T617" s="38">
        <v>0</v>
      </c>
      <c r="U617" s="29" cm="1">
        <f t="array" aca="1" ref="U617" ca="1">+fair_value_gap(OFFSET(T616,0,0,-1*$J$5,-1*$AA$1),OFFSET(E616,0,0,-1*$J$5,1),F617:T617,0)</f>
        <v>17.093402388019697</v>
      </c>
      <c r="V617" s="9" cm="1">
        <f t="array" aca="1" ref="V617" ca="1">z_score_diff(OFFSET(U617,0,0,$J$5*-1,1),OFFSET(E617,0,0,$J$5*-1,1))</f>
        <v>-0.23822844604065074</v>
      </c>
      <c r="W617" s="9">
        <f t="shared" ca="1" si="91"/>
        <v>-6.303281043070752E-2</v>
      </c>
      <c r="X617" s="17">
        <f t="shared" ca="1" si="90"/>
        <v>-3.3392283904468724E-2</v>
      </c>
      <c r="Y617" s="13">
        <f t="shared" ref="Y617:Z632" si="98">+Y616</f>
        <v>0</v>
      </c>
      <c r="Z617" s="13">
        <f t="shared" si="98"/>
        <v>0</v>
      </c>
      <c r="AA617">
        <f t="shared" ca="1" si="92"/>
        <v>1</v>
      </c>
      <c r="AB617">
        <f t="shared" ca="1" si="93"/>
        <v>0</v>
      </c>
      <c r="AC617" s="24">
        <f t="shared" ca="1" si="94"/>
        <v>-3.3392283904468724E-2</v>
      </c>
      <c r="AD617" s="24">
        <f t="shared" ca="1" si="95"/>
        <v>0</v>
      </c>
    </row>
    <row r="618" spans="3:30" x14ac:dyDescent="0.25">
      <c r="C618" s="6">
        <v>611</v>
      </c>
      <c r="D618" s="35">
        <v>42874</v>
      </c>
      <c r="E618" s="37">
        <v>16.864000000000001</v>
      </c>
      <c r="F618" s="37">
        <v>47.940494733882957</v>
      </c>
      <c r="G618" s="37">
        <v>38.89</v>
      </c>
      <c r="H618" s="37">
        <v>3.0463386474822181</v>
      </c>
      <c r="I618" s="37">
        <v>66.345825738113888</v>
      </c>
      <c r="J618" s="10">
        <v>0</v>
      </c>
      <c r="K618" s="38">
        <v>0</v>
      </c>
      <c r="L618" s="38">
        <v>0</v>
      </c>
      <c r="M618" s="38">
        <v>0</v>
      </c>
      <c r="N618" s="38">
        <v>1</v>
      </c>
      <c r="O618" s="38">
        <v>0</v>
      </c>
      <c r="P618" s="38">
        <v>0</v>
      </c>
      <c r="Q618" s="38">
        <v>0</v>
      </c>
      <c r="R618" s="38">
        <v>0</v>
      </c>
      <c r="S618" s="38">
        <v>0</v>
      </c>
      <c r="T618" s="38">
        <v>0</v>
      </c>
      <c r="U618" s="29" cm="1">
        <f t="array" aca="1" ref="U618" ca="1">+fair_value_gap(OFFSET(T617,0,0,-1*$J$5,-1*$AA$1),OFFSET(E617,0,0,-1*$J$5,1),F618:T618,0)</f>
        <v>17.14432190559026</v>
      </c>
      <c r="V618" s="9" cm="1">
        <f t="array" aca="1" ref="V618" ca="1">z_score_diff(OFFSET(U618,0,0,$J$5*-1,1),OFFSET(E618,0,0,$J$5*-1,1))</f>
        <v>-1.6434153052474365E-2</v>
      </c>
      <c r="W618" s="9">
        <f t="shared" ca="1" si="91"/>
        <v>-2.4554950600976462E-2</v>
      </c>
      <c r="X618" s="17">
        <f t="shared" ca="1" si="90"/>
        <v>-3.0280718358012267E-2</v>
      </c>
      <c r="Y618" s="13">
        <f t="shared" si="98"/>
        <v>0</v>
      </c>
      <c r="Z618" s="13">
        <f t="shared" si="98"/>
        <v>0</v>
      </c>
      <c r="AA618">
        <f t="shared" ca="1" si="92"/>
        <v>1</v>
      </c>
      <c r="AB618">
        <f t="shared" ca="1" si="93"/>
        <v>0</v>
      </c>
      <c r="AC618" s="24">
        <f t="shared" ca="1" si="94"/>
        <v>-3.0280718358012267E-2</v>
      </c>
      <c r="AD618" s="24">
        <f t="shared" ca="1" si="95"/>
        <v>0</v>
      </c>
    </row>
    <row r="619" spans="3:30" x14ac:dyDescent="0.25">
      <c r="C619" s="6">
        <v>612</v>
      </c>
      <c r="D619" s="35">
        <v>42877</v>
      </c>
      <c r="E619" s="37">
        <v>16.88</v>
      </c>
      <c r="F619" s="37">
        <v>48.192771084337352</v>
      </c>
      <c r="G619" s="37">
        <v>39.31</v>
      </c>
      <c r="H619" s="37">
        <v>3.0891672028274035</v>
      </c>
      <c r="I619" s="37">
        <v>66.498620671420142</v>
      </c>
      <c r="J619" s="10">
        <v>0</v>
      </c>
      <c r="K619" s="38">
        <v>0</v>
      </c>
      <c r="L619" s="38">
        <v>0</v>
      </c>
      <c r="M619" s="38">
        <v>0</v>
      </c>
      <c r="N619" s="38">
        <v>1</v>
      </c>
      <c r="O619" s="38">
        <v>0</v>
      </c>
      <c r="P619" s="38">
        <v>0</v>
      </c>
      <c r="Q619" s="38">
        <v>0</v>
      </c>
      <c r="R619" s="38">
        <v>0</v>
      </c>
      <c r="S619" s="38">
        <v>0</v>
      </c>
      <c r="T619" s="38">
        <v>0</v>
      </c>
      <c r="U619" s="29" cm="1">
        <f t="array" aca="1" ref="U619" ca="1">+fair_value_gap(OFFSET(T618,0,0,-1*$J$5,-1*$AA$1),OFFSET(E618,0,0,-1*$J$5,1),F619:T619,0)</f>
        <v>17.142307092970295</v>
      </c>
      <c r="V619" s="9" cm="1">
        <f t="array" aca="1" ref="V619" ca="1">z_score_diff(OFFSET(U619,0,0,$J$5*-1,1),OFFSET(E619,0,0,$J$5*-1,1))</f>
        <v>-3.0470921800215933E-2</v>
      </c>
      <c r="W619" s="9">
        <f t="shared" ca="1" si="91"/>
        <v>1.6956092192872339E-2</v>
      </c>
      <c r="X619" s="17">
        <f t="shared" ca="1" si="90"/>
        <v>-2.4285408779239945E-2</v>
      </c>
      <c r="Y619" s="13">
        <f t="shared" si="98"/>
        <v>0</v>
      </c>
      <c r="Z619" s="13">
        <f t="shared" si="98"/>
        <v>0</v>
      </c>
      <c r="AA619">
        <f t="shared" ca="1" si="92"/>
        <v>0</v>
      </c>
      <c r="AB619">
        <f t="shared" ca="1" si="93"/>
        <v>1</v>
      </c>
      <c r="AC619" s="24">
        <f t="shared" ca="1" si="94"/>
        <v>0</v>
      </c>
      <c r="AD619" s="24">
        <f t="shared" ca="1" si="95"/>
        <v>-2.4285408779239945E-2</v>
      </c>
    </row>
    <row r="620" spans="3:30" x14ac:dyDescent="0.25">
      <c r="C620" s="6">
        <v>613</v>
      </c>
      <c r="D620" s="35">
        <v>42878</v>
      </c>
      <c r="E620" s="37">
        <v>17.029</v>
      </c>
      <c r="F620" s="37">
        <v>48.673350100960008</v>
      </c>
      <c r="G620" s="37">
        <v>39.729999999999997</v>
      </c>
      <c r="H620" s="37">
        <v>3.0217152573594532</v>
      </c>
      <c r="I620" s="37">
        <v>66.819582698643245</v>
      </c>
      <c r="J620" s="10">
        <v>0</v>
      </c>
      <c r="K620" s="38">
        <v>0</v>
      </c>
      <c r="L620" s="38">
        <v>0</v>
      </c>
      <c r="M620" s="38">
        <v>0</v>
      </c>
      <c r="N620" s="38">
        <v>1</v>
      </c>
      <c r="O620" s="38">
        <v>0</v>
      </c>
      <c r="P620" s="38">
        <v>0</v>
      </c>
      <c r="Q620" s="38">
        <v>0</v>
      </c>
      <c r="R620" s="38">
        <v>0</v>
      </c>
      <c r="S620" s="38">
        <v>0</v>
      </c>
      <c r="T620" s="38">
        <v>0</v>
      </c>
      <c r="U620" s="29" cm="1">
        <f t="array" aca="1" ref="U620" ca="1">+fair_value_gap(OFFSET(T619,0,0,-1*$J$5,-1*$AA$1),OFFSET(E619,0,0,-1*$J$5,1),F620:T620,0)</f>
        <v>17.24650596793256</v>
      </c>
      <c r="V620" s="9" cm="1">
        <f t="array" aca="1" ref="V620" ca="1">z_score_diff(OFFSET(U620,0,0,$J$5*-1,1),OFFSET(E620,0,0,$J$5*-1,1))</f>
        <v>-8.4376702465945752E-2</v>
      </c>
      <c r="W620" s="9">
        <f t="shared" ca="1" si="91"/>
        <v>4.1662329039447762E-2</v>
      </c>
      <c r="X620" s="17">
        <f t="shared" ca="1" si="90"/>
        <v>-3.2891615151069226E-2</v>
      </c>
      <c r="Y620" s="13">
        <f t="shared" si="98"/>
        <v>0</v>
      </c>
      <c r="Z620" s="13">
        <f t="shared" si="98"/>
        <v>0</v>
      </c>
      <c r="AA620">
        <f t="shared" ca="1" si="92"/>
        <v>0</v>
      </c>
      <c r="AB620">
        <f t="shared" ca="1" si="93"/>
        <v>1</v>
      </c>
      <c r="AC620" s="24">
        <f t="shared" ca="1" si="94"/>
        <v>0</v>
      </c>
      <c r="AD620" s="24">
        <f t="shared" ca="1" si="95"/>
        <v>-3.2891615151069226E-2</v>
      </c>
    </row>
    <row r="621" spans="3:30" x14ac:dyDescent="0.25">
      <c r="C621" s="6">
        <v>614</v>
      </c>
      <c r="D621" s="35">
        <v>42879</v>
      </c>
      <c r="E621" s="37">
        <v>16.972000000000001</v>
      </c>
      <c r="F621" s="37">
        <v>48.305553152001359</v>
      </c>
      <c r="G621" s="37">
        <v>39.659999999999997</v>
      </c>
      <c r="H621" s="37">
        <v>3.0019901428770721</v>
      </c>
      <c r="I621" s="37">
        <v>66.176223884893105</v>
      </c>
      <c r="J621" s="10">
        <v>0</v>
      </c>
      <c r="K621" s="38">
        <v>0</v>
      </c>
      <c r="L621" s="38">
        <v>0</v>
      </c>
      <c r="M621" s="38">
        <v>0</v>
      </c>
      <c r="N621" s="38">
        <v>1</v>
      </c>
      <c r="O621" s="38">
        <v>0</v>
      </c>
      <c r="P621" s="38">
        <v>0</v>
      </c>
      <c r="Q621" s="38">
        <v>0</v>
      </c>
      <c r="R621" s="38">
        <v>0</v>
      </c>
      <c r="S621" s="38">
        <v>0</v>
      </c>
      <c r="T621" s="38">
        <v>0</v>
      </c>
      <c r="U621" s="29" cm="1">
        <f t="array" aca="1" ref="U621" ca="1">+fair_value_gap(OFFSET(T620,0,0,-1*$J$5,-1*$AA$1),OFFSET(E620,0,0,-1*$J$5,1),F621:T621,0)</f>
        <v>17.162501014315492</v>
      </c>
      <c r="V621" s="9" cm="1">
        <f t="array" aca="1" ref="V621" ca="1">z_score_diff(OFFSET(U621,0,0,$J$5*-1,1),OFFSET(E621,0,0,$J$5*-1,1))</f>
        <v>-0.1154679216037735</v>
      </c>
      <c r="W621" s="9">
        <f t="shared" ca="1" si="91"/>
        <v>6.7115121505725781E-2</v>
      </c>
      <c r="X621" s="17">
        <f t="shared" ca="1" si="90"/>
        <v>-3.44055511660925E-2</v>
      </c>
      <c r="Y621" s="13">
        <f t="shared" si="98"/>
        <v>0</v>
      </c>
      <c r="Z621" s="13">
        <f t="shared" si="98"/>
        <v>0</v>
      </c>
      <c r="AA621">
        <f t="shared" ca="1" si="92"/>
        <v>0</v>
      </c>
      <c r="AB621">
        <f t="shared" ca="1" si="93"/>
        <v>1</v>
      </c>
      <c r="AC621" s="24">
        <f t="shared" ca="1" si="94"/>
        <v>0</v>
      </c>
      <c r="AD621" s="24">
        <f t="shared" ca="1" si="95"/>
        <v>-3.44055511660925E-2</v>
      </c>
    </row>
    <row r="622" spans="3:30" x14ac:dyDescent="0.25">
      <c r="C622" s="6">
        <v>615</v>
      </c>
      <c r="D622" s="35">
        <v>42880</v>
      </c>
      <c r="E622" s="37">
        <v>16.849</v>
      </c>
      <c r="F622" s="37">
        <v>46.316425761158889</v>
      </c>
      <c r="G622" s="37">
        <v>39.54</v>
      </c>
      <c r="H622" s="37">
        <v>2.9861324679823675</v>
      </c>
      <c r="I622" s="37">
        <v>65.617145826484403</v>
      </c>
      <c r="J622" s="10">
        <v>0</v>
      </c>
      <c r="K622" s="38">
        <v>0</v>
      </c>
      <c r="L622" s="38">
        <v>0</v>
      </c>
      <c r="M622" s="38">
        <v>0</v>
      </c>
      <c r="N622" s="38">
        <v>1</v>
      </c>
      <c r="O622" s="38">
        <v>0</v>
      </c>
      <c r="P622" s="38">
        <v>0</v>
      </c>
      <c r="Q622" s="38">
        <v>0</v>
      </c>
      <c r="R622" s="38">
        <v>0</v>
      </c>
      <c r="S622" s="38">
        <v>0</v>
      </c>
      <c r="T622" s="38">
        <v>0</v>
      </c>
      <c r="U622" s="29" cm="1">
        <f t="array" aca="1" ref="U622" ca="1">+fair_value_gap(OFFSET(T621,0,0,-1*$J$5,-1*$AA$1),OFFSET(E621,0,0,-1*$J$5,1),F622:T622,0)</f>
        <v>17.000274533949064</v>
      </c>
      <c r="V622" s="9" cm="1">
        <f t="array" aca="1" ref="V622" ca="1">z_score_diff(OFFSET(U622,0,0,$J$5*-1,1),OFFSET(E622,0,0,$J$5*-1,1))</f>
        <v>-0.16167097655678098</v>
      </c>
      <c r="W622" s="9">
        <f t="shared" ca="1" si="91"/>
        <v>8.3663220099265606E-2</v>
      </c>
      <c r="X622" s="17">
        <f t="shared" ca="1" si="90"/>
        <v>-3.2206377810964235E-2</v>
      </c>
      <c r="Y622" s="13">
        <f t="shared" si="98"/>
        <v>0</v>
      </c>
      <c r="Z622" s="13">
        <f t="shared" si="98"/>
        <v>0</v>
      </c>
      <c r="AA622">
        <f t="shared" ca="1" si="92"/>
        <v>0</v>
      </c>
      <c r="AB622">
        <f t="shared" ca="1" si="93"/>
        <v>1</v>
      </c>
      <c r="AC622" s="24">
        <f t="shared" ca="1" si="94"/>
        <v>0</v>
      </c>
      <c r="AD622" s="24">
        <f t="shared" ca="1" si="95"/>
        <v>-3.2206377810964235E-2</v>
      </c>
    </row>
    <row r="623" spans="3:30" x14ac:dyDescent="0.25">
      <c r="C623" s="6">
        <v>616</v>
      </c>
      <c r="D623" s="35">
        <v>42881</v>
      </c>
      <c r="E623" s="37">
        <v>16.759</v>
      </c>
      <c r="F623" s="37">
        <v>47.090561428959859</v>
      </c>
      <c r="G623" s="37">
        <v>39.479999999999997</v>
      </c>
      <c r="H623" s="37">
        <v>3.0077025881652748</v>
      </c>
      <c r="I623" s="37">
        <v>65.184602617480635</v>
      </c>
      <c r="J623" s="10">
        <v>0</v>
      </c>
      <c r="K623" s="38">
        <v>0</v>
      </c>
      <c r="L623" s="38">
        <v>0</v>
      </c>
      <c r="M623" s="38">
        <v>0</v>
      </c>
      <c r="N623" s="38">
        <v>1</v>
      </c>
      <c r="O623" s="38">
        <v>0</v>
      </c>
      <c r="P623" s="38">
        <v>0</v>
      </c>
      <c r="Q623" s="38">
        <v>0</v>
      </c>
      <c r="R623" s="38">
        <v>0</v>
      </c>
      <c r="S623" s="38">
        <v>0</v>
      </c>
      <c r="T623" s="38">
        <v>0</v>
      </c>
      <c r="U623" s="29" cm="1">
        <f t="array" aca="1" ref="U623" ca="1">+fair_value_gap(OFFSET(T622,0,0,-1*$J$5,-1*$AA$1),OFFSET(E622,0,0,-1*$J$5,1),F623:T623,0)</f>
        <v>17.002861785289433</v>
      </c>
      <c r="V623" s="9" cm="1">
        <f t="array" aca="1" ref="V623" ca="1">z_score_diff(OFFSET(U623,0,0,$J$5*-1,1),OFFSET(E623,0,0,$J$5*-1,1))</f>
        <v>-4.3581688492337345E-2</v>
      </c>
      <c r="W623" s="9">
        <f t="shared" ca="1" si="91"/>
        <v>0.14420465043921937</v>
      </c>
      <c r="X623" s="17">
        <f t="shared" ca="1" si="90"/>
        <v>-2.5870285308130229E-2</v>
      </c>
      <c r="Y623" s="13">
        <f t="shared" si="98"/>
        <v>0</v>
      </c>
      <c r="Z623" s="13">
        <f t="shared" si="98"/>
        <v>0</v>
      </c>
      <c r="AA623">
        <f t="shared" ca="1" si="92"/>
        <v>0</v>
      </c>
      <c r="AB623">
        <f t="shared" ca="1" si="93"/>
        <v>1</v>
      </c>
      <c r="AC623" s="24">
        <f t="shared" ca="1" si="94"/>
        <v>0</v>
      </c>
      <c r="AD623" s="24">
        <f t="shared" ca="1" si="95"/>
        <v>-2.5870285308130229E-2</v>
      </c>
    </row>
    <row r="624" spans="3:30" x14ac:dyDescent="0.25">
      <c r="C624" s="6">
        <v>617</v>
      </c>
      <c r="D624" s="35">
        <v>42884</v>
      </c>
      <c r="E624" s="37">
        <v>16.834</v>
      </c>
      <c r="F624" s="37">
        <v>47.315701218159717</v>
      </c>
      <c r="G624" s="37">
        <v>39.61</v>
      </c>
      <c r="H624" s="37">
        <v>3.0130155885406036</v>
      </c>
      <c r="I624" s="37">
        <v>64.811775248201144</v>
      </c>
      <c r="J624" s="10">
        <v>0</v>
      </c>
      <c r="K624" s="38">
        <v>0</v>
      </c>
      <c r="L624" s="38">
        <v>0</v>
      </c>
      <c r="M624" s="38">
        <v>0</v>
      </c>
      <c r="N624" s="38">
        <v>1</v>
      </c>
      <c r="O624" s="38">
        <v>0</v>
      </c>
      <c r="P624" s="38">
        <v>0</v>
      </c>
      <c r="Q624" s="38">
        <v>0</v>
      </c>
      <c r="R624" s="38">
        <v>0</v>
      </c>
      <c r="S624" s="38">
        <v>0</v>
      </c>
      <c r="T624" s="38">
        <v>0</v>
      </c>
      <c r="U624" s="29" cm="1">
        <f t="array" aca="1" ref="U624" ca="1">+fair_value_gap(OFFSET(T623,0,0,-1*$J$5,-1*$AA$1),OFFSET(E623,0,0,-1*$J$5,1),F624:T624,0)</f>
        <v>17.023407796712601</v>
      </c>
      <c r="V624" s="9" cm="1">
        <f t="array" aca="1" ref="V624" ca="1">z_score_diff(OFFSET(U624,0,0,$J$5*-1,1),OFFSET(E624,0,0,$J$5*-1,1))</f>
        <v>-0.10985011915131082</v>
      </c>
      <c r="W624" s="9">
        <f t="shared" ca="1" si="91"/>
        <v>8.3873885350927588E-2</v>
      </c>
      <c r="X624" s="17">
        <f t="shared" ca="1" si="90"/>
        <v>-2.3257561030252418E-2</v>
      </c>
      <c r="Y624" s="13">
        <f t="shared" si="98"/>
        <v>0</v>
      </c>
      <c r="Z624" s="13">
        <f t="shared" si="98"/>
        <v>0</v>
      </c>
      <c r="AA624">
        <f t="shared" ca="1" si="92"/>
        <v>0</v>
      </c>
      <c r="AB624">
        <f t="shared" ca="1" si="93"/>
        <v>1</v>
      </c>
      <c r="AC624" s="24">
        <f t="shared" ca="1" si="94"/>
        <v>0</v>
      </c>
      <c r="AD624" s="24">
        <f t="shared" ca="1" si="95"/>
        <v>-2.3257561030252418E-2</v>
      </c>
    </row>
    <row r="625" spans="3:30" x14ac:dyDescent="0.25">
      <c r="C625" s="6">
        <v>618</v>
      </c>
      <c r="D625" s="35">
        <v>42885</v>
      </c>
      <c r="E625" s="37">
        <v>17.036000000000001</v>
      </c>
      <c r="F625" s="37">
        <v>46.947899606037801</v>
      </c>
      <c r="G625" s="37">
        <v>40.01</v>
      </c>
      <c r="H625" s="37">
        <v>2.9941126997476872</v>
      </c>
      <c r="I625" s="37">
        <v>65.645611084060022</v>
      </c>
      <c r="J625" s="10">
        <v>0</v>
      </c>
      <c r="K625" s="38">
        <v>0</v>
      </c>
      <c r="L625" s="38">
        <v>0</v>
      </c>
      <c r="M625" s="38">
        <v>0</v>
      </c>
      <c r="N625" s="38">
        <v>1</v>
      </c>
      <c r="O625" s="38">
        <v>0</v>
      </c>
      <c r="P625" s="38">
        <v>0</v>
      </c>
      <c r="Q625" s="38">
        <v>0</v>
      </c>
      <c r="R625" s="38">
        <v>0</v>
      </c>
      <c r="S625" s="38">
        <v>0</v>
      </c>
      <c r="T625" s="38">
        <v>0</v>
      </c>
      <c r="U625" s="29" cm="1">
        <f t="array" aca="1" ref="U625" ca="1">+fair_value_gap(OFFSET(T624,0,0,-1*$J$5,-1*$AA$1),OFFSET(E624,0,0,-1*$J$5,1),F625:T625,0)</f>
        <v>17.12826616419397</v>
      </c>
      <c r="V625" s="9" cm="1">
        <f t="array" aca="1" ref="V625" ca="1">z_score_diff(OFFSET(U625,0,0,$J$5*-1,1),OFFSET(E625,0,0,$J$5*-1,1))</f>
        <v>-0.23039054159966454</v>
      </c>
      <c r="W625" s="9">
        <f t="shared" ca="1" si="91"/>
        <v>5.4993742071675088E-2</v>
      </c>
      <c r="X625" s="17">
        <f t="shared" ca="1" si="90"/>
        <v>-2.9305253734948501E-2</v>
      </c>
      <c r="Y625" s="13">
        <f t="shared" si="98"/>
        <v>0</v>
      </c>
      <c r="Z625" s="13">
        <f t="shared" si="98"/>
        <v>0</v>
      </c>
      <c r="AA625">
        <f t="shared" ca="1" si="92"/>
        <v>0</v>
      </c>
      <c r="AB625">
        <f t="shared" ca="1" si="93"/>
        <v>1</v>
      </c>
      <c r="AC625" s="24">
        <f t="shared" ca="1" si="94"/>
        <v>0</v>
      </c>
      <c r="AD625" s="24">
        <f t="shared" ca="1" si="95"/>
        <v>-2.9305253734948501E-2</v>
      </c>
    </row>
    <row r="626" spans="3:30" x14ac:dyDescent="0.25">
      <c r="C626" s="6">
        <v>619</v>
      </c>
      <c r="D626" s="35">
        <v>42886</v>
      </c>
      <c r="E626" s="37">
        <v>17.035</v>
      </c>
      <c r="F626" s="37">
        <v>45.535792154523932</v>
      </c>
      <c r="G626" s="37">
        <v>37.43</v>
      </c>
      <c r="H626" s="37">
        <v>2.922078208097425</v>
      </c>
      <c r="I626" s="37">
        <v>64.793142057752661</v>
      </c>
      <c r="J626" s="10">
        <v>0</v>
      </c>
      <c r="K626" s="38">
        <v>0</v>
      </c>
      <c r="L626" s="38">
        <v>0</v>
      </c>
      <c r="M626" s="38">
        <v>0</v>
      </c>
      <c r="N626" s="38">
        <v>1</v>
      </c>
      <c r="O626" s="38">
        <v>0</v>
      </c>
      <c r="P626" s="38">
        <v>0</v>
      </c>
      <c r="Q626" s="38">
        <v>0</v>
      </c>
      <c r="R626" s="38">
        <v>0</v>
      </c>
      <c r="S626" s="38">
        <v>0</v>
      </c>
      <c r="T626" s="38">
        <v>0</v>
      </c>
      <c r="U626" s="29" cm="1">
        <f t="array" aca="1" ref="U626" ca="1">+fair_value_gap(OFFSET(T625,0,0,-1*$J$5,-1*$AA$1),OFFSET(E625,0,0,-1*$J$5,1),F626:T626,0)</f>
        <v>16.2632983996562</v>
      </c>
      <c r="V626" s="9" cm="1">
        <f t="array" aca="1" ref="V626" ca="1">z_score_diff(OFFSET(U626,0,0,$J$5*-1,1),OFFSET(E626,0,0,$J$5*-1,1))</f>
        <v>-1.3059847055127474</v>
      </c>
      <c r="W626" s="9">
        <f t="shared" ca="1" si="91"/>
        <v>-2.4869491799829668E-2</v>
      </c>
      <c r="X626" s="17">
        <f t="shared" ca="1" si="90"/>
        <v>-2.4362464571012047E-2</v>
      </c>
      <c r="Y626" s="13">
        <f t="shared" si="98"/>
        <v>0</v>
      </c>
      <c r="Z626" s="13">
        <f t="shared" si="98"/>
        <v>0</v>
      </c>
      <c r="AA626">
        <f t="shared" ca="1" si="92"/>
        <v>1</v>
      </c>
      <c r="AB626">
        <f t="shared" ca="1" si="93"/>
        <v>0</v>
      </c>
      <c r="AC626" s="24">
        <f t="shared" ca="1" si="94"/>
        <v>-2.4362464571012047E-2</v>
      </c>
      <c r="AD626" s="24">
        <f t="shared" ca="1" si="95"/>
        <v>0</v>
      </c>
    </row>
    <row r="627" spans="3:30" x14ac:dyDescent="0.25">
      <c r="C627" s="6">
        <v>620</v>
      </c>
      <c r="D627" s="35">
        <v>42887</v>
      </c>
      <c r="E627" s="37">
        <v>16.895</v>
      </c>
      <c r="F627" s="37">
        <v>45.684521575405071</v>
      </c>
      <c r="G627" s="37">
        <v>37.21</v>
      </c>
      <c r="H627" s="37">
        <v>2.8825493605668306</v>
      </c>
      <c r="I627" s="37">
        <v>66.146736245850377</v>
      </c>
      <c r="J627" s="10">
        <v>0</v>
      </c>
      <c r="K627" s="38">
        <v>0</v>
      </c>
      <c r="L627" s="38">
        <v>0</v>
      </c>
      <c r="M627" s="38">
        <v>0</v>
      </c>
      <c r="N627" s="38">
        <v>0</v>
      </c>
      <c r="O627" s="38">
        <v>1</v>
      </c>
      <c r="P627" s="38">
        <v>0</v>
      </c>
      <c r="Q627" s="38">
        <v>0</v>
      </c>
      <c r="R627" s="38">
        <v>0</v>
      </c>
      <c r="S627" s="38">
        <v>0</v>
      </c>
      <c r="T627" s="38">
        <v>0</v>
      </c>
      <c r="U627" s="29" cm="1">
        <f t="array" aca="1" ref="U627" ca="1">+fair_value_gap(OFFSET(T626,0,0,-1*$J$5,-1*$AA$1),OFFSET(E626,0,0,-1*$J$5,1),F627:T627,0)</f>
        <v>18.134029700816289</v>
      </c>
      <c r="V627" s="9" cm="1">
        <f t="array" aca="1" ref="V627" ca="1">z_score_diff(OFFSET(U627,0,0,$J$5*-1,1),OFFSET(E627,0,0,$J$5*-1,1))</f>
        <v>1.2026246015180726</v>
      </c>
      <c r="W627" s="9">
        <f t="shared" ca="1" si="91"/>
        <v>2.6965671508119397E-2</v>
      </c>
      <c r="X627" s="17">
        <f t="shared" ca="1" si="90"/>
        <v>-2.5052251090958811E-2</v>
      </c>
      <c r="Y627" s="13">
        <f t="shared" si="98"/>
        <v>0</v>
      </c>
      <c r="Z627" s="13">
        <f t="shared" si="98"/>
        <v>0</v>
      </c>
      <c r="AA627">
        <f t="shared" ca="1" si="92"/>
        <v>0</v>
      </c>
      <c r="AB627">
        <f t="shared" ca="1" si="93"/>
        <v>1</v>
      </c>
      <c r="AC627" s="24">
        <f t="shared" ca="1" si="94"/>
        <v>0</v>
      </c>
      <c r="AD627" s="24">
        <f t="shared" ca="1" si="95"/>
        <v>-2.5052251090958811E-2</v>
      </c>
    </row>
    <row r="628" spans="3:30" x14ac:dyDescent="0.25">
      <c r="C628" s="6">
        <v>621</v>
      </c>
      <c r="D628" s="35">
        <v>42888</v>
      </c>
      <c r="E628" s="37">
        <v>16.792999999999999</v>
      </c>
      <c r="F628" s="37">
        <v>44.845648251002153</v>
      </c>
      <c r="G628" s="37">
        <v>37.270000000000003</v>
      </c>
      <c r="H628" s="37">
        <v>2.862675020526082</v>
      </c>
      <c r="I628" s="37">
        <v>66.078618188523834</v>
      </c>
      <c r="J628" s="10">
        <v>0</v>
      </c>
      <c r="K628" s="38">
        <v>0</v>
      </c>
      <c r="L628" s="38">
        <v>0</v>
      </c>
      <c r="M628" s="38">
        <v>0</v>
      </c>
      <c r="N628" s="38">
        <v>0</v>
      </c>
      <c r="O628" s="38">
        <v>1</v>
      </c>
      <c r="P628" s="38">
        <v>0</v>
      </c>
      <c r="Q628" s="38">
        <v>0</v>
      </c>
      <c r="R628" s="38">
        <v>0</v>
      </c>
      <c r="S628" s="38">
        <v>0</v>
      </c>
      <c r="T628" s="38">
        <v>0</v>
      </c>
      <c r="U628" s="29" cm="1">
        <f t="array" aca="1" ref="U628" ca="1">+fair_value_gap(OFFSET(T627,0,0,-1*$J$5,-1*$AA$1),OFFSET(E627,0,0,-1*$J$5,1),F628:T628,0)</f>
        <v>17.947021708314978</v>
      </c>
      <c r="V628" s="9" cm="1">
        <f t="array" aca="1" ref="V628" ca="1">z_score_diff(OFFSET(U628,0,0,$J$5*-1,1),OFFSET(E628,0,0,$J$5*-1,1))</f>
        <v>1.0878767315579163</v>
      </c>
      <c r="W628" s="9">
        <f t="shared" ca="1" si="91"/>
        <v>6.8643394040663247E-2</v>
      </c>
      <c r="X628" s="17">
        <f t="shared" ca="1" si="90"/>
        <v>-1.0957209287667335E-2</v>
      </c>
      <c r="Y628" s="13">
        <f t="shared" si="98"/>
        <v>0</v>
      </c>
      <c r="Z628" s="13">
        <f t="shared" si="98"/>
        <v>0</v>
      </c>
      <c r="AA628">
        <f t="shared" ca="1" si="92"/>
        <v>0</v>
      </c>
      <c r="AB628">
        <f t="shared" ca="1" si="93"/>
        <v>1</v>
      </c>
      <c r="AC628" s="24">
        <f t="shared" ca="1" si="94"/>
        <v>0</v>
      </c>
      <c r="AD628" s="24">
        <f t="shared" ca="1" si="95"/>
        <v>-1.0957209287667335E-2</v>
      </c>
    </row>
    <row r="629" spans="3:30" x14ac:dyDescent="0.25">
      <c r="C629" s="6">
        <v>622</v>
      </c>
      <c r="D629" s="35">
        <v>42891</v>
      </c>
      <c r="E629" s="37">
        <v>16.911000000000001</v>
      </c>
      <c r="F629" s="37">
        <v>44.653229042727702</v>
      </c>
      <c r="G629" s="37">
        <v>37.74</v>
      </c>
      <c r="H629" s="37">
        <v>2.8522096044044241</v>
      </c>
      <c r="I629" s="37">
        <v>67.36706115925908</v>
      </c>
      <c r="J629" s="10">
        <v>0</v>
      </c>
      <c r="K629" s="38">
        <v>0</v>
      </c>
      <c r="L629" s="38">
        <v>0</v>
      </c>
      <c r="M629" s="38">
        <v>0</v>
      </c>
      <c r="N629" s="38">
        <v>0</v>
      </c>
      <c r="O629" s="38">
        <v>1</v>
      </c>
      <c r="P629" s="38">
        <v>0</v>
      </c>
      <c r="Q629" s="38">
        <v>0</v>
      </c>
      <c r="R629" s="38">
        <v>0</v>
      </c>
      <c r="S629" s="38">
        <v>0</v>
      </c>
      <c r="T629" s="38">
        <v>0</v>
      </c>
      <c r="U629" s="29" cm="1">
        <f t="array" aca="1" ref="U629" ca="1">+fair_value_gap(OFFSET(T628,0,0,-1*$J$5,-1*$AA$1),OFFSET(E628,0,0,-1*$J$5,1),F629:T629,0)</f>
        <v>17.948406371815718</v>
      </c>
      <c r="V629" s="9" cm="1">
        <f t="array" aca="1" ref="V629" ca="1">z_score_diff(OFFSET(U629,0,0,$J$5*-1,1),OFFSET(E629,0,0,$J$5*-1,1))</f>
        <v>0.93058920509270115</v>
      </c>
      <c r="W629" s="9">
        <f t="shared" ca="1" si="91"/>
        <v>0.10133999772270789</v>
      </c>
      <c r="X629" s="17">
        <f t="shared" ca="1" si="90"/>
        <v>-2.9610349717040731E-3</v>
      </c>
      <c r="Y629" s="13">
        <f t="shared" si="98"/>
        <v>0</v>
      </c>
      <c r="Z629" s="13">
        <f t="shared" si="98"/>
        <v>0</v>
      </c>
      <c r="AA629">
        <f t="shared" ca="1" si="92"/>
        <v>0</v>
      </c>
      <c r="AB629">
        <f t="shared" ca="1" si="93"/>
        <v>1</v>
      </c>
      <c r="AC629" s="24">
        <f t="shared" ca="1" si="94"/>
        <v>0</v>
      </c>
      <c r="AD629" s="24">
        <f t="shared" ca="1" si="95"/>
        <v>-2.9610349717040731E-3</v>
      </c>
    </row>
    <row r="630" spans="3:30" x14ac:dyDescent="0.25">
      <c r="C630" s="6">
        <v>623</v>
      </c>
      <c r="D630" s="35">
        <v>42892</v>
      </c>
      <c r="E630" s="37">
        <v>16.811</v>
      </c>
      <c r="F630" s="37">
        <v>44.974904161561867</v>
      </c>
      <c r="G630" s="37">
        <v>37.14</v>
      </c>
      <c r="H630" s="37">
        <v>2.8780074387314634</v>
      </c>
      <c r="I630" s="37">
        <v>67.010060291489367</v>
      </c>
      <c r="J630" s="10">
        <v>0</v>
      </c>
      <c r="K630" s="38">
        <v>0</v>
      </c>
      <c r="L630" s="38">
        <v>0</v>
      </c>
      <c r="M630" s="38">
        <v>0</v>
      </c>
      <c r="N630" s="38">
        <v>0</v>
      </c>
      <c r="O630" s="38">
        <v>1</v>
      </c>
      <c r="P630" s="38">
        <v>0</v>
      </c>
      <c r="Q630" s="38">
        <v>0</v>
      </c>
      <c r="R630" s="38">
        <v>0</v>
      </c>
      <c r="S630" s="38">
        <v>0</v>
      </c>
      <c r="T630" s="38">
        <v>0</v>
      </c>
      <c r="U630" s="29" cm="1">
        <f t="array" aca="1" ref="U630" ca="1">+fair_value_gap(OFFSET(T629,0,0,-1*$J$5,-1*$AA$1),OFFSET(E629,0,0,-1*$J$5,1),F630:T630,0)</f>
        <v>17.665155521109895</v>
      </c>
      <c r="V630" s="9" cm="1">
        <f t="array" aca="1" ref="V630" ca="1">z_score_diff(OFFSET(U630,0,0,$J$5*-1,1),OFFSET(E630,0,0,$J$5*-1,1))</f>
        <v>0.70014038836325798</v>
      </c>
      <c r="W630" s="9">
        <f t="shared" ca="1" si="91"/>
        <v>0.12559557682152506</v>
      </c>
      <c r="X630" s="17">
        <f t="shared" ca="1" si="90"/>
        <v>-4.949471924589003E-3</v>
      </c>
      <c r="Y630" s="13">
        <f t="shared" si="98"/>
        <v>0</v>
      </c>
      <c r="Z630" s="13">
        <f t="shared" si="98"/>
        <v>0</v>
      </c>
      <c r="AA630">
        <f t="shared" ca="1" si="92"/>
        <v>0</v>
      </c>
      <c r="AB630">
        <f t="shared" ca="1" si="93"/>
        <v>1</v>
      </c>
      <c r="AC630" s="24">
        <f t="shared" ca="1" si="94"/>
        <v>0</v>
      </c>
      <c r="AD630" s="24">
        <f t="shared" ca="1" si="95"/>
        <v>-4.949471924589003E-3</v>
      </c>
    </row>
    <row r="631" spans="3:30" x14ac:dyDescent="0.25">
      <c r="C631" s="6">
        <v>624</v>
      </c>
      <c r="D631" s="35">
        <v>42893</v>
      </c>
      <c r="E631" s="37">
        <v>16.826000000000001</v>
      </c>
      <c r="F631" s="37">
        <v>43.447433795224391</v>
      </c>
      <c r="G631" s="37">
        <v>37.18</v>
      </c>
      <c r="H631" s="37">
        <v>2.881834239990992</v>
      </c>
      <c r="I631" s="37">
        <v>68.351196717735064</v>
      </c>
      <c r="J631" s="10">
        <v>0</v>
      </c>
      <c r="K631" s="38">
        <v>0</v>
      </c>
      <c r="L631" s="38">
        <v>0</v>
      </c>
      <c r="M631" s="38">
        <v>0</v>
      </c>
      <c r="N631" s="38">
        <v>0</v>
      </c>
      <c r="O631" s="38">
        <v>1</v>
      </c>
      <c r="P631" s="38">
        <v>0</v>
      </c>
      <c r="Q631" s="38">
        <v>0</v>
      </c>
      <c r="R631" s="38">
        <v>0</v>
      </c>
      <c r="S631" s="38">
        <v>0</v>
      </c>
      <c r="T631" s="38">
        <v>0</v>
      </c>
      <c r="U631" s="29" cm="1">
        <f t="array" aca="1" ref="U631" ca="1">+fair_value_gap(OFFSET(T630,0,0,-1*$J$5,-1*$AA$1),OFFSET(E630,0,0,-1*$J$5,1),F631:T631,0)</f>
        <v>17.498711636119946</v>
      </c>
      <c r="V631" s="9" cm="1">
        <f t="array" aca="1" ref="V631" ca="1">z_score_diff(OFFSET(U631,0,0,$J$5*-1,1),OFFSET(E631,0,0,$J$5*-1,1))</f>
        <v>0.4701419913142636</v>
      </c>
      <c r="W631" s="9">
        <f t="shared" ca="1" si="91"/>
        <v>0.13652997939465647</v>
      </c>
      <c r="X631" s="17">
        <f t="shared" ca="1" si="90"/>
        <v>-9.8546501816901503E-3</v>
      </c>
      <c r="Y631" s="13">
        <f t="shared" si="98"/>
        <v>0</v>
      </c>
      <c r="Z631" s="13">
        <f t="shared" si="98"/>
        <v>0</v>
      </c>
      <c r="AA631">
        <f t="shared" ca="1" si="92"/>
        <v>0</v>
      </c>
      <c r="AB631">
        <f t="shared" ca="1" si="93"/>
        <v>1</v>
      </c>
      <c r="AC631" s="24">
        <f t="shared" ca="1" si="94"/>
        <v>0</v>
      </c>
      <c r="AD631" s="24">
        <f t="shared" ca="1" si="95"/>
        <v>-9.8546501816901503E-3</v>
      </c>
    </row>
    <row r="632" spans="3:30" x14ac:dyDescent="0.25">
      <c r="C632" s="6">
        <v>625</v>
      </c>
      <c r="D632" s="35">
        <v>42894</v>
      </c>
      <c r="E632" s="37">
        <v>17.05</v>
      </c>
      <c r="F632" s="37">
        <v>43.592202320090557</v>
      </c>
      <c r="G632" s="37">
        <v>37.17</v>
      </c>
      <c r="H632" s="37">
        <v>2.8996717119541704</v>
      </c>
      <c r="I632" s="37">
        <v>69.622142048595109</v>
      </c>
      <c r="J632" s="10">
        <v>0</v>
      </c>
      <c r="K632" s="38">
        <v>0</v>
      </c>
      <c r="L632" s="38">
        <v>0</v>
      </c>
      <c r="M632" s="38">
        <v>0</v>
      </c>
      <c r="N632" s="38">
        <v>0</v>
      </c>
      <c r="O632" s="38">
        <v>1</v>
      </c>
      <c r="P632" s="38">
        <v>0</v>
      </c>
      <c r="Q632" s="38">
        <v>0</v>
      </c>
      <c r="R632" s="38">
        <v>0</v>
      </c>
      <c r="S632" s="38">
        <v>0</v>
      </c>
      <c r="T632" s="38">
        <v>0</v>
      </c>
      <c r="U632" s="29" cm="1">
        <f t="array" aca="1" ref="U632" ca="1">+fair_value_gap(OFFSET(T631,0,0,-1*$J$5,-1*$AA$1),OFFSET(E631,0,0,-1*$J$5,1),F632:T632,0)</f>
        <v>17.420571262902914</v>
      </c>
      <c r="V632" s="9" cm="1">
        <f t="array" aca="1" ref="V632" ca="1">z_score_diff(OFFSET(U632,0,0,$J$5*-1,1),OFFSET(E632,0,0,$J$5*-1,1))</f>
        <v>8.4670758342030195E-2</v>
      </c>
      <c r="W632" s="9">
        <f t="shared" ca="1" si="91"/>
        <v>0.12345847578721829</v>
      </c>
      <c r="X632" s="17">
        <f t="shared" ca="1" si="90"/>
        <v>-1.7095444584404512E-2</v>
      </c>
      <c r="Y632" s="13">
        <f t="shared" si="98"/>
        <v>0</v>
      </c>
      <c r="Z632" s="13">
        <f t="shared" si="98"/>
        <v>0</v>
      </c>
      <c r="AA632">
        <f t="shared" ca="1" si="92"/>
        <v>0</v>
      </c>
      <c r="AB632">
        <f t="shared" ca="1" si="93"/>
        <v>1</v>
      </c>
      <c r="AC632" s="24">
        <f t="shared" ca="1" si="94"/>
        <v>0</v>
      </c>
      <c r="AD632" s="24">
        <f t="shared" ca="1" si="95"/>
        <v>-1.7095444584404512E-2</v>
      </c>
    </row>
    <row r="633" spans="3:30" x14ac:dyDescent="0.25">
      <c r="C633" s="6">
        <v>626</v>
      </c>
      <c r="D633" s="35">
        <v>42895</v>
      </c>
      <c r="E633" s="37">
        <v>16.798999999999999</v>
      </c>
      <c r="F633" s="37">
        <v>43.884872990453268</v>
      </c>
      <c r="G633" s="37">
        <v>37.450000000000003</v>
      </c>
      <c r="H633" s="37">
        <v>2.9109119382780495</v>
      </c>
      <c r="I633" s="37">
        <v>69.631844845739366</v>
      </c>
      <c r="J633" s="10">
        <v>0</v>
      </c>
      <c r="K633" s="38">
        <v>0</v>
      </c>
      <c r="L633" s="38">
        <v>0</v>
      </c>
      <c r="M633" s="38">
        <v>0</v>
      </c>
      <c r="N633" s="38">
        <v>0</v>
      </c>
      <c r="O633" s="38">
        <v>1</v>
      </c>
      <c r="P633" s="38">
        <v>0</v>
      </c>
      <c r="Q633" s="38">
        <v>0</v>
      </c>
      <c r="R633" s="38">
        <v>0</v>
      </c>
      <c r="S633" s="38">
        <v>0</v>
      </c>
      <c r="T633" s="38">
        <v>0</v>
      </c>
      <c r="U633" s="29" cm="1">
        <f t="array" aca="1" ref="U633" ca="1">+fair_value_gap(OFFSET(T632,0,0,-1*$J$5,-1*$AA$1),OFFSET(E632,0,0,-1*$J$5,1),F633:T633,0)</f>
        <v>17.447802396237456</v>
      </c>
      <c r="V633" s="9" cm="1">
        <f t="array" aca="1" ref="V633" ca="1">z_score_diff(OFFSET(U633,0,0,$J$5*-1,1),OFFSET(E633,0,0,$J$5*-1,1))</f>
        <v>0.43054119789665585</v>
      </c>
      <c r="W633" s="9">
        <f t="shared" ca="1" si="91"/>
        <v>0.13248147456179163</v>
      </c>
      <c r="X633" s="17">
        <f t="shared" ca="1" si="90"/>
        <v>-1.5537671232531912E-2</v>
      </c>
      <c r="Y633" s="13">
        <f t="shared" ref="Y633:Z648" si="99">+Y632</f>
        <v>0</v>
      </c>
      <c r="Z633" s="13">
        <f t="shared" si="99"/>
        <v>0</v>
      </c>
      <c r="AA633">
        <f t="shared" ca="1" si="92"/>
        <v>0</v>
      </c>
      <c r="AB633">
        <f t="shared" ca="1" si="93"/>
        <v>1</v>
      </c>
      <c r="AC633" s="24">
        <f t="shared" ca="1" si="94"/>
        <v>0</v>
      </c>
      <c r="AD633" s="24">
        <f t="shared" ca="1" si="95"/>
        <v>-1.5537671232531912E-2</v>
      </c>
    </row>
    <row r="634" spans="3:30" x14ac:dyDescent="0.25">
      <c r="C634" s="6">
        <v>627</v>
      </c>
      <c r="D634" s="35">
        <v>42898</v>
      </c>
      <c r="E634" s="37">
        <v>16.61</v>
      </c>
      <c r="F634" s="37">
        <v>43.901632765979635</v>
      </c>
      <c r="G634" s="37">
        <v>37.049999999999997</v>
      </c>
      <c r="H634" s="37">
        <v>2.892893981136528</v>
      </c>
      <c r="I634" s="37">
        <v>69.029948037507737</v>
      </c>
      <c r="J634" s="10">
        <v>0</v>
      </c>
      <c r="K634" s="38">
        <v>0</v>
      </c>
      <c r="L634" s="38">
        <v>0</v>
      </c>
      <c r="M634" s="38">
        <v>0</v>
      </c>
      <c r="N634" s="38">
        <v>0</v>
      </c>
      <c r="O634" s="38">
        <v>1</v>
      </c>
      <c r="P634" s="38">
        <v>0</v>
      </c>
      <c r="Q634" s="38">
        <v>0</v>
      </c>
      <c r="R634" s="38">
        <v>0</v>
      </c>
      <c r="S634" s="38">
        <v>0</v>
      </c>
      <c r="T634" s="38">
        <v>0</v>
      </c>
      <c r="U634" s="29" cm="1">
        <f t="array" aca="1" ref="U634" ca="1">+fair_value_gap(OFFSET(T633,0,0,-1*$J$5,-1*$AA$1),OFFSET(E633,0,0,-1*$J$5,1),F634:T634,0)</f>
        <v>17.210359221405966</v>
      </c>
      <c r="V634" s="9" cm="1">
        <f t="array" aca="1" ref="V634" ca="1">z_score_diff(OFFSET(U634,0,0,$J$5*-1,1),OFFSET(E634,0,0,$J$5*-1,1))</f>
        <v>0.36938592131482806</v>
      </c>
      <c r="W634" s="9">
        <f t="shared" ca="1" si="91"/>
        <v>0.14867674117569765</v>
      </c>
      <c r="X634" s="17">
        <f t="shared" ca="1" si="90"/>
        <v>-1.3943845200280171E-2</v>
      </c>
      <c r="Y634" s="13">
        <f t="shared" si="99"/>
        <v>0</v>
      </c>
      <c r="Z634" s="13">
        <f t="shared" si="99"/>
        <v>0</v>
      </c>
      <c r="AA634">
        <f t="shared" ca="1" si="92"/>
        <v>0</v>
      </c>
      <c r="AB634">
        <f t="shared" ca="1" si="93"/>
        <v>1</v>
      </c>
      <c r="AC634" s="24">
        <f t="shared" ca="1" si="94"/>
        <v>0</v>
      </c>
      <c r="AD634" s="24">
        <f t="shared" ca="1" si="95"/>
        <v>-1.3943845200280171E-2</v>
      </c>
    </row>
    <row r="635" spans="3:30" x14ac:dyDescent="0.25">
      <c r="C635" s="6">
        <v>628</v>
      </c>
      <c r="D635" s="35">
        <v>42899</v>
      </c>
      <c r="E635" s="37">
        <v>16.561</v>
      </c>
      <c r="F635" s="37">
        <v>44.20157970066969</v>
      </c>
      <c r="G635" s="37">
        <v>36.869999999999997</v>
      </c>
      <c r="H635" s="37">
        <v>2.8360397929072496</v>
      </c>
      <c r="I635" s="37">
        <v>68.736416164543314</v>
      </c>
      <c r="J635" s="10">
        <v>0</v>
      </c>
      <c r="K635" s="38">
        <v>0</v>
      </c>
      <c r="L635" s="38">
        <v>0</v>
      </c>
      <c r="M635" s="38">
        <v>0</v>
      </c>
      <c r="N635" s="38">
        <v>0</v>
      </c>
      <c r="O635" s="38">
        <v>1</v>
      </c>
      <c r="P635" s="38">
        <v>0</v>
      </c>
      <c r="Q635" s="38">
        <v>0</v>
      </c>
      <c r="R635" s="38">
        <v>0</v>
      </c>
      <c r="S635" s="38">
        <v>0</v>
      </c>
      <c r="T635" s="38">
        <v>0</v>
      </c>
      <c r="U635" s="29" cm="1">
        <f t="array" aca="1" ref="U635" ca="1">+fair_value_gap(OFFSET(T634,0,0,-1*$J$5,-1*$AA$1),OFFSET(E634,0,0,-1*$J$5,1),F635:T635,0)</f>
        <v>17.017983963372934</v>
      </c>
      <c r="V635" s="9" cm="1">
        <f t="array" aca="1" ref="V635" ca="1">z_score_diff(OFFSET(U635,0,0,$J$5*-1,1),OFFSET(E635,0,0,$J$5*-1,1))</f>
        <v>0.19164695872062368</v>
      </c>
      <c r="W635" s="9">
        <f t="shared" ca="1" si="91"/>
        <v>0.15408549786815157</v>
      </c>
      <c r="X635" s="17">
        <f t="shared" ca="1" si="90"/>
        <v>-1.9326923783302603E-2</v>
      </c>
      <c r="Y635" s="13">
        <f t="shared" si="99"/>
        <v>0</v>
      </c>
      <c r="Z635" s="13">
        <f t="shared" si="99"/>
        <v>0</v>
      </c>
      <c r="AA635">
        <f t="shared" ca="1" si="92"/>
        <v>0</v>
      </c>
      <c r="AB635">
        <f t="shared" ca="1" si="93"/>
        <v>1</v>
      </c>
      <c r="AC635" s="24">
        <f t="shared" ca="1" si="94"/>
        <v>0</v>
      </c>
      <c r="AD635" s="24">
        <f t="shared" ca="1" si="95"/>
        <v>-1.9326923783302603E-2</v>
      </c>
    </row>
    <row r="636" spans="3:30" x14ac:dyDescent="0.25">
      <c r="C636" s="6">
        <v>629</v>
      </c>
      <c r="D636" s="35">
        <v>42900</v>
      </c>
      <c r="E636" s="37">
        <v>16.527999999999999</v>
      </c>
      <c r="F636" s="37">
        <v>42.770995526921901</v>
      </c>
      <c r="G636" s="37">
        <v>36.869999999999997</v>
      </c>
      <c r="H636" s="37">
        <v>2.8028464560985968</v>
      </c>
      <c r="I636" s="37">
        <v>68.018683288943905</v>
      </c>
      <c r="J636" s="10">
        <v>0</v>
      </c>
      <c r="K636" s="38">
        <v>0</v>
      </c>
      <c r="L636" s="38">
        <v>0</v>
      </c>
      <c r="M636" s="38">
        <v>0</v>
      </c>
      <c r="N636" s="38">
        <v>0</v>
      </c>
      <c r="O636" s="38">
        <v>1</v>
      </c>
      <c r="P636" s="38">
        <v>0</v>
      </c>
      <c r="Q636" s="38">
        <v>0</v>
      </c>
      <c r="R636" s="38">
        <v>0</v>
      </c>
      <c r="S636" s="38">
        <v>0</v>
      </c>
      <c r="T636" s="38">
        <v>0</v>
      </c>
      <c r="U636" s="29" cm="1">
        <f t="array" aca="1" ref="U636" ca="1">+fair_value_gap(OFFSET(T635,0,0,-1*$J$5,-1*$AA$1),OFFSET(E635,0,0,-1*$J$5,1),F636:T636,0)</f>
        <v>16.83842386721367</v>
      </c>
      <c r="V636" s="9" cm="1">
        <f t="array" aca="1" ref="V636" ca="1">z_score_diff(OFFSET(U636,0,0,$J$5*-1,1),OFFSET(E636,0,0,$J$5*-1,1))</f>
        <v>1.0497231275593776E-2</v>
      </c>
      <c r="W636" s="9">
        <f t="shared" ca="1" si="91"/>
        <v>0.15708294045600207</v>
      </c>
      <c r="X636" s="17">
        <f t="shared" ca="1" si="90"/>
        <v>-1.6593840981211246E-2</v>
      </c>
      <c r="Y636" s="13">
        <f t="shared" si="99"/>
        <v>0</v>
      </c>
      <c r="Z636" s="13">
        <f t="shared" si="99"/>
        <v>0</v>
      </c>
      <c r="AA636">
        <f t="shared" ca="1" si="92"/>
        <v>0</v>
      </c>
      <c r="AB636">
        <f t="shared" ca="1" si="93"/>
        <v>1</v>
      </c>
      <c r="AC636" s="24">
        <f t="shared" ca="1" si="94"/>
        <v>0</v>
      </c>
      <c r="AD636" s="24">
        <f t="shared" ca="1" si="95"/>
        <v>-1.6593840981211246E-2</v>
      </c>
    </row>
    <row r="637" spans="3:30" x14ac:dyDescent="0.25">
      <c r="C637" s="6">
        <v>630</v>
      </c>
      <c r="D637" s="35">
        <v>42901</v>
      </c>
      <c r="E637" s="37">
        <v>16.433</v>
      </c>
      <c r="F637" s="37">
        <v>42.982322875604467</v>
      </c>
      <c r="G637" s="37">
        <v>36.89</v>
      </c>
      <c r="H637" s="37">
        <v>2.9167210831047838</v>
      </c>
      <c r="I637" s="37">
        <v>69.119981804919945</v>
      </c>
      <c r="J637" s="10">
        <v>0</v>
      </c>
      <c r="K637" s="38">
        <v>0</v>
      </c>
      <c r="L637" s="38">
        <v>0</v>
      </c>
      <c r="M637" s="38">
        <v>0</v>
      </c>
      <c r="N637" s="38">
        <v>0</v>
      </c>
      <c r="O637" s="38">
        <v>1</v>
      </c>
      <c r="P637" s="38">
        <v>0</v>
      </c>
      <c r="Q637" s="38">
        <v>0</v>
      </c>
      <c r="R637" s="38">
        <v>0</v>
      </c>
      <c r="S637" s="38">
        <v>0</v>
      </c>
      <c r="T637" s="38">
        <v>0</v>
      </c>
      <c r="U637" s="29" cm="1">
        <f t="array" aca="1" ref="U637" ca="1">+fair_value_gap(OFFSET(T636,0,0,-1*$J$5,-1*$AA$1),OFFSET(E636,0,0,-1*$J$5,1),F637:T637,0)</f>
        <v>16.888742780494788</v>
      </c>
      <c r="V637" s="9" cm="1">
        <f t="array" aca="1" ref="V637" ca="1">z_score_diff(OFFSET(U637,0,0,$J$5*-1,1),OFFSET(E637,0,0,$J$5*-1,1))</f>
        <v>0.19382737287015819</v>
      </c>
      <c r="W637" s="9">
        <f t="shared" ca="1" si="91"/>
        <v>0.17868573140154254</v>
      </c>
      <c r="X637" s="17">
        <f t="shared" ca="1" si="90"/>
        <v>2.4918723199040282E-3</v>
      </c>
      <c r="Y637" s="13">
        <f t="shared" si="99"/>
        <v>0</v>
      </c>
      <c r="Z637" s="13">
        <f t="shared" si="99"/>
        <v>0</v>
      </c>
      <c r="AA637">
        <f t="shared" ca="1" si="92"/>
        <v>0</v>
      </c>
      <c r="AB637">
        <f t="shared" ca="1" si="93"/>
        <v>1</v>
      </c>
      <c r="AC637" s="24">
        <f t="shared" ca="1" si="94"/>
        <v>0</v>
      </c>
      <c r="AD637" s="24">
        <f t="shared" ca="1" si="95"/>
        <v>2.4918723199040282E-3</v>
      </c>
    </row>
    <row r="638" spans="3:30" x14ac:dyDescent="0.25">
      <c r="C638" s="6">
        <v>631</v>
      </c>
      <c r="D638" s="35">
        <v>42902</v>
      </c>
      <c r="E638" s="37">
        <v>16.361000000000001</v>
      </c>
      <c r="F638" s="37">
        <v>43.131319653852586</v>
      </c>
      <c r="G638" s="37">
        <v>36.92</v>
      </c>
      <c r="H638" s="37">
        <v>2.8942919997417071</v>
      </c>
      <c r="I638" s="37">
        <v>68.553676644248881</v>
      </c>
      <c r="J638" s="10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1</v>
      </c>
      <c r="P638" s="38">
        <v>0</v>
      </c>
      <c r="Q638" s="38">
        <v>0</v>
      </c>
      <c r="R638" s="38">
        <v>0</v>
      </c>
      <c r="S638" s="38">
        <v>0</v>
      </c>
      <c r="T638" s="38">
        <v>0</v>
      </c>
      <c r="U638" s="29" cm="1">
        <f t="array" aca="1" ref="U638" ca="1">+fair_value_gap(OFFSET(T637,0,0,-1*$J$5,-1*$AA$1),OFFSET(E637,0,0,-1*$J$5,1),F638:T638,0)</f>
        <v>16.814755336393237</v>
      </c>
      <c r="V638" s="9" cm="1">
        <f t="array" aca="1" ref="V638" ca="1">z_score_diff(OFFSET(U638,0,0,$J$5*-1,1),OFFSET(E638,0,0,$J$5*-1,1))</f>
        <v>0.19507130569595033</v>
      </c>
      <c r="W638" s="9">
        <f t="shared" ca="1" si="91"/>
        <v>0.18926100433896376</v>
      </c>
      <c r="X638" s="17">
        <f t="shared" ca="1" si="90"/>
        <v>1.7269493322963802E-2</v>
      </c>
      <c r="Y638" s="13">
        <f t="shared" si="99"/>
        <v>0</v>
      </c>
      <c r="Z638" s="13">
        <f t="shared" si="99"/>
        <v>0</v>
      </c>
      <c r="AA638">
        <f t="shared" ca="1" si="92"/>
        <v>0</v>
      </c>
      <c r="AB638">
        <f t="shared" ca="1" si="93"/>
        <v>1</v>
      </c>
      <c r="AC638" s="24">
        <f t="shared" ca="1" si="94"/>
        <v>0</v>
      </c>
      <c r="AD638" s="24">
        <f t="shared" ca="1" si="95"/>
        <v>1.7269493322963802E-2</v>
      </c>
    </row>
    <row r="639" spans="3:30" x14ac:dyDescent="0.25">
      <c r="C639" s="6">
        <v>632</v>
      </c>
      <c r="D639" s="35">
        <v>42905</v>
      </c>
      <c r="E639" s="37">
        <v>16.475000000000001</v>
      </c>
      <c r="F639" s="37">
        <v>42.874530254706336</v>
      </c>
      <c r="G639" s="37">
        <v>37.130000000000003</v>
      </c>
      <c r="H639" s="37">
        <v>2.799371007720258</v>
      </c>
      <c r="I639" s="37">
        <v>69.784383578681783</v>
      </c>
      <c r="J639" s="10">
        <v>0</v>
      </c>
      <c r="K639" s="38">
        <v>0</v>
      </c>
      <c r="L639" s="38">
        <v>0</v>
      </c>
      <c r="M639" s="38">
        <v>0</v>
      </c>
      <c r="N639" s="38">
        <v>0</v>
      </c>
      <c r="O639" s="38">
        <v>1</v>
      </c>
      <c r="P639" s="38">
        <v>0</v>
      </c>
      <c r="Q639" s="38">
        <v>0</v>
      </c>
      <c r="R639" s="38">
        <v>0</v>
      </c>
      <c r="S639" s="38">
        <v>0</v>
      </c>
      <c r="T639" s="38">
        <v>0</v>
      </c>
      <c r="U639" s="29" cm="1">
        <f t="array" aca="1" ref="U639" ca="1">+fair_value_gap(OFFSET(T638,0,0,-1*$J$5,-1*$AA$1),OFFSET(E638,0,0,-1*$J$5,1),F639:T639,0)</f>
        <v>16.757130735298343</v>
      </c>
      <c r="V639" s="9" cm="1">
        <f t="array" aca="1" ref="V639" ca="1">z_score_diff(OFFSET(U639,0,0,$J$5*-1,1),OFFSET(E639,0,0,$J$5*-1,1))</f>
        <v>-2.2815968196961828E-2</v>
      </c>
      <c r="W639" s="9">
        <f t="shared" ca="1" si="91"/>
        <v>0.18964375201912648</v>
      </c>
      <c r="X639" s="17">
        <f t="shared" ca="1" si="90"/>
        <v>2.3040558445093267E-2</v>
      </c>
      <c r="Y639" s="13">
        <f t="shared" si="99"/>
        <v>0</v>
      </c>
      <c r="Z639" s="13">
        <f t="shared" si="99"/>
        <v>0</v>
      </c>
      <c r="AA639">
        <f t="shared" ca="1" si="92"/>
        <v>0</v>
      </c>
      <c r="AB639">
        <f t="shared" ca="1" si="93"/>
        <v>1</v>
      </c>
      <c r="AC639" s="24">
        <f t="shared" ca="1" si="94"/>
        <v>0</v>
      </c>
      <c r="AD639" s="24">
        <f t="shared" ca="1" si="95"/>
        <v>2.3040558445093267E-2</v>
      </c>
    </row>
    <row r="640" spans="3:30" x14ac:dyDescent="0.25">
      <c r="C640" s="6">
        <v>633</v>
      </c>
      <c r="D640" s="35">
        <v>42906</v>
      </c>
      <c r="E640" s="37">
        <v>16.478000000000002</v>
      </c>
      <c r="F640" s="37">
        <v>42.164478828361219</v>
      </c>
      <c r="G640" s="37">
        <v>37.32</v>
      </c>
      <c r="H640" s="37">
        <v>2.8198607148925117</v>
      </c>
      <c r="I640" s="37">
        <v>69.117721623706046</v>
      </c>
      <c r="J640" s="10">
        <v>0</v>
      </c>
      <c r="K640" s="38">
        <v>0</v>
      </c>
      <c r="L640" s="38">
        <v>0</v>
      </c>
      <c r="M640" s="38">
        <v>0</v>
      </c>
      <c r="N640" s="38">
        <v>0</v>
      </c>
      <c r="O640" s="38">
        <v>1</v>
      </c>
      <c r="P640" s="38">
        <v>0</v>
      </c>
      <c r="Q640" s="38">
        <v>0</v>
      </c>
      <c r="R640" s="38">
        <v>0</v>
      </c>
      <c r="S640" s="38">
        <v>0</v>
      </c>
      <c r="T640" s="38">
        <v>0</v>
      </c>
      <c r="U640" s="29" cm="1">
        <f t="array" aca="1" ref="U640" ca="1">+fair_value_gap(OFFSET(T639,0,0,-1*$J$5,-1*$AA$1),OFFSET(E639,0,0,-1*$J$5,1),F640:T640,0)</f>
        <v>16.71109637729483</v>
      </c>
      <c r="V640" s="9" cm="1">
        <f t="array" aca="1" ref="V640" ca="1">z_score_diff(OFFSET(U640,0,0,$J$5*-1,1),OFFSET(E640,0,0,$J$5*-1,1))</f>
        <v>-8.195891023511831E-2</v>
      </c>
      <c r="W640" s="9">
        <f t="shared" ca="1" si="91"/>
        <v>0.18976464163066784</v>
      </c>
      <c r="X640" s="17">
        <f t="shared" ca="1" si="90"/>
        <v>1.3562186114412159E-2</v>
      </c>
      <c r="Y640" s="13">
        <f t="shared" si="99"/>
        <v>0</v>
      </c>
      <c r="Z640" s="13">
        <f t="shared" si="99"/>
        <v>0</v>
      </c>
      <c r="AA640">
        <f t="shared" ca="1" si="92"/>
        <v>0</v>
      </c>
      <c r="AB640">
        <f t="shared" ca="1" si="93"/>
        <v>1</v>
      </c>
      <c r="AC640" s="24">
        <f t="shared" ca="1" si="94"/>
        <v>0</v>
      </c>
      <c r="AD640" s="24">
        <f t="shared" ca="1" si="95"/>
        <v>1.3562186114412159E-2</v>
      </c>
    </row>
    <row r="641" spans="3:30" x14ac:dyDescent="0.25">
      <c r="C641" s="6">
        <v>634</v>
      </c>
      <c r="D641" s="35">
        <v>42907</v>
      </c>
      <c r="E641" s="37">
        <v>16.398</v>
      </c>
      <c r="F641" s="37">
        <v>41.000649945424087</v>
      </c>
      <c r="G641" s="37">
        <v>37.17</v>
      </c>
      <c r="H641" s="37">
        <v>2.8046076076422226</v>
      </c>
      <c r="I641" s="37">
        <v>68.319638371430059</v>
      </c>
      <c r="J641" s="10">
        <v>0</v>
      </c>
      <c r="K641" s="38">
        <v>0</v>
      </c>
      <c r="L641" s="38">
        <v>0</v>
      </c>
      <c r="M641" s="38">
        <v>0</v>
      </c>
      <c r="N641" s="38">
        <v>0</v>
      </c>
      <c r="O641" s="38">
        <v>1</v>
      </c>
      <c r="P641" s="38">
        <v>0</v>
      </c>
      <c r="Q641" s="38">
        <v>0</v>
      </c>
      <c r="R641" s="38">
        <v>0</v>
      </c>
      <c r="S641" s="38">
        <v>0</v>
      </c>
      <c r="T641" s="38">
        <v>0</v>
      </c>
      <c r="U641" s="29" cm="1">
        <f t="array" aca="1" ref="U641" ca="1">+fair_value_gap(OFFSET(T640,0,0,-1*$J$5,-1*$AA$1),OFFSET(E640,0,0,-1*$J$5,1),F641:T641,0)</f>
        <v>16.522264472057675</v>
      </c>
      <c r="V641" s="9" cm="1">
        <f t="array" aca="1" ref="V641" ca="1">z_score_diff(OFFSET(U641,0,0,$J$5*-1,1),OFFSET(E641,0,0,$J$5*-1,1))</f>
        <v>-0.20880885179624087</v>
      </c>
      <c r="W641" s="9">
        <f t="shared" ca="1" si="91"/>
        <v>0.18509759512104446</v>
      </c>
      <c r="X641" s="17">
        <f t="shared" ca="1" si="90"/>
        <v>1.8728270460942855E-2</v>
      </c>
      <c r="Y641" s="13">
        <f t="shared" si="99"/>
        <v>0</v>
      </c>
      <c r="Z641" s="13">
        <f t="shared" si="99"/>
        <v>0</v>
      </c>
      <c r="AA641">
        <f t="shared" ca="1" si="92"/>
        <v>0</v>
      </c>
      <c r="AB641">
        <f t="shared" ca="1" si="93"/>
        <v>1</v>
      </c>
      <c r="AC641" s="24">
        <f t="shared" ca="1" si="94"/>
        <v>0</v>
      </c>
      <c r="AD641" s="24">
        <f t="shared" ca="1" si="95"/>
        <v>1.8728270460942855E-2</v>
      </c>
    </row>
    <row r="642" spans="3:30" x14ac:dyDescent="0.25">
      <c r="C642" s="6">
        <v>635</v>
      </c>
      <c r="D642" s="35">
        <v>42908</v>
      </c>
      <c r="E642" s="37">
        <v>16.315000000000001</v>
      </c>
      <c r="F642" s="37">
        <v>41.291124628157881</v>
      </c>
      <c r="G642" s="37">
        <v>36.840000000000003</v>
      </c>
      <c r="H642" s="37">
        <v>2.8095724370643342</v>
      </c>
      <c r="I642" s="37">
        <v>68.152555165830492</v>
      </c>
      <c r="J642" s="10">
        <v>0</v>
      </c>
      <c r="K642" s="38">
        <v>0</v>
      </c>
      <c r="L642" s="38">
        <v>0</v>
      </c>
      <c r="M642" s="38">
        <v>0</v>
      </c>
      <c r="N642" s="38">
        <v>0</v>
      </c>
      <c r="O642" s="38">
        <v>1</v>
      </c>
      <c r="P642" s="38">
        <v>0</v>
      </c>
      <c r="Q642" s="38">
        <v>0</v>
      </c>
      <c r="R642" s="38">
        <v>0</v>
      </c>
      <c r="S642" s="38">
        <v>0</v>
      </c>
      <c r="T642" s="38">
        <v>0</v>
      </c>
      <c r="U642" s="29" cm="1">
        <f t="array" aca="1" ref="U642" ca="1">+fair_value_gap(OFFSET(T641,0,0,-1*$J$5,-1*$AA$1),OFFSET(E641,0,0,-1*$J$5,1),F642:T642,0)</f>
        <v>16.431171003803257</v>
      </c>
      <c r="V642" s="9" cm="1">
        <f t="array" aca="1" ref="V642" ca="1">z_score_diff(OFFSET(U642,0,0,$J$5*-1,1),OFFSET(E642,0,0,$J$5*-1,1))</f>
        <v>-0.21546063328747239</v>
      </c>
      <c r="W642" s="9">
        <f t="shared" ca="1" si="91"/>
        <v>0.18240811228450987</v>
      </c>
      <c r="X642" s="17">
        <f t="shared" ca="1" si="90"/>
        <v>2.6014776200883976E-2</v>
      </c>
      <c r="Y642" s="13">
        <f t="shared" si="99"/>
        <v>0</v>
      </c>
      <c r="Z642" s="13">
        <f t="shared" si="99"/>
        <v>0</v>
      </c>
      <c r="AA642">
        <f t="shared" ca="1" si="92"/>
        <v>0</v>
      </c>
      <c r="AB642">
        <f t="shared" ca="1" si="93"/>
        <v>1</v>
      </c>
      <c r="AC642" s="24">
        <f t="shared" ca="1" si="94"/>
        <v>0</v>
      </c>
      <c r="AD642" s="24">
        <f t="shared" ca="1" si="95"/>
        <v>2.6014776200883976E-2</v>
      </c>
    </row>
    <row r="643" spans="3:30" x14ac:dyDescent="0.25">
      <c r="C643" s="6">
        <v>636</v>
      </c>
      <c r="D643" s="35">
        <v>42909</v>
      </c>
      <c r="E643" s="37">
        <v>16.331</v>
      </c>
      <c r="F643" s="37">
        <v>41.412410981013998</v>
      </c>
      <c r="G643" s="37">
        <v>36.49</v>
      </c>
      <c r="H643" s="37">
        <v>2.8316178448556584</v>
      </c>
      <c r="I643" s="37">
        <v>67.560632017102961</v>
      </c>
      <c r="J643" s="10">
        <v>0</v>
      </c>
      <c r="K643" s="38">
        <v>0</v>
      </c>
      <c r="L643" s="38">
        <v>0</v>
      </c>
      <c r="M643" s="38">
        <v>0</v>
      </c>
      <c r="N643" s="38">
        <v>0</v>
      </c>
      <c r="O643" s="38">
        <v>1</v>
      </c>
      <c r="P643" s="38">
        <v>0</v>
      </c>
      <c r="Q643" s="38">
        <v>0</v>
      </c>
      <c r="R643" s="38">
        <v>0</v>
      </c>
      <c r="S643" s="38">
        <v>0</v>
      </c>
      <c r="T643" s="38">
        <v>0</v>
      </c>
      <c r="U643" s="29" cm="1">
        <f t="array" aca="1" ref="U643" ca="1">+fair_value_gap(OFFSET(T642,0,0,-1*$J$5,-1*$AA$1),OFFSET(E642,0,0,-1*$J$5,1),F643:T643,0)</f>
        <v>16.326199708329309</v>
      </c>
      <c r="V643" s="9" cm="1">
        <f t="array" aca="1" ref="V643" ca="1">z_score_diff(OFFSET(U643,0,0,$J$5*-1,1),OFFSET(E643,0,0,$J$5*-1,1))</f>
        <v>-0.36722213912997376</v>
      </c>
      <c r="W643" s="9">
        <f t="shared" ca="1" si="91"/>
        <v>0.16622608975262804</v>
      </c>
      <c r="X643" s="17">
        <f t="shared" ca="1" si="90"/>
        <v>1.0961683355089269E-2</v>
      </c>
      <c r="Y643" s="13">
        <f t="shared" si="99"/>
        <v>0</v>
      </c>
      <c r="Z643" s="13">
        <f t="shared" si="99"/>
        <v>0</v>
      </c>
      <c r="AA643">
        <f t="shared" ca="1" si="92"/>
        <v>0</v>
      </c>
      <c r="AB643">
        <f t="shared" ca="1" si="93"/>
        <v>1</v>
      </c>
      <c r="AC643" s="24">
        <f t="shared" ca="1" si="94"/>
        <v>0</v>
      </c>
      <c r="AD643" s="24">
        <f t="shared" ca="1" si="95"/>
        <v>1.0961683355089269E-2</v>
      </c>
    </row>
    <row r="644" spans="3:30" x14ac:dyDescent="0.25">
      <c r="C644" s="6">
        <v>637</v>
      </c>
      <c r="D644" s="35">
        <v>42912</v>
      </c>
      <c r="E644" s="37">
        <v>16.446999999999999</v>
      </c>
      <c r="F644" s="37">
        <v>41.688545478855993</v>
      </c>
      <c r="G644" s="37">
        <v>36.5</v>
      </c>
      <c r="H644" s="37">
        <v>2.9061556130332491</v>
      </c>
      <c r="I644" s="37">
        <v>67.562362362716911</v>
      </c>
      <c r="J644" s="10">
        <v>0</v>
      </c>
      <c r="K644" s="38">
        <v>0</v>
      </c>
      <c r="L644" s="38">
        <v>0</v>
      </c>
      <c r="M644" s="38">
        <v>0</v>
      </c>
      <c r="N644" s="38">
        <v>0</v>
      </c>
      <c r="O644" s="38">
        <v>1</v>
      </c>
      <c r="P644" s="38">
        <v>0</v>
      </c>
      <c r="Q644" s="38">
        <v>0</v>
      </c>
      <c r="R644" s="38">
        <v>0</v>
      </c>
      <c r="S644" s="38">
        <v>0</v>
      </c>
      <c r="T644" s="38">
        <v>0</v>
      </c>
      <c r="U644" s="29" cm="1">
        <f t="array" aca="1" ref="U644" ca="1">+fair_value_gap(OFFSET(T643,0,0,-1*$J$5,-1*$AA$1),OFFSET(E643,0,0,-1*$J$5,1),F644:T644,0)</f>
        <v>16.387958622395807</v>
      </c>
      <c r="V644" s="9" cm="1">
        <f t="array" aca="1" ref="V644" ca="1">z_score_diff(OFFSET(U644,0,0,$J$5*-1,1),OFFSET(E644,0,0,$J$5*-1,1))</f>
        <v>-0.43579854617385794</v>
      </c>
      <c r="W644" s="9">
        <f t="shared" ca="1" si="91"/>
        <v>0.14992866840150071</v>
      </c>
      <c r="X644" s="17">
        <f t="shared" ca="1" si="90"/>
        <v>-7.2616642515882937E-3</v>
      </c>
      <c r="Y644" s="13">
        <f t="shared" si="99"/>
        <v>0</v>
      </c>
      <c r="Z644" s="13">
        <f t="shared" si="99"/>
        <v>0</v>
      </c>
      <c r="AA644">
        <f t="shared" ca="1" si="92"/>
        <v>0</v>
      </c>
      <c r="AB644">
        <f t="shared" ca="1" si="93"/>
        <v>1</v>
      </c>
      <c r="AC644" s="24">
        <f t="shared" ca="1" si="94"/>
        <v>0</v>
      </c>
      <c r="AD644" s="24">
        <f t="shared" ca="1" si="95"/>
        <v>-7.2616642515882937E-3</v>
      </c>
    </row>
    <row r="645" spans="3:30" x14ac:dyDescent="0.25">
      <c r="C645" s="6">
        <v>638</v>
      </c>
      <c r="D645" s="35">
        <v>42913</v>
      </c>
      <c r="E645" s="37">
        <v>16.544</v>
      </c>
      <c r="F645" s="37">
        <v>41.969674202104422</v>
      </c>
      <c r="G645" s="37">
        <v>37.130000000000003</v>
      </c>
      <c r="H645" s="37">
        <v>2.8803916703650767</v>
      </c>
      <c r="I645" s="37">
        <v>67.095565751907159</v>
      </c>
      <c r="J645" s="10">
        <v>0</v>
      </c>
      <c r="K645" s="38">
        <v>0</v>
      </c>
      <c r="L645" s="38">
        <v>0</v>
      </c>
      <c r="M645" s="38">
        <v>0</v>
      </c>
      <c r="N645" s="38">
        <v>0</v>
      </c>
      <c r="O645" s="38">
        <v>1</v>
      </c>
      <c r="P645" s="38">
        <v>0</v>
      </c>
      <c r="Q645" s="38">
        <v>0</v>
      </c>
      <c r="R645" s="38">
        <v>0</v>
      </c>
      <c r="S645" s="38">
        <v>0</v>
      </c>
      <c r="T645" s="38">
        <v>0</v>
      </c>
      <c r="U645" s="29" cm="1">
        <f t="array" aca="1" ref="U645" ca="1">+fair_value_gap(OFFSET(T644,0,0,-1*$J$5,-1*$AA$1),OFFSET(E644,0,0,-1*$J$5,1),F645:T645,0)</f>
        <v>16.544094181004727</v>
      </c>
      <c r="V645" s="9" cm="1">
        <f t="array" aca="1" ref="V645" ca="1">z_score_diff(OFFSET(U645,0,0,$J$5*-1,1),OFFSET(E645,0,0,$J$5*-1,1))</f>
        <v>-0.36196361261071036</v>
      </c>
      <c r="W645" s="9">
        <f t="shared" ca="1" si="91"/>
        <v>0.14335001485094839</v>
      </c>
      <c r="X645" s="17">
        <f t="shared" ca="1" si="90"/>
        <v>-7.523394301736366E-3</v>
      </c>
      <c r="Y645" s="13">
        <f t="shared" si="99"/>
        <v>0</v>
      </c>
      <c r="Z645" s="13">
        <f t="shared" si="99"/>
        <v>0</v>
      </c>
      <c r="AA645">
        <f t="shared" ca="1" si="92"/>
        <v>0</v>
      </c>
      <c r="AB645">
        <f t="shared" ca="1" si="93"/>
        <v>1</v>
      </c>
      <c r="AC645" s="24">
        <f t="shared" ca="1" si="94"/>
        <v>0</v>
      </c>
      <c r="AD645" s="24">
        <f t="shared" ca="1" si="95"/>
        <v>-7.523394301736366E-3</v>
      </c>
    </row>
    <row r="646" spans="3:30" x14ac:dyDescent="0.25">
      <c r="C646" s="6">
        <v>639</v>
      </c>
      <c r="D646" s="35">
        <v>42914</v>
      </c>
      <c r="E646" s="37">
        <v>16.625</v>
      </c>
      <c r="F646" s="37">
        <v>42.310035686308645</v>
      </c>
      <c r="G646" s="37">
        <v>37.340000000000003</v>
      </c>
      <c r="H646" s="37">
        <v>2.8923317956306032</v>
      </c>
      <c r="I646" s="37">
        <v>67.151188092958492</v>
      </c>
      <c r="J646" s="10">
        <v>0</v>
      </c>
      <c r="K646" s="38">
        <v>0</v>
      </c>
      <c r="L646" s="38">
        <v>0</v>
      </c>
      <c r="M646" s="38">
        <v>0</v>
      </c>
      <c r="N646" s="38">
        <v>0</v>
      </c>
      <c r="O646" s="38">
        <v>1</v>
      </c>
      <c r="P646" s="38">
        <v>0</v>
      </c>
      <c r="Q646" s="38">
        <v>0</v>
      </c>
      <c r="R646" s="38">
        <v>0</v>
      </c>
      <c r="S646" s="38">
        <v>0</v>
      </c>
      <c r="T646" s="38">
        <v>0</v>
      </c>
      <c r="U646" s="29" cm="1">
        <f t="array" aca="1" ref="U646" ca="1">+fair_value_gap(OFFSET(T645,0,0,-1*$J$5,-1*$AA$1),OFFSET(E645,0,0,-1*$J$5,1),F646:T646,0)</f>
        <v>16.626774744755959</v>
      </c>
      <c r="V646" s="9" cm="1">
        <f t="array" aca="1" ref="V646" ca="1">z_score_diff(OFFSET(U646,0,0,$J$5*-1,1),OFFSET(E646,0,0,$J$5*-1,1))</f>
        <v>-0.35972619613521817</v>
      </c>
      <c r="W646" s="9">
        <f t="shared" ca="1" si="91"/>
        <v>0.19066294031982495</v>
      </c>
      <c r="X646" s="17">
        <f t="shared" ca="1" si="90"/>
        <v>1.4425680207973879E-3</v>
      </c>
      <c r="Y646" s="13">
        <f t="shared" si="99"/>
        <v>0</v>
      </c>
      <c r="Z646" s="13">
        <f t="shared" si="99"/>
        <v>0</v>
      </c>
      <c r="AA646">
        <f t="shared" ca="1" si="92"/>
        <v>0</v>
      </c>
      <c r="AB646">
        <f t="shared" ca="1" si="93"/>
        <v>1</v>
      </c>
      <c r="AC646" s="24">
        <f t="shared" ca="1" si="94"/>
        <v>0</v>
      </c>
      <c r="AD646" s="24">
        <f t="shared" ca="1" si="95"/>
        <v>1.4425680207973879E-3</v>
      </c>
    </row>
    <row r="647" spans="3:30" x14ac:dyDescent="0.25">
      <c r="C647" s="6">
        <v>640</v>
      </c>
      <c r="D647" s="35">
        <v>42915</v>
      </c>
      <c r="E647" s="37">
        <v>16.477</v>
      </c>
      <c r="F647" s="37">
        <v>42.206325496705368</v>
      </c>
      <c r="G647" s="37">
        <v>37.46</v>
      </c>
      <c r="H647" s="37">
        <v>2.9052006293303245</v>
      </c>
      <c r="I647" s="37">
        <v>66.074491524983685</v>
      </c>
      <c r="J647" s="10">
        <v>0</v>
      </c>
      <c r="K647" s="38">
        <v>0</v>
      </c>
      <c r="L647" s="38">
        <v>0</v>
      </c>
      <c r="M647" s="38">
        <v>0</v>
      </c>
      <c r="N647" s="38">
        <v>0</v>
      </c>
      <c r="O647" s="38">
        <v>1</v>
      </c>
      <c r="P647" s="38">
        <v>0</v>
      </c>
      <c r="Q647" s="38">
        <v>0</v>
      </c>
      <c r="R647" s="38">
        <v>0</v>
      </c>
      <c r="S647" s="38">
        <v>0</v>
      </c>
      <c r="T647" s="38">
        <v>0</v>
      </c>
      <c r="U647" s="29" cm="1">
        <f t="array" aca="1" ref="U647" ca="1">+fair_value_gap(OFFSET(T646,0,0,-1*$J$5,-1*$AA$1),OFFSET(E646,0,0,-1*$J$5,1),F647:T647,0)</f>
        <v>16.626736208281088</v>
      </c>
      <c r="V647" s="9" cm="1">
        <f t="array" aca="1" ref="V647" ca="1">z_score_diff(OFFSET(U647,0,0,$J$5*-1,1),OFFSET(E647,0,0,$J$5*-1,1))</f>
        <v>-0.16785485106114645</v>
      </c>
      <c r="W647" s="9">
        <f t="shared" ca="1" si="91"/>
        <v>0.12213896769086389</v>
      </c>
      <c r="X647" s="17">
        <f t="shared" ref="X647:X710" ca="1" si="100">+LN(OFFSET(E647,$X$3,0,1,1)/E647)</f>
        <v>1.0024238529294941E-2</v>
      </c>
      <c r="Y647" s="13">
        <f t="shared" si="99"/>
        <v>0</v>
      </c>
      <c r="Z647" s="13">
        <f t="shared" si="99"/>
        <v>0</v>
      </c>
      <c r="AA647">
        <f t="shared" ca="1" si="92"/>
        <v>0</v>
      </c>
      <c r="AB647">
        <f t="shared" ca="1" si="93"/>
        <v>1</v>
      </c>
      <c r="AC647" s="24">
        <f t="shared" ca="1" si="94"/>
        <v>0</v>
      </c>
      <c r="AD647" s="24">
        <f t="shared" ca="1" si="95"/>
        <v>1.0024238529294941E-2</v>
      </c>
    </row>
    <row r="648" spans="3:30" x14ac:dyDescent="0.25">
      <c r="C648" s="6">
        <v>641</v>
      </c>
      <c r="D648" s="35">
        <v>42916</v>
      </c>
      <c r="E648" s="37">
        <v>16.61</v>
      </c>
      <c r="F648" s="37">
        <v>43.213113901446356</v>
      </c>
      <c r="G648" s="37">
        <v>38.479999999999997</v>
      </c>
      <c r="H648" s="37">
        <v>2.9091917804062981</v>
      </c>
      <c r="I648" s="37">
        <v>65.36146014381255</v>
      </c>
      <c r="J648" s="10">
        <v>0</v>
      </c>
      <c r="K648" s="38">
        <v>0</v>
      </c>
      <c r="L648" s="38">
        <v>0</v>
      </c>
      <c r="M648" s="38">
        <v>0</v>
      </c>
      <c r="N648" s="38">
        <v>0</v>
      </c>
      <c r="O648" s="38">
        <v>1</v>
      </c>
      <c r="P648" s="38">
        <v>0</v>
      </c>
      <c r="Q648" s="38">
        <v>0</v>
      </c>
      <c r="R648" s="38">
        <v>0</v>
      </c>
      <c r="S648" s="38">
        <v>0</v>
      </c>
      <c r="T648" s="38">
        <v>0</v>
      </c>
      <c r="U648" s="29" cm="1">
        <f t="array" aca="1" ref="U648" ca="1">+fair_value_gap(OFFSET(T647,0,0,-1*$J$5,-1*$AA$1),OFFSET(E647,0,0,-1*$J$5,1),F648:T648,0)</f>
        <v>16.922541654354362</v>
      </c>
      <c r="V648" s="9" cm="1">
        <f t="array" aca="1" ref="V648" ca="1">z_score_diff(OFFSET(U648,0,0,$J$5*-1,1),OFFSET(E648,0,0,$J$5*-1,1))</f>
        <v>3.6565849205440593E-2</v>
      </c>
      <c r="W648" s="9">
        <f t="shared" ref="W648:W711" ca="1" si="101">+IF(ISERROR(AVERAGE(OFFSET(V648,0,0,$W$5*-1,1))),"",AVERAGE(OFFSET(V648,0,0,$W$5*-1,1)))</f>
        <v>6.9573423573240173E-2</v>
      </c>
      <c r="X648" s="17">
        <f t="shared" ca="1" si="100"/>
        <v>-1.3856676012978951E-3</v>
      </c>
      <c r="Y648" s="13">
        <f t="shared" si="99"/>
        <v>0</v>
      </c>
      <c r="Z648" s="13">
        <f t="shared" si="99"/>
        <v>0</v>
      </c>
      <c r="AA648">
        <f t="shared" ref="AA648:AA711" ca="1" si="102">+IF(W648="","",IF(W648&lt;Y648,1,0))</f>
        <v>0</v>
      </c>
      <c r="AB648">
        <f t="shared" ref="AB648:AB711" ca="1" si="103">+IF(W648="","",IF(W648&gt;Z648,1,0))</f>
        <v>1</v>
      </c>
      <c r="AC648" s="24">
        <f t="shared" ref="AC648:AC711" ca="1" si="104">+IF(ISERROR(AA648*X648),"",AA648*X648)</f>
        <v>0</v>
      </c>
      <c r="AD648" s="24">
        <f t="shared" ref="AD648:AD711" ca="1" si="105">+IF(ISERROR(AB648*X648),"",AB648*X648)</f>
        <v>-1.3856676012978951E-3</v>
      </c>
    </row>
    <row r="649" spans="3:30" x14ac:dyDescent="0.25">
      <c r="C649" s="6">
        <v>642</v>
      </c>
      <c r="D649" s="35">
        <v>42919</v>
      </c>
      <c r="E649" s="37">
        <v>16.861000000000001</v>
      </c>
      <c r="F649" s="37">
        <v>44.504515809691128</v>
      </c>
      <c r="G649" s="37">
        <v>38.909999999999997</v>
      </c>
      <c r="H649" s="37">
        <v>2.8766282883843823</v>
      </c>
      <c r="I649" s="37">
        <v>66.098835405621145</v>
      </c>
      <c r="J649" s="10">
        <v>0</v>
      </c>
      <c r="K649" s="38">
        <v>0</v>
      </c>
      <c r="L649" s="38">
        <v>0</v>
      </c>
      <c r="M649" s="38">
        <v>0</v>
      </c>
      <c r="N649" s="38">
        <v>0</v>
      </c>
      <c r="O649" s="38">
        <v>0</v>
      </c>
      <c r="P649" s="38">
        <v>1</v>
      </c>
      <c r="Q649" s="38">
        <v>0</v>
      </c>
      <c r="R649" s="38">
        <v>0</v>
      </c>
      <c r="S649" s="38">
        <v>0</v>
      </c>
      <c r="T649" s="38">
        <v>0</v>
      </c>
      <c r="U649" s="29" cm="1">
        <f t="array" aca="1" ref="U649" ca="1">+fair_value_gap(OFFSET(T648,0,0,-1*$J$5,-1*$AA$1),OFFSET(E648,0,0,-1*$J$5,1),F649:T649,0)</f>
        <v>18.261633433904379</v>
      </c>
      <c r="V649" s="9" cm="1">
        <f t="array" aca="1" ref="V649" ca="1">z_score_diff(OFFSET(U649,0,0,$J$5*-1,1),OFFSET(E649,0,0,$J$5*-1,1))</f>
        <v>1.4029163193834564</v>
      </c>
      <c r="W649" s="9">
        <f t="shared" ca="1" si="101"/>
        <v>9.3189779287777913E-2</v>
      </c>
      <c r="X649" s="17">
        <f t="shared" ca="1" si="100"/>
        <v>-1.4817741391501918E-2</v>
      </c>
      <c r="Y649" s="13">
        <f t="shared" ref="Y649:Z664" si="106">+Y648</f>
        <v>0</v>
      </c>
      <c r="Z649" s="13">
        <f t="shared" si="106"/>
        <v>0</v>
      </c>
      <c r="AA649">
        <f t="shared" ca="1" si="102"/>
        <v>0</v>
      </c>
      <c r="AB649">
        <f t="shared" ca="1" si="103"/>
        <v>1</v>
      </c>
      <c r="AC649" s="24">
        <f t="shared" ca="1" si="104"/>
        <v>0</v>
      </c>
      <c r="AD649" s="24">
        <f t="shared" ca="1" si="105"/>
        <v>-1.4817741391501918E-2</v>
      </c>
    </row>
    <row r="650" spans="3:30" x14ac:dyDescent="0.25">
      <c r="C650" s="6">
        <v>643</v>
      </c>
      <c r="D650" s="35">
        <v>42920</v>
      </c>
      <c r="E650" s="37">
        <v>16.728000000000002</v>
      </c>
      <c r="F650" s="37">
        <v>44.460581600964964</v>
      </c>
      <c r="G650" s="37">
        <v>39.04</v>
      </c>
      <c r="H650" s="37">
        <v>2.881122494400969</v>
      </c>
      <c r="I650" s="37">
        <v>67.685867749407805</v>
      </c>
      <c r="J650" s="10">
        <v>0</v>
      </c>
      <c r="K650" s="38">
        <v>0</v>
      </c>
      <c r="L650" s="38">
        <v>0</v>
      </c>
      <c r="M650" s="38">
        <v>0</v>
      </c>
      <c r="N650" s="38">
        <v>0</v>
      </c>
      <c r="O650" s="38">
        <v>0</v>
      </c>
      <c r="P650" s="38">
        <v>1</v>
      </c>
      <c r="Q650" s="38">
        <v>0</v>
      </c>
      <c r="R650" s="38">
        <v>0</v>
      </c>
      <c r="S650" s="38">
        <v>0</v>
      </c>
      <c r="T650" s="38">
        <v>0</v>
      </c>
      <c r="U650" s="29" cm="1">
        <f t="array" aca="1" ref="U650" ca="1">+fair_value_gap(OFFSET(T649,0,0,-1*$J$5,-1*$AA$1),OFFSET(E649,0,0,-1*$J$5,1),F650:T650,0)</f>
        <v>18.218524955573173</v>
      </c>
      <c r="V650" s="9" cm="1">
        <f t="array" aca="1" ref="V650" ca="1">z_score_diff(OFFSET(U650,0,0,$J$5*-1,1),OFFSET(E650,0,0,$J$5*-1,1))</f>
        <v>1.5025703812215343</v>
      </c>
      <c r="W650" s="9">
        <f t="shared" ca="1" si="101"/>
        <v>0.13331127893069175</v>
      </c>
      <c r="X650" s="17">
        <f t="shared" ca="1" si="100"/>
        <v>-1.9314941356252998E-2</v>
      </c>
      <c r="Y650" s="13">
        <f t="shared" si="106"/>
        <v>0</v>
      </c>
      <c r="Z650" s="13">
        <f t="shared" si="106"/>
        <v>0</v>
      </c>
      <c r="AA650">
        <f t="shared" ca="1" si="102"/>
        <v>0</v>
      </c>
      <c r="AB650">
        <f t="shared" ca="1" si="103"/>
        <v>1</v>
      </c>
      <c r="AC650" s="24">
        <f t="shared" ca="1" si="104"/>
        <v>0</v>
      </c>
      <c r="AD650" s="24">
        <f t="shared" ca="1" si="105"/>
        <v>-1.9314941356252998E-2</v>
      </c>
    </row>
    <row r="651" spans="3:30" x14ac:dyDescent="0.25">
      <c r="C651" s="6">
        <v>644</v>
      </c>
      <c r="D651" s="35">
        <v>42921</v>
      </c>
      <c r="E651" s="37">
        <v>16.661000000000001</v>
      </c>
      <c r="F651" s="37">
        <v>42.944549801895029</v>
      </c>
      <c r="G651" s="37">
        <v>39.06</v>
      </c>
      <c r="H651" s="37">
        <v>2.7748651822024804</v>
      </c>
      <c r="I651" s="37">
        <v>69.044507755839774</v>
      </c>
      <c r="J651" s="10">
        <v>0</v>
      </c>
      <c r="K651" s="38">
        <v>0</v>
      </c>
      <c r="L651" s="38">
        <v>0</v>
      </c>
      <c r="M651" s="38">
        <v>0</v>
      </c>
      <c r="N651" s="38">
        <v>0</v>
      </c>
      <c r="O651" s="38">
        <v>0</v>
      </c>
      <c r="P651" s="38">
        <v>1</v>
      </c>
      <c r="Q651" s="38">
        <v>0</v>
      </c>
      <c r="R651" s="38">
        <v>0</v>
      </c>
      <c r="S651" s="38">
        <v>0</v>
      </c>
      <c r="T651" s="38">
        <v>0</v>
      </c>
      <c r="U651" s="29" cm="1">
        <f t="array" aca="1" ref="U651" ca="1">+fair_value_gap(OFFSET(T650,0,0,-1*$J$5,-1*$AA$1),OFFSET(E650,0,0,-1*$J$5,1),F651:T651,0)</f>
        <v>17.951409774336241</v>
      </c>
      <c r="V651" s="9" cm="1">
        <f t="array" aca="1" ref="V651" ca="1">z_score_diff(OFFSET(U651,0,0,$J$5*-1,1),OFFSET(E651,0,0,$J$5*-1,1))</f>
        <v>1.2305666921997007</v>
      </c>
      <c r="W651" s="9">
        <f t="shared" ca="1" si="101"/>
        <v>0.1713325139749636</v>
      </c>
      <c r="X651" s="17">
        <f t="shared" ca="1" si="100"/>
        <v>-1.5911282772945803E-2</v>
      </c>
      <c r="Y651" s="13">
        <f t="shared" si="106"/>
        <v>0</v>
      </c>
      <c r="Z651" s="13">
        <f t="shared" si="106"/>
        <v>0</v>
      </c>
      <c r="AA651">
        <f t="shared" ca="1" si="102"/>
        <v>0</v>
      </c>
      <c r="AB651">
        <f t="shared" ca="1" si="103"/>
        <v>1</v>
      </c>
      <c r="AC651" s="24">
        <f t="shared" ca="1" si="104"/>
        <v>0</v>
      </c>
      <c r="AD651" s="24">
        <f t="shared" ca="1" si="105"/>
        <v>-1.5911282772945803E-2</v>
      </c>
    </row>
    <row r="652" spans="3:30" x14ac:dyDescent="0.25">
      <c r="C652" s="6">
        <v>645</v>
      </c>
      <c r="D652" s="35">
        <v>42922</v>
      </c>
      <c r="E652" s="37">
        <v>16.760999999999999</v>
      </c>
      <c r="F652" s="37">
        <v>42.904170285351732</v>
      </c>
      <c r="G652" s="37">
        <v>39.119999999999997</v>
      </c>
      <c r="H652" s="37">
        <v>2.7883376930904351</v>
      </c>
      <c r="I652" s="37">
        <v>69.470085825675596</v>
      </c>
      <c r="J652" s="10">
        <v>0</v>
      </c>
      <c r="K652" s="38">
        <v>0</v>
      </c>
      <c r="L652" s="38">
        <v>0</v>
      </c>
      <c r="M652" s="38">
        <v>0</v>
      </c>
      <c r="N652" s="38">
        <v>0</v>
      </c>
      <c r="O652" s="38">
        <v>0</v>
      </c>
      <c r="P652" s="38">
        <v>1</v>
      </c>
      <c r="Q652" s="38">
        <v>0</v>
      </c>
      <c r="R652" s="38">
        <v>0</v>
      </c>
      <c r="S652" s="38">
        <v>0</v>
      </c>
      <c r="T652" s="38">
        <v>0</v>
      </c>
      <c r="U652" s="29" cm="1">
        <f t="array" aca="1" ref="U652" ca="1">+fair_value_gap(OFFSET(T651,0,0,-1*$J$5,-1*$AA$1),OFFSET(E651,0,0,-1*$J$5,1),F652:T652,0)</f>
        <v>17.751588607811279</v>
      </c>
      <c r="V652" s="9" cm="1">
        <f t="array" aca="1" ref="V652" ca="1">z_score_diff(OFFSET(U652,0,0,$J$5*-1,1),OFFSET(E652,0,0,$J$5*-1,1))</f>
        <v>0.83878138437437877</v>
      </c>
      <c r="W652" s="9">
        <f t="shared" ca="1" si="101"/>
        <v>0.20903804527658104</v>
      </c>
      <c r="X652" s="17">
        <f t="shared" ca="1" si="100"/>
        <v>-1.4604063756596033E-2</v>
      </c>
      <c r="Y652" s="13">
        <f t="shared" si="106"/>
        <v>0</v>
      </c>
      <c r="Z652" s="13">
        <f t="shared" si="106"/>
        <v>0</v>
      </c>
      <c r="AA652">
        <f t="shared" ca="1" si="102"/>
        <v>0</v>
      </c>
      <c r="AB652">
        <f t="shared" ca="1" si="103"/>
        <v>1</v>
      </c>
      <c r="AC652" s="24">
        <f t="shared" ca="1" si="104"/>
        <v>0</v>
      </c>
      <c r="AD652" s="24">
        <f t="shared" ca="1" si="105"/>
        <v>-1.4604063756596033E-2</v>
      </c>
    </row>
    <row r="653" spans="3:30" x14ac:dyDescent="0.25">
      <c r="C653" s="6">
        <v>646</v>
      </c>
      <c r="D653" s="35">
        <v>42923</v>
      </c>
      <c r="E653" s="37">
        <v>16.54</v>
      </c>
      <c r="F653" s="37">
        <v>41.790749237266716</v>
      </c>
      <c r="G653" s="37">
        <v>39.22</v>
      </c>
      <c r="H653" s="37">
        <v>2.7799706631024681</v>
      </c>
      <c r="I653" s="37">
        <v>69.17359053924136</v>
      </c>
      <c r="J653" s="10">
        <v>0</v>
      </c>
      <c r="K653" s="38">
        <v>0</v>
      </c>
      <c r="L653" s="38">
        <v>0</v>
      </c>
      <c r="M653" s="38">
        <v>0</v>
      </c>
      <c r="N653" s="38">
        <v>0</v>
      </c>
      <c r="O653" s="38">
        <v>0</v>
      </c>
      <c r="P653" s="38">
        <v>1</v>
      </c>
      <c r="Q653" s="38">
        <v>0</v>
      </c>
      <c r="R653" s="38">
        <v>0</v>
      </c>
      <c r="S653" s="38">
        <v>0</v>
      </c>
      <c r="T653" s="38">
        <v>0</v>
      </c>
      <c r="U653" s="29" cm="1">
        <f t="array" aca="1" ref="U653" ca="1">+fair_value_gap(OFFSET(T652,0,0,-1*$J$5,-1*$AA$1),OFFSET(E652,0,0,-1*$J$5,1),F653:T653,0)</f>
        <v>17.579107896772062</v>
      </c>
      <c r="V653" s="9" cm="1">
        <f t="array" aca="1" ref="V653" ca="1">z_score_diff(OFFSET(U653,0,0,$J$5*-1,1),OFFSET(E653,0,0,$J$5*-1,1))</f>
        <v>0.90713642433287123</v>
      </c>
      <c r="W653" s="9">
        <f t="shared" ca="1" si="101"/>
        <v>0.23286780659839179</v>
      </c>
      <c r="X653" s="17">
        <f t="shared" ca="1" si="100"/>
        <v>9.8066544122653743E-3</v>
      </c>
      <c r="Y653" s="13">
        <f t="shared" si="106"/>
        <v>0</v>
      </c>
      <c r="Z653" s="13">
        <f t="shared" si="106"/>
        <v>0</v>
      </c>
      <c r="AA653">
        <f t="shared" ca="1" si="102"/>
        <v>0</v>
      </c>
      <c r="AB653">
        <f t="shared" ca="1" si="103"/>
        <v>1</v>
      </c>
      <c r="AC653" s="24">
        <f t="shared" ca="1" si="104"/>
        <v>0</v>
      </c>
      <c r="AD653" s="24">
        <f t="shared" ca="1" si="105"/>
        <v>9.8066544122653743E-3</v>
      </c>
    </row>
    <row r="654" spans="3:30" x14ac:dyDescent="0.25">
      <c r="C654" s="6">
        <v>647</v>
      </c>
      <c r="D654" s="35">
        <v>42926</v>
      </c>
      <c r="E654" s="37">
        <v>16.38</v>
      </c>
      <c r="F654" s="37">
        <v>42.049069118211648</v>
      </c>
      <c r="G654" s="37">
        <v>39.200000000000003</v>
      </c>
      <c r="H654" s="37">
        <v>2.8394630643964862</v>
      </c>
      <c r="I654" s="37">
        <v>68.489343110328207</v>
      </c>
      <c r="J654" s="10">
        <v>0</v>
      </c>
      <c r="K654" s="38">
        <v>0</v>
      </c>
      <c r="L654" s="38">
        <v>0</v>
      </c>
      <c r="M654" s="38">
        <v>0</v>
      </c>
      <c r="N654" s="38">
        <v>0</v>
      </c>
      <c r="O654" s="38">
        <v>0</v>
      </c>
      <c r="P654" s="38">
        <v>1</v>
      </c>
      <c r="Q654" s="38">
        <v>0</v>
      </c>
      <c r="R654" s="38">
        <v>0</v>
      </c>
      <c r="S654" s="38">
        <v>0</v>
      </c>
      <c r="T654" s="38">
        <v>0</v>
      </c>
      <c r="U654" s="29" cm="1">
        <f t="array" aca="1" ref="U654" ca="1">+fair_value_gap(OFFSET(T653,0,0,-1*$J$5,-1*$AA$1),OFFSET(E653,0,0,-1*$J$5,1),F654:T654,0)</f>
        <v>17.492638895160692</v>
      </c>
      <c r="V654" s="9" cm="1">
        <f t="array" aca="1" ref="V654" ca="1">z_score_diff(OFFSET(U654,0,0,$J$5*-1,1),OFFSET(E654,0,0,$J$5*-1,1))</f>
        <v>1.0057817273262779</v>
      </c>
      <c r="W654" s="9">
        <f t="shared" ca="1" si="101"/>
        <v>0.26468759689896426</v>
      </c>
      <c r="X654" s="17">
        <f t="shared" ca="1" si="100"/>
        <v>2.8526938925238367E-2</v>
      </c>
      <c r="Y654" s="13">
        <f t="shared" si="106"/>
        <v>0</v>
      </c>
      <c r="Z654" s="13">
        <f t="shared" si="106"/>
        <v>0</v>
      </c>
      <c r="AA654">
        <f t="shared" ca="1" si="102"/>
        <v>0</v>
      </c>
      <c r="AB654">
        <f t="shared" ca="1" si="103"/>
        <v>1</v>
      </c>
      <c r="AC654" s="24">
        <f t="shared" ca="1" si="104"/>
        <v>0</v>
      </c>
      <c r="AD654" s="24">
        <f t="shared" ca="1" si="105"/>
        <v>2.8526938925238367E-2</v>
      </c>
    </row>
    <row r="655" spans="3:30" x14ac:dyDescent="0.25">
      <c r="C655" s="6">
        <v>648</v>
      </c>
      <c r="D655" s="35">
        <v>42927</v>
      </c>
      <c r="E655" s="37">
        <v>16.244</v>
      </c>
      <c r="F655" s="37">
        <v>42.302850067093928</v>
      </c>
      <c r="G655" s="37">
        <v>38.9</v>
      </c>
      <c r="H655" s="37">
        <v>2.9074034736865739</v>
      </c>
      <c r="I655" s="37">
        <v>68.475525828139382</v>
      </c>
      <c r="J655" s="10">
        <v>0</v>
      </c>
      <c r="K655" s="38">
        <v>0</v>
      </c>
      <c r="L655" s="38">
        <v>0</v>
      </c>
      <c r="M655" s="38">
        <v>0</v>
      </c>
      <c r="N655" s="38">
        <v>0</v>
      </c>
      <c r="O655" s="38">
        <v>0</v>
      </c>
      <c r="P655" s="38">
        <v>1</v>
      </c>
      <c r="Q655" s="38">
        <v>0</v>
      </c>
      <c r="R655" s="38">
        <v>0</v>
      </c>
      <c r="S655" s="38">
        <v>0</v>
      </c>
      <c r="T655" s="38">
        <v>0</v>
      </c>
      <c r="U655" s="29" cm="1">
        <f t="array" aca="1" ref="U655" ca="1">+fair_value_gap(OFFSET(T654,0,0,-1*$J$5,-1*$AA$1),OFFSET(E654,0,0,-1*$J$5,1),F655:T655,0)</f>
        <v>17.34976218130652</v>
      </c>
      <c r="V655" s="9" cm="1">
        <f t="array" aca="1" ref="V655" ca="1">z_score_diff(OFFSET(U655,0,0,$J$5*-1,1),OFFSET(E655,0,0,$J$5*-1,1))</f>
        <v>1.0026388209111827</v>
      </c>
      <c r="W655" s="9">
        <f t="shared" ca="1" si="101"/>
        <v>0.30523719000849225</v>
      </c>
      <c r="X655" s="17">
        <f t="shared" ca="1" si="100"/>
        <v>2.9539676251475203E-2</v>
      </c>
      <c r="Y655" s="13">
        <f t="shared" si="106"/>
        <v>0</v>
      </c>
      <c r="Z655" s="13">
        <f t="shared" si="106"/>
        <v>0</v>
      </c>
      <c r="AA655">
        <f t="shared" ca="1" si="102"/>
        <v>0</v>
      </c>
      <c r="AB655">
        <f t="shared" ca="1" si="103"/>
        <v>1</v>
      </c>
      <c r="AC655" s="24">
        <f t="shared" ca="1" si="104"/>
        <v>0</v>
      </c>
      <c r="AD655" s="24">
        <f t="shared" ca="1" si="105"/>
        <v>2.9539676251475203E-2</v>
      </c>
    </row>
    <row r="656" spans="3:30" x14ac:dyDescent="0.25">
      <c r="C656" s="6">
        <v>649</v>
      </c>
      <c r="D656" s="35">
        <v>42928</v>
      </c>
      <c r="E656" s="37">
        <v>16.256</v>
      </c>
      <c r="F656" s="37">
        <v>42.625280069949184</v>
      </c>
      <c r="G656" s="37">
        <v>38.83</v>
      </c>
      <c r="H656" s="37">
        <v>2.8789846266211097</v>
      </c>
      <c r="I656" s="37">
        <v>68.006144840944572</v>
      </c>
      <c r="J656" s="10">
        <v>0</v>
      </c>
      <c r="K656" s="38">
        <v>0</v>
      </c>
      <c r="L656" s="38">
        <v>0</v>
      </c>
      <c r="M656" s="38">
        <v>0</v>
      </c>
      <c r="N656" s="38">
        <v>0</v>
      </c>
      <c r="O656" s="38">
        <v>0</v>
      </c>
      <c r="P656" s="38">
        <v>1</v>
      </c>
      <c r="Q656" s="38">
        <v>0</v>
      </c>
      <c r="R656" s="38">
        <v>0</v>
      </c>
      <c r="S656" s="38">
        <v>0</v>
      </c>
      <c r="T656" s="38">
        <v>0</v>
      </c>
      <c r="U656" s="29" cm="1">
        <f t="array" aca="1" ref="U656" ca="1">+fair_value_gap(OFFSET(T655,0,0,-1*$J$5,-1*$AA$1),OFFSET(E655,0,0,-1*$J$5,1),F656:T656,0)</f>
        <v>17.15238401167851</v>
      </c>
      <c r="V656" s="9" cm="1">
        <f t="array" aca="1" ref="V656" ca="1">z_score_diff(OFFSET(U656,0,0,$J$5*-1,1),OFFSET(E656,0,0,$J$5*-1,1))</f>
        <v>0.73480993236827763</v>
      </c>
      <c r="W656" s="9">
        <f t="shared" ca="1" si="101"/>
        <v>0.34145282506312646</v>
      </c>
      <c r="X656" s="17">
        <f t="shared" ca="1" si="100"/>
        <v>4.7101450005098203E-2</v>
      </c>
      <c r="Y656" s="13">
        <f t="shared" si="106"/>
        <v>0</v>
      </c>
      <c r="Z656" s="13">
        <f t="shared" si="106"/>
        <v>0</v>
      </c>
      <c r="AA656">
        <f t="shared" ca="1" si="102"/>
        <v>0</v>
      </c>
      <c r="AB656">
        <f t="shared" ca="1" si="103"/>
        <v>1</v>
      </c>
      <c r="AC656" s="24">
        <f t="shared" ca="1" si="104"/>
        <v>0</v>
      </c>
      <c r="AD656" s="24">
        <f t="shared" ca="1" si="105"/>
        <v>4.7101450005098203E-2</v>
      </c>
    </row>
    <row r="657" spans="3:30" x14ac:dyDescent="0.25">
      <c r="C657" s="6">
        <v>650</v>
      </c>
      <c r="D657" s="35">
        <v>42929</v>
      </c>
      <c r="E657" s="37">
        <v>16.474</v>
      </c>
      <c r="F657" s="37">
        <v>43.163292434781546</v>
      </c>
      <c r="G657" s="37">
        <v>38.83</v>
      </c>
      <c r="H657" s="37">
        <v>2.8671269129383878</v>
      </c>
      <c r="I657" s="37">
        <v>67.073393236013203</v>
      </c>
      <c r="J657" s="10">
        <v>0</v>
      </c>
      <c r="K657" s="38">
        <v>0</v>
      </c>
      <c r="L657" s="38">
        <v>0</v>
      </c>
      <c r="M657" s="38">
        <v>0</v>
      </c>
      <c r="N657" s="38">
        <v>0</v>
      </c>
      <c r="O657" s="38">
        <v>0</v>
      </c>
      <c r="P657" s="38">
        <v>1</v>
      </c>
      <c r="Q657" s="38">
        <v>0</v>
      </c>
      <c r="R657" s="38">
        <v>0</v>
      </c>
      <c r="S657" s="38">
        <v>0</v>
      </c>
      <c r="T657" s="38">
        <v>0</v>
      </c>
      <c r="U657" s="29" cm="1">
        <f t="array" aca="1" ref="U657" ca="1">+fair_value_gap(OFFSET(T656,0,0,-1*$J$5,-1*$AA$1),OFFSET(E656,0,0,-1*$J$5,1),F657:T657,0)</f>
        <v>17.016231101072773</v>
      </c>
      <c r="V657" s="9" cm="1">
        <f t="array" aca="1" ref="V657" ca="1">z_score_diff(OFFSET(U657,0,0,$J$5*-1,1),OFFSET(E657,0,0,$J$5*-1,1))</f>
        <v>0.26578633482960973</v>
      </c>
      <c r="W657" s="9">
        <f t="shared" ca="1" si="101"/>
        <v>0.34505077316109906</v>
      </c>
      <c r="X657" s="17">
        <f t="shared" ca="1" si="100"/>
        <v>4.1729680057422842E-2</v>
      </c>
      <c r="Y657" s="13">
        <f t="shared" si="106"/>
        <v>0</v>
      </c>
      <c r="Z657" s="13">
        <f t="shared" si="106"/>
        <v>0</v>
      </c>
      <c r="AA657">
        <f t="shared" ca="1" si="102"/>
        <v>0</v>
      </c>
      <c r="AB657">
        <f t="shared" ca="1" si="103"/>
        <v>1</v>
      </c>
      <c r="AC657" s="24">
        <f t="shared" ca="1" si="104"/>
        <v>0</v>
      </c>
      <c r="AD657" s="24">
        <f t="shared" ca="1" si="105"/>
        <v>4.1729680057422842E-2</v>
      </c>
    </row>
    <row r="658" spans="3:30" x14ac:dyDescent="0.25">
      <c r="C658" s="6">
        <v>651</v>
      </c>
      <c r="D658" s="35">
        <v>42930</v>
      </c>
      <c r="E658" s="37">
        <v>16.646000000000001</v>
      </c>
      <c r="F658" s="37">
        <v>43.353249982731228</v>
      </c>
      <c r="G658" s="37">
        <v>38.85</v>
      </c>
      <c r="H658" s="37">
        <v>2.8743869586240245</v>
      </c>
      <c r="I658" s="37">
        <v>67.477723285211027</v>
      </c>
      <c r="J658" s="10">
        <v>0</v>
      </c>
      <c r="K658" s="38">
        <v>0</v>
      </c>
      <c r="L658" s="38">
        <v>0</v>
      </c>
      <c r="M658" s="38">
        <v>0</v>
      </c>
      <c r="N658" s="38">
        <v>0</v>
      </c>
      <c r="O658" s="38">
        <v>0</v>
      </c>
      <c r="P658" s="38">
        <v>1</v>
      </c>
      <c r="Q658" s="38">
        <v>0</v>
      </c>
      <c r="R658" s="38">
        <v>0</v>
      </c>
      <c r="S658" s="38">
        <v>0</v>
      </c>
      <c r="T658" s="38">
        <v>0</v>
      </c>
      <c r="U658" s="29" cm="1">
        <f t="array" aca="1" ref="U658" ca="1">+fair_value_gap(OFFSET(T657,0,0,-1*$J$5,-1*$AA$1),OFFSET(E657,0,0,-1*$J$5,1),F658:T658,0)</f>
        <v>16.931665234470227</v>
      </c>
      <c r="V658" s="9" cm="1">
        <f t="array" aca="1" ref="V658" ca="1">z_score_diff(OFFSET(U658,0,0,$J$5*-1,1),OFFSET(E658,0,0,$J$5*-1,1))</f>
        <v>-7.6227773178754593E-2</v>
      </c>
      <c r="W658" s="9">
        <f t="shared" ca="1" si="101"/>
        <v>0.33148581921736386</v>
      </c>
      <c r="X658" s="17">
        <f t="shared" ca="1" si="100"/>
        <v>3.818967321433514E-2</v>
      </c>
      <c r="Y658" s="13">
        <f t="shared" si="106"/>
        <v>0</v>
      </c>
      <c r="Z658" s="13">
        <f t="shared" si="106"/>
        <v>0</v>
      </c>
      <c r="AA658">
        <f t="shared" ca="1" si="102"/>
        <v>0</v>
      </c>
      <c r="AB658">
        <f t="shared" ca="1" si="103"/>
        <v>1</v>
      </c>
      <c r="AC658" s="24">
        <f t="shared" ca="1" si="104"/>
        <v>0</v>
      </c>
      <c r="AD658" s="24">
        <f t="shared" ca="1" si="105"/>
        <v>3.818967321433514E-2</v>
      </c>
    </row>
    <row r="659" spans="3:30" x14ac:dyDescent="0.25">
      <c r="C659" s="6">
        <v>652</v>
      </c>
      <c r="D659" s="35">
        <v>42933</v>
      </c>
      <c r="E659" s="37">
        <v>16.859000000000002</v>
      </c>
      <c r="F659" s="37">
        <v>42.958439004192329</v>
      </c>
      <c r="G659" s="37">
        <v>38.93</v>
      </c>
      <c r="H659" s="37">
        <v>2.8932249883546404</v>
      </c>
      <c r="I659" s="37">
        <v>67.499956869037149</v>
      </c>
      <c r="J659" s="10">
        <v>0</v>
      </c>
      <c r="K659" s="38">
        <v>0</v>
      </c>
      <c r="L659" s="38">
        <v>0</v>
      </c>
      <c r="M659" s="38">
        <v>0</v>
      </c>
      <c r="N659" s="38">
        <v>0</v>
      </c>
      <c r="O659" s="38">
        <v>0</v>
      </c>
      <c r="P659" s="38">
        <v>1</v>
      </c>
      <c r="Q659" s="38">
        <v>0</v>
      </c>
      <c r="R659" s="38">
        <v>0</v>
      </c>
      <c r="S659" s="38">
        <v>0</v>
      </c>
      <c r="T659" s="38">
        <v>0</v>
      </c>
      <c r="U659" s="29" cm="1">
        <f t="array" aca="1" ref="U659" ca="1">+fair_value_gap(OFFSET(T658,0,0,-1*$J$5,-1*$AA$1),OFFSET(E658,0,0,-1*$J$5,1),F659:T659,0)</f>
        <v>16.855542591261681</v>
      </c>
      <c r="V659" s="9" cm="1">
        <f t="array" aca="1" ref="V659" ca="1">z_score_diff(OFFSET(U659,0,0,$J$5*-1,1),OFFSET(E659,0,0,$J$5*-1,1))</f>
        <v>-0.46302042279921757</v>
      </c>
      <c r="W659" s="9">
        <f t="shared" ca="1" si="101"/>
        <v>0.30947559648725104</v>
      </c>
      <c r="X659" s="17">
        <f t="shared" ca="1" si="100"/>
        <v>1.7987788075991051E-2</v>
      </c>
      <c r="Y659" s="13">
        <f t="shared" si="106"/>
        <v>0</v>
      </c>
      <c r="Z659" s="13">
        <f t="shared" si="106"/>
        <v>0</v>
      </c>
      <c r="AA659">
        <f t="shared" ca="1" si="102"/>
        <v>0</v>
      </c>
      <c r="AB659">
        <f t="shared" ca="1" si="103"/>
        <v>1</v>
      </c>
      <c r="AC659" s="24">
        <f t="shared" ca="1" si="104"/>
        <v>0</v>
      </c>
      <c r="AD659" s="24">
        <f t="shared" ca="1" si="105"/>
        <v>1.7987788075991051E-2</v>
      </c>
    </row>
    <row r="660" spans="3:30" x14ac:dyDescent="0.25">
      <c r="C660" s="6">
        <v>653</v>
      </c>
      <c r="D660" s="35">
        <v>42934</v>
      </c>
      <c r="E660" s="37">
        <v>16.702999999999999</v>
      </c>
      <c r="F660" s="37">
        <v>42.938530734632685</v>
      </c>
      <c r="G660" s="37">
        <v>38.979999999999997</v>
      </c>
      <c r="H660" s="37">
        <v>2.9153994431355752</v>
      </c>
      <c r="I660" s="37">
        <v>69.051188691368608</v>
      </c>
      <c r="J660" s="10">
        <v>0</v>
      </c>
      <c r="K660" s="38">
        <v>0</v>
      </c>
      <c r="L660" s="38">
        <v>0</v>
      </c>
      <c r="M660" s="38">
        <v>0</v>
      </c>
      <c r="N660" s="38">
        <v>0</v>
      </c>
      <c r="O660" s="38">
        <v>0</v>
      </c>
      <c r="P660" s="38">
        <v>1</v>
      </c>
      <c r="Q660" s="38">
        <v>0</v>
      </c>
      <c r="R660" s="38">
        <v>0</v>
      </c>
      <c r="S660" s="38">
        <v>0</v>
      </c>
      <c r="T660" s="38">
        <v>0</v>
      </c>
      <c r="U660" s="29" cm="1">
        <f t="array" aca="1" ref="U660" ca="1">+fair_value_gap(OFFSET(T659,0,0,-1*$J$5,-1*$AA$1),OFFSET(E659,0,0,-1*$J$5,1),F660:T660,0)</f>
        <v>16.846673115247444</v>
      </c>
      <c r="V660" s="9" cm="1">
        <f t="array" aca="1" ref="V660" ca="1">z_score_diff(OFFSET(U660,0,0,$J$5*-1,1),OFFSET(E660,0,0,$J$5*-1,1))</f>
        <v>-0.26190247269787276</v>
      </c>
      <c r="W660" s="9">
        <f t="shared" ca="1" si="101"/>
        <v>0.30047841836411332</v>
      </c>
      <c r="X660" s="17">
        <f t="shared" ca="1" si="100"/>
        <v>1.0659621553717715E-2</v>
      </c>
      <c r="Y660" s="13">
        <f t="shared" si="106"/>
        <v>0</v>
      </c>
      <c r="Z660" s="13">
        <f t="shared" si="106"/>
        <v>0</v>
      </c>
      <c r="AA660">
        <f t="shared" ca="1" si="102"/>
        <v>0</v>
      </c>
      <c r="AB660">
        <f t="shared" ca="1" si="103"/>
        <v>1</v>
      </c>
      <c r="AC660" s="24">
        <f t="shared" ca="1" si="104"/>
        <v>0</v>
      </c>
      <c r="AD660" s="24">
        <f t="shared" ca="1" si="105"/>
        <v>1.0659621553717715E-2</v>
      </c>
    </row>
    <row r="661" spans="3:30" x14ac:dyDescent="0.25">
      <c r="C661" s="6">
        <v>654</v>
      </c>
      <c r="D661" s="35">
        <v>42935</v>
      </c>
      <c r="E661" s="37">
        <v>16.707999999999998</v>
      </c>
      <c r="F661" s="37">
        <v>43.788491184266746</v>
      </c>
      <c r="G661" s="37">
        <v>38.979999999999997</v>
      </c>
      <c r="H661" s="37">
        <v>2.9163668191052974</v>
      </c>
      <c r="I661" s="37">
        <v>69.040169685776945</v>
      </c>
      <c r="J661" s="10">
        <v>0</v>
      </c>
      <c r="K661" s="38">
        <v>0</v>
      </c>
      <c r="L661" s="38">
        <v>0</v>
      </c>
      <c r="M661" s="38">
        <v>0</v>
      </c>
      <c r="N661" s="38">
        <v>0</v>
      </c>
      <c r="O661" s="38">
        <v>0</v>
      </c>
      <c r="P661" s="38">
        <v>1</v>
      </c>
      <c r="Q661" s="38">
        <v>0</v>
      </c>
      <c r="R661" s="38">
        <v>0</v>
      </c>
      <c r="S661" s="38">
        <v>0</v>
      </c>
      <c r="T661" s="38">
        <v>0</v>
      </c>
      <c r="U661" s="29" cm="1">
        <f t="array" aca="1" ref="U661" ca="1">+fair_value_gap(OFFSET(T660,0,0,-1*$J$5,-1*$AA$1),OFFSET(E660,0,0,-1*$J$5,1),F661:T661,0)</f>
        <v>16.78933605006193</v>
      </c>
      <c r="V661" s="9" cm="1">
        <f t="array" aca="1" ref="V661" ca="1">z_score_diff(OFFSET(U661,0,0,$J$5*-1,1),OFFSET(E661,0,0,$J$5*-1,1))</f>
        <v>-0.33998527827432778</v>
      </c>
      <c r="W661" s="9">
        <f t="shared" ca="1" si="101"/>
        <v>0.29391959704020898</v>
      </c>
      <c r="X661" s="17">
        <f t="shared" ca="1" si="100"/>
        <v>2.7276028274455376E-2</v>
      </c>
      <c r="Y661" s="13">
        <f t="shared" si="106"/>
        <v>0</v>
      </c>
      <c r="Z661" s="13">
        <f t="shared" si="106"/>
        <v>0</v>
      </c>
      <c r="AA661">
        <f t="shared" ca="1" si="102"/>
        <v>0</v>
      </c>
      <c r="AB661">
        <f t="shared" ca="1" si="103"/>
        <v>1</v>
      </c>
      <c r="AC661" s="24">
        <f t="shared" ca="1" si="104"/>
        <v>0</v>
      </c>
      <c r="AD661" s="24">
        <f t="shared" ca="1" si="105"/>
        <v>2.7276028274455376E-2</v>
      </c>
    </row>
    <row r="662" spans="3:30" x14ac:dyDescent="0.25">
      <c r="C662" s="6">
        <v>655</v>
      </c>
      <c r="D662" s="35">
        <v>42936</v>
      </c>
      <c r="E662" s="37">
        <v>16.745000000000001</v>
      </c>
      <c r="F662" s="37">
        <v>43.011741388073695</v>
      </c>
      <c r="G662" s="37">
        <v>39.03</v>
      </c>
      <c r="H662" s="37">
        <v>2.8700035672841731</v>
      </c>
      <c r="I662" s="37">
        <v>69.132094234196032</v>
      </c>
      <c r="J662" s="10">
        <v>0</v>
      </c>
      <c r="K662" s="38">
        <v>0</v>
      </c>
      <c r="L662" s="38">
        <v>0</v>
      </c>
      <c r="M662" s="38">
        <v>0</v>
      </c>
      <c r="N662" s="38">
        <v>0</v>
      </c>
      <c r="O662" s="38">
        <v>0</v>
      </c>
      <c r="P662" s="38">
        <v>1</v>
      </c>
      <c r="Q662" s="38">
        <v>0</v>
      </c>
      <c r="R662" s="38">
        <v>0</v>
      </c>
      <c r="S662" s="38">
        <v>0</v>
      </c>
      <c r="T662" s="38">
        <v>0</v>
      </c>
      <c r="U662" s="29" cm="1">
        <f t="array" aca="1" ref="U662" ca="1">+fair_value_gap(OFFSET(T661,0,0,-1*$J$5,-1*$AA$1),OFFSET(E661,0,0,-1*$J$5,1),F662:T662,0)</f>
        <v>16.650576108852633</v>
      </c>
      <c r="V662" s="9" cm="1">
        <f t="array" aca="1" ref="V662" ca="1">z_score_diff(OFFSET(U662,0,0,$J$5*-1,1),OFFSET(E662,0,0,$J$5*-1,1))</f>
        <v>-0.55453028150385375</v>
      </c>
      <c r="W662" s="9">
        <f t="shared" ca="1" si="101"/>
        <v>0.27696611462938991</v>
      </c>
      <c r="X662" s="17">
        <f t="shared" ca="1" si="100"/>
        <v>2.9538509063095495E-2</v>
      </c>
      <c r="Y662" s="13">
        <f t="shared" si="106"/>
        <v>0</v>
      </c>
      <c r="Z662" s="13">
        <f t="shared" si="106"/>
        <v>0</v>
      </c>
      <c r="AA662">
        <f t="shared" ca="1" si="102"/>
        <v>0</v>
      </c>
      <c r="AB662">
        <f t="shared" ca="1" si="103"/>
        <v>1</v>
      </c>
      <c r="AC662" s="24">
        <f t="shared" ca="1" si="104"/>
        <v>0</v>
      </c>
      <c r="AD662" s="24">
        <f t="shared" ca="1" si="105"/>
        <v>2.9538509063095495E-2</v>
      </c>
    </row>
    <row r="663" spans="3:30" x14ac:dyDescent="0.25">
      <c r="C663" s="6">
        <v>656</v>
      </c>
      <c r="D663" s="35">
        <v>42937</v>
      </c>
      <c r="E663" s="37">
        <v>16.510999999999999</v>
      </c>
      <c r="F663" s="37">
        <v>41.932887000295516</v>
      </c>
      <c r="G663" s="37">
        <v>38.78</v>
      </c>
      <c r="H663" s="37">
        <v>2.8159063040295651</v>
      </c>
      <c r="I663" s="37">
        <v>68.699282266583779</v>
      </c>
      <c r="J663" s="10">
        <v>0</v>
      </c>
      <c r="K663" s="38">
        <v>0</v>
      </c>
      <c r="L663" s="38">
        <v>0</v>
      </c>
      <c r="M663" s="38">
        <v>0</v>
      </c>
      <c r="N663" s="38">
        <v>0</v>
      </c>
      <c r="O663" s="38">
        <v>0</v>
      </c>
      <c r="P663" s="38">
        <v>1</v>
      </c>
      <c r="Q663" s="38">
        <v>0</v>
      </c>
      <c r="R663" s="38">
        <v>0</v>
      </c>
      <c r="S663" s="38">
        <v>0</v>
      </c>
      <c r="T663" s="38">
        <v>0</v>
      </c>
      <c r="U663" s="29" cm="1">
        <f t="array" aca="1" ref="U663" ca="1">+fair_value_gap(OFFSET(T662,0,0,-1*$J$5,-1*$AA$1),OFFSET(E662,0,0,-1*$J$5,1),F663:T663,0)</f>
        <v>16.489454555966461</v>
      </c>
      <c r="V663" s="9" cm="1">
        <f t="array" aca="1" ref="V663" ca="1">z_score_diff(OFFSET(U663,0,0,$J$5*-1,1),OFFSET(E663,0,0,$J$5*-1,1))</f>
        <v>-0.43623447428623768</v>
      </c>
      <c r="W663" s="9">
        <f t="shared" ca="1" si="101"/>
        <v>0.2735154978715767</v>
      </c>
      <c r="X663" s="17">
        <f t="shared" ca="1" si="100"/>
        <v>3.8146259977992515E-2</v>
      </c>
      <c r="Y663" s="13">
        <f t="shared" si="106"/>
        <v>0</v>
      </c>
      <c r="Z663" s="13">
        <f t="shared" si="106"/>
        <v>0</v>
      </c>
      <c r="AA663">
        <f t="shared" ca="1" si="102"/>
        <v>0</v>
      </c>
      <c r="AB663">
        <f t="shared" ca="1" si="103"/>
        <v>1</v>
      </c>
      <c r="AC663" s="24">
        <f t="shared" ca="1" si="104"/>
        <v>0</v>
      </c>
      <c r="AD663" s="24">
        <f t="shared" ca="1" si="105"/>
        <v>3.8146259977992515E-2</v>
      </c>
    </row>
    <row r="664" spans="3:30" x14ac:dyDescent="0.25">
      <c r="C664" s="6">
        <v>657</v>
      </c>
      <c r="D664" s="35">
        <v>42940</v>
      </c>
      <c r="E664" s="37">
        <v>16.327999999999999</v>
      </c>
      <c r="F664" s="37">
        <v>42.357963484221003</v>
      </c>
      <c r="G664" s="37">
        <v>38.479999999999997</v>
      </c>
      <c r="H664" s="37">
        <v>2.760368389274872</v>
      </c>
      <c r="I664" s="37">
        <v>66.713154694582173</v>
      </c>
      <c r="J664" s="10">
        <v>0</v>
      </c>
      <c r="K664" s="38">
        <v>0</v>
      </c>
      <c r="L664" s="38">
        <v>0</v>
      </c>
      <c r="M664" s="38">
        <v>0</v>
      </c>
      <c r="N664" s="38">
        <v>0</v>
      </c>
      <c r="O664" s="38">
        <v>0</v>
      </c>
      <c r="P664" s="38">
        <v>1</v>
      </c>
      <c r="Q664" s="38">
        <v>0</v>
      </c>
      <c r="R664" s="38">
        <v>0</v>
      </c>
      <c r="S664" s="38">
        <v>0</v>
      </c>
      <c r="T664" s="38">
        <v>0</v>
      </c>
      <c r="U664" s="29" cm="1">
        <f t="array" aca="1" ref="U664" ca="1">+fair_value_gap(OFFSET(T663,0,0,-1*$J$5,-1*$AA$1),OFFSET(E663,0,0,-1*$J$5,1),F664:T664,0)</f>
        <v>16.321697897874952</v>
      </c>
      <c r="V664" s="9" cm="1">
        <f t="array" aca="1" ref="V664" ca="1">z_score_diff(OFFSET(U664,0,0,$J$5*-1,1),OFFSET(E664,0,0,$J$5*-1,1))</f>
        <v>-0.3969423601881068</v>
      </c>
      <c r="W664" s="9">
        <f t="shared" ca="1" si="101"/>
        <v>0.27545830717086428</v>
      </c>
      <c r="X664" s="17">
        <f t="shared" ca="1" si="100"/>
        <v>4.7657958640745422E-2</v>
      </c>
      <c r="Y664" s="13">
        <f t="shared" si="106"/>
        <v>0</v>
      </c>
      <c r="Z664" s="13">
        <f t="shared" si="106"/>
        <v>0</v>
      </c>
      <c r="AA664">
        <f t="shared" ca="1" si="102"/>
        <v>0</v>
      </c>
      <c r="AB664">
        <f t="shared" ca="1" si="103"/>
        <v>1</v>
      </c>
      <c r="AC664" s="24">
        <f t="shared" ca="1" si="104"/>
        <v>0</v>
      </c>
      <c r="AD664" s="24">
        <f t="shared" ca="1" si="105"/>
        <v>4.7657958640745422E-2</v>
      </c>
    </row>
    <row r="665" spans="3:30" x14ac:dyDescent="0.25">
      <c r="C665" s="6">
        <v>658</v>
      </c>
      <c r="D665" s="35">
        <v>42941</v>
      </c>
      <c r="E665" s="37">
        <v>16.420000000000002</v>
      </c>
      <c r="F665" s="37">
        <v>43.501542698319611</v>
      </c>
      <c r="G665" s="37">
        <v>38.380000000000003</v>
      </c>
      <c r="H665" s="37">
        <v>2.789606548180636</v>
      </c>
      <c r="I665" s="37">
        <v>67.657733465928885</v>
      </c>
      <c r="J665" s="10">
        <v>0</v>
      </c>
      <c r="K665" s="38">
        <v>0</v>
      </c>
      <c r="L665" s="38">
        <v>0</v>
      </c>
      <c r="M665" s="38">
        <v>0</v>
      </c>
      <c r="N665" s="38">
        <v>0</v>
      </c>
      <c r="O665" s="38">
        <v>0</v>
      </c>
      <c r="P665" s="38">
        <v>1</v>
      </c>
      <c r="Q665" s="38">
        <v>0</v>
      </c>
      <c r="R665" s="38">
        <v>0</v>
      </c>
      <c r="S665" s="38">
        <v>0</v>
      </c>
      <c r="T665" s="38">
        <v>0</v>
      </c>
      <c r="U665" s="29" cm="1">
        <f t="array" aca="1" ref="U665" ca="1">+fair_value_gap(OFFSET(T664,0,0,-1*$J$5,-1*$AA$1),OFFSET(E664,0,0,-1*$J$5,1),F665:T665,0)</f>
        <v>16.404362208862615</v>
      </c>
      <c r="V665" s="9" cm="1">
        <f t="array" aca="1" ref="V665" ca="1">z_score_diff(OFFSET(U665,0,0,$J$5*-1,1),OFFSET(E665,0,0,$J$5*-1,1))</f>
        <v>-0.4117048858981695</v>
      </c>
      <c r="W665" s="9">
        <f t="shared" ca="1" si="101"/>
        <v>0.27297124350649132</v>
      </c>
      <c r="X665" s="17">
        <f t="shared" ca="1" si="100"/>
        <v>3.8353664462220757E-2</v>
      </c>
      <c r="Y665" s="13">
        <f t="shared" ref="Y665:Z680" si="107">+Y664</f>
        <v>0</v>
      </c>
      <c r="Z665" s="13">
        <f t="shared" si="107"/>
        <v>0</v>
      </c>
      <c r="AA665">
        <f t="shared" ca="1" si="102"/>
        <v>0</v>
      </c>
      <c r="AB665">
        <f t="shared" ca="1" si="103"/>
        <v>1</v>
      </c>
      <c r="AC665" s="24">
        <f t="shared" ca="1" si="104"/>
        <v>0</v>
      </c>
      <c r="AD665" s="24">
        <f t="shared" ca="1" si="105"/>
        <v>3.8353664462220757E-2</v>
      </c>
    </row>
    <row r="666" spans="3:30" x14ac:dyDescent="0.25">
      <c r="C666" s="6">
        <v>659</v>
      </c>
      <c r="D666" s="35">
        <v>42942</v>
      </c>
      <c r="E666" s="37">
        <v>16.649000000000001</v>
      </c>
      <c r="F666" s="37">
        <v>43.721730003552075</v>
      </c>
      <c r="G666" s="37">
        <v>38.619999999999997</v>
      </c>
      <c r="H666" s="37">
        <v>2.7631930868705723</v>
      </c>
      <c r="I666" s="37">
        <v>65.768214082919428</v>
      </c>
      <c r="J666" s="10">
        <v>0</v>
      </c>
      <c r="K666" s="38">
        <v>0</v>
      </c>
      <c r="L666" s="38">
        <v>0</v>
      </c>
      <c r="M666" s="38">
        <v>0</v>
      </c>
      <c r="N666" s="38">
        <v>0</v>
      </c>
      <c r="O666" s="38">
        <v>0</v>
      </c>
      <c r="P666" s="38">
        <v>1</v>
      </c>
      <c r="Q666" s="38">
        <v>0</v>
      </c>
      <c r="R666" s="38">
        <v>0</v>
      </c>
      <c r="S666" s="38">
        <v>0</v>
      </c>
      <c r="T666" s="38">
        <v>0</v>
      </c>
      <c r="U666" s="29" cm="1">
        <f t="array" aca="1" ref="U666" ca="1">+fair_value_gap(OFFSET(T665,0,0,-1*$J$5,-1*$AA$1),OFFSET(E665,0,0,-1*$J$5,1),F666:T666,0)</f>
        <v>16.393538139818794</v>
      </c>
      <c r="V666" s="9" cm="1">
        <f t="array" aca="1" ref="V666" ca="1">z_score_diff(OFFSET(U666,0,0,$J$5*-1,1),OFFSET(E666,0,0,$J$5*-1,1))</f>
        <v>-0.73208550745086365</v>
      </c>
      <c r="W666" s="9">
        <f t="shared" ca="1" si="101"/>
        <v>0.254353277940709</v>
      </c>
      <c r="X666" s="17">
        <f t="shared" ca="1" si="100"/>
        <v>3.4301895977122999E-2</v>
      </c>
      <c r="Y666" s="13">
        <f t="shared" si="107"/>
        <v>0</v>
      </c>
      <c r="Z666" s="13">
        <f t="shared" si="107"/>
        <v>0</v>
      </c>
      <c r="AA666">
        <f t="shared" ca="1" si="102"/>
        <v>0</v>
      </c>
      <c r="AB666">
        <f t="shared" ca="1" si="103"/>
        <v>1</v>
      </c>
      <c r="AC666" s="24">
        <f t="shared" ca="1" si="104"/>
        <v>0</v>
      </c>
      <c r="AD666" s="24">
        <f t="shared" ca="1" si="105"/>
        <v>3.4301895977122999E-2</v>
      </c>
    </row>
    <row r="667" spans="3:30" x14ac:dyDescent="0.25">
      <c r="C667" s="6">
        <v>660</v>
      </c>
      <c r="D667" s="35">
        <v>42943</v>
      </c>
      <c r="E667" s="37">
        <v>16.643000000000001</v>
      </c>
      <c r="F667" s="37">
        <v>44.185143550851066</v>
      </c>
      <c r="G667" s="37">
        <v>38.799999999999997</v>
      </c>
      <c r="H667" s="37">
        <v>2.814556342840091</v>
      </c>
      <c r="I667" s="37">
        <v>65.786015724214167</v>
      </c>
      <c r="J667" s="10">
        <v>0</v>
      </c>
      <c r="K667" s="38">
        <v>0</v>
      </c>
      <c r="L667" s="38">
        <v>0</v>
      </c>
      <c r="M667" s="38">
        <v>0</v>
      </c>
      <c r="N667" s="38">
        <v>0</v>
      </c>
      <c r="O667" s="38">
        <v>0</v>
      </c>
      <c r="P667" s="38">
        <v>1</v>
      </c>
      <c r="Q667" s="38">
        <v>0</v>
      </c>
      <c r="R667" s="38">
        <v>0</v>
      </c>
      <c r="S667" s="38">
        <v>0</v>
      </c>
      <c r="T667" s="38">
        <v>0</v>
      </c>
      <c r="U667" s="29" cm="1">
        <f t="array" aca="1" ref="U667" ca="1">+fair_value_gap(OFFSET(T666,0,0,-1*$J$5,-1*$AA$1),OFFSET(E666,0,0,-1*$J$5,1),F667:T667,0)</f>
        <v>16.514039373705156</v>
      </c>
      <c r="V667" s="9" cm="1">
        <f t="array" aca="1" ref="V667" ca="1">z_score_diff(OFFSET(U667,0,0,$J$5*-1,1),OFFSET(E667,0,0,$J$5*-1,1))</f>
        <v>-0.56487262453106357</v>
      </c>
      <c r="W667" s="9">
        <f t="shared" ca="1" si="101"/>
        <v>0.23450238926721306</v>
      </c>
      <c r="X667" s="17">
        <f t="shared" ca="1" si="100"/>
        <v>3.4778412809443209E-2</v>
      </c>
      <c r="Y667" s="13">
        <f t="shared" si="107"/>
        <v>0</v>
      </c>
      <c r="Z667" s="13">
        <f t="shared" si="107"/>
        <v>0</v>
      </c>
      <c r="AA667">
        <f t="shared" ca="1" si="102"/>
        <v>0</v>
      </c>
      <c r="AB667">
        <f t="shared" ca="1" si="103"/>
        <v>1</v>
      </c>
      <c r="AC667" s="24">
        <f t="shared" ca="1" si="104"/>
        <v>0</v>
      </c>
      <c r="AD667" s="24">
        <f t="shared" ca="1" si="105"/>
        <v>3.4778412809443209E-2</v>
      </c>
    </row>
    <row r="668" spans="3:30" x14ac:dyDescent="0.25">
      <c r="C668" s="6">
        <v>661</v>
      </c>
      <c r="D668" s="35">
        <v>42944</v>
      </c>
      <c r="E668" s="37">
        <v>16.587</v>
      </c>
      <c r="F668" s="37">
        <v>44.401186503522432</v>
      </c>
      <c r="G668" s="37">
        <v>38.630000000000003</v>
      </c>
      <c r="H668" s="37">
        <v>2.7707553847709576</v>
      </c>
      <c r="I668" s="37">
        <v>67.62564465567803</v>
      </c>
      <c r="J668" s="10">
        <v>0</v>
      </c>
      <c r="K668" s="38">
        <v>0</v>
      </c>
      <c r="L668" s="38">
        <v>0</v>
      </c>
      <c r="M668" s="38">
        <v>0</v>
      </c>
      <c r="N668" s="38">
        <v>0</v>
      </c>
      <c r="O668" s="38">
        <v>0</v>
      </c>
      <c r="P668" s="38">
        <v>1</v>
      </c>
      <c r="Q668" s="38">
        <v>0</v>
      </c>
      <c r="R668" s="38">
        <v>0</v>
      </c>
      <c r="S668" s="38">
        <v>0</v>
      </c>
      <c r="T668" s="38">
        <v>0</v>
      </c>
      <c r="U668" s="29" cm="1">
        <f t="array" aca="1" ref="U668" ca="1">+fair_value_gap(OFFSET(T667,0,0,-1*$J$5,-1*$AA$1),OFFSET(E667,0,0,-1*$J$5,1),F668:T668,0)</f>
        <v>16.526442016025744</v>
      </c>
      <c r="V668" s="9" cm="1">
        <f t="array" aca="1" ref="V668" ca="1">z_score_diff(OFFSET(U668,0,0,$J$5*-1,1),OFFSET(E668,0,0,$J$5*-1,1))</f>
        <v>-0.46968018346352153</v>
      </c>
      <c r="W668" s="9">
        <f t="shared" ca="1" si="101"/>
        <v>0.20919008763376504</v>
      </c>
      <c r="X668" s="17">
        <f t="shared" ca="1" si="100"/>
        <v>3.7626443829703871E-2</v>
      </c>
      <c r="Y668" s="13">
        <f t="shared" si="107"/>
        <v>0</v>
      </c>
      <c r="Z668" s="13">
        <f t="shared" si="107"/>
        <v>0</v>
      </c>
      <c r="AA668">
        <f t="shared" ca="1" si="102"/>
        <v>0</v>
      </c>
      <c r="AB668">
        <f t="shared" ca="1" si="103"/>
        <v>1</v>
      </c>
      <c r="AC668" s="24">
        <f t="shared" ca="1" si="104"/>
        <v>0</v>
      </c>
      <c r="AD668" s="24">
        <f t="shared" ca="1" si="105"/>
        <v>3.7626443829703871E-2</v>
      </c>
    </row>
    <row r="669" spans="3:30" x14ac:dyDescent="0.25">
      <c r="C669" s="6">
        <v>662</v>
      </c>
      <c r="D669" s="35">
        <v>42947</v>
      </c>
      <c r="E669" s="37">
        <v>16.613</v>
      </c>
      <c r="F669" s="37">
        <v>44.510447788651042</v>
      </c>
      <c r="G669" s="37">
        <v>38.090000000000003</v>
      </c>
      <c r="H669" s="37">
        <v>2.6457083750383603</v>
      </c>
      <c r="I669" s="37">
        <v>68.525853771932248</v>
      </c>
      <c r="J669" s="10">
        <v>0</v>
      </c>
      <c r="K669" s="38">
        <v>0</v>
      </c>
      <c r="L669" s="38">
        <v>0</v>
      </c>
      <c r="M669" s="38">
        <v>0</v>
      </c>
      <c r="N669" s="38">
        <v>0</v>
      </c>
      <c r="O669" s="38">
        <v>0</v>
      </c>
      <c r="P669" s="38">
        <v>1</v>
      </c>
      <c r="Q669" s="38">
        <v>0</v>
      </c>
      <c r="R669" s="38">
        <v>0</v>
      </c>
      <c r="S669" s="38">
        <v>0</v>
      </c>
      <c r="T669" s="38">
        <v>0</v>
      </c>
      <c r="U669" s="29" cm="1">
        <f t="array" aca="1" ref="U669" ca="1">+fair_value_gap(OFFSET(T668,0,0,-1*$J$5,-1*$AA$1),OFFSET(E668,0,0,-1*$J$5,1),F669:T669,0)</f>
        <v>16.3485080959817</v>
      </c>
      <c r="V669" s="9" cm="1">
        <f t="array" aca="1" ref="V669" ca="1">z_score_diff(OFFSET(U669,0,0,$J$5*-1,1),OFFSET(E669,0,0,$J$5*-1,1))</f>
        <v>-0.72901190265458671</v>
      </c>
      <c r="W669" s="9">
        <f t="shared" ca="1" si="101"/>
        <v>0.10259367653186295</v>
      </c>
      <c r="X669" s="17">
        <f t="shared" ca="1" si="100"/>
        <v>3.9074848249391836E-2</v>
      </c>
      <c r="Y669" s="13">
        <f t="shared" si="107"/>
        <v>0</v>
      </c>
      <c r="Z669" s="13">
        <f t="shared" si="107"/>
        <v>0</v>
      </c>
      <c r="AA669">
        <f t="shared" ca="1" si="102"/>
        <v>0</v>
      </c>
      <c r="AB669">
        <f t="shared" ca="1" si="103"/>
        <v>1</v>
      </c>
      <c r="AC669" s="24">
        <f t="shared" ca="1" si="104"/>
        <v>0</v>
      </c>
      <c r="AD669" s="24">
        <f t="shared" ca="1" si="105"/>
        <v>3.9074848249391836E-2</v>
      </c>
    </row>
    <row r="670" spans="3:30" x14ac:dyDescent="0.25">
      <c r="C670" s="6">
        <v>663</v>
      </c>
      <c r="D670" s="35">
        <v>42948</v>
      </c>
      <c r="E670" s="37">
        <v>16.408000000000001</v>
      </c>
      <c r="F670" s="37">
        <v>44.046581503791053</v>
      </c>
      <c r="G670" s="37">
        <v>37.78</v>
      </c>
      <c r="H670" s="37">
        <v>2.6599068739006175</v>
      </c>
      <c r="I670" s="37">
        <v>68.531816965525223</v>
      </c>
      <c r="J670" s="10">
        <v>0</v>
      </c>
      <c r="K670" s="38">
        <v>0</v>
      </c>
      <c r="L670" s="38">
        <v>0</v>
      </c>
      <c r="M670" s="38">
        <v>0</v>
      </c>
      <c r="N670" s="38">
        <v>0</v>
      </c>
      <c r="O670" s="38">
        <v>0</v>
      </c>
      <c r="P670" s="38">
        <v>0</v>
      </c>
      <c r="Q670" s="38">
        <v>1</v>
      </c>
      <c r="R670" s="38">
        <v>0</v>
      </c>
      <c r="S670" s="38">
        <v>0</v>
      </c>
      <c r="T670" s="38">
        <v>0</v>
      </c>
      <c r="U670" s="29" cm="1">
        <f t="array" aca="1" ref="U670" ca="1">+fair_value_gap(OFFSET(T669,0,0,-1*$J$5,-1*$AA$1),OFFSET(E669,0,0,-1*$J$5,1),F670:T670,0)</f>
        <v>17.018047829370765</v>
      </c>
      <c r="V670" s="9" cm="1">
        <f t="array" aca="1" ref="V670" ca="1">z_score_diff(OFFSET(U670,0,0,$J$5*-1,1),OFFSET(E670,0,0,$J$5*-1,1))</f>
        <v>0.40900269143234946</v>
      </c>
      <c r="W670" s="9">
        <f t="shared" ca="1" si="101"/>
        <v>4.7915292042403676E-2</v>
      </c>
      <c r="X670" s="17">
        <f t="shared" ca="1" si="100"/>
        <v>5.1896476649127943E-2</v>
      </c>
      <c r="Y670" s="13">
        <f t="shared" si="107"/>
        <v>0</v>
      </c>
      <c r="Z670" s="13">
        <f t="shared" si="107"/>
        <v>0</v>
      </c>
      <c r="AA670">
        <f t="shared" ca="1" si="102"/>
        <v>0</v>
      </c>
      <c r="AB670">
        <f t="shared" ca="1" si="103"/>
        <v>1</v>
      </c>
      <c r="AC670" s="24">
        <f t="shared" ca="1" si="104"/>
        <v>0</v>
      </c>
      <c r="AD670" s="24">
        <f t="shared" ca="1" si="105"/>
        <v>5.1896476649127943E-2</v>
      </c>
    </row>
    <row r="671" spans="3:30" x14ac:dyDescent="0.25">
      <c r="C671" s="6">
        <v>664</v>
      </c>
      <c r="D671" s="35">
        <v>42949</v>
      </c>
      <c r="E671" s="37">
        <v>16.398</v>
      </c>
      <c r="F671" s="37">
        <v>44.134938503370456</v>
      </c>
      <c r="G671" s="37">
        <v>37.69</v>
      </c>
      <c r="H671" s="37">
        <v>2.6514367028987924</v>
      </c>
      <c r="I671" s="37">
        <v>68.311030644762596</v>
      </c>
      <c r="J671" s="10">
        <v>0</v>
      </c>
      <c r="K671" s="38">
        <v>0</v>
      </c>
      <c r="L671" s="38">
        <v>0</v>
      </c>
      <c r="M671" s="38">
        <v>0</v>
      </c>
      <c r="N671" s="38">
        <v>0</v>
      </c>
      <c r="O671" s="38">
        <v>0</v>
      </c>
      <c r="P671" s="38">
        <v>0</v>
      </c>
      <c r="Q671" s="38">
        <v>1</v>
      </c>
      <c r="R671" s="38">
        <v>0</v>
      </c>
      <c r="S671" s="38">
        <v>0</v>
      </c>
      <c r="T671" s="38">
        <v>0</v>
      </c>
      <c r="U671" s="29" cm="1">
        <f t="array" aca="1" ref="U671" ca="1">+fair_value_gap(OFFSET(T670,0,0,-1*$J$5,-1*$AA$1),OFFSET(E670,0,0,-1*$J$5,1),F671:T671,0)</f>
        <v>16.896121346943175</v>
      </c>
      <c r="V671" s="9" cm="1">
        <f t="array" aca="1" ref="V671" ca="1">z_score_diff(OFFSET(U671,0,0,$J$5*-1,1),OFFSET(E671,0,0,$J$5*-1,1))</f>
        <v>0.26691249604564943</v>
      </c>
      <c r="W671" s="9">
        <f t="shared" ca="1" si="101"/>
        <v>-2.6741776529889684E-4</v>
      </c>
      <c r="X671" s="17">
        <f t="shared" ca="1" si="100"/>
        <v>5.5222022484122432E-2</v>
      </c>
      <c r="Y671" s="13">
        <f t="shared" si="107"/>
        <v>0</v>
      </c>
      <c r="Z671" s="13">
        <f t="shared" si="107"/>
        <v>0</v>
      </c>
      <c r="AA671">
        <f t="shared" ca="1" si="102"/>
        <v>1</v>
      </c>
      <c r="AB671">
        <f t="shared" ca="1" si="103"/>
        <v>0</v>
      </c>
      <c r="AC671" s="24">
        <f t="shared" ca="1" si="104"/>
        <v>5.5222022484122432E-2</v>
      </c>
      <c r="AD671" s="24">
        <f t="shared" ca="1" si="105"/>
        <v>0</v>
      </c>
    </row>
    <row r="672" spans="3:30" x14ac:dyDescent="0.25">
      <c r="C672" s="6">
        <v>665</v>
      </c>
      <c r="D672" s="35">
        <v>42950</v>
      </c>
      <c r="E672" s="37">
        <v>16.518000000000001</v>
      </c>
      <c r="F672" s="37">
        <v>43.710668739864794</v>
      </c>
      <c r="G672" s="37">
        <v>37.81</v>
      </c>
      <c r="H672" s="37">
        <v>2.6459969702834187</v>
      </c>
      <c r="I672" s="37">
        <v>68.902695380015871</v>
      </c>
      <c r="J672" s="10">
        <v>0</v>
      </c>
      <c r="K672" s="38">
        <v>0</v>
      </c>
      <c r="L672" s="38">
        <v>0</v>
      </c>
      <c r="M672" s="38">
        <v>0</v>
      </c>
      <c r="N672" s="38">
        <v>0</v>
      </c>
      <c r="O672" s="38">
        <v>0</v>
      </c>
      <c r="P672" s="38">
        <v>0</v>
      </c>
      <c r="Q672" s="38">
        <v>1</v>
      </c>
      <c r="R672" s="38">
        <v>0</v>
      </c>
      <c r="S672" s="38">
        <v>0</v>
      </c>
      <c r="T672" s="38">
        <v>0</v>
      </c>
      <c r="U672" s="29" cm="1">
        <f t="array" aca="1" ref="U672" ca="1">+fair_value_gap(OFFSET(T671,0,0,-1*$J$5,-1*$AA$1),OFFSET(E671,0,0,-1*$J$5,1),F672:T672,0)</f>
        <v>16.861760524005966</v>
      </c>
      <c r="V672" s="9" cm="1">
        <f t="array" aca="1" ref="V672" ca="1">z_score_diff(OFFSET(U672,0,0,$J$5*-1,1),OFFSET(E672,0,0,$J$5*-1,1))</f>
        <v>5.8959486593570601E-2</v>
      </c>
      <c r="W672" s="9">
        <f t="shared" ca="1" si="101"/>
        <v>-3.925851265433937E-2</v>
      </c>
      <c r="X672" s="17">
        <f t="shared" ca="1" si="100"/>
        <v>2.705530964060297E-2</v>
      </c>
      <c r="Y672" s="13">
        <f t="shared" si="107"/>
        <v>0</v>
      </c>
      <c r="Z672" s="13">
        <f t="shared" si="107"/>
        <v>0</v>
      </c>
      <c r="AA672">
        <f t="shared" ca="1" si="102"/>
        <v>1</v>
      </c>
      <c r="AB672">
        <f t="shared" ca="1" si="103"/>
        <v>0</v>
      </c>
      <c r="AC672" s="24">
        <f t="shared" ca="1" si="104"/>
        <v>2.705530964060297E-2</v>
      </c>
      <c r="AD672" s="24">
        <f t="shared" ca="1" si="105"/>
        <v>0</v>
      </c>
    </row>
    <row r="673" spans="3:30" x14ac:dyDescent="0.25">
      <c r="C673" s="6">
        <v>666</v>
      </c>
      <c r="D673" s="35">
        <v>42951</v>
      </c>
      <c r="E673" s="37">
        <v>16.702999999999999</v>
      </c>
      <c r="F673" s="37">
        <v>44.510797569232714</v>
      </c>
      <c r="G673" s="37">
        <v>37.89</v>
      </c>
      <c r="H673" s="37">
        <v>2.6486111403158317</v>
      </c>
      <c r="I673" s="37">
        <v>69.93712807788549</v>
      </c>
      <c r="J673" s="10">
        <v>0</v>
      </c>
      <c r="K673" s="38">
        <v>0</v>
      </c>
      <c r="L673" s="38">
        <v>0</v>
      </c>
      <c r="M673" s="38">
        <v>0</v>
      </c>
      <c r="N673" s="38">
        <v>0</v>
      </c>
      <c r="O673" s="38">
        <v>0</v>
      </c>
      <c r="P673" s="38">
        <v>0</v>
      </c>
      <c r="Q673" s="38">
        <v>1</v>
      </c>
      <c r="R673" s="38">
        <v>0</v>
      </c>
      <c r="S673" s="38">
        <v>0</v>
      </c>
      <c r="T673" s="38">
        <v>0</v>
      </c>
      <c r="U673" s="29" cm="1">
        <f t="array" aca="1" ref="U673" ca="1">+fair_value_gap(OFFSET(T672,0,0,-1*$J$5,-1*$AA$1),OFFSET(E672,0,0,-1*$J$5,1),F673:T673,0)</f>
        <v>16.921017567941803</v>
      </c>
      <c r="V673" s="9" cm="1">
        <f t="array" aca="1" ref="V673" ca="1">z_score_diff(OFFSET(U673,0,0,$J$5*-1,1),OFFSET(E673,0,0,$J$5*-1,1))</f>
        <v>-0.11805637240143621</v>
      </c>
      <c r="W673" s="9">
        <f t="shared" ca="1" si="101"/>
        <v>-9.0518152491054743E-2</v>
      </c>
      <c r="X673" s="17">
        <f t="shared" ca="1" si="100"/>
        <v>2.0503206975283583E-2</v>
      </c>
      <c r="Y673" s="13">
        <f t="shared" si="107"/>
        <v>0</v>
      </c>
      <c r="Z673" s="13">
        <f t="shared" si="107"/>
        <v>0</v>
      </c>
      <c r="AA673">
        <f t="shared" ca="1" si="102"/>
        <v>1</v>
      </c>
      <c r="AB673">
        <f t="shared" ca="1" si="103"/>
        <v>0</v>
      </c>
      <c r="AC673" s="24">
        <f t="shared" ca="1" si="104"/>
        <v>2.0503206975283583E-2</v>
      </c>
      <c r="AD673" s="24">
        <f t="shared" ca="1" si="105"/>
        <v>0</v>
      </c>
    </row>
    <row r="674" spans="3:30" x14ac:dyDescent="0.25">
      <c r="C674" s="6">
        <v>667</v>
      </c>
      <c r="D674" s="35">
        <v>42954</v>
      </c>
      <c r="E674" s="37">
        <v>16.853999999999999</v>
      </c>
      <c r="F674" s="37">
        <v>44.429449994628854</v>
      </c>
      <c r="G674" s="37">
        <v>37.950000000000003</v>
      </c>
      <c r="H674" s="37">
        <v>2.6561996455043508</v>
      </c>
      <c r="I674" s="37">
        <v>69.950786872918684</v>
      </c>
      <c r="J674" s="10">
        <v>0</v>
      </c>
      <c r="K674" s="38">
        <v>0</v>
      </c>
      <c r="L674" s="38">
        <v>0</v>
      </c>
      <c r="M674" s="38">
        <v>0</v>
      </c>
      <c r="N674" s="38">
        <v>0</v>
      </c>
      <c r="O674" s="38">
        <v>0</v>
      </c>
      <c r="P674" s="38">
        <v>0</v>
      </c>
      <c r="Q674" s="38">
        <v>1</v>
      </c>
      <c r="R674" s="38">
        <v>0</v>
      </c>
      <c r="S674" s="38">
        <v>0</v>
      </c>
      <c r="T674" s="38">
        <v>0</v>
      </c>
      <c r="U674" s="29" cm="1">
        <f t="array" aca="1" ref="U674" ca="1">+fair_value_gap(OFFSET(T673,0,0,-1*$J$5,-1*$AA$1),OFFSET(E673,0,0,-1*$J$5,1),F674:T674,0)</f>
        <v>16.905400693875098</v>
      </c>
      <c r="V674" s="9" cm="1">
        <f t="array" aca="1" ref="V674" ca="1">z_score_diff(OFFSET(U674,0,0,$J$5*-1,1),OFFSET(E674,0,0,$J$5*-1,1))</f>
        <v>-0.344952869293496</v>
      </c>
      <c r="W674" s="9">
        <f t="shared" ca="1" si="101"/>
        <v>-0.15805488232204343</v>
      </c>
      <c r="X674" s="17">
        <f t="shared" ca="1" si="100"/>
        <v>1.5133514199671834E-2</v>
      </c>
      <c r="Y674" s="13">
        <f t="shared" si="107"/>
        <v>0</v>
      </c>
      <c r="Z674" s="13">
        <f t="shared" si="107"/>
        <v>0</v>
      </c>
      <c r="AA674">
        <f t="shared" ca="1" si="102"/>
        <v>1</v>
      </c>
      <c r="AB674">
        <f t="shared" ca="1" si="103"/>
        <v>0</v>
      </c>
      <c r="AC674" s="24">
        <f t="shared" ca="1" si="104"/>
        <v>1.5133514199671834E-2</v>
      </c>
      <c r="AD674" s="24">
        <f t="shared" ca="1" si="105"/>
        <v>0</v>
      </c>
    </row>
    <row r="675" spans="3:30" x14ac:dyDescent="0.25">
      <c r="C675" s="6">
        <v>668</v>
      </c>
      <c r="D675" s="35">
        <v>42955</v>
      </c>
      <c r="E675" s="37">
        <v>16.731000000000002</v>
      </c>
      <c r="F675" s="37">
        <v>44.426433095796966</v>
      </c>
      <c r="G675" s="37">
        <v>37.880000000000003</v>
      </c>
      <c r="H675" s="37">
        <v>2.680077445054621</v>
      </c>
      <c r="I675" s="37">
        <v>69.255695059254904</v>
      </c>
      <c r="J675" s="10">
        <v>0</v>
      </c>
      <c r="K675" s="38">
        <v>0</v>
      </c>
      <c r="L675" s="38">
        <v>0</v>
      </c>
      <c r="M675" s="38">
        <v>0</v>
      </c>
      <c r="N675" s="38">
        <v>0</v>
      </c>
      <c r="O675" s="38">
        <v>0</v>
      </c>
      <c r="P675" s="38">
        <v>0</v>
      </c>
      <c r="Q675" s="38">
        <v>1</v>
      </c>
      <c r="R675" s="38">
        <v>0</v>
      </c>
      <c r="S675" s="38">
        <v>0</v>
      </c>
      <c r="T675" s="38">
        <v>0</v>
      </c>
      <c r="U675" s="29" cm="1">
        <f t="array" aca="1" ref="U675" ca="1">+fair_value_gap(OFFSET(T674,0,0,-1*$J$5,-1*$AA$1),OFFSET(E674,0,0,-1*$J$5,1),F675:T675,0)</f>
        <v>16.857441445420665</v>
      </c>
      <c r="V675" s="9" cm="1">
        <f t="array" aca="1" ref="V675" ca="1">z_score_diff(OFFSET(U675,0,0,$J$5*-1,1),OFFSET(E675,0,0,$J$5*-1,1))</f>
        <v>-0.2367564334007583</v>
      </c>
      <c r="W675" s="9">
        <f t="shared" ca="1" si="101"/>
        <v>-0.22002464503764049</v>
      </c>
      <c r="X675" s="17">
        <f t="shared" ca="1" si="100"/>
        <v>4.459467892213663E-2</v>
      </c>
      <c r="Y675" s="13">
        <f t="shared" si="107"/>
        <v>0</v>
      </c>
      <c r="Z675" s="13">
        <f t="shared" si="107"/>
        <v>0</v>
      </c>
      <c r="AA675">
        <f t="shared" ca="1" si="102"/>
        <v>1</v>
      </c>
      <c r="AB675">
        <f t="shared" ca="1" si="103"/>
        <v>0</v>
      </c>
      <c r="AC675" s="24">
        <f t="shared" ca="1" si="104"/>
        <v>4.459467892213663E-2</v>
      </c>
      <c r="AD675" s="24">
        <f t="shared" ca="1" si="105"/>
        <v>0</v>
      </c>
    </row>
    <row r="676" spans="3:30" x14ac:dyDescent="0.25">
      <c r="C676" s="6">
        <v>669</v>
      </c>
      <c r="D676" s="35">
        <v>42956</v>
      </c>
      <c r="E676" s="37">
        <v>17.04</v>
      </c>
      <c r="F676" s="37">
        <v>44.583766962039391</v>
      </c>
      <c r="G676" s="37">
        <v>38.08</v>
      </c>
      <c r="H676" s="37">
        <v>2.717967889583818</v>
      </c>
      <c r="I676" s="37">
        <v>70.138390707042134</v>
      </c>
      <c r="J676" s="10">
        <v>0</v>
      </c>
      <c r="K676" s="38">
        <v>0</v>
      </c>
      <c r="L676" s="38">
        <v>0</v>
      </c>
      <c r="M676" s="38">
        <v>0</v>
      </c>
      <c r="N676" s="38">
        <v>0</v>
      </c>
      <c r="O676" s="38">
        <v>0</v>
      </c>
      <c r="P676" s="38">
        <v>0</v>
      </c>
      <c r="Q676" s="38">
        <v>1</v>
      </c>
      <c r="R676" s="38">
        <v>0</v>
      </c>
      <c r="S676" s="38">
        <v>0</v>
      </c>
      <c r="T676" s="38">
        <v>0</v>
      </c>
      <c r="U676" s="29" cm="1">
        <f t="array" aca="1" ref="U676" ca="1">+fair_value_gap(OFFSET(T675,0,0,-1*$J$5,-1*$AA$1),OFFSET(E675,0,0,-1*$J$5,1),F676:T676,0)</f>
        <v>16.943930716376727</v>
      </c>
      <c r="V676" s="9" cm="1">
        <f t="array" aca="1" ref="V676" ca="1">z_score_diff(OFFSET(U676,0,0,$J$5*-1,1),OFFSET(E676,0,0,$J$5*-1,1))</f>
        <v>-0.54708918506447712</v>
      </c>
      <c r="W676" s="9">
        <f t="shared" ca="1" si="101"/>
        <v>-0.28411960090927824</v>
      </c>
      <c r="X676" s="17">
        <f t="shared" ca="1" si="100"/>
        <v>3.3244058579154433E-2</v>
      </c>
      <c r="Y676" s="13">
        <f t="shared" si="107"/>
        <v>0</v>
      </c>
      <c r="Z676" s="13">
        <f t="shared" si="107"/>
        <v>0</v>
      </c>
      <c r="AA676">
        <f t="shared" ca="1" si="102"/>
        <v>1</v>
      </c>
      <c r="AB676">
        <f t="shared" ca="1" si="103"/>
        <v>0</v>
      </c>
      <c r="AC676" s="24">
        <f t="shared" ca="1" si="104"/>
        <v>3.3244058579154433E-2</v>
      </c>
      <c r="AD676" s="24">
        <f t="shared" ca="1" si="105"/>
        <v>0</v>
      </c>
    </row>
    <row r="677" spans="3:30" x14ac:dyDescent="0.25">
      <c r="C677" s="6">
        <v>670</v>
      </c>
      <c r="D677" s="35">
        <v>42957</v>
      </c>
      <c r="E677" s="37">
        <v>17.175999999999998</v>
      </c>
      <c r="F677" s="37">
        <v>43.668195712225497</v>
      </c>
      <c r="G677" s="37">
        <v>38.6</v>
      </c>
      <c r="H677" s="37">
        <v>2.7699410105155167</v>
      </c>
      <c r="I677" s="37">
        <v>70.888289977673963</v>
      </c>
      <c r="J677" s="10">
        <v>0</v>
      </c>
      <c r="K677" s="38">
        <v>0</v>
      </c>
      <c r="L677" s="38">
        <v>0</v>
      </c>
      <c r="M677" s="38">
        <v>0</v>
      </c>
      <c r="N677" s="38">
        <v>0</v>
      </c>
      <c r="O677" s="38">
        <v>0</v>
      </c>
      <c r="P677" s="38">
        <v>0</v>
      </c>
      <c r="Q677" s="38">
        <v>1</v>
      </c>
      <c r="R677" s="38">
        <v>0</v>
      </c>
      <c r="S677" s="38">
        <v>0</v>
      </c>
      <c r="T677" s="38">
        <v>0</v>
      </c>
      <c r="U677" s="29" cm="1">
        <f t="array" aca="1" ref="U677" ca="1">+fair_value_gap(OFFSET(T676,0,0,-1*$J$5,-1*$AA$1),OFFSET(E676,0,0,-1*$J$5,1),F677:T677,0)</f>
        <v>17.083348488244745</v>
      </c>
      <c r="V677" s="9" cm="1">
        <f t="array" aca="1" ref="V677" ca="1">z_score_diff(OFFSET(U677,0,0,$J$5*-1,1),OFFSET(E677,0,0,$J$5*-1,1))</f>
        <v>-0.55314221311398359</v>
      </c>
      <c r="W677" s="9">
        <f t="shared" ca="1" si="101"/>
        <v>-0.32506602830645781</v>
      </c>
      <c r="X677" s="17">
        <f t="shared" ca="1" si="100"/>
        <v>2.5691806505752576E-2</v>
      </c>
      <c r="Y677" s="13">
        <f t="shared" si="107"/>
        <v>0</v>
      </c>
      <c r="Z677" s="13">
        <f t="shared" si="107"/>
        <v>0</v>
      </c>
      <c r="AA677">
        <f t="shared" ca="1" si="102"/>
        <v>1</v>
      </c>
      <c r="AB677">
        <f t="shared" ca="1" si="103"/>
        <v>0</v>
      </c>
      <c r="AC677" s="24">
        <f t="shared" ca="1" si="104"/>
        <v>2.5691806505752576E-2</v>
      </c>
      <c r="AD677" s="24">
        <f t="shared" ca="1" si="105"/>
        <v>0</v>
      </c>
    </row>
    <row r="678" spans="3:30" x14ac:dyDescent="0.25">
      <c r="C678" s="6">
        <v>671</v>
      </c>
      <c r="D678" s="35">
        <v>42958</v>
      </c>
      <c r="E678" s="37">
        <v>17.294</v>
      </c>
      <c r="F678" s="37">
        <v>43.631428367968432</v>
      </c>
      <c r="G678" s="37">
        <v>38.97</v>
      </c>
      <c r="H678" s="37">
        <v>2.7621509087786467</v>
      </c>
      <c r="I678" s="37">
        <v>70.875937786676829</v>
      </c>
      <c r="J678" s="10">
        <v>0</v>
      </c>
      <c r="K678" s="38">
        <v>0</v>
      </c>
      <c r="L678" s="38">
        <v>0</v>
      </c>
      <c r="M678" s="38">
        <v>0</v>
      </c>
      <c r="N678" s="38">
        <v>0</v>
      </c>
      <c r="O678" s="38">
        <v>0</v>
      </c>
      <c r="P678" s="38">
        <v>0</v>
      </c>
      <c r="Q678" s="38">
        <v>1</v>
      </c>
      <c r="R678" s="38">
        <v>0</v>
      </c>
      <c r="S678" s="38">
        <v>0</v>
      </c>
      <c r="T678" s="38">
        <v>0</v>
      </c>
      <c r="U678" s="29" cm="1">
        <f t="array" aca="1" ref="U678" ca="1">+fair_value_gap(OFFSET(T677,0,0,-1*$J$5,-1*$AA$1),OFFSET(E677,0,0,-1*$J$5,1),F678:T678,0)</f>
        <v>17.165988834558732</v>
      </c>
      <c r="V678" s="9" cm="1">
        <f t="array" aca="1" ref="V678" ca="1">z_score_diff(OFFSET(U678,0,0,$J$5*-1,1),OFFSET(E678,0,0,$J$5*-1,1))</f>
        <v>-0.60562526611343981</v>
      </c>
      <c r="W678" s="9">
        <f t="shared" ca="1" si="101"/>
        <v>-0.35153590295319209</v>
      </c>
      <c r="X678" s="17">
        <f t="shared" ca="1" si="100"/>
        <v>2.0942574637575356E-2</v>
      </c>
      <c r="Y678" s="13">
        <f t="shared" si="107"/>
        <v>0</v>
      </c>
      <c r="Z678" s="13">
        <f t="shared" si="107"/>
        <v>0</v>
      </c>
      <c r="AA678">
        <f t="shared" ca="1" si="102"/>
        <v>1</v>
      </c>
      <c r="AB678">
        <f t="shared" ca="1" si="103"/>
        <v>0</v>
      </c>
      <c r="AC678" s="24">
        <f t="shared" ca="1" si="104"/>
        <v>2.0942574637575356E-2</v>
      </c>
      <c r="AD678" s="24">
        <f t="shared" ca="1" si="105"/>
        <v>0</v>
      </c>
    </row>
    <row r="679" spans="3:30" x14ac:dyDescent="0.25">
      <c r="C679" s="6">
        <v>672</v>
      </c>
      <c r="D679" s="35">
        <v>42961</v>
      </c>
      <c r="E679" s="37">
        <v>17.164999999999999</v>
      </c>
      <c r="F679" s="37">
        <v>42.803728261892914</v>
      </c>
      <c r="G679" s="37">
        <v>38.85</v>
      </c>
      <c r="H679" s="37">
        <v>2.7647577033261155</v>
      </c>
      <c r="I679" s="37">
        <v>71.325536980000265</v>
      </c>
      <c r="J679" s="10">
        <v>0</v>
      </c>
      <c r="K679" s="38">
        <v>0</v>
      </c>
      <c r="L679" s="38">
        <v>0</v>
      </c>
      <c r="M679" s="38">
        <v>0</v>
      </c>
      <c r="N679" s="38">
        <v>0</v>
      </c>
      <c r="O679" s="38">
        <v>0</v>
      </c>
      <c r="P679" s="38">
        <v>0</v>
      </c>
      <c r="Q679" s="38">
        <v>1</v>
      </c>
      <c r="R679" s="38">
        <v>0</v>
      </c>
      <c r="S679" s="38">
        <v>0</v>
      </c>
      <c r="T679" s="38">
        <v>0</v>
      </c>
      <c r="U679" s="29" cm="1">
        <f t="array" aca="1" ref="U679" ca="1">+fair_value_gap(OFFSET(T678,0,0,-1*$J$5,-1*$AA$1),OFFSET(E678,0,0,-1*$J$5,1),F679:T679,0)</f>
        <v>17.121329718478904</v>
      </c>
      <c r="V679" s="9" cm="1">
        <f t="array" aca="1" ref="V679" ca="1">z_score_diff(OFFSET(U679,0,0,$J$5*-1,1),OFFSET(E679,0,0,$J$5*-1,1))</f>
        <v>-0.48459173520557508</v>
      </c>
      <c r="W679" s="9">
        <f t="shared" ca="1" si="101"/>
        <v>-0.35261446857351003</v>
      </c>
      <c r="X679" s="17">
        <f t="shared" ca="1" si="100"/>
        <v>4.6554440273404586E-2</v>
      </c>
      <c r="Y679" s="13">
        <f t="shared" si="107"/>
        <v>0</v>
      </c>
      <c r="Z679" s="13">
        <f t="shared" si="107"/>
        <v>0</v>
      </c>
      <c r="AA679">
        <f t="shared" ca="1" si="102"/>
        <v>1</v>
      </c>
      <c r="AB679">
        <f t="shared" ca="1" si="103"/>
        <v>0</v>
      </c>
      <c r="AC679" s="24">
        <f t="shared" ca="1" si="104"/>
        <v>4.6554440273404586E-2</v>
      </c>
      <c r="AD679" s="24">
        <f t="shared" ca="1" si="105"/>
        <v>0</v>
      </c>
    </row>
    <row r="680" spans="3:30" x14ac:dyDescent="0.25">
      <c r="C680" s="6">
        <v>673</v>
      </c>
      <c r="D680" s="35">
        <v>42962</v>
      </c>
      <c r="E680" s="37">
        <v>16.882000000000001</v>
      </c>
      <c r="F680" s="37">
        <v>42.846636033008778</v>
      </c>
      <c r="G680" s="37">
        <v>38.99</v>
      </c>
      <c r="H680" s="37">
        <v>2.7580413351956437</v>
      </c>
      <c r="I680" s="37">
        <v>70.72225258598003</v>
      </c>
      <c r="J680" s="10">
        <v>0</v>
      </c>
      <c r="K680" s="38">
        <v>0</v>
      </c>
      <c r="L680" s="38">
        <v>0</v>
      </c>
      <c r="M680" s="38">
        <v>0</v>
      </c>
      <c r="N680" s="38">
        <v>0</v>
      </c>
      <c r="O680" s="38">
        <v>0</v>
      </c>
      <c r="P680" s="38">
        <v>0</v>
      </c>
      <c r="Q680" s="38">
        <v>1</v>
      </c>
      <c r="R680" s="38">
        <v>0</v>
      </c>
      <c r="S680" s="38">
        <v>0</v>
      </c>
      <c r="T680" s="38">
        <v>0</v>
      </c>
      <c r="U680" s="29" cm="1">
        <f t="array" aca="1" ref="U680" ca="1">+fair_value_gap(OFFSET(T679,0,0,-1*$J$5,-1*$AA$1),OFFSET(E679,0,0,-1*$J$5,1),F680:T680,0)</f>
        <v>17.138461139065093</v>
      </c>
      <c r="V680" s="9" cm="1">
        <f t="array" aca="1" ref="V680" ca="1">z_score_diff(OFFSET(U680,0,0,$J$5*-1,1),OFFSET(E680,0,0,$J$5*-1,1))</f>
        <v>-7.1329157955289879E-2</v>
      </c>
      <c r="W680" s="9">
        <f t="shared" ca="1" si="101"/>
        <v>-0.3430858028363809</v>
      </c>
      <c r="X680" s="17">
        <f t="shared" ca="1" si="100"/>
        <v>5.8441009199138048E-2</v>
      </c>
      <c r="Y680" s="13">
        <f t="shared" si="107"/>
        <v>0</v>
      </c>
      <c r="Z680" s="13">
        <f t="shared" si="107"/>
        <v>0</v>
      </c>
      <c r="AA680">
        <f t="shared" ca="1" si="102"/>
        <v>1</v>
      </c>
      <c r="AB680">
        <f t="shared" ca="1" si="103"/>
        <v>0</v>
      </c>
      <c r="AC680" s="24">
        <f t="shared" ca="1" si="104"/>
        <v>5.8441009199138048E-2</v>
      </c>
      <c r="AD680" s="24">
        <f t="shared" ca="1" si="105"/>
        <v>0</v>
      </c>
    </row>
    <row r="681" spans="3:30" x14ac:dyDescent="0.25">
      <c r="C681" s="6">
        <v>674</v>
      </c>
      <c r="D681" s="35">
        <v>42963</v>
      </c>
      <c r="E681" s="37">
        <v>17.170000000000002</v>
      </c>
      <c r="F681" s="37">
        <v>42.285841182893201</v>
      </c>
      <c r="G681" s="37">
        <v>39.200000000000003</v>
      </c>
      <c r="H681" s="37">
        <v>2.7245641454424323</v>
      </c>
      <c r="I681" s="37">
        <v>71.920418164658216</v>
      </c>
      <c r="J681" s="10">
        <v>0</v>
      </c>
      <c r="K681" s="38">
        <v>0</v>
      </c>
      <c r="L681" s="38">
        <v>0</v>
      </c>
      <c r="M681" s="38">
        <v>0</v>
      </c>
      <c r="N681" s="38">
        <v>0</v>
      </c>
      <c r="O681" s="38">
        <v>0</v>
      </c>
      <c r="P681" s="38">
        <v>0</v>
      </c>
      <c r="Q681" s="38">
        <v>1</v>
      </c>
      <c r="R681" s="38">
        <v>0</v>
      </c>
      <c r="S681" s="38">
        <v>0</v>
      </c>
      <c r="T681" s="38">
        <v>0</v>
      </c>
      <c r="U681" s="29" cm="1">
        <f t="array" aca="1" ref="U681" ca="1">+fair_value_gap(OFFSET(T680,0,0,-1*$J$5,-1*$AA$1),OFFSET(E680,0,0,-1*$J$5,1),F681:T681,0)</f>
        <v>17.155855881194395</v>
      </c>
      <c r="V681" s="9" cm="1">
        <f t="array" aca="1" ref="V681" ca="1">z_score_diff(OFFSET(U681,0,0,$J$5*-1,1),OFFSET(E681,0,0,$J$5*-1,1))</f>
        <v>-0.44631788391566574</v>
      </c>
      <c r="W681" s="9">
        <f t="shared" ca="1" si="101"/>
        <v>-0.34840243311844776</v>
      </c>
      <c r="X681" s="17">
        <f t="shared" ca="1" si="100"/>
        <v>4.5929488154894657E-2</v>
      </c>
      <c r="Y681" s="13">
        <f t="shared" ref="Y681:Z696" si="108">+Y680</f>
        <v>0</v>
      </c>
      <c r="Z681" s="13">
        <f t="shared" si="108"/>
        <v>0</v>
      </c>
      <c r="AA681">
        <f t="shared" ca="1" si="102"/>
        <v>1</v>
      </c>
      <c r="AB681">
        <f t="shared" ca="1" si="103"/>
        <v>0</v>
      </c>
      <c r="AC681" s="24">
        <f t="shared" ca="1" si="104"/>
        <v>4.5929488154894657E-2</v>
      </c>
      <c r="AD681" s="24">
        <f t="shared" ca="1" si="105"/>
        <v>0</v>
      </c>
    </row>
    <row r="682" spans="3:30" x14ac:dyDescent="0.25">
      <c r="C682" s="6">
        <v>675</v>
      </c>
      <c r="D682" s="35">
        <v>42964</v>
      </c>
      <c r="E682" s="37">
        <v>17.247</v>
      </c>
      <c r="F682" s="37">
        <v>42.861752685828598</v>
      </c>
      <c r="G682" s="37">
        <v>39.75</v>
      </c>
      <c r="H682" s="37">
        <v>2.7681900581683152</v>
      </c>
      <c r="I682" s="37">
        <v>73.1116416034384</v>
      </c>
      <c r="J682" s="10">
        <v>0</v>
      </c>
      <c r="K682" s="38">
        <v>0</v>
      </c>
      <c r="L682" s="38">
        <v>0</v>
      </c>
      <c r="M682" s="38">
        <v>0</v>
      </c>
      <c r="N682" s="38">
        <v>0</v>
      </c>
      <c r="O682" s="38">
        <v>0</v>
      </c>
      <c r="P682" s="38">
        <v>0</v>
      </c>
      <c r="Q682" s="38">
        <v>1</v>
      </c>
      <c r="R682" s="38">
        <v>0</v>
      </c>
      <c r="S682" s="38">
        <v>0</v>
      </c>
      <c r="T682" s="38">
        <v>0</v>
      </c>
      <c r="U682" s="29" cm="1">
        <f t="array" aca="1" ref="U682" ca="1">+fair_value_gap(OFFSET(T681,0,0,-1*$J$5,-1*$AA$1),OFFSET(E681,0,0,-1*$J$5,1),F682:T682,0)</f>
        <v>17.397672039394937</v>
      </c>
      <c r="V682" s="9" cm="1">
        <f t="array" aca="1" ref="V682" ca="1">z_score_diff(OFFSET(U682,0,0,$J$5*-1,1),OFFSET(E682,0,0,$J$5*-1,1))</f>
        <v>-0.23472782579711082</v>
      </c>
      <c r="W682" s="9">
        <f t="shared" ca="1" si="101"/>
        <v>-0.33241231033311058</v>
      </c>
      <c r="X682" s="17">
        <f t="shared" ca="1" si="100"/>
        <v>5.6198043540190458E-2</v>
      </c>
      <c r="Y682" s="13">
        <f t="shared" si="108"/>
        <v>0</v>
      </c>
      <c r="Z682" s="13">
        <f t="shared" si="108"/>
        <v>0</v>
      </c>
      <c r="AA682">
        <f t="shared" ca="1" si="102"/>
        <v>1</v>
      </c>
      <c r="AB682">
        <f t="shared" ca="1" si="103"/>
        <v>0</v>
      </c>
      <c r="AC682" s="24">
        <f t="shared" ca="1" si="104"/>
        <v>5.6198043540190458E-2</v>
      </c>
      <c r="AD682" s="24">
        <f t="shared" ca="1" si="105"/>
        <v>0</v>
      </c>
    </row>
    <row r="683" spans="3:30" x14ac:dyDescent="0.25">
      <c r="C683" s="6">
        <v>676</v>
      </c>
      <c r="D683" s="35">
        <v>42965</v>
      </c>
      <c r="E683" s="37">
        <v>17.152999999999999</v>
      </c>
      <c r="F683" s="37">
        <v>44.049637282845303</v>
      </c>
      <c r="G683" s="37">
        <v>39.72</v>
      </c>
      <c r="H683" s="37">
        <v>2.7298485325485826</v>
      </c>
      <c r="I683" s="37">
        <v>72.77070787506166</v>
      </c>
      <c r="J683" s="10">
        <v>0</v>
      </c>
      <c r="K683" s="38">
        <v>0</v>
      </c>
      <c r="L683" s="38">
        <v>0</v>
      </c>
      <c r="M683" s="38">
        <v>0</v>
      </c>
      <c r="N683" s="38">
        <v>0</v>
      </c>
      <c r="O683" s="38">
        <v>0</v>
      </c>
      <c r="P683" s="38">
        <v>0</v>
      </c>
      <c r="Q683" s="38">
        <v>1</v>
      </c>
      <c r="R683" s="38">
        <v>0</v>
      </c>
      <c r="S683" s="38">
        <v>0</v>
      </c>
      <c r="T683" s="38">
        <v>0</v>
      </c>
      <c r="U683" s="29" cm="1">
        <f t="array" aca="1" ref="U683" ca="1">+fair_value_gap(OFFSET(T682,0,0,-1*$J$5,-1*$AA$1),OFFSET(E682,0,0,-1*$J$5,1),F683:T683,0)</f>
        <v>17.386984335732421</v>
      </c>
      <c r="V683" s="9" cm="1">
        <f t="array" aca="1" ref="V683" ca="1">z_score_diff(OFFSET(U683,0,0,$J$5*-1,1),OFFSET(E683,0,0,$J$5*-1,1))</f>
        <v>-0.11790434840229458</v>
      </c>
      <c r="W683" s="9">
        <f t="shared" ca="1" si="101"/>
        <v>-0.31649580403891353</v>
      </c>
      <c r="X683" s="17">
        <f t="shared" ca="1" si="100"/>
        <v>4.0838318062184353E-2</v>
      </c>
      <c r="Y683" s="13">
        <f t="shared" si="108"/>
        <v>0</v>
      </c>
      <c r="Z683" s="13">
        <f t="shared" si="108"/>
        <v>0</v>
      </c>
      <c r="AA683">
        <f t="shared" ca="1" si="102"/>
        <v>1</v>
      </c>
      <c r="AB683">
        <f t="shared" ca="1" si="103"/>
        <v>0</v>
      </c>
      <c r="AC683" s="24">
        <f t="shared" ca="1" si="104"/>
        <v>4.0838318062184353E-2</v>
      </c>
      <c r="AD683" s="24">
        <f t="shared" ca="1" si="105"/>
        <v>0</v>
      </c>
    </row>
    <row r="684" spans="3:30" x14ac:dyDescent="0.25">
      <c r="C684" s="6">
        <v>677</v>
      </c>
      <c r="D684" s="35">
        <v>42968</v>
      </c>
      <c r="E684" s="37">
        <v>17.125</v>
      </c>
      <c r="F684" s="37">
        <v>42.901585322109696</v>
      </c>
      <c r="G684" s="37">
        <v>39.36</v>
      </c>
      <c r="H684" s="37">
        <v>2.7547863050161081</v>
      </c>
      <c r="I684" s="37">
        <v>72.326759392421707</v>
      </c>
      <c r="J684" s="10">
        <v>0</v>
      </c>
      <c r="K684" s="38">
        <v>0</v>
      </c>
      <c r="L684" s="38">
        <v>0</v>
      </c>
      <c r="M684" s="38">
        <v>0</v>
      </c>
      <c r="N684" s="38">
        <v>0</v>
      </c>
      <c r="O684" s="38">
        <v>0</v>
      </c>
      <c r="P684" s="38">
        <v>0</v>
      </c>
      <c r="Q684" s="38">
        <v>1</v>
      </c>
      <c r="R684" s="38">
        <v>0</v>
      </c>
      <c r="S684" s="38">
        <v>0</v>
      </c>
      <c r="T684" s="38">
        <v>0</v>
      </c>
      <c r="U684" s="29" cm="1">
        <f t="array" aca="1" ref="U684" ca="1">+fair_value_gap(OFFSET(T683,0,0,-1*$J$5,-1*$AA$1),OFFSET(E683,0,0,-1*$J$5,1),F684:T684,0)</f>
        <v>17.221528945697258</v>
      </c>
      <c r="V684" s="9" cm="1">
        <f t="array" aca="1" ref="V684" ca="1">z_score_diff(OFFSET(U684,0,0,$J$5*-1,1),OFFSET(E684,0,0,$J$5*-1,1))</f>
        <v>-0.29509036442526515</v>
      </c>
      <c r="W684" s="9">
        <f t="shared" ca="1" si="101"/>
        <v>-0.31140320425077139</v>
      </c>
      <c r="X684" s="17">
        <f t="shared" ca="1" si="100"/>
        <v>3.7422353671194127E-2</v>
      </c>
      <c r="Y684" s="13">
        <f t="shared" si="108"/>
        <v>0</v>
      </c>
      <c r="Z684" s="13">
        <f t="shared" si="108"/>
        <v>0</v>
      </c>
      <c r="AA684">
        <f t="shared" ca="1" si="102"/>
        <v>1</v>
      </c>
      <c r="AB684">
        <f t="shared" ca="1" si="103"/>
        <v>0</v>
      </c>
      <c r="AC684" s="24">
        <f t="shared" ca="1" si="104"/>
        <v>3.7422353671194127E-2</v>
      </c>
      <c r="AD684" s="24">
        <f t="shared" ca="1" si="105"/>
        <v>0</v>
      </c>
    </row>
    <row r="685" spans="3:30" x14ac:dyDescent="0.25">
      <c r="C685" s="6">
        <v>678</v>
      </c>
      <c r="D685" s="35">
        <v>42969</v>
      </c>
      <c r="E685" s="37">
        <v>17.062000000000001</v>
      </c>
      <c r="F685" s="37">
        <v>43.541608623814135</v>
      </c>
      <c r="G685" s="37">
        <v>39.25</v>
      </c>
      <c r="H685" s="37">
        <v>2.7498634327083082</v>
      </c>
      <c r="I685" s="37">
        <v>71.966122894570049</v>
      </c>
      <c r="J685" s="10">
        <v>0</v>
      </c>
      <c r="K685" s="38">
        <v>0</v>
      </c>
      <c r="L685" s="38">
        <v>0</v>
      </c>
      <c r="M685" s="38">
        <v>0</v>
      </c>
      <c r="N685" s="38">
        <v>0</v>
      </c>
      <c r="O685" s="38">
        <v>0</v>
      </c>
      <c r="P685" s="38">
        <v>0</v>
      </c>
      <c r="Q685" s="38">
        <v>1</v>
      </c>
      <c r="R685" s="38">
        <v>0</v>
      </c>
      <c r="S685" s="38">
        <v>0</v>
      </c>
      <c r="T685" s="38">
        <v>0</v>
      </c>
      <c r="U685" s="29" cm="1">
        <f t="array" aca="1" ref="U685" ca="1">+fair_value_gap(OFFSET(T684,0,0,-1*$J$5,-1*$AA$1),OFFSET(E684,0,0,-1*$J$5,1),F685:T685,0)</f>
        <v>17.172778170314341</v>
      </c>
      <c r="V685" s="9" cm="1">
        <f t="array" aca="1" ref="V685" ca="1">z_score_diff(OFFSET(U685,0,0,$J$5*-1,1),OFFSET(E685,0,0,$J$5*-1,1))</f>
        <v>-0.2635874009643977</v>
      </c>
      <c r="W685" s="9">
        <f t="shared" ca="1" si="101"/>
        <v>-0.3039973300040828</v>
      </c>
      <c r="X685" s="17">
        <f t="shared" ca="1" si="100"/>
        <v>4.5149739739145163E-2</v>
      </c>
      <c r="Y685" s="13">
        <f t="shared" si="108"/>
        <v>0</v>
      </c>
      <c r="Z685" s="13">
        <f t="shared" si="108"/>
        <v>0</v>
      </c>
      <c r="AA685">
        <f t="shared" ca="1" si="102"/>
        <v>1</v>
      </c>
      <c r="AB685">
        <f t="shared" ca="1" si="103"/>
        <v>0</v>
      </c>
      <c r="AC685" s="24">
        <f t="shared" ca="1" si="104"/>
        <v>4.5149739739145163E-2</v>
      </c>
      <c r="AD685" s="24">
        <f t="shared" ca="1" si="105"/>
        <v>0</v>
      </c>
    </row>
    <row r="686" spans="3:30" x14ac:dyDescent="0.25">
      <c r="C686" s="6">
        <v>679</v>
      </c>
      <c r="D686" s="35">
        <v>42970</v>
      </c>
      <c r="E686" s="37">
        <v>17.23</v>
      </c>
      <c r="F686" s="37">
        <v>43.885239470057442</v>
      </c>
      <c r="G686" s="37">
        <v>39.74</v>
      </c>
      <c r="H686" s="37">
        <v>2.7404173415017721</v>
      </c>
      <c r="I686" s="37">
        <v>72.01035473692329</v>
      </c>
      <c r="J686" s="10">
        <v>0</v>
      </c>
      <c r="K686" s="38">
        <v>0</v>
      </c>
      <c r="L686" s="38">
        <v>0</v>
      </c>
      <c r="M686" s="38">
        <v>0</v>
      </c>
      <c r="N686" s="38">
        <v>0</v>
      </c>
      <c r="O686" s="38">
        <v>0</v>
      </c>
      <c r="P686" s="38">
        <v>0</v>
      </c>
      <c r="Q686" s="38">
        <v>1</v>
      </c>
      <c r="R686" s="38">
        <v>0</v>
      </c>
      <c r="S686" s="38">
        <v>0</v>
      </c>
      <c r="T686" s="38">
        <v>0</v>
      </c>
      <c r="U686" s="29" cm="1">
        <f t="array" aca="1" ref="U686" ca="1">+fair_value_gap(OFFSET(T685,0,0,-1*$J$5,-1*$AA$1),OFFSET(E685,0,0,-1*$J$5,1),F686:T686,0)</f>
        <v>17.311145993480174</v>
      </c>
      <c r="V686" s="9" cm="1">
        <f t="array" aca="1" ref="V686" ca="1">z_score_diff(OFFSET(U686,0,0,$J$5*-1,1),OFFSET(E686,0,0,$J$5*-1,1))</f>
        <v>-0.31282929518181657</v>
      </c>
      <c r="W686" s="9">
        <f t="shared" ca="1" si="101"/>
        <v>-0.28303451939063046</v>
      </c>
      <c r="X686" s="17">
        <f t="shared" ca="1" si="100"/>
        <v>3.0296687024185826E-2</v>
      </c>
      <c r="Y686" s="13">
        <f t="shared" si="108"/>
        <v>0</v>
      </c>
      <c r="Z686" s="13">
        <f t="shared" si="108"/>
        <v>0</v>
      </c>
      <c r="AA686">
        <f t="shared" ca="1" si="102"/>
        <v>1</v>
      </c>
      <c r="AB686">
        <f t="shared" ca="1" si="103"/>
        <v>0</v>
      </c>
      <c r="AC686" s="24">
        <f t="shared" ca="1" si="104"/>
        <v>3.0296687024185826E-2</v>
      </c>
      <c r="AD686" s="24">
        <f t="shared" ca="1" si="105"/>
        <v>0</v>
      </c>
    </row>
    <row r="687" spans="3:30" x14ac:dyDescent="0.25">
      <c r="C687" s="6">
        <v>680</v>
      </c>
      <c r="D687" s="35">
        <v>42971</v>
      </c>
      <c r="E687" s="37">
        <v>17.231999999999999</v>
      </c>
      <c r="F687" s="37">
        <v>43.421908097565073</v>
      </c>
      <c r="G687" s="37">
        <v>39.89</v>
      </c>
      <c r="H687" s="37">
        <v>2.7541368679348168</v>
      </c>
      <c r="I687" s="37">
        <v>72.397810448606364</v>
      </c>
      <c r="J687" s="10">
        <v>0</v>
      </c>
      <c r="K687" s="38">
        <v>0</v>
      </c>
      <c r="L687" s="38">
        <v>0</v>
      </c>
      <c r="M687" s="38">
        <v>0</v>
      </c>
      <c r="N687" s="38">
        <v>0</v>
      </c>
      <c r="O687" s="38">
        <v>0</v>
      </c>
      <c r="P687" s="38">
        <v>0</v>
      </c>
      <c r="Q687" s="38">
        <v>1</v>
      </c>
      <c r="R687" s="38">
        <v>0</v>
      </c>
      <c r="S687" s="38">
        <v>0</v>
      </c>
      <c r="T687" s="38">
        <v>0</v>
      </c>
      <c r="U687" s="29" cm="1">
        <f t="array" aca="1" ref="U687" ca="1">+fair_value_gap(OFFSET(T686,0,0,-1*$J$5,-1*$AA$1),OFFSET(E686,0,0,-1*$J$5,1),F687:T687,0)</f>
        <v>17.345221121652635</v>
      </c>
      <c r="V687" s="9" cm="1">
        <f t="array" aca="1" ref="V687" ca="1">z_score_diff(OFFSET(U687,0,0,$J$5*-1,1),OFFSET(E687,0,0,$J$5*-1,1))</f>
        <v>-0.27033222417616309</v>
      </c>
      <c r="W687" s="9">
        <f t="shared" ca="1" si="101"/>
        <v>-0.26830749937288545</v>
      </c>
      <c r="X687" s="17">
        <f t="shared" ca="1" si="100"/>
        <v>2.4250908966317E-2</v>
      </c>
      <c r="Y687" s="13">
        <f t="shared" si="108"/>
        <v>0</v>
      </c>
      <c r="Z687" s="13">
        <f t="shared" si="108"/>
        <v>0</v>
      </c>
      <c r="AA687">
        <f t="shared" ca="1" si="102"/>
        <v>1</v>
      </c>
      <c r="AB687">
        <f t="shared" ca="1" si="103"/>
        <v>0</v>
      </c>
      <c r="AC687" s="24">
        <f t="shared" ca="1" si="104"/>
        <v>2.4250908966317E-2</v>
      </c>
      <c r="AD687" s="24">
        <f t="shared" ca="1" si="105"/>
        <v>0</v>
      </c>
    </row>
    <row r="688" spans="3:30" x14ac:dyDescent="0.25">
      <c r="C688" s="6">
        <v>681</v>
      </c>
      <c r="D688" s="35">
        <v>42972</v>
      </c>
      <c r="E688" s="37">
        <v>17.222999999999999</v>
      </c>
      <c r="F688" s="37">
        <v>43.224890630318022</v>
      </c>
      <c r="G688" s="37">
        <v>40.21</v>
      </c>
      <c r="H688" s="37">
        <v>2.6879622788740107</v>
      </c>
      <c r="I688" s="37">
        <v>71.93080032873165</v>
      </c>
      <c r="J688" s="10">
        <v>0</v>
      </c>
      <c r="K688" s="38">
        <v>0</v>
      </c>
      <c r="L688" s="38">
        <v>0</v>
      </c>
      <c r="M688" s="38">
        <v>0</v>
      </c>
      <c r="N688" s="38">
        <v>0</v>
      </c>
      <c r="O688" s="38">
        <v>0</v>
      </c>
      <c r="P688" s="38">
        <v>0</v>
      </c>
      <c r="Q688" s="38">
        <v>1</v>
      </c>
      <c r="R688" s="38">
        <v>0</v>
      </c>
      <c r="S688" s="38">
        <v>0</v>
      </c>
      <c r="T688" s="38">
        <v>0</v>
      </c>
      <c r="U688" s="29" cm="1">
        <f t="array" aca="1" ref="U688" ca="1">+fair_value_gap(OFFSET(T687,0,0,-1*$J$5,-1*$AA$1),OFFSET(E687,0,0,-1*$J$5,1),F688:T688,0)</f>
        <v>17.360140144195693</v>
      </c>
      <c r="V688" s="9" cm="1">
        <f t="array" aca="1" ref="V688" ca="1">z_score_diff(OFFSET(U688,0,0,$J$5*-1,1),OFFSET(E688,0,0,$J$5*-1,1))</f>
        <v>-0.23850439713522997</v>
      </c>
      <c r="W688" s="9">
        <f t="shared" ca="1" si="101"/>
        <v>-0.25674871005647082</v>
      </c>
      <c r="X688" s="17">
        <f t="shared" ca="1" si="100"/>
        <v>1.8352305675580591E-2</v>
      </c>
      <c r="Y688" s="13">
        <f t="shared" si="108"/>
        <v>0</v>
      </c>
      <c r="Z688" s="13">
        <f t="shared" si="108"/>
        <v>0</v>
      </c>
      <c r="AA688">
        <f t="shared" ca="1" si="102"/>
        <v>1</v>
      </c>
      <c r="AB688">
        <f t="shared" ca="1" si="103"/>
        <v>0</v>
      </c>
      <c r="AC688" s="24">
        <f t="shared" ca="1" si="104"/>
        <v>1.8352305675580591E-2</v>
      </c>
      <c r="AD688" s="24">
        <f t="shared" ca="1" si="105"/>
        <v>0</v>
      </c>
    </row>
    <row r="689" spans="3:30" x14ac:dyDescent="0.25">
      <c r="C689" s="6">
        <v>682</v>
      </c>
      <c r="D689" s="35">
        <v>42975</v>
      </c>
      <c r="E689" s="37">
        <v>17.274999999999999</v>
      </c>
      <c r="F689" s="37">
        <v>42.624872195639654</v>
      </c>
      <c r="G689" s="37">
        <v>40.43</v>
      </c>
      <c r="H689" s="37">
        <v>2.699492584660832</v>
      </c>
      <c r="I689" s="37">
        <v>70.628181677669346</v>
      </c>
      <c r="J689" s="10">
        <v>0</v>
      </c>
      <c r="K689" s="38">
        <v>0</v>
      </c>
      <c r="L689" s="38">
        <v>0</v>
      </c>
      <c r="M689" s="38">
        <v>0</v>
      </c>
      <c r="N689" s="38">
        <v>0</v>
      </c>
      <c r="O689" s="38">
        <v>0</v>
      </c>
      <c r="P689" s="38">
        <v>0</v>
      </c>
      <c r="Q689" s="38">
        <v>1</v>
      </c>
      <c r="R689" s="38">
        <v>0</v>
      </c>
      <c r="S689" s="38">
        <v>0</v>
      </c>
      <c r="T689" s="38">
        <v>0</v>
      </c>
      <c r="U689" s="29" cm="1">
        <f t="array" aca="1" ref="U689" ca="1">+fair_value_gap(OFFSET(T688,0,0,-1*$J$5,-1*$AA$1),OFFSET(E688,0,0,-1*$J$5,1),F689:T689,0)</f>
        <v>17.343215615351212</v>
      </c>
      <c r="V689" s="9" cm="1">
        <f t="array" aca="1" ref="V689" ca="1">z_score_diff(OFFSET(U689,0,0,$J$5*-1,1),OFFSET(E689,0,0,$J$5*-1,1))</f>
        <v>-0.3386005653705203</v>
      </c>
      <c r="W689" s="9">
        <f t="shared" ca="1" si="101"/>
        <v>-0.23722814319226754</v>
      </c>
      <c r="X689" s="17">
        <f t="shared" ca="1" si="100"/>
        <v>4.3940715252590849E-2</v>
      </c>
      <c r="Y689" s="13">
        <f t="shared" si="108"/>
        <v>0</v>
      </c>
      <c r="Z689" s="13">
        <f t="shared" si="108"/>
        <v>0</v>
      </c>
      <c r="AA689">
        <f t="shared" ca="1" si="102"/>
        <v>1</v>
      </c>
      <c r="AB689">
        <f t="shared" ca="1" si="103"/>
        <v>0</v>
      </c>
      <c r="AC689" s="24">
        <f t="shared" ca="1" si="104"/>
        <v>4.3940715252590849E-2</v>
      </c>
      <c r="AD689" s="24">
        <f t="shared" ca="1" si="105"/>
        <v>0</v>
      </c>
    </row>
    <row r="690" spans="3:30" x14ac:dyDescent="0.25">
      <c r="C690" s="6">
        <v>683</v>
      </c>
      <c r="D690" s="35">
        <v>42976</v>
      </c>
      <c r="E690" s="37">
        <v>17.282</v>
      </c>
      <c r="F690" s="37">
        <v>42.979219956516303</v>
      </c>
      <c r="G690" s="37">
        <v>40.130000000000003</v>
      </c>
      <c r="H690" s="37">
        <v>2.7142158918084767</v>
      </c>
      <c r="I690" s="37">
        <v>70.832599370321759</v>
      </c>
      <c r="J690" s="10">
        <v>0</v>
      </c>
      <c r="K690" s="38">
        <v>0</v>
      </c>
      <c r="L690" s="38">
        <v>0</v>
      </c>
      <c r="M690" s="38">
        <v>0</v>
      </c>
      <c r="N690" s="38">
        <v>0</v>
      </c>
      <c r="O690" s="38">
        <v>0</v>
      </c>
      <c r="P690" s="38">
        <v>0</v>
      </c>
      <c r="Q690" s="38">
        <v>1</v>
      </c>
      <c r="R690" s="38">
        <v>0</v>
      </c>
      <c r="S690" s="38">
        <v>0</v>
      </c>
      <c r="T690" s="38">
        <v>0</v>
      </c>
      <c r="U690" s="29" cm="1">
        <f t="array" aca="1" ref="U690" ca="1">+fair_value_gap(OFFSET(T689,0,0,-1*$J$5,-1*$AA$1),OFFSET(E689,0,0,-1*$J$5,1),F690:T690,0)</f>
        <v>17.291249658778071</v>
      </c>
      <c r="V690" s="9" cm="1">
        <f t="array" aca="1" ref="V690" ca="1">z_score_diff(OFFSET(U690,0,0,$J$5*-1,1),OFFSET(E690,0,0,$J$5*-1,1))</f>
        <v>-0.42287338373075867</v>
      </c>
      <c r="W690" s="9">
        <f t="shared" ca="1" si="101"/>
        <v>-0.27882194695042295</v>
      </c>
      <c r="X690" s="17">
        <f t="shared" ca="1" si="100"/>
        <v>4.0094962561341672E-2</v>
      </c>
      <c r="Y690" s="13">
        <f t="shared" si="108"/>
        <v>0</v>
      </c>
      <c r="Z690" s="13">
        <f t="shared" si="108"/>
        <v>0</v>
      </c>
      <c r="AA690">
        <f t="shared" ca="1" si="102"/>
        <v>1</v>
      </c>
      <c r="AB690">
        <f t="shared" ca="1" si="103"/>
        <v>0</v>
      </c>
      <c r="AC690" s="24">
        <f t="shared" ca="1" si="104"/>
        <v>4.0094962561341672E-2</v>
      </c>
      <c r="AD690" s="24">
        <f t="shared" ca="1" si="105"/>
        <v>0</v>
      </c>
    </row>
    <row r="691" spans="3:30" x14ac:dyDescent="0.25">
      <c r="C691" s="6">
        <v>684</v>
      </c>
      <c r="D691" s="35">
        <v>42977</v>
      </c>
      <c r="E691" s="37">
        <v>17.329000000000001</v>
      </c>
      <c r="F691" s="37">
        <v>42.579663026895226</v>
      </c>
      <c r="G691" s="37">
        <v>40.33</v>
      </c>
      <c r="H691" s="37">
        <v>2.674865590502395</v>
      </c>
      <c r="I691" s="37">
        <v>70.993864131484798</v>
      </c>
      <c r="J691" s="10">
        <v>0</v>
      </c>
      <c r="K691" s="38">
        <v>0</v>
      </c>
      <c r="L691" s="38">
        <v>0</v>
      </c>
      <c r="M691" s="38">
        <v>0</v>
      </c>
      <c r="N691" s="38">
        <v>0</v>
      </c>
      <c r="O691" s="38">
        <v>0</v>
      </c>
      <c r="P691" s="38">
        <v>0</v>
      </c>
      <c r="Q691" s="38">
        <v>1</v>
      </c>
      <c r="R691" s="38">
        <v>0</v>
      </c>
      <c r="S691" s="38">
        <v>0</v>
      </c>
      <c r="T691" s="38">
        <v>0</v>
      </c>
      <c r="U691" s="29" cm="1">
        <f t="array" aca="1" ref="U691" ca="1">+fair_value_gap(OFFSET(T690,0,0,-1*$J$5,-1*$AA$1),OFFSET(E690,0,0,-1*$J$5,1),F691:T691,0)</f>
        <v>17.305481201245584</v>
      </c>
      <c r="V691" s="9" cm="1">
        <f t="array" aca="1" ref="V691" ca="1">z_score_diff(OFFSET(U691,0,0,$J$5*-1,1),OFFSET(E691,0,0,$J$5*-1,1))</f>
        <v>-0.47607926387956301</v>
      </c>
      <c r="W691" s="9">
        <f t="shared" ca="1" si="101"/>
        <v>-0.31597153494668356</v>
      </c>
      <c r="X691" s="17">
        <f t="shared" ca="1" si="100"/>
        <v>3.9211835154737078E-2</v>
      </c>
      <c r="Y691" s="13">
        <f t="shared" si="108"/>
        <v>0</v>
      </c>
      <c r="Z691" s="13">
        <f t="shared" si="108"/>
        <v>0</v>
      </c>
      <c r="AA691">
        <f t="shared" ca="1" si="102"/>
        <v>1</v>
      </c>
      <c r="AB691">
        <f t="shared" ca="1" si="103"/>
        <v>0</v>
      </c>
      <c r="AC691" s="24">
        <f t="shared" ca="1" si="104"/>
        <v>3.9211835154737078E-2</v>
      </c>
      <c r="AD691" s="24">
        <f t="shared" ca="1" si="105"/>
        <v>0</v>
      </c>
    </row>
    <row r="692" spans="3:30" x14ac:dyDescent="0.25">
      <c r="C692" s="6">
        <v>685</v>
      </c>
      <c r="D692" s="35">
        <v>42978</v>
      </c>
      <c r="E692" s="37">
        <v>16.971</v>
      </c>
      <c r="F692" s="37">
        <v>44.14304641045802</v>
      </c>
      <c r="G692" s="37">
        <v>38.409999999999997</v>
      </c>
      <c r="H692" s="37">
        <v>2.7253822101278828</v>
      </c>
      <c r="I692" s="37">
        <v>69.900775807183578</v>
      </c>
      <c r="J692" s="10">
        <v>0</v>
      </c>
      <c r="K692" s="38">
        <v>0</v>
      </c>
      <c r="L692" s="38">
        <v>0</v>
      </c>
      <c r="M692" s="38">
        <v>0</v>
      </c>
      <c r="N692" s="38">
        <v>0</v>
      </c>
      <c r="O692" s="38">
        <v>0</v>
      </c>
      <c r="P692" s="38">
        <v>0</v>
      </c>
      <c r="Q692" s="38">
        <v>1</v>
      </c>
      <c r="R692" s="38">
        <v>0</v>
      </c>
      <c r="S692" s="38">
        <v>0</v>
      </c>
      <c r="T692" s="38">
        <v>0</v>
      </c>
      <c r="U692" s="29" cm="1">
        <f t="array" aca="1" ref="U692" ca="1">+fair_value_gap(OFFSET(T691,0,0,-1*$J$5,-1*$AA$1),OFFSET(E691,0,0,-1*$J$5,1),F692:T692,0)</f>
        <v>16.862708782928792</v>
      </c>
      <c r="V692" s="9" cm="1">
        <f t="array" aca="1" ref="V692" ca="1">z_score_diff(OFFSET(U692,0,0,$J$5*-1,1),OFFSET(E692,0,0,$J$5*-1,1))</f>
        <v>-0.56633286419227868</v>
      </c>
      <c r="W692" s="9">
        <f t="shared" ca="1" si="101"/>
        <v>-0.34723615248597606</v>
      </c>
      <c r="X692" s="17">
        <f t="shared" ca="1" si="100"/>
        <v>6.3853294378075326E-2</v>
      </c>
      <c r="Y692" s="13">
        <f t="shared" si="108"/>
        <v>0</v>
      </c>
      <c r="Z692" s="13">
        <f t="shared" si="108"/>
        <v>0</v>
      </c>
      <c r="AA692">
        <f t="shared" ca="1" si="102"/>
        <v>1</v>
      </c>
      <c r="AB692">
        <f t="shared" ca="1" si="103"/>
        <v>0</v>
      </c>
      <c r="AC692" s="24">
        <f t="shared" ca="1" si="104"/>
        <v>6.3853294378075326E-2</v>
      </c>
      <c r="AD692" s="24">
        <f t="shared" ca="1" si="105"/>
        <v>0</v>
      </c>
    </row>
    <row r="693" spans="3:30" x14ac:dyDescent="0.25">
      <c r="C693" s="6">
        <v>686</v>
      </c>
      <c r="D693" s="35">
        <v>42979</v>
      </c>
      <c r="E693" s="37">
        <v>17.048999999999999</v>
      </c>
      <c r="F693" s="37">
        <v>44.412158861766208</v>
      </c>
      <c r="G693" s="37">
        <v>38.54</v>
      </c>
      <c r="H693" s="37">
        <v>2.7704369825783099</v>
      </c>
      <c r="I693" s="37">
        <v>70.596879709763741</v>
      </c>
      <c r="J693" s="10">
        <v>0</v>
      </c>
      <c r="K693" s="38">
        <v>0</v>
      </c>
      <c r="L693" s="38">
        <v>0</v>
      </c>
      <c r="M693" s="38">
        <v>0</v>
      </c>
      <c r="N693" s="38">
        <v>0</v>
      </c>
      <c r="O693" s="38">
        <v>0</v>
      </c>
      <c r="P693" s="38">
        <v>0</v>
      </c>
      <c r="Q693" s="38">
        <v>0</v>
      </c>
      <c r="R693" s="38">
        <v>1</v>
      </c>
      <c r="S693" s="38">
        <v>0</v>
      </c>
      <c r="T693" s="38">
        <v>0</v>
      </c>
      <c r="U693" s="29" cm="1">
        <f t="array" aca="1" ref="U693" ca="1">+fair_value_gap(OFFSET(T692,0,0,-1*$J$5,-1*$AA$1),OFFSET(E692,0,0,-1*$J$5,1),F693:T693,0)</f>
        <v>17.622914921563467</v>
      </c>
      <c r="V693" s="9" cm="1">
        <f t="array" aca="1" ref="V693" ca="1">z_score_diff(OFFSET(U693,0,0,$J$5*-1,1),OFFSET(E693,0,0,$J$5*-1,1))</f>
        <v>0.39028791372239813</v>
      </c>
      <c r="W693" s="9">
        <f t="shared" ca="1" si="101"/>
        <v>-0.32181893817978435</v>
      </c>
      <c r="X693" s="17">
        <f t="shared" ca="1" si="100"/>
        <v>-2.1761257163674171E-2</v>
      </c>
      <c r="Y693" s="13">
        <f t="shared" si="108"/>
        <v>0</v>
      </c>
      <c r="Z693" s="13">
        <f t="shared" si="108"/>
        <v>0</v>
      </c>
      <c r="AA693">
        <f t="shared" ca="1" si="102"/>
        <v>1</v>
      </c>
      <c r="AB693">
        <f t="shared" ca="1" si="103"/>
        <v>0</v>
      </c>
      <c r="AC693" s="24">
        <f t="shared" ca="1" si="104"/>
        <v>-2.1761257163674171E-2</v>
      </c>
      <c r="AD693" s="24">
        <f t="shared" ca="1" si="105"/>
        <v>0</v>
      </c>
    </row>
    <row r="694" spans="3:30" x14ac:dyDescent="0.25">
      <c r="C694" s="6">
        <v>687</v>
      </c>
      <c r="D694" s="35">
        <v>42982</v>
      </c>
      <c r="E694" s="37">
        <v>17.111000000000001</v>
      </c>
      <c r="F694" s="37">
        <v>43.92083097513067</v>
      </c>
      <c r="G694" s="37">
        <v>38.659999999999997</v>
      </c>
      <c r="H694" s="37">
        <v>2.7615940340247027</v>
      </c>
      <c r="I694" s="37">
        <v>71.245463927822342</v>
      </c>
      <c r="J694" s="10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38">
        <v>0</v>
      </c>
      <c r="Q694" s="38">
        <v>0</v>
      </c>
      <c r="R694" s="38">
        <v>1</v>
      </c>
      <c r="S694" s="38">
        <v>0</v>
      </c>
      <c r="T694" s="38">
        <v>0</v>
      </c>
      <c r="U694" s="29" cm="1">
        <f t="array" aca="1" ref="U694" ca="1">+fair_value_gap(OFFSET(T693,0,0,-1*$J$5,-1*$AA$1),OFFSET(E693,0,0,-1*$J$5,1),F694:T694,0)</f>
        <v>17.510887284534938</v>
      </c>
      <c r="V694" s="9" cm="1">
        <f t="array" aca="1" ref="V694" ca="1">z_score_diff(OFFSET(U694,0,0,$J$5*-1,1),OFFSET(E694,0,0,$J$5*-1,1))</f>
        <v>0.13660938156091496</v>
      </c>
      <c r="W694" s="9">
        <f t="shared" ca="1" si="101"/>
        <v>-0.29774082563706372</v>
      </c>
      <c r="X694" s="17">
        <f t="shared" ca="1" si="100"/>
        <v>-1.4599658861785847E-2</v>
      </c>
      <c r="Y694" s="13">
        <f t="shared" si="108"/>
        <v>0</v>
      </c>
      <c r="Z694" s="13">
        <f t="shared" si="108"/>
        <v>0</v>
      </c>
      <c r="AA694">
        <f t="shared" ca="1" si="102"/>
        <v>1</v>
      </c>
      <c r="AB694">
        <f t="shared" ca="1" si="103"/>
        <v>0</v>
      </c>
      <c r="AC694" s="24">
        <f t="shared" ca="1" si="104"/>
        <v>-1.4599658861785847E-2</v>
      </c>
      <c r="AD694" s="24">
        <f t="shared" ca="1" si="105"/>
        <v>0</v>
      </c>
    </row>
    <row r="695" spans="3:30" x14ac:dyDescent="0.25">
      <c r="C695" s="6">
        <v>688</v>
      </c>
      <c r="D695" s="35">
        <v>42983</v>
      </c>
      <c r="E695" s="37">
        <v>17.494</v>
      </c>
      <c r="F695" s="37">
        <v>44.582091710306983</v>
      </c>
      <c r="G695" s="37">
        <v>39.24</v>
      </c>
      <c r="H695" s="37">
        <v>2.6957000094731756</v>
      </c>
      <c r="I695" s="37">
        <v>71.962891744875762</v>
      </c>
      <c r="J695" s="10">
        <v>0</v>
      </c>
      <c r="K695" s="38">
        <v>0</v>
      </c>
      <c r="L695" s="38">
        <v>0</v>
      </c>
      <c r="M695" s="38">
        <v>0</v>
      </c>
      <c r="N695" s="38">
        <v>0</v>
      </c>
      <c r="O695" s="38">
        <v>0</v>
      </c>
      <c r="P695" s="38">
        <v>0</v>
      </c>
      <c r="Q695" s="38">
        <v>0</v>
      </c>
      <c r="R695" s="38">
        <v>1</v>
      </c>
      <c r="S695" s="38">
        <v>0</v>
      </c>
      <c r="T695" s="38">
        <v>0</v>
      </c>
      <c r="U695" s="29" cm="1">
        <f t="array" aca="1" ref="U695" ca="1">+fair_value_gap(OFFSET(T694,0,0,-1*$J$5,-1*$AA$1),OFFSET(E694,0,0,-1*$J$5,1),F695:T695,0)</f>
        <v>17.591074982959107</v>
      </c>
      <c r="V695" s="9" cm="1">
        <f t="array" aca="1" ref="V695" ca="1">z_score_diff(OFFSET(U695,0,0,$J$5*-1,1),OFFSET(E695,0,0,$J$5*-1,1))</f>
        <v>-0.34095008710549801</v>
      </c>
      <c r="W695" s="9">
        <f t="shared" ca="1" si="101"/>
        <v>-0.30295050832230075</v>
      </c>
      <c r="X695" s="17">
        <f t="shared" ca="1" si="100"/>
        <v>-2.5531823666885858E-2</v>
      </c>
      <c r="Y695" s="13">
        <f t="shared" si="108"/>
        <v>0</v>
      </c>
      <c r="Z695" s="13">
        <f t="shared" si="108"/>
        <v>0</v>
      </c>
      <c r="AA695">
        <f t="shared" ca="1" si="102"/>
        <v>1</v>
      </c>
      <c r="AB695">
        <f t="shared" ca="1" si="103"/>
        <v>0</v>
      </c>
      <c r="AC695" s="24">
        <f t="shared" ca="1" si="104"/>
        <v>-2.5531823666885858E-2</v>
      </c>
      <c r="AD695" s="24">
        <f t="shared" ca="1" si="105"/>
        <v>0</v>
      </c>
    </row>
    <row r="696" spans="3:30" x14ac:dyDescent="0.25">
      <c r="C696" s="6">
        <v>689</v>
      </c>
      <c r="D696" s="35">
        <v>42984</v>
      </c>
      <c r="E696" s="37">
        <v>17.616</v>
      </c>
      <c r="F696" s="37">
        <v>45.035090984009678</v>
      </c>
      <c r="G696" s="37">
        <v>39.49</v>
      </c>
      <c r="H696" s="37">
        <v>2.7148990469607752</v>
      </c>
      <c r="I696" s="37">
        <v>71.860087993300823</v>
      </c>
      <c r="J696" s="10">
        <v>0</v>
      </c>
      <c r="K696" s="38">
        <v>0</v>
      </c>
      <c r="L696" s="38">
        <v>0</v>
      </c>
      <c r="M696" s="38">
        <v>0</v>
      </c>
      <c r="N696" s="38">
        <v>0</v>
      </c>
      <c r="O696" s="38">
        <v>0</v>
      </c>
      <c r="P696" s="38">
        <v>0</v>
      </c>
      <c r="Q696" s="38">
        <v>0</v>
      </c>
      <c r="R696" s="38">
        <v>1</v>
      </c>
      <c r="S696" s="38">
        <v>0</v>
      </c>
      <c r="T696" s="38">
        <v>0</v>
      </c>
      <c r="U696" s="29" cm="1">
        <f t="array" aca="1" ref="U696" ca="1">+fair_value_gap(OFFSET(T695,0,0,-1*$J$5,-1*$AA$1),OFFSET(E695,0,0,-1*$J$5,1),F696:T696,0)</f>
        <v>17.667137622381112</v>
      </c>
      <c r="V696" s="9" cm="1">
        <f t="array" aca="1" ref="V696" ca="1">z_score_diff(OFFSET(U696,0,0,$J$5*-1,1),OFFSET(E696,0,0,$J$5*-1,1))</f>
        <v>-0.41981508665067291</v>
      </c>
      <c r="W696" s="9">
        <f t="shared" ca="1" si="101"/>
        <v>-0.29658680340161053</v>
      </c>
      <c r="X696" s="17">
        <f t="shared" ca="1" si="100"/>
        <v>-3.4477212967784401E-2</v>
      </c>
      <c r="Y696" s="13">
        <f t="shared" si="108"/>
        <v>0</v>
      </c>
      <c r="Z696" s="13">
        <f t="shared" si="108"/>
        <v>0</v>
      </c>
      <c r="AA696">
        <f t="shared" ca="1" si="102"/>
        <v>1</v>
      </c>
      <c r="AB696">
        <f t="shared" ca="1" si="103"/>
        <v>0</v>
      </c>
      <c r="AC696" s="24">
        <f t="shared" ca="1" si="104"/>
        <v>-3.4477212967784401E-2</v>
      </c>
      <c r="AD696" s="24">
        <f t="shared" ca="1" si="105"/>
        <v>0</v>
      </c>
    </row>
    <row r="697" spans="3:30" x14ac:dyDescent="0.25">
      <c r="C697" s="6">
        <v>690</v>
      </c>
      <c r="D697" s="35">
        <v>42985</v>
      </c>
      <c r="E697" s="37">
        <v>17.623000000000001</v>
      </c>
      <c r="F697" s="37">
        <v>44.760029417263127</v>
      </c>
      <c r="G697" s="37">
        <v>39.450000000000003</v>
      </c>
      <c r="H697" s="37">
        <v>2.6847782134365734</v>
      </c>
      <c r="I697" s="37">
        <v>71.648989131589545</v>
      </c>
      <c r="J697" s="10">
        <v>0</v>
      </c>
      <c r="K697" s="38">
        <v>0</v>
      </c>
      <c r="L697" s="38">
        <v>0</v>
      </c>
      <c r="M697" s="38">
        <v>0</v>
      </c>
      <c r="N697" s="38">
        <v>0</v>
      </c>
      <c r="O697" s="38">
        <v>0</v>
      </c>
      <c r="P697" s="38">
        <v>0</v>
      </c>
      <c r="Q697" s="38">
        <v>0</v>
      </c>
      <c r="R697" s="38">
        <v>1</v>
      </c>
      <c r="S697" s="38">
        <v>0</v>
      </c>
      <c r="T697" s="38">
        <v>0</v>
      </c>
      <c r="U697" s="29" cm="1">
        <f t="array" aca="1" ref="U697" ca="1">+fair_value_gap(OFFSET(T696,0,0,-1*$J$5,-1*$AA$1),OFFSET(E696,0,0,-1*$J$5,1),F697:T697,0)</f>
        <v>17.603418271747657</v>
      </c>
      <c r="V697" s="9" cm="1">
        <f t="array" aca="1" ref="V697" ca="1">z_score_diff(OFFSET(U697,0,0,$J$5*-1,1),OFFSET(E697,0,0,$J$5*-1,1))</f>
        <v>-0.51955582264024192</v>
      </c>
      <c r="W697" s="9">
        <f t="shared" ca="1" si="101"/>
        <v>-0.29490748387792343</v>
      </c>
      <c r="X697" s="17">
        <f t="shared" ca="1" si="100"/>
        <v>-2.9191168527662081E-2</v>
      </c>
      <c r="Y697" s="13">
        <f t="shared" ref="Y697:Z712" si="109">+Y696</f>
        <v>0</v>
      </c>
      <c r="Z697" s="13">
        <f t="shared" si="109"/>
        <v>0</v>
      </c>
      <c r="AA697">
        <f t="shared" ca="1" si="102"/>
        <v>1</v>
      </c>
      <c r="AB697">
        <f t="shared" ca="1" si="103"/>
        <v>0</v>
      </c>
      <c r="AC697" s="24">
        <f t="shared" ca="1" si="104"/>
        <v>-2.9191168527662081E-2</v>
      </c>
      <c r="AD697" s="24">
        <f t="shared" ca="1" si="105"/>
        <v>0</v>
      </c>
    </row>
    <row r="698" spans="3:30" x14ac:dyDescent="0.25">
      <c r="C698" s="6">
        <v>691</v>
      </c>
      <c r="D698" s="35">
        <v>42986</v>
      </c>
      <c r="E698" s="37">
        <v>17.66</v>
      </c>
      <c r="F698" s="37">
        <v>44.028573309631973</v>
      </c>
      <c r="G698" s="37">
        <v>40.15</v>
      </c>
      <c r="H698" s="37">
        <v>2.6285469747843835</v>
      </c>
      <c r="I698" s="37">
        <v>72.461979063796164</v>
      </c>
      <c r="J698" s="10">
        <v>0</v>
      </c>
      <c r="K698" s="38">
        <v>0</v>
      </c>
      <c r="L698" s="38">
        <v>0</v>
      </c>
      <c r="M698" s="38">
        <v>0</v>
      </c>
      <c r="N698" s="38">
        <v>0</v>
      </c>
      <c r="O698" s="38">
        <v>0</v>
      </c>
      <c r="P698" s="38">
        <v>0</v>
      </c>
      <c r="Q698" s="38">
        <v>0</v>
      </c>
      <c r="R698" s="38">
        <v>1</v>
      </c>
      <c r="S698" s="38">
        <v>0</v>
      </c>
      <c r="T698" s="38">
        <v>0</v>
      </c>
      <c r="U698" s="29" cm="1">
        <f t="array" aca="1" ref="U698" ca="1">+fair_value_gap(OFFSET(T697,0,0,-1*$J$5,-1*$AA$1),OFFSET(E697,0,0,-1*$J$5,1),F698:T698,0)</f>
        <v>17.719585544032398</v>
      </c>
      <c r="V698" s="9" cm="1">
        <f t="array" aca="1" ref="V698" ca="1">z_score_diff(OFFSET(U698,0,0,$J$5*-1,1),OFFSET(E698,0,0,$J$5*-1,1))</f>
        <v>-0.40161292912435043</v>
      </c>
      <c r="W698" s="9">
        <f t="shared" ca="1" si="101"/>
        <v>-0.28470686702846904</v>
      </c>
      <c r="X698" s="17">
        <f t="shared" ca="1" si="100"/>
        <v>-3.5914745612408892E-2</v>
      </c>
      <c r="Y698" s="13">
        <f t="shared" si="109"/>
        <v>0</v>
      </c>
      <c r="Z698" s="13">
        <f t="shared" si="109"/>
        <v>0</v>
      </c>
      <c r="AA698">
        <f t="shared" ca="1" si="102"/>
        <v>1</v>
      </c>
      <c r="AB698">
        <f t="shared" ca="1" si="103"/>
        <v>0</v>
      </c>
      <c r="AC698" s="24">
        <f t="shared" ca="1" si="104"/>
        <v>-3.5914745612408892E-2</v>
      </c>
      <c r="AD698" s="24">
        <f t="shared" ca="1" si="105"/>
        <v>0</v>
      </c>
    </row>
    <row r="699" spans="3:30" x14ac:dyDescent="0.25">
      <c r="C699" s="6">
        <v>692</v>
      </c>
      <c r="D699" s="35">
        <v>42989</v>
      </c>
      <c r="E699" s="37">
        <v>17.983000000000001</v>
      </c>
      <c r="F699" s="37">
        <v>44.533614761037718</v>
      </c>
      <c r="G699" s="37">
        <v>40.479999999999997</v>
      </c>
      <c r="H699" s="37">
        <v>2.6930576932316526</v>
      </c>
      <c r="I699" s="37">
        <v>73.642826492861857</v>
      </c>
      <c r="J699" s="10">
        <v>0</v>
      </c>
      <c r="K699" s="38">
        <v>0</v>
      </c>
      <c r="L699" s="38">
        <v>0</v>
      </c>
      <c r="M699" s="38">
        <v>0</v>
      </c>
      <c r="N699" s="38">
        <v>0</v>
      </c>
      <c r="O699" s="38">
        <v>0</v>
      </c>
      <c r="P699" s="38">
        <v>0</v>
      </c>
      <c r="Q699" s="38">
        <v>0</v>
      </c>
      <c r="R699" s="38">
        <v>1</v>
      </c>
      <c r="S699" s="38">
        <v>0</v>
      </c>
      <c r="T699" s="38">
        <v>0</v>
      </c>
      <c r="U699" s="29" cm="1">
        <f t="array" aca="1" ref="U699" ca="1">+fair_value_gap(OFFSET(T698,0,0,-1*$J$5,-1*$AA$1),OFFSET(E698,0,0,-1*$J$5,1),F699:T699,0)</f>
        <v>17.908515746578821</v>
      </c>
      <c r="V699" s="9" cm="1">
        <f t="array" aca="1" ref="V699" ca="1">z_score_diff(OFFSET(U699,0,0,$J$5*-1,1),OFFSET(E699,0,0,$J$5*-1,1))</f>
        <v>-0.62045248118341978</v>
      </c>
      <c r="W699" s="9">
        <f t="shared" ca="1" si="101"/>
        <v>-0.29149990432736117</v>
      </c>
      <c r="X699" s="17">
        <f t="shared" ca="1" si="100"/>
        <v>-4.9588458587745146E-2</v>
      </c>
      <c r="Y699" s="13">
        <f t="shared" si="109"/>
        <v>0</v>
      </c>
      <c r="Z699" s="13">
        <f t="shared" si="109"/>
        <v>0</v>
      </c>
      <c r="AA699">
        <f t="shared" ca="1" si="102"/>
        <v>1</v>
      </c>
      <c r="AB699">
        <f t="shared" ca="1" si="103"/>
        <v>0</v>
      </c>
      <c r="AC699" s="24">
        <f t="shared" ca="1" si="104"/>
        <v>-4.9588458587745146E-2</v>
      </c>
      <c r="AD699" s="24">
        <f t="shared" ca="1" si="105"/>
        <v>0</v>
      </c>
    </row>
    <row r="700" spans="3:30" x14ac:dyDescent="0.25">
      <c r="C700" s="6">
        <v>693</v>
      </c>
      <c r="D700" s="35">
        <v>42990</v>
      </c>
      <c r="E700" s="37">
        <v>17.898</v>
      </c>
      <c r="F700" s="37">
        <v>44.684904795247299</v>
      </c>
      <c r="G700" s="37">
        <v>40.299999999999997</v>
      </c>
      <c r="H700" s="37">
        <v>2.7163522418596338</v>
      </c>
      <c r="I700" s="37">
        <v>73.371305984416992</v>
      </c>
      <c r="J700" s="10">
        <v>0</v>
      </c>
      <c r="K700" s="38">
        <v>0</v>
      </c>
      <c r="L700" s="38">
        <v>0</v>
      </c>
      <c r="M700" s="38">
        <v>0</v>
      </c>
      <c r="N700" s="38">
        <v>0</v>
      </c>
      <c r="O700" s="38">
        <v>0</v>
      </c>
      <c r="P700" s="38">
        <v>0</v>
      </c>
      <c r="Q700" s="38">
        <v>0</v>
      </c>
      <c r="R700" s="38">
        <v>1</v>
      </c>
      <c r="S700" s="38">
        <v>0</v>
      </c>
      <c r="T700" s="38">
        <v>0</v>
      </c>
      <c r="U700" s="29" cm="1">
        <f t="array" aca="1" ref="U700" ca="1">+fair_value_gap(OFFSET(T699,0,0,-1*$J$5,-1*$AA$1),OFFSET(E699,0,0,-1*$J$5,1),F700:T700,0)</f>
        <v>17.887230413745215</v>
      </c>
      <c r="V700" s="9" cm="1">
        <f t="array" aca="1" ref="V700" ca="1">z_score_diff(OFFSET(U700,0,0,$J$5*-1,1),OFFSET(E700,0,0,$J$5*-1,1))</f>
        <v>-0.50779808543926586</v>
      </c>
      <c r="W700" s="9">
        <f t="shared" ca="1" si="101"/>
        <v>-0.31332335070155992</v>
      </c>
      <c r="X700" s="17">
        <f t="shared" ca="1" si="100"/>
        <v>-4.2865743563952237E-2</v>
      </c>
      <c r="Y700" s="13">
        <f t="shared" si="109"/>
        <v>0</v>
      </c>
      <c r="Z700" s="13">
        <f t="shared" si="109"/>
        <v>0</v>
      </c>
      <c r="AA700">
        <f t="shared" ca="1" si="102"/>
        <v>1</v>
      </c>
      <c r="AB700">
        <f t="shared" ca="1" si="103"/>
        <v>0</v>
      </c>
      <c r="AC700" s="24">
        <f t="shared" ca="1" si="104"/>
        <v>-4.2865743563952237E-2</v>
      </c>
      <c r="AD700" s="24">
        <f t="shared" ca="1" si="105"/>
        <v>0</v>
      </c>
    </row>
    <row r="701" spans="3:30" x14ac:dyDescent="0.25">
      <c r="C701" s="6">
        <v>694</v>
      </c>
      <c r="D701" s="35">
        <v>42991</v>
      </c>
      <c r="E701" s="37">
        <v>17.977</v>
      </c>
      <c r="F701" s="37">
        <v>45.513697431804431</v>
      </c>
      <c r="G701" s="37">
        <v>41.11</v>
      </c>
      <c r="H701" s="37">
        <v>2.766812908127815</v>
      </c>
      <c r="I701" s="37">
        <v>75.64788077627388</v>
      </c>
      <c r="J701" s="10">
        <v>0</v>
      </c>
      <c r="K701" s="38">
        <v>0</v>
      </c>
      <c r="L701" s="38">
        <v>0</v>
      </c>
      <c r="M701" s="38">
        <v>0</v>
      </c>
      <c r="N701" s="38">
        <v>0</v>
      </c>
      <c r="O701" s="38">
        <v>0</v>
      </c>
      <c r="P701" s="38">
        <v>0</v>
      </c>
      <c r="Q701" s="38">
        <v>0</v>
      </c>
      <c r="R701" s="38">
        <v>1</v>
      </c>
      <c r="S701" s="38">
        <v>0</v>
      </c>
      <c r="T701" s="38">
        <v>0</v>
      </c>
      <c r="U701" s="29" cm="1">
        <f t="array" aca="1" ref="U701" ca="1">+fair_value_gap(OFFSET(T700,0,0,-1*$J$5,-1*$AA$1),OFFSET(E700,0,0,-1*$J$5,1),F701:T701,0)</f>
        <v>18.250747237489445</v>
      </c>
      <c r="V701" s="9" cm="1">
        <f t="array" aca="1" ref="V701" ca="1">z_score_diff(OFFSET(U701,0,0,$J$5*-1,1),OFFSET(E701,0,0,$J$5*-1,1))</f>
        <v>-6.597849890172891E-2</v>
      </c>
      <c r="W701" s="9">
        <f t="shared" ca="1" si="101"/>
        <v>-0.29430638145086319</v>
      </c>
      <c r="X701" s="17">
        <f t="shared" ca="1" si="100"/>
        <v>-4.6803486753865892E-2</v>
      </c>
      <c r="Y701" s="13">
        <f t="shared" si="109"/>
        <v>0</v>
      </c>
      <c r="Z701" s="13">
        <f t="shared" si="109"/>
        <v>0</v>
      </c>
      <c r="AA701">
        <f t="shared" ca="1" si="102"/>
        <v>1</v>
      </c>
      <c r="AB701">
        <f t="shared" ca="1" si="103"/>
        <v>0</v>
      </c>
      <c r="AC701" s="24">
        <f t="shared" ca="1" si="104"/>
        <v>-4.6803486753865892E-2</v>
      </c>
      <c r="AD701" s="24">
        <f t="shared" ca="1" si="105"/>
        <v>0</v>
      </c>
    </row>
    <row r="702" spans="3:30" x14ac:dyDescent="0.25">
      <c r="C702" s="6">
        <v>695</v>
      </c>
      <c r="D702" s="35">
        <v>42992</v>
      </c>
      <c r="E702" s="37">
        <v>18.244</v>
      </c>
      <c r="F702" s="37">
        <v>45.718597132076226</v>
      </c>
      <c r="G702" s="37">
        <v>42.23</v>
      </c>
      <c r="H702" s="37">
        <v>2.7587375950289541</v>
      </c>
      <c r="I702" s="37">
        <v>76.031472875044969</v>
      </c>
      <c r="J702" s="10">
        <v>0</v>
      </c>
      <c r="K702" s="38">
        <v>0</v>
      </c>
      <c r="L702" s="38">
        <v>0</v>
      </c>
      <c r="M702" s="38">
        <v>0</v>
      </c>
      <c r="N702" s="38">
        <v>0</v>
      </c>
      <c r="O702" s="38">
        <v>0</v>
      </c>
      <c r="P702" s="38">
        <v>0</v>
      </c>
      <c r="Q702" s="38">
        <v>0</v>
      </c>
      <c r="R702" s="38">
        <v>1</v>
      </c>
      <c r="S702" s="38">
        <v>0</v>
      </c>
      <c r="T702" s="38">
        <v>0</v>
      </c>
      <c r="U702" s="29" cm="1">
        <f t="array" aca="1" ref="U702" ca="1">+fair_value_gap(OFFSET(T701,0,0,-1*$J$5,-1*$AA$1),OFFSET(E701,0,0,-1*$J$5,1),F702:T702,0)</f>
        <v>18.515229127522073</v>
      </c>
      <c r="V702" s="9" cm="1">
        <f t="array" aca="1" ref="V702" ca="1">z_score_diff(OFFSET(U702,0,0,$J$5*-1,1),OFFSET(E702,0,0,$J$5*-1,1))</f>
        <v>-7.5337298703773481E-2</v>
      </c>
      <c r="W702" s="9">
        <f t="shared" ca="1" si="101"/>
        <v>-0.28633685509619633</v>
      </c>
      <c r="X702" s="17">
        <f t="shared" ca="1" si="100"/>
        <v>-6.2071348592889798E-2</v>
      </c>
      <c r="Y702" s="13">
        <f t="shared" si="109"/>
        <v>0</v>
      </c>
      <c r="Z702" s="13">
        <f t="shared" si="109"/>
        <v>0</v>
      </c>
      <c r="AA702">
        <f t="shared" ca="1" si="102"/>
        <v>1</v>
      </c>
      <c r="AB702">
        <f t="shared" ca="1" si="103"/>
        <v>0</v>
      </c>
      <c r="AC702" s="24">
        <f t="shared" ca="1" si="104"/>
        <v>-6.2071348592889798E-2</v>
      </c>
      <c r="AD702" s="24">
        <f t="shared" ca="1" si="105"/>
        <v>0</v>
      </c>
    </row>
    <row r="703" spans="3:30" x14ac:dyDescent="0.25">
      <c r="C703" s="6">
        <v>696</v>
      </c>
      <c r="D703" s="35">
        <v>42993</v>
      </c>
      <c r="E703" s="37">
        <v>17.867999999999999</v>
      </c>
      <c r="F703" s="37">
        <v>45.835959006334782</v>
      </c>
      <c r="G703" s="37">
        <v>41.58</v>
      </c>
      <c r="H703" s="37">
        <v>2.7345693343504363</v>
      </c>
      <c r="I703" s="37">
        <v>74.665848562236732</v>
      </c>
      <c r="J703" s="10">
        <v>0</v>
      </c>
      <c r="K703" s="38">
        <v>0</v>
      </c>
      <c r="L703" s="38">
        <v>0</v>
      </c>
      <c r="M703" s="38">
        <v>0</v>
      </c>
      <c r="N703" s="38">
        <v>0</v>
      </c>
      <c r="O703" s="38">
        <v>0</v>
      </c>
      <c r="P703" s="38">
        <v>0</v>
      </c>
      <c r="Q703" s="38">
        <v>0</v>
      </c>
      <c r="R703" s="38">
        <v>1</v>
      </c>
      <c r="S703" s="38">
        <v>0</v>
      </c>
      <c r="T703" s="38">
        <v>0</v>
      </c>
      <c r="U703" s="29" cm="1">
        <f t="array" aca="1" ref="U703" ca="1">+fair_value_gap(OFFSET(T702,0,0,-1*$J$5,-1*$AA$1),OFFSET(E702,0,0,-1*$J$5,1),F703:T703,0)</f>
        <v>18.258322560102808</v>
      </c>
      <c r="V703" s="9" cm="1">
        <f t="array" aca="1" ref="V703" ca="1">z_score_diff(OFFSET(U703,0,0,$J$5*-1,1),OFFSET(E703,0,0,$J$5*-1,1))</f>
        <v>0.12128294861148237</v>
      </c>
      <c r="W703" s="9">
        <f t="shared" ca="1" si="101"/>
        <v>-0.2743774902455075</v>
      </c>
      <c r="X703" s="17">
        <f t="shared" ca="1" si="100"/>
        <v>-3.1553739092933221E-2</v>
      </c>
      <c r="Y703" s="13">
        <f t="shared" si="109"/>
        <v>0</v>
      </c>
      <c r="Z703" s="13">
        <f t="shared" si="109"/>
        <v>0</v>
      </c>
      <c r="AA703">
        <f t="shared" ca="1" si="102"/>
        <v>1</v>
      </c>
      <c r="AB703">
        <f t="shared" ca="1" si="103"/>
        <v>0</v>
      </c>
      <c r="AC703" s="24">
        <f t="shared" ca="1" si="104"/>
        <v>-3.1553739092933221E-2</v>
      </c>
      <c r="AD703" s="24">
        <f t="shared" ca="1" si="105"/>
        <v>0</v>
      </c>
    </row>
    <row r="704" spans="3:30" x14ac:dyDescent="0.25">
      <c r="C704" s="6">
        <v>697</v>
      </c>
      <c r="D704" s="35">
        <v>42996</v>
      </c>
      <c r="E704" s="37">
        <v>17.777999999999999</v>
      </c>
      <c r="F704" s="37">
        <v>45.540916417757145</v>
      </c>
      <c r="G704" s="37">
        <v>41.58</v>
      </c>
      <c r="H704" s="37">
        <v>2.8005427138675318</v>
      </c>
      <c r="I704" s="37">
        <v>74.010201562870151</v>
      </c>
      <c r="J704" s="10">
        <v>0</v>
      </c>
      <c r="K704" s="38">
        <v>0</v>
      </c>
      <c r="L704" s="38">
        <v>0</v>
      </c>
      <c r="M704" s="38">
        <v>0</v>
      </c>
      <c r="N704" s="38">
        <v>0</v>
      </c>
      <c r="O704" s="38">
        <v>0</v>
      </c>
      <c r="P704" s="38">
        <v>0</v>
      </c>
      <c r="Q704" s="38">
        <v>0</v>
      </c>
      <c r="R704" s="38">
        <v>1</v>
      </c>
      <c r="S704" s="38">
        <v>0</v>
      </c>
      <c r="T704" s="38">
        <v>0</v>
      </c>
      <c r="U704" s="29" cm="1">
        <f t="array" aca="1" ref="U704" ca="1">+fair_value_gap(OFFSET(T703,0,0,-1*$J$5,-1*$AA$1),OFFSET(E703,0,0,-1*$J$5,1),F704:T704,0)</f>
        <v>18.210576165626023</v>
      </c>
      <c r="V704" s="9" cm="1">
        <f t="array" aca="1" ref="V704" ca="1">z_score_diff(OFFSET(U704,0,0,$J$5*-1,1),OFFSET(E704,0,0,$J$5*-1,1))</f>
        <v>0.18492738827599542</v>
      </c>
      <c r="W704" s="9">
        <f t="shared" ca="1" si="101"/>
        <v>-0.25037660261044448</v>
      </c>
      <c r="X704" s="17">
        <f t="shared" ca="1" si="100"/>
        <v>-1.9080647014689221E-2</v>
      </c>
      <c r="Y704" s="13">
        <f t="shared" si="109"/>
        <v>0</v>
      </c>
      <c r="Z704" s="13">
        <f t="shared" si="109"/>
        <v>0</v>
      </c>
      <c r="AA704">
        <f t="shared" ca="1" si="102"/>
        <v>1</v>
      </c>
      <c r="AB704">
        <f t="shared" ca="1" si="103"/>
        <v>0</v>
      </c>
      <c r="AC704" s="24">
        <f t="shared" ca="1" si="104"/>
        <v>-1.9080647014689221E-2</v>
      </c>
      <c r="AD704" s="24">
        <f t="shared" ca="1" si="105"/>
        <v>0</v>
      </c>
    </row>
    <row r="705" spans="3:30" x14ac:dyDescent="0.25">
      <c r="C705" s="6">
        <v>698</v>
      </c>
      <c r="D705" s="35">
        <v>42997</v>
      </c>
      <c r="E705" s="37">
        <v>17.850000000000001</v>
      </c>
      <c r="F705" s="37">
        <v>45.041252736150867</v>
      </c>
      <c r="G705" s="37">
        <v>42</v>
      </c>
      <c r="H705" s="37">
        <v>2.7815470353825988</v>
      </c>
      <c r="I705" s="37">
        <v>74.903677584857817</v>
      </c>
      <c r="J705" s="10">
        <v>0</v>
      </c>
      <c r="K705" s="38">
        <v>0</v>
      </c>
      <c r="L705" s="38">
        <v>0</v>
      </c>
      <c r="M705" s="38">
        <v>0</v>
      </c>
      <c r="N705" s="38">
        <v>0</v>
      </c>
      <c r="O705" s="38">
        <v>0</v>
      </c>
      <c r="P705" s="38">
        <v>0</v>
      </c>
      <c r="Q705" s="38">
        <v>0</v>
      </c>
      <c r="R705" s="38">
        <v>1</v>
      </c>
      <c r="S705" s="38">
        <v>0</v>
      </c>
      <c r="T705" s="38">
        <v>0</v>
      </c>
      <c r="U705" s="29" cm="1">
        <f t="array" aca="1" ref="U705" ca="1">+fair_value_gap(OFFSET(T704,0,0,-1*$J$5,-1*$AA$1),OFFSET(E704,0,0,-1*$J$5,1),F705:T705,0)</f>
        <v>18.272072518536604</v>
      </c>
      <c r="V705" s="9" cm="1">
        <f t="array" aca="1" ref="V705" ca="1">z_score_diff(OFFSET(U705,0,0,$J$5*-1,1),OFFSET(E705,0,0,$J$5*-1,1))</f>
        <v>0.16075507326708172</v>
      </c>
      <c r="W705" s="9">
        <f t="shared" ca="1" si="101"/>
        <v>-0.22915947889887045</v>
      </c>
      <c r="X705" s="17">
        <f t="shared" ca="1" si="100"/>
        <v>-2.4441943730323514E-2</v>
      </c>
      <c r="Y705" s="13">
        <f t="shared" si="109"/>
        <v>0</v>
      </c>
      <c r="Z705" s="13">
        <f t="shared" si="109"/>
        <v>0</v>
      </c>
      <c r="AA705">
        <f t="shared" ca="1" si="102"/>
        <v>1</v>
      </c>
      <c r="AB705">
        <f t="shared" ca="1" si="103"/>
        <v>0</v>
      </c>
      <c r="AC705" s="24">
        <f t="shared" ca="1" si="104"/>
        <v>-2.4441943730323514E-2</v>
      </c>
      <c r="AD705" s="24">
        <f t="shared" ca="1" si="105"/>
        <v>0</v>
      </c>
    </row>
    <row r="706" spans="3:30" x14ac:dyDescent="0.25">
      <c r="C706" s="6">
        <v>699</v>
      </c>
      <c r="D706" s="35">
        <v>42998</v>
      </c>
      <c r="E706" s="37">
        <v>17.760000000000002</v>
      </c>
      <c r="F706" s="37">
        <v>46.092309485259534</v>
      </c>
      <c r="G706" s="37">
        <v>41.75</v>
      </c>
      <c r="H706" s="37">
        <v>2.7895128966065506</v>
      </c>
      <c r="I706" s="37">
        <v>75.710593239739126</v>
      </c>
      <c r="J706" s="10">
        <v>0</v>
      </c>
      <c r="K706" s="38">
        <v>0</v>
      </c>
      <c r="L706" s="38">
        <v>0</v>
      </c>
      <c r="M706" s="38">
        <v>0</v>
      </c>
      <c r="N706" s="38">
        <v>0</v>
      </c>
      <c r="O706" s="38">
        <v>0</v>
      </c>
      <c r="P706" s="38">
        <v>0</v>
      </c>
      <c r="Q706" s="38">
        <v>0</v>
      </c>
      <c r="R706" s="38">
        <v>1</v>
      </c>
      <c r="S706" s="38">
        <v>0</v>
      </c>
      <c r="T706" s="38">
        <v>0</v>
      </c>
      <c r="U706" s="29" cm="1">
        <f t="array" aca="1" ref="U706" ca="1">+fair_value_gap(OFFSET(T705,0,0,-1*$J$5,-1*$AA$1),OFFSET(E705,0,0,-1*$J$5,1),F706:T706,0)</f>
        <v>18.251157780660439</v>
      </c>
      <c r="V706" s="9" cm="1">
        <f t="array" aca="1" ref="V706" ca="1">z_score_diff(OFFSET(U706,0,0,$J$5*-1,1),OFFSET(E706,0,0,$J$5*-1,1))</f>
        <v>0.2581933176369875</v>
      </c>
      <c r="W706" s="9">
        <f t="shared" ca="1" si="101"/>
        <v>-0.20060834825793031</v>
      </c>
      <c r="X706" s="17">
        <f t="shared" ca="1" si="100"/>
        <v>-1.3035038630880938E-2</v>
      </c>
      <c r="Y706" s="13">
        <f t="shared" si="109"/>
        <v>0</v>
      </c>
      <c r="Z706" s="13">
        <f t="shared" si="109"/>
        <v>0</v>
      </c>
      <c r="AA706">
        <f t="shared" ca="1" si="102"/>
        <v>1</v>
      </c>
      <c r="AB706">
        <f t="shared" ca="1" si="103"/>
        <v>0</v>
      </c>
      <c r="AC706" s="24">
        <f t="shared" ca="1" si="104"/>
        <v>-1.3035038630880938E-2</v>
      </c>
      <c r="AD706" s="24">
        <f t="shared" ca="1" si="105"/>
        <v>0</v>
      </c>
    </row>
    <row r="707" spans="3:30" x14ac:dyDescent="0.25">
      <c r="C707" s="6">
        <v>700</v>
      </c>
      <c r="D707" s="35">
        <v>42999</v>
      </c>
      <c r="E707" s="37">
        <v>17.655000000000001</v>
      </c>
      <c r="F707" s="37">
        <v>46.013986593762823</v>
      </c>
      <c r="G707" s="37">
        <v>41.23</v>
      </c>
      <c r="H707" s="37">
        <v>2.6845637583892614</v>
      </c>
      <c r="I707" s="37">
        <v>73.995464927807774</v>
      </c>
      <c r="J707" s="10">
        <v>0</v>
      </c>
      <c r="K707" s="38">
        <v>0</v>
      </c>
      <c r="L707" s="38">
        <v>0</v>
      </c>
      <c r="M707" s="38">
        <v>0</v>
      </c>
      <c r="N707" s="38">
        <v>0</v>
      </c>
      <c r="O707" s="38">
        <v>0</v>
      </c>
      <c r="P707" s="38">
        <v>0</v>
      </c>
      <c r="Q707" s="38">
        <v>0</v>
      </c>
      <c r="R707" s="38">
        <v>1</v>
      </c>
      <c r="S707" s="38">
        <v>0</v>
      </c>
      <c r="T707" s="38">
        <v>0</v>
      </c>
      <c r="U707" s="29" cm="1">
        <f t="array" aca="1" ref="U707" ca="1">+fair_value_gap(OFFSET(T706,0,0,-1*$J$5,-1*$AA$1),OFFSET(E706,0,0,-1*$J$5,1),F707:T707,0)</f>
        <v>17.970031913495667</v>
      </c>
      <c r="V707" s="9" cm="1">
        <f t="array" aca="1" ref="V707" ca="1">z_score_diff(OFFSET(U707,0,0,$J$5*-1,1),OFFSET(E707,0,0,$J$5*-1,1))</f>
        <v>3.558247761280775E-3</v>
      </c>
      <c r="W707" s="9">
        <f t="shared" ca="1" si="101"/>
        <v>-0.18691382466105808</v>
      </c>
      <c r="X707" s="17">
        <f t="shared" ca="1" si="100"/>
        <v>-1.6850320148145664E-2</v>
      </c>
      <c r="Y707" s="13">
        <f t="shared" si="109"/>
        <v>0</v>
      </c>
      <c r="Z707" s="13">
        <f t="shared" si="109"/>
        <v>0</v>
      </c>
      <c r="AA707">
        <f t="shared" ca="1" si="102"/>
        <v>1</v>
      </c>
      <c r="AB707">
        <f t="shared" ca="1" si="103"/>
        <v>0</v>
      </c>
      <c r="AC707" s="24">
        <f t="shared" ca="1" si="104"/>
        <v>-1.6850320148145664E-2</v>
      </c>
      <c r="AD707" s="24">
        <f t="shared" ca="1" si="105"/>
        <v>0</v>
      </c>
    </row>
    <row r="708" spans="3:30" x14ac:dyDescent="0.25">
      <c r="C708" s="6">
        <v>701</v>
      </c>
      <c r="D708" s="35">
        <v>43000</v>
      </c>
      <c r="E708" s="37">
        <v>17.542000000000002</v>
      </c>
      <c r="F708" s="37">
        <v>46.121183616960671</v>
      </c>
      <c r="G708" s="37">
        <v>41.06</v>
      </c>
      <c r="H708" s="37">
        <v>2.6960605719357975</v>
      </c>
      <c r="I708" s="37">
        <v>74.025741747868651</v>
      </c>
      <c r="J708" s="10">
        <v>0</v>
      </c>
      <c r="K708" s="38">
        <v>0</v>
      </c>
      <c r="L708" s="38">
        <v>0</v>
      </c>
      <c r="M708" s="38">
        <v>0</v>
      </c>
      <c r="N708" s="38">
        <v>0</v>
      </c>
      <c r="O708" s="38">
        <v>0</v>
      </c>
      <c r="P708" s="38">
        <v>0</v>
      </c>
      <c r="Q708" s="38">
        <v>0</v>
      </c>
      <c r="R708" s="38">
        <v>1</v>
      </c>
      <c r="S708" s="38">
        <v>0</v>
      </c>
      <c r="T708" s="38">
        <v>0</v>
      </c>
      <c r="U708" s="29" cm="1">
        <f t="array" aca="1" ref="U708" ca="1">+fair_value_gap(OFFSET(T707,0,0,-1*$J$5,-1*$AA$1),OFFSET(E707,0,0,-1*$J$5,1),F708:T708,0)</f>
        <v>17.914467274150461</v>
      </c>
      <c r="V708" s="9" cm="1">
        <f t="array" aca="1" ref="V708" ca="1">z_score_diff(OFFSET(U708,0,0,$J$5*-1,1),OFFSET(E708,0,0,$J$5*-1,1))</f>
        <v>9.5658374878112795E-2</v>
      </c>
      <c r="W708" s="9">
        <f t="shared" ca="1" si="101"/>
        <v>-0.17020568606039088</v>
      </c>
      <c r="X708" s="17">
        <f t="shared" ca="1" si="100"/>
        <v>-2.4934917625087847E-2</v>
      </c>
      <c r="Y708" s="13">
        <f t="shared" si="109"/>
        <v>0</v>
      </c>
      <c r="Z708" s="13">
        <f t="shared" si="109"/>
        <v>0</v>
      </c>
      <c r="AA708">
        <f t="shared" ca="1" si="102"/>
        <v>1</v>
      </c>
      <c r="AB708">
        <f t="shared" ca="1" si="103"/>
        <v>0</v>
      </c>
      <c r="AC708" s="24">
        <f t="shared" ca="1" si="104"/>
        <v>-2.4934917625087847E-2</v>
      </c>
      <c r="AD708" s="24">
        <f t="shared" ca="1" si="105"/>
        <v>0</v>
      </c>
    </row>
    <row r="709" spans="3:30" x14ac:dyDescent="0.25">
      <c r="C709" s="6">
        <v>702</v>
      </c>
      <c r="D709" s="35">
        <v>43003</v>
      </c>
      <c r="E709" s="37">
        <v>18.050999999999998</v>
      </c>
      <c r="F709" s="37">
        <v>47.939879716002146</v>
      </c>
      <c r="G709" s="37">
        <v>41.98</v>
      </c>
      <c r="H709" s="37">
        <v>2.7010029791210965</v>
      </c>
      <c r="I709" s="37">
        <v>75.208818265261215</v>
      </c>
      <c r="J709" s="10">
        <v>0</v>
      </c>
      <c r="K709" s="38">
        <v>0</v>
      </c>
      <c r="L709" s="38">
        <v>0</v>
      </c>
      <c r="M709" s="38">
        <v>0</v>
      </c>
      <c r="N709" s="38">
        <v>0</v>
      </c>
      <c r="O709" s="38">
        <v>0</v>
      </c>
      <c r="P709" s="38">
        <v>0</v>
      </c>
      <c r="Q709" s="38">
        <v>0</v>
      </c>
      <c r="R709" s="38">
        <v>1</v>
      </c>
      <c r="S709" s="38">
        <v>0</v>
      </c>
      <c r="T709" s="38">
        <v>0</v>
      </c>
      <c r="U709" s="29" cm="1">
        <f t="array" aca="1" ref="U709" ca="1">+fair_value_gap(OFFSET(T708,0,0,-1*$J$5,-1*$AA$1),OFFSET(E708,0,0,-1*$J$5,1),F709:T709,0)</f>
        <v>18.277569369353458</v>
      </c>
      <c r="V709" s="9" cm="1">
        <f t="array" aca="1" ref="V709" ca="1">z_score_diff(OFFSET(U709,0,0,$J$5*-1,1),OFFSET(E709,0,0,$J$5*-1,1))</f>
        <v>-0.16836885221161713</v>
      </c>
      <c r="W709" s="9">
        <f t="shared" ca="1" si="101"/>
        <v>-0.16169410040244575</v>
      </c>
      <c r="X709" s="17">
        <f t="shared" ca="1" si="100"/>
        <v>-5.828331186185666E-2</v>
      </c>
      <c r="Y709" s="13">
        <f t="shared" si="109"/>
        <v>0</v>
      </c>
      <c r="Z709" s="13">
        <f t="shared" si="109"/>
        <v>0</v>
      </c>
      <c r="AA709">
        <f t="shared" ca="1" si="102"/>
        <v>1</v>
      </c>
      <c r="AB709">
        <f t="shared" ca="1" si="103"/>
        <v>0</v>
      </c>
      <c r="AC709" s="24">
        <f t="shared" ca="1" si="104"/>
        <v>-5.828331186185666E-2</v>
      </c>
      <c r="AD709" s="24">
        <f t="shared" ca="1" si="105"/>
        <v>0</v>
      </c>
    </row>
    <row r="710" spans="3:30" x14ac:dyDescent="0.25">
      <c r="C710" s="6">
        <v>703</v>
      </c>
      <c r="D710" s="35">
        <v>43004</v>
      </c>
      <c r="E710" s="37">
        <v>17.989000000000001</v>
      </c>
      <c r="F710" s="37">
        <v>47.931420552684273</v>
      </c>
      <c r="G710" s="37">
        <v>41.44</v>
      </c>
      <c r="H710" s="37">
        <v>2.7159179987477908</v>
      </c>
      <c r="I710" s="37">
        <v>74.863994279450836</v>
      </c>
      <c r="J710" s="10">
        <v>0</v>
      </c>
      <c r="K710" s="38">
        <v>0</v>
      </c>
      <c r="L710" s="38">
        <v>0</v>
      </c>
      <c r="M710" s="38">
        <v>0</v>
      </c>
      <c r="N710" s="38">
        <v>0</v>
      </c>
      <c r="O710" s="38">
        <v>0</v>
      </c>
      <c r="P710" s="38">
        <v>0</v>
      </c>
      <c r="Q710" s="38">
        <v>0</v>
      </c>
      <c r="R710" s="38">
        <v>1</v>
      </c>
      <c r="S710" s="38">
        <v>0</v>
      </c>
      <c r="T710" s="38">
        <v>0</v>
      </c>
      <c r="U710" s="29" cm="1">
        <f t="array" aca="1" ref="U710" ca="1">+fair_value_gap(OFFSET(T709,0,0,-1*$J$5,-1*$AA$1),OFFSET(E709,0,0,-1*$J$5,1),F710:T710,0)</f>
        <v>18.112188870546433</v>
      </c>
      <c r="V710" s="9" cm="1">
        <f t="array" aca="1" ref="V710" ca="1">z_score_diff(OFFSET(U710,0,0,$J$5*-1,1),OFFSET(E710,0,0,$J$5*-1,1))</f>
        <v>-0.31147749843922989</v>
      </c>
      <c r="W710" s="9">
        <f t="shared" ca="1" si="101"/>
        <v>-0.15612430613786932</v>
      </c>
      <c r="X710" s="17">
        <f t="shared" ca="1" si="100"/>
        <v>-5.5488852553183539E-2</v>
      </c>
      <c r="Y710" s="13">
        <f t="shared" si="109"/>
        <v>0</v>
      </c>
      <c r="Z710" s="13">
        <f t="shared" si="109"/>
        <v>0</v>
      </c>
      <c r="AA710">
        <f t="shared" ca="1" si="102"/>
        <v>1</v>
      </c>
      <c r="AB710">
        <f t="shared" ca="1" si="103"/>
        <v>0</v>
      </c>
      <c r="AC710" s="24">
        <f t="shared" ca="1" si="104"/>
        <v>-5.5488852553183539E-2</v>
      </c>
      <c r="AD710" s="24">
        <f t="shared" ca="1" si="105"/>
        <v>0</v>
      </c>
    </row>
    <row r="711" spans="3:30" x14ac:dyDescent="0.25">
      <c r="C711" s="6">
        <v>704</v>
      </c>
      <c r="D711" s="35">
        <v>43005</v>
      </c>
      <c r="E711" s="37">
        <v>18.021999999999998</v>
      </c>
      <c r="F711" s="37">
        <v>47.986682347707998</v>
      </c>
      <c r="G711" s="37">
        <v>41.37</v>
      </c>
      <c r="H711" s="37">
        <v>2.7691752962941747</v>
      </c>
      <c r="I711" s="37">
        <v>74.642206039447473</v>
      </c>
      <c r="J711" s="10">
        <v>0</v>
      </c>
      <c r="K711" s="38">
        <v>0</v>
      </c>
      <c r="L711" s="38">
        <v>0</v>
      </c>
      <c r="M711" s="38">
        <v>0</v>
      </c>
      <c r="N711" s="38">
        <v>0</v>
      </c>
      <c r="O711" s="38">
        <v>0</v>
      </c>
      <c r="P711" s="38">
        <v>0</v>
      </c>
      <c r="Q711" s="38">
        <v>0</v>
      </c>
      <c r="R711" s="38">
        <v>1</v>
      </c>
      <c r="S711" s="38">
        <v>0</v>
      </c>
      <c r="T711" s="38">
        <v>0</v>
      </c>
      <c r="U711" s="29" cm="1">
        <f t="array" aca="1" ref="U711" ca="1">+fair_value_gap(OFFSET(T710,0,0,-1*$J$5,-1*$AA$1),OFFSET(E710,0,0,-1*$J$5,1),F711:T711,0)</f>
        <v>18.107486903523657</v>
      </c>
      <c r="V711" s="9" cm="1">
        <f t="array" aca="1" ref="V711" ca="1">z_score_diff(OFFSET(U711,0,0,$J$5*-1,1),OFFSET(E711,0,0,$J$5*-1,1))</f>
        <v>-0.36611375399894031</v>
      </c>
      <c r="W711" s="9">
        <f t="shared" ca="1" si="101"/>
        <v>-0.1506260306438382</v>
      </c>
      <c r="X711" s="17">
        <f t="shared" ref="X711:X774" ca="1" si="110">+LN(OFFSET(E711,$X$3,0,1,1)/E711)</f>
        <v>-4.8429558903461234E-2</v>
      </c>
      <c r="Y711" s="13">
        <f t="shared" si="109"/>
        <v>0</v>
      </c>
      <c r="Z711" s="13">
        <f t="shared" si="109"/>
        <v>0</v>
      </c>
      <c r="AA711">
        <f t="shared" ca="1" si="102"/>
        <v>1</v>
      </c>
      <c r="AB711">
        <f t="shared" ca="1" si="103"/>
        <v>0</v>
      </c>
      <c r="AC711" s="24">
        <f t="shared" ca="1" si="104"/>
        <v>-4.8429558903461234E-2</v>
      </c>
      <c r="AD711" s="24">
        <f t="shared" ca="1" si="105"/>
        <v>0</v>
      </c>
    </row>
    <row r="712" spans="3:30" x14ac:dyDescent="0.25">
      <c r="C712" s="6">
        <v>705</v>
      </c>
      <c r="D712" s="35">
        <v>43006</v>
      </c>
      <c r="E712" s="37">
        <v>18.09</v>
      </c>
      <c r="F712" s="37">
        <v>47.380752702524596</v>
      </c>
      <c r="G712" s="37">
        <v>41.86</v>
      </c>
      <c r="H712" s="37">
        <v>2.4739737458245923</v>
      </c>
      <c r="I712" s="37">
        <v>72.867635268942863</v>
      </c>
      <c r="J712" s="10">
        <v>0</v>
      </c>
      <c r="K712" s="38">
        <v>0</v>
      </c>
      <c r="L712" s="38">
        <v>0</v>
      </c>
      <c r="M712" s="38">
        <v>0</v>
      </c>
      <c r="N712" s="38">
        <v>0</v>
      </c>
      <c r="O712" s="38">
        <v>0</v>
      </c>
      <c r="P712" s="38">
        <v>0</v>
      </c>
      <c r="Q712" s="38">
        <v>0</v>
      </c>
      <c r="R712" s="38">
        <v>1</v>
      </c>
      <c r="S712" s="38">
        <v>0</v>
      </c>
      <c r="T712" s="38">
        <v>0</v>
      </c>
      <c r="U712" s="29" cm="1">
        <f t="array" aca="1" ref="U712" ca="1">+fair_value_gap(OFFSET(T711,0,0,-1*$J$5,-1*$AA$1),OFFSET(E711,0,0,-1*$J$5,1),F712:T712,0)</f>
        <v>17.947844652566388</v>
      </c>
      <c r="V712" s="9" cm="1">
        <f t="array" aca="1" ref="V712" ca="1">z_score_diff(OFFSET(U712,0,0,$J$5*-1,1),OFFSET(E712,0,0,$J$5*-1,1))</f>
        <v>-0.70154127267117206</v>
      </c>
      <c r="W712" s="9">
        <f t="shared" ref="W712:W775" ca="1" si="111">+IF(ISERROR(AVERAGE(OFFSET(V712,0,0,$W$5*-1,1))),"",AVERAGE(OFFSET(V712,0,0,$W$5*-1,1)))</f>
        <v>-0.15738645106778287</v>
      </c>
      <c r="X712" s="17">
        <f t="shared" ca="1" si="110"/>
        <v>-5.8622757343670784E-2</v>
      </c>
      <c r="Y712" s="13">
        <f t="shared" si="109"/>
        <v>0</v>
      </c>
      <c r="Z712" s="13">
        <f t="shared" si="109"/>
        <v>0</v>
      </c>
      <c r="AA712">
        <f t="shared" ref="AA712:AA775" ca="1" si="112">+IF(W712="","",IF(W712&lt;Y712,1,0))</f>
        <v>1</v>
      </c>
      <c r="AB712">
        <f t="shared" ref="AB712:AB775" ca="1" si="113">+IF(W712="","",IF(W712&gt;Z712,1,0))</f>
        <v>0</v>
      </c>
      <c r="AC712" s="24">
        <f t="shared" ref="AC712:AC775" ca="1" si="114">+IF(ISERROR(AA712*X712),"",AA712*X712)</f>
        <v>-5.8622757343670784E-2</v>
      </c>
      <c r="AD712" s="24">
        <f t="shared" ref="AD712:AD775" ca="1" si="115">+IF(ISERROR(AB712*X712),"",AB712*X712)</f>
        <v>0</v>
      </c>
    </row>
    <row r="713" spans="3:30" x14ac:dyDescent="0.25">
      <c r="C713" s="6">
        <v>706</v>
      </c>
      <c r="D713" s="35">
        <v>43007</v>
      </c>
      <c r="E713" s="37">
        <v>16.681999999999999</v>
      </c>
      <c r="F713" s="37">
        <v>47.089001647821853</v>
      </c>
      <c r="G713" s="37">
        <v>37.75</v>
      </c>
      <c r="H713" s="37">
        <v>2.4620988408281166</v>
      </c>
      <c r="I713" s="37">
        <v>71.500556673929808</v>
      </c>
      <c r="J713" s="10">
        <v>0</v>
      </c>
      <c r="K713" s="38">
        <v>0</v>
      </c>
      <c r="L713" s="38">
        <v>0</v>
      </c>
      <c r="M713" s="38">
        <v>0</v>
      </c>
      <c r="N713" s="38">
        <v>0</v>
      </c>
      <c r="O713" s="38">
        <v>0</v>
      </c>
      <c r="P713" s="38">
        <v>0</v>
      </c>
      <c r="Q713" s="38">
        <v>0</v>
      </c>
      <c r="R713" s="38">
        <v>1</v>
      </c>
      <c r="S713" s="38">
        <v>0</v>
      </c>
      <c r="T713" s="38">
        <v>0</v>
      </c>
      <c r="U713" s="29" cm="1">
        <f t="array" aca="1" ref="U713" ca="1">+fair_value_gap(OFFSET(T712,0,0,-1*$J$5,-1*$AA$1),OFFSET(E712,0,0,-1*$J$5,1),F713:T713,0)</f>
        <v>16.847641534584241</v>
      </c>
      <c r="V713" s="9" cm="1">
        <f t="array" aca="1" ref="V713" ca="1">z_score_diff(OFFSET(U713,0,0,$J$5*-1,1),OFFSET(E713,0,0,$J$5*-1,1))</f>
        <v>-0.1220314078301506</v>
      </c>
      <c r="W713" s="9">
        <f t="shared" ca="1" si="111"/>
        <v>-0.1830024171454103</v>
      </c>
      <c r="X713" s="17">
        <f t="shared" ca="1" si="110"/>
        <v>3.162505441634289E-2</v>
      </c>
      <c r="Y713" s="13">
        <f t="shared" ref="Y713:Z728" si="116">+Y712</f>
        <v>0</v>
      </c>
      <c r="Z713" s="13">
        <f t="shared" si="116"/>
        <v>0</v>
      </c>
      <c r="AA713">
        <f t="shared" ca="1" si="112"/>
        <v>1</v>
      </c>
      <c r="AB713">
        <f t="shared" ca="1" si="113"/>
        <v>0</v>
      </c>
      <c r="AC713" s="24">
        <f t="shared" ca="1" si="114"/>
        <v>3.162505441634289E-2</v>
      </c>
      <c r="AD713" s="24">
        <f t="shared" ca="1" si="115"/>
        <v>0</v>
      </c>
    </row>
    <row r="714" spans="3:30" x14ac:dyDescent="0.25">
      <c r="C714" s="6">
        <v>707</v>
      </c>
      <c r="D714" s="35">
        <v>43010</v>
      </c>
      <c r="E714" s="37">
        <v>16.863</v>
      </c>
      <c r="F714" s="37">
        <v>46.704858013521559</v>
      </c>
      <c r="G714" s="37">
        <v>37.32</v>
      </c>
      <c r="H714" s="37">
        <v>2.4537125260759654</v>
      </c>
      <c r="I714" s="37">
        <v>71.798495393597406</v>
      </c>
      <c r="J714" s="10">
        <v>0</v>
      </c>
      <c r="K714" s="38">
        <v>0</v>
      </c>
      <c r="L714" s="38">
        <v>0</v>
      </c>
      <c r="M714" s="38">
        <v>0</v>
      </c>
      <c r="N714" s="38">
        <v>0</v>
      </c>
      <c r="O714" s="38">
        <v>0</v>
      </c>
      <c r="P714" s="38">
        <v>0</v>
      </c>
      <c r="Q714" s="38">
        <v>0</v>
      </c>
      <c r="R714" s="38">
        <v>0</v>
      </c>
      <c r="S714" s="38">
        <v>1</v>
      </c>
      <c r="T714" s="38">
        <v>0</v>
      </c>
      <c r="U714" s="29" cm="1">
        <f t="array" aca="1" ref="U714" ca="1">+fair_value_gap(OFFSET(T713,0,0,-1*$J$5,-1*$AA$1),OFFSET(E713,0,0,-1*$J$5,1),F714:T714,0)</f>
        <v>16.349892168340368</v>
      </c>
      <c r="V714" s="9" cm="1">
        <f t="array" aca="1" ref="V714" ca="1">z_score_diff(OFFSET(U714,0,0,$J$5*-1,1),OFFSET(E714,0,0,$J$5*-1,1))</f>
        <v>-1.1551743488426351</v>
      </c>
      <c r="W714" s="9">
        <f t="shared" ca="1" si="111"/>
        <v>-0.2475916036655878</v>
      </c>
      <c r="X714" s="17">
        <f t="shared" ca="1" si="110"/>
        <v>2.2980083861919135E-2</v>
      </c>
      <c r="Y714" s="13">
        <f t="shared" si="116"/>
        <v>0</v>
      </c>
      <c r="Z714" s="13">
        <f t="shared" si="116"/>
        <v>0</v>
      </c>
      <c r="AA714">
        <f t="shared" ca="1" si="112"/>
        <v>1</v>
      </c>
      <c r="AB714">
        <f t="shared" ca="1" si="113"/>
        <v>0</v>
      </c>
      <c r="AC714" s="24">
        <f t="shared" ca="1" si="114"/>
        <v>2.2980083861919135E-2</v>
      </c>
      <c r="AD714" s="24">
        <f t="shared" ca="1" si="115"/>
        <v>0</v>
      </c>
    </row>
    <row r="715" spans="3:30" x14ac:dyDescent="0.25">
      <c r="C715" s="6">
        <v>708</v>
      </c>
      <c r="D715" s="35">
        <v>43011</v>
      </c>
      <c r="E715" s="37">
        <v>17.053000000000001</v>
      </c>
      <c r="F715" s="37">
        <v>46.597827625963305</v>
      </c>
      <c r="G715" s="37">
        <v>37.880000000000003</v>
      </c>
      <c r="H715" s="37">
        <v>2.4491460857487679</v>
      </c>
      <c r="I715" s="37">
        <v>72.437751572645084</v>
      </c>
      <c r="J715" s="10">
        <v>0</v>
      </c>
      <c r="K715" s="38">
        <v>0</v>
      </c>
      <c r="L715" s="38">
        <v>0</v>
      </c>
      <c r="M715" s="38">
        <v>0</v>
      </c>
      <c r="N715" s="38">
        <v>0</v>
      </c>
      <c r="O715" s="38">
        <v>0</v>
      </c>
      <c r="P715" s="38">
        <v>0</v>
      </c>
      <c r="Q715" s="38">
        <v>0</v>
      </c>
      <c r="R715" s="38">
        <v>0</v>
      </c>
      <c r="S715" s="38">
        <v>1</v>
      </c>
      <c r="T715" s="38">
        <v>0</v>
      </c>
      <c r="U715" s="29" cm="1">
        <f t="array" aca="1" ref="U715" ca="1">+fair_value_gap(OFFSET(T714,0,0,-1*$J$5,-1*$AA$1),OFFSET(E714,0,0,-1*$J$5,1),F715:T715,0)</f>
        <v>16.634671173336564</v>
      </c>
      <c r="V715" s="9" cm="1">
        <f t="array" aca="1" ref="V715" ca="1">z_score_diff(OFFSET(U715,0,0,$J$5*-1,1),OFFSET(E715,0,0,$J$5*-1,1))</f>
        <v>-1.0335738784562511</v>
      </c>
      <c r="W715" s="9">
        <f t="shared" ca="1" si="111"/>
        <v>-0.28222279323312549</v>
      </c>
      <c r="X715" s="17">
        <f t="shared" ca="1" si="110"/>
        <v>-1.0315142595002436E-2</v>
      </c>
      <c r="Y715" s="13">
        <f t="shared" si="116"/>
        <v>0</v>
      </c>
      <c r="Z715" s="13">
        <f t="shared" si="116"/>
        <v>0</v>
      </c>
      <c r="AA715">
        <f t="shared" ca="1" si="112"/>
        <v>1</v>
      </c>
      <c r="AB715">
        <f t="shared" ca="1" si="113"/>
        <v>0</v>
      </c>
      <c r="AC715" s="24">
        <f t="shared" ca="1" si="114"/>
        <v>-1.0315142595002436E-2</v>
      </c>
      <c r="AD715" s="24">
        <f t="shared" ca="1" si="115"/>
        <v>0</v>
      </c>
    </row>
    <row r="716" spans="3:30" x14ac:dyDescent="0.25">
      <c r="C716" s="6">
        <v>709</v>
      </c>
      <c r="D716" s="35">
        <v>43012</v>
      </c>
      <c r="E716" s="37">
        <v>17.018999999999998</v>
      </c>
      <c r="F716" s="37">
        <v>46.415035913591964</v>
      </c>
      <c r="G716" s="37">
        <v>38.03</v>
      </c>
      <c r="H716" s="37">
        <v>2.4680076202785575</v>
      </c>
      <c r="I716" s="37">
        <v>73.964497041420131</v>
      </c>
      <c r="J716" s="10">
        <v>0</v>
      </c>
      <c r="K716" s="38">
        <v>0</v>
      </c>
      <c r="L716" s="38">
        <v>0</v>
      </c>
      <c r="M716" s="38">
        <v>0</v>
      </c>
      <c r="N716" s="38">
        <v>0</v>
      </c>
      <c r="O716" s="38">
        <v>0</v>
      </c>
      <c r="P716" s="38">
        <v>0</v>
      </c>
      <c r="Q716" s="38">
        <v>0</v>
      </c>
      <c r="R716" s="38">
        <v>0</v>
      </c>
      <c r="S716" s="38">
        <v>1</v>
      </c>
      <c r="T716" s="38">
        <v>0</v>
      </c>
      <c r="U716" s="29" cm="1">
        <f t="array" aca="1" ref="U716" ca="1">+fair_value_gap(OFFSET(T715,0,0,-1*$J$5,-1*$AA$1),OFFSET(E715,0,0,-1*$J$5,1),F716:T716,0)</f>
        <v>16.81511518547768</v>
      </c>
      <c r="V716" s="9" cm="1">
        <f t="array" aca="1" ref="V716" ca="1">z_score_diff(OFFSET(U716,0,0,$J$5*-1,1),OFFSET(E716,0,0,$J$5*-1,1))</f>
        <v>-0.7070639399411327</v>
      </c>
      <c r="W716" s="9">
        <f t="shared" ca="1" si="111"/>
        <v>-0.29658523589764846</v>
      </c>
      <c r="X716" s="17">
        <f t="shared" ca="1" si="110"/>
        <v>-1.4111838644603367E-3</v>
      </c>
      <c r="Y716" s="13">
        <f t="shared" si="116"/>
        <v>0</v>
      </c>
      <c r="Z716" s="13">
        <f t="shared" si="116"/>
        <v>0</v>
      </c>
      <c r="AA716">
        <f t="shared" ca="1" si="112"/>
        <v>1</v>
      </c>
      <c r="AB716">
        <f t="shared" ca="1" si="113"/>
        <v>0</v>
      </c>
      <c r="AC716" s="24">
        <f t="shared" ca="1" si="114"/>
        <v>-1.4111838644603367E-3</v>
      </c>
      <c r="AD716" s="24">
        <f t="shared" ca="1" si="115"/>
        <v>0</v>
      </c>
    </row>
    <row r="717" spans="3:30" x14ac:dyDescent="0.25">
      <c r="C717" s="6">
        <v>710</v>
      </c>
      <c r="D717" s="35">
        <v>43013</v>
      </c>
      <c r="E717" s="37">
        <v>17.116</v>
      </c>
      <c r="F717" s="37">
        <v>47.394686690527401</v>
      </c>
      <c r="G717" s="37">
        <v>38.06</v>
      </c>
      <c r="H717" s="37">
        <v>2.4838263941415843</v>
      </c>
      <c r="I717" s="37">
        <v>74.920452480657175</v>
      </c>
      <c r="J717" s="10">
        <v>0</v>
      </c>
      <c r="K717" s="38">
        <v>0</v>
      </c>
      <c r="L717" s="38">
        <v>0</v>
      </c>
      <c r="M717" s="38">
        <v>0</v>
      </c>
      <c r="N717" s="38">
        <v>0</v>
      </c>
      <c r="O717" s="38">
        <v>0</v>
      </c>
      <c r="P717" s="38">
        <v>0</v>
      </c>
      <c r="Q717" s="38">
        <v>0</v>
      </c>
      <c r="R717" s="38">
        <v>0</v>
      </c>
      <c r="S717" s="38">
        <v>1</v>
      </c>
      <c r="T717" s="38">
        <v>0</v>
      </c>
      <c r="U717" s="29" cm="1">
        <f t="array" aca="1" ref="U717" ca="1">+fair_value_gap(OFFSET(T716,0,0,-1*$J$5,-1*$AA$1),OFFSET(E716,0,0,-1*$J$5,1),F717:T717,0)</f>
        <v>16.959109468692702</v>
      </c>
      <c r="V717" s="9" cm="1">
        <f t="array" aca="1" ref="V717" ca="1">z_score_diff(OFFSET(U717,0,0,$J$5*-1,1),OFFSET(E717,0,0,$J$5*-1,1))</f>
        <v>-0.6467460325797415</v>
      </c>
      <c r="W717" s="9">
        <f t="shared" ca="1" si="111"/>
        <v>-0.30294474639462343</v>
      </c>
      <c r="X717" s="17">
        <f t="shared" ca="1" si="110"/>
        <v>-1.75044988092747E-2</v>
      </c>
      <c r="Y717" s="13">
        <f t="shared" si="116"/>
        <v>0</v>
      </c>
      <c r="Z717" s="13">
        <f t="shared" si="116"/>
        <v>0</v>
      </c>
      <c r="AA717">
        <f t="shared" ca="1" si="112"/>
        <v>1</v>
      </c>
      <c r="AB717">
        <f t="shared" ca="1" si="113"/>
        <v>0</v>
      </c>
      <c r="AC717" s="24">
        <f t="shared" ca="1" si="114"/>
        <v>-1.75044988092747E-2</v>
      </c>
      <c r="AD717" s="24">
        <f t="shared" ca="1" si="115"/>
        <v>0</v>
      </c>
    </row>
    <row r="718" spans="3:30" x14ac:dyDescent="0.25">
      <c r="C718" s="6">
        <v>711</v>
      </c>
      <c r="D718" s="35">
        <v>43014</v>
      </c>
      <c r="E718" s="37">
        <v>17.036999999999999</v>
      </c>
      <c r="F718" s="37">
        <v>46.188344210686992</v>
      </c>
      <c r="G718" s="37">
        <v>38.1</v>
      </c>
      <c r="H718" s="37">
        <v>2.4557323049392097</v>
      </c>
      <c r="I718" s="37">
        <v>73.199712935687984</v>
      </c>
      <c r="J718" s="10">
        <v>0</v>
      </c>
      <c r="K718" s="38">
        <v>0</v>
      </c>
      <c r="L718" s="38">
        <v>0</v>
      </c>
      <c r="M718" s="38">
        <v>0</v>
      </c>
      <c r="N718" s="38">
        <v>0</v>
      </c>
      <c r="O718" s="38">
        <v>0</v>
      </c>
      <c r="P718" s="38">
        <v>0</v>
      </c>
      <c r="Q718" s="38">
        <v>0</v>
      </c>
      <c r="R718" s="38">
        <v>0</v>
      </c>
      <c r="S718" s="38">
        <v>1</v>
      </c>
      <c r="T718" s="38">
        <v>0</v>
      </c>
      <c r="U718" s="29" cm="1">
        <f t="array" aca="1" ref="U718" ca="1">+fair_value_gap(OFFSET(T717,0,0,-1*$J$5,-1*$AA$1),OFFSET(E717,0,0,-1*$J$5,1),F718:T718,0)</f>
        <v>16.87058955219554</v>
      </c>
      <c r="V718" s="9" cm="1">
        <f t="array" aca="1" ref="V718" ca="1">z_score_diff(OFFSET(U718,0,0,$J$5*-1,1),OFFSET(E718,0,0,$J$5*-1,1))</f>
        <v>-0.65585742607846265</v>
      </c>
      <c r="W718" s="9">
        <f t="shared" ca="1" si="111"/>
        <v>-0.31565697124232905</v>
      </c>
      <c r="X718" s="17">
        <f t="shared" ca="1" si="110"/>
        <v>-2.460017101008271E-2</v>
      </c>
      <c r="Y718" s="13">
        <f t="shared" si="116"/>
        <v>0</v>
      </c>
      <c r="Z718" s="13">
        <f t="shared" si="116"/>
        <v>0</v>
      </c>
      <c r="AA718">
        <f t="shared" ca="1" si="112"/>
        <v>1</v>
      </c>
      <c r="AB718">
        <f t="shared" ca="1" si="113"/>
        <v>0</v>
      </c>
      <c r="AC718" s="24">
        <f t="shared" ca="1" si="114"/>
        <v>-2.460017101008271E-2</v>
      </c>
      <c r="AD718" s="24">
        <f t="shared" ca="1" si="115"/>
        <v>0</v>
      </c>
    </row>
    <row r="719" spans="3:30" x14ac:dyDescent="0.25">
      <c r="C719" s="6">
        <v>712</v>
      </c>
      <c r="D719" s="35">
        <v>43017</v>
      </c>
      <c r="E719" s="37">
        <v>17.113</v>
      </c>
      <c r="F719" s="37">
        <v>46.282328948366384</v>
      </c>
      <c r="G719" s="37">
        <v>38.03</v>
      </c>
      <c r="H719" s="37">
        <v>2.4531656877038333</v>
      </c>
      <c r="I719" s="37">
        <v>73.738233484742508</v>
      </c>
      <c r="J719" s="10">
        <v>0</v>
      </c>
      <c r="K719" s="38">
        <v>0</v>
      </c>
      <c r="L719" s="38">
        <v>0</v>
      </c>
      <c r="M719" s="38">
        <v>0</v>
      </c>
      <c r="N719" s="38">
        <v>0</v>
      </c>
      <c r="O719" s="38">
        <v>0</v>
      </c>
      <c r="P719" s="38">
        <v>0</v>
      </c>
      <c r="Q719" s="38">
        <v>0</v>
      </c>
      <c r="R719" s="38">
        <v>0</v>
      </c>
      <c r="S719" s="38">
        <v>1</v>
      </c>
      <c r="T719" s="38">
        <v>0</v>
      </c>
      <c r="U719" s="29" cm="1">
        <f t="array" aca="1" ref="U719" ca="1">+fair_value_gap(OFFSET(T718,0,0,-1*$J$5,-1*$AA$1),OFFSET(E718,0,0,-1*$J$5,1),F719:T719,0)</f>
        <v>16.902695092371779</v>
      </c>
      <c r="V719" s="9" cm="1">
        <f t="array" aca="1" ref="V719" ca="1">z_score_diff(OFFSET(U719,0,0,$J$5*-1,1),OFFSET(E719,0,0,$J$5*-1,1))</f>
        <v>-0.73165447537915496</v>
      </c>
      <c r="W719" s="9">
        <f t="shared" ca="1" si="111"/>
        <v>-0.32121707095211577</v>
      </c>
      <c r="X719" s="17">
        <f t="shared" ca="1" si="110"/>
        <v>-6.0370021875441491E-3</v>
      </c>
      <c r="Y719" s="13">
        <f t="shared" si="116"/>
        <v>0</v>
      </c>
      <c r="Z719" s="13">
        <f t="shared" si="116"/>
        <v>0</v>
      </c>
      <c r="AA719">
        <f t="shared" ca="1" si="112"/>
        <v>1</v>
      </c>
      <c r="AB719">
        <f t="shared" ca="1" si="113"/>
        <v>0</v>
      </c>
      <c r="AC719" s="24">
        <f t="shared" ca="1" si="114"/>
        <v>-6.0370021875441491E-3</v>
      </c>
      <c r="AD719" s="24">
        <f t="shared" ca="1" si="115"/>
        <v>0</v>
      </c>
    </row>
    <row r="720" spans="3:30" x14ac:dyDescent="0.25">
      <c r="C720" s="6">
        <v>713</v>
      </c>
      <c r="D720" s="35">
        <v>43018</v>
      </c>
      <c r="E720" s="37">
        <v>17.146999999999998</v>
      </c>
      <c r="F720" s="37">
        <v>46.690050795959785</v>
      </c>
      <c r="G720" s="37">
        <v>38.21</v>
      </c>
      <c r="H720" s="37">
        <v>2.4601936313161867</v>
      </c>
      <c r="I720" s="37">
        <v>74.241538056748681</v>
      </c>
      <c r="J720" s="10">
        <v>0</v>
      </c>
      <c r="K720" s="38">
        <v>0</v>
      </c>
      <c r="L720" s="38">
        <v>0</v>
      </c>
      <c r="M720" s="38">
        <v>0</v>
      </c>
      <c r="N720" s="38">
        <v>0</v>
      </c>
      <c r="O720" s="38">
        <v>0</v>
      </c>
      <c r="P720" s="38">
        <v>0</v>
      </c>
      <c r="Q720" s="38">
        <v>0</v>
      </c>
      <c r="R720" s="38">
        <v>0</v>
      </c>
      <c r="S720" s="38">
        <v>1</v>
      </c>
      <c r="T720" s="38">
        <v>0</v>
      </c>
      <c r="U720" s="29" cm="1">
        <f t="array" aca="1" ref="U720" ca="1">+fair_value_gap(OFFSET(T719,0,0,-1*$J$5,-1*$AA$1),OFFSET(E719,0,0,-1*$J$5,1),F720:T720,0)</f>
        <v>17.020637221101055</v>
      </c>
      <c r="V720" s="9" cm="1">
        <f t="array" aca="1" ref="V720" ca="1">z_score_diff(OFFSET(U720,0,0,$J$5*-1,1),OFFSET(E720,0,0,$J$5*-1,1))</f>
        <v>-0.60566484783965302</v>
      </c>
      <c r="W720" s="9">
        <f t="shared" ca="1" si="111"/>
        <v>-0.32611040907213512</v>
      </c>
      <c r="X720" s="17">
        <f t="shared" ca="1" si="110"/>
        <v>6.7422516376977977E-3</v>
      </c>
      <c r="Y720" s="13">
        <f t="shared" si="116"/>
        <v>0</v>
      </c>
      <c r="Z720" s="13">
        <f t="shared" si="116"/>
        <v>0</v>
      </c>
      <c r="AA720">
        <f t="shared" ca="1" si="112"/>
        <v>1</v>
      </c>
      <c r="AB720">
        <f t="shared" ca="1" si="113"/>
        <v>0</v>
      </c>
      <c r="AC720" s="24">
        <f t="shared" ca="1" si="114"/>
        <v>6.7422516376977977E-3</v>
      </c>
      <c r="AD720" s="24">
        <f t="shared" ca="1" si="115"/>
        <v>0</v>
      </c>
    </row>
    <row r="721" spans="3:30" x14ac:dyDescent="0.25">
      <c r="C721" s="6">
        <v>714</v>
      </c>
      <c r="D721" s="35">
        <v>43019</v>
      </c>
      <c r="E721" s="37">
        <v>17.155000000000001</v>
      </c>
      <c r="F721" s="37">
        <v>46.851788367043767</v>
      </c>
      <c r="G721" s="37">
        <v>38.479999999999997</v>
      </c>
      <c r="H721" s="37">
        <v>2.4380946661361746</v>
      </c>
      <c r="I721" s="37">
        <v>74.735984292097584</v>
      </c>
      <c r="J721" s="10">
        <v>0</v>
      </c>
      <c r="K721" s="38">
        <v>0</v>
      </c>
      <c r="L721" s="38">
        <v>0</v>
      </c>
      <c r="M721" s="38">
        <v>0</v>
      </c>
      <c r="N721" s="38">
        <v>0</v>
      </c>
      <c r="O721" s="38">
        <v>0</v>
      </c>
      <c r="P721" s="38">
        <v>0</v>
      </c>
      <c r="Q721" s="38">
        <v>0</v>
      </c>
      <c r="R721" s="38">
        <v>0</v>
      </c>
      <c r="S721" s="38">
        <v>1</v>
      </c>
      <c r="T721" s="38">
        <v>0</v>
      </c>
      <c r="U721" s="29" cm="1">
        <f t="array" aca="1" ref="U721" ca="1">+fair_value_gap(OFFSET(T720,0,0,-1*$J$5,-1*$AA$1),OFFSET(E720,0,0,-1*$J$5,1),F721:T721,0)</f>
        <v>17.127725270503511</v>
      </c>
      <c r="V721" s="9" cm="1">
        <f t="array" aca="1" ref="V721" ca="1">z_score_diff(OFFSET(U721,0,0,$J$5*-1,1),OFFSET(E721,0,0,$J$5*-1,1))</f>
        <v>-0.4536099838372411</v>
      </c>
      <c r="W721" s="9">
        <f t="shared" ca="1" si="111"/>
        <v>-0.34549198331891079</v>
      </c>
      <c r="X721" s="17">
        <f t="shared" ca="1" si="110"/>
        <v>6.9706933433203297E-3</v>
      </c>
      <c r="Y721" s="13">
        <f t="shared" si="116"/>
        <v>0</v>
      </c>
      <c r="Z721" s="13">
        <f t="shared" si="116"/>
        <v>0</v>
      </c>
      <c r="AA721">
        <f t="shared" ca="1" si="112"/>
        <v>1</v>
      </c>
      <c r="AB721">
        <f t="shared" ca="1" si="113"/>
        <v>0</v>
      </c>
      <c r="AC721" s="24">
        <f t="shared" ca="1" si="114"/>
        <v>6.9706933433203297E-3</v>
      </c>
      <c r="AD721" s="24">
        <f t="shared" ca="1" si="115"/>
        <v>0</v>
      </c>
    </row>
    <row r="722" spans="3:30" x14ac:dyDescent="0.25">
      <c r="C722" s="6">
        <v>715</v>
      </c>
      <c r="D722" s="35">
        <v>43020</v>
      </c>
      <c r="E722" s="37">
        <v>17.146000000000001</v>
      </c>
      <c r="F722" s="37">
        <v>46.513378555835288</v>
      </c>
      <c r="G722" s="37">
        <v>38.49</v>
      </c>
      <c r="H722" s="37">
        <v>2.4707879923383826</v>
      </c>
      <c r="I722" s="37">
        <v>75.361543029684583</v>
      </c>
      <c r="J722" s="10">
        <v>0</v>
      </c>
      <c r="K722" s="38">
        <v>0</v>
      </c>
      <c r="L722" s="38">
        <v>0</v>
      </c>
      <c r="M722" s="38">
        <v>0</v>
      </c>
      <c r="N722" s="38">
        <v>0</v>
      </c>
      <c r="O722" s="38">
        <v>0</v>
      </c>
      <c r="P722" s="38">
        <v>0</v>
      </c>
      <c r="Q722" s="38">
        <v>0</v>
      </c>
      <c r="R722" s="38">
        <v>0</v>
      </c>
      <c r="S722" s="38">
        <v>1</v>
      </c>
      <c r="T722" s="38">
        <v>0</v>
      </c>
      <c r="U722" s="29" cm="1">
        <f t="array" aca="1" ref="U722" ca="1">+fair_value_gap(OFFSET(T721,0,0,-1*$J$5,-1*$AA$1),OFFSET(E721,0,0,-1*$J$5,1),F722:T722,0)</f>
        <v>17.156518655383287</v>
      </c>
      <c r="V722" s="9" cm="1">
        <f t="array" aca="1" ref="V722" ca="1">z_score_diff(OFFSET(U722,0,0,$J$5*-1,1),OFFSET(E722,0,0,$J$5*-1,1))</f>
        <v>-0.39446281792230431</v>
      </c>
      <c r="W722" s="9">
        <f t="shared" ca="1" si="111"/>
        <v>-0.36144825927983726</v>
      </c>
      <c r="X722" s="17">
        <f t="shared" ca="1" si="110"/>
        <v>1.6313197998631537E-2</v>
      </c>
      <c r="Y722" s="13">
        <f t="shared" si="116"/>
        <v>0</v>
      </c>
      <c r="Z722" s="13">
        <f t="shared" si="116"/>
        <v>0</v>
      </c>
      <c r="AA722">
        <f t="shared" ca="1" si="112"/>
        <v>1</v>
      </c>
      <c r="AB722">
        <f t="shared" ca="1" si="113"/>
        <v>0</v>
      </c>
      <c r="AC722" s="24">
        <f t="shared" ca="1" si="114"/>
        <v>1.6313197998631537E-2</v>
      </c>
      <c r="AD722" s="24">
        <f t="shared" ca="1" si="115"/>
        <v>0</v>
      </c>
    </row>
    <row r="723" spans="3:30" x14ac:dyDescent="0.25">
      <c r="C723" s="6">
        <v>716</v>
      </c>
      <c r="D723" s="35">
        <v>43021</v>
      </c>
      <c r="E723" s="37">
        <v>17.312999999999999</v>
      </c>
      <c r="F723" s="37">
        <v>47.143006590647559</v>
      </c>
      <c r="G723" s="37">
        <v>38.89</v>
      </c>
      <c r="H723" s="37">
        <v>2.4864525577989331</v>
      </c>
      <c r="I723" s="37">
        <v>75.279840987551012</v>
      </c>
      <c r="J723" s="10">
        <v>0</v>
      </c>
      <c r="K723" s="38">
        <v>0</v>
      </c>
      <c r="L723" s="38">
        <v>0</v>
      </c>
      <c r="M723" s="38">
        <v>0</v>
      </c>
      <c r="N723" s="38">
        <v>0</v>
      </c>
      <c r="O723" s="38">
        <v>0</v>
      </c>
      <c r="P723" s="38">
        <v>0</v>
      </c>
      <c r="Q723" s="38">
        <v>0</v>
      </c>
      <c r="R723" s="38">
        <v>0</v>
      </c>
      <c r="S723" s="38">
        <v>1</v>
      </c>
      <c r="T723" s="38">
        <v>0</v>
      </c>
      <c r="U723" s="29" cm="1">
        <f t="array" aca="1" ref="U723" ca="1">+fair_value_gap(OFFSET(T722,0,0,-1*$J$5,-1*$AA$1),OFFSET(E722,0,0,-1*$J$5,1),F723:T723,0)</f>
        <v>17.314206326957763</v>
      </c>
      <c r="V723" s="9" cm="1">
        <f t="array" aca="1" ref="V723" ca="1">z_score_diff(OFFSET(U723,0,0,$J$5*-1,1),OFFSET(E723,0,0,$J$5*-1,1))</f>
        <v>-0.42219377305523659</v>
      </c>
      <c r="W723" s="9">
        <f t="shared" ca="1" si="111"/>
        <v>-0.38862209536317321</v>
      </c>
      <c r="X723" s="17">
        <f t="shared" ca="1" si="110"/>
        <v>2.007100569774593E-2</v>
      </c>
      <c r="Y723" s="13">
        <f t="shared" si="116"/>
        <v>0</v>
      </c>
      <c r="Z723" s="13">
        <f t="shared" si="116"/>
        <v>0</v>
      </c>
      <c r="AA723">
        <f t="shared" ca="1" si="112"/>
        <v>1</v>
      </c>
      <c r="AB723">
        <f t="shared" ca="1" si="113"/>
        <v>0</v>
      </c>
      <c r="AC723" s="24">
        <f t="shared" ca="1" si="114"/>
        <v>2.007100569774593E-2</v>
      </c>
      <c r="AD723" s="24">
        <f t="shared" ca="1" si="115"/>
        <v>0</v>
      </c>
    </row>
    <row r="724" spans="3:30" x14ac:dyDescent="0.25">
      <c r="C724" s="6">
        <v>717</v>
      </c>
      <c r="D724" s="35">
        <v>43024</v>
      </c>
      <c r="E724" s="37">
        <v>17.442</v>
      </c>
      <c r="F724" s="37">
        <v>47.656071116747306</v>
      </c>
      <c r="G724" s="37">
        <v>39.22</v>
      </c>
      <c r="H724" s="37">
        <v>2.4826112373384728</v>
      </c>
      <c r="I724" s="37">
        <v>76.071905144121459</v>
      </c>
      <c r="J724" s="10">
        <v>0</v>
      </c>
      <c r="K724" s="38">
        <v>0</v>
      </c>
      <c r="L724" s="38">
        <v>0</v>
      </c>
      <c r="M724" s="38">
        <v>0</v>
      </c>
      <c r="N724" s="38">
        <v>0</v>
      </c>
      <c r="O724" s="38">
        <v>0</v>
      </c>
      <c r="P724" s="38">
        <v>0</v>
      </c>
      <c r="Q724" s="38">
        <v>0</v>
      </c>
      <c r="R724" s="38">
        <v>0</v>
      </c>
      <c r="S724" s="38">
        <v>1</v>
      </c>
      <c r="T724" s="38">
        <v>0</v>
      </c>
      <c r="U724" s="29" cm="1">
        <f t="array" aca="1" ref="U724" ca="1">+fair_value_gap(OFFSET(T723,0,0,-1*$J$5,-1*$AA$1),OFFSET(E723,0,0,-1*$J$5,1),F724:T724,0)</f>
        <v>17.458094196608286</v>
      </c>
      <c r="V724" s="9" cm="1">
        <f t="array" aca="1" ref="V724" ca="1">z_score_diff(OFFSET(U724,0,0,$J$5*-1,1),OFFSET(E724,0,0,$J$5*-1,1))</f>
        <v>-0.40601684348869793</v>
      </c>
      <c r="W724" s="9">
        <f t="shared" ca="1" si="111"/>
        <v>-0.41816930695140792</v>
      </c>
      <c r="X724" s="17">
        <f t="shared" ca="1" si="110"/>
        <v>1.558709525615793E-2</v>
      </c>
      <c r="Y724" s="13">
        <f t="shared" si="116"/>
        <v>0</v>
      </c>
      <c r="Z724" s="13">
        <f t="shared" si="116"/>
        <v>0</v>
      </c>
      <c r="AA724">
        <f t="shared" ca="1" si="112"/>
        <v>1</v>
      </c>
      <c r="AB724">
        <f t="shared" ca="1" si="113"/>
        <v>0</v>
      </c>
      <c r="AC724" s="24">
        <f t="shared" ca="1" si="114"/>
        <v>1.558709525615793E-2</v>
      </c>
      <c r="AD724" s="24">
        <f t="shared" ca="1" si="115"/>
        <v>0</v>
      </c>
    </row>
    <row r="725" spans="3:30" x14ac:dyDescent="0.25">
      <c r="C725" s="6">
        <v>718</v>
      </c>
      <c r="D725" s="35">
        <v>43025</v>
      </c>
      <c r="E725" s="37">
        <v>17.419</v>
      </c>
      <c r="F725" s="37">
        <v>47.650273224043715</v>
      </c>
      <c r="G725" s="37">
        <v>39.18</v>
      </c>
      <c r="H725" s="37">
        <v>2.496847414880202</v>
      </c>
      <c r="I725" s="37">
        <v>76.754939050021008</v>
      </c>
      <c r="J725" s="10">
        <v>0</v>
      </c>
      <c r="K725" s="38">
        <v>0</v>
      </c>
      <c r="L725" s="38">
        <v>0</v>
      </c>
      <c r="M725" s="38">
        <v>0</v>
      </c>
      <c r="N725" s="38">
        <v>0</v>
      </c>
      <c r="O725" s="38">
        <v>0</v>
      </c>
      <c r="P725" s="38">
        <v>0</v>
      </c>
      <c r="Q725" s="38">
        <v>0</v>
      </c>
      <c r="R725" s="38">
        <v>0</v>
      </c>
      <c r="S725" s="38">
        <v>1</v>
      </c>
      <c r="T725" s="38">
        <v>0</v>
      </c>
      <c r="U725" s="29" cm="1">
        <f t="array" aca="1" ref="U725" ca="1">+fair_value_gap(OFFSET(T724,0,0,-1*$J$5,-1*$AA$1),OFFSET(E724,0,0,-1*$J$5,1),F725:T725,0)</f>
        <v>17.501087877348283</v>
      </c>
      <c r="V725" s="9" cm="1">
        <f t="array" aca="1" ref="V725" ca="1">z_score_diff(OFFSET(U725,0,0,$J$5*-1,1),OFFSET(E725,0,0,$J$5*-1,1))</f>
        <v>-0.30175475146017505</v>
      </c>
      <c r="W725" s="9">
        <f t="shared" ca="1" si="111"/>
        <v>-0.44129479818777073</v>
      </c>
      <c r="X725" s="17">
        <f t="shared" ca="1" si="110"/>
        <v>-8.9381559795458972E-3</v>
      </c>
      <c r="Y725" s="13">
        <f t="shared" si="116"/>
        <v>0</v>
      </c>
      <c r="Z725" s="13">
        <f t="shared" si="116"/>
        <v>0</v>
      </c>
      <c r="AA725">
        <f t="shared" ca="1" si="112"/>
        <v>1</v>
      </c>
      <c r="AB725">
        <f t="shared" ca="1" si="113"/>
        <v>0</v>
      </c>
      <c r="AC725" s="24">
        <f t="shared" ca="1" si="114"/>
        <v>-8.9381559795458972E-3</v>
      </c>
      <c r="AD725" s="24">
        <f t="shared" ca="1" si="115"/>
        <v>0</v>
      </c>
    </row>
    <row r="726" spans="3:30" x14ac:dyDescent="0.25">
      <c r="C726" s="6">
        <v>719</v>
      </c>
      <c r="D726" s="35">
        <v>43026</v>
      </c>
      <c r="E726" s="37">
        <v>17.53</v>
      </c>
      <c r="F726" s="37">
        <v>47.807708636431514</v>
      </c>
      <c r="G726" s="37">
        <v>39.65</v>
      </c>
      <c r="H726" s="37">
        <v>2.4717709660043394</v>
      </c>
      <c r="I726" s="37">
        <v>77.735770536422962</v>
      </c>
      <c r="J726" s="10">
        <v>0</v>
      </c>
      <c r="K726" s="38">
        <v>0</v>
      </c>
      <c r="L726" s="38">
        <v>0</v>
      </c>
      <c r="M726" s="38">
        <v>0</v>
      </c>
      <c r="N726" s="38">
        <v>0</v>
      </c>
      <c r="O726" s="38">
        <v>0</v>
      </c>
      <c r="P726" s="38">
        <v>0</v>
      </c>
      <c r="Q726" s="38">
        <v>0</v>
      </c>
      <c r="R726" s="38">
        <v>0</v>
      </c>
      <c r="S726" s="38">
        <v>1</v>
      </c>
      <c r="T726" s="38">
        <v>0</v>
      </c>
      <c r="U726" s="29" cm="1">
        <f t="array" aca="1" ref="U726" ca="1">+fair_value_gap(OFFSET(T725,0,0,-1*$J$5,-1*$AA$1),OFFSET(E725,0,0,-1*$J$5,1),F726:T726,0)</f>
        <v>17.657747670042973</v>
      </c>
      <c r="V726" s="9" cm="1">
        <f t="array" aca="1" ref="V726" ca="1">z_score_diff(OFFSET(U726,0,0,$J$5*-1,1),OFFSET(E726,0,0,$J$5*-1,1))</f>
        <v>-0.2376774693011876</v>
      </c>
      <c r="W726" s="9">
        <f t="shared" ca="1" si="111"/>
        <v>-0.46608833753467949</v>
      </c>
      <c r="X726" s="17">
        <f t="shared" ca="1" si="110"/>
        <v>-2.3199147645761562E-2</v>
      </c>
      <c r="Y726" s="13">
        <f t="shared" si="116"/>
        <v>0</v>
      </c>
      <c r="Z726" s="13">
        <f t="shared" si="116"/>
        <v>0</v>
      </c>
      <c r="AA726">
        <f t="shared" ca="1" si="112"/>
        <v>1</v>
      </c>
      <c r="AB726">
        <f t="shared" ca="1" si="113"/>
        <v>0</v>
      </c>
      <c r="AC726" s="24">
        <f t="shared" ca="1" si="114"/>
        <v>-2.3199147645761562E-2</v>
      </c>
      <c r="AD726" s="24">
        <f t="shared" ca="1" si="115"/>
        <v>0</v>
      </c>
    </row>
    <row r="727" spans="3:30" x14ac:dyDescent="0.25">
      <c r="C727" s="6">
        <v>720</v>
      </c>
      <c r="D727" s="35">
        <v>43027</v>
      </c>
      <c r="E727" s="37">
        <v>17.36</v>
      </c>
      <c r="F727" s="37">
        <v>47.032856215032147</v>
      </c>
      <c r="G727" s="37">
        <v>39.39</v>
      </c>
      <c r="H727" s="37">
        <v>2.4776982116829145</v>
      </c>
      <c r="I727" s="37">
        <v>75.299318966913376</v>
      </c>
      <c r="J727" s="10">
        <v>0</v>
      </c>
      <c r="K727" s="38">
        <v>0</v>
      </c>
      <c r="L727" s="38">
        <v>0</v>
      </c>
      <c r="M727" s="38">
        <v>0</v>
      </c>
      <c r="N727" s="38">
        <v>0</v>
      </c>
      <c r="O727" s="38">
        <v>0</v>
      </c>
      <c r="P727" s="38">
        <v>0</v>
      </c>
      <c r="Q727" s="38">
        <v>0</v>
      </c>
      <c r="R727" s="38">
        <v>0</v>
      </c>
      <c r="S727" s="38">
        <v>1</v>
      </c>
      <c r="T727" s="38">
        <v>0</v>
      </c>
      <c r="U727" s="29" cm="1">
        <f t="array" aca="1" ref="U727" ca="1">+fair_value_gap(OFFSET(T726,0,0,-1*$J$5,-1*$AA$1),OFFSET(E726,0,0,-1*$J$5,1),F727:T727,0)</f>
        <v>17.463320792793386</v>
      </c>
      <c r="V727" s="9" cm="1">
        <f t="array" aca="1" ref="V727" ca="1">z_score_diff(OFFSET(U727,0,0,$J$5*-1,1),OFFSET(E727,0,0,$J$5*-1,1))</f>
        <v>-0.26478751627974717</v>
      </c>
      <c r="W727" s="9">
        <f t="shared" ca="1" si="111"/>
        <v>-0.47950562573673094</v>
      </c>
      <c r="X727" s="17">
        <f t="shared" ca="1" si="110"/>
        <v>-2.8265716376116396E-3</v>
      </c>
      <c r="Y727" s="13">
        <f t="shared" si="116"/>
        <v>0</v>
      </c>
      <c r="Z727" s="13">
        <f t="shared" si="116"/>
        <v>0</v>
      </c>
      <c r="AA727">
        <f t="shared" ca="1" si="112"/>
        <v>1</v>
      </c>
      <c r="AB727">
        <f t="shared" ca="1" si="113"/>
        <v>0</v>
      </c>
      <c r="AC727" s="24">
        <f t="shared" ca="1" si="114"/>
        <v>-2.8265716376116396E-3</v>
      </c>
      <c r="AD727" s="24">
        <f t="shared" ca="1" si="115"/>
        <v>0</v>
      </c>
    </row>
    <row r="728" spans="3:30" x14ac:dyDescent="0.25">
      <c r="C728" s="6">
        <v>721</v>
      </c>
      <c r="D728" s="35">
        <v>43028</v>
      </c>
      <c r="E728" s="37">
        <v>17.11</v>
      </c>
      <c r="F728" s="37">
        <v>47.797840239518145</v>
      </c>
      <c r="G728" s="37">
        <v>38.68</v>
      </c>
      <c r="H728" s="37">
        <v>2.5011376440106194</v>
      </c>
      <c r="I728" s="37">
        <v>75.689009267390844</v>
      </c>
      <c r="J728" s="10">
        <v>0</v>
      </c>
      <c r="K728" s="38">
        <v>0</v>
      </c>
      <c r="L728" s="38">
        <v>0</v>
      </c>
      <c r="M728" s="38">
        <v>0</v>
      </c>
      <c r="N728" s="38">
        <v>0</v>
      </c>
      <c r="O728" s="38">
        <v>0</v>
      </c>
      <c r="P728" s="38">
        <v>0</v>
      </c>
      <c r="Q728" s="38">
        <v>0</v>
      </c>
      <c r="R728" s="38">
        <v>0</v>
      </c>
      <c r="S728" s="38">
        <v>1</v>
      </c>
      <c r="T728" s="38">
        <v>0</v>
      </c>
      <c r="U728" s="29" cm="1">
        <f t="array" aca="1" ref="U728" ca="1">+fair_value_gap(OFFSET(T727,0,0,-1*$J$5,-1*$AA$1),OFFSET(E727,0,0,-1*$J$5,1),F728:T728,0)</f>
        <v>17.348639693833981</v>
      </c>
      <c r="V728" s="9" cm="1">
        <f t="array" aca="1" ref="V728" ca="1">z_score_diff(OFFSET(U728,0,0,$J$5*-1,1),OFFSET(E728,0,0,$J$5*-1,1))</f>
        <v>-2.73048932040727E-2</v>
      </c>
      <c r="W728" s="9">
        <f t="shared" ca="1" si="111"/>
        <v>-0.48565378914084023</v>
      </c>
      <c r="X728" s="17">
        <f t="shared" ca="1" si="110"/>
        <v>6.8148325601300715E-3</v>
      </c>
      <c r="Y728" s="13">
        <f t="shared" si="116"/>
        <v>0</v>
      </c>
      <c r="Z728" s="13">
        <f t="shared" si="116"/>
        <v>0</v>
      </c>
      <c r="AA728">
        <f t="shared" ca="1" si="112"/>
        <v>1</v>
      </c>
      <c r="AB728">
        <f t="shared" ca="1" si="113"/>
        <v>0</v>
      </c>
      <c r="AC728" s="24">
        <f t="shared" ca="1" si="114"/>
        <v>6.8148325601300715E-3</v>
      </c>
      <c r="AD728" s="24">
        <f t="shared" ca="1" si="115"/>
        <v>0</v>
      </c>
    </row>
    <row r="729" spans="3:30" x14ac:dyDescent="0.25">
      <c r="C729" s="6">
        <v>722</v>
      </c>
      <c r="D729" s="35">
        <v>43031</v>
      </c>
      <c r="E729" s="37">
        <v>17.029</v>
      </c>
      <c r="F729" s="37">
        <v>47.756690104379352</v>
      </c>
      <c r="G729" s="37">
        <v>38.99</v>
      </c>
      <c r="H729" s="37">
        <v>2.5191822424595034</v>
      </c>
      <c r="I729" s="37">
        <v>75.398653012115147</v>
      </c>
      <c r="J729" s="10">
        <v>0</v>
      </c>
      <c r="K729" s="38">
        <v>0</v>
      </c>
      <c r="L729" s="38">
        <v>0</v>
      </c>
      <c r="M729" s="38">
        <v>0</v>
      </c>
      <c r="N729" s="38">
        <v>0</v>
      </c>
      <c r="O729" s="38">
        <v>0</v>
      </c>
      <c r="P729" s="38">
        <v>0</v>
      </c>
      <c r="Q729" s="38">
        <v>0</v>
      </c>
      <c r="R729" s="38">
        <v>0</v>
      </c>
      <c r="S729" s="38">
        <v>1</v>
      </c>
      <c r="T729" s="38">
        <v>0</v>
      </c>
      <c r="U729" s="29" cm="1">
        <f t="array" aca="1" ref="U729" ca="1">+fair_value_gap(OFFSET(T728,0,0,-1*$J$5,-1*$AA$1),OFFSET(E728,0,0,-1*$J$5,1),F729:T729,0)</f>
        <v>17.408918001164157</v>
      </c>
      <c r="V729" s="9" cm="1">
        <f t="array" aca="1" ref="V729" ca="1">z_score_diff(OFFSET(U729,0,0,$J$5*-1,1),OFFSET(E729,0,0,$J$5*-1,1))</f>
        <v>0.20105798349372439</v>
      </c>
      <c r="W729" s="9">
        <f t="shared" ca="1" si="111"/>
        <v>-0.46718244735557313</v>
      </c>
      <c r="X729" s="17">
        <f t="shared" ca="1" si="110"/>
        <v>2.3561907083146896E-2</v>
      </c>
      <c r="Y729" s="13">
        <f t="shared" ref="Y729:Z744" si="117">+Y728</f>
        <v>0</v>
      </c>
      <c r="Z729" s="13">
        <f t="shared" si="117"/>
        <v>0</v>
      </c>
      <c r="AA729">
        <f t="shared" ca="1" si="112"/>
        <v>1</v>
      </c>
      <c r="AB729">
        <f t="shared" ca="1" si="113"/>
        <v>0</v>
      </c>
      <c r="AC729" s="24">
        <f t="shared" ca="1" si="114"/>
        <v>2.3561907083146896E-2</v>
      </c>
      <c r="AD729" s="24">
        <f t="shared" ca="1" si="115"/>
        <v>0</v>
      </c>
    </row>
    <row r="730" spans="3:30" x14ac:dyDescent="0.25">
      <c r="C730" s="6">
        <v>723</v>
      </c>
      <c r="D730" s="35">
        <v>43032</v>
      </c>
      <c r="E730" s="37">
        <v>17.018000000000001</v>
      </c>
      <c r="F730" s="37">
        <v>48.334775723108265</v>
      </c>
      <c r="G730" s="37">
        <v>39.25</v>
      </c>
      <c r="H730" s="37">
        <v>2.513879322017933</v>
      </c>
      <c r="I730" s="37">
        <v>75.904184948851935</v>
      </c>
      <c r="J730" s="10">
        <v>0</v>
      </c>
      <c r="K730" s="38">
        <v>0</v>
      </c>
      <c r="L730" s="38">
        <v>0</v>
      </c>
      <c r="M730" s="38">
        <v>0</v>
      </c>
      <c r="N730" s="38">
        <v>0</v>
      </c>
      <c r="O730" s="38">
        <v>0</v>
      </c>
      <c r="P730" s="38">
        <v>0</v>
      </c>
      <c r="Q730" s="38">
        <v>0</v>
      </c>
      <c r="R730" s="38">
        <v>0</v>
      </c>
      <c r="S730" s="38">
        <v>1</v>
      </c>
      <c r="T730" s="38">
        <v>0</v>
      </c>
      <c r="U730" s="29" cm="1">
        <f t="array" aca="1" ref="U730" ca="1">+fair_value_gap(OFFSET(T729,0,0,-1*$J$5,-1*$AA$1),OFFSET(E729,0,0,-1*$J$5,1),F730:T730,0)</f>
        <v>17.497452198582003</v>
      </c>
      <c r="V730" s="9" cm="1">
        <f t="array" aca="1" ref="V730" ca="1">z_score_diff(OFFSET(U730,0,0,$J$5*-1,1),OFFSET(E730,0,0,$J$5*-1,1))</f>
        <v>0.35926151544404472</v>
      </c>
      <c r="W730" s="9">
        <f t="shared" ca="1" si="111"/>
        <v>-0.43364549666140945</v>
      </c>
      <c r="X730" s="17">
        <f t="shared" ca="1" si="110"/>
        <v>3.8049321211390603E-2</v>
      </c>
      <c r="Y730" s="13">
        <f t="shared" si="117"/>
        <v>0</v>
      </c>
      <c r="Z730" s="13">
        <f t="shared" si="117"/>
        <v>0</v>
      </c>
      <c r="AA730">
        <f t="shared" ca="1" si="112"/>
        <v>1</v>
      </c>
      <c r="AB730">
        <f t="shared" ca="1" si="113"/>
        <v>0</v>
      </c>
      <c r="AC730" s="24">
        <f t="shared" ca="1" si="114"/>
        <v>3.8049321211390603E-2</v>
      </c>
      <c r="AD730" s="24">
        <f t="shared" ca="1" si="115"/>
        <v>0</v>
      </c>
    </row>
    <row r="731" spans="3:30" x14ac:dyDescent="0.25">
      <c r="C731" s="6">
        <v>724</v>
      </c>
      <c r="D731" s="35">
        <v>43033</v>
      </c>
      <c r="E731" s="37">
        <v>17.170000000000002</v>
      </c>
      <c r="F731" s="37">
        <v>48.230663146498131</v>
      </c>
      <c r="G731" s="37">
        <v>39.619999999999997</v>
      </c>
      <c r="H731" s="37">
        <v>2.4843815547857631</v>
      </c>
      <c r="I731" s="37">
        <v>75.820947012420234</v>
      </c>
      <c r="J731" s="10">
        <v>0</v>
      </c>
      <c r="K731" s="38">
        <v>0</v>
      </c>
      <c r="L731" s="38">
        <v>0</v>
      </c>
      <c r="M731" s="38">
        <v>0</v>
      </c>
      <c r="N731" s="38">
        <v>0</v>
      </c>
      <c r="O731" s="38">
        <v>0</v>
      </c>
      <c r="P731" s="38">
        <v>0</v>
      </c>
      <c r="Q731" s="38">
        <v>0</v>
      </c>
      <c r="R731" s="38">
        <v>0</v>
      </c>
      <c r="S731" s="38">
        <v>1</v>
      </c>
      <c r="T731" s="38">
        <v>0</v>
      </c>
      <c r="U731" s="29" cm="1">
        <f t="array" aca="1" ref="U731" ca="1">+fair_value_gap(OFFSET(T730,0,0,-1*$J$5,-1*$AA$1),OFFSET(E730,0,0,-1*$J$5,1),F731:T731,0)</f>
        <v>17.528038649367392</v>
      </c>
      <c r="V731" s="9" cm="1">
        <f t="array" aca="1" ref="V731" ca="1">z_score_diff(OFFSET(U731,0,0,$J$5*-1,1),OFFSET(E731,0,0,$J$5*-1,1))</f>
        <v>0.16287878994503768</v>
      </c>
      <c r="W731" s="9">
        <f t="shared" ca="1" si="111"/>
        <v>-0.40719586946421049</v>
      </c>
      <c r="X731" s="17">
        <f t="shared" ca="1" si="110"/>
        <v>2.2232096916603297E-2</v>
      </c>
      <c r="Y731" s="13">
        <f t="shared" si="117"/>
        <v>0</v>
      </c>
      <c r="Z731" s="13">
        <f t="shared" si="117"/>
        <v>0</v>
      </c>
      <c r="AA731">
        <f t="shared" ca="1" si="112"/>
        <v>1</v>
      </c>
      <c r="AB731">
        <f t="shared" ca="1" si="113"/>
        <v>0</v>
      </c>
      <c r="AC731" s="24">
        <f t="shared" ca="1" si="114"/>
        <v>2.2232096916603297E-2</v>
      </c>
      <c r="AD731" s="24">
        <f t="shared" ca="1" si="115"/>
        <v>0</v>
      </c>
    </row>
    <row r="732" spans="3:30" x14ac:dyDescent="0.25">
      <c r="C732" s="6">
        <v>725</v>
      </c>
      <c r="D732" s="35">
        <v>43034</v>
      </c>
      <c r="E732" s="37">
        <v>17.059999999999999</v>
      </c>
      <c r="F732" s="37">
        <v>49.404028367638617</v>
      </c>
      <c r="G732" s="37">
        <v>39.46</v>
      </c>
      <c r="H732" s="37">
        <v>2.506272045518585</v>
      </c>
      <c r="I732" s="37">
        <v>77.191142072440002</v>
      </c>
      <c r="J732" s="10">
        <v>0</v>
      </c>
      <c r="K732" s="38">
        <v>0</v>
      </c>
      <c r="L732" s="38">
        <v>0</v>
      </c>
      <c r="M732" s="38">
        <v>0</v>
      </c>
      <c r="N732" s="38">
        <v>0</v>
      </c>
      <c r="O732" s="38">
        <v>0</v>
      </c>
      <c r="P732" s="38">
        <v>0</v>
      </c>
      <c r="Q732" s="38">
        <v>0</v>
      </c>
      <c r="R732" s="38">
        <v>0</v>
      </c>
      <c r="S732" s="38">
        <v>1</v>
      </c>
      <c r="T732" s="38">
        <v>0</v>
      </c>
      <c r="U732" s="29" cm="1">
        <f t="array" aca="1" ref="U732" ca="1">+fair_value_gap(OFFSET(T731,0,0,-1*$J$5,-1*$AA$1),OFFSET(E731,0,0,-1*$J$5,1),F732:T732,0)</f>
        <v>17.602326007689879</v>
      </c>
      <c r="V732" s="9" cm="1">
        <f t="array" aca="1" ref="V732" ca="1">z_score_diff(OFFSET(U732,0,0,$J$5*-1,1),OFFSET(E732,0,0,$J$5*-1,1))</f>
        <v>0.45671565635491412</v>
      </c>
      <c r="W732" s="9">
        <f t="shared" ca="1" si="111"/>
        <v>-0.34928302301290615</v>
      </c>
      <c r="X732" s="17">
        <f t="shared" ca="1" si="110"/>
        <v>3.3659240179160249E-2</v>
      </c>
      <c r="Y732" s="13">
        <f t="shared" si="117"/>
        <v>0</v>
      </c>
      <c r="Z732" s="13">
        <f t="shared" si="117"/>
        <v>0</v>
      </c>
      <c r="AA732">
        <f t="shared" ca="1" si="112"/>
        <v>1</v>
      </c>
      <c r="AB732">
        <f t="shared" ca="1" si="113"/>
        <v>0</v>
      </c>
      <c r="AC732" s="24">
        <f t="shared" ca="1" si="114"/>
        <v>3.3659240179160249E-2</v>
      </c>
      <c r="AD732" s="24">
        <f t="shared" ca="1" si="115"/>
        <v>0</v>
      </c>
    </row>
    <row r="733" spans="3:30" x14ac:dyDescent="0.25">
      <c r="C733" s="6">
        <v>726</v>
      </c>
      <c r="D733" s="35">
        <v>43035</v>
      </c>
      <c r="E733" s="37">
        <v>17.218</v>
      </c>
      <c r="F733" s="37">
        <v>50.463777625339254</v>
      </c>
      <c r="G733" s="37">
        <v>39.64</v>
      </c>
      <c r="H733" s="37">
        <v>2.4737647154062792</v>
      </c>
      <c r="I733" s="37">
        <v>78.141310507322018</v>
      </c>
      <c r="J733" s="10">
        <v>0</v>
      </c>
      <c r="K733" s="38">
        <v>0</v>
      </c>
      <c r="L733" s="38">
        <v>0</v>
      </c>
      <c r="M733" s="38">
        <v>0</v>
      </c>
      <c r="N733" s="38">
        <v>0</v>
      </c>
      <c r="O733" s="38">
        <v>0</v>
      </c>
      <c r="P733" s="38">
        <v>0</v>
      </c>
      <c r="Q733" s="38">
        <v>0</v>
      </c>
      <c r="R733" s="38">
        <v>0</v>
      </c>
      <c r="S733" s="38">
        <v>1</v>
      </c>
      <c r="T733" s="38">
        <v>0</v>
      </c>
      <c r="U733" s="29" cm="1">
        <f t="array" aca="1" ref="U733" ca="1">+fair_value_gap(OFFSET(T732,0,0,-1*$J$5,-1*$AA$1),OFFSET(E732,0,0,-1*$J$5,1),F733:T733,0)</f>
        <v>17.685165881089571</v>
      </c>
      <c r="V733" s="9" cm="1">
        <f t="array" aca="1" ref="V733" ca="1">z_score_diff(OFFSET(U733,0,0,$J$5*-1,1),OFFSET(E733,0,0,$J$5*-1,1))</f>
        <v>0.33025682325823069</v>
      </c>
      <c r="W733" s="9">
        <f t="shared" ca="1" si="111"/>
        <v>-0.32666861145848713</v>
      </c>
      <c r="X733" s="17">
        <f t="shared" ca="1" si="110"/>
        <v>3.0035723705679467E-2</v>
      </c>
      <c r="Y733" s="13">
        <f t="shared" si="117"/>
        <v>0</v>
      </c>
      <c r="Z733" s="13">
        <f t="shared" si="117"/>
        <v>0</v>
      </c>
      <c r="AA733">
        <f t="shared" ca="1" si="112"/>
        <v>1</v>
      </c>
      <c r="AB733">
        <f t="shared" ca="1" si="113"/>
        <v>0</v>
      </c>
      <c r="AC733" s="24">
        <f t="shared" ca="1" si="114"/>
        <v>3.0035723705679467E-2</v>
      </c>
      <c r="AD733" s="24">
        <f t="shared" ca="1" si="115"/>
        <v>0</v>
      </c>
    </row>
    <row r="734" spans="3:30" x14ac:dyDescent="0.25">
      <c r="C734" s="6">
        <v>727</v>
      </c>
      <c r="D734" s="35">
        <v>43038</v>
      </c>
      <c r="E734" s="37">
        <v>17.254999999999999</v>
      </c>
      <c r="F734" s="37">
        <v>50.727326608749998</v>
      </c>
      <c r="G734" s="37">
        <v>39.69</v>
      </c>
      <c r="H734" s="37">
        <v>2.4565476377488067</v>
      </c>
      <c r="I734" s="37">
        <v>76.591979580000825</v>
      </c>
      <c r="J734" s="10">
        <v>0</v>
      </c>
      <c r="K734" s="38">
        <v>0</v>
      </c>
      <c r="L734" s="38">
        <v>0</v>
      </c>
      <c r="M734" s="38">
        <v>0</v>
      </c>
      <c r="N734" s="38">
        <v>0</v>
      </c>
      <c r="O734" s="38">
        <v>0</v>
      </c>
      <c r="P734" s="38">
        <v>0</v>
      </c>
      <c r="Q734" s="38">
        <v>0</v>
      </c>
      <c r="R734" s="38">
        <v>0</v>
      </c>
      <c r="S734" s="38">
        <v>1</v>
      </c>
      <c r="T734" s="38">
        <v>0</v>
      </c>
      <c r="U734" s="29" cm="1">
        <f t="array" aca="1" ref="U734" ca="1">+fair_value_gap(OFFSET(T733,0,0,-1*$J$5,-1*$AA$1),OFFSET(E733,0,0,-1*$J$5,1),F734:T734,0)</f>
        <v>17.617137177620798</v>
      </c>
      <c r="V734" s="9" cm="1">
        <f t="array" aca="1" ref="V734" ca="1">z_score_diff(OFFSET(U734,0,0,$J$5*-1,1),OFFSET(E734,0,0,$J$5*-1,1))</f>
        <v>0.16326708182893312</v>
      </c>
      <c r="W734" s="9">
        <f t="shared" ca="1" si="111"/>
        <v>-0.26074653992490865</v>
      </c>
      <c r="X734" s="17">
        <f t="shared" ca="1" si="110"/>
        <v>2.2067094028678604E-2</v>
      </c>
      <c r="Y734" s="13">
        <f t="shared" si="117"/>
        <v>0</v>
      </c>
      <c r="Z734" s="13">
        <f t="shared" si="117"/>
        <v>0</v>
      </c>
      <c r="AA734">
        <f t="shared" ca="1" si="112"/>
        <v>1</v>
      </c>
      <c r="AB734">
        <f t="shared" ca="1" si="113"/>
        <v>0</v>
      </c>
      <c r="AC734" s="24">
        <f t="shared" ca="1" si="114"/>
        <v>2.2067094028678604E-2</v>
      </c>
      <c r="AD734" s="24">
        <f t="shared" ca="1" si="115"/>
        <v>0</v>
      </c>
    </row>
    <row r="735" spans="3:30" x14ac:dyDescent="0.25">
      <c r="C735" s="6">
        <v>728</v>
      </c>
      <c r="D735" s="35">
        <v>43039</v>
      </c>
      <c r="E735" s="37">
        <v>16.878</v>
      </c>
      <c r="F735" s="37">
        <v>51.017634467058542</v>
      </c>
      <c r="G735" s="37">
        <v>38.96</v>
      </c>
      <c r="H735" s="37">
        <v>2.4217661649281368</v>
      </c>
      <c r="I735" s="37">
        <v>77.936529509700648</v>
      </c>
      <c r="J735" s="10">
        <v>0</v>
      </c>
      <c r="K735" s="38">
        <v>0</v>
      </c>
      <c r="L735" s="38">
        <v>0</v>
      </c>
      <c r="M735" s="38">
        <v>0</v>
      </c>
      <c r="N735" s="38">
        <v>0</v>
      </c>
      <c r="O735" s="38">
        <v>0</v>
      </c>
      <c r="P735" s="38">
        <v>0</v>
      </c>
      <c r="Q735" s="38">
        <v>0</v>
      </c>
      <c r="R735" s="38">
        <v>0</v>
      </c>
      <c r="S735" s="38">
        <v>1</v>
      </c>
      <c r="T735" s="38">
        <v>0</v>
      </c>
      <c r="U735" s="29" cm="1">
        <f t="array" aca="1" ref="U735" ca="1">+fair_value_gap(OFFSET(T734,0,0,-1*$J$5,-1*$AA$1),OFFSET(E734,0,0,-1*$J$5,1),F735:T735,0)</f>
        <v>17.456375892378116</v>
      </c>
      <c r="V735" s="9" cm="1">
        <f t="array" aca="1" ref="V735" ca="1">z_score_diff(OFFSET(U735,0,0,$J$5*-1,1),OFFSET(E735,0,0,$J$5*-1,1))</f>
        <v>0.52004796027350619</v>
      </c>
      <c r="W735" s="9">
        <f t="shared" ca="1" si="111"/>
        <v>-0.18306544798842078</v>
      </c>
      <c r="X735" s="17">
        <f t="shared" ca="1" si="110"/>
        <v>2.9424189279493713E-2</v>
      </c>
      <c r="Y735" s="13">
        <f t="shared" si="117"/>
        <v>0</v>
      </c>
      <c r="Z735" s="13">
        <f t="shared" si="117"/>
        <v>0</v>
      </c>
      <c r="AA735">
        <f t="shared" ca="1" si="112"/>
        <v>1</v>
      </c>
      <c r="AB735">
        <f t="shared" ca="1" si="113"/>
        <v>0</v>
      </c>
      <c r="AC735" s="24">
        <f t="shared" ca="1" si="114"/>
        <v>2.9424189279493713E-2</v>
      </c>
      <c r="AD735" s="24">
        <f t="shared" ca="1" si="115"/>
        <v>0</v>
      </c>
    </row>
    <row r="736" spans="3:30" x14ac:dyDescent="0.25">
      <c r="C736" s="6">
        <v>729</v>
      </c>
      <c r="D736" s="35">
        <v>43040</v>
      </c>
      <c r="E736" s="37">
        <v>16.995000000000001</v>
      </c>
      <c r="F736" s="37">
        <v>50.551384546254518</v>
      </c>
      <c r="G736" s="37">
        <v>39.130000000000003</v>
      </c>
      <c r="H736" s="37">
        <v>2.4177859174395473</v>
      </c>
      <c r="I736" s="37">
        <v>78.422728719484084</v>
      </c>
      <c r="J736" s="10">
        <v>0</v>
      </c>
      <c r="K736" s="38">
        <v>0</v>
      </c>
      <c r="L736" s="38">
        <v>0</v>
      </c>
      <c r="M736" s="38">
        <v>0</v>
      </c>
      <c r="N736" s="38">
        <v>0</v>
      </c>
      <c r="O736" s="38">
        <v>0</v>
      </c>
      <c r="P736" s="38">
        <v>0</v>
      </c>
      <c r="Q736" s="38">
        <v>0</v>
      </c>
      <c r="R736" s="38">
        <v>0</v>
      </c>
      <c r="S736" s="38">
        <v>0</v>
      </c>
      <c r="T736" s="38">
        <v>1</v>
      </c>
      <c r="U736" s="29" cm="1">
        <f t="array" aca="1" ref="U736" ca="1">+fair_value_gap(OFFSET(T735,0,0,-1*$J$5,-1*$AA$1),OFFSET(E735,0,0,-1*$J$5,1),F736:T736,0)</f>
        <v>17.36697538537446</v>
      </c>
      <c r="V736" s="9" cm="1">
        <f t="array" aca="1" ref="V736" ca="1">z_score_diff(OFFSET(U736,0,0,$J$5*-1,1),OFFSET(E736,0,0,$J$5*-1,1))</f>
        <v>0.19026145679183465</v>
      </c>
      <c r="W736" s="9">
        <f t="shared" ca="1" si="111"/>
        <v>-0.13819917815177246</v>
      </c>
      <c r="X736" s="17">
        <f t="shared" ca="1" si="110"/>
        <v>3.1507789627921515E-2</v>
      </c>
      <c r="Y736" s="13">
        <f t="shared" si="117"/>
        <v>0</v>
      </c>
      <c r="Z736" s="13">
        <f t="shared" si="117"/>
        <v>0</v>
      </c>
      <c r="AA736">
        <f t="shared" ca="1" si="112"/>
        <v>1</v>
      </c>
      <c r="AB736">
        <f t="shared" ca="1" si="113"/>
        <v>0</v>
      </c>
      <c r="AC736" s="24">
        <f t="shared" ca="1" si="114"/>
        <v>3.1507789627921515E-2</v>
      </c>
      <c r="AD736" s="24">
        <f t="shared" ca="1" si="115"/>
        <v>0</v>
      </c>
    </row>
    <row r="737" spans="3:30" x14ac:dyDescent="0.25">
      <c r="C737" s="6">
        <v>730</v>
      </c>
      <c r="D737" s="35">
        <v>43041</v>
      </c>
      <c r="E737" s="37">
        <v>16.818999999999999</v>
      </c>
      <c r="F737" s="37">
        <v>50.462373801645874</v>
      </c>
      <c r="G737" s="37">
        <v>39.340000000000003</v>
      </c>
      <c r="H737" s="37">
        <v>2.4272503605667262</v>
      </c>
      <c r="I737" s="37">
        <v>77.797573598031732</v>
      </c>
      <c r="J737" s="10">
        <v>0</v>
      </c>
      <c r="K737" s="38">
        <v>0</v>
      </c>
      <c r="L737" s="38">
        <v>0</v>
      </c>
      <c r="M737" s="38">
        <v>0</v>
      </c>
      <c r="N737" s="38">
        <v>0</v>
      </c>
      <c r="O737" s="38">
        <v>0</v>
      </c>
      <c r="P737" s="38">
        <v>0</v>
      </c>
      <c r="Q737" s="38">
        <v>0</v>
      </c>
      <c r="R737" s="38">
        <v>0</v>
      </c>
      <c r="S737" s="38">
        <v>0</v>
      </c>
      <c r="T737" s="38">
        <v>1</v>
      </c>
      <c r="U737" s="29" cm="1">
        <f t="array" aca="1" ref="U737" ca="1">+fair_value_gap(OFFSET(T736,0,0,-1*$J$5,-1*$AA$1),OFFSET(E736,0,0,-1*$J$5,1),F737:T737,0)</f>
        <v>17.309893164661528</v>
      </c>
      <c r="V737" s="9" cm="1">
        <f t="array" aca="1" ref="V737" ca="1">z_score_diff(OFFSET(U737,0,0,$J$5*-1,1),OFFSET(E737,0,0,$J$5*-1,1))</f>
        <v>0.39019347645817498</v>
      </c>
      <c r="W737" s="9">
        <f t="shared" ca="1" si="111"/>
        <v>-8.6352202699876632E-2</v>
      </c>
      <c r="X737" s="17">
        <f t="shared" ca="1" si="110"/>
        <v>2.1760444600724092E-2</v>
      </c>
      <c r="Y737" s="13">
        <f t="shared" si="117"/>
        <v>0</v>
      </c>
      <c r="Z737" s="13">
        <f t="shared" si="117"/>
        <v>0</v>
      </c>
      <c r="AA737">
        <f t="shared" ca="1" si="112"/>
        <v>1</v>
      </c>
      <c r="AB737">
        <f t="shared" ca="1" si="113"/>
        <v>0</v>
      </c>
      <c r="AC737" s="24">
        <f t="shared" ca="1" si="114"/>
        <v>2.1760444600724092E-2</v>
      </c>
      <c r="AD737" s="24">
        <f t="shared" ca="1" si="115"/>
        <v>0</v>
      </c>
    </row>
    <row r="738" spans="3:30" x14ac:dyDescent="0.25">
      <c r="C738" s="6">
        <v>731</v>
      </c>
      <c r="D738" s="35">
        <v>43042</v>
      </c>
      <c r="E738" s="37">
        <v>16.623000000000001</v>
      </c>
      <c r="F738" s="37">
        <v>51.818593169080643</v>
      </c>
      <c r="G738" s="37">
        <v>38.840000000000003</v>
      </c>
      <c r="H738" s="37">
        <v>2.4584219913303342</v>
      </c>
      <c r="I738" s="37">
        <v>76.649933490524646</v>
      </c>
      <c r="J738" s="10">
        <v>0</v>
      </c>
      <c r="K738" s="38">
        <v>0</v>
      </c>
      <c r="L738" s="38">
        <v>0</v>
      </c>
      <c r="M738" s="38">
        <v>0</v>
      </c>
      <c r="N738" s="38">
        <v>0</v>
      </c>
      <c r="O738" s="38">
        <v>0</v>
      </c>
      <c r="P738" s="38">
        <v>0</v>
      </c>
      <c r="Q738" s="38">
        <v>0</v>
      </c>
      <c r="R738" s="38">
        <v>0</v>
      </c>
      <c r="S738" s="38">
        <v>0</v>
      </c>
      <c r="T738" s="38">
        <v>1</v>
      </c>
      <c r="U738" s="29" cm="1">
        <f t="array" aca="1" ref="U738" ca="1">+fair_value_gap(OFFSET(T737,0,0,-1*$J$5,-1*$AA$1),OFFSET(E737,0,0,-1*$J$5,1),F738:T738,0)</f>
        <v>17.166758858820529</v>
      </c>
      <c r="V738" s="9" cm="1">
        <f t="array" aca="1" ref="V738" ca="1">z_score_diff(OFFSET(U738,0,0,$J$5*-1,1),OFFSET(E738,0,0,$J$5*-1,1))</f>
        <v>0.48773054980710795</v>
      </c>
      <c r="W738" s="9">
        <f t="shared" ca="1" si="111"/>
        <v>-2.9172803905598128E-2</v>
      </c>
      <c r="X738" s="17">
        <f t="shared" ca="1" si="110"/>
        <v>3.7546467995943744E-2</v>
      </c>
      <c r="Y738" s="13">
        <f t="shared" si="117"/>
        <v>0</v>
      </c>
      <c r="Z738" s="13">
        <f t="shared" si="117"/>
        <v>0</v>
      </c>
      <c r="AA738">
        <f t="shared" ca="1" si="112"/>
        <v>1</v>
      </c>
      <c r="AB738">
        <f t="shared" ca="1" si="113"/>
        <v>0</v>
      </c>
      <c r="AC738" s="24">
        <f t="shared" ca="1" si="114"/>
        <v>3.7546467995943744E-2</v>
      </c>
      <c r="AD738" s="24">
        <f t="shared" ca="1" si="115"/>
        <v>0</v>
      </c>
    </row>
    <row r="739" spans="3:30" x14ac:dyDescent="0.25">
      <c r="C739" s="6">
        <v>732</v>
      </c>
      <c r="D739" s="35">
        <v>43045</v>
      </c>
      <c r="E739" s="37">
        <v>17.010000000000002</v>
      </c>
      <c r="F739" s="37">
        <v>53.491789662002432</v>
      </c>
      <c r="G739" s="37">
        <v>39.479999999999997</v>
      </c>
      <c r="H739" s="37">
        <v>2.4944093029199412</v>
      </c>
      <c r="I739" s="37">
        <v>77.481737056205148</v>
      </c>
      <c r="J739" s="10">
        <v>0</v>
      </c>
      <c r="K739" s="38">
        <v>0</v>
      </c>
      <c r="L739" s="38">
        <v>0</v>
      </c>
      <c r="M739" s="38">
        <v>0</v>
      </c>
      <c r="N739" s="38">
        <v>0</v>
      </c>
      <c r="O739" s="38">
        <v>0</v>
      </c>
      <c r="P739" s="38">
        <v>0</v>
      </c>
      <c r="Q739" s="38">
        <v>0</v>
      </c>
      <c r="R739" s="38">
        <v>0</v>
      </c>
      <c r="S739" s="38">
        <v>0</v>
      </c>
      <c r="T739" s="38">
        <v>1</v>
      </c>
      <c r="U739" s="29" cm="1">
        <f t="array" aca="1" ref="U739" ca="1">+fair_value_gap(OFFSET(T738,0,0,-1*$J$5,-1*$AA$1),OFFSET(E738,0,0,-1*$J$5,1),F739:T739,0)</f>
        <v>17.363541616113217</v>
      </c>
      <c r="V739" s="9" cm="1">
        <f t="array" aca="1" ref="V739" ca="1">z_score_diff(OFFSET(U739,0,0,$J$5*-1,1),OFFSET(E739,0,0,$J$5*-1,1))</f>
        <v>0.16423257677638489</v>
      </c>
      <c r="W739" s="9">
        <f t="shared" ca="1" si="111"/>
        <v>1.5621548702178889E-2</v>
      </c>
      <c r="X739" s="17">
        <f t="shared" ca="1" si="110"/>
        <v>1.1049836186584935E-2</v>
      </c>
      <c r="Y739" s="13">
        <f t="shared" si="117"/>
        <v>0</v>
      </c>
      <c r="Z739" s="13">
        <f t="shared" si="117"/>
        <v>0</v>
      </c>
      <c r="AA739">
        <f t="shared" ca="1" si="112"/>
        <v>0</v>
      </c>
      <c r="AB739">
        <f t="shared" ca="1" si="113"/>
        <v>1</v>
      </c>
      <c r="AC739" s="24">
        <f t="shared" ca="1" si="114"/>
        <v>0</v>
      </c>
      <c r="AD739" s="24">
        <f t="shared" ca="1" si="115"/>
        <v>1.1049836186584935E-2</v>
      </c>
    </row>
    <row r="740" spans="3:30" x14ac:dyDescent="0.25">
      <c r="C740" s="6">
        <v>733</v>
      </c>
      <c r="D740" s="35">
        <v>43046</v>
      </c>
      <c r="E740" s="37">
        <v>17.263000000000002</v>
      </c>
      <c r="F740" s="37">
        <v>53.377594210813761</v>
      </c>
      <c r="G740" s="37">
        <v>39.24</v>
      </c>
      <c r="H740" s="37">
        <v>2.5071682140906608</v>
      </c>
      <c r="I740" s="37">
        <v>77.314309120699065</v>
      </c>
      <c r="J740" s="10">
        <v>0</v>
      </c>
      <c r="K740" s="38">
        <v>0</v>
      </c>
      <c r="L740" s="38">
        <v>0</v>
      </c>
      <c r="M740" s="38">
        <v>0</v>
      </c>
      <c r="N740" s="38">
        <v>0</v>
      </c>
      <c r="O740" s="38">
        <v>0</v>
      </c>
      <c r="P740" s="38">
        <v>0</v>
      </c>
      <c r="Q740" s="38">
        <v>0</v>
      </c>
      <c r="R740" s="38">
        <v>0</v>
      </c>
      <c r="S740" s="38">
        <v>0</v>
      </c>
      <c r="T740" s="38">
        <v>1</v>
      </c>
      <c r="U740" s="29" cm="1">
        <f t="array" aca="1" ref="U740" ca="1">+fair_value_gap(OFFSET(T739,0,0,-1*$J$5,-1*$AA$1),OFFSET(E739,0,0,-1*$J$5,1),F740:T740,0)</f>
        <v>17.252942903152679</v>
      </c>
      <c r="V740" s="9" cm="1">
        <f t="array" aca="1" ref="V740" ca="1">z_score_diff(OFFSET(U740,0,0,$J$5*-1,1),OFFSET(E740,0,0,$J$5*-1,1))</f>
        <v>-0.42591021960278552</v>
      </c>
      <c r="W740" s="9">
        <f t="shared" ca="1" si="111"/>
        <v>2.460928011402231E-2</v>
      </c>
      <c r="X740" s="17">
        <f t="shared" ca="1" si="110"/>
        <v>-1.0306068104985125E-2</v>
      </c>
      <c r="Y740" s="13">
        <f t="shared" si="117"/>
        <v>0</v>
      </c>
      <c r="Z740" s="13">
        <f t="shared" si="117"/>
        <v>0</v>
      </c>
      <c r="AA740">
        <f t="shared" ca="1" si="112"/>
        <v>0</v>
      </c>
      <c r="AB740">
        <f t="shared" ca="1" si="113"/>
        <v>1</v>
      </c>
      <c r="AC740" s="24">
        <f t="shared" ca="1" si="114"/>
        <v>0</v>
      </c>
      <c r="AD740" s="24">
        <f t="shared" ca="1" si="115"/>
        <v>-1.0306068104985125E-2</v>
      </c>
    </row>
    <row r="741" spans="3:30" x14ac:dyDescent="0.25">
      <c r="C741" s="6">
        <v>734</v>
      </c>
      <c r="D741" s="35">
        <v>43047</v>
      </c>
      <c r="E741" s="37">
        <v>17.274999999999999</v>
      </c>
      <c r="F741" s="37">
        <v>53.207048676049318</v>
      </c>
      <c r="G741" s="37">
        <v>39.130000000000003</v>
      </c>
      <c r="H741" s="37">
        <v>2.5149476926698098</v>
      </c>
      <c r="I741" s="37">
        <v>76.625313728851268</v>
      </c>
      <c r="J741" s="10">
        <v>0</v>
      </c>
      <c r="K741" s="38">
        <v>0</v>
      </c>
      <c r="L741" s="38">
        <v>0</v>
      </c>
      <c r="M741" s="38">
        <v>0</v>
      </c>
      <c r="N741" s="38">
        <v>0</v>
      </c>
      <c r="O741" s="38">
        <v>0</v>
      </c>
      <c r="P741" s="38">
        <v>0</v>
      </c>
      <c r="Q741" s="38">
        <v>0</v>
      </c>
      <c r="R741" s="38">
        <v>0</v>
      </c>
      <c r="S741" s="38">
        <v>0</v>
      </c>
      <c r="T741" s="38">
        <v>1</v>
      </c>
      <c r="U741" s="29" cm="1">
        <f t="array" aca="1" ref="U741" ca="1">+fair_value_gap(OFFSET(T740,0,0,-1*$J$5,-1*$AA$1),OFFSET(E740,0,0,-1*$J$5,1),F741:T741,0)</f>
        <v>17.1948611922992</v>
      </c>
      <c r="V741" s="9" cm="1">
        <f t="array" aca="1" ref="V741" ca="1">z_score_diff(OFFSET(U741,0,0,$J$5*-1,1),OFFSET(E741,0,0,$J$5*-1,1))</f>
        <v>-0.53643228125463394</v>
      </c>
      <c r="W741" s="9">
        <f t="shared" ca="1" si="111"/>
        <v>2.046816524315262E-2</v>
      </c>
      <c r="X741" s="17">
        <f t="shared" ca="1" si="110"/>
        <v>-2.2953171158676979E-2</v>
      </c>
      <c r="Y741" s="13">
        <f t="shared" si="117"/>
        <v>0</v>
      </c>
      <c r="Z741" s="13">
        <f t="shared" si="117"/>
        <v>0</v>
      </c>
      <c r="AA741">
        <f t="shared" ca="1" si="112"/>
        <v>0</v>
      </c>
      <c r="AB741">
        <f t="shared" ca="1" si="113"/>
        <v>1</v>
      </c>
      <c r="AC741" s="24">
        <f t="shared" ca="1" si="114"/>
        <v>0</v>
      </c>
      <c r="AD741" s="24">
        <f t="shared" ca="1" si="115"/>
        <v>-2.2953171158676979E-2</v>
      </c>
    </row>
    <row r="742" spans="3:30" x14ac:dyDescent="0.25">
      <c r="C742" s="6">
        <v>735</v>
      </c>
      <c r="D742" s="35">
        <v>43048</v>
      </c>
      <c r="E742" s="37">
        <v>17.428000000000001</v>
      </c>
      <c r="F742" s="37">
        <v>53.428596915261011</v>
      </c>
      <c r="G742" s="37">
        <v>38.79</v>
      </c>
      <c r="H742" s="37">
        <v>2.5095893669531089</v>
      </c>
      <c r="I742" s="37">
        <v>75.950334937578859</v>
      </c>
      <c r="J742" s="10">
        <v>0</v>
      </c>
      <c r="K742" s="38">
        <v>0</v>
      </c>
      <c r="L742" s="38">
        <v>0</v>
      </c>
      <c r="M742" s="38">
        <v>0</v>
      </c>
      <c r="N742" s="38">
        <v>0</v>
      </c>
      <c r="O742" s="38">
        <v>0</v>
      </c>
      <c r="P742" s="38">
        <v>0</v>
      </c>
      <c r="Q742" s="38">
        <v>0</v>
      </c>
      <c r="R742" s="38">
        <v>0</v>
      </c>
      <c r="S742" s="38">
        <v>0</v>
      </c>
      <c r="T742" s="38">
        <v>1</v>
      </c>
      <c r="U742" s="29" cm="1">
        <f t="array" aca="1" ref="U742" ca="1">+fair_value_gap(OFFSET(T741,0,0,-1*$J$5,-1*$AA$1),OFFSET(E741,0,0,-1*$J$5,1),F742:T742,0)</f>
        <v>17.092728207990532</v>
      </c>
      <c r="V742" s="9" cm="1">
        <f t="array" aca="1" ref="V742" ca="1">z_score_diff(OFFSET(U742,0,0,$J$5*-1,1),OFFSET(E742,0,0,$J$5*-1,1))</f>
        <v>-0.95028843416784659</v>
      </c>
      <c r="W742" s="9">
        <f t="shared" ca="1" si="111"/>
        <v>-7.3231155691244661E-3</v>
      </c>
      <c r="X742" s="17">
        <f t="shared" ca="1" si="110"/>
        <v>-3.1534013105196469E-2</v>
      </c>
      <c r="Y742" s="13">
        <f t="shared" si="117"/>
        <v>0</v>
      </c>
      <c r="Z742" s="13">
        <f t="shared" si="117"/>
        <v>0</v>
      </c>
      <c r="AA742">
        <f t="shared" ca="1" si="112"/>
        <v>1</v>
      </c>
      <c r="AB742">
        <f t="shared" ca="1" si="113"/>
        <v>0</v>
      </c>
      <c r="AC742" s="24">
        <f t="shared" ca="1" si="114"/>
        <v>-3.1534013105196469E-2</v>
      </c>
      <c r="AD742" s="24">
        <f t="shared" ca="1" si="115"/>
        <v>0</v>
      </c>
    </row>
    <row r="743" spans="3:30" x14ac:dyDescent="0.25">
      <c r="C743" s="6">
        <v>736</v>
      </c>
      <c r="D743" s="35">
        <v>43049</v>
      </c>
      <c r="E743" s="37">
        <v>17.664000000000001</v>
      </c>
      <c r="F743" s="37">
        <v>53.215167849084636</v>
      </c>
      <c r="G743" s="37">
        <v>38.909999999999997</v>
      </c>
      <c r="H743" s="37">
        <v>2.5106773741418036</v>
      </c>
      <c r="I743" s="37">
        <v>76.651548335838939</v>
      </c>
      <c r="J743" s="10">
        <v>0</v>
      </c>
      <c r="K743" s="38">
        <v>0</v>
      </c>
      <c r="L743" s="38">
        <v>0</v>
      </c>
      <c r="M743" s="38">
        <v>0</v>
      </c>
      <c r="N743" s="38">
        <v>0</v>
      </c>
      <c r="O743" s="38">
        <v>0</v>
      </c>
      <c r="P743" s="38">
        <v>0</v>
      </c>
      <c r="Q743" s="38">
        <v>0</v>
      </c>
      <c r="R743" s="38">
        <v>0</v>
      </c>
      <c r="S743" s="38">
        <v>0</v>
      </c>
      <c r="T743" s="38">
        <v>1</v>
      </c>
      <c r="U743" s="29" cm="1">
        <f t="array" aca="1" ref="U743" ca="1">+fair_value_gap(OFFSET(T742,0,0,-1*$J$5,-1*$AA$1),OFFSET(E742,0,0,-1*$J$5,1),F743:T743,0)</f>
        <v>17.164032226491052</v>
      </c>
      <c r="V743" s="9" cm="1">
        <f t="array" aca="1" ref="V743" ca="1">z_score_diff(OFFSET(U743,0,0,$J$5*-1,1),OFFSET(E743,0,0,$J$5*-1,1))</f>
        <v>-1.2217492215211354</v>
      </c>
      <c r="W743" s="9">
        <f t="shared" ca="1" si="111"/>
        <v>-4.7300887992419438E-2</v>
      </c>
      <c r="X743" s="17">
        <f t="shared" ca="1" si="110"/>
        <v>-5.0745199005235435E-2</v>
      </c>
      <c r="Y743" s="13">
        <f t="shared" si="117"/>
        <v>0</v>
      </c>
      <c r="Z743" s="13">
        <f t="shared" si="117"/>
        <v>0</v>
      </c>
      <c r="AA743">
        <f t="shared" ca="1" si="112"/>
        <v>1</v>
      </c>
      <c r="AB743">
        <f t="shared" ca="1" si="113"/>
        <v>0</v>
      </c>
      <c r="AC743" s="24">
        <f t="shared" ca="1" si="114"/>
        <v>-5.0745199005235435E-2</v>
      </c>
      <c r="AD743" s="24">
        <f t="shared" ca="1" si="115"/>
        <v>0</v>
      </c>
    </row>
    <row r="744" spans="3:30" x14ac:dyDescent="0.25">
      <c r="C744" s="6">
        <v>737</v>
      </c>
      <c r="D744" s="35">
        <v>43052</v>
      </c>
      <c r="E744" s="37">
        <v>17.716000000000001</v>
      </c>
      <c r="F744" s="37">
        <v>53.041405012404297</v>
      </c>
      <c r="G744" s="37">
        <v>38.85</v>
      </c>
      <c r="H744" s="37">
        <v>2.500353863640024</v>
      </c>
      <c r="I744" s="37">
        <v>76.705771070990565</v>
      </c>
      <c r="J744" s="10">
        <v>0</v>
      </c>
      <c r="K744" s="38">
        <v>0</v>
      </c>
      <c r="L744" s="38">
        <v>0</v>
      </c>
      <c r="M744" s="38">
        <v>0</v>
      </c>
      <c r="N744" s="38">
        <v>0</v>
      </c>
      <c r="O744" s="38">
        <v>0</v>
      </c>
      <c r="P744" s="38">
        <v>0</v>
      </c>
      <c r="Q744" s="38">
        <v>0</v>
      </c>
      <c r="R744" s="38">
        <v>0</v>
      </c>
      <c r="S744" s="38">
        <v>0</v>
      </c>
      <c r="T744" s="38">
        <v>1</v>
      </c>
      <c r="U744" s="29" cm="1">
        <f t="array" aca="1" ref="U744" ca="1">+fair_value_gap(OFFSET(T743,0,0,-1*$J$5,-1*$AA$1),OFFSET(E743,0,0,-1*$J$5,1),F744:T744,0)</f>
        <v>17.178053091033497</v>
      </c>
      <c r="V744" s="9" cm="1">
        <f t="array" aca="1" ref="V744" ca="1">z_score_diff(OFFSET(U744,0,0,$J$5*-1,1),OFFSET(E744,0,0,$J$5*-1,1))</f>
        <v>-1.2761459347029696</v>
      </c>
      <c r="W744" s="9">
        <f t="shared" ca="1" si="111"/>
        <v>-9.0807342553132983E-2</v>
      </c>
      <c r="X744" s="17">
        <f t="shared" ca="1" si="110"/>
        <v>-3.1595759151296442E-2</v>
      </c>
      <c r="Y744" s="13">
        <f t="shared" si="117"/>
        <v>0</v>
      </c>
      <c r="Z744" s="13">
        <f t="shared" si="117"/>
        <v>0</v>
      </c>
      <c r="AA744">
        <f t="shared" ca="1" si="112"/>
        <v>1</v>
      </c>
      <c r="AB744">
        <f t="shared" ca="1" si="113"/>
        <v>0</v>
      </c>
      <c r="AC744" s="24">
        <f t="shared" ca="1" si="114"/>
        <v>-3.1595759151296442E-2</v>
      </c>
      <c r="AD744" s="24">
        <f t="shared" ca="1" si="115"/>
        <v>0</v>
      </c>
    </row>
    <row r="745" spans="3:30" x14ac:dyDescent="0.25">
      <c r="C745" s="6">
        <v>738</v>
      </c>
      <c r="D745" s="35">
        <v>43053</v>
      </c>
      <c r="E745" s="37">
        <v>17.263999999999999</v>
      </c>
      <c r="F745" s="37">
        <v>51.464421109135436</v>
      </c>
      <c r="G745" s="37">
        <v>38.549999999999997</v>
      </c>
      <c r="H745" s="37">
        <v>2.455798973395511</v>
      </c>
      <c r="I745" s="37">
        <v>73.892038782836238</v>
      </c>
      <c r="J745" s="10">
        <v>0</v>
      </c>
      <c r="K745" s="38">
        <v>0</v>
      </c>
      <c r="L745" s="38">
        <v>0</v>
      </c>
      <c r="M745" s="38">
        <v>0</v>
      </c>
      <c r="N745" s="38">
        <v>0</v>
      </c>
      <c r="O745" s="38">
        <v>0</v>
      </c>
      <c r="P745" s="38">
        <v>0</v>
      </c>
      <c r="Q745" s="38">
        <v>0</v>
      </c>
      <c r="R745" s="38">
        <v>0</v>
      </c>
      <c r="S745" s="38">
        <v>0</v>
      </c>
      <c r="T745" s="38">
        <v>1</v>
      </c>
      <c r="U745" s="29" cm="1">
        <f t="array" aca="1" ref="U745" ca="1">+fair_value_gap(OFFSET(T744,0,0,-1*$J$5,-1*$AA$1),OFFSET(E744,0,0,-1*$J$5,1),F745:T745,0)</f>
        <v>16.935992139085933</v>
      </c>
      <c r="V745" s="9" cm="1">
        <f t="array" aca="1" ref="V745" ca="1">z_score_diff(OFFSET(U745,0,0,$J$5*-1,1),OFFSET(E745,0,0,$J$5*-1,1))</f>
        <v>-0.9119461081459328</v>
      </c>
      <c r="W745" s="9">
        <f t="shared" ca="1" si="111"/>
        <v>-0.1213169103874209</v>
      </c>
      <c r="X745" s="17">
        <f t="shared" ca="1" si="110"/>
        <v>2.2564883587326097E-3</v>
      </c>
      <c r="Y745" s="13">
        <f t="shared" ref="Y745:Z760" si="118">+Y744</f>
        <v>0</v>
      </c>
      <c r="Z745" s="13">
        <f t="shared" si="118"/>
        <v>0</v>
      </c>
      <c r="AA745">
        <f t="shared" ca="1" si="112"/>
        <v>1</v>
      </c>
      <c r="AB745">
        <f t="shared" ca="1" si="113"/>
        <v>0</v>
      </c>
      <c r="AC745" s="24">
        <f t="shared" ca="1" si="114"/>
        <v>2.2564883587326097E-3</v>
      </c>
      <c r="AD745" s="24">
        <f t="shared" ca="1" si="115"/>
        <v>0</v>
      </c>
    </row>
    <row r="746" spans="3:30" x14ac:dyDescent="0.25">
      <c r="C746" s="6">
        <v>739</v>
      </c>
      <c r="D746" s="35">
        <v>43054</v>
      </c>
      <c r="E746" s="37">
        <v>17.128</v>
      </c>
      <c r="F746" s="37">
        <v>51.265705993860188</v>
      </c>
      <c r="G746" s="37">
        <v>38.18</v>
      </c>
      <c r="H746" s="37">
        <v>2.4492123936857291</v>
      </c>
      <c r="I746" s="37">
        <v>74.273204609887429</v>
      </c>
      <c r="J746" s="10">
        <v>0</v>
      </c>
      <c r="K746" s="38">
        <v>0</v>
      </c>
      <c r="L746" s="38">
        <v>0</v>
      </c>
      <c r="M746" s="38">
        <v>0</v>
      </c>
      <c r="N746" s="38">
        <v>0</v>
      </c>
      <c r="O746" s="38">
        <v>0</v>
      </c>
      <c r="P746" s="38">
        <v>0</v>
      </c>
      <c r="Q746" s="38">
        <v>0</v>
      </c>
      <c r="R746" s="38">
        <v>0</v>
      </c>
      <c r="S746" s="38">
        <v>0</v>
      </c>
      <c r="T746" s="38">
        <v>1</v>
      </c>
      <c r="U746" s="29" cm="1">
        <f t="array" aca="1" ref="U746" ca="1">+fair_value_gap(OFFSET(T745,0,0,-1*$J$5,-1*$AA$1),OFFSET(E745,0,0,-1*$J$5,1),F746:T746,0)</f>
        <v>16.872978625501439</v>
      </c>
      <c r="V746" s="9" cm="1">
        <f t="array" aca="1" ref="V746" ca="1">z_score_diff(OFFSET(U746,0,0,$J$5*-1,1),OFFSET(E746,0,0,$J$5*-1,1))</f>
        <v>-0.78712047317235456</v>
      </c>
      <c r="W746" s="9">
        <f t="shared" ca="1" si="111"/>
        <v>-0.14878906058097924</v>
      </c>
      <c r="X746" s="17">
        <f t="shared" ca="1" si="110"/>
        <v>-1.091880527802247E-2</v>
      </c>
      <c r="Y746" s="13">
        <f t="shared" si="118"/>
        <v>0</v>
      </c>
      <c r="Z746" s="13">
        <f t="shared" si="118"/>
        <v>0</v>
      </c>
      <c r="AA746">
        <f t="shared" ca="1" si="112"/>
        <v>1</v>
      </c>
      <c r="AB746">
        <f t="shared" ca="1" si="113"/>
        <v>0</v>
      </c>
      <c r="AC746" s="24">
        <f t="shared" ca="1" si="114"/>
        <v>-1.091880527802247E-2</v>
      </c>
      <c r="AD746" s="24">
        <f t="shared" ca="1" si="115"/>
        <v>0</v>
      </c>
    </row>
    <row r="747" spans="3:30" x14ac:dyDescent="0.25">
      <c r="C747" s="6">
        <v>740</v>
      </c>
      <c r="D747" s="35">
        <v>43055</v>
      </c>
      <c r="E747" s="37">
        <v>17.311</v>
      </c>
      <c r="F747" s="37">
        <v>50.995590183642939</v>
      </c>
      <c r="G747" s="37">
        <v>37.83</v>
      </c>
      <c r="H747" s="37">
        <v>2.4598861294515073</v>
      </c>
      <c r="I747" s="37">
        <v>73.174891350828659</v>
      </c>
      <c r="J747" s="10">
        <v>0</v>
      </c>
      <c r="K747" s="38">
        <v>0</v>
      </c>
      <c r="L747" s="38">
        <v>0</v>
      </c>
      <c r="M747" s="38">
        <v>0</v>
      </c>
      <c r="N747" s="38">
        <v>0</v>
      </c>
      <c r="O747" s="38">
        <v>0</v>
      </c>
      <c r="P747" s="38">
        <v>0</v>
      </c>
      <c r="Q747" s="38">
        <v>0</v>
      </c>
      <c r="R747" s="38">
        <v>0</v>
      </c>
      <c r="S747" s="38">
        <v>0</v>
      </c>
      <c r="T747" s="38">
        <v>1</v>
      </c>
      <c r="U747" s="29" cm="1">
        <f t="array" aca="1" ref="U747" ca="1">+fair_value_gap(OFFSET(T746,0,0,-1*$J$5,-1*$AA$1),OFFSET(E746,0,0,-1*$J$5,1),F747:T747,0)</f>
        <v>16.769066244712782</v>
      </c>
      <c r="V747" s="9" cm="1">
        <f t="array" aca="1" ref="V747" ca="1">z_score_diff(OFFSET(U747,0,0,$J$5*-1,1),OFFSET(E747,0,0,$J$5*-1,1))</f>
        <v>-1.2571893906635687</v>
      </c>
      <c r="W747" s="9">
        <f t="shared" ca="1" si="111"/>
        <v>-0.19840915430017031</v>
      </c>
      <c r="X747" s="17">
        <f t="shared" ca="1" si="110"/>
        <v>-1.560919524905768E-3</v>
      </c>
      <c r="Y747" s="13">
        <f t="shared" si="118"/>
        <v>0</v>
      </c>
      <c r="Z747" s="13">
        <f t="shared" si="118"/>
        <v>0</v>
      </c>
      <c r="AA747">
        <f t="shared" ca="1" si="112"/>
        <v>1</v>
      </c>
      <c r="AB747">
        <f t="shared" ca="1" si="113"/>
        <v>0</v>
      </c>
      <c r="AC747" s="24">
        <f t="shared" ca="1" si="114"/>
        <v>-1.560919524905768E-3</v>
      </c>
      <c r="AD747" s="24">
        <f t="shared" ca="1" si="115"/>
        <v>0</v>
      </c>
    </row>
    <row r="748" spans="3:30" x14ac:dyDescent="0.25">
      <c r="C748" s="6">
        <v>741</v>
      </c>
      <c r="D748" s="35">
        <v>43056</v>
      </c>
      <c r="E748" s="37">
        <v>17.227</v>
      </c>
      <c r="F748" s="37">
        <v>51.79049040404464</v>
      </c>
      <c r="G748" s="37">
        <v>37.56</v>
      </c>
      <c r="H748" s="37">
        <v>2.4675313786482658</v>
      </c>
      <c r="I748" s="37">
        <v>72.022067762788325</v>
      </c>
      <c r="J748" s="10">
        <v>0</v>
      </c>
      <c r="K748" s="38">
        <v>0</v>
      </c>
      <c r="L748" s="38">
        <v>0</v>
      </c>
      <c r="M748" s="38">
        <v>0</v>
      </c>
      <c r="N748" s="38">
        <v>0</v>
      </c>
      <c r="O748" s="38">
        <v>0</v>
      </c>
      <c r="P748" s="38">
        <v>0</v>
      </c>
      <c r="Q748" s="38">
        <v>0</v>
      </c>
      <c r="R748" s="38">
        <v>0</v>
      </c>
      <c r="S748" s="38">
        <v>0</v>
      </c>
      <c r="T748" s="38">
        <v>1</v>
      </c>
      <c r="U748" s="29" cm="1">
        <f t="array" aca="1" ref="U748" ca="1">+fair_value_gap(OFFSET(T747,0,0,-1*$J$5,-1*$AA$1),OFFSET(E747,0,0,-1*$J$5,1),F748:T748,0)</f>
        <v>16.745498729003945</v>
      </c>
      <c r="V748" s="9" cm="1">
        <f t="array" aca="1" ref="V748" ca="1">z_score_diff(OFFSET(U748,0,0,$J$5*-1,1),OFFSET(E748,0,0,$J$5*-1,1))</f>
        <v>-1.1569280701511024</v>
      </c>
      <c r="W748" s="9">
        <f t="shared" ca="1" si="111"/>
        <v>-0.25489031314752181</v>
      </c>
      <c r="X748" s="17">
        <f t="shared" ca="1" si="110"/>
        <v>1.7399378012098667E-3</v>
      </c>
      <c r="Y748" s="13">
        <f t="shared" si="118"/>
        <v>0</v>
      </c>
      <c r="Z748" s="13">
        <f t="shared" si="118"/>
        <v>0</v>
      </c>
      <c r="AA748">
        <f t="shared" ca="1" si="112"/>
        <v>1</v>
      </c>
      <c r="AB748">
        <f t="shared" ca="1" si="113"/>
        <v>0</v>
      </c>
      <c r="AC748" s="24">
        <f t="shared" ca="1" si="114"/>
        <v>1.7399378012098667E-3</v>
      </c>
      <c r="AD748" s="24">
        <f t="shared" ca="1" si="115"/>
        <v>0</v>
      </c>
    </row>
    <row r="749" spans="3:30" x14ac:dyDescent="0.25">
      <c r="C749" s="6">
        <v>742</v>
      </c>
      <c r="D749" s="35">
        <v>43059</v>
      </c>
      <c r="E749" s="37">
        <v>17.434999999999999</v>
      </c>
      <c r="F749" s="37">
        <v>51.722364865206593</v>
      </c>
      <c r="G749" s="37">
        <v>37.71</v>
      </c>
      <c r="H749" s="37">
        <v>2.4723222970933985</v>
      </c>
      <c r="I749" s="37">
        <v>73.714485128134243</v>
      </c>
      <c r="J749" s="10">
        <v>0</v>
      </c>
      <c r="K749" s="38">
        <v>0</v>
      </c>
      <c r="L749" s="38">
        <v>0</v>
      </c>
      <c r="M749" s="38">
        <v>0</v>
      </c>
      <c r="N749" s="38">
        <v>0</v>
      </c>
      <c r="O749" s="38">
        <v>0</v>
      </c>
      <c r="P749" s="38">
        <v>0</v>
      </c>
      <c r="Q749" s="38">
        <v>0</v>
      </c>
      <c r="R749" s="38">
        <v>0</v>
      </c>
      <c r="S749" s="38">
        <v>0</v>
      </c>
      <c r="T749" s="38">
        <v>1</v>
      </c>
      <c r="U749" s="29" cm="1">
        <f t="array" aca="1" ref="U749" ca="1">+fair_value_gap(OFFSET(T748,0,0,-1*$J$5,-1*$AA$1),OFFSET(E748,0,0,-1*$J$5,1),F749:T749,0)</f>
        <v>16.862222207452803</v>
      </c>
      <c r="V749" s="9" cm="1">
        <f t="array" aca="1" ref="V749" ca="1">z_score_diff(OFFSET(U749,0,0,$J$5*-1,1),OFFSET(E749,0,0,$J$5*-1,1))</f>
        <v>-1.3113253665559708</v>
      </c>
      <c r="W749" s="9">
        <f t="shared" ca="1" si="111"/>
        <v>-0.33050948065000652</v>
      </c>
      <c r="X749" s="17">
        <f t="shared" ca="1" si="110"/>
        <v>-1.043567947322729E-2</v>
      </c>
      <c r="Y749" s="13">
        <f t="shared" si="118"/>
        <v>0</v>
      </c>
      <c r="Z749" s="13">
        <f t="shared" si="118"/>
        <v>0</v>
      </c>
      <c r="AA749">
        <f t="shared" ca="1" si="112"/>
        <v>1</v>
      </c>
      <c r="AB749">
        <f t="shared" ca="1" si="113"/>
        <v>0</v>
      </c>
      <c r="AC749" s="24">
        <f t="shared" ca="1" si="114"/>
        <v>-1.043567947322729E-2</v>
      </c>
      <c r="AD749" s="24">
        <f t="shared" ca="1" si="115"/>
        <v>0</v>
      </c>
    </row>
    <row r="750" spans="3:30" x14ac:dyDescent="0.25">
      <c r="C750" s="6">
        <v>743</v>
      </c>
      <c r="D750" s="35">
        <v>43060</v>
      </c>
      <c r="E750" s="37">
        <v>17.678000000000001</v>
      </c>
      <c r="F750" s="37">
        <v>51.817966650185774</v>
      </c>
      <c r="G750" s="37">
        <v>38.42</v>
      </c>
      <c r="H750" s="37">
        <v>2.4662387248332887</v>
      </c>
      <c r="I750" s="37">
        <v>73.53232263591056</v>
      </c>
      <c r="J750" s="10">
        <v>0</v>
      </c>
      <c r="K750" s="38">
        <v>0</v>
      </c>
      <c r="L750" s="38">
        <v>0</v>
      </c>
      <c r="M750" s="38">
        <v>0</v>
      </c>
      <c r="N750" s="38">
        <v>0</v>
      </c>
      <c r="O750" s="38">
        <v>0</v>
      </c>
      <c r="P750" s="38">
        <v>0</v>
      </c>
      <c r="Q750" s="38">
        <v>0</v>
      </c>
      <c r="R750" s="38">
        <v>0</v>
      </c>
      <c r="S750" s="38">
        <v>0</v>
      </c>
      <c r="T750" s="38">
        <v>1</v>
      </c>
      <c r="U750" s="29" cm="1">
        <f t="array" aca="1" ref="U750" ca="1">+fair_value_gap(OFFSET(T749,0,0,-1*$J$5,-1*$AA$1),OFFSET(E749,0,0,-1*$J$5,1),F750:T750,0)</f>
        <v>17.06983791950276</v>
      </c>
      <c r="V750" s="9" cm="1">
        <f t="array" aca="1" ref="V750" ca="1">z_score_diff(OFFSET(U750,0,0,$J$5*-1,1),OFFSET(E750,0,0,$J$5*-1,1))</f>
        <v>-1.3653245433913386</v>
      </c>
      <c r="W750" s="9">
        <f t="shared" ca="1" si="111"/>
        <v>-0.41673878359177569</v>
      </c>
      <c r="X750" s="17">
        <f t="shared" ca="1" si="110"/>
        <v>-2.2308309434171364E-2</v>
      </c>
      <c r="Y750" s="13">
        <f t="shared" si="118"/>
        <v>0</v>
      </c>
      <c r="Z750" s="13">
        <f t="shared" si="118"/>
        <v>0</v>
      </c>
      <c r="AA750">
        <f t="shared" ca="1" si="112"/>
        <v>1</v>
      </c>
      <c r="AB750">
        <f t="shared" ca="1" si="113"/>
        <v>0</v>
      </c>
      <c r="AC750" s="24">
        <f t="shared" ca="1" si="114"/>
        <v>-2.2308309434171364E-2</v>
      </c>
      <c r="AD750" s="24">
        <f t="shared" ca="1" si="115"/>
        <v>0</v>
      </c>
    </row>
    <row r="751" spans="3:30" x14ac:dyDescent="0.25">
      <c r="C751" s="6">
        <v>744</v>
      </c>
      <c r="D751" s="35">
        <v>43061</v>
      </c>
      <c r="E751" s="37">
        <v>17.556000000000001</v>
      </c>
      <c r="F751" s="37">
        <v>51.917865184239389</v>
      </c>
      <c r="G751" s="37">
        <v>39.200000000000003</v>
      </c>
      <c r="H751" s="37">
        <v>2.4281328729196248</v>
      </c>
      <c r="I751" s="37">
        <v>72.668277054813714</v>
      </c>
      <c r="J751" s="10">
        <v>0</v>
      </c>
      <c r="K751" s="38">
        <v>0</v>
      </c>
      <c r="L751" s="38">
        <v>0</v>
      </c>
      <c r="M751" s="38">
        <v>0</v>
      </c>
      <c r="N751" s="38">
        <v>0</v>
      </c>
      <c r="O751" s="38">
        <v>0</v>
      </c>
      <c r="P751" s="38">
        <v>0</v>
      </c>
      <c r="Q751" s="38">
        <v>0</v>
      </c>
      <c r="R751" s="38">
        <v>0</v>
      </c>
      <c r="S751" s="38">
        <v>0</v>
      </c>
      <c r="T751" s="38">
        <v>1</v>
      </c>
      <c r="U751" s="29" cm="1">
        <f t="array" aca="1" ref="U751" ca="1">+fair_value_gap(OFFSET(T750,0,0,-1*$J$5,-1*$AA$1),OFFSET(E750,0,0,-1*$J$5,1),F751:T751,0)</f>
        <v>17.246626955137444</v>
      </c>
      <c r="V751" s="9" cm="1">
        <f t="array" aca="1" ref="V751" ca="1">z_score_diff(OFFSET(U751,0,0,$J$5*-1,1),OFFSET(E751,0,0,$J$5*-1,1))</f>
        <v>-0.8715568293703172</v>
      </c>
      <c r="W751" s="9">
        <f t="shared" ca="1" si="111"/>
        <v>-0.46846056455754342</v>
      </c>
      <c r="X751" s="17">
        <f t="shared" ca="1" si="110"/>
        <v>-3.82365995893333E-3</v>
      </c>
      <c r="Y751" s="13">
        <f t="shared" si="118"/>
        <v>0</v>
      </c>
      <c r="Z751" s="13">
        <f t="shared" si="118"/>
        <v>0</v>
      </c>
      <c r="AA751">
        <f t="shared" ca="1" si="112"/>
        <v>1</v>
      </c>
      <c r="AB751">
        <f t="shared" ca="1" si="113"/>
        <v>0</v>
      </c>
      <c r="AC751" s="24">
        <f t="shared" ca="1" si="114"/>
        <v>-3.82365995893333E-3</v>
      </c>
      <c r="AD751" s="24">
        <f t="shared" ca="1" si="115"/>
        <v>0</v>
      </c>
    </row>
    <row r="752" spans="3:30" x14ac:dyDescent="0.25">
      <c r="C752" s="6">
        <v>745</v>
      </c>
      <c r="D752" s="35">
        <v>43062</v>
      </c>
      <c r="E752" s="37">
        <v>17.643999999999998</v>
      </c>
      <c r="F752" s="37">
        <v>51.992691656307613</v>
      </c>
      <c r="G752" s="37">
        <v>39.32</v>
      </c>
      <c r="H752" s="37">
        <v>2.4210974195539907</v>
      </c>
      <c r="I752" s="37">
        <v>73.417151247674425</v>
      </c>
      <c r="J752" s="10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38">
        <v>0</v>
      </c>
      <c r="Q752" s="38">
        <v>0</v>
      </c>
      <c r="R752" s="38">
        <v>0</v>
      </c>
      <c r="S752" s="38">
        <v>0</v>
      </c>
      <c r="T752" s="38">
        <v>1</v>
      </c>
      <c r="U752" s="29" cm="1">
        <f t="array" aca="1" ref="U752" ca="1">+fair_value_gap(OFFSET(T751,0,0,-1*$J$5,-1*$AA$1),OFFSET(E751,0,0,-1*$J$5,1),F752:T752,0)</f>
        <v>17.318853788497822</v>
      </c>
      <c r="V752" s="9" cm="1">
        <f t="array" aca="1" ref="V752" ca="1">z_score_diff(OFFSET(U752,0,0,$J$5*-1,1),OFFSET(E752,0,0,$J$5*-1,1))</f>
        <v>-0.89850001682780012</v>
      </c>
      <c r="W752" s="9">
        <f t="shared" ca="1" si="111"/>
        <v>-0.53622134821667911</v>
      </c>
      <c r="X752" s="17">
        <f t="shared" ca="1" si="110"/>
        <v>-1.2719407184670703E-2</v>
      </c>
      <c r="Y752" s="13">
        <f t="shared" si="118"/>
        <v>0</v>
      </c>
      <c r="Z752" s="13">
        <f t="shared" si="118"/>
        <v>0</v>
      </c>
      <c r="AA752">
        <f t="shared" ca="1" si="112"/>
        <v>1</v>
      </c>
      <c r="AB752">
        <f t="shared" ca="1" si="113"/>
        <v>0</v>
      </c>
      <c r="AC752" s="24">
        <f t="shared" ca="1" si="114"/>
        <v>-1.2719407184670703E-2</v>
      </c>
      <c r="AD752" s="24">
        <f t="shared" ca="1" si="115"/>
        <v>0</v>
      </c>
    </row>
    <row r="753" spans="3:30" x14ac:dyDescent="0.25">
      <c r="C753" s="6">
        <v>746</v>
      </c>
      <c r="D753" s="35">
        <v>43063</v>
      </c>
      <c r="E753" s="37">
        <v>17.742999999999999</v>
      </c>
      <c r="F753" s="37">
        <v>51.803938955716781</v>
      </c>
      <c r="G753" s="37">
        <v>39.79</v>
      </c>
      <c r="H753" s="37">
        <v>2.3345336112342694</v>
      </c>
      <c r="I753" s="37">
        <v>73.839880994310761</v>
      </c>
      <c r="J753" s="10">
        <v>0</v>
      </c>
      <c r="K753" s="38">
        <v>0</v>
      </c>
      <c r="L753" s="38">
        <v>0</v>
      </c>
      <c r="M753" s="38">
        <v>0</v>
      </c>
      <c r="N753" s="38">
        <v>0</v>
      </c>
      <c r="O753" s="38">
        <v>0</v>
      </c>
      <c r="P753" s="38">
        <v>0</v>
      </c>
      <c r="Q753" s="38">
        <v>0</v>
      </c>
      <c r="R753" s="38">
        <v>0</v>
      </c>
      <c r="S753" s="38">
        <v>0</v>
      </c>
      <c r="T753" s="38">
        <v>1</v>
      </c>
      <c r="U753" s="29" cm="1">
        <f t="array" aca="1" ref="U753" ca="1">+fair_value_gap(OFFSET(T752,0,0,-1*$J$5,-1*$AA$1),OFFSET(E752,0,0,-1*$J$5,1),F753:T753,0)</f>
        <v>17.379785531871335</v>
      </c>
      <c r="V753" s="9" cm="1">
        <f t="array" aca="1" ref="V753" ca="1">z_score_diff(OFFSET(U753,0,0,$J$5*-1,1),OFFSET(E753,0,0,$J$5*-1,1))</f>
        <v>-0.97024828487894521</v>
      </c>
      <c r="W753" s="9">
        <f t="shared" ca="1" si="111"/>
        <v>-0.60124660362353788</v>
      </c>
      <c r="X753" s="17">
        <f t="shared" ca="1" si="110"/>
        <v>-2.2110422627692635E-2</v>
      </c>
      <c r="Y753" s="13">
        <f t="shared" si="118"/>
        <v>0</v>
      </c>
      <c r="Z753" s="13">
        <f t="shared" si="118"/>
        <v>0</v>
      </c>
      <c r="AA753">
        <f t="shared" ca="1" si="112"/>
        <v>1</v>
      </c>
      <c r="AB753">
        <f t="shared" ca="1" si="113"/>
        <v>0</v>
      </c>
      <c r="AC753" s="24">
        <f t="shared" ca="1" si="114"/>
        <v>-2.2110422627692635E-2</v>
      </c>
      <c r="AD753" s="24">
        <f t="shared" ca="1" si="115"/>
        <v>0</v>
      </c>
    </row>
    <row r="754" spans="3:30" x14ac:dyDescent="0.25">
      <c r="C754" s="6">
        <v>747</v>
      </c>
      <c r="D754" s="35">
        <v>43066</v>
      </c>
      <c r="E754" s="37">
        <v>17.64</v>
      </c>
      <c r="F754" s="37">
        <v>51.868323262136954</v>
      </c>
      <c r="G754" s="37">
        <v>39.57</v>
      </c>
      <c r="H754" s="37">
        <v>2.3765364391174573</v>
      </c>
      <c r="I754" s="37">
        <v>73.622772204827513</v>
      </c>
      <c r="J754" s="10">
        <v>0</v>
      </c>
      <c r="K754" s="38">
        <v>0</v>
      </c>
      <c r="L754" s="38">
        <v>0</v>
      </c>
      <c r="M754" s="38">
        <v>0</v>
      </c>
      <c r="N754" s="38">
        <v>0</v>
      </c>
      <c r="O754" s="38">
        <v>0</v>
      </c>
      <c r="P754" s="38">
        <v>0</v>
      </c>
      <c r="Q754" s="38">
        <v>0</v>
      </c>
      <c r="R754" s="38">
        <v>0</v>
      </c>
      <c r="S754" s="38">
        <v>0</v>
      </c>
      <c r="T754" s="38">
        <v>1</v>
      </c>
      <c r="U754" s="29" cm="1">
        <f t="array" aca="1" ref="U754" ca="1">+fair_value_gap(OFFSET(T753,0,0,-1*$J$5,-1*$AA$1),OFFSET(E753,0,0,-1*$J$5,1),F754:T754,0)</f>
        <v>17.392546766042042</v>
      </c>
      <c r="V754" s="9" cm="1">
        <f t="array" aca="1" ref="V754" ca="1">z_score_diff(OFFSET(U754,0,0,$J$5*-1,1),OFFSET(E754,0,0,$J$5*-1,1))</f>
        <v>-0.78281319458521958</v>
      </c>
      <c r="W754" s="9">
        <f t="shared" ca="1" si="111"/>
        <v>-0.64855061744424558</v>
      </c>
      <c r="X754" s="17">
        <f t="shared" ca="1" si="110"/>
        <v>-2.1951192313203347E-2</v>
      </c>
      <c r="Y754" s="13">
        <f t="shared" si="118"/>
        <v>0</v>
      </c>
      <c r="Z754" s="13">
        <f t="shared" si="118"/>
        <v>0</v>
      </c>
      <c r="AA754">
        <f t="shared" ca="1" si="112"/>
        <v>1</v>
      </c>
      <c r="AB754">
        <f t="shared" ca="1" si="113"/>
        <v>0</v>
      </c>
      <c r="AC754" s="24">
        <f t="shared" ca="1" si="114"/>
        <v>-2.1951192313203347E-2</v>
      </c>
      <c r="AD754" s="24">
        <f t="shared" ca="1" si="115"/>
        <v>0</v>
      </c>
    </row>
    <row r="755" spans="3:30" x14ac:dyDescent="0.25">
      <c r="C755" s="6">
        <v>748</v>
      </c>
      <c r="D755" s="35">
        <v>43067</v>
      </c>
      <c r="E755" s="37">
        <v>17.382000000000001</v>
      </c>
      <c r="F755" s="37">
        <v>52.067596059623156</v>
      </c>
      <c r="G755" s="37">
        <v>39.270000000000003</v>
      </c>
      <c r="H755" s="37">
        <v>2.4314348721013506</v>
      </c>
      <c r="I755" s="37">
        <v>73.911279754402528</v>
      </c>
      <c r="J755" s="10">
        <v>0</v>
      </c>
      <c r="K755" s="38">
        <v>0</v>
      </c>
      <c r="L755" s="38">
        <v>0</v>
      </c>
      <c r="M755" s="38">
        <v>0</v>
      </c>
      <c r="N755" s="38">
        <v>0</v>
      </c>
      <c r="O755" s="38">
        <v>0</v>
      </c>
      <c r="P755" s="38">
        <v>0</v>
      </c>
      <c r="Q755" s="38">
        <v>0</v>
      </c>
      <c r="R755" s="38">
        <v>0</v>
      </c>
      <c r="S755" s="38">
        <v>0</v>
      </c>
      <c r="T755" s="38">
        <v>1</v>
      </c>
      <c r="U755" s="29" cm="1">
        <f t="array" aca="1" ref="U755" ca="1">+fair_value_gap(OFFSET(T754,0,0,-1*$J$5,-1*$AA$1),OFFSET(E754,0,0,-1*$J$5,1),F755:T755,0)</f>
        <v>17.401475393837242</v>
      </c>
      <c r="V755" s="9" cm="1">
        <f t="array" aca="1" ref="V755" ca="1">z_score_diff(OFFSET(U755,0,0,$J$5*-1,1),OFFSET(E755,0,0,$J$5*-1,1))</f>
        <v>-0.32953434002946158</v>
      </c>
      <c r="W755" s="9">
        <f t="shared" ca="1" si="111"/>
        <v>-0.69102973245939392</v>
      </c>
      <c r="X755" s="17">
        <f t="shared" ca="1" si="110"/>
        <v>5.9081825000706755E-3</v>
      </c>
      <c r="Y755" s="13">
        <f t="shared" si="118"/>
        <v>0</v>
      </c>
      <c r="Z755" s="13">
        <f t="shared" si="118"/>
        <v>0</v>
      </c>
      <c r="AA755">
        <f t="shared" ca="1" si="112"/>
        <v>1</v>
      </c>
      <c r="AB755">
        <f t="shared" ca="1" si="113"/>
        <v>0</v>
      </c>
      <c r="AC755" s="24">
        <f t="shared" ca="1" si="114"/>
        <v>5.9081825000706755E-3</v>
      </c>
      <c r="AD755" s="24">
        <f t="shared" ca="1" si="115"/>
        <v>0</v>
      </c>
    </row>
    <row r="756" spans="3:30" x14ac:dyDescent="0.25">
      <c r="C756" s="6">
        <v>749</v>
      </c>
      <c r="D756" s="35">
        <v>43068</v>
      </c>
      <c r="E756" s="37">
        <v>17.539000000000001</v>
      </c>
      <c r="F756" s="37">
        <v>51.37743229605411</v>
      </c>
      <c r="G756" s="37">
        <v>39.299999999999997</v>
      </c>
      <c r="H756" s="37">
        <v>2.4629473631533729</v>
      </c>
      <c r="I756" s="37">
        <v>74.438893383487482</v>
      </c>
      <c r="J756" s="10">
        <v>0</v>
      </c>
      <c r="K756" s="38">
        <v>0</v>
      </c>
      <c r="L756" s="38">
        <v>0</v>
      </c>
      <c r="M756" s="38">
        <v>0</v>
      </c>
      <c r="N756" s="38">
        <v>0</v>
      </c>
      <c r="O756" s="38">
        <v>0</v>
      </c>
      <c r="P756" s="38">
        <v>0</v>
      </c>
      <c r="Q756" s="38">
        <v>0</v>
      </c>
      <c r="R756" s="38">
        <v>0</v>
      </c>
      <c r="S756" s="38">
        <v>0</v>
      </c>
      <c r="T756" s="38">
        <v>1</v>
      </c>
      <c r="U756" s="29" cm="1">
        <f t="array" aca="1" ref="U756" ca="1">+fair_value_gap(OFFSET(T755,0,0,-1*$J$5,-1*$AA$1),OFFSET(E755,0,0,-1*$J$5,1),F756:T756,0)</f>
        <v>17.407254920186475</v>
      </c>
      <c r="V756" s="9" cm="1">
        <f t="array" aca="1" ref="V756" ca="1">z_score_diff(OFFSET(U756,0,0,$J$5*-1,1),OFFSET(E756,0,0,$J$5*-1,1))</f>
        <v>-0.5941181597673233</v>
      </c>
      <c r="W756" s="9">
        <f t="shared" ca="1" si="111"/>
        <v>-0.73024871328735175</v>
      </c>
      <c r="X756" s="17">
        <f t="shared" ca="1" si="110"/>
        <v>-1.0834466383132532E-2</v>
      </c>
      <c r="Y756" s="13">
        <f t="shared" si="118"/>
        <v>0</v>
      </c>
      <c r="Z756" s="13">
        <f t="shared" si="118"/>
        <v>0</v>
      </c>
      <c r="AA756">
        <f t="shared" ca="1" si="112"/>
        <v>1</v>
      </c>
      <c r="AB756">
        <f t="shared" ca="1" si="113"/>
        <v>0</v>
      </c>
      <c r="AC756" s="24">
        <f t="shared" ca="1" si="114"/>
        <v>-1.0834466383132532E-2</v>
      </c>
      <c r="AD756" s="24">
        <f t="shared" ca="1" si="115"/>
        <v>0</v>
      </c>
    </row>
    <row r="757" spans="3:30" x14ac:dyDescent="0.25">
      <c r="C757" s="6">
        <v>750</v>
      </c>
      <c r="D757" s="35">
        <v>43069</v>
      </c>
      <c r="E757" s="37">
        <v>17.189</v>
      </c>
      <c r="F757" s="37">
        <v>51.175508828045139</v>
      </c>
      <c r="G757" s="37">
        <v>37.97</v>
      </c>
      <c r="H757" s="37">
        <v>2.4014209237499031</v>
      </c>
      <c r="I757" s="37">
        <v>73.77809442433572</v>
      </c>
      <c r="J757" s="10">
        <v>0</v>
      </c>
      <c r="K757" s="38">
        <v>0</v>
      </c>
      <c r="L757" s="38">
        <v>0</v>
      </c>
      <c r="M757" s="38">
        <v>0</v>
      </c>
      <c r="N757" s="38">
        <v>0</v>
      </c>
      <c r="O757" s="38">
        <v>0</v>
      </c>
      <c r="P757" s="38">
        <v>0</v>
      </c>
      <c r="Q757" s="38">
        <v>0</v>
      </c>
      <c r="R757" s="38">
        <v>0</v>
      </c>
      <c r="S757" s="38">
        <v>0</v>
      </c>
      <c r="T757" s="38">
        <v>1</v>
      </c>
      <c r="U757" s="29" cm="1">
        <f t="array" aca="1" ref="U757" ca="1">+fair_value_gap(OFFSET(T756,0,0,-1*$J$5,-1*$AA$1),OFFSET(E756,0,0,-1*$J$5,1),F757:T757,0)</f>
        <v>16.99349408212872</v>
      </c>
      <c r="V757" s="9" cm="1">
        <f t="array" aca="1" ref="V757" ca="1">z_score_diff(OFFSET(U757,0,0,$J$5*-1,1),OFFSET(E757,0,0,$J$5*-1,1))</f>
        <v>-0.68927281023434084</v>
      </c>
      <c r="W757" s="9">
        <f t="shared" ca="1" si="111"/>
        <v>-0.78422202762197757</v>
      </c>
      <c r="X757" s="17">
        <f t="shared" ca="1" si="110"/>
        <v>6.0321509977652255E-3</v>
      </c>
      <c r="Y757" s="13">
        <f t="shared" si="118"/>
        <v>0</v>
      </c>
      <c r="Z757" s="13">
        <f t="shared" si="118"/>
        <v>0</v>
      </c>
      <c r="AA757">
        <f t="shared" ca="1" si="112"/>
        <v>1</v>
      </c>
      <c r="AB757">
        <f t="shared" ca="1" si="113"/>
        <v>0</v>
      </c>
      <c r="AC757" s="24">
        <f t="shared" ca="1" si="114"/>
        <v>6.0321509977652255E-3</v>
      </c>
      <c r="AD757" s="24">
        <f t="shared" ca="1" si="115"/>
        <v>0</v>
      </c>
    </row>
    <row r="758" spans="3:30" x14ac:dyDescent="0.25">
      <c r="C758" s="6">
        <v>751</v>
      </c>
      <c r="D758" s="35">
        <v>43070</v>
      </c>
      <c r="E758" s="37">
        <v>17.259</v>
      </c>
      <c r="F758" s="37">
        <v>51.925310699607302</v>
      </c>
      <c r="G758" s="37">
        <v>38.21</v>
      </c>
      <c r="H758" s="37">
        <v>2.4096004869089187</v>
      </c>
      <c r="I758" s="37">
        <v>73.709828559170333</v>
      </c>
      <c r="J758" s="10">
        <v>0</v>
      </c>
      <c r="K758" s="38">
        <v>0</v>
      </c>
      <c r="L758" s="38">
        <v>0</v>
      </c>
      <c r="M758" s="38">
        <v>0</v>
      </c>
      <c r="N758" s="38">
        <v>0</v>
      </c>
      <c r="O758" s="38">
        <v>0</v>
      </c>
      <c r="P758" s="38">
        <v>0</v>
      </c>
      <c r="Q758" s="38">
        <v>0</v>
      </c>
      <c r="R758" s="38">
        <v>0</v>
      </c>
      <c r="S758" s="38">
        <v>0</v>
      </c>
      <c r="T758" s="38">
        <v>0</v>
      </c>
      <c r="U758" s="29" cm="1">
        <f t="array" aca="1" ref="U758" ca="1">+fair_value_gap(OFFSET(T757,0,0,-1*$J$5,-1*$AA$1),OFFSET(E757,0,0,-1*$J$5,1),F758:T758,0)</f>
        <v>16.464884066935475</v>
      </c>
      <c r="V758" s="9" cm="1">
        <f t="array" aca="1" ref="V758" ca="1">z_score_diff(OFFSET(U758,0,0,$J$5*-1,1),OFFSET(E758,0,0,$J$5*-1,1))</f>
        <v>-1.7145166969558407</v>
      </c>
      <c r="W758" s="9">
        <f t="shared" ca="1" si="111"/>
        <v>-0.89433438996012504</v>
      </c>
      <c r="X758" s="17">
        <f t="shared" ca="1" si="110"/>
        <v>1.6788726553188121E-3</v>
      </c>
      <c r="Y758" s="13">
        <f t="shared" si="118"/>
        <v>0</v>
      </c>
      <c r="Z758" s="13">
        <f t="shared" si="118"/>
        <v>0</v>
      </c>
      <c r="AA758">
        <f t="shared" ca="1" si="112"/>
        <v>1</v>
      </c>
      <c r="AB758">
        <f t="shared" ca="1" si="113"/>
        <v>0</v>
      </c>
      <c r="AC758" s="24">
        <f t="shared" ca="1" si="114"/>
        <v>1.6788726553188121E-3</v>
      </c>
      <c r="AD758" s="24">
        <f t="shared" ca="1" si="115"/>
        <v>0</v>
      </c>
    </row>
    <row r="759" spans="3:30" x14ac:dyDescent="0.25">
      <c r="C759" s="6">
        <v>752</v>
      </c>
      <c r="D759" s="35">
        <v>43073</v>
      </c>
      <c r="E759" s="37">
        <v>17.199000000000002</v>
      </c>
      <c r="F759" s="37">
        <v>51.25149483526603</v>
      </c>
      <c r="G759" s="37">
        <v>38.54</v>
      </c>
      <c r="H759" s="37">
        <v>2.3834028492497699</v>
      </c>
      <c r="I759" s="37">
        <v>75.043855445783834</v>
      </c>
      <c r="J759" s="10">
        <v>0</v>
      </c>
      <c r="K759" s="38">
        <v>0</v>
      </c>
      <c r="L759" s="38">
        <v>0</v>
      </c>
      <c r="M759" s="38">
        <v>0</v>
      </c>
      <c r="N759" s="38">
        <v>0</v>
      </c>
      <c r="O759" s="38">
        <v>0</v>
      </c>
      <c r="P759" s="38">
        <v>0</v>
      </c>
      <c r="Q759" s="38">
        <v>0</v>
      </c>
      <c r="R759" s="38">
        <v>0</v>
      </c>
      <c r="S759" s="38">
        <v>0</v>
      </c>
      <c r="T759" s="38">
        <v>0</v>
      </c>
      <c r="U759" s="29" cm="1">
        <f t="array" aca="1" ref="U759" ca="1">+fair_value_gap(OFFSET(T758,0,0,-1*$J$5,-1*$AA$1),OFFSET(E758,0,0,-1*$J$5,1),F759:T759,0)</f>
        <v>16.82576848901936</v>
      </c>
      <c r="V759" s="9" cm="1">
        <f t="array" aca="1" ref="V759" ca="1">z_score_diff(OFFSET(U759,0,0,$J$5*-1,1),OFFSET(E759,0,0,$J$5*-1,1))</f>
        <v>-0.99045577029249954</v>
      </c>
      <c r="W759" s="9">
        <f t="shared" ca="1" si="111"/>
        <v>-0.95206880731356924</v>
      </c>
      <c r="X759" s="17">
        <f t="shared" ca="1" si="110"/>
        <v>6.3175797682829748E-3</v>
      </c>
      <c r="Y759" s="13">
        <f t="shared" si="118"/>
        <v>0</v>
      </c>
      <c r="Z759" s="13">
        <f t="shared" si="118"/>
        <v>0</v>
      </c>
      <c r="AA759">
        <f t="shared" ca="1" si="112"/>
        <v>1</v>
      </c>
      <c r="AB759">
        <f t="shared" ca="1" si="113"/>
        <v>0</v>
      </c>
      <c r="AC759" s="24">
        <f t="shared" ca="1" si="114"/>
        <v>6.3175797682829748E-3</v>
      </c>
      <c r="AD759" s="24">
        <f t="shared" ca="1" si="115"/>
        <v>0</v>
      </c>
    </row>
    <row r="760" spans="3:30" x14ac:dyDescent="0.25">
      <c r="C760" s="6">
        <v>753</v>
      </c>
      <c r="D760" s="35">
        <v>43074</v>
      </c>
      <c r="E760" s="37">
        <v>17.085999999999999</v>
      </c>
      <c r="F760" s="37">
        <v>51.747339914242005</v>
      </c>
      <c r="G760" s="37">
        <v>38.39</v>
      </c>
      <c r="H760" s="37">
        <v>2.3662852414346491</v>
      </c>
      <c r="I760" s="37">
        <v>74.599419921597473</v>
      </c>
      <c r="J760" s="10">
        <v>0</v>
      </c>
      <c r="K760" s="38">
        <v>0</v>
      </c>
      <c r="L760" s="38">
        <v>0</v>
      </c>
      <c r="M760" s="38">
        <v>0</v>
      </c>
      <c r="N760" s="38">
        <v>0</v>
      </c>
      <c r="O760" s="38">
        <v>0</v>
      </c>
      <c r="P760" s="38">
        <v>0</v>
      </c>
      <c r="Q760" s="38">
        <v>0</v>
      </c>
      <c r="R760" s="38">
        <v>0</v>
      </c>
      <c r="S760" s="38">
        <v>0</v>
      </c>
      <c r="T760" s="38">
        <v>0</v>
      </c>
      <c r="U760" s="29" cm="1">
        <f t="array" aca="1" ref="U760" ca="1">+fair_value_gap(OFFSET(T759,0,0,-1*$J$5,-1*$AA$1),OFFSET(E759,0,0,-1*$J$5,1),F760:T760,0)</f>
        <v>16.903237414800053</v>
      </c>
      <c r="V760" s="9" cm="1">
        <f t="array" aca="1" ref="V760" ca="1">z_score_diff(OFFSET(U760,0,0,$J$5*-1,1),OFFSET(E760,0,0,$J$5*-1,1))</f>
        <v>-0.65586661101188981</v>
      </c>
      <c r="W760" s="9">
        <f t="shared" ca="1" si="111"/>
        <v>-0.9635666268840245</v>
      </c>
      <c r="X760" s="17">
        <f t="shared" ca="1" si="110"/>
        <v>8.1024021702954443E-3</v>
      </c>
      <c r="Y760" s="13">
        <f t="shared" si="118"/>
        <v>0</v>
      </c>
      <c r="Z760" s="13">
        <f t="shared" si="118"/>
        <v>0</v>
      </c>
      <c r="AA760">
        <f t="shared" ca="1" si="112"/>
        <v>1</v>
      </c>
      <c r="AB760">
        <f t="shared" ca="1" si="113"/>
        <v>0</v>
      </c>
      <c r="AC760" s="24">
        <f t="shared" ca="1" si="114"/>
        <v>8.1024021702954443E-3</v>
      </c>
      <c r="AD760" s="24">
        <f t="shared" ca="1" si="115"/>
        <v>0</v>
      </c>
    </row>
    <row r="761" spans="3:30" x14ac:dyDescent="0.25">
      <c r="C761" s="6">
        <v>754</v>
      </c>
      <c r="D761" s="35">
        <v>43075</v>
      </c>
      <c r="E761" s="37">
        <v>16.882999999999999</v>
      </c>
      <c r="F761" s="37">
        <v>50.700515048861355</v>
      </c>
      <c r="G761" s="37">
        <v>38.020000000000003</v>
      </c>
      <c r="H761" s="37">
        <v>2.3779220246020252</v>
      </c>
      <c r="I761" s="37">
        <v>75.367895036276309</v>
      </c>
      <c r="J761" s="10">
        <v>0</v>
      </c>
      <c r="K761" s="38">
        <v>0</v>
      </c>
      <c r="L761" s="38">
        <v>0</v>
      </c>
      <c r="M761" s="38">
        <v>0</v>
      </c>
      <c r="N761" s="38">
        <v>0</v>
      </c>
      <c r="O761" s="38">
        <v>0</v>
      </c>
      <c r="P761" s="38">
        <v>0</v>
      </c>
      <c r="Q761" s="38">
        <v>0</v>
      </c>
      <c r="R761" s="38">
        <v>0</v>
      </c>
      <c r="S761" s="38">
        <v>0</v>
      </c>
      <c r="T761" s="38">
        <v>0</v>
      </c>
      <c r="U761" s="29" cm="1">
        <f t="array" aca="1" ref="U761" ca="1">+fair_value_gap(OFFSET(T760,0,0,-1*$J$5,-1*$AA$1),OFFSET(E760,0,0,-1*$J$5,1),F761:T761,0)</f>
        <v>16.810031597468861</v>
      </c>
      <c r="V761" s="9" cm="1">
        <f t="array" aca="1" ref="V761" ca="1">z_score_diff(OFFSET(U761,0,0,$J$5*-1,1),OFFSET(E761,0,0,$J$5*-1,1))</f>
        <v>-0.45548317488981216</v>
      </c>
      <c r="W761" s="9">
        <f t="shared" ca="1" si="111"/>
        <v>-0.95951917156578348</v>
      </c>
      <c r="X761" s="17">
        <f t="shared" ca="1" si="110"/>
        <v>2.7054733767207479E-2</v>
      </c>
      <c r="Y761" s="13">
        <f t="shared" ref="Y761:Z776" si="119">+Y760</f>
        <v>0</v>
      </c>
      <c r="Z761" s="13">
        <f t="shared" si="119"/>
        <v>0</v>
      </c>
      <c r="AA761">
        <f t="shared" ca="1" si="112"/>
        <v>1</v>
      </c>
      <c r="AB761">
        <f t="shared" ca="1" si="113"/>
        <v>0</v>
      </c>
      <c r="AC761" s="24">
        <f t="shared" ca="1" si="114"/>
        <v>2.7054733767207479E-2</v>
      </c>
      <c r="AD761" s="24">
        <f t="shared" ca="1" si="115"/>
        <v>0</v>
      </c>
    </row>
    <row r="762" spans="3:30" x14ac:dyDescent="0.25">
      <c r="C762" s="6">
        <v>755</v>
      </c>
      <c r="D762" s="35">
        <v>43076</v>
      </c>
      <c r="E762" s="37">
        <v>16.887</v>
      </c>
      <c r="F762" s="37">
        <v>51.446632301770997</v>
      </c>
      <c r="G762" s="37">
        <v>37.96</v>
      </c>
      <c r="H762" s="37">
        <v>2.308804004276868</v>
      </c>
      <c r="I762" s="37">
        <v>75.953021587443317</v>
      </c>
      <c r="J762" s="10">
        <v>0</v>
      </c>
      <c r="K762" s="38">
        <v>0</v>
      </c>
      <c r="L762" s="38">
        <v>0</v>
      </c>
      <c r="M762" s="38">
        <v>0</v>
      </c>
      <c r="N762" s="38">
        <v>0</v>
      </c>
      <c r="O762" s="38">
        <v>0</v>
      </c>
      <c r="P762" s="38">
        <v>0</v>
      </c>
      <c r="Q762" s="38">
        <v>0</v>
      </c>
      <c r="R762" s="38">
        <v>0</v>
      </c>
      <c r="S762" s="38">
        <v>0</v>
      </c>
      <c r="T762" s="38">
        <v>0</v>
      </c>
      <c r="U762" s="29" cm="1">
        <f t="array" aca="1" ref="U762" ca="1">+fair_value_gap(OFFSET(T761,0,0,-1*$J$5,-1*$AA$1),OFFSET(E761,0,0,-1*$J$5,1),F762:T762,0)</f>
        <v>16.828731825337478</v>
      </c>
      <c r="V762" s="9" cm="1">
        <f t="array" aca="1" ref="V762" ca="1">z_score_diff(OFFSET(U762,0,0,$J$5*-1,1),OFFSET(E762,0,0,$J$5*-1,1))</f>
        <v>-0.42817104797042882</v>
      </c>
      <c r="W762" s="9">
        <f t="shared" ca="1" si="111"/>
        <v>-0.93341330225591279</v>
      </c>
      <c r="X762" s="17">
        <f t="shared" ca="1" si="110"/>
        <v>3.7141397483659647E-2</v>
      </c>
      <c r="Y762" s="13">
        <f t="shared" si="119"/>
        <v>0</v>
      </c>
      <c r="Z762" s="13">
        <f t="shared" si="119"/>
        <v>0</v>
      </c>
      <c r="AA762">
        <f t="shared" ca="1" si="112"/>
        <v>1</v>
      </c>
      <c r="AB762">
        <f t="shared" ca="1" si="113"/>
        <v>0</v>
      </c>
      <c r="AC762" s="24">
        <f t="shared" ca="1" si="114"/>
        <v>3.7141397483659647E-2</v>
      </c>
      <c r="AD762" s="24">
        <f t="shared" ca="1" si="115"/>
        <v>0</v>
      </c>
    </row>
    <row r="763" spans="3:30" x14ac:dyDescent="0.25">
      <c r="C763" s="6">
        <v>756</v>
      </c>
      <c r="D763" s="35">
        <v>43077</v>
      </c>
      <c r="E763" s="37">
        <v>16.79</v>
      </c>
      <c r="F763" s="37">
        <v>52.262101620099955</v>
      </c>
      <c r="G763" s="37">
        <v>38.19</v>
      </c>
      <c r="H763" s="37">
        <v>2.3027909793076344</v>
      </c>
      <c r="I763" s="37">
        <v>76.591734979159838</v>
      </c>
      <c r="J763" s="10">
        <v>0</v>
      </c>
      <c r="K763" s="38">
        <v>0</v>
      </c>
      <c r="L763" s="38">
        <v>0</v>
      </c>
      <c r="M763" s="38">
        <v>0</v>
      </c>
      <c r="N763" s="38">
        <v>0</v>
      </c>
      <c r="O763" s="38">
        <v>0</v>
      </c>
      <c r="P763" s="38">
        <v>0</v>
      </c>
      <c r="Q763" s="38">
        <v>0</v>
      </c>
      <c r="R763" s="38">
        <v>0</v>
      </c>
      <c r="S763" s="38">
        <v>0</v>
      </c>
      <c r="T763" s="38">
        <v>0</v>
      </c>
      <c r="U763" s="29" cm="1">
        <f t="array" aca="1" ref="U763" ca="1">+fair_value_gap(OFFSET(T762,0,0,-1*$J$5,-1*$AA$1),OFFSET(E762,0,0,-1*$J$5,1),F763:T763,0)</f>
        <v>16.967421829539077</v>
      </c>
      <c r="V763" s="9" cm="1">
        <f t="array" aca="1" ref="V763" ca="1">z_score_diff(OFFSET(U763,0,0,$J$5*-1,1),OFFSET(E763,0,0,$J$5*-1,1))</f>
        <v>-1.6988824596782637E-2</v>
      </c>
      <c r="W763" s="9">
        <f t="shared" ca="1" si="111"/>
        <v>-0.87317528240969511</v>
      </c>
      <c r="X763" s="17">
        <f t="shared" ca="1" si="110"/>
        <v>5.4418245826793971E-2</v>
      </c>
      <c r="Y763" s="13">
        <f t="shared" si="119"/>
        <v>0</v>
      </c>
      <c r="Z763" s="13">
        <f t="shared" si="119"/>
        <v>0</v>
      </c>
      <c r="AA763">
        <f t="shared" ca="1" si="112"/>
        <v>1</v>
      </c>
      <c r="AB763">
        <f t="shared" ca="1" si="113"/>
        <v>0</v>
      </c>
      <c r="AC763" s="24">
        <f t="shared" ca="1" si="114"/>
        <v>5.4418245826793971E-2</v>
      </c>
      <c r="AD763" s="24">
        <f t="shared" ca="1" si="115"/>
        <v>0</v>
      </c>
    </row>
    <row r="764" spans="3:30" x14ac:dyDescent="0.25">
      <c r="C764" s="6">
        <v>757</v>
      </c>
      <c r="D764" s="35">
        <v>43080</v>
      </c>
      <c r="E764" s="37">
        <v>17.164999999999999</v>
      </c>
      <c r="F764" s="37">
        <v>52.858286212419095</v>
      </c>
      <c r="G764" s="37">
        <v>38.26</v>
      </c>
      <c r="H764" s="37">
        <v>2.3179038758544119</v>
      </c>
      <c r="I764" s="37">
        <v>78.019300748867721</v>
      </c>
      <c r="J764" s="10">
        <v>0</v>
      </c>
      <c r="K764" s="38">
        <v>0</v>
      </c>
      <c r="L764" s="38">
        <v>0</v>
      </c>
      <c r="M764" s="38">
        <v>0</v>
      </c>
      <c r="N764" s="38">
        <v>0</v>
      </c>
      <c r="O764" s="38">
        <v>0</v>
      </c>
      <c r="P764" s="38">
        <v>0</v>
      </c>
      <c r="Q764" s="38">
        <v>0</v>
      </c>
      <c r="R764" s="38">
        <v>0</v>
      </c>
      <c r="S764" s="38">
        <v>0</v>
      </c>
      <c r="T764" s="38">
        <v>0</v>
      </c>
      <c r="U764" s="29" cm="1">
        <f t="array" aca="1" ref="U764" ca="1">+fair_value_gap(OFFSET(T763,0,0,-1*$J$5,-1*$AA$1),OFFSET(E763,0,0,-1*$J$5,1),F764:T764,0)</f>
        <v>17.046525860335546</v>
      </c>
      <c r="V764" s="9" cm="1">
        <f t="array" aca="1" ref="V764" ca="1">z_score_diff(OFFSET(U764,0,0,$J$5*-1,1),OFFSET(E764,0,0,$J$5*-1,1))</f>
        <v>-0.54556342147664916</v>
      </c>
      <c r="W764" s="9">
        <f t="shared" ca="1" si="111"/>
        <v>-0.83664615674837894</v>
      </c>
      <c r="X764" s="17">
        <f t="shared" ca="1" si="110"/>
        <v>1.8871206641018927E-2</v>
      </c>
      <c r="Y764" s="13">
        <f t="shared" si="119"/>
        <v>0</v>
      </c>
      <c r="Z764" s="13">
        <f t="shared" si="119"/>
        <v>0</v>
      </c>
      <c r="AA764">
        <f t="shared" ca="1" si="112"/>
        <v>1</v>
      </c>
      <c r="AB764">
        <f t="shared" ca="1" si="113"/>
        <v>0</v>
      </c>
      <c r="AC764" s="24">
        <f t="shared" ca="1" si="114"/>
        <v>1.8871206641018927E-2</v>
      </c>
      <c r="AD764" s="24">
        <f t="shared" ca="1" si="115"/>
        <v>0</v>
      </c>
    </row>
    <row r="765" spans="3:30" x14ac:dyDescent="0.25">
      <c r="C765" s="6">
        <v>758</v>
      </c>
      <c r="D765" s="35">
        <v>43081</v>
      </c>
      <c r="E765" s="37">
        <v>17.303000000000001</v>
      </c>
      <c r="F765" s="37">
        <v>51.975183111597786</v>
      </c>
      <c r="G765" s="37">
        <v>38.979999999999997</v>
      </c>
      <c r="H765" s="37">
        <v>2.2371195319878661</v>
      </c>
      <c r="I765" s="37">
        <v>78.677643690776264</v>
      </c>
      <c r="J765" s="10">
        <v>0</v>
      </c>
      <c r="K765" s="38">
        <v>0</v>
      </c>
      <c r="L765" s="38">
        <v>0</v>
      </c>
      <c r="M765" s="38">
        <v>0</v>
      </c>
      <c r="N765" s="38">
        <v>0</v>
      </c>
      <c r="O765" s="38">
        <v>0</v>
      </c>
      <c r="P765" s="38">
        <v>0</v>
      </c>
      <c r="Q765" s="38">
        <v>0</v>
      </c>
      <c r="R765" s="38">
        <v>0</v>
      </c>
      <c r="S765" s="38">
        <v>0</v>
      </c>
      <c r="T765" s="38">
        <v>0</v>
      </c>
      <c r="U765" s="29" cm="1">
        <f t="array" aca="1" ref="U765" ca="1">+fair_value_gap(OFFSET(T764,0,0,-1*$J$5,-1*$AA$1),OFFSET(E764,0,0,-1*$J$5,1),F765:T765,0)</f>
        <v>17.17663302255772</v>
      </c>
      <c r="V765" s="9" cm="1">
        <f t="array" aca="1" ref="V765" ca="1">z_score_diff(OFFSET(U765,0,0,$J$5*-1,1),OFFSET(E765,0,0,$J$5*-1,1))</f>
        <v>-0.56471063034598823</v>
      </c>
      <c r="W765" s="9">
        <f t="shared" ca="1" si="111"/>
        <v>-0.81928438285838168</v>
      </c>
      <c r="X765" s="17">
        <f t="shared" ca="1" si="110"/>
        <v>1.3433037812644225E-2</v>
      </c>
      <c r="Y765" s="13">
        <f t="shared" si="119"/>
        <v>0</v>
      </c>
      <c r="Z765" s="13">
        <f t="shared" si="119"/>
        <v>0</v>
      </c>
      <c r="AA765">
        <f t="shared" ca="1" si="112"/>
        <v>1</v>
      </c>
      <c r="AB765">
        <f t="shared" ca="1" si="113"/>
        <v>0</v>
      </c>
      <c r="AC765" s="24">
        <f t="shared" ca="1" si="114"/>
        <v>1.3433037812644225E-2</v>
      </c>
      <c r="AD765" s="24">
        <f t="shared" ca="1" si="115"/>
        <v>0</v>
      </c>
    </row>
    <row r="766" spans="3:30" x14ac:dyDescent="0.25">
      <c r="C766" s="6">
        <v>759</v>
      </c>
      <c r="D766" s="35">
        <v>43082</v>
      </c>
      <c r="E766" s="37">
        <v>16.942</v>
      </c>
      <c r="F766" s="37">
        <v>50.829615519574922</v>
      </c>
      <c r="G766" s="37">
        <v>38.78</v>
      </c>
      <c r="H766" s="37">
        <v>2.2348655738800609</v>
      </c>
      <c r="I766" s="37">
        <v>76.653800524671254</v>
      </c>
      <c r="J766" s="10">
        <v>0</v>
      </c>
      <c r="K766" s="38">
        <v>0</v>
      </c>
      <c r="L766" s="38">
        <v>0</v>
      </c>
      <c r="M766" s="38">
        <v>0</v>
      </c>
      <c r="N766" s="38">
        <v>0</v>
      </c>
      <c r="O766" s="38">
        <v>0</v>
      </c>
      <c r="P766" s="38">
        <v>0</v>
      </c>
      <c r="Q766" s="38">
        <v>0</v>
      </c>
      <c r="R766" s="38">
        <v>0</v>
      </c>
      <c r="S766" s="38">
        <v>0</v>
      </c>
      <c r="T766" s="38">
        <v>0</v>
      </c>
      <c r="U766" s="29" cm="1">
        <f t="array" aca="1" ref="U766" ca="1">+fair_value_gap(OFFSET(T765,0,0,-1*$J$5,-1*$AA$1),OFFSET(E765,0,0,-1*$J$5,1),F766:T766,0)</f>
        <v>17.016226051144535</v>
      </c>
      <c r="V766" s="9" cm="1">
        <f t="array" aca="1" ref="V766" ca="1">z_score_diff(OFFSET(U766,0,0,$J$5*-1,1),OFFSET(E766,0,0,$J$5*-1,1))</f>
        <v>-0.20103065994888897</v>
      </c>
      <c r="W766" s="9">
        <f t="shared" ca="1" si="111"/>
        <v>-0.78997989219720832</v>
      </c>
      <c r="X766" s="17">
        <f t="shared" ca="1" si="110"/>
        <v>1.9580391183285958E-2</v>
      </c>
      <c r="Y766" s="13">
        <f t="shared" si="119"/>
        <v>0</v>
      </c>
      <c r="Z766" s="13">
        <f t="shared" si="119"/>
        <v>0</v>
      </c>
      <c r="AA766">
        <f t="shared" ca="1" si="112"/>
        <v>1</v>
      </c>
      <c r="AB766">
        <f t="shared" ca="1" si="113"/>
        <v>0</v>
      </c>
      <c r="AC766" s="24">
        <f t="shared" ca="1" si="114"/>
        <v>1.9580391183285958E-2</v>
      </c>
      <c r="AD766" s="24">
        <f t="shared" ca="1" si="115"/>
        <v>0</v>
      </c>
    </row>
    <row r="767" spans="3:30" x14ac:dyDescent="0.25">
      <c r="C767" s="6">
        <v>760</v>
      </c>
      <c r="D767" s="35">
        <v>43083</v>
      </c>
      <c r="E767" s="37">
        <v>17.283999999999999</v>
      </c>
      <c r="F767" s="37">
        <v>51.64034785581935</v>
      </c>
      <c r="G767" s="37">
        <v>38.36</v>
      </c>
      <c r="H767" s="37">
        <v>2.2375807980369631</v>
      </c>
      <c r="I767" s="37">
        <v>77.81250078566741</v>
      </c>
      <c r="J767" s="10">
        <v>0</v>
      </c>
      <c r="K767" s="38">
        <v>0</v>
      </c>
      <c r="L767" s="38">
        <v>0</v>
      </c>
      <c r="M767" s="38">
        <v>0</v>
      </c>
      <c r="N767" s="38">
        <v>0</v>
      </c>
      <c r="O767" s="38">
        <v>0</v>
      </c>
      <c r="P767" s="38">
        <v>0</v>
      </c>
      <c r="Q767" s="38">
        <v>0</v>
      </c>
      <c r="R767" s="38">
        <v>0</v>
      </c>
      <c r="S767" s="38">
        <v>0</v>
      </c>
      <c r="T767" s="38">
        <v>0</v>
      </c>
      <c r="U767" s="29" cm="1">
        <f t="array" aca="1" ref="U767" ca="1">+fair_value_gap(OFFSET(T766,0,0,-1*$J$5,-1*$AA$1),OFFSET(E766,0,0,-1*$J$5,1),F767:T767,0)</f>
        <v>16.976879099828736</v>
      </c>
      <c r="V767" s="9" cm="1">
        <f t="array" aca="1" ref="V767" ca="1">z_score_diff(OFFSET(U767,0,0,$J$5*-1,1),OFFSET(E767,0,0,$J$5*-1,1))</f>
        <v>-0.87058620062113745</v>
      </c>
      <c r="W767" s="9">
        <f t="shared" ca="1" si="111"/>
        <v>-0.77064973269508674</v>
      </c>
      <c r="X767" s="17">
        <f t="shared" ca="1" si="110"/>
        <v>-1.1931579432632084E-2</v>
      </c>
      <c r="Y767" s="13">
        <f t="shared" si="119"/>
        <v>0</v>
      </c>
      <c r="Z767" s="13">
        <f t="shared" si="119"/>
        <v>0</v>
      </c>
      <c r="AA767">
        <f t="shared" ca="1" si="112"/>
        <v>1</v>
      </c>
      <c r="AB767">
        <f t="shared" ca="1" si="113"/>
        <v>0</v>
      </c>
      <c r="AC767" s="24">
        <f t="shared" ca="1" si="114"/>
        <v>-1.1931579432632084E-2</v>
      </c>
      <c r="AD767" s="24">
        <f t="shared" ca="1" si="115"/>
        <v>0</v>
      </c>
    </row>
    <row r="768" spans="3:30" x14ac:dyDescent="0.25">
      <c r="C768" s="6">
        <v>761</v>
      </c>
      <c r="D768" s="35">
        <v>43084</v>
      </c>
      <c r="E768" s="37">
        <v>17.257000000000001</v>
      </c>
      <c r="F768" s="37">
        <v>51.71002422201979</v>
      </c>
      <c r="G768" s="37">
        <v>39</v>
      </c>
      <c r="H768" s="37">
        <v>2.1980328529509303</v>
      </c>
      <c r="I768" s="37">
        <v>78.039401711913285</v>
      </c>
      <c r="J768" s="10">
        <v>0</v>
      </c>
      <c r="K768" s="38">
        <v>0</v>
      </c>
      <c r="L768" s="38">
        <v>0</v>
      </c>
      <c r="M768" s="38">
        <v>0</v>
      </c>
      <c r="N768" s="38">
        <v>0</v>
      </c>
      <c r="O768" s="38">
        <v>0</v>
      </c>
      <c r="P768" s="38">
        <v>0</v>
      </c>
      <c r="Q768" s="38">
        <v>0</v>
      </c>
      <c r="R768" s="38">
        <v>0</v>
      </c>
      <c r="S768" s="38">
        <v>0</v>
      </c>
      <c r="T768" s="38">
        <v>0</v>
      </c>
      <c r="U768" s="29" cm="1">
        <f t="array" aca="1" ref="U768" ca="1">+fair_value_gap(OFFSET(T767,0,0,-1*$J$5,-1*$AA$1),OFFSET(E767,0,0,-1*$J$5,1),F768:T768,0)</f>
        <v>17.17101342037542</v>
      </c>
      <c r="V768" s="9" cm="1">
        <f t="array" aca="1" ref="V768" ca="1">z_score_diff(OFFSET(U768,0,0,$J$5*-1,1),OFFSET(E768,0,0,$J$5*-1,1))</f>
        <v>-0.48561990398865751</v>
      </c>
      <c r="W768" s="9">
        <f t="shared" ca="1" si="111"/>
        <v>-0.73708432438696458</v>
      </c>
      <c r="X768" s="17">
        <f t="shared" ca="1" si="110"/>
        <v>-2.2621686641604275E-2</v>
      </c>
      <c r="Y768" s="13">
        <f t="shared" si="119"/>
        <v>0</v>
      </c>
      <c r="Z768" s="13">
        <f t="shared" si="119"/>
        <v>0</v>
      </c>
      <c r="AA768">
        <f t="shared" ca="1" si="112"/>
        <v>1</v>
      </c>
      <c r="AB768">
        <f t="shared" ca="1" si="113"/>
        <v>0</v>
      </c>
      <c r="AC768" s="24">
        <f t="shared" ca="1" si="114"/>
        <v>-2.2621686641604275E-2</v>
      </c>
      <c r="AD768" s="24">
        <f t="shared" ca="1" si="115"/>
        <v>0</v>
      </c>
    </row>
    <row r="769" spans="3:30" x14ac:dyDescent="0.25">
      <c r="C769" s="6">
        <v>762</v>
      </c>
      <c r="D769" s="35">
        <v>43087</v>
      </c>
      <c r="E769" s="37">
        <v>17.254000000000001</v>
      </c>
      <c r="F769" s="37">
        <v>51.944460737897927</v>
      </c>
      <c r="G769" s="37">
        <v>39.03</v>
      </c>
      <c r="H769" s="37">
        <v>2.2448654672822799</v>
      </c>
      <c r="I769" s="37">
        <v>78.138747601370895</v>
      </c>
      <c r="J769" s="10">
        <v>0</v>
      </c>
      <c r="K769" s="38">
        <v>0</v>
      </c>
      <c r="L769" s="38">
        <v>0</v>
      </c>
      <c r="M769" s="38">
        <v>0</v>
      </c>
      <c r="N769" s="38">
        <v>0</v>
      </c>
      <c r="O769" s="38">
        <v>0</v>
      </c>
      <c r="P769" s="38">
        <v>0</v>
      </c>
      <c r="Q769" s="38">
        <v>0</v>
      </c>
      <c r="R769" s="38">
        <v>0</v>
      </c>
      <c r="S769" s="38">
        <v>0</v>
      </c>
      <c r="T769" s="38">
        <v>0</v>
      </c>
      <c r="U769" s="29" cm="1">
        <f t="array" aca="1" ref="U769" ca="1">+fair_value_gap(OFFSET(T768,0,0,-1*$J$5,-1*$AA$1),OFFSET(E768,0,0,-1*$J$5,1),F769:T769,0)</f>
        <v>17.238922604331979</v>
      </c>
      <c r="V769" s="9" cm="1">
        <f t="array" aca="1" ref="V769" ca="1">z_score_diff(OFFSET(U769,0,0,$J$5*-1,1),OFFSET(E769,0,0,$J$5*-1,1))</f>
        <v>-0.36424415227048113</v>
      </c>
      <c r="W769" s="9">
        <f t="shared" ca="1" si="111"/>
        <v>-0.68973026367269008</v>
      </c>
      <c r="X769" s="17">
        <f t="shared" ca="1" si="110"/>
        <v>-1.7894167890074274E-2</v>
      </c>
      <c r="Y769" s="13">
        <f t="shared" si="119"/>
        <v>0</v>
      </c>
      <c r="Z769" s="13">
        <f t="shared" si="119"/>
        <v>0</v>
      </c>
      <c r="AA769">
        <f t="shared" ca="1" si="112"/>
        <v>1</v>
      </c>
      <c r="AB769">
        <f t="shared" ca="1" si="113"/>
        <v>0</v>
      </c>
      <c r="AC769" s="24">
        <f t="shared" ca="1" si="114"/>
        <v>-1.7894167890074274E-2</v>
      </c>
      <c r="AD769" s="24">
        <f t="shared" ca="1" si="115"/>
        <v>0</v>
      </c>
    </row>
    <row r="770" spans="3:30" x14ac:dyDescent="0.25">
      <c r="C770" s="6">
        <v>763</v>
      </c>
      <c r="D770" s="35">
        <v>43088</v>
      </c>
      <c r="E770" s="37">
        <v>17.288</v>
      </c>
      <c r="F770" s="37">
        <v>52.100146390901244</v>
      </c>
      <c r="G770" s="37">
        <v>39.119999999999997</v>
      </c>
      <c r="H770" s="37">
        <v>2.2171339914667869</v>
      </c>
      <c r="I770" s="37">
        <v>77.032477092534904</v>
      </c>
      <c r="J770" s="10">
        <v>0</v>
      </c>
      <c r="K770" s="38">
        <v>0</v>
      </c>
      <c r="L770" s="38">
        <v>0</v>
      </c>
      <c r="M770" s="38">
        <v>0</v>
      </c>
      <c r="N770" s="38">
        <v>0</v>
      </c>
      <c r="O770" s="38">
        <v>0</v>
      </c>
      <c r="P770" s="38">
        <v>0</v>
      </c>
      <c r="Q770" s="38">
        <v>0</v>
      </c>
      <c r="R770" s="38">
        <v>0</v>
      </c>
      <c r="S770" s="38">
        <v>0</v>
      </c>
      <c r="T770" s="38">
        <v>0</v>
      </c>
      <c r="U770" s="29" cm="1">
        <f t="array" aca="1" ref="U770" ca="1">+fair_value_gap(OFFSET(T769,0,0,-1*$J$5,-1*$AA$1),OFFSET(E769,0,0,-1*$J$5,1),F770:T770,0)</f>
        <v>17.232721168941843</v>
      </c>
      <c r="V770" s="9" cm="1">
        <f t="array" aca="1" ref="V770" ca="1">z_score_diff(OFFSET(U770,0,0,$J$5*-1,1),OFFSET(E770,0,0,$J$5*-1,1))</f>
        <v>-0.44368975334003818</v>
      </c>
      <c r="W770" s="9">
        <f t="shared" ca="1" si="111"/>
        <v>-0.64364852417012519</v>
      </c>
      <c r="X770" s="17">
        <f t="shared" ca="1" si="110"/>
        <v>-2.2284881849755526E-2</v>
      </c>
      <c r="Y770" s="13">
        <f t="shared" si="119"/>
        <v>0</v>
      </c>
      <c r="Z770" s="13">
        <f t="shared" si="119"/>
        <v>0</v>
      </c>
      <c r="AA770">
        <f t="shared" ca="1" si="112"/>
        <v>1</v>
      </c>
      <c r="AB770">
        <f t="shared" ca="1" si="113"/>
        <v>0</v>
      </c>
      <c r="AC770" s="24">
        <f t="shared" ca="1" si="114"/>
        <v>-2.2284881849755526E-2</v>
      </c>
      <c r="AD770" s="24">
        <f t="shared" ca="1" si="115"/>
        <v>0</v>
      </c>
    </row>
    <row r="771" spans="3:30" x14ac:dyDescent="0.25">
      <c r="C771" s="6">
        <v>764</v>
      </c>
      <c r="D771" s="35">
        <v>43089</v>
      </c>
      <c r="E771" s="37">
        <v>17.489000000000001</v>
      </c>
      <c r="F771" s="37">
        <v>52.434581538103231</v>
      </c>
      <c r="G771" s="37">
        <v>39.31</v>
      </c>
      <c r="H771" s="37">
        <v>2.1650890822284699</v>
      </c>
      <c r="I771" s="37">
        <v>76.480960857052551</v>
      </c>
      <c r="J771" s="10">
        <v>0</v>
      </c>
      <c r="K771" s="38">
        <v>0</v>
      </c>
      <c r="L771" s="38">
        <v>0</v>
      </c>
      <c r="M771" s="38">
        <v>0</v>
      </c>
      <c r="N771" s="38">
        <v>0</v>
      </c>
      <c r="O771" s="38">
        <v>0</v>
      </c>
      <c r="P771" s="38">
        <v>0</v>
      </c>
      <c r="Q771" s="38">
        <v>0</v>
      </c>
      <c r="R771" s="38">
        <v>0</v>
      </c>
      <c r="S771" s="38">
        <v>0</v>
      </c>
      <c r="T771" s="38">
        <v>0</v>
      </c>
      <c r="U771" s="29" cm="1">
        <f t="array" aca="1" ref="U771" ca="1">+fair_value_gap(OFFSET(T770,0,0,-1*$J$5,-1*$AA$1),OFFSET(E770,0,0,-1*$J$5,1),F771:T771,0)</f>
        <v>17.264030929922495</v>
      </c>
      <c r="V771" s="9" cm="1">
        <f t="array" aca="1" ref="V771" ca="1">z_score_diff(OFFSET(U771,0,0,$J$5*-1,1),OFFSET(E771,0,0,$J$5*-1,1))</f>
        <v>-0.74970026549897062</v>
      </c>
      <c r="W771" s="9">
        <f t="shared" ca="1" si="111"/>
        <v>-0.63755569597655792</v>
      </c>
      <c r="X771" s="17">
        <f t="shared" ca="1" si="110"/>
        <v>-2.9123766229880294E-2</v>
      </c>
      <c r="Y771" s="13">
        <f t="shared" si="119"/>
        <v>0</v>
      </c>
      <c r="Z771" s="13">
        <f t="shared" si="119"/>
        <v>0</v>
      </c>
      <c r="AA771">
        <f t="shared" ca="1" si="112"/>
        <v>1</v>
      </c>
      <c r="AB771">
        <f t="shared" ca="1" si="113"/>
        <v>0</v>
      </c>
      <c r="AC771" s="24">
        <f t="shared" ca="1" si="114"/>
        <v>-2.9123766229880294E-2</v>
      </c>
      <c r="AD771" s="24">
        <f t="shared" ca="1" si="115"/>
        <v>0</v>
      </c>
    </row>
    <row r="772" spans="3:30" x14ac:dyDescent="0.25">
      <c r="C772" s="6">
        <v>765</v>
      </c>
      <c r="D772" s="35">
        <v>43090</v>
      </c>
      <c r="E772" s="37">
        <v>17.420999999999999</v>
      </c>
      <c r="F772" s="37">
        <v>52.675779950774967</v>
      </c>
      <c r="G772" s="37">
        <v>39.479999999999997</v>
      </c>
      <c r="H772" s="37">
        <v>2.1402913590101775</v>
      </c>
      <c r="I772" s="37">
        <v>76.415219849664084</v>
      </c>
      <c r="J772" s="10">
        <v>0</v>
      </c>
      <c r="K772" s="38">
        <v>0</v>
      </c>
      <c r="L772" s="38">
        <v>0</v>
      </c>
      <c r="M772" s="38">
        <v>0</v>
      </c>
      <c r="N772" s="38">
        <v>0</v>
      </c>
      <c r="O772" s="38">
        <v>0</v>
      </c>
      <c r="P772" s="38">
        <v>0</v>
      </c>
      <c r="Q772" s="38">
        <v>0</v>
      </c>
      <c r="R772" s="38">
        <v>0</v>
      </c>
      <c r="S772" s="38">
        <v>0</v>
      </c>
      <c r="T772" s="38">
        <v>0</v>
      </c>
      <c r="U772" s="29" cm="1">
        <f t="array" aca="1" ref="U772" ca="1">+fair_value_gap(OFFSET(T771,0,0,-1*$J$5,-1*$AA$1),OFFSET(E771,0,0,-1*$J$5,1),F772:T772,0)</f>
        <v>17.326334789383491</v>
      </c>
      <c r="V772" s="9" cm="1">
        <f t="array" aca="1" ref="V772" ca="1">z_score_diff(OFFSET(U772,0,0,$J$5*-1,1),OFFSET(E772,0,0,$J$5*-1,1))</f>
        <v>-0.51826357618923136</v>
      </c>
      <c r="W772" s="9">
        <f t="shared" ca="1" si="111"/>
        <v>-0.6185438739446294</v>
      </c>
      <c r="X772" s="17">
        <f t="shared" ca="1" si="110"/>
        <v>-3.3978750429850574E-2</v>
      </c>
      <c r="Y772" s="13">
        <f t="shared" si="119"/>
        <v>0</v>
      </c>
      <c r="Z772" s="13">
        <f t="shared" si="119"/>
        <v>0</v>
      </c>
      <c r="AA772">
        <f t="shared" ca="1" si="112"/>
        <v>1</v>
      </c>
      <c r="AB772">
        <f t="shared" ca="1" si="113"/>
        <v>0</v>
      </c>
      <c r="AC772" s="24">
        <f t="shared" ca="1" si="114"/>
        <v>-3.3978750429850574E-2</v>
      </c>
      <c r="AD772" s="24">
        <f t="shared" ca="1" si="115"/>
        <v>0</v>
      </c>
    </row>
    <row r="773" spans="3:30" x14ac:dyDescent="0.25">
      <c r="C773" s="6">
        <v>766</v>
      </c>
      <c r="D773" s="35">
        <v>43091</v>
      </c>
      <c r="E773" s="37">
        <v>17.355</v>
      </c>
      <c r="F773" s="37">
        <v>52.989673550966018</v>
      </c>
      <c r="G773" s="37">
        <v>39.35</v>
      </c>
      <c r="H773" s="37">
        <v>2.1777148567621585</v>
      </c>
      <c r="I773" s="37">
        <v>76.615589606928708</v>
      </c>
      <c r="J773" s="10">
        <v>0</v>
      </c>
      <c r="K773" s="38">
        <v>0</v>
      </c>
      <c r="L773" s="38">
        <v>0</v>
      </c>
      <c r="M773" s="38">
        <v>0</v>
      </c>
      <c r="N773" s="38">
        <v>0</v>
      </c>
      <c r="O773" s="38">
        <v>0</v>
      </c>
      <c r="P773" s="38">
        <v>0</v>
      </c>
      <c r="Q773" s="38">
        <v>0</v>
      </c>
      <c r="R773" s="38">
        <v>0</v>
      </c>
      <c r="S773" s="38">
        <v>0</v>
      </c>
      <c r="T773" s="38">
        <v>0</v>
      </c>
      <c r="U773" s="29" cm="1">
        <f t="array" aca="1" ref="U773" ca="1">+fair_value_gap(OFFSET(T772,0,0,-1*$J$5,-1*$AA$1),OFFSET(E772,0,0,-1*$J$5,1),F773:T773,0)</f>
        <v>17.347384630465207</v>
      </c>
      <c r="V773" s="9" cm="1">
        <f t="array" aca="1" ref="V773" ca="1">z_score_diff(OFFSET(U773,0,0,$J$5*-1,1),OFFSET(E773,0,0,$J$5*-1,1))</f>
        <v>-0.36663892338244652</v>
      </c>
      <c r="W773" s="9">
        <f t="shared" ca="1" si="111"/>
        <v>-0.5883634058698044</v>
      </c>
      <c r="X773" s="17">
        <f t="shared" ca="1" si="110"/>
        <v>-4.2732490207972151E-2</v>
      </c>
      <c r="Y773" s="13">
        <f t="shared" si="119"/>
        <v>0</v>
      </c>
      <c r="Z773" s="13">
        <f t="shared" si="119"/>
        <v>0</v>
      </c>
      <c r="AA773">
        <f t="shared" ca="1" si="112"/>
        <v>1</v>
      </c>
      <c r="AB773">
        <f t="shared" ca="1" si="113"/>
        <v>0</v>
      </c>
      <c r="AC773" s="24">
        <f t="shared" ca="1" si="114"/>
        <v>-4.2732490207972151E-2</v>
      </c>
      <c r="AD773" s="24">
        <f t="shared" ca="1" si="115"/>
        <v>0</v>
      </c>
    </row>
    <row r="774" spans="3:30" x14ac:dyDescent="0.25">
      <c r="C774" s="6">
        <v>767</v>
      </c>
      <c r="D774" s="35">
        <v>43096</v>
      </c>
      <c r="E774" s="37">
        <v>17.257000000000001</v>
      </c>
      <c r="F774" s="37">
        <v>53.817513780356435</v>
      </c>
      <c r="G774" s="37">
        <v>39.33</v>
      </c>
      <c r="H774" s="37">
        <v>2.2299386496953248</v>
      </c>
      <c r="I774" s="37">
        <v>76.324529574301806</v>
      </c>
      <c r="J774" s="10">
        <v>0</v>
      </c>
      <c r="K774" s="38">
        <v>0</v>
      </c>
      <c r="L774" s="38">
        <v>0</v>
      </c>
      <c r="M774" s="38">
        <v>0</v>
      </c>
      <c r="N774" s="38">
        <v>0</v>
      </c>
      <c r="O774" s="38">
        <v>0</v>
      </c>
      <c r="P774" s="38">
        <v>0</v>
      </c>
      <c r="Q774" s="38">
        <v>0</v>
      </c>
      <c r="R774" s="38">
        <v>0</v>
      </c>
      <c r="S774" s="38">
        <v>0</v>
      </c>
      <c r="T774" s="38">
        <v>0</v>
      </c>
      <c r="U774" s="29" cm="1">
        <f t="array" aca="1" ref="U774" ca="1">+fair_value_gap(OFFSET(T773,0,0,-1*$J$5,-1*$AA$1),OFFSET(E773,0,0,-1*$J$5,1),F774:T774,0)</f>
        <v>17.422555111493029</v>
      </c>
      <c r="V774" s="9" cm="1">
        <f t="array" aca="1" ref="V774" ca="1">z_score_diff(OFFSET(U774,0,0,$J$5*-1,1),OFFSET(E774,0,0,$J$5*-1,1))</f>
        <v>-6.3007757367958273E-2</v>
      </c>
      <c r="W774" s="9">
        <f t="shared" ca="1" si="111"/>
        <v>-0.55237313400894128</v>
      </c>
      <c r="X774" s="17">
        <f t="shared" ca="1" si="110"/>
        <v>-3.7430579712119598E-2</v>
      </c>
      <c r="Y774" s="13">
        <f t="shared" si="119"/>
        <v>0</v>
      </c>
      <c r="Z774" s="13">
        <f t="shared" si="119"/>
        <v>0</v>
      </c>
      <c r="AA774">
        <f t="shared" ca="1" si="112"/>
        <v>1</v>
      </c>
      <c r="AB774">
        <f t="shared" ca="1" si="113"/>
        <v>0</v>
      </c>
      <c r="AC774" s="24">
        <f t="shared" ca="1" si="114"/>
        <v>-3.7430579712119598E-2</v>
      </c>
      <c r="AD774" s="24">
        <f t="shared" ca="1" si="115"/>
        <v>0</v>
      </c>
    </row>
    <row r="775" spans="3:30" x14ac:dyDescent="0.25">
      <c r="C775" s="6">
        <v>768</v>
      </c>
      <c r="D775" s="35">
        <v>43097</v>
      </c>
      <c r="E775" s="37">
        <v>17.484999999999999</v>
      </c>
      <c r="F775" s="37">
        <v>53.749110114070959</v>
      </c>
      <c r="G775" s="37">
        <v>39.19</v>
      </c>
      <c r="H775" s="37">
        <v>2.2988029999503317</v>
      </c>
      <c r="I775" s="37">
        <v>76.654360027151853</v>
      </c>
      <c r="J775" s="10">
        <v>0</v>
      </c>
      <c r="K775" s="38">
        <v>0</v>
      </c>
      <c r="L775" s="38">
        <v>0</v>
      </c>
      <c r="M775" s="38">
        <v>0</v>
      </c>
      <c r="N775" s="38">
        <v>0</v>
      </c>
      <c r="O775" s="38">
        <v>0</v>
      </c>
      <c r="P775" s="38">
        <v>0</v>
      </c>
      <c r="Q775" s="38">
        <v>0</v>
      </c>
      <c r="R775" s="38">
        <v>0</v>
      </c>
      <c r="S775" s="38">
        <v>0</v>
      </c>
      <c r="T775" s="38">
        <v>0</v>
      </c>
      <c r="U775" s="29" cm="1">
        <f t="array" aca="1" ref="U775" ca="1">+fair_value_gap(OFFSET(T774,0,0,-1*$J$5,-1*$AA$1),OFFSET(E774,0,0,-1*$J$5,1),F775:T775,0)</f>
        <v>17.421097332250351</v>
      </c>
      <c r="V775" s="9" cm="1">
        <f t="array" aca="1" ref="V775" ca="1">z_score_diff(OFFSET(U775,0,0,$J$5*-1,1),OFFSET(E775,0,0,$J$5*-1,1))</f>
        <v>-0.47208981802356181</v>
      </c>
      <c r="W775" s="9">
        <f t="shared" ca="1" si="111"/>
        <v>-0.55950090790864637</v>
      </c>
      <c r="X775" s="17">
        <f t="shared" ref="X775:X838" ca="1" si="120">+LN(OFFSET(E775,$X$3,0,1,1)/E775)</f>
        <v>-6.0410175266415282E-2</v>
      </c>
      <c r="Y775" s="13">
        <f t="shared" si="119"/>
        <v>0</v>
      </c>
      <c r="Z775" s="13">
        <f t="shared" si="119"/>
        <v>0</v>
      </c>
      <c r="AA775">
        <f t="shared" ca="1" si="112"/>
        <v>1</v>
      </c>
      <c r="AB775">
        <f t="shared" ca="1" si="113"/>
        <v>0</v>
      </c>
      <c r="AC775" s="24">
        <f t="shared" ca="1" si="114"/>
        <v>-6.0410175266415282E-2</v>
      </c>
      <c r="AD775" s="24">
        <f t="shared" ca="1" si="115"/>
        <v>0</v>
      </c>
    </row>
    <row r="776" spans="3:30" x14ac:dyDescent="0.25">
      <c r="C776" s="6">
        <v>769</v>
      </c>
      <c r="D776" s="35">
        <v>43098</v>
      </c>
      <c r="E776" s="37">
        <v>17.350000000000001</v>
      </c>
      <c r="F776" s="37">
        <v>53.667823206059062</v>
      </c>
      <c r="G776" s="37">
        <v>38.53</v>
      </c>
      <c r="H776" s="37">
        <v>2.3108810852240418</v>
      </c>
      <c r="I776" s="37">
        <v>76.315117151122067</v>
      </c>
      <c r="J776" s="10">
        <v>0</v>
      </c>
      <c r="K776" s="38">
        <v>0</v>
      </c>
      <c r="L776" s="38">
        <v>0</v>
      </c>
      <c r="M776" s="38">
        <v>0</v>
      </c>
      <c r="N776" s="38">
        <v>0</v>
      </c>
      <c r="O776" s="38">
        <v>0</v>
      </c>
      <c r="P776" s="38">
        <v>0</v>
      </c>
      <c r="Q776" s="38">
        <v>0</v>
      </c>
      <c r="R776" s="38">
        <v>0</v>
      </c>
      <c r="S776" s="38">
        <v>0</v>
      </c>
      <c r="T776" s="38">
        <v>0</v>
      </c>
      <c r="U776" s="29" cm="1">
        <f t="array" aca="1" ref="U776" ca="1">+fair_value_gap(OFFSET(T775,0,0,-1*$J$5,-1*$AA$1),OFFSET(E775,0,0,-1*$J$5,1),F776:T776,0)</f>
        <v>17.23632191165342</v>
      </c>
      <c r="V776" s="9" cm="1">
        <f t="array" aca="1" ref="V776" ca="1">z_score_diff(OFFSET(U776,0,0,$J$5*-1,1),OFFSET(E776,0,0,$J$5*-1,1))</f>
        <v>-0.55352631525281781</v>
      </c>
      <c r="W776" s="9">
        <f t="shared" ref="W776:W839" ca="1" si="121">+IF(ISERROR(AVERAGE(OFFSET(V776,0,0,$W$5*-1,1))),"",AVERAGE(OFFSET(V776,0,0,$W$5*-1,1)))</f>
        <v>-0.55747131568292096</v>
      </c>
      <c r="X776" s="17">
        <f t="shared" ca="1" si="120"/>
        <v>-6.095608884930899E-2</v>
      </c>
      <c r="Y776" s="13">
        <f t="shared" si="119"/>
        <v>0</v>
      </c>
      <c r="Z776" s="13">
        <f t="shared" si="119"/>
        <v>0</v>
      </c>
      <c r="AA776">
        <f t="shared" ref="AA776:AA839" ca="1" si="122">+IF(W776="","",IF(W776&lt;Y776,1,0))</f>
        <v>1</v>
      </c>
      <c r="AB776">
        <f t="shared" ref="AB776:AB839" ca="1" si="123">+IF(W776="","",IF(W776&gt;Z776,1,0))</f>
        <v>0</v>
      </c>
      <c r="AC776" s="24">
        <f t="shared" ref="AC776:AC839" ca="1" si="124">+IF(ISERROR(AA776*X776),"",AA776*X776)</f>
        <v>-6.095608884930899E-2</v>
      </c>
      <c r="AD776" s="24">
        <f t="shared" ref="AD776:AD839" ca="1" si="125">+IF(ISERROR(AB776*X776),"",AB776*X776)</f>
        <v>0</v>
      </c>
    </row>
    <row r="777" spans="3:30" x14ac:dyDescent="0.25">
      <c r="C777" s="6">
        <v>770</v>
      </c>
      <c r="D777" s="35">
        <v>43102</v>
      </c>
      <c r="E777" s="37">
        <v>17.292999999999999</v>
      </c>
      <c r="F777" s="37">
        <v>53.236016834158299</v>
      </c>
      <c r="G777" s="37">
        <v>38.340000000000003</v>
      </c>
      <c r="H777" s="37">
        <v>2.3235926645311045</v>
      </c>
      <c r="I777" s="37">
        <v>75.922611409873056</v>
      </c>
      <c r="J777" s="10">
        <v>1</v>
      </c>
      <c r="K777" s="38">
        <v>0</v>
      </c>
      <c r="L777" s="38">
        <v>0</v>
      </c>
      <c r="M777" s="38">
        <v>0</v>
      </c>
      <c r="N777" s="38">
        <v>0</v>
      </c>
      <c r="O777" s="38">
        <v>0</v>
      </c>
      <c r="P777" s="38">
        <v>0</v>
      </c>
      <c r="Q777" s="38">
        <v>0</v>
      </c>
      <c r="R777" s="38">
        <v>0</v>
      </c>
      <c r="S777" s="38">
        <v>0</v>
      </c>
      <c r="T777" s="38">
        <v>0</v>
      </c>
      <c r="U777" s="29" cm="1">
        <f t="array" aca="1" ref="U777" ca="1">+fair_value_gap(OFFSET(T776,0,0,-1*$J$5,-1*$AA$1),OFFSET(E776,0,0,-1*$J$5,1),F777:T777,0)</f>
        <v>17.700475729795635</v>
      </c>
      <c r="V777" s="9" cm="1">
        <f t="array" aca="1" ref="V777" ca="1">z_score_diff(OFFSET(U777,0,0,$J$5*-1,1),OFFSET(E777,0,0,$J$5*-1,1))</f>
        <v>0.34792320962573464</v>
      </c>
      <c r="W777" s="9">
        <f t="shared" ca="1" si="121"/>
        <v>-0.50561151468991716</v>
      </c>
      <c r="X777" s="17">
        <f t="shared" ca="1" si="120"/>
        <v>-6.5537497173870307E-2</v>
      </c>
      <c r="Y777" s="13">
        <f t="shared" ref="Y777:Z792" si="126">+Y776</f>
        <v>0</v>
      </c>
      <c r="Z777" s="13">
        <f t="shared" si="126"/>
        <v>0</v>
      </c>
      <c r="AA777">
        <f t="shared" ca="1" si="122"/>
        <v>1</v>
      </c>
      <c r="AB777">
        <f t="shared" ca="1" si="123"/>
        <v>0</v>
      </c>
      <c r="AC777" s="24">
        <f t="shared" ca="1" si="124"/>
        <v>-6.5537497173870307E-2</v>
      </c>
      <c r="AD777" s="24">
        <f t="shared" ca="1" si="125"/>
        <v>0</v>
      </c>
    </row>
    <row r="778" spans="3:30" x14ac:dyDescent="0.25">
      <c r="C778" s="6">
        <v>771</v>
      </c>
      <c r="D778" s="35">
        <v>43103</v>
      </c>
      <c r="E778" s="37">
        <v>17.288</v>
      </c>
      <c r="F778" s="37">
        <v>54.211716216027142</v>
      </c>
      <c r="G778" s="37">
        <v>38.17</v>
      </c>
      <c r="H778" s="37">
        <v>2.3233592664011633</v>
      </c>
      <c r="I778" s="37">
        <v>76.416545478337937</v>
      </c>
      <c r="J778" s="10">
        <v>1</v>
      </c>
      <c r="K778" s="38">
        <v>0</v>
      </c>
      <c r="L778" s="38">
        <v>0</v>
      </c>
      <c r="M778" s="38">
        <v>0</v>
      </c>
      <c r="N778" s="38">
        <v>0</v>
      </c>
      <c r="O778" s="38">
        <v>0</v>
      </c>
      <c r="P778" s="38">
        <v>0</v>
      </c>
      <c r="Q778" s="38">
        <v>0</v>
      </c>
      <c r="R778" s="38">
        <v>0</v>
      </c>
      <c r="S778" s="38">
        <v>0</v>
      </c>
      <c r="T778" s="38">
        <v>0</v>
      </c>
      <c r="U778" s="29" cm="1">
        <f t="array" aca="1" ref="U778" ca="1">+fair_value_gap(OFFSET(T777,0,0,-1*$J$5,-1*$AA$1),OFFSET(E777,0,0,-1*$J$5,1),F778:T778,0)</f>
        <v>17.54152736096983</v>
      </c>
      <c r="V778" s="9" cm="1">
        <f t="array" aca="1" ref="V778" ca="1">z_score_diff(OFFSET(U778,0,0,$J$5*-1,1),OFFSET(E778,0,0,$J$5*-1,1))</f>
        <v>7.5809163351130082E-2</v>
      </c>
      <c r="W778" s="9">
        <f t="shared" ca="1" si="121"/>
        <v>-0.41609522167456869</v>
      </c>
      <c r="X778" s="17">
        <f t="shared" ca="1" si="120"/>
        <v>-3.886446009880741E-2</v>
      </c>
      <c r="Y778" s="13">
        <f t="shared" si="126"/>
        <v>0</v>
      </c>
      <c r="Z778" s="13">
        <f t="shared" si="126"/>
        <v>0</v>
      </c>
      <c r="AA778">
        <f t="shared" ca="1" si="122"/>
        <v>1</v>
      </c>
      <c r="AB778">
        <f t="shared" ca="1" si="123"/>
        <v>0</v>
      </c>
      <c r="AC778" s="24">
        <f t="shared" ca="1" si="124"/>
        <v>-3.886446009880741E-2</v>
      </c>
      <c r="AD778" s="24">
        <f t="shared" ca="1" si="125"/>
        <v>0</v>
      </c>
    </row>
    <row r="779" spans="3:30" x14ac:dyDescent="0.25">
      <c r="C779" s="6">
        <v>772</v>
      </c>
      <c r="D779" s="35">
        <v>43104</v>
      </c>
      <c r="E779" s="37">
        <v>17.308</v>
      </c>
      <c r="F779" s="37">
        <v>54.103098051322192</v>
      </c>
      <c r="G779" s="37">
        <v>37.94</v>
      </c>
      <c r="H779" s="37">
        <v>2.2641904966233675</v>
      </c>
      <c r="I779" s="37">
        <v>76.482962887747746</v>
      </c>
      <c r="J779" s="10">
        <v>1</v>
      </c>
      <c r="K779" s="38">
        <v>0</v>
      </c>
      <c r="L779" s="38">
        <v>0</v>
      </c>
      <c r="M779" s="38">
        <v>0</v>
      </c>
      <c r="N779" s="38">
        <v>0</v>
      </c>
      <c r="O779" s="38">
        <v>0</v>
      </c>
      <c r="P779" s="38">
        <v>0</v>
      </c>
      <c r="Q779" s="38">
        <v>0</v>
      </c>
      <c r="R779" s="38">
        <v>0</v>
      </c>
      <c r="S779" s="38">
        <v>0</v>
      </c>
      <c r="T779" s="38">
        <v>0</v>
      </c>
      <c r="U779" s="29" cm="1">
        <f t="array" aca="1" ref="U779" ca="1">+fair_value_gap(OFFSET(T778,0,0,-1*$J$5,-1*$AA$1),OFFSET(E778,0,0,-1*$J$5,1),F779:T779,0)</f>
        <v>17.321539746091297</v>
      </c>
      <c r="V779" s="9" cm="1">
        <f t="array" aca="1" ref="V779" ca="1">z_score_diff(OFFSET(U779,0,0,$J$5*-1,1),OFFSET(E779,0,0,$J$5*-1,1))</f>
        <v>-0.34210774021274115</v>
      </c>
      <c r="W779" s="9">
        <f t="shared" ca="1" si="121"/>
        <v>-0.38367782017058094</v>
      </c>
      <c r="X779" s="17">
        <f t="shared" ca="1" si="120"/>
        <v>-4.3212956285565707E-2</v>
      </c>
      <c r="Y779" s="13">
        <f t="shared" si="126"/>
        <v>0</v>
      </c>
      <c r="Z779" s="13">
        <f t="shared" si="126"/>
        <v>0</v>
      </c>
      <c r="AA779">
        <f t="shared" ca="1" si="122"/>
        <v>1</v>
      </c>
      <c r="AB779">
        <f t="shared" ca="1" si="123"/>
        <v>0</v>
      </c>
      <c r="AC779" s="24">
        <f t="shared" ca="1" si="124"/>
        <v>-4.3212956285565707E-2</v>
      </c>
      <c r="AD779" s="24">
        <f t="shared" ca="1" si="125"/>
        <v>0</v>
      </c>
    </row>
    <row r="780" spans="3:30" x14ac:dyDescent="0.25">
      <c r="C780" s="6">
        <v>773</v>
      </c>
      <c r="D780" s="35">
        <v>43105</v>
      </c>
      <c r="E780" s="37">
        <v>17.225000000000001</v>
      </c>
      <c r="F780" s="37">
        <v>53.983056412950688</v>
      </c>
      <c r="G780" s="37">
        <v>37.909999999999997</v>
      </c>
      <c r="H780" s="37">
        <v>2.2451894660799896</v>
      </c>
      <c r="I780" s="37">
        <v>77.28869770801866</v>
      </c>
      <c r="J780" s="10">
        <v>1</v>
      </c>
      <c r="K780" s="38">
        <v>0</v>
      </c>
      <c r="L780" s="38">
        <v>0</v>
      </c>
      <c r="M780" s="38">
        <v>0</v>
      </c>
      <c r="N780" s="38">
        <v>0</v>
      </c>
      <c r="O780" s="38">
        <v>0</v>
      </c>
      <c r="P780" s="38">
        <v>0</v>
      </c>
      <c r="Q780" s="38">
        <v>0</v>
      </c>
      <c r="R780" s="38">
        <v>0</v>
      </c>
      <c r="S780" s="38">
        <v>0</v>
      </c>
      <c r="T780" s="38">
        <v>0</v>
      </c>
      <c r="U780" s="29" cm="1">
        <f t="array" aca="1" ref="U780" ca="1">+fair_value_gap(OFFSET(T779,0,0,-1*$J$5,-1*$AA$1),OFFSET(E779,0,0,-1*$J$5,1),F780:T780,0)</f>
        <v>17.298036520039908</v>
      </c>
      <c r="V780" s="9" cm="1">
        <f t="array" aca="1" ref="V780" ca="1">z_score_diff(OFFSET(U780,0,0,$J$5*-1,1),OFFSET(E780,0,0,$J$5*-1,1))</f>
        <v>-0.23328389977747221</v>
      </c>
      <c r="W780" s="9">
        <f t="shared" ca="1" si="121"/>
        <v>-0.36254868460886003</v>
      </c>
      <c r="X780" s="17">
        <f t="shared" ca="1" si="120"/>
        <v>-4.6583601870982511E-2</v>
      </c>
      <c r="Y780" s="13">
        <f t="shared" si="126"/>
        <v>0</v>
      </c>
      <c r="Z780" s="13">
        <f t="shared" si="126"/>
        <v>0</v>
      </c>
      <c r="AA780">
        <f t="shared" ca="1" si="122"/>
        <v>1</v>
      </c>
      <c r="AB780">
        <f t="shared" ca="1" si="123"/>
        <v>0</v>
      </c>
      <c r="AC780" s="24">
        <f t="shared" ca="1" si="124"/>
        <v>-4.6583601870982511E-2</v>
      </c>
      <c r="AD780" s="24">
        <f t="shared" ca="1" si="125"/>
        <v>0</v>
      </c>
    </row>
    <row r="781" spans="3:30" x14ac:dyDescent="0.25">
      <c r="C781" s="6">
        <v>774</v>
      </c>
      <c r="D781" s="35">
        <v>43108</v>
      </c>
      <c r="E781" s="37">
        <v>17.346</v>
      </c>
      <c r="F781" s="37">
        <v>54.538770688508606</v>
      </c>
      <c r="G781" s="37">
        <v>38.08</v>
      </c>
      <c r="H781" s="37">
        <v>2.2783691238852883</v>
      </c>
      <c r="I781" s="37">
        <v>78.024642404265961</v>
      </c>
      <c r="J781" s="10">
        <v>1</v>
      </c>
      <c r="K781" s="38">
        <v>0</v>
      </c>
      <c r="L781" s="38">
        <v>0</v>
      </c>
      <c r="M781" s="38">
        <v>0</v>
      </c>
      <c r="N781" s="38">
        <v>0</v>
      </c>
      <c r="O781" s="38">
        <v>0</v>
      </c>
      <c r="P781" s="38">
        <v>0</v>
      </c>
      <c r="Q781" s="38">
        <v>0</v>
      </c>
      <c r="R781" s="38">
        <v>0</v>
      </c>
      <c r="S781" s="38">
        <v>0</v>
      </c>
      <c r="T781" s="38">
        <v>0</v>
      </c>
      <c r="U781" s="29" cm="1">
        <f t="array" aca="1" ref="U781" ca="1">+fair_value_gap(OFFSET(T780,0,0,-1*$J$5,-1*$AA$1),OFFSET(E780,0,0,-1*$J$5,1),F781:T781,0)</f>
        <v>17.404576166297538</v>
      </c>
      <c r="V781" s="9" cm="1">
        <f t="array" aca="1" ref="V781" ca="1">z_score_diff(OFFSET(U781,0,0,$J$5*-1,1),OFFSET(E781,0,0,$J$5*-1,1))</f>
        <v>-0.26387509490063887</v>
      </c>
      <c r="W781" s="9">
        <f t="shared" ca="1" si="121"/>
        <v>-0.35296828060940139</v>
      </c>
      <c r="X781" s="17">
        <f t="shared" ca="1" si="120"/>
        <v>-7.1565729271569636E-2</v>
      </c>
      <c r="Y781" s="13">
        <f t="shared" si="126"/>
        <v>0</v>
      </c>
      <c r="Z781" s="13">
        <f t="shared" si="126"/>
        <v>0</v>
      </c>
      <c r="AA781">
        <f t="shared" ca="1" si="122"/>
        <v>1</v>
      </c>
      <c r="AB781">
        <f t="shared" ca="1" si="123"/>
        <v>0</v>
      </c>
      <c r="AC781" s="24">
        <f t="shared" ca="1" si="124"/>
        <v>-7.1565729271569636E-2</v>
      </c>
      <c r="AD781" s="24">
        <f t="shared" ca="1" si="125"/>
        <v>0</v>
      </c>
    </row>
    <row r="782" spans="3:30" x14ac:dyDescent="0.25">
      <c r="C782" s="6">
        <v>775</v>
      </c>
      <c r="D782" s="35">
        <v>43109</v>
      </c>
      <c r="E782" s="37">
        <v>17.526</v>
      </c>
      <c r="F782" s="37">
        <v>55.403909568765179</v>
      </c>
      <c r="G782" s="37">
        <v>38.31</v>
      </c>
      <c r="H782" s="37">
        <v>2.316499386930738</v>
      </c>
      <c r="I782" s="37">
        <v>79.272629127454664</v>
      </c>
      <c r="J782" s="10">
        <v>1</v>
      </c>
      <c r="K782" s="38">
        <v>0</v>
      </c>
      <c r="L782" s="38">
        <v>0</v>
      </c>
      <c r="M782" s="38">
        <v>0</v>
      </c>
      <c r="N782" s="38">
        <v>0</v>
      </c>
      <c r="O782" s="38">
        <v>0</v>
      </c>
      <c r="P782" s="38">
        <v>0</v>
      </c>
      <c r="Q782" s="38">
        <v>0</v>
      </c>
      <c r="R782" s="38">
        <v>0</v>
      </c>
      <c r="S782" s="38">
        <v>0</v>
      </c>
      <c r="T782" s="38">
        <v>0</v>
      </c>
      <c r="U782" s="29" cm="1">
        <f t="array" aca="1" ref="U782" ca="1">+fair_value_gap(OFFSET(T781,0,0,-1*$J$5,-1*$AA$1),OFFSET(E781,0,0,-1*$J$5,1),F782:T782,0)</f>
        <v>17.564454543573852</v>
      </c>
      <c r="V782" s="9" cm="1">
        <f t="array" aca="1" ref="V782" ca="1">z_score_diff(OFFSET(U782,0,0,$J$5*-1,1),OFFSET(E782,0,0,$J$5*-1,1))</f>
        <v>-0.30816487409149207</v>
      </c>
      <c r="W782" s="9">
        <f t="shared" ca="1" si="121"/>
        <v>-0.34696797191545459</v>
      </c>
      <c r="X782" s="17">
        <f t="shared" ca="1" si="120"/>
        <v>-7.2765813709154234E-2</v>
      </c>
      <c r="Y782" s="13">
        <f t="shared" si="126"/>
        <v>0</v>
      </c>
      <c r="Z782" s="13">
        <f t="shared" si="126"/>
        <v>0</v>
      </c>
      <c r="AA782">
        <f t="shared" ca="1" si="122"/>
        <v>1</v>
      </c>
      <c r="AB782">
        <f t="shared" ca="1" si="123"/>
        <v>0</v>
      </c>
      <c r="AC782" s="24">
        <f t="shared" ca="1" si="124"/>
        <v>-7.2765813709154234E-2</v>
      </c>
      <c r="AD782" s="24">
        <f t="shared" ca="1" si="125"/>
        <v>0</v>
      </c>
    </row>
    <row r="783" spans="3:30" x14ac:dyDescent="0.25">
      <c r="C783" s="6">
        <v>776</v>
      </c>
      <c r="D783" s="35">
        <v>43110</v>
      </c>
      <c r="E783" s="37">
        <v>17.728999999999999</v>
      </c>
      <c r="F783" s="37">
        <v>55.605886767997717</v>
      </c>
      <c r="G783" s="37">
        <v>38.4</v>
      </c>
      <c r="H783" s="37">
        <v>2.3078881500854709</v>
      </c>
      <c r="I783" s="37">
        <v>79.065007720514089</v>
      </c>
      <c r="J783" s="10">
        <v>1</v>
      </c>
      <c r="K783" s="38">
        <v>0</v>
      </c>
      <c r="L783" s="38">
        <v>0</v>
      </c>
      <c r="M783" s="38">
        <v>0</v>
      </c>
      <c r="N783" s="38">
        <v>0</v>
      </c>
      <c r="O783" s="38">
        <v>0</v>
      </c>
      <c r="P783" s="38">
        <v>0</v>
      </c>
      <c r="Q783" s="38">
        <v>0</v>
      </c>
      <c r="R783" s="38">
        <v>0</v>
      </c>
      <c r="S783" s="38">
        <v>0</v>
      </c>
      <c r="T783" s="38">
        <v>0</v>
      </c>
      <c r="U783" s="29" cm="1">
        <f t="array" aca="1" ref="U783" ca="1">+fair_value_gap(OFFSET(T782,0,0,-1*$J$5,-1*$AA$1),OFFSET(E782,0,0,-1*$J$5,1),F783:T783,0)</f>
        <v>17.581505483704419</v>
      </c>
      <c r="V783" s="9" cm="1">
        <f t="array" aca="1" ref="V783" ca="1">z_score_diff(OFFSET(U783,0,0,$J$5*-1,1),OFFSET(E783,0,0,$J$5*-1,1))</f>
        <v>-0.63964405556283943</v>
      </c>
      <c r="W783" s="9">
        <f t="shared" ca="1" si="121"/>
        <v>-0.37810073346375739</v>
      </c>
      <c r="X783" s="17">
        <f t="shared" ca="1" si="120"/>
        <v>-7.4450798302997542E-2</v>
      </c>
      <c r="Y783" s="13">
        <f t="shared" si="126"/>
        <v>0</v>
      </c>
      <c r="Z783" s="13">
        <f t="shared" si="126"/>
        <v>0</v>
      </c>
      <c r="AA783">
        <f t="shared" ca="1" si="122"/>
        <v>1</v>
      </c>
      <c r="AB783">
        <f t="shared" ca="1" si="123"/>
        <v>0</v>
      </c>
      <c r="AC783" s="24">
        <f t="shared" ca="1" si="124"/>
        <v>-7.4450798302997542E-2</v>
      </c>
      <c r="AD783" s="24">
        <f t="shared" ca="1" si="125"/>
        <v>0</v>
      </c>
    </row>
    <row r="784" spans="3:30" x14ac:dyDescent="0.25">
      <c r="C784" s="6">
        <v>777</v>
      </c>
      <c r="D784" s="35">
        <v>43111</v>
      </c>
      <c r="E784" s="37">
        <v>17.492000000000001</v>
      </c>
      <c r="F784" s="37">
        <v>55.245079722255298</v>
      </c>
      <c r="G784" s="37">
        <v>38.51</v>
      </c>
      <c r="H784" s="37">
        <v>2.3282265647776685</v>
      </c>
      <c r="I784" s="37">
        <v>77.525427765436305</v>
      </c>
      <c r="J784" s="10">
        <v>1</v>
      </c>
      <c r="K784" s="38">
        <v>0</v>
      </c>
      <c r="L784" s="38">
        <v>0</v>
      </c>
      <c r="M784" s="38">
        <v>0</v>
      </c>
      <c r="N784" s="38">
        <v>0</v>
      </c>
      <c r="O784" s="38">
        <v>0</v>
      </c>
      <c r="P784" s="38">
        <v>0</v>
      </c>
      <c r="Q784" s="38">
        <v>0</v>
      </c>
      <c r="R784" s="38">
        <v>0</v>
      </c>
      <c r="S784" s="38">
        <v>0</v>
      </c>
      <c r="T784" s="38">
        <v>0</v>
      </c>
      <c r="U784" s="29" cm="1">
        <f t="array" aca="1" ref="U784" ca="1">+fair_value_gap(OFFSET(T783,0,0,-1*$J$5,-1*$AA$1),OFFSET(E783,0,0,-1*$J$5,1),F784:T784,0)</f>
        <v>17.603636865916449</v>
      </c>
      <c r="V784" s="9" cm="1">
        <f t="array" aca="1" ref="V784" ca="1">z_score_diff(OFFSET(U784,0,0,$J$5*-1,1),OFFSET(E784,0,0,$J$5*-1,1))</f>
        <v>-0.17275953664131627</v>
      </c>
      <c r="W784" s="9">
        <f t="shared" ca="1" si="121"/>
        <v>-0.35946053922199067</v>
      </c>
      <c r="X784" s="17">
        <f t="shared" ca="1" si="120"/>
        <v>-7.235925139349228E-2</v>
      </c>
      <c r="Y784" s="13">
        <f t="shared" si="126"/>
        <v>0</v>
      </c>
      <c r="Z784" s="13">
        <f t="shared" si="126"/>
        <v>0</v>
      </c>
      <c r="AA784">
        <f t="shared" ca="1" si="122"/>
        <v>1</v>
      </c>
      <c r="AB784">
        <f t="shared" ca="1" si="123"/>
        <v>0</v>
      </c>
      <c r="AC784" s="24">
        <f t="shared" ca="1" si="124"/>
        <v>-7.235925139349228E-2</v>
      </c>
      <c r="AD784" s="24">
        <f t="shared" ca="1" si="125"/>
        <v>0</v>
      </c>
    </row>
    <row r="785" spans="3:30" x14ac:dyDescent="0.25">
      <c r="C785" s="6">
        <v>778</v>
      </c>
      <c r="D785" s="35">
        <v>43112</v>
      </c>
      <c r="E785" s="37">
        <v>17.536999999999999</v>
      </c>
      <c r="F785" s="37">
        <v>55.002939924170228</v>
      </c>
      <c r="G785" s="37">
        <v>38.25</v>
      </c>
      <c r="H785" s="37">
        <v>2.3113886579753045</v>
      </c>
      <c r="I785" s="37">
        <v>76.843535208126355</v>
      </c>
      <c r="J785" s="10">
        <v>1</v>
      </c>
      <c r="K785" s="38">
        <v>0</v>
      </c>
      <c r="L785" s="38">
        <v>0</v>
      </c>
      <c r="M785" s="38">
        <v>0</v>
      </c>
      <c r="N785" s="38">
        <v>0</v>
      </c>
      <c r="O785" s="38">
        <v>0</v>
      </c>
      <c r="P785" s="38">
        <v>0</v>
      </c>
      <c r="Q785" s="38">
        <v>0</v>
      </c>
      <c r="R785" s="38">
        <v>0</v>
      </c>
      <c r="S785" s="38">
        <v>0</v>
      </c>
      <c r="T785" s="38">
        <v>0</v>
      </c>
      <c r="U785" s="29" cm="1">
        <f t="array" aca="1" ref="U785" ca="1">+fair_value_gap(OFFSET(T784,0,0,-1*$J$5,-1*$AA$1),OFFSET(E784,0,0,-1*$J$5,1),F785:T785,0)</f>
        <v>17.477690019846268</v>
      </c>
      <c r="V785" s="9" cm="1">
        <f t="array" aca="1" ref="V785" ca="1">z_score_diff(OFFSET(U785,0,0,$J$5*-1,1),OFFSET(E785,0,0,$J$5*-1,1))</f>
        <v>-0.47488796255073717</v>
      </c>
      <c r="W785" s="9">
        <f t="shared" ca="1" si="121"/>
        <v>-0.35496940583222808</v>
      </c>
      <c r="X785" s="17">
        <f t="shared" ca="1" si="120"/>
        <v>-7.9239965958874295E-2</v>
      </c>
      <c r="Y785" s="13">
        <f t="shared" si="126"/>
        <v>0</v>
      </c>
      <c r="Z785" s="13">
        <f t="shared" si="126"/>
        <v>0</v>
      </c>
      <c r="AA785">
        <f t="shared" ca="1" si="122"/>
        <v>1</v>
      </c>
      <c r="AB785">
        <f t="shared" ca="1" si="123"/>
        <v>0</v>
      </c>
      <c r="AC785" s="24">
        <f t="shared" ca="1" si="124"/>
        <v>-7.9239965958874295E-2</v>
      </c>
      <c r="AD785" s="24">
        <f t="shared" ca="1" si="125"/>
        <v>0</v>
      </c>
    </row>
    <row r="786" spans="3:30" x14ac:dyDescent="0.25">
      <c r="C786" s="6">
        <v>779</v>
      </c>
      <c r="D786" s="35">
        <v>43115</v>
      </c>
      <c r="E786" s="37">
        <v>17.277000000000001</v>
      </c>
      <c r="F786" s="37">
        <v>55.110841902282566</v>
      </c>
      <c r="G786" s="37">
        <v>38.11</v>
      </c>
      <c r="H786" s="37">
        <v>2.2956138471427261</v>
      </c>
      <c r="I786" s="37">
        <v>76.882926915709902</v>
      </c>
      <c r="J786" s="10">
        <v>1</v>
      </c>
      <c r="K786" s="38">
        <v>0</v>
      </c>
      <c r="L786" s="38">
        <v>0</v>
      </c>
      <c r="M786" s="38">
        <v>0</v>
      </c>
      <c r="N786" s="38">
        <v>0</v>
      </c>
      <c r="O786" s="38">
        <v>0</v>
      </c>
      <c r="P786" s="38">
        <v>0</v>
      </c>
      <c r="Q786" s="38">
        <v>0</v>
      </c>
      <c r="R786" s="38">
        <v>0</v>
      </c>
      <c r="S786" s="38">
        <v>0</v>
      </c>
      <c r="T786" s="38">
        <v>0</v>
      </c>
      <c r="U786" s="29" cm="1">
        <f t="array" aca="1" ref="U786" ca="1">+fair_value_gap(OFFSET(T785,0,0,-1*$J$5,-1*$AA$1),OFFSET(E785,0,0,-1*$J$5,1),F786:T786,0)</f>
        <v>17.427822645575901</v>
      </c>
      <c r="V786" s="9" cm="1">
        <f t="array" aca="1" ref="V786" ca="1">z_score_diff(OFFSET(U786,0,0,$J$5*-1,1),OFFSET(E786,0,0,$J$5*-1,1))</f>
        <v>-9.1826055693061903E-2</v>
      </c>
      <c r="W786" s="9">
        <f t="shared" ca="1" si="121"/>
        <v>-0.34950917561943673</v>
      </c>
      <c r="X786" s="17">
        <f t="shared" ca="1" si="120"/>
        <v>-6.1098630071606166E-2</v>
      </c>
      <c r="Y786" s="13">
        <f t="shared" si="126"/>
        <v>0</v>
      </c>
      <c r="Z786" s="13">
        <f t="shared" si="126"/>
        <v>0</v>
      </c>
      <c r="AA786">
        <f t="shared" ca="1" si="122"/>
        <v>1</v>
      </c>
      <c r="AB786">
        <f t="shared" ca="1" si="123"/>
        <v>0</v>
      </c>
      <c r="AC786" s="24">
        <f t="shared" ca="1" si="124"/>
        <v>-6.1098630071606166E-2</v>
      </c>
      <c r="AD786" s="24">
        <f t="shared" ca="1" si="125"/>
        <v>0</v>
      </c>
    </row>
    <row r="787" spans="3:30" x14ac:dyDescent="0.25">
      <c r="C787" s="6">
        <v>780</v>
      </c>
      <c r="D787" s="35">
        <v>43116</v>
      </c>
      <c r="E787" s="37">
        <v>17.079000000000001</v>
      </c>
      <c r="F787" s="37">
        <v>54.363941083572371</v>
      </c>
      <c r="G787" s="37">
        <v>38.06</v>
      </c>
      <c r="H787" s="37">
        <v>2.2915525187739711</v>
      </c>
      <c r="I787" s="37">
        <v>76.8685338576079</v>
      </c>
      <c r="J787" s="10">
        <v>1</v>
      </c>
      <c r="K787" s="38">
        <v>0</v>
      </c>
      <c r="L787" s="38">
        <v>0</v>
      </c>
      <c r="M787" s="38">
        <v>0</v>
      </c>
      <c r="N787" s="38">
        <v>0</v>
      </c>
      <c r="O787" s="38">
        <v>0</v>
      </c>
      <c r="P787" s="38">
        <v>0</v>
      </c>
      <c r="Q787" s="38">
        <v>0</v>
      </c>
      <c r="R787" s="38">
        <v>0</v>
      </c>
      <c r="S787" s="38">
        <v>0</v>
      </c>
      <c r="T787" s="38">
        <v>0</v>
      </c>
      <c r="U787" s="29" cm="1">
        <f t="array" aca="1" ref="U787" ca="1">+fair_value_gap(OFFSET(T786,0,0,-1*$J$5,-1*$AA$1),OFFSET(E786,0,0,-1*$J$5,1),F787:T787,0)</f>
        <v>17.351545861385873</v>
      </c>
      <c r="V787" s="9" cm="1">
        <f t="array" aca="1" ref="V787" ca="1">z_score_diff(OFFSET(U787,0,0,$J$5*-1,1),OFFSET(E787,0,0,$J$5*-1,1))</f>
        <v>0.13494806873740964</v>
      </c>
      <c r="W787" s="9">
        <f t="shared" ca="1" si="121"/>
        <v>-0.29923246215150934</v>
      </c>
      <c r="X787" s="17">
        <f t="shared" ca="1" si="120"/>
        <v>-4.2704730683910827E-2</v>
      </c>
      <c r="Y787" s="13">
        <f t="shared" si="126"/>
        <v>0</v>
      </c>
      <c r="Z787" s="13">
        <f t="shared" si="126"/>
        <v>0</v>
      </c>
      <c r="AA787">
        <f t="shared" ca="1" si="122"/>
        <v>1</v>
      </c>
      <c r="AB787">
        <f t="shared" ca="1" si="123"/>
        <v>0</v>
      </c>
      <c r="AC787" s="24">
        <f t="shared" ca="1" si="124"/>
        <v>-4.2704730683910827E-2</v>
      </c>
      <c r="AD787" s="24">
        <f t="shared" ca="1" si="125"/>
        <v>0</v>
      </c>
    </row>
    <row r="788" spans="3:30" x14ac:dyDescent="0.25">
      <c r="C788" s="6">
        <v>781</v>
      </c>
      <c r="D788" s="35">
        <v>43117</v>
      </c>
      <c r="E788" s="37">
        <v>16.870999999999999</v>
      </c>
      <c r="F788" s="37">
        <v>54.735737993627247</v>
      </c>
      <c r="G788" s="37">
        <v>37.71</v>
      </c>
      <c r="H788" s="37">
        <v>2.3228089315645453</v>
      </c>
      <c r="I788" s="37">
        <v>76.887403658059867</v>
      </c>
      <c r="J788" s="10">
        <v>1</v>
      </c>
      <c r="K788" s="38">
        <v>0</v>
      </c>
      <c r="L788" s="38">
        <v>0</v>
      </c>
      <c r="M788" s="38">
        <v>0</v>
      </c>
      <c r="N788" s="38">
        <v>0</v>
      </c>
      <c r="O788" s="38">
        <v>0</v>
      </c>
      <c r="P788" s="38">
        <v>0</v>
      </c>
      <c r="Q788" s="38">
        <v>0</v>
      </c>
      <c r="R788" s="38">
        <v>0</v>
      </c>
      <c r="S788" s="38">
        <v>0</v>
      </c>
      <c r="T788" s="38">
        <v>0</v>
      </c>
      <c r="U788" s="29" cm="1">
        <f t="array" aca="1" ref="U788" ca="1">+fair_value_gap(OFFSET(T787,0,0,-1*$J$5,-1*$AA$1),OFFSET(E787,0,0,-1*$J$5,1),F788:T788,0)</f>
        <v>17.276496408817536</v>
      </c>
      <c r="V788" s="9" cm="1">
        <f t="array" aca="1" ref="V788" ca="1">z_score_diff(OFFSET(U788,0,0,$J$5*-1,1),OFFSET(E788,0,0,$J$5*-1,1))</f>
        <v>0.38253945069538553</v>
      </c>
      <c r="W788" s="9">
        <f t="shared" ca="1" si="121"/>
        <v>-0.2558244944173072</v>
      </c>
      <c r="X788" s="17">
        <f t="shared" ca="1" si="120"/>
        <v>-2.8314836793685027E-2</v>
      </c>
      <c r="Y788" s="13">
        <f t="shared" si="126"/>
        <v>0</v>
      </c>
      <c r="Z788" s="13">
        <f t="shared" si="126"/>
        <v>0</v>
      </c>
      <c r="AA788">
        <f t="shared" ca="1" si="122"/>
        <v>1</v>
      </c>
      <c r="AB788">
        <f t="shared" ca="1" si="123"/>
        <v>0</v>
      </c>
      <c r="AC788" s="24">
        <f t="shared" ca="1" si="124"/>
        <v>-2.8314836793685027E-2</v>
      </c>
      <c r="AD788" s="24">
        <f t="shared" ca="1" si="125"/>
        <v>0</v>
      </c>
    </row>
    <row r="789" spans="3:30" x14ac:dyDescent="0.25">
      <c r="C789" s="6">
        <v>782</v>
      </c>
      <c r="D789" s="35">
        <v>43118</v>
      </c>
      <c r="E789" s="37">
        <v>16.948</v>
      </c>
      <c r="F789" s="37">
        <v>54.596599416420148</v>
      </c>
      <c r="G789" s="37">
        <v>37.86</v>
      </c>
      <c r="H789" s="37">
        <v>2.3214047889063325</v>
      </c>
      <c r="I789" s="37">
        <v>76.842050036120611</v>
      </c>
      <c r="J789" s="10">
        <v>1</v>
      </c>
      <c r="K789" s="38">
        <v>0</v>
      </c>
      <c r="L789" s="38">
        <v>0</v>
      </c>
      <c r="M789" s="38">
        <v>0</v>
      </c>
      <c r="N789" s="38">
        <v>0</v>
      </c>
      <c r="O789" s="38">
        <v>0</v>
      </c>
      <c r="P789" s="38">
        <v>0</v>
      </c>
      <c r="Q789" s="38">
        <v>0</v>
      </c>
      <c r="R789" s="38">
        <v>0</v>
      </c>
      <c r="S789" s="38">
        <v>0</v>
      </c>
      <c r="T789" s="38">
        <v>0</v>
      </c>
      <c r="U789" s="29" cm="1">
        <f t="array" aca="1" ref="U789" ca="1">+fair_value_gap(OFFSET(T788,0,0,-1*$J$5,-1*$AA$1),OFFSET(E788,0,0,-1*$J$5,1),F789:T789,0)</f>
        <v>17.282702673873601</v>
      </c>
      <c r="V789" s="9" cm="1">
        <f t="array" aca="1" ref="V789" ca="1">z_score_diff(OFFSET(U789,0,0,$J$5*-1,1),OFFSET(E789,0,0,$J$5*-1,1))</f>
        <v>0.25406101686640165</v>
      </c>
      <c r="W789" s="9">
        <f t="shared" ca="1" si="121"/>
        <v>-0.22490923596046311</v>
      </c>
      <c r="X789" s="17">
        <f t="shared" ca="1" si="120"/>
        <v>-4.1380229920727415E-2</v>
      </c>
      <c r="Y789" s="13">
        <f t="shared" si="126"/>
        <v>0</v>
      </c>
      <c r="Z789" s="13">
        <f t="shared" si="126"/>
        <v>0</v>
      </c>
      <c r="AA789">
        <f t="shared" ca="1" si="122"/>
        <v>1</v>
      </c>
      <c r="AB789">
        <f t="shared" ca="1" si="123"/>
        <v>0</v>
      </c>
      <c r="AC789" s="24">
        <f t="shared" ca="1" si="124"/>
        <v>-4.1380229920727415E-2</v>
      </c>
      <c r="AD789" s="24">
        <f t="shared" ca="1" si="125"/>
        <v>0</v>
      </c>
    </row>
    <row r="790" spans="3:30" x14ac:dyDescent="0.25">
      <c r="C790" s="6">
        <v>783</v>
      </c>
      <c r="D790" s="35">
        <v>43119</v>
      </c>
      <c r="E790" s="37">
        <v>16.907</v>
      </c>
      <c r="F790" s="37">
        <v>54.157053028477925</v>
      </c>
      <c r="G790" s="37">
        <v>37.85</v>
      </c>
      <c r="H790" s="37">
        <v>2.3105069048423634</v>
      </c>
      <c r="I790" s="37">
        <v>77.650170822291457</v>
      </c>
      <c r="J790" s="10">
        <v>1</v>
      </c>
      <c r="K790" s="38">
        <v>0</v>
      </c>
      <c r="L790" s="38">
        <v>0</v>
      </c>
      <c r="M790" s="38">
        <v>0</v>
      </c>
      <c r="N790" s="38">
        <v>0</v>
      </c>
      <c r="O790" s="38">
        <v>0</v>
      </c>
      <c r="P790" s="38">
        <v>0</v>
      </c>
      <c r="Q790" s="38">
        <v>0</v>
      </c>
      <c r="R790" s="38">
        <v>0</v>
      </c>
      <c r="S790" s="38">
        <v>0</v>
      </c>
      <c r="T790" s="38">
        <v>0</v>
      </c>
      <c r="U790" s="29" cm="1">
        <f t="array" aca="1" ref="U790" ca="1">+fair_value_gap(OFFSET(T789,0,0,-1*$J$5,-1*$AA$1),OFFSET(E789,0,0,-1*$J$5,1),F790:T790,0)</f>
        <v>17.238473209516233</v>
      </c>
      <c r="V790" s="9" cm="1">
        <f t="array" aca="1" ref="V790" ca="1">z_score_diff(OFFSET(U790,0,0,$J$5*-1,1),OFFSET(E790,0,0,$J$5*-1,1))</f>
        <v>0.25085332366774676</v>
      </c>
      <c r="W790" s="9">
        <f t="shared" ca="1" si="121"/>
        <v>-0.19018208211007387</v>
      </c>
      <c r="X790" s="17">
        <f t="shared" ca="1" si="120"/>
        <v>-2.7827882622740229E-2</v>
      </c>
      <c r="Y790" s="13">
        <f t="shared" si="126"/>
        <v>0</v>
      </c>
      <c r="Z790" s="13">
        <f t="shared" si="126"/>
        <v>0</v>
      </c>
      <c r="AA790">
        <f t="shared" ca="1" si="122"/>
        <v>1</v>
      </c>
      <c r="AB790">
        <f t="shared" ca="1" si="123"/>
        <v>0</v>
      </c>
      <c r="AC790" s="24">
        <f t="shared" ca="1" si="124"/>
        <v>-2.7827882622740229E-2</v>
      </c>
      <c r="AD790" s="24">
        <f t="shared" ca="1" si="125"/>
        <v>0</v>
      </c>
    </row>
    <row r="791" spans="3:30" x14ac:dyDescent="0.25">
      <c r="C791" s="6">
        <v>784</v>
      </c>
      <c r="D791" s="35">
        <v>43122</v>
      </c>
      <c r="E791" s="37">
        <v>16.986999999999998</v>
      </c>
      <c r="F791" s="37">
        <v>54.23701494942982</v>
      </c>
      <c r="G791" s="37">
        <v>37.950000000000003</v>
      </c>
      <c r="H791" s="37">
        <v>2.3097070556473387</v>
      </c>
      <c r="I791" s="37">
        <v>77.608091227787398</v>
      </c>
      <c r="J791" s="10">
        <v>1</v>
      </c>
      <c r="K791" s="38">
        <v>0</v>
      </c>
      <c r="L791" s="38">
        <v>0</v>
      </c>
      <c r="M791" s="38">
        <v>0</v>
      </c>
      <c r="N791" s="38">
        <v>0</v>
      </c>
      <c r="O791" s="38">
        <v>0</v>
      </c>
      <c r="P791" s="38">
        <v>0</v>
      </c>
      <c r="Q791" s="38">
        <v>0</v>
      </c>
      <c r="R791" s="38">
        <v>0</v>
      </c>
      <c r="S791" s="38">
        <v>0</v>
      </c>
      <c r="T791" s="38">
        <v>0</v>
      </c>
      <c r="U791" s="29" cm="1">
        <f t="array" aca="1" ref="U791" ca="1">+fair_value_gap(OFFSET(T790,0,0,-1*$J$5,-1*$AA$1),OFFSET(E790,0,0,-1*$J$5,1),F791:T791,0)</f>
        <v>17.253237282613117</v>
      </c>
      <c r="V791" s="9" cm="1">
        <f t="array" aca="1" ref="V791" ca="1">z_score_diff(OFFSET(U791,0,0,$J$5*-1,1),OFFSET(E791,0,0,$J$5*-1,1))</f>
        <v>0.12954851759442063</v>
      </c>
      <c r="W791" s="9">
        <f t="shared" ca="1" si="121"/>
        <v>-0.14621964295540435</v>
      </c>
      <c r="X791" s="17">
        <f t="shared" ca="1" si="120"/>
        <v>-8.9288947288497841E-3</v>
      </c>
      <c r="Y791" s="13">
        <f t="shared" si="126"/>
        <v>0</v>
      </c>
      <c r="Z791" s="13">
        <f t="shared" si="126"/>
        <v>0</v>
      </c>
      <c r="AA791">
        <f t="shared" ca="1" si="122"/>
        <v>1</v>
      </c>
      <c r="AB791">
        <f t="shared" ca="1" si="123"/>
        <v>0</v>
      </c>
      <c r="AC791" s="24">
        <f t="shared" ca="1" si="124"/>
        <v>-8.9288947288497841E-3</v>
      </c>
      <c r="AD791" s="24">
        <f t="shared" ca="1" si="125"/>
        <v>0</v>
      </c>
    </row>
    <row r="792" spans="3:30" x14ac:dyDescent="0.25">
      <c r="C792" s="6">
        <v>785</v>
      </c>
      <c r="D792" s="35">
        <v>43123</v>
      </c>
      <c r="E792" s="37">
        <v>16.838999999999999</v>
      </c>
      <c r="F792" s="37">
        <v>54.693406022219598</v>
      </c>
      <c r="G792" s="37">
        <v>37.770000000000003</v>
      </c>
      <c r="H792" s="37">
        <v>2.3394124315026952</v>
      </c>
      <c r="I792" s="37">
        <v>77.163655235519869</v>
      </c>
      <c r="J792" s="10">
        <v>1</v>
      </c>
      <c r="K792" s="38">
        <v>0</v>
      </c>
      <c r="L792" s="38">
        <v>0</v>
      </c>
      <c r="M792" s="38">
        <v>0</v>
      </c>
      <c r="N792" s="38">
        <v>0</v>
      </c>
      <c r="O792" s="38">
        <v>0</v>
      </c>
      <c r="P792" s="38">
        <v>0</v>
      </c>
      <c r="Q792" s="38">
        <v>0</v>
      </c>
      <c r="R792" s="38">
        <v>0</v>
      </c>
      <c r="S792" s="38">
        <v>0</v>
      </c>
      <c r="T792" s="38">
        <v>0</v>
      </c>
      <c r="U792" s="29" cm="1">
        <f t="array" aca="1" ref="U792" ca="1">+fair_value_gap(OFFSET(T791,0,0,-1*$J$5,-1*$AA$1),OFFSET(E791,0,0,-1*$J$5,1),F792:T792,0)</f>
        <v>17.231941868780211</v>
      </c>
      <c r="V792" s="9" cm="1">
        <f t="array" aca="1" ref="V792" ca="1">z_score_diff(OFFSET(U792,0,0,$J$5*-1,1),OFFSET(E792,0,0,$J$5*-1,1))</f>
        <v>0.35998176551376404</v>
      </c>
      <c r="W792" s="9">
        <f t="shared" ca="1" si="121"/>
        <v>-0.10230737587025458</v>
      </c>
      <c r="X792" s="17">
        <f t="shared" ca="1" si="120"/>
        <v>1.0338909925520605E-2</v>
      </c>
      <c r="Y792" s="13">
        <f t="shared" si="126"/>
        <v>0</v>
      </c>
      <c r="Z792" s="13">
        <f t="shared" si="126"/>
        <v>0</v>
      </c>
      <c r="AA792">
        <f t="shared" ca="1" si="122"/>
        <v>1</v>
      </c>
      <c r="AB792">
        <f t="shared" ca="1" si="123"/>
        <v>0</v>
      </c>
      <c r="AC792" s="24">
        <f t="shared" ca="1" si="124"/>
        <v>1.0338909925520605E-2</v>
      </c>
      <c r="AD792" s="24">
        <f t="shared" ca="1" si="125"/>
        <v>0</v>
      </c>
    </row>
    <row r="793" spans="3:30" x14ac:dyDescent="0.25">
      <c r="C793" s="6">
        <v>786</v>
      </c>
      <c r="D793" s="35">
        <v>43124</v>
      </c>
      <c r="E793" s="37">
        <v>16.629000000000001</v>
      </c>
      <c r="F793" s="37">
        <v>54.532995490111709</v>
      </c>
      <c r="G793" s="37">
        <v>37.549999999999997</v>
      </c>
      <c r="H793" s="37">
        <v>2.3346241494159456</v>
      </c>
      <c r="I793" s="37">
        <v>76.532644898089274</v>
      </c>
      <c r="J793" s="10">
        <v>1</v>
      </c>
      <c r="K793" s="38">
        <v>0</v>
      </c>
      <c r="L793" s="38">
        <v>0</v>
      </c>
      <c r="M793" s="38">
        <v>0</v>
      </c>
      <c r="N793" s="38">
        <v>0</v>
      </c>
      <c r="O793" s="38">
        <v>0</v>
      </c>
      <c r="P793" s="38">
        <v>0</v>
      </c>
      <c r="Q793" s="38">
        <v>0</v>
      </c>
      <c r="R793" s="38">
        <v>0</v>
      </c>
      <c r="S793" s="38">
        <v>0</v>
      </c>
      <c r="T793" s="38">
        <v>0</v>
      </c>
      <c r="U793" s="29" cm="1">
        <f t="array" aca="1" ref="U793" ca="1">+fair_value_gap(OFFSET(T792,0,0,-1*$J$5,-1*$AA$1),OFFSET(E792,0,0,-1*$J$5,1),F793:T793,0)</f>
        <v>17.081042088720629</v>
      </c>
      <c r="V793" s="9" cm="1">
        <f t="array" aca="1" ref="V793" ca="1">z_score_diff(OFFSET(U793,0,0,$J$5*-1,1),OFFSET(E793,0,0,$J$5*-1,1))</f>
        <v>0.47167027728703248</v>
      </c>
      <c r="W793" s="9">
        <f t="shared" ca="1" si="121"/>
        <v>-6.0391915836780621E-2</v>
      </c>
      <c r="X793" s="17">
        <f t="shared" ca="1" si="120"/>
        <v>1.7939037039266539E-2</v>
      </c>
      <c r="Y793" s="13">
        <f t="shared" ref="Y793:Z808" si="127">+Y792</f>
        <v>0</v>
      </c>
      <c r="Z793" s="13">
        <f t="shared" si="127"/>
        <v>0</v>
      </c>
      <c r="AA793">
        <f t="shared" ca="1" si="122"/>
        <v>1</v>
      </c>
      <c r="AB793">
        <f t="shared" ca="1" si="123"/>
        <v>0</v>
      </c>
      <c r="AC793" s="24">
        <f t="shared" ca="1" si="124"/>
        <v>1.7939037039266539E-2</v>
      </c>
      <c r="AD793" s="24">
        <f t="shared" ca="1" si="125"/>
        <v>0</v>
      </c>
    </row>
    <row r="794" spans="3:30" x14ac:dyDescent="0.25">
      <c r="C794" s="6">
        <v>787</v>
      </c>
      <c r="D794" s="35">
        <v>43125</v>
      </c>
      <c r="E794" s="37">
        <v>16.623000000000001</v>
      </c>
      <c r="F794" s="37">
        <v>54.541837424899541</v>
      </c>
      <c r="G794" s="37">
        <v>37.58</v>
      </c>
      <c r="H794" s="37">
        <v>2.344328174113715</v>
      </c>
      <c r="I794" s="37">
        <v>76.791469382883065</v>
      </c>
      <c r="J794" s="10">
        <v>1</v>
      </c>
      <c r="K794" s="38">
        <v>0</v>
      </c>
      <c r="L794" s="38">
        <v>0</v>
      </c>
      <c r="M794" s="38">
        <v>0</v>
      </c>
      <c r="N794" s="38">
        <v>0</v>
      </c>
      <c r="O794" s="38">
        <v>0</v>
      </c>
      <c r="P794" s="38">
        <v>0</v>
      </c>
      <c r="Q794" s="38">
        <v>0</v>
      </c>
      <c r="R794" s="38">
        <v>0</v>
      </c>
      <c r="S794" s="38">
        <v>0</v>
      </c>
      <c r="T794" s="38">
        <v>0</v>
      </c>
      <c r="U794" s="29" cm="1">
        <f t="array" aca="1" ref="U794" ca="1">+fair_value_gap(OFFSET(T793,0,0,-1*$J$5,-1*$AA$1),OFFSET(E793,0,0,-1*$J$5,1),F794:T794,0)</f>
        <v>17.07368240986635</v>
      </c>
      <c r="V794" s="9" cm="1">
        <f t="array" aca="1" ref="V794" ca="1">z_score_diff(OFFSET(U794,0,0,$J$5*-1,1),OFFSET(E794,0,0,$J$5*-1,1))</f>
        <v>0.46623223010951065</v>
      </c>
      <c r="W794" s="9">
        <f t="shared" ca="1" si="121"/>
        <v>-3.3929916462907155E-2</v>
      </c>
      <c r="X794" s="17">
        <f t="shared" ca="1" si="120"/>
        <v>1.6644679568968167E-2</v>
      </c>
      <c r="Y794" s="13">
        <f t="shared" si="127"/>
        <v>0</v>
      </c>
      <c r="Z794" s="13">
        <f t="shared" si="127"/>
        <v>0</v>
      </c>
      <c r="AA794">
        <f t="shared" ca="1" si="122"/>
        <v>1</v>
      </c>
      <c r="AB794">
        <f t="shared" ca="1" si="123"/>
        <v>0</v>
      </c>
      <c r="AC794" s="24">
        <f t="shared" ca="1" si="124"/>
        <v>1.6644679568968167E-2</v>
      </c>
      <c r="AD794" s="24">
        <f t="shared" ca="1" si="125"/>
        <v>0</v>
      </c>
    </row>
    <row r="795" spans="3:30" x14ac:dyDescent="0.25">
      <c r="C795" s="6">
        <v>788</v>
      </c>
      <c r="D795" s="35">
        <v>43126</v>
      </c>
      <c r="E795" s="37">
        <v>16.46</v>
      </c>
      <c r="F795" s="37">
        <v>54.648285669519048</v>
      </c>
      <c r="G795" s="37">
        <v>37.619999999999997</v>
      </c>
      <c r="H795" s="37">
        <v>2.3542268313458941</v>
      </c>
      <c r="I795" s="37">
        <v>76.512372018741559</v>
      </c>
      <c r="J795" s="10">
        <v>1</v>
      </c>
      <c r="K795" s="38">
        <v>0</v>
      </c>
      <c r="L795" s="38">
        <v>0</v>
      </c>
      <c r="M795" s="38">
        <v>0</v>
      </c>
      <c r="N795" s="38">
        <v>0</v>
      </c>
      <c r="O795" s="38">
        <v>0</v>
      </c>
      <c r="P795" s="38">
        <v>0</v>
      </c>
      <c r="Q795" s="38">
        <v>0</v>
      </c>
      <c r="R795" s="38">
        <v>0</v>
      </c>
      <c r="S795" s="38">
        <v>0</v>
      </c>
      <c r="T795" s="38">
        <v>0</v>
      </c>
      <c r="U795" s="29" cm="1">
        <f t="array" aca="1" ref="U795" ca="1">+fair_value_gap(OFFSET(T794,0,0,-1*$J$5,-1*$AA$1),OFFSET(E794,0,0,-1*$J$5,1),F795:T795,0)</f>
        <v>17.066651022436062</v>
      </c>
      <c r="V795" s="9" cm="1">
        <f t="array" aca="1" ref="V795" ca="1">z_score_diff(OFFSET(U795,0,0,$J$5*-1,1),OFFSET(E795,0,0,$J$5*-1,1))</f>
        <v>0.7514586732286741</v>
      </c>
      <c r="W795" s="9">
        <f t="shared" ca="1" si="121"/>
        <v>2.7247508099704672E-2</v>
      </c>
      <c r="X795" s="17">
        <f t="shared" ca="1" si="120"/>
        <v>3.069065093047051E-2</v>
      </c>
      <c r="Y795" s="13">
        <f t="shared" si="127"/>
        <v>0</v>
      </c>
      <c r="Z795" s="13">
        <f t="shared" si="127"/>
        <v>0</v>
      </c>
      <c r="AA795">
        <f t="shared" ca="1" si="122"/>
        <v>0</v>
      </c>
      <c r="AB795">
        <f t="shared" ca="1" si="123"/>
        <v>1</v>
      </c>
      <c r="AC795" s="24">
        <f t="shared" ca="1" si="124"/>
        <v>0</v>
      </c>
      <c r="AD795" s="24">
        <f t="shared" ca="1" si="125"/>
        <v>3.069065093047051E-2</v>
      </c>
    </row>
    <row r="796" spans="3:30" x14ac:dyDescent="0.25">
      <c r="C796" s="6">
        <v>789</v>
      </c>
      <c r="D796" s="35">
        <v>43129</v>
      </c>
      <c r="E796" s="37">
        <v>16.324000000000002</v>
      </c>
      <c r="F796" s="37">
        <v>54.251567710743409</v>
      </c>
      <c r="G796" s="37">
        <v>37.590000000000003</v>
      </c>
      <c r="H796" s="37">
        <v>2.3766973560338913</v>
      </c>
      <c r="I796" s="37">
        <v>75.433613633099839</v>
      </c>
      <c r="J796" s="10">
        <v>1</v>
      </c>
      <c r="K796" s="38">
        <v>0</v>
      </c>
      <c r="L796" s="38">
        <v>0</v>
      </c>
      <c r="M796" s="38">
        <v>0</v>
      </c>
      <c r="N796" s="38">
        <v>0</v>
      </c>
      <c r="O796" s="38">
        <v>0</v>
      </c>
      <c r="P796" s="38">
        <v>0</v>
      </c>
      <c r="Q796" s="38">
        <v>0</v>
      </c>
      <c r="R796" s="38">
        <v>0</v>
      </c>
      <c r="S796" s="38">
        <v>0</v>
      </c>
      <c r="T796" s="38">
        <v>0</v>
      </c>
      <c r="U796" s="29" cm="1">
        <f t="array" aca="1" ref="U796" ca="1">+fair_value_gap(OFFSET(T795,0,0,-1*$J$5,-1*$AA$1),OFFSET(E795,0,0,-1*$J$5,1),F796:T796,0)</f>
        <v>16.998318229211645</v>
      </c>
      <c r="V796" s="9" cm="1">
        <f t="array" aca="1" ref="V796" ca="1">z_score_diff(OFFSET(U796,0,0,$J$5*-1,1),OFFSET(E796,0,0,$J$5*-1,1))</f>
        <v>0.87568593744889678</v>
      </c>
      <c r="W796" s="9">
        <f t="shared" ca="1" si="121"/>
        <v>9.8708120734790392E-2</v>
      </c>
      <c r="X796" s="17">
        <f t="shared" ca="1" si="120"/>
        <v>2.3969190112996187E-2</v>
      </c>
      <c r="Y796" s="13">
        <f t="shared" si="127"/>
        <v>0</v>
      </c>
      <c r="Z796" s="13">
        <f t="shared" si="127"/>
        <v>0</v>
      </c>
      <c r="AA796">
        <f t="shared" ca="1" si="122"/>
        <v>0</v>
      </c>
      <c r="AB796">
        <f t="shared" ca="1" si="123"/>
        <v>1</v>
      </c>
      <c r="AC796" s="24">
        <f t="shared" ca="1" si="124"/>
        <v>0</v>
      </c>
      <c r="AD796" s="24">
        <f t="shared" ca="1" si="125"/>
        <v>2.3969190112996187E-2</v>
      </c>
    </row>
    <row r="797" spans="3:30" x14ac:dyDescent="0.25">
      <c r="C797" s="6">
        <v>790</v>
      </c>
      <c r="D797" s="35">
        <v>43130</v>
      </c>
      <c r="E797" s="37">
        <v>16.196000000000002</v>
      </c>
      <c r="F797" s="37">
        <v>53.517172814742004</v>
      </c>
      <c r="G797" s="37">
        <v>37.07</v>
      </c>
      <c r="H797" s="37">
        <v>2.3890741481305633</v>
      </c>
      <c r="I797" s="37">
        <v>74.324981000527359</v>
      </c>
      <c r="J797" s="10">
        <v>1</v>
      </c>
      <c r="K797" s="38">
        <v>0</v>
      </c>
      <c r="L797" s="38">
        <v>0</v>
      </c>
      <c r="M797" s="38">
        <v>0</v>
      </c>
      <c r="N797" s="38">
        <v>0</v>
      </c>
      <c r="O797" s="38">
        <v>0</v>
      </c>
      <c r="P797" s="38">
        <v>0</v>
      </c>
      <c r="Q797" s="38">
        <v>0</v>
      </c>
      <c r="R797" s="38">
        <v>0</v>
      </c>
      <c r="S797" s="38">
        <v>0</v>
      </c>
      <c r="T797" s="38">
        <v>0</v>
      </c>
      <c r="U797" s="29" cm="1">
        <f t="array" aca="1" ref="U797" ca="1">+fair_value_gap(OFFSET(T796,0,0,-1*$J$5,-1*$AA$1),OFFSET(E796,0,0,-1*$J$5,1),F797:T797,0)</f>
        <v>16.749850401723119</v>
      </c>
      <c r="V797" s="9" cm="1">
        <f t="array" aca="1" ref="V797" ca="1">z_score_diff(OFFSET(U797,0,0,$J$5*-1,1),OFFSET(E797,0,0,$J$5*-1,1))</f>
        <v>0.66000457015974012</v>
      </c>
      <c r="W797" s="9">
        <f t="shared" ca="1" si="121"/>
        <v>0.11431218876149067</v>
      </c>
      <c r="X797" s="17">
        <f t="shared" ca="1" si="120"/>
        <v>3.3633960101160737E-2</v>
      </c>
      <c r="Y797" s="13">
        <f t="shared" si="127"/>
        <v>0</v>
      </c>
      <c r="Z797" s="13">
        <f t="shared" si="127"/>
        <v>0</v>
      </c>
      <c r="AA797">
        <f t="shared" ca="1" si="122"/>
        <v>0</v>
      </c>
      <c r="AB797">
        <f t="shared" ca="1" si="123"/>
        <v>1</v>
      </c>
      <c r="AC797" s="24">
        <f t="shared" ca="1" si="124"/>
        <v>0</v>
      </c>
      <c r="AD797" s="24">
        <f t="shared" ca="1" si="125"/>
        <v>3.3633960101160737E-2</v>
      </c>
    </row>
    <row r="798" spans="3:30" x14ac:dyDescent="0.25">
      <c r="C798" s="6">
        <v>791</v>
      </c>
      <c r="D798" s="35">
        <v>43131</v>
      </c>
      <c r="E798" s="37">
        <v>16.629000000000001</v>
      </c>
      <c r="F798" s="37">
        <v>53.699284009546545</v>
      </c>
      <c r="G798" s="37">
        <v>36.36</v>
      </c>
      <c r="H798" s="37">
        <v>2.3245823389021485</v>
      </c>
      <c r="I798" s="37">
        <v>72.991249005568818</v>
      </c>
      <c r="J798" s="10">
        <v>1</v>
      </c>
      <c r="K798" s="38">
        <v>0</v>
      </c>
      <c r="L798" s="38">
        <v>0</v>
      </c>
      <c r="M798" s="38">
        <v>0</v>
      </c>
      <c r="N798" s="38">
        <v>0</v>
      </c>
      <c r="O798" s="38">
        <v>0</v>
      </c>
      <c r="P798" s="38">
        <v>0</v>
      </c>
      <c r="Q798" s="38">
        <v>0</v>
      </c>
      <c r="R798" s="38">
        <v>0</v>
      </c>
      <c r="S798" s="38">
        <v>0</v>
      </c>
      <c r="T798" s="38">
        <v>0</v>
      </c>
      <c r="U798" s="29" cm="1">
        <f t="array" aca="1" ref="U798" ca="1">+fair_value_gap(OFFSET(T797,0,0,-1*$J$5,-1*$AA$1),OFFSET(E797,0,0,-1*$J$5,1),F798:T798,0)</f>
        <v>16.443843728539555</v>
      </c>
      <c r="V798" s="9" cm="1">
        <f t="array" aca="1" ref="V798" ca="1">z_score_diff(OFFSET(U798,0,0,$J$5*-1,1),OFFSET(E798,0,0,$J$5*-1,1))</f>
        <v>-0.69335275161891319</v>
      </c>
      <c r="W798" s="9">
        <f t="shared" ca="1" si="121"/>
        <v>7.585409301298851E-2</v>
      </c>
      <c r="X798" s="17">
        <f t="shared" ca="1" si="120"/>
        <v>-3.0072474890591996E-4</v>
      </c>
      <c r="Y798" s="13">
        <f t="shared" si="127"/>
        <v>0</v>
      </c>
      <c r="Z798" s="13">
        <f t="shared" si="127"/>
        <v>0</v>
      </c>
      <c r="AA798">
        <f t="shared" ca="1" si="122"/>
        <v>0</v>
      </c>
      <c r="AB798">
        <f t="shared" ca="1" si="123"/>
        <v>1</v>
      </c>
      <c r="AC798" s="24">
        <f t="shared" ca="1" si="124"/>
        <v>0</v>
      </c>
      <c r="AD798" s="24">
        <f t="shared" ca="1" si="125"/>
        <v>-3.0072474890591996E-4</v>
      </c>
    </row>
    <row r="799" spans="3:30" x14ac:dyDescent="0.25">
      <c r="C799" s="6">
        <v>792</v>
      </c>
      <c r="D799" s="35">
        <v>43132</v>
      </c>
      <c r="E799" s="37">
        <v>16.576000000000001</v>
      </c>
      <c r="F799" s="37">
        <v>53.527412284162395</v>
      </c>
      <c r="G799" s="37">
        <v>36.29</v>
      </c>
      <c r="H799" s="37">
        <v>2.2668669736497429</v>
      </c>
      <c r="I799" s="37">
        <v>71.130545657683371</v>
      </c>
      <c r="J799" s="10">
        <v>0</v>
      </c>
      <c r="K799" s="38">
        <v>1</v>
      </c>
      <c r="L799" s="38">
        <v>0</v>
      </c>
      <c r="M799" s="38">
        <v>0</v>
      </c>
      <c r="N799" s="38">
        <v>0</v>
      </c>
      <c r="O799" s="38">
        <v>0</v>
      </c>
      <c r="P799" s="38">
        <v>0</v>
      </c>
      <c r="Q799" s="38">
        <v>0</v>
      </c>
      <c r="R799" s="38">
        <v>0</v>
      </c>
      <c r="S799" s="38">
        <v>0</v>
      </c>
      <c r="T799" s="38">
        <v>0</v>
      </c>
      <c r="U799" s="29" cm="1">
        <f t="array" aca="1" ref="U799" ca="1">+fair_value_gap(OFFSET(T798,0,0,-1*$J$5,-1*$AA$1),OFFSET(E798,0,0,-1*$J$5,1),F799:T799,0)</f>
        <v>17.255710132188849</v>
      </c>
      <c r="V799" s="9" cm="1">
        <f t="array" aca="1" ref="V799" ca="1">z_score_diff(OFFSET(U799,0,0,$J$5*-1,1),OFFSET(E799,0,0,$J$5*-1,1))</f>
        <v>0.86281064687592324</v>
      </c>
      <c r="W799" s="9">
        <f t="shared" ca="1" si="121"/>
        <v>0.1361000123674217</v>
      </c>
      <c r="X799" s="17">
        <f t="shared" ca="1" si="120"/>
        <v>3.8535693159899723E-3</v>
      </c>
      <c r="Y799" s="13">
        <f t="shared" si="127"/>
        <v>0</v>
      </c>
      <c r="Z799" s="13">
        <f t="shared" si="127"/>
        <v>0</v>
      </c>
      <c r="AA799">
        <f t="shared" ca="1" si="122"/>
        <v>0</v>
      </c>
      <c r="AB799">
        <f t="shared" ca="1" si="123"/>
        <v>1</v>
      </c>
      <c r="AC799" s="24">
        <f t="shared" ca="1" si="124"/>
        <v>0</v>
      </c>
      <c r="AD799" s="24">
        <f t="shared" ca="1" si="125"/>
        <v>3.8535693159899723E-3</v>
      </c>
    </row>
    <row r="800" spans="3:30" x14ac:dyDescent="0.25">
      <c r="C800" s="6">
        <v>793</v>
      </c>
      <c r="D800" s="35">
        <v>43133</v>
      </c>
      <c r="E800" s="37">
        <v>16.440999999999999</v>
      </c>
      <c r="F800" s="37">
        <v>52.890136076794512</v>
      </c>
      <c r="G800" s="37">
        <v>36.33</v>
      </c>
      <c r="H800" s="37">
        <v>2.2752109780712773</v>
      </c>
      <c r="I800" s="37">
        <v>71.521348230906582</v>
      </c>
      <c r="J800" s="10">
        <v>0</v>
      </c>
      <c r="K800" s="38">
        <v>1</v>
      </c>
      <c r="L800" s="38">
        <v>0</v>
      </c>
      <c r="M800" s="38">
        <v>0</v>
      </c>
      <c r="N800" s="38">
        <v>0</v>
      </c>
      <c r="O800" s="38">
        <v>0</v>
      </c>
      <c r="P800" s="38">
        <v>0</v>
      </c>
      <c r="Q800" s="38">
        <v>0</v>
      </c>
      <c r="R800" s="38">
        <v>0</v>
      </c>
      <c r="S800" s="38">
        <v>0</v>
      </c>
      <c r="T800" s="38">
        <v>0</v>
      </c>
      <c r="U800" s="29" cm="1">
        <f t="array" aca="1" ref="U800" ca="1">+fair_value_gap(OFFSET(T799,0,0,-1*$J$5,-1*$AA$1),OFFSET(E799,0,0,-1*$J$5,1),F800:T800,0)</f>
        <v>17.042151182199454</v>
      </c>
      <c r="V800" s="9" cm="1">
        <f t="array" aca="1" ref="V800" ca="1">z_score_diff(OFFSET(U800,0,0,$J$5*-1,1),OFFSET(E800,0,0,$J$5*-1,1))</f>
        <v>0.72733690160387221</v>
      </c>
      <c r="W800" s="9">
        <f t="shared" ca="1" si="121"/>
        <v>0.18413105243648892</v>
      </c>
      <c r="X800" s="17">
        <f t="shared" ca="1" si="120"/>
        <v>2.6706661218568288E-2</v>
      </c>
      <c r="Y800" s="13">
        <f t="shared" si="127"/>
        <v>0</v>
      </c>
      <c r="Z800" s="13">
        <f t="shared" si="127"/>
        <v>0</v>
      </c>
      <c r="AA800">
        <f t="shared" ca="1" si="122"/>
        <v>0</v>
      </c>
      <c r="AB800">
        <f t="shared" ca="1" si="123"/>
        <v>1</v>
      </c>
      <c r="AC800" s="24">
        <f t="shared" ca="1" si="124"/>
        <v>0</v>
      </c>
      <c r="AD800" s="24">
        <f t="shared" ca="1" si="125"/>
        <v>2.6706661218568288E-2</v>
      </c>
    </row>
    <row r="801" spans="3:30" x14ac:dyDescent="0.25">
      <c r="C801" s="6">
        <v>794</v>
      </c>
      <c r="D801" s="35">
        <v>43136</v>
      </c>
      <c r="E801" s="37">
        <v>16.148</v>
      </c>
      <c r="F801" s="37">
        <v>52.468331272703793</v>
      </c>
      <c r="G801" s="37">
        <v>36.06</v>
      </c>
      <c r="H801" s="37">
        <v>2.2439737546742813</v>
      </c>
      <c r="I801" s="37">
        <v>71.663673373079178</v>
      </c>
      <c r="J801" s="10">
        <v>0</v>
      </c>
      <c r="K801" s="38">
        <v>1</v>
      </c>
      <c r="L801" s="38">
        <v>0</v>
      </c>
      <c r="M801" s="38">
        <v>0</v>
      </c>
      <c r="N801" s="38">
        <v>0</v>
      </c>
      <c r="O801" s="38">
        <v>0</v>
      </c>
      <c r="P801" s="38">
        <v>0</v>
      </c>
      <c r="Q801" s="38">
        <v>0</v>
      </c>
      <c r="R801" s="38">
        <v>0</v>
      </c>
      <c r="S801" s="38">
        <v>0</v>
      </c>
      <c r="T801" s="38">
        <v>0</v>
      </c>
      <c r="U801" s="29" cm="1">
        <f t="array" aca="1" ref="U801" ca="1">+fair_value_gap(OFFSET(T800,0,0,-1*$J$5,-1*$AA$1),OFFSET(E800,0,0,-1*$J$5,1),F801:T801,0)</f>
        <v>16.788276628145152</v>
      </c>
      <c r="V801" s="9" cm="1">
        <f t="array" aca="1" ref="V801" ca="1">z_score_diff(OFFSET(U801,0,0,$J$5*-1,1),OFFSET(E801,0,0,$J$5*-1,1))</f>
        <v>0.81132708151069233</v>
      </c>
      <c r="W801" s="9">
        <f t="shared" ca="1" si="121"/>
        <v>0.23789116125705548</v>
      </c>
      <c r="X801" s="17">
        <f t="shared" ca="1" si="120"/>
        <v>4.8117585868356273E-2</v>
      </c>
      <c r="Y801" s="13">
        <f t="shared" si="127"/>
        <v>0</v>
      </c>
      <c r="Z801" s="13">
        <f t="shared" si="127"/>
        <v>0</v>
      </c>
      <c r="AA801">
        <f t="shared" ca="1" si="122"/>
        <v>0</v>
      </c>
      <c r="AB801">
        <f t="shared" ca="1" si="123"/>
        <v>1</v>
      </c>
      <c r="AC801" s="24">
        <f t="shared" ca="1" si="124"/>
        <v>0</v>
      </c>
      <c r="AD801" s="24">
        <f t="shared" ca="1" si="125"/>
        <v>4.8117585868356273E-2</v>
      </c>
    </row>
    <row r="802" spans="3:30" x14ac:dyDescent="0.25">
      <c r="C802" s="6">
        <v>795</v>
      </c>
      <c r="D802" s="35">
        <v>43137</v>
      </c>
      <c r="E802" s="37">
        <v>16.295999999999999</v>
      </c>
      <c r="F802" s="37">
        <v>51.865233377591672</v>
      </c>
      <c r="G802" s="37">
        <v>35.93</v>
      </c>
      <c r="H802" s="37">
        <v>2.2453656419160457</v>
      </c>
      <c r="I802" s="37">
        <v>69.858479726279242</v>
      </c>
      <c r="J802" s="10">
        <v>0</v>
      </c>
      <c r="K802" s="38">
        <v>1</v>
      </c>
      <c r="L802" s="38">
        <v>0</v>
      </c>
      <c r="M802" s="38">
        <v>0</v>
      </c>
      <c r="N802" s="38">
        <v>0</v>
      </c>
      <c r="O802" s="38">
        <v>0</v>
      </c>
      <c r="P802" s="38">
        <v>0</v>
      </c>
      <c r="Q802" s="38">
        <v>0</v>
      </c>
      <c r="R802" s="38">
        <v>0</v>
      </c>
      <c r="S802" s="38">
        <v>0</v>
      </c>
      <c r="T802" s="38">
        <v>0</v>
      </c>
      <c r="U802" s="29" cm="1">
        <f t="array" aca="1" ref="U802" ca="1">+fair_value_gap(OFFSET(T801,0,0,-1*$J$5,-1*$AA$1),OFFSET(E801,0,0,-1*$J$5,1),F802:T802,0)</f>
        <v>16.548090508067411</v>
      </c>
      <c r="V802" s="9" cm="1">
        <f t="array" aca="1" ref="V802" ca="1">z_score_diff(OFFSET(U802,0,0,$J$5*-1,1),OFFSET(E802,0,0,$J$5*-1,1))</f>
        <v>9.9607150532617705E-2</v>
      </c>
      <c r="W802" s="9">
        <f t="shared" ca="1" si="121"/>
        <v>0.25827976248826101</v>
      </c>
      <c r="X802" s="17">
        <f t="shared" ca="1" si="120"/>
        <v>4.7515302740267155E-2</v>
      </c>
      <c r="Y802" s="13">
        <f t="shared" si="127"/>
        <v>0</v>
      </c>
      <c r="Z802" s="13">
        <f t="shared" si="127"/>
        <v>0</v>
      </c>
      <c r="AA802">
        <f t="shared" ca="1" si="122"/>
        <v>0</v>
      </c>
      <c r="AB802">
        <f t="shared" ca="1" si="123"/>
        <v>1</v>
      </c>
      <c r="AC802" s="24">
        <f t="shared" ca="1" si="124"/>
        <v>0</v>
      </c>
      <c r="AD802" s="24">
        <f t="shared" ca="1" si="125"/>
        <v>4.7515302740267155E-2</v>
      </c>
    </row>
    <row r="803" spans="3:30" x14ac:dyDescent="0.25">
      <c r="C803" s="6">
        <v>796</v>
      </c>
      <c r="D803" s="35">
        <v>43138</v>
      </c>
      <c r="E803" s="37">
        <v>16.457000000000001</v>
      </c>
      <c r="F803" s="37">
        <v>51.287705275559752</v>
      </c>
      <c r="G803" s="37">
        <v>36.31</v>
      </c>
      <c r="H803" s="37">
        <v>2.2461005087727486</v>
      </c>
      <c r="I803" s="37">
        <v>70.296266370942163</v>
      </c>
      <c r="J803" s="10">
        <v>0</v>
      </c>
      <c r="K803" s="38">
        <v>1</v>
      </c>
      <c r="L803" s="38">
        <v>0</v>
      </c>
      <c r="M803" s="38">
        <v>0</v>
      </c>
      <c r="N803" s="38">
        <v>0</v>
      </c>
      <c r="O803" s="38">
        <v>0</v>
      </c>
      <c r="P803" s="38">
        <v>0</v>
      </c>
      <c r="Q803" s="38">
        <v>0</v>
      </c>
      <c r="R803" s="38">
        <v>0</v>
      </c>
      <c r="S803" s="38">
        <v>0</v>
      </c>
      <c r="T803" s="38">
        <v>0</v>
      </c>
      <c r="U803" s="29" cm="1">
        <f t="array" aca="1" ref="U803" ca="1">+fair_value_gap(OFFSET(T802,0,0,-1*$J$5,-1*$AA$1),OFFSET(E802,0,0,-1*$J$5,1),F803:T803,0)</f>
        <v>16.590502831657076</v>
      </c>
      <c r="V803" s="9" cm="1">
        <f t="array" aca="1" ref="V803" ca="1">z_score_diff(OFFSET(U803,0,0,$J$5*-1,1),OFFSET(E803,0,0,$J$5*-1,1))</f>
        <v>-0.12443347788343573</v>
      </c>
      <c r="W803" s="9">
        <f t="shared" ca="1" si="121"/>
        <v>0.28404029137223119</v>
      </c>
      <c r="X803" s="17">
        <f t="shared" ca="1" si="120"/>
        <v>3.9438039179395465E-2</v>
      </c>
      <c r="Y803" s="13">
        <f t="shared" si="127"/>
        <v>0</v>
      </c>
      <c r="Z803" s="13">
        <f t="shared" si="127"/>
        <v>0</v>
      </c>
      <c r="AA803">
        <f t="shared" ca="1" si="122"/>
        <v>0</v>
      </c>
      <c r="AB803">
        <f t="shared" ca="1" si="123"/>
        <v>1</v>
      </c>
      <c r="AC803" s="24">
        <f t="shared" ca="1" si="124"/>
        <v>0</v>
      </c>
      <c r="AD803" s="24">
        <f t="shared" ca="1" si="125"/>
        <v>3.9438039179395465E-2</v>
      </c>
    </row>
    <row r="804" spans="3:30" x14ac:dyDescent="0.25">
      <c r="C804" s="6">
        <v>797</v>
      </c>
      <c r="D804" s="35">
        <v>43139</v>
      </c>
      <c r="E804" s="37">
        <v>16.271000000000001</v>
      </c>
      <c r="F804" s="37">
        <v>50.948038323117657</v>
      </c>
      <c r="G804" s="37">
        <v>35.93</v>
      </c>
      <c r="H804" s="37">
        <v>2.2482293581014878</v>
      </c>
      <c r="I804" s="37">
        <v>68.94677550849255</v>
      </c>
      <c r="J804" s="10">
        <v>0</v>
      </c>
      <c r="K804" s="38">
        <v>1</v>
      </c>
      <c r="L804" s="38">
        <v>0</v>
      </c>
      <c r="M804" s="38">
        <v>0</v>
      </c>
      <c r="N804" s="38">
        <v>0</v>
      </c>
      <c r="O804" s="38">
        <v>0</v>
      </c>
      <c r="P804" s="38">
        <v>0</v>
      </c>
      <c r="Q804" s="38">
        <v>0</v>
      </c>
      <c r="R804" s="38">
        <v>0</v>
      </c>
      <c r="S804" s="38">
        <v>0</v>
      </c>
      <c r="T804" s="38">
        <v>0</v>
      </c>
      <c r="U804" s="29" cm="1">
        <f t="array" aca="1" ref="U804" ca="1">+fair_value_gap(OFFSET(T803,0,0,-1*$J$5,-1*$AA$1),OFFSET(E803,0,0,-1*$J$5,1),F804:T804,0)</f>
        <v>16.411975710312539</v>
      </c>
      <c r="V804" s="9" cm="1">
        <f t="array" aca="1" ref="V804" ca="1">z_score_diff(OFFSET(U804,0,0,$J$5*-1,1),OFFSET(E804,0,0,$J$5*-1,1))</f>
        <v>-9.6676264488198216E-2</v>
      </c>
      <c r="W804" s="9">
        <f t="shared" ca="1" si="121"/>
        <v>0.28784445497988709</v>
      </c>
      <c r="X804" s="17">
        <f t="shared" ca="1" si="120"/>
        <v>6.9095297970432512E-2</v>
      </c>
      <c r="Y804" s="13">
        <f t="shared" si="127"/>
        <v>0</v>
      </c>
      <c r="Z804" s="13">
        <f t="shared" si="127"/>
        <v>0</v>
      </c>
      <c r="AA804">
        <f t="shared" ca="1" si="122"/>
        <v>0</v>
      </c>
      <c r="AB804">
        <f t="shared" ca="1" si="123"/>
        <v>1</v>
      </c>
      <c r="AC804" s="24">
        <f t="shared" ca="1" si="124"/>
        <v>0</v>
      </c>
      <c r="AD804" s="24">
        <f t="shared" ca="1" si="125"/>
        <v>6.9095297970432512E-2</v>
      </c>
    </row>
    <row r="805" spans="3:30" x14ac:dyDescent="0.25">
      <c r="C805" s="6">
        <v>798</v>
      </c>
      <c r="D805" s="35">
        <v>43140</v>
      </c>
      <c r="E805" s="37">
        <v>16.201000000000001</v>
      </c>
      <c r="F805" s="37">
        <v>49.357099177274115</v>
      </c>
      <c r="G805" s="37">
        <v>35.79</v>
      </c>
      <c r="H805" s="37">
        <v>2.1919457088044094</v>
      </c>
      <c r="I805" s="37">
        <v>68.614274027903946</v>
      </c>
      <c r="J805" s="10">
        <v>0</v>
      </c>
      <c r="K805" s="38">
        <v>1</v>
      </c>
      <c r="L805" s="38">
        <v>0</v>
      </c>
      <c r="M805" s="38">
        <v>0</v>
      </c>
      <c r="N805" s="38">
        <v>0</v>
      </c>
      <c r="O805" s="38">
        <v>0</v>
      </c>
      <c r="P805" s="38">
        <v>0</v>
      </c>
      <c r="Q805" s="38">
        <v>0</v>
      </c>
      <c r="R805" s="38">
        <v>0</v>
      </c>
      <c r="S805" s="38">
        <v>0</v>
      </c>
      <c r="T805" s="38">
        <v>0</v>
      </c>
      <c r="U805" s="29" cm="1">
        <f t="array" aca="1" ref="U805" ca="1">+fair_value_gap(OFFSET(T804,0,0,-1*$J$5,-1*$AA$1),OFFSET(E804,0,0,-1*$J$5,1),F805:T805,0)</f>
        <v>16.211108938127264</v>
      </c>
      <c r="V805" s="9" cm="1">
        <f t="array" aca="1" ref="V805" ca="1">z_score_diff(OFFSET(U805,0,0,$J$5*-1,1),OFFSET(E805,0,0,$J$5*-1,1))</f>
        <v>-0.3210021539739123</v>
      </c>
      <c r="W805" s="9">
        <f t="shared" ca="1" si="121"/>
        <v>0.29553874540872843</v>
      </c>
      <c r="X805" s="17">
        <f t="shared" ca="1" si="120"/>
        <v>8.7926539443412832E-2</v>
      </c>
      <c r="Y805" s="13">
        <f t="shared" si="127"/>
        <v>0</v>
      </c>
      <c r="Z805" s="13">
        <f t="shared" si="127"/>
        <v>0</v>
      </c>
      <c r="AA805">
        <f t="shared" ca="1" si="122"/>
        <v>0</v>
      </c>
      <c r="AB805">
        <f t="shared" ca="1" si="123"/>
        <v>1</v>
      </c>
      <c r="AC805" s="24">
        <f t="shared" ca="1" si="124"/>
        <v>0</v>
      </c>
      <c r="AD805" s="24">
        <f t="shared" ca="1" si="125"/>
        <v>8.7926539443412832E-2</v>
      </c>
    </row>
    <row r="806" spans="3:30" x14ac:dyDescent="0.25">
      <c r="C806" s="6">
        <v>799</v>
      </c>
      <c r="D806" s="35">
        <v>43143</v>
      </c>
      <c r="E806" s="37">
        <v>16.253</v>
      </c>
      <c r="F806" s="37">
        <v>49.053492391891645</v>
      </c>
      <c r="G806" s="37">
        <v>35.78</v>
      </c>
      <c r="H806" s="37">
        <v>2.1716808006557593</v>
      </c>
      <c r="I806" s="37">
        <v>69.244905381352766</v>
      </c>
      <c r="J806" s="10">
        <v>0</v>
      </c>
      <c r="K806" s="38">
        <v>1</v>
      </c>
      <c r="L806" s="38">
        <v>0</v>
      </c>
      <c r="M806" s="38">
        <v>0</v>
      </c>
      <c r="N806" s="38">
        <v>0</v>
      </c>
      <c r="O806" s="38">
        <v>0</v>
      </c>
      <c r="P806" s="38">
        <v>0</v>
      </c>
      <c r="Q806" s="38">
        <v>0</v>
      </c>
      <c r="R806" s="38">
        <v>0</v>
      </c>
      <c r="S806" s="38">
        <v>0</v>
      </c>
      <c r="T806" s="38">
        <v>0</v>
      </c>
      <c r="U806" s="29" cm="1">
        <f t="array" aca="1" ref="U806" ca="1">+fair_value_gap(OFFSET(T805,0,0,-1*$J$5,-1*$AA$1),OFFSET(E805,0,0,-1*$J$5,1),F806:T806,0)</f>
        <v>16.196268374109899</v>
      </c>
      <c r="V806" s="9" cm="1">
        <f t="array" aca="1" ref="V806" ca="1">z_score_diff(OFFSET(U806,0,0,$J$5*-1,1),OFFSET(E806,0,0,$J$5*-1,1))</f>
        <v>-0.43779384006025501</v>
      </c>
      <c r="W806" s="9">
        <f t="shared" ca="1" si="121"/>
        <v>0.27824035619036874</v>
      </c>
      <c r="X806" s="17">
        <f t="shared" ca="1" si="120"/>
        <v>9.7807297128421275E-2</v>
      </c>
      <c r="Y806" s="13">
        <f t="shared" si="127"/>
        <v>0</v>
      </c>
      <c r="Z806" s="13">
        <f t="shared" si="127"/>
        <v>0</v>
      </c>
      <c r="AA806">
        <f t="shared" ca="1" si="122"/>
        <v>0</v>
      </c>
      <c r="AB806">
        <f t="shared" ca="1" si="123"/>
        <v>1</v>
      </c>
      <c r="AC806" s="24">
        <f t="shared" ca="1" si="124"/>
        <v>0</v>
      </c>
      <c r="AD806" s="24">
        <f t="shared" ca="1" si="125"/>
        <v>9.7807297128421275E-2</v>
      </c>
    </row>
    <row r="807" spans="3:30" x14ac:dyDescent="0.25">
      <c r="C807" s="6">
        <v>800</v>
      </c>
      <c r="D807" s="35">
        <v>43144</v>
      </c>
      <c r="E807" s="37">
        <v>16.364999999999998</v>
      </c>
      <c r="F807" s="37">
        <v>48.932981388690052</v>
      </c>
      <c r="G807" s="37">
        <v>36.31</v>
      </c>
      <c r="H807" s="37">
        <v>2.1929964720319055</v>
      </c>
      <c r="I807" s="37">
        <v>70.103985581347786</v>
      </c>
      <c r="J807" s="10">
        <v>0</v>
      </c>
      <c r="K807" s="38">
        <v>1</v>
      </c>
      <c r="L807" s="38">
        <v>0</v>
      </c>
      <c r="M807" s="38">
        <v>0</v>
      </c>
      <c r="N807" s="38">
        <v>0</v>
      </c>
      <c r="O807" s="38">
        <v>0</v>
      </c>
      <c r="P807" s="38">
        <v>0</v>
      </c>
      <c r="Q807" s="38">
        <v>0</v>
      </c>
      <c r="R807" s="38">
        <v>0</v>
      </c>
      <c r="S807" s="38">
        <v>0</v>
      </c>
      <c r="T807" s="38">
        <v>0</v>
      </c>
      <c r="U807" s="29" cm="1">
        <f t="array" aca="1" ref="U807" ca="1">+fair_value_gap(OFFSET(T806,0,0,-1*$J$5,-1*$AA$1),OFFSET(E806,0,0,-1*$J$5,1),F807:T807,0)</f>
        <v>16.378818266235264</v>
      </c>
      <c r="V807" s="9" cm="1">
        <f t="array" aca="1" ref="V807" ca="1">z_score_diff(OFFSET(U807,0,0,$J$5*-1,1),OFFSET(E807,0,0,$J$5*-1,1))</f>
        <v>-0.31835176405706311</v>
      </c>
      <c r="W807" s="9">
        <f t="shared" ca="1" si="121"/>
        <v>0.25557536455064511</v>
      </c>
      <c r="X807" s="17">
        <f t="shared" ca="1" si="120"/>
        <v>8.4109727542152068E-2</v>
      </c>
      <c r="Y807" s="13">
        <f t="shared" si="127"/>
        <v>0</v>
      </c>
      <c r="Z807" s="13">
        <f t="shared" si="127"/>
        <v>0</v>
      </c>
      <c r="AA807">
        <f t="shared" ca="1" si="122"/>
        <v>0</v>
      </c>
      <c r="AB807">
        <f t="shared" ca="1" si="123"/>
        <v>1</v>
      </c>
      <c r="AC807" s="24">
        <f t="shared" ca="1" si="124"/>
        <v>0</v>
      </c>
      <c r="AD807" s="24">
        <f t="shared" ca="1" si="125"/>
        <v>8.4109727542152068E-2</v>
      </c>
    </row>
    <row r="808" spans="3:30" x14ac:dyDescent="0.25">
      <c r="C808" s="6">
        <v>801</v>
      </c>
      <c r="D808" s="35">
        <v>43145</v>
      </c>
      <c r="E808" s="37">
        <v>16.399999999999999</v>
      </c>
      <c r="F808" s="37">
        <v>49.617885251511346</v>
      </c>
      <c r="G808" s="37">
        <v>36.450000000000003</v>
      </c>
      <c r="H808" s="37">
        <v>2.1751390948379656</v>
      </c>
      <c r="I808" s="37">
        <v>70.379136407994622</v>
      </c>
      <c r="J808" s="10">
        <v>0</v>
      </c>
      <c r="K808" s="38">
        <v>1</v>
      </c>
      <c r="L808" s="38">
        <v>0</v>
      </c>
      <c r="M808" s="38">
        <v>0</v>
      </c>
      <c r="N808" s="38">
        <v>0</v>
      </c>
      <c r="O808" s="38">
        <v>0</v>
      </c>
      <c r="P808" s="38">
        <v>0</v>
      </c>
      <c r="Q808" s="38">
        <v>0</v>
      </c>
      <c r="R808" s="38">
        <v>0</v>
      </c>
      <c r="S808" s="38">
        <v>0</v>
      </c>
      <c r="T808" s="38">
        <v>0</v>
      </c>
      <c r="U808" s="29" cm="1">
        <f t="array" aca="1" ref="U808" ca="1">+fair_value_gap(OFFSET(T807,0,0,-1*$J$5,-1*$AA$1),OFFSET(E807,0,0,-1*$J$5,1),F808:T808,0)</f>
        <v>16.432385397553873</v>
      </c>
      <c r="V808" s="9" cm="1">
        <f t="array" aca="1" ref="V808" ca="1">z_score_diff(OFFSET(U808,0,0,$J$5*-1,1),OFFSET(E808,0,0,$J$5*-1,1))</f>
        <v>-0.28646500753831994</v>
      </c>
      <c r="W808" s="9">
        <f t="shared" ca="1" si="121"/>
        <v>0.2221251416389598</v>
      </c>
      <c r="X808" s="17">
        <f t="shared" ca="1" si="120"/>
        <v>6.0739392848352509E-2</v>
      </c>
      <c r="Y808" s="13">
        <f t="shared" si="127"/>
        <v>0</v>
      </c>
      <c r="Z808" s="13">
        <f t="shared" si="127"/>
        <v>0</v>
      </c>
      <c r="AA808">
        <f t="shared" ca="1" si="122"/>
        <v>0</v>
      </c>
      <c r="AB808">
        <f t="shared" ca="1" si="123"/>
        <v>1</v>
      </c>
      <c r="AC808" s="24">
        <f t="shared" ca="1" si="124"/>
        <v>0</v>
      </c>
      <c r="AD808" s="24">
        <f t="shared" ca="1" si="125"/>
        <v>6.0739392848352509E-2</v>
      </c>
    </row>
    <row r="809" spans="3:30" x14ac:dyDescent="0.25">
      <c r="C809" s="6">
        <v>802</v>
      </c>
      <c r="D809" s="35">
        <v>43146</v>
      </c>
      <c r="E809" s="37">
        <v>16.260999999999999</v>
      </c>
      <c r="F809" s="37">
        <v>49.438546434100751</v>
      </c>
      <c r="G809" s="37">
        <v>36.42</v>
      </c>
      <c r="H809" s="37">
        <v>2.164021970231079</v>
      </c>
      <c r="I809" s="37">
        <v>69.673454532248343</v>
      </c>
      <c r="J809" s="10">
        <v>0</v>
      </c>
      <c r="K809" s="38">
        <v>1</v>
      </c>
      <c r="L809" s="38">
        <v>0</v>
      </c>
      <c r="M809" s="38">
        <v>0</v>
      </c>
      <c r="N809" s="38">
        <v>0</v>
      </c>
      <c r="O809" s="38">
        <v>0</v>
      </c>
      <c r="P809" s="38">
        <v>0</v>
      </c>
      <c r="Q809" s="38">
        <v>0</v>
      </c>
      <c r="R809" s="38">
        <v>0</v>
      </c>
      <c r="S809" s="38">
        <v>0</v>
      </c>
      <c r="T809" s="38">
        <v>0</v>
      </c>
      <c r="U809" s="29" cm="1">
        <f t="array" aca="1" ref="U809" ca="1">+fair_value_gap(OFFSET(T808,0,0,-1*$J$5,-1*$AA$1),OFFSET(E808,0,0,-1*$J$5,1),F809:T809,0)</f>
        <v>16.365591652206824</v>
      </c>
      <c r="V809" s="9" cm="1">
        <f t="array" aca="1" ref="V809" ca="1">z_score_diff(OFFSET(U809,0,0,$J$5*-1,1),OFFSET(E809,0,0,$J$5*-1,1))</f>
        <v>-0.14386046104304384</v>
      </c>
      <c r="W809" s="9">
        <f t="shared" ca="1" si="121"/>
        <v>0.20222906774348753</v>
      </c>
      <c r="X809" s="17">
        <f t="shared" ca="1" si="120"/>
        <v>8.4399478287280588E-2</v>
      </c>
      <c r="Y809" s="13">
        <f t="shared" ref="Y809:Z824" si="128">+Y808</f>
        <v>0</v>
      </c>
      <c r="Z809" s="13">
        <f t="shared" si="128"/>
        <v>0</v>
      </c>
      <c r="AA809">
        <f t="shared" ca="1" si="122"/>
        <v>0</v>
      </c>
      <c r="AB809">
        <f t="shared" ca="1" si="123"/>
        <v>1</v>
      </c>
      <c r="AC809" s="24">
        <f t="shared" ca="1" si="124"/>
        <v>0</v>
      </c>
      <c r="AD809" s="24">
        <f t="shared" ca="1" si="125"/>
        <v>8.4399478287280588E-2</v>
      </c>
    </row>
    <row r="810" spans="3:30" x14ac:dyDescent="0.25">
      <c r="C810" s="6">
        <v>803</v>
      </c>
      <c r="D810" s="35">
        <v>43147</v>
      </c>
      <c r="E810" s="37">
        <v>16.443000000000001</v>
      </c>
      <c r="F810" s="37">
        <v>50.268328486579598</v>
      </c>
      <c r="G810" s="37">
        <v>36.6</v>
      </c>
      <c r="H810" s="37">
        <v>2.1681100842977115</v>
      </c>
      <c r="I810" s="37">
        <v>71.726651045665577</v>
      </c>
      <c r="J810" s="10">
        <v>0</v>
      </c>
      <c r="K810" s="38">
        <v>1</v>
      </c>
      <c r="L810" s="38">
        <v>0</v>
      </c>
      <c r="M810" s="38">
        <v>0</v>
      </c>
      <c r="N810" s="38">
        <v>0</v>
      </c>
      <c r="O810" s="38">
        <v>0</v>
      </c>
      <c r="P810" s="38">
        <v>0</v>
      </c>
      <c r="Q810" s="38">
        <v>0</v>
      </c>
      <c r="R810" s="38">
        <v>0</v>
      </c>
      <c r="S810" s="38">
        <v>0</v>
      </c>
      <c r="T810" s="38">
        <v>0</v>
      </c>
      <c r="U810" s="29" cm="1">
        <f t="array" aca="1" ref="U810" ca="1">+fair_value_gap(OFFSET(T809,0,0,-1*$J$5,-1*$AA$1),OFFSET(E809,0,0,-1*$J$5,1),F810:T810,0)</f>
        <v>16.499359635227702</v>
      </c>
      <c r="V810" s="9" cm="1">
        <f t="array" aca="1" ref="V810" ca="1">z_score_diff(OFFSET(U810,0,0,$J$5*-1,1),OFFSET(E810,0,0,$J$5*-1,1))</f>
        <v>-0.24493078146703529</v>
      </c>
      <c r="W810" s="9">
        <f t="shared" ca="1" si="121"/>
        <v>0.17743986248674845</v>
      </c>
      <c r="X810" s="17">
        <f t="shared" ca="1" si="120"/>
        <v>6.8794185651178577E-2</v>
      </c>
      <c r="Y810" s="13">
        <f t="shared" si="128"/>
        <v>0</v>
      </c>
      <c r="Z810" s="13">
        <f t="shared" si="128"/>
        <v>0</v>
      </c>
      <c r="AA810">
        <f t="shared" ca="1" si="122"/>
        <v>0</v>
      </c>
      <c r="AB810">
        <f t="shared" ca="1" si="123"/>
        <v>1</v>
      </c>
      <c r="AC810" s="24">
        <f t="shared" ca="1" si="124"/>
        <v>0</v>
      </c>
      <c r="AD810" s="24">
        <f t="shared" ca="1" si="125"/>
        <v>6.8794185651178577E-2</v>
      </c>
    </row>
    <row r="811" spans="3:30" x14ac:dyDescent="0.25">
      <c r="C811" s="6">
        <v>804</v>
      </c>
      <c r="D811" s="35">
        <v>43150</v>
      </c>
      <c r="E811" s="37">
        <v>16.835999999999999</v>
      </c>
      <c r="F811" s="37">
        <v>50.93335390925224</v>
      </c>
      <c r="G811" s="37">
        <v>37.409999999999997</v>
      </c>
      <c r="H811" s="37">
        <v>2.1676306325583687</v>
      </c>
      <c r="I811" s="37">
        <v>73.460803272207471</v>
      </c>
      <c r="J811" s="10">
        <v>0</v>
      </c>
      <c r="K811" s="38">
        <v>1</v>
      </c>
      <c r="L811" s="38">
        <v>0</v>
      </c>
      <c r="M811" s="38">
        <v>0</v>
      </c>
      <c r="N811" s="38">
        <v>0</v>
      </c>
      <c r="O811" s="38">
        <v>0</v>
      </c>
      <c r="P811" s="38">
        <v>0</v>
      </c>
      <c r="Q811" s="38">
        <v>0</v>
      </c>
      <c r="R811" s="38">
        <v>0</v>
      </c>
      <c r="S811" s="38">
        <v>0</v>
      </c>
      <c r="T811" s="38">
        <v>0</v>
      </c>
      <c r="U811" s="29" cm="1">
        <f t="array" aca="1" ref="U811" ca="1">+fair_value_gap(OFFSET(T810,0,0,-1*$J$5,-1*$AA$1),OFFSET(E810,0,0,-1*$J$5,1),F811:T811,0)</f>
        <v>16.805086384077605</v>
      </c>
      <c r="V811" s="9" cm="1">
        <f t="array" aca="1" ref="V811" ca="1">z_score_diff(OFFSET(U811,0,0,$J$5*-1,1),OFFSET(E811,0,0,$J$5*-1,1))</f>
        <v>-0.43458764141378858</v>
      </c>
      <c r="W811" s="9">
        <f t="shared" ca="1" si="121"/>
        <v>0.14923305453633792</v>
      </c>
      <c r="X811" s="17">
        <f t="shared" ca="1" si="120"/>
        <v>4.9253915245219312E-2</v>
      </c>
      <c r="Y811" s="13">
        <f t="shared" si="128"/>
        <v>0</v>
      </c>
      <c r="Z811" s="13">
        <f t="shared" si="128"/>
        <v>0</v>
      </c>
      <c r="AA811">
        <f t="shared" ca="1" si="122"/>
        <v>0</v>
      </c>
      <c r="AB811">
        <f t="shared" ca="1" si="123"/>
        <v>1</v>
      </c>
      <c r="AC811" s="24">
        <f t="shared" ca="1" si="124"/>
        <v>0</v>
      </c>
      <c r="AD811" s="24">
        <f t="shared" ca="1" si="125"/>
        <v>4.9253915245219312E-2</v>
      </c>
    </row>
    <row r="812" spans="3:30" x14ac:dyDescent="0.25">
      <c r="C812" s="6">
        <v>805</v>
      </c>
      <c r="D812" s="35">
        <v>43151</v>
      </c>
      <c r="E812" s="37">
        <v>17.013999999999999</v>
      </c>
      <c r="F812" s="37">
        <v>51.083790695646677</v>
      </c>
      <c r="G812" s="37">
        <v>37.450000000000003</v>
      </c>
      <c r="H812" s="37">
        <v>2.2150174825594373</v>
      </c>
      <c r="I812" s="37">
        <v>74.51386005793124</v>
      </c>
      <c r="J812" s="10">
        <v>0</v>
      </c>
      <c r="K812" s="38">
        <v>1</v>
      </c>
      <c r="L812" s="38">
        <v>0</v>
      </c>
      <c r="M812" s="38">
        <v>0</v>
      </c>
      <c r="N812" s="38">
        <v>0</v>
      </c>
      <c r="O812" s="38">
        <v>0</v>
      </c>
      <c r="P812" s="38">
        <v>0</v>
      </c>
      <c r="Q812" s="38">
        <v>0</v>
      </c>
      <c r="R812" s="38">
        <v>0</v>
      </c>
      <c r="S812" s="38">
        <v>0</v>
      </c>
      <c r="T812" s="38">
        <v>0</v>
      </c>
      <c r="U812" s="29" cm="1">
        <f t="array" aca="1" ref="U812" ca="1">+fair_value_gap(OFFSET(T811,0,0,-1*$J$5,-1*$AA$1),OFFSET(E811,0,0,-1*$J$5,1),F812:T812,0)</f>
        <v>16.850950316003598</v>
      </c>
      <c r="V812" s="9" cm="1">
        <f t="array" aca="1" ref="V812" ca="1">z_score_diff(OFFSET(U812,0,0,$J$5*-1,1),OFFSET(E812,0,0,$J$5*-1,1))</f>
        <v>-0.67661525184914473</v>
      </c>
      <c r="W812" s="9">
        <f t="shared" ca="1" si="121"/>
        <v>9.7403203668192467E-2</v>
      </c>
      <c r="X812" s="17">
        <f t="shared" ca="1" si="120"/>
        <v>5.5001000329335477E-2</v>
      </c>
      <c r="Y812" s="13">
        <f t="shared" si="128"/>
        <v>0</v>
      </c>
      <c r="Z812" s="13">
        <f t="shared" si="128"/>
        <v>0</v>
      </c>
      <c r="AA812">
        <f t="shared" ca="1" si="122"/>
        <v>0</v>
      </c>
      <c r="AB812">
        <f t="shared" ca="1" si="123"/>
        <v>1</v>
      </c>
      <c r="AC812" s="24">
        <f t="shared" ca="1" si="124"/>
        <v>0</v>
      </c>
      <c r="AD812" s="24">
        <f t="shared" ca="1" si="125"/>
        <v>5.5001000329335477E-2</v>
      </c>
    </row>
    <row r="813" spans="3:30" x14ac:dyDescent="0.25">
      <c r="C813" s="6">
        <v>806</v>
      </c>
      <c r="D813" s="35">
        <v>43152</v>
      </c>
      <c r="E813" s="37">
        <v>16.93</v>
      </c>
      <c r="F813" s="37">
        <v>51.31592888814685</v>
      </c>
      <c r="G813" s="37">
        <v>37.380000000000003</v>
      </c>
      <c r="H813" s="37">
        <v>2.2403059209575762</v>
      </c>
      <c r="I813" s="37">
        <v>74.931048986524445</v>
      </c>
      <c r="J813" s="10">
        <v>0</v>
      </c>
      <c r="K813" s="38">
        <v>1</v>
      </c>
      <c r="L813" s="38">
        <v>0</v>
      </c>
      <c r="M813" s="38">
        <v>0</v>
      </c>
      <c r="N813" s="38">
        <v>0</v>
      </c>
      <c r="O813" s="38">
        <v>0</v>
      </c>
      <c r="P813" s="38">
        <v>0</v>
      </c>
      <c r="Q813" s="38">
        <v>0</v>
      </c>
      <c r="R813" s="38">
        <v>0</v>
      </c>
      <c r="S813" s="38">
        <v>0</v>
      </c>
      <c r="T813" s="38">
        <v>0</v>
      </c>
      <c r="U813" s="29" cm="1">
        <f t="array" aca="1" ref="U813" ca="1">+fair_value_gap(OFFSET(T812,0,0,-1*$J$5,-1*$AA$1),OFFSET(E812,0,0,-1*$J$5,1),F813:T813,0)</f>
        <v>16.881077080346483</v>
      </c>
      <c r="V813" s="9" cm="1">
        <f t="array" aca="1" ref="V813" ca="1">z_score_diff(OFFSET(U813,0,0,$J$5*-1,1),OFFSET(E813,0,0,$J$5*-1,1))</f>
        <v>-0.46212116748336074</v>
      </c>
      <c r="W813" s="9">
        <f t="shared" ca="1" si="121"/>
        <v>5.071363142967282E-2</v>
      </c>
      <c r="X813" s="17">
        <f t="shared" ca="1" si="120"/>
        <v>6.9583364565815709E-2</v>
      </c>
      <c r="Y813" s="13">
        <f t="shared" si="128"/>
        <v>0</v>
      </c>
      <c r="Z813" s="13">
        <f t="shared" si="128"/>
        <v>0</v>
      </c>
      <c r="AA813">
        <f t="shared" ca="1" si="122"/>
        <v>0</v>
      </c>
      <c r="AB813">
        <f t="shared" ca="1" si="123"/>
        <v>1</v>
      </c>
      <c r="AC813" s="24">
        <f t="shared" ca="1" si="124"/>
        <v>0</v>
      </c>
      <c r="AD813" s="24">
        <f t="shared" ca="1" si="125"/>
        <v>6.9583364565815709E-2</v>
      </c>
    </row>
    <row r="814" spans="3:30" x14ac:dyDescent="0.25">
      <c r="C814" s="6">
        <v>807</v>
      </c>
      <c r="D814" s="35">
        <v>43153</v>
      </c>
      <c r="E814" s="37">
        <v>16.902000000000001</v>
      </c>
      <c r="F814" s="37">
        <v>51.86021195530369</v>
      </c>
      <c r="G814" s="37">
        <v>37.380000000000003</v>
      </c>
      <c r="H814" s="37">
        <v>2.2324144334517979</v>
      </c>
      <c r="I814" s="37">
        <v>75.721192328626771</v>
      </c>
      <c r="J814" s="10">
        <v>0</v>
      </c>
      <c r="K814" s="38">
        <v>1</v>
      </c>
      <c r="L814" s="38">
        <v>0</v>
      </c>
      <c r="M814" s="38">
        <v>0</v>
      </c>
      <c r="N814" s="38">
        <v>0</v>
      </c>
      <c r="O814" s="38">
        <v>0</v>
      </c>
      <c r="P814" s="38">
        <v>0</v>
      </c>
      <c r="Q814" s="38">
        <v>0</v>
      </c>
      <c r="R814" s="38">
        <v>0</v>
      </c>
      <c r="S814" s="38">
        <v>0</v>
      </c>
      <c r="T814" s="38">
        <v>0</v>
      </c>
      <c r="U814" s="29" cm="1">
        <f t="array" aca="1" ref="U814" ca="1">+fair_value_gap(OFFSET(T813,0,0,-1*$J$5,-1*$AA$1),OFFSET(E813,0,0,-1*$J$5,1),F814:T814,0)</f>
        <v>16.924447794309806</v>
      </c>
      <c r="V814" s="9" cm="1">
        <f t="array" aca="1" ref="V814" ca="1">z_score_diff(OFFSET(U814,0,0,$J$5*-1,1),OFFSET(E814,0,0,$J$5*-1,1))</f>
        <v>-0.32765507742340916</v>
      </c>
      <c r="W814" s="9">
        <f t="shared" ca="1" si="121"/>
        <v>1.1019266053026828E-2</v>
      </c>
      <c r="X814" s="17">
        <f t="shared" ca="1" si="120"/>
        <v>6.7706200195997615E-2</v>
      </c>
      <c r="Y814" s="13">
        <f t="shared" si="128"/>
        <v>0</v>
      </c>
      <c r="Z814" s="13">
        <f t="shared" si="128"/>
        <v>0</v>
      </c>
      <c r="AA814">
        <f t="shared" ca="1" si="122"/>
        <v>0</v>
      </c>
      <c r="AB814">
        <f t="shared" ca="1" si="123"/>
        <v>1</v>
      </c>
      <c r="AC814" s="24">
        <f t="shared" ca="1" si="124"/>
        <v>0</v>
      </c>
      <c r="AD814" s="24">
        <f t="shared" ca="1" si="125"/>
        <v>6.7706200195997615E-2</v>
      </c>
    </row>
    <row r="815" spans="3:30" x14ac:dyDescent="0.25">
      <c r="C815" s="6">
        <v>808</v>
      </c>
      <c r="D815" s="35">
        <v>43154</v>
      </c>
      <c r="E815" s="37">
        <v>16.972999999999999</v>
      </c>
      <c r="F815" s="37">
        <v>52.72805485643844</v>
      </c>
      <c r="G815" s="37">
        <v>37.28</v>
      </c>
      <c r="H815" s="37">
        <v>2.2262956494940673</v>
      </c>
      <c r="I815" s="37">
        <v>75.721339051825979</v>
      </c>
      <c r="J815" s="10">
        <v>0</v>
      </c>
      <c r="K815" s="38">
        <v>1</v>
      </c>
      <c r="L815" s="38">
        <v>0</v>
      </c>
      <c r="M815" s="38">
        <v>0</v>
      </c>
      <c r="N815" s="38">
        <v>0</v>
      </c>
      <c r="O815" s="38">
        <v>0</v>
      </c>
      <c r="P815" s="38">
        <v>0</v>
      </c>
      <c r="Q815" s="38">
        <v>0</v>
      </c>
      <c r="R815" s="38">
        <v>0</v>
      </c>
      <c r="S815" s="38">
        <v>0</v>
      </c>
      <c r="T815" s="38">
        <v>0</v>
      </c>
      <c r="U815" s="29" cm="1">
        <f t="array" aca="1" ref="U815" ca="1">+fair_value_gap(OFFSET(T814,0,0,-1*$J$5,-1*$AA$1),OFFSET(E814,0,0,-1*$J$5,1),F815:T815,0)</f>
        <v>16.927179397640508</v>
      </c>
      <c r="V815" s="9" cm="1">
        <f t="array" aca="1" ref="V815" ca="1">z_score_diff(OFFSET(U815,0,0,$J$5*-1,1),OFFSET(E815,0,0,$J$5*-1,1))</f>
        <v>-0.45052870441731779</v>
      </c>
      <c r="W815" s="9">
        <f t="shared" ca="1" si="121"/>
        <v>-4.9080102829272762E-2</v>
      </c>
      <c r="X815" s="17">
        <f t="shared" ca="1" si="120"/>
        <v>5.1555441135265723E-2</v>
      </c>
      <c r="Y815" s="13">
        <f t="shared" si="128"/>
        <v>0</v>
      </c>
      <c r="Z815" s="13">
        <f t="shared" si="128"/>
        <v>0</v>
      </c>
      <c r="AA815">
        <f t="shared" ca="1" si="122"/>
        <v>1</v>
      </c>
      <c r="AB815">
        <f t="shared" ca="1" si="123"/>
        <v>0</v>
      </c>
      <c r="AC815" s="24">
        <f t="shared" ca="1" si="124"/>
        <v>5.1555441135265723E-2</v>
      </c>
      <c r="AD815" s="24">
        <f t="shared" ca="1" si="125"/>
        <v>0</v>
      </c>
    </row>
    <row r="816" spans="3:30" x14ac:dyDescent="0.25">
      <c r="C816" s="6">
        <v>809</v>
      </c>
      <c r="D816" s="35">
        <v>43157</v>
      </c>
      <c r="E816" s="37">
        <v>16.72</v>
      </c>
      <c r="F816" s="37">
        <v>52.873695776831674</v>
      </c>
      <c r="G816" s="37">
        <v>36.9</v>
      </c>
      <c r="H816" s="37">
        <v>2.2392434624662427</v>
      </c>
      <c r="I816" s="37">
        <v>73.079744617326426</v>
      </c>
      <c r="J816" s="10">
        <v>0</v>
      </c>
      <c r="K816" s="38">
        <v>1</v>
      </c>
      <c r="L816" s="38">
        <v>0</v>
      </c>
      <c r="M816" s="38">
        <v>0</v>
      </c>
      <c r="N816" s="38">
        <v>0</v>
      </c>
      <c r="O816" s="38">
        <v>0</v>
      </c>
      <c r="P816" s="38">
        <v>0</v>
      </c>
      <c r="Q816" s="38">
        <v>0</v>
      </c>
      <c r="R816" s="38">
        <v>0</v>
      </c>
      <c r="S816" s="38">
        <v>0</v>
      </c>
      <c r="T816" s="38">
        <v>0</v>
      </c>
      <c r="U816" s="29" cm="1">
        <f t="array" aca="1" ref="U816" ca="1">+fair_value_gap(OFFSET(T815,0,0,-1*$J$5,-1*$AA$1),OFFSET(E815,0,0,-1*$J$5,1),F816:T816,0)</f>
        <v>16.755119227501226</v>
      </c>
      <c r="V816" s="9" cm="1">
        <f t="array" aca="1" ref="V816" ca="1">z_score_diff(OFFSET(U816,0,0,$J$5*-1,1),OFFSET(E816,0,0,$J$5*-1,1))</f>
        <v>-0.27977811010706016</v>
      </c>
      <c r="W816" s="9">
        <f t="shared" ca="1" si="121"/>
        <v>-0.10685330520707062</v>
      </c>
      <c r="X816" s="17">
        <f t="shared" ca="1" si="120"/>
        <v>5.6902533152061285E-2</v>
      </c>
      <c r="Y816" s="13">
        <f t="shared" si="128"/>
        <v>0</v>
      </c>
      <c r="Z816" s="13">
        <f t="shared" si="128"/>
        <v>0</v>
      </c>
      <c r="AA816">
        <f t="shared" ca="1" si="122"/>
        <v>1</v>
      </c>
      <c r="AB816">
        <f t="shared" ca="1" si="123"/>
        <v>0</v>
      </c>
      <c r="AC816" s="24">
        <f t="shared" ca="1" si="124"/>
        <v>5.6902533152061285E-2</v>
      </c>
      <c r="AD816" s="24">
        <f t="shared" ca="1" si="125"/>
        <v>0</v>
      </c>
    </row>
    <row r="817" spans="3:30" x14ac:dyDescent="0.25">
      <c r="C817" s="6">
        <v>810</v>
      </c>
      <c r="D817" s="35">
        <v>43158</v>
      </c>
      <c r="E817" s="37">
        <v>16.75</v>
      </c>
      <c r="F817" s="37">
        <v>52.639344301946188</v>
      </c>
      <c r="G817" s="37">
        <v>36.880000000000003</v>
      </c>
      <c r="H817" s="37">
        <v>2.2461818536563345</v>
      </c>
      <c r="I817" s="37">
        <v>73.287125088787079</v>
      </c>
      <c r="J817" s="10">
        <v>0</v>
      </c>
      <c r="K817" s="38">
        <v>1</v>
      </c>
      <c r="L817" s="38">
        <v>0</v>
      </c>
      <c r="M817" s="38">
        <v>0</v>
      </c>
      <c r="N817" s="38">
        <v>0</v>
      </c>
      <c r="O817" s="38">
        <v>0</v>
      </c>
      <c r="P817" s="38">
        <v>0</v>
      </c>
      <c r="Q817" s="38">
        <v>0</v>
      </c>
      <c r="R817" s="38">
        <v>0</v>
      </c>
      <c r="S817" s="38">
        <v>0</v>
      </c>
      <c r="T817" s="38">
        <v>0</v>
      </c>
      <c r="U817" s="29" cm="1">
        <f t="array" aca="1" ref="U817" ca="1">+fair_value_gap(OFFSET(T816,0,0,-1*$J$5,-1*$AA$1),OFFSET(E816,0,0,-1*$J$5,1),F817:T817,0)</f>
        <v>16.741483028031102</v>
      </c>
      <c r="V817" s="9" cm="1">
        <f t="array" aca="1" ref="V817" ca="1">z_score_diff(OFFSET(U817,0,0,$J$5*-1,1),OFFSET(E817,0,0,$J$5*-1,1))</f>
        <v>-0.35529181661357767</v>
      </c>
      <c r="W817" s="9">
        <f t="shared" ca="1" si="121"/>
        <v>-0.15761812454573648</v>
      </c>
      <c r="X817" s="17">
        <f t="shared" ca="1" si="120"/>
        <v>7.7458429855658886E-2</v>
      </c>
      <c r="Y817" s="13">
        <f t="shared" si="128"/>
        <v>0</v>
      </c>
      <c r="Z817" s="13">
        <f t="shared" si="128"/>
        <v>0</v>
      </c>
      <c r="AA817">
        <f t="shared" ca="1" si="122"/>
        <v>1</v>
      </c>
      <c r="AB817">
        <f t="shared" ca="1" si="123"/>
        <v>0</v>
      </c>
      <c r="AC817" s="24">
        <f t="shared" ca="1" si="124"/>
        <v>7.7458429855658886E-2</v>
      </c>
      <c r="AD817" s="24">
        <f t="shared" ca="1" si="125"/>
        <v>0</v>
      </c>
    </row>
    <row r="818" spans="3:30" x14ac:dyDescent="0.25">
      <c r="C818" s="6">
        <v>811</v>
      </c>
      <c r="D818" s="35">
        <v>43159</v>
      </c>
      <c r="E818" s="37">
        <v>16.623999999999999</v>
      </c>
      <c r="F818" s="37">
        <v>51.27438341826528</v>
      </c>
      <c r="G818" s="37">
        <v>38.67</v>
      </c>
      <c r="H818" s="37">
        <v>2.2412336888217155</v>
      </c>
      <c r="I818" s="37">
        <v>73.670555620663322</v>
      </c>
      <c r="J818" s="10">
        <v>0</v>
      </c>
      <c r="K818" s="38">
        <v>1</v>
      </c>
      <c r="L818" s="38">
        <v>0</v>
      </c>
      <c r="M818" s="38">
        <v>0</v>
      </c>
      <c r="N818" s="38">
        <v>0</v>
      </c>
      <c r="O818" s="38">
        <v>0</v>
      </c>
      <c r="P818" s="38">
        <v>0</v>
      </c>
      <c r="Q818" s="38">
        <v>0</v>
      </c>
      <c r="R818" s="38">
        <v>0</v>
      </c>
      <c r="S818" s="38">
        <v>0</v>
      </c>
      <c r="T818" s="38">
        <v>0</v>
      </c>
      <c r="U818" s="29" cm="1">
        <f t="array" aca="1" ref="U818" ca="1">+fair_value_gap(OFFSET(T817,0,0,-1*$J$5,-1*$AA$1),OFFSET(E817,0,0,-1*$J$5,1),F818:T818,0)</f>
        <v>17.264665478507666</v>
      </c>
      <c r="V818" s="9" cm="1">
        <f t="array" aca="1" ref="V818" ca="1">z_score_diff(OFFSET(U818,0,0,$J$5*-1,1),OFFSET(E818,0,0,$J$5*-1,1))</f>
        <v>0.80592253026427829</v>
      </c>
      <c r="W818" s="9">
        <f t="shared" ca="1" si="121"/>
        <v>-8.2654360451576911E-2</v>
      </c>
      <c r="X818" s="17">
        <f t="shared" ca="1" si="120"/>
        <v>8.1078670471530209E-2</v>
      </c>
      <c r="Y818" s="13">
        <f t="shared" si="128"/>
        <v>0</v>
      </c>
      <c r="Z818" s="13">
        <f t="shared" si="128"/>
        <v>0</v>
      </c>
      <c r="AA818">
        <f t="shared" ca="1" si="122"/>
        <v>1</v>
      </c>
      <c r="AB818">
        <f t="shared" ca="1" si="123"/>
        <v>0</v>
      </c>
      <c r="AC818" s="24">
        <f t="shared" ca="1" si="124"/>
        <v>8.1078670471530209E-2</v>
      </c>
      <c r="AD818" s="24">
        <f t="shared" ca="1" si="125"/>
        <v>0</v>
      </c>
    </row>
    <row r="819" spans="3:30" x14ac:dyDescent="0.25">
      <c r="C819" s="6">
        <v>812</v>
      </c>
      <c r="D819" s="35">
        <v>43160</v>
      </c>
      <c r="E819" s="37">
        <v>16.64</v>
      </c>
      <c r="F819" s="37">
        <v>50.117350689545894</v>
      </c>
      <c r="G819" s="37">
        <v>38.65</v>
      </c>
      <c r="H819" s="37">
        <v>2.2545166744149756</v>
      </c>
      <c r="I819" s="37">
        <v>72.509696110777767</v>
      </c>
      <c r="J819" s="10">
        <v>0</v>
      </c>
      <c r="K819" s="38">
        <v>0</v>
      </c>
      <c r="L819" s="38">
        <v>1</v>
      </c>
      <c r="M819" s="38">
        <v>0</v>
      </c>
      <c r="N819" s="38">
        <v>0</v>
      </c>
      <c r="O819" s="38">
        <v>0</v>
      </c>
      <c r="P819" s="38">
        <v>0</v>
      </c>
      <c r="Q819" s="38">
        <v>0</v>
      </c>
      <c r="R819" s="38">
        <v>0</v>
      </c>
      <c r="S819" s="38">
        <v>0</v>
      </c>
      <c r="T819" s="38">
        <v>0</v>
      </c>
      <c r="U819" s="29" cm="1">
        <f t="array" aca="1" ref="U819" ca="1">+fair_value_gap(OFFSET(T818,0,0,-1*$J$5,-1*$AA$1),OFFSET(E818,0,0,-1*$J$5,1),F819:T819,0)</f>
        <v>16.537389865816607</v>
      </c>
      <c r="V819" s="9" cm="1">
        <f t="array" aca="1" ref="V819" ca="1">z_score_diff(OFFSET(U819,0,0,$J$5*-1,1),OFFSET(E819,0,0,$J$5*-1,1))</f>
        <v>-0.50446859019276324</v>
      </c>
      <c r="W819" s="9">
        <f t="shared" ca="1" si="121"/>
        <v>-0.15101832230501122</v>
      </c>
      <c r="X819" s="17">
        <f t="shared" ca="1" si="120"/>
        <v>9.9127186456212116E-2</v>
      </c>
      <c r="Y819" s="13">
        <f t="shared" si="128"/>
        <v>0</v>
      </c>
      <c r="Z819" s="13">
        <f t="shared" si="128"/>
        <v>0</v>
      </c>
      <c r="AA819">
        <f t="shared" ca="1" si="122"/>
        <v>1</v>
      </c>
      <c r="AB819">
        <f t="shared" ca="1" si="123"/>
        <v>0</v>
      </c>
      <c r="AC819" s="24">
        <f t="shared" ca="1" si="124"/>
        <v>9.9127186456212116E-2</v>
      </c>
      <c r="AD819" s="24">
        <f t="shared" ca="1" si="125"/>
        <v>0</v>
      </c>
    </row>
    <row r="820" spans="3:30" x14ac:dyDescent="0.25">
      <c r="C820" s="6">
        <v>813</v>
      </c>
      <c r="D820" s="35">
        <v>43161</v>
      </c>
      <c r="E820" s="37">
        <v>16.885999999999999</v>
      </c>
      <c r="F820" s="37">
        <v>50.250412019776952</v>
      </c>
      <c r="G820" s="37">
        <v>38.32</v>
      </c>
      <c r="H820" s="37">
        <v>2.2401075251612075</v>
      </c>
      <c r="I820" s="37">
        <v>72.683488807462751</v>
      </c>
      <c r="J820" s="10">
        <v>0</v>
      </c>
      <c r="K820" s="38">
        <v>0</v>
      </c>
      <c r="L820" s="38">
        <v>1</v>
      </c>
      <c r="M820" s="38">
        <v>0</v>
      </c>
      <c r="N820" s="38">
        <v>0</v>
      </c>
      <c r="O820" s="38">
        <v>0</v>
      </c>
      <c r="P820" s="38">
        <v>0</v>
      </c>
      <c r="Q820" s="38">
        <v>0</v>
      </c>
      <c r="R820" s="38">
        <v>0</v>
      </c>
      <c r="S820" s="38">
        <v>0</v>
      </c>
      <c r="T820" s="38">
        <v>0</v>
      </c>
      <c r="U820" s="29" cm="1">
        <f t="array" aca="1" ref="U820" ca="1">+fair_value_gap(OFFSET(T819,0,0,-1*$J$5,-1*$AA$1),OFFSET(E819,0,0,-1*$J$5,1),F820:T820,0)</f>
        <v>16.4823091402112</v>
      </c>
      <c r="V820" s="9" cm="1">
        <f t="array" aca="1" ref="V820" ca="1">z_score_diff(OFFSET(U820,0,0,$J$5*-1,1),OFFSET(E820,0,0,$J$5*-1,1))</f>
        <v>-1.0597536526261773</v>
      </c>
      <c r="W820" s="9">
        <f t="shared" ca="1" si="121"/>
        <v>-0.24037285001651371</v>
      </c>
      <c r="X820" s="17">
        <f t="shared" ca="1" si="120"/>
        <v>7.937739287763998E-2</v>
      </c>
      <c r="Y820" s="13">
        <f t="shared" si="128"/>
        <v>0</v>
      </c>
      <c r="Z820" s="13">
        <f t="shared" si="128"/>
        <v>0</v>
      </c>
      <c r="AA820">
        <f t="shared" ca="1" si="122"/>
        <v>1</v>
      </c>
      <c r="AB820">
        <f t="shared" ca="1" si="123"/>
        <v>0</v>
      </c>
      <c r="AC820" s="24">
        <f t="shared" ca="1" si="124"/>
        <v>7.937739287763998E-2</v>
      </c>
      <c r="AD820" s="24">
        <f t="shared" ca="1" si="125"/>
        <v>0</v>
      </c>
    </row>
    <row r="821" spans="3:30" x14ac:dyDescent="0.25">
      <c r="C821" s="6">
        <v>814</v>
      </c>
      <c r="D821" s="35">
        <v>43164</v>
      </c>
      <c r="E821" s="37">
        <v>16.943999999999999</v>
      </c>
      <c r="F821" s="37">
        <v>51.183242724656218</v>
      </c>
      <c r="G821" s="37">
        <v>38.22</v>
      </c>
      <c r="H821" s="37">
        <v>2.2473616885193479</v>
      </c>
      <c r="I821" s="37">
        <v>72.833386632555161</v>
      </c>
      <c r="J821" s="10">
        <v>0</v>
      </c>
      <c r="K821" s="38">
        <v>0</v>
      </c>
      <c r="L821" s="38">
        <v>1</v>
      </c>
      <c r="M821" s="38">
        <v>0</v>
      </c>
      <c r="N821" s="38">
        <v>0</v>
      </c>
      <c r="O821" s="38">
        <v>0</v>
      </c>
      <c r="P821" s="38">
        <v>0</v>
      </c>
      <c r="Q821" s="38">
        <v>0</v>
      </c>
      <c r="R821" s="38">
        <v>0</v>
      </c>
      <c r="S821" s="38">
        <v>0</v>
      </c>
      <c r="T821" s="38">
        <v>0</v>
      </c>
      <c r="U821" s="29" cm="1">
        <f t="array" aca="1" ref="U821" ca="1">+fair_value_gap(OFFSET(T820,0,0,-1*$J$5,-1*$AA$1),OFFSET(E820,0,0,-1*$J$5,1),F821:T821,0)</f>
        <v>16.619901561656857</v>
      </c>
      <c r="V821" s="9" cm="1">
        <f t="array" aca="1" ref="V821" ca="1">z_score_diff(OFFSET(U821,0,0,$J$5*-1,1),OFFSET(E821,0,0,$J$5*-1,1))</f>
        <v>-0.92190726346202945</v>
      </c>
      <c r="W821" s="9">
        <f t="shared" ca="1" si="121"/>
        <v>-0.32703456726514973</v>
      </c>
      <c r="X821" s="17">
        <f t="shared" ca="1" si="120"/>
        <v>7.7260457713148864E-2</v>
      </c>
      <c r="Y821" s="13">
        <f t="shared" si="128"/>
        <v>0</v>
      </c>
      <c r="Z821" s="13">
        <f t="shared" si="128"/>
        <v>0</v>
      </c>
      <c r="AA821">
        <f t="shared" ca="1" si="122"/>
        <v>1</v>
      </c>
      <c r="AB821">
        <f t="shared" ca="1" si="123"/>
        <v>0</v>
      </c>
      <c r="AC821" s="24">
        <f t="shared" ca="1" si="124"/>
        <v>7.7260457713148864E-2</v>
      </c>
      <c r="AD821" s="24">
        <f t="shared" ca="1" si="125"/>
        <v>0</v>
      </c>
    </row>
    <row r="822" spans="3:30" x14ac:dyDescent="0.25">
      <c r="C822" s="6">
        <v>815</v>
      </c>
      <c r="D822" s="35">
        <v>43165</v>
      </c>
      <c r="E822" s="37">
        <v>17.088999999999999</v>
      </c>
      <c r="F822" s="37">
        <v>51.057506248087826</v>
      </c>
      <c r="G822" s="37">
        <v>38.729999999999997</v>
      </c>
      <c r="H822" s="37">
        <v>2.263218331432749</v>
      </c>
      <c r="I822" s="37">
        <v>71.75864302260436</v>
      </c>
      <c r="J822" s="10">
        <v>0</v>
      </c>
      <c r="K822" s="38">
        <v>0</v>
      </c>
      <c r="L822" s="38">
        <v>1</v>
      </c>
      <c r="M822" s="38">
        <v>0</v>
      </c>
      <c r="N822" s="38">
        <v>0</v>
      </c>
      <c r="O822" s="38">
        <v>0</v>
      </c>
      <c r="P822" s="38">
        <v>0</v>
      </c>
      <c r="Q822" s="38">
        <v>0</v>
      </c>
      <c r="R822" s="38">
        <v>0</v>
      </c>
      <c r="S822" s="38">
        <v>0</v>
      </c>
      <c r="T822" s="38">
        <v>0</v>
      </c>
      <c r="U822" s="29" cm="1">
        <f t="array" aca="1" ref="U822" ca="1">+fair_value_gap(OFFSET(T821,0,0,-1*$J$5,-1*$AA$1),OFFSET(E821,0,0,-1*$J$5,1),F822:T822,0)</f>
        <v>16.829442781446634</v>
      </c>
      <c r="V822" s="9" cm="1">
        <f t="array" aca="1" ref="V822" ca="1">z_score_diff(OFFSET(U822,0,0,$J$5*-1,1),OFFSET(E822,0,0,$J$5*-1,1))</f>
        <v>-0.82600953826158063</v>
      </c>
      <c r="W822" s="9">
        <f t="shared" ca="1" si="121"/>
        <v>-0.37331540170485972</v>
      </c>
      <c r="X822" s="17">
        <f t="shared" ca="1" si="120"/>
        <v>6.6332656515125335E-2</v>
      </c>
      <c r="Y822" s="13">
        <f t="shared" si="128"/>
        <v>0</v>
      </c>
      <c r="Z822" s="13">
        <f t="shared" si="128"/>
        <v>0</v>
      </c>
      <c r="AA822">
        <f t="shared" ca="1" si="122"/>
        <v>1</v>
      </c>
      <c r="AB822">
        <f t="shared" ca="1" si="123"/>
        <v>0</v>
      </c>
      <c r="AC822" s="24">
        <f t="shared" ca="1" si="124"/>
        <v>6.6332656515125335E-2</v>
      </c>
      <c r="AD822" s="24">
        <f t="shared" ca="1" si="125"/>
        <v>0</v>
      </c>
    </row>
    <row r="823" spans="3:30" x14ac:dyDescent="0.25">
      <c r="C823" s="6">
        <v>816</v>
      </c>
      <c r="D823" s="35">
        <v>43166</v>
      </c>
      <c r="E823" s="37">
        <v>17.119</v>
      </c>
      <c r="F823" s="37">
        <v>50.001986097318763</v>
      </c>
      <c r="G823" s="37">
        <v>38.67</v>
      </c>
      <c r="H823" s="37">
        <v>2.2863952333664348</v>
      </c>
      <c r="I823" s="37">
        <v>70.943396226415089</v>
      </c>
      <c r="J823" s="10">
        <v>0</v>
      </c>
      <c r="K823" s="38">
        <v>0</v>
      </c>
      <c r="L823" s="38">
        <v>1</v>
      </c>
      <c r="M823" s="38">
        <v>0</v>
      </c>
      <c r="N823" s="38">
        <v>0</v>
      </c>
      <c r="O823" s="38">
        <v>0</v>
      </c>
      <c r="P823" s="38">
        <v>0</v>
      </c>
      <c r="Q823" s="38">
        <v>0</v>
      </c>
      <c r="R823" s="38">
        <v>0</v>
      </c>
      <c r="S823" s="38">
        <v>0</v>
      </c>
      <c r="T823" s="38">
        <v>0</v>
      </c>
      <c r="U823" s="29" cm="1">
        <f t="array" aca="1" ref="U823" ca="1">+fair_value_gap(OFFSET(T822,0,0,-1*$J$5,-1*$AA$1),OFFSET(E822,0,0,-1*$J$5,1),F823:T823,0)</f>
        <v>16.790297406079848</v>
      </c>
      <c r="V823" s="9" cm="1">
        <f t="array" aca="1" ref="V823" ca="1">z_score_diff(OFFSET(U823,0,0,$J$5*-1,1),OFFSET(E823,0,0,$J$5*-1,1))</f>
        <v>-0.95333986347736954</v>
      </c>
      <c r="W823" s="9">
        <f t="shared" ca="1" si="121"/>
        <v>-0.41476072098455641</v>
      </c>
      <c r="X823" s="17">
        <f t="shared" ca="1" si="120"/>
        <v>6.8186424543098395E-2</v>
      </c>
      <c r="Y823" s="13">
        <f t="shared" si="128"/>
        <v>0</v>
      </c>
      <c r="Z823" s="13">
        <f t="shared" si="128"/>
        <v>0</v>
      </c>
      <c r="AA823">
        <f t="shared" ca="1" si="122"/>
        <v>1</v>
      </c>
      <c r="AB823">
        <f t="shared" ca="1" si="123"/>
        <v>0</v>
      </c>
      <c r="AC823" s="24">
        <f t="shared" ca="1" si="124"/>
        <v>6.8186424543098395E-2</v>
      </c>
      <c r="AD823" s="24">
        <f t="shared" ca="1" si="125"/>
        <v>0</v>
      </c>
    </row>
    <row r="824" spans="3:30" x14ac:dyDescent="0.25">
      <c r="C824" s="6">
        <v>817</v>
      </c>
      <c r="D824" s="35">
        <v>43167</v>
      </c>
      <c r="E824" s="37">
        <v>17.434999999999999</v>
      </c>
      <c r="F824" s="37">
        <v>49.915245819167588</v>
      </c>
      <c r="G824" s="37">
        <v>38.950000000000003</v>
      </c>
      <c r="H824" s="37">
        <v>2.2990973439417584</v>
      </c>
      <c r="I824" s="37">
        <v>70.97561835304522</v>
      </c>
      <c r="J824" s="10">
        <v>0</v>
      </c>
      <c r="K824" s="38">
        <v>0</v>
      </c>
      <c r="L824" s="38">
        <v>1</v>
      </c>
      <c r="M824" s="38">
        <v>0</v>
      </c>
      <c r="N824" s="38">
        <v>0</v>
      </c>
      <c r="O824" s="38">
        <v>0</v>
      </c>
      <c r="P824" s="38">
        <v>0</v>
      </c>
      <c r="Q824" s="38">
        <v>0</v>
      </c>
      <c r="R824" s="38">
        <v>0</v>
      </c>
      <c r="S824" s="38">
        <v>0</v>
      </c>
      <c r="T824" s="38">
        <v>0</v>
      </c>
      <c r="U824" s="29" cm="1">
        <f t="array" aca="1" ref="U824" ca="1">+fair_value_gap(OFFSET(T823,0,0,-1*$J$5,-1*$AA$1),OFFSET(E823,0,0,-1*$J$5,1),F824:T824,0)</f>
        <v>16.923406855278031</v>
      </c>
      <c r="V824" s="9" cm="1">
        <f t="array" aca="1" ref="V824" ca="1">z_score_diff(OFFSET(U824,0,0,$J$5*-1,1),OFFSET(E824,0,0,$J$5*-1,1))</f>
        <v>-1.3226320060914116</v>
      </c>
      <c r="W824" s="9">
        <f t="shared" ca="1" si="121"/>
        <v>-0.47605850806471706</v>
      </c>
      <c r="X824" s="17">
        <f t="shared" ca="1" si="120"/>
        <v>6.7795328411155029E-2</v>
      </c>
      <c r="Y824" s="13">
        <f t="shared" si="128"/>
        <v>0</v>
      </c>
      <c r="Z824" s="13">
        <f t="shared" si="128"/>
        <v>0</v>
      </c>
      <c r="AA824">
        <f t="shared" ca="1" si="122"/>
        <v>1</v>
      </c>
      <c r="AB824">
        <f t="shared" ca="1" si="123"/>
        <v>0</v>
      </c>
      <c r="AC824" s="24">
        <f t="shared" ca="1" si="124"/>
        <v>6.7795328411155029E-2</v>
      </c>
      <c r="AD824" s="24">
        <f t="shared" ca="1" si="125"/>
        <v>0</v>
      </c>
    </row>
    <row r="825" spans="3:30" x14ac:dyDescent="0.25">
      <c r="C825" s="6">
        <v>818</v>
      </c>
      <c r="D825" s="35">
        <v>43168</v>
      </c>
      <c r="E825" s="37">
        <v>17.690000000000001</v>
      </c>
      <c r="F825" s="37">
        <v>51.257930676393144</v>
      </c>
      <c r="G825" s="37">
        <v>39.83</v>
      </c>
      <c r="H825" s="37">
        <v>2.2828489056908565</v>
      </c>
      <c r="I825" s="37">
        <v>71.193796163788193</v>
      </c>
      <c r="J825" s="10">
        <v>0</v>
      </c>
      <c r="K825" s="38">
        <v>0</v>
      </c>
      <c r="L825" s="38">
        <v>1</v>
      </c>
      <c r="M825" s="38">
        <v>0</v>
      </c>
      <c r="N825" s="38">
        <v>0</v>
      </c>
      <c r="O825" s="38">
        <v>0</v>
      </c>
      <c r="P825" s="38">
        <v>0</v>
      </c>
      <c r="Q825" s="38">
        <v>0</v>
      </c>
      <c r="R825" s="38">
        <v>0</v>
      </c>
      <c r="S825" s="38">
        <v>0</v>
      </c>
      <c r="T825" s="38">
        <v>0</v>
      </c>
      <c r="U825" s="29" cm="1">
        <f t="array" aca="1" ref="U825" ca="1">+fair_value_gap(OFFSET(T824,0,0,-1*$J$5,-1*$AA$1),OFFSET(E824,0,0,-1*$J$5,1),F825:T825,0)</f>
        <v>17.35274537209359</v>
      </c>
      <c r="V825" s="9" cm="1">
        <f t="array" aca="1" ref="V825" ca="1">z_score_diff(OFFSET(U825,0,0,$J$5*-1,1),OFFSET(E825,0,0,$J$5*-1,1))</f>
        <v>-1.0374334049661447</v>
      </c>
      <c r="W825" s="9">
        <f t="shared" ca="1" si="121"/>
        <v>-0.51188007061432872</v>
      </c>
      <c r="X825" s="17">
        <f t="shared" ca="1" si="120"/>
        <v>6.2292501570880836E-2</v>
      </c>
      <c r="Y825" s="13">
        <f t="shared" ref="Y825:Z840" si="129">+Y824</f>
        <v>0</v>
      </c>
      <c r="Z825" s="13">
        <f t="shared" si="129"/>
        <v>0</v>
      </c>
      <c r="AA825">
        <f t="shared" ca="1" si="122"/>
        <v>1</v>
      </c>
      <c r="AB825">
        <f t="shared" ca="1" si="123"/>
        <v>0</v>
      </c>
      <c r="AC825" s="24">
        <f t="shared" ca="1" si="124"/>
        <v>6.2292501570880836E-2</v>
      </c>
      <c r="AD825" s="24">
        <f t="shared" ca="1" si="125"/>
        <v>0</v>
      </c>
    </row>
    <row r="826" spans="3:30" x14ac:dyDescent="0.25">
      <c r="C826" s="6">
        <v>819</v>
      </c>
      <c r="D826" s="35">
        <v>43171</v>
      </c>
      <c r="E826" s="37">
        <v>17.922999999999998</v>
      </c>
      <c r="F826" s="37">
        <v>50.858212354613762</v>
      </c>
      <c r="G826" s="37">
        <v>40.130000000000003</v>
      </c>
      <c r="H826" s="37">
        <v>2.3063607928255077</v>
      </c>
      <c r="I826" s="37">
        <v>69.726257510057366</v>
      </c>
      <c r="J826" s="10">
        <v>0</v>
      </c>
      <c r="K826" s="38">
        <v>0</v>
      </c>
      <c r="L826" s="38">
        <v>1</v>
      </c>
      <c r="M826" s="38">
        <v>0</v>
      </c>
      <c r="N826" s="38">
        <v>0</v>
      </c>
      <c r="O826" s="38">
        <v>0</v>
      </c>
      <c r="P826" s="38">
        <v>0</v>
      </c>
      <c r="Q826" s="38">
        <v>0</v>
      </c>
      <c r="R826" s="38">
        <v>0</v>
      </c>
      <c r="S826" s="38">
        <v>0</v>
      </c>
      <c r="T826" s="38">
        <v>0</v>
      </c>
      <c r="U826" s="29" cm="1">
        <f t="array" aca="1" ref="U826" ca="1">+fair_value_gap(OFFSET(T825,0,0,-1*$J$5,-1*$AA$1),OFFSET(E825,0,0,-1*$J$5,1),F826:T826,0)</f>
        <v>17.448353353377072</v>
      </c>
      <c r="V826" s="9" cm="1">
        <f t="array" aca="1" ref="V826" ca="1">z_score_diff(OFFSET(U826,0,0,$J$5*-1,1),OFFSET(E826,0,0,$J$5*-1,1))</f>
        <v>-1.3059544446664568</v>
      </c>
      <c r="W826" s="9">
        <f t="shared" ca="1" si="121"/>
        <v>-0.55528810084463875</v>
      </c>
      <c r="X826" s="17">
        <f t="shared" ca="1" si="120"/>
        <v>7.2724115199932868E-2</v>
      </c>
      <c r="Y826" s="13">
        <f t="shared" si="129"/>
        <v>0</v>
      </c>
      <c r="Z826" s="13">
        <f t="shared" si="129"/>
        <v>0</v>
      </c>
      <c r="AA826">
        <f t="shared" ca="1" si="122"/>
        <v>1</v>
      </c>
      <c r="AB826">
        <f t="shared" ca="1" si="123"/>
        <v>0</v>
      </c>
      <c r="AC826" s="24">
        <f t="shared" ca="1" si="124"/>
        <v>7.2724115199932868E-2</v>
      </c>
      <c r="AD826" s="24">
        <f t="shared" ca="1" si="125"/>
        <v>0</v>
      </c>
    </row>
    <row r="827" spans="3:30" x14ac:dyDescent="0.25">
      <c r="C827" s="6">
        <v>820</v>
      </c>
      <c r="D827" s="35">
        <v>43172</v>
      </c>
      <c r="E827" s="37">
        <v>17.800999999999998</v>
      </c>
      <c r="F827" s="37">
        <v>50.479660181045872</v>
      </c>
      <c r="G827" s="37">
        <v>40.26</v>
      </c>
      <c r="H827" s="37">
        <v>2.3044370555387625</v>
      </c>
      <c r="I827" s="37">
        <v>69.841067820608686</v>
      </c>
      <c r="J827" s="10">
        <v>0</v>
      </c>
      <c r="K827" s="38">
        <v>0</v>
      </c>
      <c r="L827" s="38">
        <v>1</v>
      </c>
      <c r="M827" s="38">
        <v>0</v>
      </c>
      <c r="N827" s="38">
        <v>0</v>
      </c>
      <c r="O827" s="38">
        <v>0</v>
      </c>
      <c r="P827" s="38">
        <v>0</v>
      </c>
      <c r="Q827" s="38">
        <v>0</v>
      </c>
      <c r="R827" s="38">
        <v>0</v>
      </c>
      <c r="S827" s="38">
        <v>0</v>
      </c>
      <c r="T827" s="38">
        <v>0</v>
      </c>
      <c r="U827" s="29" cm="1">
        <f t="array" aca="1" ref="U827" ca="1">+fair_value_gap(OFFSET(T826,0,0,-1*$J$5,-1*$AA$1),OFFSET(E826,0,0,-1*$J$5,1),F827:T827,0)</f>
        <v>17.548591993788396</v>
      </c>
      <c r="V827" s="9" cm="1">
        <f t="array" aca="1" ref="V827" ca="1">z_score_diff(OFFSET(U827,0,0,$J$5*-1,1),OFFSET(E827,0,0,$J$5*-1,1))</f>
        <v>-0.88621807843668687</v>
      </c>
      <c r="W827" s="9">
        <f t="shared" ca="1" si="121"/>
        <v>-0.58368141656362005</v>
      </c>
      <c r="X827" s="17">
        <f t="shared" ca="1" si="120"/>
        <v>7.9917382746892834E-2</v>
      </c>
      <c r="Y827" s="13">
        <f t="shared" si="129"/>
        <v>0</v>
      </c>
      <c r="Z827" s="13">
        <f t="shared" si="129"/>
        <v>0</v>
      </c>
      <c r="AA827">
        <f t="shared" ca="1" si="122"/>
        <v>1</v>
      </c>
      <c r="AB827">
        <f t="shared" ca="1" si="123"/>
        <v>0</v>
      </c>
      <c r="AC827" s="24">
        <f t="shared" ca="1" si="124"/>
        <v>7.9917382746892834E-2</v>
      </c>
      <c r="AD827" s="24">
        <f t="shared" ca="1" si="125"/>
        <v>0</v>
      </c>
    </row>
    <row r="828" spans="3:30" x14ac:dyDescent="0.25">
      <c r="C828" s="6">
        <v>821</v>
      </c>
      <c r="D828" s="35">
        <v>43173</v>
      </c>
      <c r="E828" s="37">
        <v>17.427</v>
      </c>
      <c r="F828" s="37">
        <v>50.725896829711154</v>
      </c>
      <c r="G828" s="37">
        <v>39.74</v>
      </c>
      <c r="H828" s="37">
        <v>2.2780423183424654</v>
      </c>
      <c r="I828" s="37">
        <v>68.98690085813169</v>
      </c>
      <c r="J828" s="10">
        <v>0</v>
      </c>
      <c r="K828" s="38">
        <v>0</v>
      </c>
      <c r="L828" s="38">
        <v>1</v>
      </c>
      <c r="M828" s="38">
        <v>0</v>
      </c>
      <c r="N828" s="38">
        <v>0</v>
      </c>
      <c r="O828" s="38">
        <v>0</v>
      </c>
      <c r="P828" s="38">
        <v>0</v>
      </c>
      <c r="Q828" s="38">
        <v>0</v>
      </c>
      <c r="R828" s="38">
        <v>0</v>
      </c>
      <c r="S828" s="38">
        <v>0</v>
      </c>
      <c r="T828" s="38">
        <v>0</v>
      </c>
      <c r="U828" s="29" cm="1">
        <f t="array" aca="1" ref="U828" ca="1">+fair_value_gap(OFFSET(T827,0,0,-1*$J$5,-1*$AA$1),OFFSET(E827,0,0,-1*$J$5,1),F828:T828,0)</f>
        <v>17.401764947097494</v>
      </c>
      <c r="V828" s="9" cm="1">
        <f t="array" aca="1" ref="V828" ca="1">z_score_diff(OFFSET(U828,0,0,$J$5*-1,1),OFFSET(E828,0,0,$J$5*-1,1))</f>
        <v>-0.43067447565964234</v>
      </c>
      <c r="W828" s="9">
        <f t="shared" ca="1" si="121"/>
        <v>-0.59089188996968611</v>
      </c>
      <c r="X828" s="17">
        <f t="shared" ca="1" si="120"/>
        <v>0.11893639054915184</v>
      </c>
      <c r="Y828" s="13">
        <f t="shared" si="129"/>
        <v>0</v>
      </c>
      <c r="Z828" s="13">
        <f t="shared" si="129"/>
        <v>0</v>
      </c>
      <c r="AA828">
        <f t="shared" ca="1" si="122"/>
        <v>1</v>
      </c>
      <c r="AB828">
        <f t="shared" ca="1" si="123"/>
        <v>0</v>
      </c>
      <c r="AC828" s="24">
        <f t="shared" ca="1" si="124"/>
        <v>0.11893639054915184</v>
      </c>
      <c r="AD828" s="24">
        <f t="shared" ca="1" si="125"/>
        <v>0</v>
      </c>
    </row>
    <row r="829" spans="3:30" x14ac:dyDescent="0.25">
      <c r="C829" s="6">
        <v>822</v>
      </c>
      <c r="D829" s="35">
        <v>43174</v>
      </c>
      <c r="E829" s="37">
        <v>17.693000000000001</v>
      </c>
      <c r="F829" s="37">
        <v>51.080156676786046</v>
      </c>
      <c r="G829" s="37">
        <v>40.03</v>
      </c>
      <c r="H829" s="37">
        <v>2.2580360933332266</v>
      </c>
      <c r="I829" s="37">
        <v>69.327074805956286</v>
      </c>
      <c r="J829" s="10">
        <v>0</v>
      </c>
      <c r="K829" s="38">
        <v>0</v>
      </c>
      <c r="L829" s="38">
        <v>1</v>
      </c>
      <c r="M829" s="38">
        <v>0</v>
      </c>
      <c r="N829" s="38">
        <v>0</v>
      </c>
      <c r="O829" s="38">
        <v>0</v>
      </c>
      <c r="P829" s="38">
        <v>0</v>
      </c>
      <c r="Q829" s="38">
        <v>0</v>
      </c>
      <c r="R829" s="38">
        <v>0</v>
      </c>
      <c r="S829" s="38">
        <v>0</v>
      </c>
      <c r="T829" s="38">
        <v>0</v>
      </c>
      <c r="U829" s="29" cm="1">
        <f t="array" aca="1" ref="U829" ca="1">+fair_value_gap(OFFSET(T828,0,0,-1*$J$5,-1*$AA$1),OFFSET(E828,0,0,-1*$J$5,1),F829:T829,0)</f>
        <v>17.528390431667844</v>
      </c>
      <c r="V829" s="9" cm="1">
        <f t="array" aca="1" ref="V829" ca="1">z_score_diff(OFFSET(U829,0,0,$J$5*-1,1),OFFSET(E829,0,0,$J$5*-1,1))</f>
        <v>-0.71725500774969697</v>
      </c>
      <c r="W829" s="9">
        <f t="shared" ca="1" si="121"/>
        <v>-0.6195616173050188</v>
      </c>
      <c r="X829" s="17">
        <f t="shared" ca="1" si="120"/>
        <v>9.6424534813430468E-2</v>
      </c>
      <c r="Y829" s="13">
        <f t="shared" si="129"/>
        <v>0</v>
      </c>
      <c r="Z829" s="13">
        <f t="shared" si="129"/>
        <v>0</v>
      </c>
      <c r="AA829">
        <f t="shared" ca="1" si="122"/>
        <v>1</v>
      </c>
      <c r="AB829">
        <f t="shared" ca="1" si="123"/>
        <v>0</v>
      </c>
      <c r="AC829" s="24">
        <f t="shared" ca="1" si="124"/>
        <v>9.6424534813430468E-2</v>
      </c>
      <c r="AD829" s="24">
        <f t="shared" ca="1" si="125"/>
        <v>0</v>
      </c>
    </row>
    <row r="830" spans="3:30" x14ac:dyDescent="0.25">
      <c r="C830" s="6">
        <v>823</v>
      </c>
      <c r="D830" s="35">
        <v>43175</v>
      </c>
      <c r="E830" s="37">
        <v>17.614000000000001</v>
      </c>
      <c r="F830" s="37">
        <v>51.912024721387013</v>
      </c>
      <c r="G830" s="37">
        <v>40.03</v>
      </c>
      <c r="H830" s="37">
        <v>2.2654853625899696</v>
      </c>
      <c r="I830" s="37">
        <v>68.951298482509884</v>
      </c>
      <c r="J830" s="10">
        <v>0</v>
      </c>
      <c r="K830" s="38">
        <v>0</v>
      </c>
      <c r="L830" s="38">
        <v>1</v>
      </c>
      <c r="M830" s="38">
        <v>0</v>
      </c>
      <c r="N830" s="38">
        <v>0</v>
      </c>
      <c r="O830" s="38">
        <v>0</v>
      </c>
      <c r="P830" s="38">
        <v>0</v>
      </c>
      <c r="Q830" s="38">
        <v>0</v>
      </c>
      <c r="R830" s="38">
        <v>0</v>
      </c>
      <c r="S830" s="38">
        <v>0</v>
      </c>
      <c r="T830" s="38">
        <v>0</v>
      </c>
      <c r="U830" s="29" cm="1">
        <f t="array" aca="1" ref="U830" ca="1">+fair_value_gap(OFFSET(T829,0,0,-1*$J$5,-1*$AA$1),OFFSET(E829,0,0,-1*$J$5,1),F830:T830,0)</f>
        <v>17.581910614575683</v>
      </c>
      <c r="V830" s="9" cm="1">
        <f t="array" aca="1" ref="V830" ca="1">z_score_diff(OFFSET(U830,0,0,$J$5*-1,1),OFFSET(E830,0,0,$J$5*-1,1))</f>
        <v>-0.46626266027584173</v>
      </c>
      <c r="W830" s="9">
        <f t="shared" ca="1" si="121"/>
        <v>-0.6306282112454592</v>
      </c>
      <c r="X830" s="17">
        <f t="shared" ca="1" si="120"/>
        <v>8.0313434664487551E-2</v>
      </c>
      <c r="Y830" s="13">
        <f t="shared" si="129"/>
        <v>0</v>
      </c>
      <c r="Z830" s="13">
        <f t="shared" si="129"/>
        <v>0</v>
      </c>
      <c r="AA830">
        <f t="shared" ca="1" si="122"/>
        <v>1</v>
      </c>
      <c r="AB830">
        <f t="shared" ca="1" si="123"/>
        <v>0</v>
      </c>
      <c r="AC830" s="24">
        <f t="shared" ca="1" si="124"/>
        <v>8.0313434664487551E-2</v>
      </c>
      <c r="AD830" s="24">
        <f t="shared" ca="1" si="125"/>
        <v>0</v>
      </c>
    </row>
    <row r="831" spans="3:30" x14ac:dyDescent="0.25">
      <c r="C831" s="6">
        <v>824</v>
      </c>
      <c r="D831" s="35">
        <v>43178</v>
      </c>
      <c r="E831" s="37">
        <v>17.686</v>
      </c>
      <c r="F831" s="37">
        <v>51.461362019772544</v>
      </c>
      <c r="G831" s="37">
        <v>39.68</v>
      </c>
      <c r="H831" s="37">
        <v>2.2361995796136602</v>
      </c>
      <c r="I831" s="37">
        <v>67.933153776683739</v>
      </c>
      <c r="J831" s="10">
        <v>0</v>
      </c>
      <c r="K831" s="38">
        <v>0</v>
      </c>
      <c r="L831" s="38">
        <v>1</v>
      </c>
      <c r="M831" s="38">
        <v>0</v>
      </c>
      <c r="N831" s="38">
        <v>0</v>
      </c>
      <c r="O831" s="38">
        <v>0</v>
      </c>
      <c r="P831" s="38">
        <v>0</v>
      </c>
      <c r="Q831" s="38">
        <v>0</v>
      </c>
      <c r="R831" s="38">
        <v>0</v>
      </c>
      <c r="S831" s="38">
        <v>0</v>
      </c>
      <c r="T831" s="38">
        <v>0</v>
      </c>
      <c r="U831" s="29" cm="1">
        <f t="array" aca="1" ref="U831" ca="1">+fair_value_gap(OFFSET(T830,0,0,-1*$J$5,-1*$AA$1),OFFSET(E830,0,0,-1*$J$5,1),F831:T831,0)</f>
        <v>17.42703462110331</v>
      </c>
      <c r="V831" s="9" cm="1">
        <f t="array" aca="1" ref="V831" ca="1">z_score_diff(OFFSET(U831,0,0,$J$5*-1,1),OFFSET(E831,0,0,$J$5*-1,1))</f>
        <v>-0.92375423887187724</v>
      </c>
      <c r="W831" s="9">
        <f t="shared" ca="1" si="121"/>
        <v>-0.65508654111836351</v>
      </c>
      <c r="X831" s="17">
        <f t="shared" ca="1" si="120"/>
        <v>8.7383541886527374E-2</v>
      </c>
      <c r="Y831" s="13">
        <f t="shared" si="129"/>
        <v>0</v>
      </c>
      <c r="Z831" s="13">
        <f t="shared" si="129"/>
        <v>0</v>
      </c>
      <c r="AA831">
        <f t="shared" ca="1" si="122"/>
        <v>1</v>
      </c>
      <c r="AB831">
        <f t="shared" ca="1" si="123"/>
        <v>0</v>
      </c>
      <c r="AC831" s="24">
        <f t="shared" ca="1" si="124"/>
        <v>8.7383541886527374E-2</v>
      </c>
      <c r="AD831" s="24">
        <f t="shared" ca="1" si="125"/>
        <v>0</v>
      </c>
    </row>
    <row r="832" spans="3:30" x14ac:dyDescent="0.25">
      <c r="C832" s="6">
        <v>825</v>
      </c>
      <c r="D832" s="35">
        <v>43179</v>
      </c>
      <c r="E832" s="37">
        <v>17.975999999999999</v>
      </c>
      <c r="F832" s="37">
        <v>52.79375331621582</v>
      </c>
      <c r="G832" s="37">
        <v>40.19</v>
      </c>
      <c r="H832" s="37">
        <v>2.2705259166040661</v>
      </c>
      <c r="I832" s="37">
        <v>69.887109773486856</v>
      </c>
      <c r="J832" s="10">
        <v>0</v>
      </c>
      <c r="K832" s="38">
        <v>0</v>
      </c>
      <c r="L832" s="38">
        <v>1</v>
      </c>
      <c r="M832" s="38">
        <v>0</v>
      </c>
      <c r="N832" s="38">
        <v>0</v>
      </c>
      <c r="O832" s="38">
        <v>0</v>
      </c>
      <c r="P832" s="38">
        <v>0</v>
      </c>
      <c r="Q832" s="38">
        <v>0</v>
      </c>
      <c r="R832" s="38">
        <v>0</v>
      </c>
      <c r="S832" s="38">
        <v>0</v>
      </c>
      <c r="T832" s="38">
        <v>0</v>
      </c>
      <c r="U832" s="29" cm="1">
        <f t="array" aca="1" ref="U832" ca="1">+fair_value_gap(OFFSET(T831,0,0,-1*$J$5,-1*$AA$1),OFFSET(E831,0,0,-1*$J$5,1),F832:T832,0)</f>
        <v>17.725087289016386</v>
      </c>
      <c r="V832" s="9" cm="1">
        <f t="array" aca="1" ref="V832" ca="1">z_score_diff(OFFSET(U832,0,0,$J$5*-1,1),OFFSET(E832,0,0,$J$5*-1,1))</f>
        <v>-0.95092075219272054</v>
      </c>
      <c r="W832" s="9">
        <f t="shared" ca="1" si="121"/>
        <v>-0.66880181613554235</v>
      </c>
      <c r="X832" s="17">
        <f t="shared" ca="1" si="120"/>
        <v>9.8107977733640411E-2</v>
      </c>
      <c r="Y832" s="13">
        <f t="shared" si="129"/>
        <v>0</v>
      </c>
      <c r="Z832" s="13">
        <f t="shared" si="129"/>
        <v>0</v>
      </c>
      <c r="AA832">
        <f t="shared" ca="1" si="122"/>
        <v>1</v>
      </c>
      <c r="AB832">
        <f t="shared" ca="1" si="123"/>
        <v>0</v>
      </c>
      <c r="AC832" s="24">
        <f t="shared" ca="1" si="124"/>
        <v>9.8107977733640411E-2</v>
      </c>
      <c r="AD832" s="24">
        <f t="shared" ca="1" si="125"/>
        <v>0</v>
      </c>
    </row>
    <row r="833" spans="3:30" x14ac:dyDescent="0.25">
      <c r="C833" s="6">
        <v>826</v>
      </c>
      <c r="D833" s="35">
        <v>43180</v>
      </c>
      <c r="E833" s="37">
        <v>18.149999999999999</v>
      </c>
      <c r="F833" s="37">
        <v>53.879620365249799</v>
      </c>
      <c r="G833" s="37">
        <v>41.01</v>
      </c>
      <c r="H833" s="37">
        <v>2.2272693853152061</v>
      </c>
      <c r="I833" s="37">
        <v>68.887915685027181</v>
      </c>
      <c r="J833" s="10">
        <v>0</v>
      </c>
      <c r="K833" s="38">
        <v>0</v>
      </c>
      <c r="L833" s="38">
        <v>1</v>
      </c>
      <c r="M833" s="38">
        <v>0</v>
      </c>
      <c r="N833" s="38">
        <v>0</v>
      </c>
      <c r="O833" s="38">
        <v>0</v>
      </c>
      <c r="P833" s="38">
        <v>0</v>
      </c>
      <c r="Q833" s="38">
        <v>0</v>
      </c>
      <c r="R833" s="38">
        <v>0</v>
      </c>
      <c r="S833" s="38">
        <v>0</v>
      </c>
      <c r="T833" s="38">
        <v>0</v>
      </c>
      <c r="U833" s="29" cm="1">
        <f t="array" aca="1" ref="U833" ca="1">+fair_value_gap(OFFSET(T832,0,0,-1*$J$5,-1*$AA$1),OFFSET(E832,0,0,-1*$J$5,1),F833:T833,0)</f>
        <v>18.076742032102818</v>
      </c>
      <c r="V833" s="9" cm="1">
        <f t="array" aca="1" ref="V833" ca="1">z_score_diff(OFFSET(U833,0,0,$J$5*-1,1),OFFSET(E833,0,0,$J$5*-1,1))</f>
        <v>-0.60877662057025805</v>
      </c>
      <c r="W833" s="9">
        <f t="shared" ca="1" si="121"/>
        <v>-0.6761345887898873</v>
      </c>
      <c r="X833" s="17">
        <f t="shared" ca="1" si="120"/>
        <v>8.9331914781190166E-2</v>
      </c>
      <c r="Y833" s="13">
        <f t="shared" si="129"/>
        <v>0</v>
      </c>
      <c r="Z833" s="13">
        <f t="shared" si="129"/>
        <v>0</v>
      </c>
      <c r="AA833">
        <f t="shared" ca="1" si="122"/>
        <v>1</v>
      </c>
      <c r="AB833">
        <f t="shared" ca="1" si="123"/>
        <v>0</v>
      </c>
      <c r="AC833" s="24">
        <f t="shared" ca="1" si="124"/>
        <v>8.9331914781190166E-2</v>
      </c>
      <c r="AD833" s="24">
        <f t="shared" ca="1" si="125"/>
        <v>0</v>
      </c>
    </row>
    <row r="834" spans="3:30" x14ac:dyDescent="0.25">
      <c r="C834" s="6">
        <v>827</v>
      </c>
      <c r="D834" s="35">
        <v>43181</v>
      </c>
      <c r="E834" s="37">
        <v>18.085999999999999</v>
      </c>
      <c r="F834" s="37">
        <v>53.512354150993133</v>
      </c>
      <c r="G834" s="37">
        <v>41.11</v>
      </c>
      <c r="H834" s="37">
        <v>2.2297481898819265</v>
      </c>
      <c r="I834" s="37">
        <v>67.781781122533587</v>
      </c>
      <c r="J834" s="10">
        <v>0</v>
      </c>
      <c r="K834" s="38">
        <v>0</v>
      </c>
      <c r="L834" s="38">
        <v>1</v>
      </c>
      <c r="M834" s="38">
        <v>0</v>
      </c>
      <c r="N834" s="38">
        <v>0</v>
      </c>
      <c r="O834" s="38">
        <v>0</v>
      </c>
      <c r="P834" s="38">
        <v>0</v>
      </c>
      <c r="Q834" s="38">
        <v>0</v>
      </c>
      <c r="R834" s="38">
        <v>0</v>
      </c>
      <c r="S834" s="38">
        <v>0</v>
      </c>
      <c r="T834" s="38">
        <v>0</v>
      </c>
      <c r="U834" s="29" cm="1">
        <f t="array" aca="1" ref="U834" ca="1">+fair_value_gap(OFFSET(T833,0,0,-1*$J$5,-1*$AA$1),OFFSET(E833,0,0,-1*$J$5,1),F834:T834,0)</f>
        <v>18.085747897233265</v>
      </c>
      <c r="V834" s="9" cm="1">
        <f t="array" aca="1" ref="V834" ca="1">z_score_diff(OFFSET(U834,0,0,$J$5*-1,1),OFFSET(E834,0,0,$J$5*-1,1))</f>
        <v>-0.44120460522364247</v>
      </c>
      <c r="W834" s="9">
        <f t="shared" ca="1" si="121"/>
        <v>-0.6818120651798989</v>
      </c>
      <c r="X834" s="17">
        <f t="shared" ca="1" si="120"/>
        <v>0.10408800448995847</v>
      </c>
      <c r="Y834" s="13">
        <f t="shared" si="129"/>
        <v>0</v>
      </c>
      <c r="Z834" s="13">
        <f t="shared" si="129"/>
        <v>0</v>
      </c>
      <c r="AA834">
        <f t="shared" ca="1" si="122"/>
        <v>1</v>
      </c>
      <c r="AB834">
        <f t="shared" ca="1" si="123"/>
        <v>0</v>
      </c>
      <c r="AC834" s="24">
        <f t="shared" ca="1" si="124"/>
        <v>0.10408800448995847</v>
      </c>
      <c r="AD834" s="24">
        <f t="shared" ca="1" si="125"/>
        <v>0</v>
      </c>
    </row>
    <row r="835" spans="3:30" x14ac:dyDescent="0.25">
      <c r="C835" s="6">
        <v>828</v>
      </c>
      <c r="D835" s="35">
        <v>43182</v>
      </c>
      <c r="E835" s="37">
        <v>17.870999999999999</v>
      </c>
      <c r="F835" s="37">
        <v>54.312729246574527</v>
      </c>
      <c r="G835" s="37">
        <v>41.01</v>
      </c>
      <c r="H835" s="37">
        <v>2.2031618565629874</v>
      </c>
      <c r="I835" s="37">
        <v>67.372050976056585</v>
      </c>
      <c r="J835" s="10">
        <v>0</v>
      </c>
      <c r="K835" s="38">
        <v>0</v>
      </c>
      <c r="L835" s="38">
        <v>1</v>
      </c>
      <c r="M835" s="38">
        <v>0</v>
      </c>
      <c r="N835" s="38">
        <v>0</v>
      </c>
      <c r="O835" s="38">
        <v>0</v>
      </c>
      <c r="P835" s="38">
        <v>0</v>
      </c>
      <c r="Q835" s="38">
        <v>0</v>
      </c>
      <c r="R835" s="38">
        <v>0</v>
      </c>
      <c r="S835" s="38">
        <v>0</v>
      </c>
      <c r="T835" s="38">
        <v>0</v>
      </c>
      <c r="U835" s="29" cm="1">
        <f t="array" aca="1" ref="U835" ca="1">+fair_value_gap(OFFSET(T834,0,0,-1*$J$5,-1*$AA$1),OFFSET(E834,0,0,-1*$J$5,1),F835:T835,0)</f>
        <v>18.093515269620596</v>
      </c>
      <c r="V835" s="9" cm="1">
        <f t="array" aca="1" ref="V835" ca="1">z_score_diff(OFFSET(U835,0,0,$J$5*-1,1),OFFSET(E835,0,0,$J$5*-1,1))</f>
        <v>1.7593590266311354E-2</v>
      </c>
      <c r="W835" s="9">
        <f t="shared" ca="1" si="121"/>
        <v>-0.65840595044571748</v>
      </c>
      <c r="X835" s="17">
        <f t="shared" ca="1" si="120"/>
        <v>0.10366359239341394</v>
      </c>
      <c r="Y835" s="13">
        <f t="shared" si="129"/>
        <v>0</v>
      </c>
      <c r="Z835" s="13">
        <f t="shared" si="129"/>
        <v>0</v>
      </c>
      <c r="AA835">
        <f t="shared" ca="1" si="122"/>
        <v>1</v>
      </c>
      <c r="AB835">
        <f t="shared" ca="1" si="123"/>
        <v>0</v>
      </c>
      <c r="AC835" s="24">
        <f t="shared" ca="1" si="124"/>
        <v>0.10366359239341394</v>
      </c>
      <c r="AD835" s="24">
        <f t="shared" ca="1" si="125"/>
        <v>0</v>
      </c>
    </row>
    <row r="836" spans="3:30" x14ac:dyDescent="0.25">
      <c r="C836" s="6">
        <v>829</v>
      </c>
      <c r="D836" s="35">
        <v>43185</v>
      </c>
      <c r="E836" s="37">
        <v>17.699000000000002</v>
      </c>
      <c r="F836" s="37">
        <v>53.651842955066186</v>
      </c>
      <c r="G836" s="37">
        <v>41.01</v>
      </c>
      <c r="H836" s="37">
        <v>2.2056516654888401</v>
      </c>
      <c r="I836" s="37">
        <v>66.787512715771996</v>
      </c>
      <c r="J836" s="10">
        <v>0</v>
      </c>
      <c r="K836" s="38">
        <v>0</v>
      </c>
      <c r="L836" s="38">
        <v>1</v>
      </c>
      <c r="M836" s="38">
        <v>0</v>
      </c>
      <c r="N836" s="38">
        <v>0</v>
      </c>
      <c r="O836" s="38">
        <v>0</v>
      </c>
      <c r="P836" s="38">
        <v>0</v>
      </c>
      <c r="Q836" s="38">
        <v>0</v>
      </c>
      <c r="R836" s="38">
        <v>0</v>
      </c>
      <c r="S836" s="38">
        <v>0</v>
      </c>
      <c r="T836" s="38">
        <v>0</v>
      </c>
      <c r="U836" s="29" cm="1">
        <f t="array" aca="1" ref="U836" ca="1">+fair_value_gap(OFFSET(T835,0,0,-1*$J$5,-1*$AA$1),OFFSET(E835,0,0,-1*$J$5,1),F836:T836,0)</f>
        <v>17.99857011877722</v>
      </c>
      <c r="V836" s="9" cm="1">
        <f t="array" aca="1" ref="V836" ca="1">z_score_diff(OFFSET(U836,0,0,$J$5*-1,1),OFFSET(E836,0,0,$J$5*-1,1))</f>
        <v>0.2026359750911324</v>
      </c>
      <c r="W836" s="9">
        <f t="shared" ca="1" si="121"/>
        <v>-0.63428524618580784</v>
      </c>
      <c r="X836" s="17">
        <f t="shared" ca="1" si="120"/>
        <v>0.11866781654259699</v>
      </c>
      <c r="Y836" s="13">
        <f t="shared" si="129"/>
        <v>0</v>
      </c>
      <c r="Z836" s="13">
        <f t="shared" si="129"/>
        <v>0</v>
      </c>
      <c r="AA836">
        <f t="shared" ca="1" si="122"/>
        <v>1</v>
      </c>
      <c r="AB836">
        <f t="shared" ca="1" si="123"/>
        <v>0</v>
      </c>
      <c r="AC836" s="24">
        <f t="shared" ca="1" si="124"/>
        <v>0.11866781654259699</v>
      </c>
      <c r="AD836" s="24">
        <f t="shared" ca="1" si="125"/>
        <v>0</v>
      </c>
    </row>
    <row r="837" spans="3:30" x14ac:dyDescent="0.25">
      <c r="C837" s="6">
        <v>830</v>
      </c>
      <c r="D837" s="35">
        <v>43186</v>
      </c>
      <c r="E837" s="37">
        <v>18.099</v>
      </c>
      <c r="F837" s="37">
        <v>53.831853546838005</v>
      </c>
      <c r="G837" s="37">
        <v>41.47</v>
      </c>
      <c r="H837" s="37">
        <v>2.2437224651221568</v>
      </c>
      <c r="I837" s="37">
        <v>67.319621960980044</v>
      </c>
      <c r="J837" s="10">
        <v>0</v>
      </c>
      <c r="K837" s="38">
        <v>0</v>
      </c>
      <c r="L837" s="38">
        <v>1</v>
      </c>
      <c r="M837" s="38">
        <v>0</v>
      </c>
      <c r="N837" s="38">
        <v>0</v>
      </c>
      <c r="O837" s="38">
        <v>0</v>
      </c>
      <c r="P837" s="38">
        <v>0</v>
      </c>
      <c r="Q837" s="38">
        <v>0</v>
      </c>
      <c r="R837" s="38">
        <v>0</v>
      </c>
      <c r="S837" s="38">
        <v>0</v>
      </c>
      <c r="T837" s="38">
        <v>0</v>
      </c>
      <c r="U837" s="29" cm="1">
        <f t="array" aca="1" ref="U837" ca="1">+fair_value_gap(OFFSET(T836,0,0,-1*$J$5,-1*$AA$1),OFFSET(E836,0,0,-1*$J$5,1),F837:T837,0)</f>
        <v>18.157745094826105</v>
      </c>
      <c r="V837" s="9" cm="1">
        <f t="array" aca="1" ref="V837" ca="1">z_score_diff(OFFSET(U837,0,0,$J$5*-1,1),OFFSET(E837,0,0,$J$5*-1,1))</f>
        <v>-0.28758633351638863</v>
      </c>
      <c r="W837" s="9">
        <f t="shared" ca="1" si="121"/>
        <v>-0.63089997203094828</v>
      </c>
      <c r="X837" s="17">
        <f t="shared" ca="1" si="120"/>
        <v>0.11712593883378408</v>
      </c>
      <c r="Y837" s="13">
        <f t="shared" si="129"/>
        <v>0</v>
      </c>
      <c r="Z837" s="13">
        <f t="shared" si="129"/>
        <v>0</v>
      </c>
      <c r="AA837">
        <f t="shared" ca="1" si="122"/>
        <v>1</v>
      </c>
      <c r="AB837">
        <f t="shared" ca="1" si="123"/>
        <v>0</v>
      </c>
      <c r="AC837" s="24">
        <f t="shared" ca="1" si="124"/>
        <v>0.11712593883378408</v>
      </c>
      <c r="AD837" s="24">
        <f t="shared" ca="1" si="125"/>
        <v>0</v>
      </c>
    </row>
    <row r="838" spans="3:30" x14ac:dyDescent="0.25">
      <c r="C838" s="6">
        <v>831</v>
      </c>
      <c r="D838" s="35">
        <v>43187</v>
      </c>
      <c r="E838" s="37">
        <v>18.027999999999999</v>
      </c>
      <c r="F838" s="37">
        <v>53.714641866337466</v>
      </c>
      <c r="G838" s="37">
        <v>41.78</v>
      </c>
      <c r="H838" s="37">
        <v>2.2607415264251207</v>
      </c>
      <c r="I838" s="37">
        <v>68.134679951260281</v>
      </c>
      <c r="J838" s="10">
        <v>0</v>
      </c>
      <c r="K838" s="38">
        <v>0</v>
      </c>
      <c r="L838" s="38">
        <v>1</v>
      </c>
      <c r="M838" s="38">
        <v>0</v>
      </c>
      <c r="N838" s="38">
        <v>0</v>
      </c>
      <c r="O838" s="38">
        <v>0</v>
      </c>
      <c r="P838" s="38">
        <v>0</v>
      </c>
      <c r="Q838" s="38">
        <v>0</v>
      </c>
      <c r="R838" s="38">
        <v>0</v>
      </c>
      <c r="S838" s="38">
        <v>0</v>
      </c>
      <c r="T838" s="38">
        <v>0</v>
      </c>
      <c r="U838" s="29" cm="1">
        <f t="array" aca="1" ref="U838" ca="1">+fair_value_gap(OFFSET(T837,0,0,-1*$J$5,-1*$AA$1),OFFSET(E837,0,0,-1*$J$5,1),F838:T838,0)</f>
        <v>18.26980154770483</v>
      </c>
      <c r="V838" s="9" cm="1">
        <f t="array" aca="1" ref="V838" ca="1">z_score_diff(OFFSET(U838,0,0,$J$5*-1,1),OFFSET(E838,0,0,$J$5*-1,1))</f>
        <v>8.7857672735660586E-2</v>
      </c>
      <c r="W838" s="9">
        <f t="shared" ca="1" si="121"/>
        <v>-0.66680321490737926</v>
      </c>
      <c r="X838" s="17">
        <f t="shared" ca="1" si="120"/>
        <v>0.1267900051159645</v>
      </c>
      <c r="Y838" s="13">
        <f t="shared" si="129"/>
        <v>0</v>
      </c>
      <c r="Z838" s="13">
        <f t="shared" si="129"/>
        <v>0</v>
      </c>
      <c r="AA838">
        <f t="shared" ca="1" si="122"/>
        <v>1</v>
      </c>
      <c r="AB838">
        <f t="shared" ca="1" si="123"/>
        <v>0</v>
      </c>
      <c r="AC838" s="24">
        <f t="shared" ca="1" si="124"/>
        <v>0.1267900051159645</v>
      </c>
      <c r="AD838" s="24">
        <f t="shared" ca="1" si="125"/>
        <v>0</v>
      </c>
    </row>
    <row r="839" spans="3:30" x14ac:dyDescent="0.25">
      <c r="C839" s="6">
        <v>832</v>
      </c>
      <c r="D839" s="35">
        <v>43188</v>
      </c>
      <c r="E839" s="37">
        <v>18.373999999999999</v>
      </c>
      <c r="F839" s="37">
        <v>54.091788531482869</v>
      </c>
      <c r="G839" s="37">
        <v>44.63</v>
      </c>
      <c r="H839" s="37">
        <v>2.2810080035649767</v>
      </c>
      <c r="I839" s="37">
        <v>69.047378604048745</v>
      </c>
      <c r="J839" s="10">
        <v>0</v>
      </c>
      <c r="K839" s="38">
        <v>0</v>
      </c>
      <c r="L839" s="38">
        <v>1</v>
      </c>
      <c r="M839" s="38">
        <v>0</v>
      </c>
      <c r="N839" s="38">
        <v>0</v>
      </c>
      <c r="O839" s="38">
        <v>0</v>
      </c>
      <c r="P839" s="38">
        <v>0</v>
      </c>
      <c r="Q839" s="38">
        <v>0</v>
      </c>
      <c r="R839" s="38">
        <v>0</v>
      </c>
      <c r="S839" s="38">
        <v>0</v>
      </c>
      <c r="T839" s="38">
        <v>0</v>
      </c>
      <c r="U839" s="29" cm="1">
        <f t="array" aca="1" ref="U839" ca="1">+fair_value_gap(OFFSET(T838,0,0,-1*$J$5,-1*$AA$1),OFFSET(E838,0,0,-1*$J$5,1),F839:T839,0)</f>
        <v>19.222121778395092</v>
      </c>
      <c r="V839" s="9" cm="1">
        <f t="array" aca="1" ref="V839" ca="1">z_score_diff(OFFSET(U839,0,0,$J$5*-1,1),OFFSET(E839,0,0,$J$5*-1,1))</f>
        <v>1.1774815219276542</v>
      </c>
      <c r="W839" s="9">
        <f t="shared" ca="1" si="121"/>
        <v>-0.58270570930135845</v>
      </c>
      <c r="X839" s="17">
        <f t="shared" ref="X839:X902" ca="1" si="130">+LN(OFFSET(E839,$X$3,0,1,1)/E839)</f>
        <v>0.14687803400125987</v>
      </c>
      <c r="Y839" s="13">
        <f t="shared" si="129"/>
        <v>0</v>
      </c>
      <c r="Z839" s="13">
        <f t="shared" si="129"/>
        <v>0</v>
      </c>
      <c r="AA839">
        <f t="shared" ca="1" si="122"/>
        <v>1</v>
      </c>
      <c r="AB839">
        <f t="shared" ca="1" si="123"/>
        <v>0</v>
      </c>
      <c r="AC839" s="24">
        <f t="shared" ca="1" si="124"/>
        <v>0.14687803400125987</v>
      </c>
      <c r="AD839" s="24">
        <f t="shared" ca="1" si="125"/>
        <v>0</v>
      </c>
    </row>
    <row r="840" spans="3:30" x14ac:dyDescent="0.25">
      <c r="C840" s="6">
        <v>833</v>
      </c>
      <c r="D840" s="35">
        <v>43193</v>
      </c>
      <c r="E840" s="37">
        <v>18.280999999999999</v>
      </c>
      <c r="F840" s="37">
        <v>53.050333925371106</v>
      </c>
      <c r="G840" s="37">
        <v>44.67</v>
      </c>
      <c r="H840" s="37">
        <v>2.2671563702995288</v>
      </c>
      <c r="I840" s="37">
        <v>70.240860249620269</v>
      </c>
      <c r="J840" s="10">
        <v>0</v>
      </c>
      <c r="K840" s="38">
        <v>0</v>
      </c>
      <c r="L840" s="38">
        <v>0</v>
      </c>
      <c r="M840" s="38">
        <v>1</v>
      </c>
      <c r="N840" s="38">
        <v>0</v>
      </c>
      <c r="O840" s="38">
        <v>0</v>
      </c>
      <c r="P840" s="38">
        <v>0</v>
      </c>
      <c r="Q840" s="38">
        <v>0</v>
      </c>
      <c r="R840" s="38">
        <v>0</v>
      </c>
      <c r="S840" s="38">
        <v>0</v>
      </c>
      <c r="T840" s="38">
        <v>0</v>
      </c>
      <c r="U840" s="29" cm="1">
        <f t="array" aca="1" ref="U840" ca="1">+fair_value_gap(OFFSET(T839,0,0,-1*$J$5,-1*$AA$1),OFFSET(E839,0,0,-1*$J$5,1),F840:T840,0)</f>
        <v>17.581698180251934</v>
      </c>
      <c r="V840" s="9" cm="1">
        <f t="array" aca="1" ref="V840" ca="1">z_score_diff(OFFSET(U840,0,0,$J$5*-1,1),OFFSET(E840,0,0,$J$5*-1,1))</f>
        <v>-1.7339904357741498</v>
      </c>
      <c r="W840" s="9">
        <f t="shared" ref="W840:W903" ca="1" si="131">+IF(ISERROR(AVERAGE(OFFSET(V840,0,0,$W$5*-1,1))),"",AVERAGE(OFFSET(V840,0,0,$W$5*-1,1)))</f>
        <v>-0.61641754845875685</v>
      </c>
      <c r="X840" s="17">
        <f t="shared" ca="1" si="130"/>
        <v>0.13412609568358039</v>
      </c>
      <c r="Y840" s="13">
        <f t="shared" si="129"/>
        <v>0</v>
      </c>
      <c r="Z840" s="13">
        <f t="shared" si="129"/>
        <v>0</v>
      </c>
      <c r="AA840">
        <f t="shared" ref="AA840:AA903" ca="1" si="132">+IF(W840="","",IF(W840&lt;Y840,1,0))</f>
        <v>1</v>
      </c>
      <c r="AB840">
        <f t="shared" ref="AB840:AB903" ca="1" si="133">+IF(W840="","",IF(W840&gt;Z840,1,0))</f>
        <v>0</v>
      </c>
      <c r="AC840" s="24">
        <f t="shared" ref="AC840:AC903" ca="1" si="134">+IF(ISERROR(AA840*X840),"",AA840*X840)</f>
        <v>0.13412609568358039</v>
      </c>
      <c r="AD840" s="24">
        <f t="shared" ref="AD840:AD903" ca="1" si="135">+IF(ISERROR(AB840*X840),"",AB840*X840)</f>
        <v>0</v>
      </c>
    </row>
    <row r="841" spans="3:30" x14ac:dyDescent="0.25">
      <c r="C841" s="6">
        <v>834</v>
      </c>
      <c r="D841" s="35">
        <v>43194</v>
      </c>
      <c r="E841" s="37">
        <v>18.305</v>
      </c>
      <c r="F841" s="37">
        <v>52.89909683881546</v>
      </c>
      <c r="G841" s="37">
        <v>44.69</v>
      </c>
      <c r="H841" s="37">
        <v>2.2825827857622696</v>
      </c>
      <c r="I841" s="37">
        <v>70.668570424179961</v>
      </c>
      <c r="J841" s="10">
        <v>0</v>
      </c>
      <c r="K841" s="38">
        <v>0</v>
      </c>
      <c r="L841" s="38">
        <v>0</v>
      </c>
      <c r="M841" s="38">
        <v>1</v>
      </c>
      <c r="N841" s="38">
        <v>0</v>
      </c>
      <c r="O841" s="38">
        <v>0</v>
      </c>
      <c r="P841" s="38">
        <v>0</v>
      </c>
      <c r="Q841" s="38">
        <v>0</v>
      </c>
      <c r="R841" s="38">
        <v>0</v>
      </c>
      <c r="S841" s="38">
        <v>0</v>
      </c>
      <c r="T841" s="38">
        <v>0</v>
      </c>
      <c r="U841" s="29" cm="1">
        <f t="array" aca="1" ref="U841" ca="1">+fair_value_gap(OFFSET(T840,0,0,-1*$J$5,-1*$AA$1),OFFSET(E840,0,0,-1*$J$5,1),F841:T841,0)</f>
        <v>17.980031961214546</v>
      </c>
      <c r="V841" s="9" cm="1">
        <f t="array" aca="1" ref="V841" ca="1">z_score_diff(OFFSET(U841,0,0,$J$5*-1,1),OFFSET(E841,0,0,$J$5*-1,1))</f>
        <v>-1.0031288115911121</v>
      </c>
      <c r="W841" s="9">
        <f t="shared" ca="1" si="131"/>
        <v>-0.62047862586521085</v>
      </c>
      <c r="X841" s="17">
        <f t="shared" ca="1" si="130"/>
        <v>0.11743698653216812</v>
      </c>
      <c r="Y841" s="13">
        <f t="shared" ref="Y841:Z856" si="136">+Y840</f>
        <v>0</v>
      </c>
      <c r="Z841" s="13">
        <f t="shared" si="136"/>
        <v>0</v>
      </c>
      <c r="AA841">
        <f t="shared" ca="1" si="132"/>
        <v>1</v>
      </c>
      <c r="AB841">
        <f t="shared" ca="1" si="133"/>
        <v>0</v>
      </c>
      <c r="AC841" s="24">
        <f t="shared" ca="1" si="134"/>
        <v>0.11743698653216812</v>
      </c>
      <c r="AD841" s="24">
        <f t="shared" ca="1" si="135"/>
        <v>0</v>
      </c>
    </row>
    <row r="842" spans="3:30" x14ac:dyDescent="0.25">
      <c r="C842" s="6">
        <v>835</v>
      </c>
      <c r="D842" s="35">
        <v>43195</v>
      </c>
      <c r="E842" s="37">
        <v>18.260999999999999</v>
      </c>
      <c r="F842" s="37">
        <v>53.410024650780599</v>
      </c>
      <c r="G842" s="37">
        <v>44.63</v>
      </c>
      <c r="H842" s="37">
        <v>2.269321861858959</v>
      </c>
      <c r="I842" s="37">
        <v>71.857831053538916</v>
      </c>
      <c r="J842" s="10">
        <v>0</v>
      </c>
      <c r="K842" s="38">
        <v>0</v>
      </c>
      <c r="L842" s="38">
        <v>0</v>
      </c>
      <c r="M842" s="38">
        <v>1</v>
      </c>
      <c r="N842" s="38">
        <v>0</v>
      </c>
      <c r="O842" s="38">
        <v>0</v>
      </c>
      <c r="P842" s="38">
        <v>0</v>
      </c>
      <c r="Q842" s="38">
        <v>0</v>
      </c>
      <c r="R842" s="38">
        <v>0</v>
      </c>
      <c r="S842" s="38">
        <v>0</v>
      </c>
      <c r="T842" s="38">
        <v>0</v>
      </c>
      <c r="U842" s="29" cm="1">
        <f t="array" aca="1" ref="U842" ca="1">+fair_value_gap(OFFSET(T841,0,0,-1*$J$5,-1*$AA$1),OFFSET(E841,0,0,-1*$J$5,1),F842:T842,0)</f>
        <v>18.126258920388899</v>
      </c>
      <c r="V842" s="9" cm="1">
        <f t="array" aca="1" ref="V842" ca="1">z_score_diff(OFFSET(U842,0,0,$J$5*-1,1),OFFSET(E842,0,0,$J$5*-1,1))</f>
        <v>-0.62982453035938968</v>
      </c>
      <c r="W842" s="9">
        <f t="shared" ca="1" si="131"/>
        <v>-0.61066937547010136</v>
      </c>
      <c r="X842" s="17">
        <f t="shared" ca="1" si="130"/>
        <v>0.12217256249828712</v>
      </c>
      <c r="Y842" s="13">
        <f t="shared" si="136"/>
        <v>0</v>
      </c>
      <c r="Z842" s="13">
        <f t="shared" si="136"/>
        <v>0</v>
      </c>
      <c r="AA842">
        <f t="shared" ca="1" si="132"/>
        <v>1</v>
      </c>
      <c r="AB842">
        <f t="shared" ca="1" si="133"/>
        <v>0</v>
      </c>
      <c r="AC842" s="24">
        <f t="shared" ca="1" si="134"/>
        <v>0.12217256249828712</v>
      </c>
      <c r="AD842" s="24">
        <f t="shared" ca="1" si="135"/>
        <v>0</v>
      </c>
    </row>
    <row r="843" spans="3:30" x14ac:dyDescent="0.25">
      <c r="C843" s="6">
        <v>836</v>
      </c>
      <c r="D843" s="35">
        <v>43196</v>
      </c>
      <c r="E843" s="37">
        <v>18.327000000000002</v>
      </c>
      <c r="F843" s="37">
        <v>52.254388718382643</v>
      </c>
      <c r="G843" s="37">
        <v>44.78</v>
      </c>
      <c r="H843" s="37">
        <v>2.2711271421770549</v>
      </c>
      <c r="I843" s="37">
        <v>72.332469250672531</v>
      </c>
      <c r="J843" s="10">
        <v>0</v>
      </c>
      <c r="K843" s="38">
        <v>0</v>
      </c>
      <c r="L843" s="38">
        <v>0</v>
      </c>
      <c r="M843" s="38">
        <v>1</v>
      </c>
      <c r="N843" s="38">
        <v>0</v>
      </c>
      <c r="O843" s="38">
        <v>0</v>
      </c>
      <c r="P843" s="38">
        <v>0</v>
      </c>
      <c r="Q843" s="38">
        <v>0</v>
      </c>
      <c r="R843" s="38">
        <v>0</v>
      </c>
      <c r="S843" s="38">
        <v>0</v>
      </c>
      <c r="T843" s="38">
        <v>0</v>
      </c>
      <c r="U843" s="29" cm="1">
        <f t="array" aca="1" ref="U843" ca="1">+fair_value_gap(OFFSET(T842,0,0,-1*$J$5,-1*$AA$1),OFFSET(E842,0,0,-1*$J$5,1),F843:T843,0)</f>
        <v>18.162960353460761</v>
      </c>
      <c r="V843" s="9" cm="1">
        <f t="array" aca="1" ref="V843" ca="1">z_score_diff(OFFSET(U843,0,0,$J$5*-1,1),OFFSET(E843,0,0,$J$5*-1,1))</f>
        <v>-0.67870153762219054</v>
      </c>
      <c r="W843" s="9">
        <f t="shared" ca="1" si="131"/>
        <v>-0.59693745917734264</v>
      </c>
      <c r="X843" s="17">
        <f t="shared" ca="1" si="130"/>
        <v>0.14208179090749781</v>
      </c>
      <c r="Y843" s="13">
        <f t="shared" si="136"/>
        <v>0</v>
      </c>
      <c r="Z843" s="13">
        <f t="shared" si="136"/>
        <v>0</v>
      </c>
      <c r="AA843">
        <f t="shared" ca="1" si="132"/>
        <v>1</v>
      </c>
      <c r="AB843">
        <f t="shared" ca="1" si="133"/>
        <v>0</v>
      </c>
      <c r="AC843" s="24">
        <f t="shared" ca="1" si="134"/>
        <v>0.14208179090749781</v>
      </c>
      <c r="AD843" s="24">
        <f t="shared" ca="1" si="135"/>
        <v>0</v>
      </c>
    </row>
    <row r="844" spans="3:30" x14ac:dyDescent="0.25">
      <c r="C844" s="6">
        <v>837</v>
      </c>
      <c r="D844" s="35">
        <v>43199</v>
      </c>
      <c r="E844" s="37">
        <v>18.658000000000001</v>
      </c>
      <c r="F844" s="37">
        <v>53.116322986932964</v>
      </c>
      <c r="G844" s="37">
        <v>45.34</v>
      </c>
      <c r="H844" s="37">
        <v>2.2469212857382908</v>
      </c>
      <c r="I844" s="37">
        <v>72.376791415608423</v>
      </c>
      <c r="J844" s="10">
        <v>0</v>
      </c>
      <c r="K844" s="38">
        <v>0</v>
      </c>
      <c r="L844" s="38">
        <v>0</v>
      </c>
      <c r="M844" s="38">
        <v>1</v>
      </c>
      <c r="N844" s="38">
        <v>0</v>
      </c>
      <c r="O844" s="38">
        <v>0</v>
      </c>
      <c r="P844" s="38">
        <v>0</v>
      </c>
      <c r="Q844" s="38">
        <v>0</v>
      </c>
      <c r="R844" s="38">
        <v>0</v>
      </c>
      <c r="S844" s="38">
        <v>0</v>
      </c>
      <c r="T844" s="38">
        <v>0</v>
      </c>
      <c r="U844" s="29" cm="1">
        <f t="array" aca="1" ref="U844" ca="1">+fair_value_gap(OFFSET(T843,0,0,-1*$J$5,-1*$AA$1),OFFSET(E843,0,0,-1*$J$5,1),F844:T844,0)</f>
        <v>18.412733481397634</v>
      </c>
      <c r="V844" s="9" cm="1">
        <f t="array" aca="1" ref="V844" ca="1">z_score_diff(OFFSET(U844,0,0,$J$5*-1,1),OFFSET(E844,0,0,$J$5*-1,1))</f>
        <v>-0.837539529515126</v>
      </c>
      <c r="W844" s="9">
        <f t="shared" ca="1" si="131"/>
        <v>-0.57268283534852837</v>
      </c>
      <c r="X844" s="17">
        <f t="shared" ca="1" si="130"/>
        <v>0.13790999064966389</v>
      </c>
      <c r="Y844" s="13">
        <f t="shared" si="136"/>
        <v>0</v>
      </c>
      <c r="Z844" s="13">
        <f t="shared" si="136"/>
        <v>0</v>
      </c>
      <c r="AA844">
        <f t="shared" ca="1" si="132"/>
        <v>1</v>
      </c>
      <c r="AB844">
        <f t="shared" ca="1" si="133"/>
        <v>0</v>
      </c>
      <c r="AC844" s="24">
        <f t="shared" ca="1" si="134"/>
        <v>0.13790999064966389</v>
      </c>
      <c r="AD844" s="24">
        <f t="shared" ca="1" si="135"/>
        <v>0</v>
      </c>
    </row>
    <row r="845" spans="3:30" x14ac:dyDescent="0.25">
      <c r="C845" s="6">
        <v>838</v>
      </c>
      <c r="D845" s="35">
        <v>43200</v>
      </c>
      <c r="E845" s="37">
        <v>18.827000000000002</v>
      </c>
      <c r="F845" s="37">
        <v>54.523511917589765</v>
      </c>
      <c r="G845" s="37">
        <v>45.66</v>
      </c>
      <c r="H845" s="37">
        <v>2.2165391977038031</v>
      </c>
      <c r="I845" s="37">
        <v>72.394708401777066</v>
      </c>
      <c r="J845" s="10">
        <v>0</v>
      </c>
      <c r="K845" s="38">
        <v>0</v>
      </c>
      <c r="L845" s="38">
        <v>0</v>
      </c>
      <c r="M845" s="38">
        <v>1</v>
      </c>
      <c r="N845" s="38">
        <v>0</v>
      </c>
      <c r="O845" s="38">
        <v>0</v>
      </c>
      <c r="P845" s="38">
        <v>0</v>
      </c>
      <c r="Q845" s="38">
        <v>0</v>
      </c>
      <c r="R845" s="38">
        <v>0</v>
      </c>
      <c r="S845" s="38">
        <v>0</v>
      </c>
      <c r="T845" s="38">
        <v>0</v>
      </c>
      <c r="U845" s="29" cm="1">
        <f t="array" aca="1" ref="U845" ca="1">+fair_value_gap(OFFSET(T844,0,0,-1*$J$5,-1*$AA$1),OFFSET(E844,0,0,-1*$J$5,1),F845:T845,0)</f>
        <v>18.632980655500994</v>
      </c>
      <c r="V845" s="9" cm="1">
        <f t="array" aca="1" ref="V845" ca="1">z_score_diff(OFFSET(U845,0,0,$J$5*-1,1),OFFSET(E845,0,0,$J$5*-1,1))</f>
        <v>-0.71257484381152736</v>
      </c>
      <c r="W845" s="9">
        <f t="shared" ca="1" si="131"/>
        <v>-0.55643990729079751</v>
      </c>
      <c r="X845" s="17">
        <f t="shared" ca="1" si="130"/>
        <v>0.12561920483638764</v>
      </c>
      <c r="Y845" s="13">
        <f t="shared" si="136"/>
        <v>0</v>
      </c>
      <c r="Z845" s="13">
        <f t="shared" si="136"/>
        <v>0</v>
      </c>
      <c r="AA845">
        <f t="shared" ca="1" si="132"/>
        <v>1</v>
      </c>
      <c r="AB845">
        <f t="shared" ca="1" si="133"/>
        <v>0</v>
      </c>
      <c r="AC845" s="24">
        <f t="shared" ca="1" si="134"/>
        <v>0.12561920483638764</v>
      </c>
      <c r="AD845" s="24">
        <f t="shared" ca="1" si="135"/>
        <v>0</v>
      </c>
    </row>
    <row r="846" spans="3:30" x14ac:dyDescent="0.25">
      <c r="C846" s="6">
        <v>839</v>
      </c>
      <c r="D846" s="35">
        <v>43201</v>
      </c>
      <c r="E846" s="37">
        <v>19.274999999999999</v>
      </c>
      <c r="F846" s="37">
        <v>55.324141603021182</v>
      </c>
      <c r="G846" s="37">
        <v>45.97</v>
      </c>
      <c r="H846" s="37">
        <v>2.2214145317334681</v>
      </c>
      <c r="I846" s="37">
        <v>72.891409733414307</v>
      </c>
      <c r="J846" s="10">
        <v>0</v>
      </c>
      <c r="K846" s="38">
        <v>0</v>
      </c>
      <c r="L846" s="38">
        <v>0</v>
      </c>
      <c r="M846" s="38">
        <v>1</v>
      </c>
      <c r="N846" s="38">
        <v>0</v>
      </c>
      <c r="O846" s="38">
        <v>0</v>
      </c>
      <c r="P846" s="38">
        <v>0</v>
      </c>
      <c r="Q846" s="38">
        <v>0</v>
      </c>
      <c r="R846" s="38">
        <v>0</v>
      </c>
      <c r="S846" s="38">
        <v>0</v>
      </c>
      <c r="T846" s="38">
        <v>0</v>
      </c>
      <c r="U846" s="29" cm="1">
        <f t="array" aca="1" ref="U846" ca="1">+fair_value_gap(OFFSET(T845,0,0,-1*$J$5,-1*$AA$1),OFFSET(E845,0,0,-1*$J$5,1),F846:T846,0)</f>
        <v>18.823339643087447</v>
      </c>
      <c r="V846" s="9" cm="1">
        <f t="array" aca="1" ref="V846" ca="1">z_score_diff(OFFSET(U846,0,0,$J$5*-1,1),OFFSET(E846,0,0,$J$5*-1,1))</f>
        <v>-1.1259242126630875</v>
      </c>
      <c r="W846" s="9">
        <f t="shared" ca="1" si="131"/>
        <v>-0.54743839569062902</v>
      </c>
      <c r="X846" s="17">
        <f t="shared" ca="1" si="130"/>
        <v>0.1201149449913622</v>
      </c>
      <c r="Y846" s="13">
        <f t="shared" si="136"/>
        <v>0</v>
      </c>
      <c r="Z846" s="13">
        <f t="shared" si="136"/>
        <v>0</v>
      </c>
      <c r="AA846">
        <f t="shared" ca="1" si="132"/>
        <v>1</v>
      </c>
      <c r="AB846">
        <f t="shared" ca="1" si="133"/>
        <v>0</v>
      </c>
      <c r="AC846" s="24">
        <f t="shared" ca="1" si="134"/>
        <v>0.1201149449913622</v>
      </c>
      <c r="AD846" s="24">
        <f t="shared" ca="1" si="135"/>
        <v>0</v>
      </c>
    </row>
    <row r="847" spans="3:30" x14ac:dyDescent="0.25">
      <c r="C847" s="6">
        <v>840</v>
      </c>
      <c r="D847" s="35">
        <v>43202</v>
      </c>
      <c r="E847" s="37">
        <v>19.282</v>
      </c>
      <c r="F847" s="37">
        <v>55.359126538231145</v>
      </c>
      <c r="G847" s="37">
        <v>46.24</v>
      </c>
      <c r="H847" s="37">
        <v>2.2313198936964014</v>
      </c>
      <c r="I847" s="37">
        <v>72.977756379855421</v>
      </c>
      <c r="J847" s="10">
        <v>0</v>
      </c>
      <c r="K847" s="38">
        <v>0</v>
      </c>
      <c r="L847" s="38">
        <v>0</v>
      </c>
      <c r="M847" s="38">
        <v>1</v>
      </c>
      <c r="N847" s="38">
        <v>0</v>
      </c>
      <c r="O847" s="38">
        <v>0</v>
      </c>
      <c r="P847" s="38">
        <v>0</v>
      </c>
      <c r="Q847" s="38">
        <v>0</v>
      </c>
      <c r="R847" s="38">
        <v>0</v>
      </c>
      <c r="S847" s="38">
        <v>0</v>
      </c>
      <c r="T847" s="38">
        <v>0</v>
      </c>
      <c r="U847" s="29" cm="1">
        <f t="array" aca="1" ref="U847" ca="1">+fair_value_gap(OFFSET(T846,0,0,-1*$J$5,-1*$AA$1),OFFSET(E846,0,0,-1*$J$5,1),F847:T847,0)</f>
        <v>18.978297553704007</v>
      </c>
      <c r="V847" s="9" cm="1">
        <f t="array" aca="1" ref="V847" ca="1">z_score_diff(OFFSET(U847,0,0,$J$5*-1,1),OFFSET(E847,0,0,$J$5*-1,1))</f>
        <v>-0.78754589124652474</v>
      </c>
      <c r="W847" s="9">
        <f t="shared" ca="1" si="131"/>
        <v>-0.54250478633112098</v>
      </c>
      <c r="X847" s="17">
        <f t="shared" ca="1" si="130"/>
        <v>0.12383826341886298</v>
      </c>
      <c r="Y847" s="13">
        <f t="shared" si="136"/>
        <v>0</v>
      </c>
      <c r="Z847" s="13">
        <f t="shared" si="136"/>
        <v>0</v>
      </c>
      <c r="AA847">
        <f t="shared" ca="1" si="132"/>
        <v>1</v>
      </c>
      <c r="AB847">
        <f t="shared" ca="1" si="133"/>
        <v>0</v>
      </c>
      <c r="AC847" s="24">
        <f t="shared" ca="1" si="134"/>
        <v>0.12383826341886298</v>
      </c>
      <c r="AD847" s="24">
        <f t="shared" ca="1" si="135"/>
        <v>0</v>
      </c>
    </row>
    <row r="848" spans="3:30" x14ac:dyDescent="0.25">
      <c r="C848" s="6">
        <v>841</v>
      </c>
      <c r="D848" s="35">
        <v>43203</v>
      </c>
      <c r="E848" s="37">
        <v>19.628</v>
      </c>
      <c r="F848" s="37">
        <v>55.757965337957707</v>
      </c>
      <c r="G848" s="37">
        <v>46.81</v>
      </c>
      <c r="H848" s="37">
        <v>2.2594208495134569</v>
      </c>
      <c r="I848" s="37">
        <v>72.915492383449134</v>
      </c>
      <c r="J848" s="10">
        <v>0</v>
      </c>
      <c r="K848" s="38">
        <v>0</v>
      </c>
      <c r="L848" s="38">
        <v>0</v>
      </c>
      <c r="M848" s="38">
        <v>1</v>
      </c>
      <c r="N848" s="38">
        <v>0</v>
      </c>
      <c r="O848" s="38">
        <v>0</v>
      </c>
      <c r="P848" s="38">
        <v>0</v>
      </c>
      <c r="Q848" s="38">
        <v>0</v>
      </c>
      <c r="R848" s="38">
        <v>0</v>
      </c>
      <c r="S848" s="38">
        <v>0</v>
      </c>
      <c r="T848" s="38">
        <v>0</v>
      </c>
      <c r="U848" s="29" cm="1">
        <f t="array" aca="1" ref="U848" ca="1">+fair_value_gap(OFFSET(T847,0,0,-1*$J$5,-1*$AA$1),OFFSET(E847,0,0,-1*$J$5,1),F848:T848,0)</f>
        <v>19.217512473062037</v>
      </c>
      <c r="V848" s="9" cm="1">
        <f t="array" aca="1" ref="V848" ca="1">z_score_diff(OFFSET(U848,0,0,$J$5*-1,1),OFFSET(E848,0,0,$J$5*-1,1))</f>
        <v>-0.87769586961731827</v>
      </c>
      <c r="W848" s="9">
        <f t="shared" ca="1" si="131"/>
        <v>-0.56485585602900468</v>
      </c>
      <c r="X848" s="17">
        <f t="shared" ca="1" si="130"/>
        <v>0.12646296074325145</v>
      </c>
      <c r="Y848" s="13">
        <f t="shared" si="136"/>
        <v>0</v>
      </c>
      <c r="Z848" s="13">
        <f t="shared" si="136"/>
        <v>0</v>
      </c>
      <c r="AA848">
        <f t="shared" ca="1" si="132"/>
        <v>1</v>
      </c>
      <c r="AB848">
        <f t="shared" ca="1" si="133"/>
        <v>0</v>
      </c>
      <c r="AC848" s="24">
        <f t="shared" ca="1" si="134"/>
        <v>0.12646296074325145</v>
      </c>
      <c r="AD848" s="24">
        <f t="shared" ca="1" si="135"/>
        <v>0</v>
      </c>
    </row>
    <row r="849" spans="3:30" x14ac:dyDescent="0.25">
      <c r="C849" s="6">
        <v>842</v>
      </c>
      <c r="D849" s="35">
        <v>43206</v>
      </c>
      <c r="E849" s="37">
        <v>19.484000000000002</v>
      </c>
      <c r="F849" s="37">
        <v>54.798447297700797</v>
      </c>
      <c r="G849" s="37">
        <v>47.18</v>
      </c>
      <c r="H849" s="37">
        <v>2.2693341295909226</v>
      </c>
      <c r="I849" s="37">
        <v>72.021498954911905</v>
      </c>
      <c r="J849" s="10">
        <v>0</v>
      </c>
      <c r="K849" s="38">
        <v>0</v>
      </c>
      <c r="L849" s="38">
        <v>0</v>
      </c>
      <c r="M849" s="38">
        <v>1</v>
      </c>
      <c r="N849" s="38">
        <v>0</v>
      </c>
      <c r="O849" s="38">
        <v>0</v>
      </c>
      <c r="P849" s="38">
        <v>0</v>
      </c>
      <c r="Q849" s="38">
        <v>0</v>
      </c>
      <c r="R849" s="38">
        <v>0</v>
      </c>
      <c r="S849" s="38">
        <v>0</v>
      </c>
      <c r="T849" s="38">
        <v>0</v>
      </c>
      <c r="U849" s="29" cm="1">
        <f t="array" aca="1" ref="U849" ca="1">+fair_value_gap(OFFSET(T848,0,0,-1*$J$5,-1*$AA$1),OFFSET(E848,0,0,-1*$J$5,1),F849:T849,0)</f>
        <v>19.288412788876393</v>
      </c>
      <c r="V849" s="9" cm="1">
        <f t="array" aca="1" ref="V849" ca="1">z_score_diff(OFFSET(U849,0,0,$J$5*-1,1),OFFSET(E849,0,0,$J$5*-1,1))</f>
        <v>-0.44156381312422521</v>
      </c>
      <c r="W849" s="9">
        <f t="shared" ca="1" si="131"/>
        <v>-0.55107129629773122</v>
      </c>
      <c r="X849" s="17">
        <f t="shared" ca="1" si="130"/>
        <v>0.14835629033394387</v>
      </c>
      <c r="Y849" s="13">
        <f t="shared" si="136"/>
        <v>0</v>
      </c>
      <c r="Z849" s="13">
        <f t="shared" si="136"/>
        <v>0</v>
      </c>
      <c r="AA849">
        <f t="shared" ca="1" si="132"/>
        <v>1</v>
      </c>
      <c r="AB849">
        <f t="shared" ca="1" si="133"/>
        <v>0</v>
      </c>
      <c r="AC849" s="24">
        <f t="shared" ca="1" si="134"/>
        <v>0.14835629033394387</v>
      </c>
      <c r="AD849" s="24">
        <f t="shared" ca="1" si="135"/>
        <v>0</v>
      </c>
    </row>
    <row r="850" spans="3:30" x14ac:dyDescent="0.25">
      <c r="C850" s="6">
        <v>843</v>
      </c>
      <c r="D850" s="35">
        <v>43207</v>
      </c>
      <c r="E850" s="37">
        <v>19.087</v>
      </c>
      <c r="F850" s="37">
        <v>54.993006324195726</v>
      </c>
      <c r="G850" s="37">
        <v>46.44</v>
      </c>
      <c r="H850" s="37">
        <v>2.2594952598419549</v>
      </c>
      <c r="I850" s="37">
        <v>71.251808193957956</v>
      </c>
      <c r="J850" s="10">
        <v>0</v>
      </c>
      <c r="K850" s="38">
        <v>0</v>
      </c>
      <c r="L850" s="38">
        <v>0</v>
      </c>
      <c r="M850" s="38">
        <v>1</v>
      </c>
      <c r="N850" s="38">
        <v>0</v>
      </c>
      <c r="O850" s="38">
        <v>0</v>
      </c>
      <c r="P850" s="38">
        <v>0</v>
      </c>
      <c r="Q850" s="38">
        <v>0</v>
      </c>
      <c r="R850" s="38">
        <v>0</v>
      </c>
      <c r="S850" s="38">
        <v>0</v>
      </c>
      <c r="T850" s="38">
        <v>0</v>
      </c>
      <c r="U850" s="29" cm="1">
        <f t="array" aca="1" ref="U850" ca="1">+fair_value_gap(OFFSET(T849,0,0,-1*$J$5,-1*$AA$1),OFFSET(E849,0,0,-1*$J$5,1),F850:T850,0)</f>
        <v>19.088773011881369</v>
      </c>
      <c r="V850" s="9" cm="1">
        <f t="array" aca="1" ref="V850" ca="1">z_score_diff(OFFSET(U850,0,0,$J$5*-1,1),OFFSET(E850,0,0,$J$5*-1,1))</f>
        <v>-9.8940635284336942E-2</v>
      </c>
      <c r="W850" s="9">
        <f t="shared" ca="1" si="131"/>
        <v>-0.53270519504815572</v>
      </c>
      <c r="X850" s="17">
        <f t="shared" ca="1" si="130"/>
        <v>0.17238781650189283</v>
      </c>
      <c r="Y850" s="13">
        <f t="shared" si="136"/>
        <v>0</v>
      </c>
      <c r="Z850" s="13">
        <f t="shared" si="136"/>
        <v>0</v>
      </c>
      <c r="AA850">
        <f t="shared" ca="1" si="132"/>
        <v>1</v>
      </c>
      <c r="AB850">
        <f t="shared" ca="1" si="133"/>
        <v>0</v>
      </c>
      <c r="AC850" s="24">
        <f t="shared" ca="1" si="134"/>
        <v>0.17238781650189283</v>
      </c>
      <c r="AD850" s="24">
        <f t="shared" ca="1" si="135"/>
        <v>0</v>
      </c>
    </row>
    <row r="851" spans="3:30" x14ac:dyDescent="0.25">
      <c r="C851" s="6">
        <v>844</v>
      </c>
      <c r="D851" s="35">
        <v>43208</v>
      </c>
      <c r="E851" s="37">
        <v>19.300999999999998</v>
      </c>
      <c r="F851" s="37">
        <v>56.231583977064581</v>
      </c>
      <c r="G851" s="37">
        <v>46.42</v>
      </c>
      <c r="H851" s="37">
        <v>2.2521302858963126</v>
      </c>
      <c r="I851" s="37">
        <v>71.951899339014091</v>
      </c>
      <c r="J851" s="10">
        <v>0</v>
      </c>
      <c r="K851" s="38">
        <v>0</v>
      </c>
      <c r="L851" s="38">
        <v>0</v>
      </c>
      <c r="M851" s="38">
        <v>1</v>
      </c>
      <c r="N851" s="38">
        <v>0</v>
      </c>
      <c r="O851" s="38">
        <v>0</v>
      </c>
      <c r="P851" s="38">
        <v>0</v>
      </c>
      <c r="Q851" s="38">
        <v>0</v>
      </c>
      <c r="R851" s="38">
        <v>0</v>
      </c>
      <c r="S851" s="38">
        <v>0</v>
      </c>
      <c r="T851" s="38">
        <v>0</v>
      </c>
      <c r="U851" s="29" cm="1">
        <f t="array" aca="1" ref="U851" ca="1">+fair_value_gap(OFFSET(T850,0,0,-1*$J$5,-1*$AA$1),OFFSET(E850,0,0,-1*$J$5,1),F851:T851,0)</f>
        <v>19.188516387560668</v>
      </c>
      <c r="V851" s="9" cm="1">
        <f t="array" aca="1" ref="V851" ca="1">z_score_diff(OFFSET(U851,0,0,$J$5*-1,1),OFFSET(E851,0,0,$J$5*-1,1))</f>
        <v>-0.2503266708302041</v>
      </c>
      <c r="W851" s="9">
        <f t="shared" ca="1" si="131"/>
        <v>-0.49903381664607205</v>
      </c>
      <c r="X851" s="17">
        <f t="shared" ca="1" si="130"/>
        <v>0.15889858154591893</v>
      </c>
      <c r="Y851" s="13">
        <f t="shared" si="136"/>
        <v>0</v>
      </c>
      <c r="Z851" s="13">
        <f t="shared" si="136"/>
        <v>0</v>
      </c>
      <c r="AA851">
        <f t="shared" ca="1" si="132"/>
        <v>1</v>
      </c>
      <c r="AB851">
        <f t="shared" ca="1" si="133"/>
        <v>0</v>
      </c>
      <c r="AC851" s="24">
        <f t="shared" ca="1" si="134"/>
        <v>0.15889858154591893</v>
      </c>
      <c r="AD851" s="24">
        <f t="shared" ca="1" si="135"/>
        <v>0</v>
      </c>
    </row>
    <row r="852" spans="3:30" x14ac:dyDescent="0.25">
      <c r="C852" s="6">
        <v>845</v>
      </c>
      <c r="D852" s="35">
        <v>43209</v>
      </c>
      <c r="E852" s="37">
        <v>19.829000000000001</v>
      </c>
      <c r="F852" s="37">
        <v>56.673192573879561</v>
      </c>
      <c r="G852" s="37">
        <v>47.45</v>
      </c>
      <c r="H852" s="37">
        <v>2.203691342686779</v>
      </c>
      <c r="I852" s="37">
        <v>73.815675591084315</v>
      </c>
      <c r="J852" s="10">
        <v>0</v>
      </c>
      <c r="K852" s="38">
        <v>0</v>
      </c>
      <c r="L852" s="38">
        <v>0</v>
      </c>
      <c r="M852" s="38">
        <v>1</v>
      </c>
      <c r="N852" s="38">
        <v>0</v>
      </c>
      <c r="O852" s="38">
        <v>0</v>
      </c>
      <c r="P852" s="38">
        <v>0</v>
      </c>
      <c r="Q852" s="38">
        <v>0</v>
      </c>
      <c r="R852" s="38">
        <v>0</v>
      </c>
      <c r="S852" s="38">
        <v>0</v>
      </c>
      <c r="T852" s="38">
        <v>0</v>
      </c>
      <c r="U852" s="29" cm="1">
        <f t="array" aca="1" ref="U852" ca="1">+fair_value_gap(OFFSET(T851,0,0,-1*$J$5,-1*$AA$1),OFFSET(E851,0,0,-1*$J$5,1),F852:T852,0)</f>
        <v>19.551416853452178</v>
      </c>
      <c r="V852" s="9" cm="1">
        <f t="array" aca="1" ref="V852" ca="1">z_score_diff(OFFSET(U852,0,0,$J$5*-1,1),OFFSET(E852,0,0,$J$5*-1,1))</f>
        <v>-0.43524631789406554</v>
      </c>
      <c r="W852" s="9">
        <f t="shared" ca="1" si="131"/>
        <v>-0.4732500949311394</v>
      </c>
      <c r="X852" s="17">
        <f t="shared" ca="1" si="130"/>
        <v>0.15773925633976327</v>
      </c>
      <c r="Y852" s="13">
        <f t="shared" si="136"/>
        <v>0</v>
      </c>
      <c r="Z852" s="13">
        <f t="shared" si="136"/>
        <v>0</v>
      </c>
      <c r="AA852">
        <f t="shared" ca="1" si="132"/>
        <v>1</v>
      </c>
      <c r="AB852">
        <f t="shared" ca="1" si="133"/>
        <v>0</v>
      </c>
      <c r="AC852" s="24">
        <f t="shared" ca="1" si="134"/>
        <v>0.15773925633976327</v>
      </c>
      <c r="AD852" s="24">
        <f t="shared" ca="1" si="135"/>
        <v>0</v>
      </c>
    </row>
    <row r="853" spans="3:30" x14ac:dyDescent="0.25">
      <c r="C853" s="6">
        <v>846</v>
      </c>
      <c r="D853" s="35">
        <v>43210</v>
      </c>
      <c r="E853" s="37">
        <v>19.846</v>
      </c>
      <c r="F853" s="37">
        <v>57.142398664912228</v>
      </c>
      <c r="G853" s="37">
        <v>46.78</v>
      </c>
      <c r="H853" s="37">
        <v>2.260181648961777</v>
      </c>
      <c r="I853" s="37">
        <v>74.216117333675669</v>
      </c>
      <c r="J853" s="10">
        <v>0</v>
      </c>
      <c r="K853" s="38">
        <v>0</v>
      </c>
      <c r="L853" s="38">
        <v>0</v>
      </c>
      <c r="M853" s="38">
        <v>1</v>
      </c>
      <c r="N853" s="38">
        <v>0</v>
      </c>
      <c r="O853" s="38">
        <v>0</v>
      </c>
      <c r="P853" s="38">
        <v>0</v>
      </c>
      <c r="Q853" s="38">
        <v>0</v>
      </c>
      <c r="R853" s="38">
        <v>0</v>
      </c>
      <c r="S853" s="38">
        <v>0</v>
      </c>
      <c r="T853" s="38">
        <v>0</v>
      </c>
      <c r="U853" s="29" cm="1">
        <f t="array" aca="1" ref="U853" ca="1">+fair_value_gap(OFFSET(T852,0,0,-1*$J$5,-1*$AA$1),OFFSET(E852,0,0,-1*$J$5,1),F853:T853,0)</f>
        <v>19.44807612652659</v>
      </c>
      <c r="V853" s="9" cm="1">
        <f t="array" aca="1" ref="V853" ca="1">z_score_diff(OFFSET(U853,0,0,$J$5*-1,1),OFFSET(E853,0,0,$J$5*-1,1))</f>
        <v>-0.5647116668181611</v>
      </c>
      <c r="W853" s="9">
        <f t="shared" ca="1" si="131"/>
        <v>-0.47104684724353457</v>
      </c>
      <c r="X853" s="17">
        <f t="shared" ca="1" si="130"/>
        <v>0.14792642855522473</v>
      </c>
      <c r="Y853" s="13">
        <f t="shared" si="136"/>
        <v>0</v>
      </c>
      <c r="Z853" s="13">
        <f t="shared" si="136"/>
        <v>0</v>
      </c>
      <c r="AA853">
        <f t="shared" ca="1" si="132"/>
        <v>1</v>
      </c>
      <c r="AB853">
        <f t="shared" ca="1" si="133"/>
        <v>0</v>
      </c>
      <c r="AC853" s="24">
        <f t="shared" ca="1" si="134"/>
        <v>0.14792642855522473</v>
      </c>
      <c r="AD853" s="24">
        <f t="shared" ca="1" si="135"/>
        <v>0</v>
      </c>
    </row>
    <row r="854" spans="3:30" x14ac:dyDescent="0.25">
      <c r="C854" s="6">
        <v>847</v>
      </c>
      <c r="D854" s="35">
        <v>43213</v>
      </c>
      <c r="E854" s="37">
        <v>20.07</v>
      </c>
      <c r="F854" s="37">
        <v>58.007965296946686</v>
      </c>
      <c r="G854" s="37">
        <v>46.91</v>
      </c>
      <c r="H854" s="37">
        <v>2.2767218112371559</v>
      </c>
      <c r="I854" s="37">
        <v>74.477867761215478</v>
      </c>
      <c r="J854" s="10">
        <v>0</v>
      </c>
      <c r="K854" s="38">
        <v>0</v>
      </c>
      <c r="L854" s="38">
        <v>0</v>
      </c>
      <c r="M854" s="38">
        <v>1</v>
      </c>
      <c r="N854" s="38">
        <v>0</v>
      </c>
      <c r="O854" s="38">
        <v>0</v>
      </c>
      <c r="P854" s="38">
        <v>0</v>
      </c>
      <c r="Q854" s="38">
        <v>0</v>
      </c>
      <c r="R854" s="38">
        <v>0</v>
      </c>
      <c r="S854" s="38">
        <v>0</v>
      </c>
      <c r="T854" s="38">
        <v>0</v>
      </c>
      <c r="U854" s="29" cm="1">
        <f t="array" aca="1" ref="U854" ca="1">+fair_value_gap(OFFSET(T853,0,0,-1*$J$5,-1*$AA$1),OFFSET(E853,0,0,-1*$J$5,1),F854:T854,0)</f>
        <v>19.592296913675359</v>
      </c>
      <c r="V854" s="9" cm="1">
        <f t="array" aca="1" ref="V854" ca="1">z_score_diff(OFFSET(U854,0,0,$J$5*-1,1),OFFSET(E854,0,0,$J$5*-1,1))</f>
        <v>-0.58176453632286051</v>
      </c>
      <c r="W854" s="9">
        <f t="shared" ca="1" si="131"/>
        <v>-0.47807484379849541</v>
      </c>
      <c r="X854" s="17">
        <f t="shared" ca="1" si="130"/>
        <v>0.14892672344097058</v>
      </c>
      <c r="Y854" s="13">
        <f t="shared" si="136"/>
        <v>0</v>
      </c>
      <c r="Z854" s="13">
        <f t="shared" si="136"/>
        <v>0</v>
      </c>
      <c r="AA854">
        <f t="shared" ca="1" si="132"/>
        <v>1</v>
      </c>
      <c r="AB854">
        <f t="shared" ca="1" si="133"/>
        <v>0</v>
      </c>
      <c r="AC854" s="24">
        <f t="shared" ca="1" si="134"/>
        <v>0.14892672344097058</v>
      </c>
      <c r="AD854" s="24">
        <f t="shared" ca="1" si="135"/>
        <v>0</v>
      </c>
    </row>
    <row r="855" spans="3:30" x14ac:dyDescent="0.25">
      <c r="C855" s="6">
        <v>848</v>
      </c>
      <c r="D855" s="35">
        <v>43214</v>
      </c>
      <c r="E855" s="37">
        <v>19.823</v>
      </c>
      <c r="F855" s="37">
        <v>57.196439964683215</v>
      </c>
      <c r="G855" s="37">
        <v>46.74</v>
      </c>
      <c r="H855" s="37">
        <v>2.2959134352020727</v>
      </c>
      <c r="I855" s="37">
        <v>74.274813587940741</v>
      </c>
      <c r="J855" s="10">
        <v>0</v>
      </c>
      <c r="K855" s="38">
        <v>0</v>
      </c>
      <c r="L855" s="38">
        <v>0</v>
      </c>
      <c r="M855" s="38">
        <v>1</v>
      </c>
      <c r="N855" s="38">
        <v>0</v>
      </c>
      <c r="O855" s="38">
        <v>0</v>
      </c>
      <c r="P855" s="38">
        <v>0</v>
      </c>
      <c r="Q855" s="38">
        <v>0</v>
      </c>
      <c r="R855" s="38">
        <v>0</v>
      </c>
      <c r="S855" s="38">
        <v>0</v>
      </c>
      <c r="T855" s="38">
        <v>0</v>
      </c>
      <c r="U855" s="29" cm="1">
        <f t="array" aca="1" ref="U855" ca="1">+fair_value_gap(OFFSET(T854,0,0,-1*$J$5,-1*$AA$1),OFFSET(E854,0,0,-1*$J$5,1),F855:T855,0)</f>
        <v>19.530661765415715</v>
      </c>
      <c r="V855" s="9" cm="1">
        <f t="array" aca="1" ref="V855" ca="1">z_score_diff(OFFSET(U855,0,0,$J$5*-1,1),OFFSET(E855,0,0,$J$5*-1,1))</f>
        <v>-0.28379930771359518</v>
      </c>
      <c r="W855" s="9">
        <f t="shared" ca="1" si="131"/>
        <v>-0.49314448869749078</v>
      </c>
      <c r="X855" s="17">
        <f t="shared" ca="1" si="130"/>
        <v>0.18376664375063526</v>
      </c>
      <c r="Y855" s="13">
        <f t="shared" si="136"/>
        <v>0</v>
      </c>
      <c r="Z855" s="13">
        <f t="shared" si="136"/>
        <v>0</v>
      </c>
      <c r="AA855">
        <f t="shared" ca="1" si="132"/>
        <v>1</v>
      </c>
      <c r="AB855">
        <f t="shared" ca="1" si="133"/>
        <v>0</v>
      </c>
      <c r="AC855" s="24">
        <f t="shared" ca="1" si="134"/>
        <v>0.18376664375063526</v>
      </c>
      <c r="AD855" s="24">
        <f t="shared" ca="1" si="135"/>
        <v>0</v>
      </c>
    </row>
    <row r="856" spans="3:30" x14ac:dyDescent="0.25">
      <c r="C856" s="6">
        <v>849</v>
      </c>
      <c r="D856" s="35">
        <v>43215</v>
      </c>
      <c r="E856" s="37">
        <v>19.928999999999998</v>
      </c>
      <c r="F856" s="37">
        <v>57.722373376710209</v>
      </c>
      <c r="G856" s="37">
        <v>46.72</v>
      </c>
      <c r="H856" s="37">
        <v>2.3066255915489648</v>
      </c>
      <c r="I856" s="37">
        <v>75.374624038669609</v>
      </c>
      <c r="J856" s="10">
        <v>0</v>
      </c>
      <c r="K856" s="38">
        <v>0</v>
      </c>
      <c r="L856" s="38">
        <v>0</v>
      </c>
      <c r="M856" s="38">
        <v>1</v>
      </c>
      <c r="N856" s="38">
        <v>0</v>
      </c>
      <c r="O856" s="38">
        <v>0</v>
      </c>
      <c r="P856" s="38">
        <v>0</v>
      </c>
      <c r="Q856" s="38">
        <v>0</v>
      </c>
      <c r="R856" s="38">
        <v>0</v>
      </c>
      <c r="S856" s="38">
        <v>0</v>
      </c>
      <c r="T856" s="38">
        <v>0</v>
      </c>
      <c r="U856" s="29" cm="1">
        <f t="array" aca="1" ref="U856" ca="1">+fair_value_gap(OFFSET(T855,0,0,-1*$J$5,-1*$AA$1),OFFSET(E855,0,0,-1*$J$5,1),F856:T856,0)</f>
        <v>19.613680602262107</v>
      </c>
      <c r="V856" s="9" cm="1">
        <f t="array" aca="1" ref="V856" ca="1">z_score_diff(OFFSET(U856,0,0,$J$5*-1,1),OFFSET(E856,0,0,$J$5*-1,1))</f>
        <v>-0.27340292051246395</v>
      </c>
      <c r="W856" s="9">
        <f t="shared" ca="1" si="131"/>
        <v>-0.51694643347767044</v>
      </c>
      <c r="X856" s="17">
        <f t="shared" ca="1" si="130"/>
        <v>0.17452197145840664</v>
      </c>
      <c r="Y856" s="13">
        <f t="shared" si="136"/>
        <v>0</v>
      </c>
      <c r="Z856" s="13">
        <f t="shared" si="136"/>
        <v>0</v>
      </c>
      <c r="AA856">
        <f t="shared" ca="1" si="132"/>
        <v>1</v>
      </c>
      <c r="AB856">
        <f t="shared" ca="1" si="133"/>
        <v>0</v>
      </c>
      <c r="AC856" s="24">
        <f t="shared" ca="1" si="134"/>
        <v>0.17452197145840664</v>
      </c>
      <c r="AD856" s="24">
        <f t="shared" ca="1" si="135"/>
        <v>0</v>
      </c>
    </row>
    <row r="857" spans="3:30" x14ac:dyDescent="0.25">
      <c r="C857" s="6">
        <v>850</v>
      </c>
      <c r="D857" s="35">
        <v>43216</v>
      </c>
      <c r="E857" s="37">
        <v>20.347999999999999</v>
      </c>
      <c r="F857" s="37">
        <v>58.414106672920077</v>
      </c>
      <c r="G857" s="37">
        <v>47.41</v>
      </c>
      <c r="H857" s="37">
        <v>2.3368899658667499</v>
      </c>
      <c r="I857" s="37">
        <v>76.254266656244297</v>
      </c>
      <c r="J857" s="10">
        <v>0</v>
      </c>
      <c r="K857" s="38">
        <v>0</v>
      </c>
      <c r="L857" s="38">
        <v>0</v>
      </c>
      <c r="M857" s="38">
        <v>1</v>
      </c>
      <c r="N857" s="38">
        <v>0</v>
      </c>
      <c r="O857" s="38">
        <v>0</v>
      </c>
      <c r="P857" s="38">
        <v>0</v>
      </c>
      <c r="Q857" s="38">
        <v>0</v>
      </c>
      <c r="R857" s="38">
        <v>0</v>
      </c>
      <c r="S857" s="38">
        <v>0</v>
      </c>
      <c r="T857" s="38">
        <v>0</v>
      </c>
      <c r="U857" s="29" cm="1">
        <f t="array" aca="1" ref="U857" ca="1">+fair_value_gap(OFFSET(T856,0,0,-1*$J$5,-1*$AA$1),OFFSET(E856,0,0,-1*$J$5,1),F857:T857,0)</f>
        <v>19.907687829210122</v>
      </c>
      <c r="V857" s="9" cm="1">
        <f t="array" aca="1" ref="V857" ca="1">z_score_diff(OFFSET(U857,0,0,$J$5*-1,1),OFFSET(E857,0,0,$J$5*-1,1))</f>
        <v>-0.36479642472543539</v>
      </c>
      <c r="W857" s="9">
        <f t="shared" ca="1" si="131"/>
        <v>-0.52080693803812284</v>
      </c>
      <c r="X857" s="17">
        <f t="shared" ca="1" si="130"/>
        <v>0.15093001983239565</v>
      </c>
      <c r="Y857" s="13">
        <f t="shared" ref="Y857:Z872" si="137">+Y856</f>
        <v>0</v>
      </c>
      <c r="Z857" s="13">
        <f t="shared" si="137"/>
        <v>0</v>
      </c>
      <c r="AA857">
        <f t="shared" ca="1" si="132"/>
        <v>1</v>
      </c>
      <c r="AB857">
        <f t="shared" ca="1" si="133"/>
        <v>0</v>
      </c>
      <c r="AC857" s="24">
        <f t="shared" ca="1" si="134"/>
        <v>0.15093001983239565</v>
      </c>
      <c r="AD857" s="24">
        <f t="shared" ca="1" si="135"/>
        <v>0</v>
      </c>
    </row>
    <row r="858" spans="3:30" x14ac:dyDescent="0.25">
      <c r="C858" s="6">
        <v>851</v>
      </c>
      <c r="D858" s="35">
        <v>43217</v>
      </c>
      <c r="E858" s="37">
        <v>20.465</v>
      </c>
      <c r="F858" s="37">
        <v>58.236015960861756</v>
      </c>
      <c r="G858" s="37">
        <v>47.26</v>
      </c>
      <c r="H858" s="37">
        <v>2.3218015294471401</v>
      </c>
      <c r="I858" s="37">
        <v>76.716158340850541</v>
      </c>
      <c r="J858" s="10">
        <v>0</v>
      </c>
      <c r="K858" s="38">
        <v>0</v>
      </c>
      <c r="L858" s="38">
        <v>0</v>
      </c>
      <c r="M858" s="38">
        <v>1</v>
      </c>
      <c r="N858" s="38">
        <v>0</v>
      </c>
      <c r="O858" s="38">
        <v>0</v>
      </c>
      <c r="P858" s="38">
        <v>0</v>
      </c>
      <c r="Q858" s="38">
        <v>0</v>
      </c>
      <c r="R858" s="38">
        <v>0</v>
      </c>
      <c r="S858" s="38">
        <v>0</v>
      </c>
      <c r="T858" s="38">
        <v>0</v>
      </c>
      <c r="U858" s="29" cm="1">
        <f t="array" aca="1" ref="U858" ca="1">+fair_value_gap(OFFSET(T857,0,0,-1*$J$5,-1*$AA$1),OFFSET(E857,0,0,-1*$J$5,1),F858:T858,0)</f>
        <v>19.883029228454092</v>
      </c>
      <c r="V858" s="9" cm="1">
        <f t="array" aca="1" ref="V858" ca="1">z_score_diff(OFFSET(U858,0,0,$J$5*-1,1),OFFSET(E858,0,0,$J$5*-1,1))</f>
        <v>-0.50383434338822397</v>
      </c>
      <c r="W858" s="9">
        <f t="shared" ca="1" si="131"/>
        <v>-0.55039153884431702</v>
      </c>
      <c r="X858" s="17">
        <f t="shared" ca="1" si="130"/>
        <v>0.1114596401591154</v>
      </c>
      <c r="Y858" s="13">
        <f t="shared" si="137"/>
        <v>0</v>
      </c>
      <c r="Z858" s="13">
        <f t="shared" si="137"/>
        <v>0</v>
      </c>
      <c r="AA858">
        <f t="shared" ca="1" si="132"/>
        <v>1</v>
      </c>
      <c r="AB858">
        <f t="shared" ca="1" si="133"/>
        <v>0</v>
      </c>
      <c r="AC858" s="24">
        <f t="shared" ca="1" si="134"/>
        <v>0.1114596401591154</v>
      </c>
      <c r="AD858" s="24">
        <f t="shared" ca="1" si="135"/>
        <v>0</v>
      </c>
    </row>
    <row r="859" spans="3:30" x14ac:dyDescent="0.25">
      <c r="C859" s="6">
        <v>852</v>
      </c>
      <c r="D859" s="35">
        <v>43220</v>
      </c>
      <c r="E859" s="37">
        <v>21.280999999999999</v>
      </c>
      <c r="F859" s="37">
        <v>59.201055074772547</v>
      </c>
      <c r="G859" s="37">
        <v>49.58</v>
      </c>
      <c r="H859" s="37">
        <v>2.3202178050396793</v>
      </c>
      <c r="I859" s="37">
        <v>77.490214769088141</v>
      </c>
      <c r="J859" s="10">
        <v>0</v>
      </c>
      <c r="K859" s="38">
        <v>0</v>
      </c>
      <c r="L859" s="38">
        <v>0</v>
      </c>
      <c r="M859" s="38">
        <v>1</v>
      </c>
      <c r="N859" s="38">
        <v>0</v>
      </c>
      <c r="O859" s="38">
        <v>0</v>
      </c>
      <c r="P859" s="38">
        <v>0</v>
      </c>
      <c r="Q859" s="38">
        <v>0</v>
      </c>
      <c r="R859" s="38">
        <v>0</v>
      </c>
      <c r="S859" s="38">
        <v>0</v>
      </c>
      <c r="T859" s="38">
        <v>0</v>
      </c>
      <c r="U859" s="29" cm="1">
        <f t="array" aca="1" ref="U859" ca="1">+fair_value_gap(OFFSET(T858,0,0,-1*$J$5,-1*$AA$1),OFFSET(E858,0,0,-1*$J$5,1),F859:T859,0)</f>
        <v>20.621158202338151</v>
      </c>
      <c r="V859" s="9" cm="1">
        <f t="array" aca="1" ref="V859" ca="1">z_score_diff(OFFSET(U859,0,0,$J$5*-1,1),OFFSET(E859,0,0,$J$5*-1,1))</f>
        <v>-0.43004226791856759</v>
      </c>
      <c r="W859" s="9">
        <f t="shared" ca="1" si="131"/>
        <v>-0.6307677283366282</v>
      </c>
      <c r="X859" s="17">
        <f t="shared" ca="1" si="130"/>
        <v>7.8809356400938058E-2</v>
      </c>
      <c r="Y859" s="13">
        <f t="shared" si="137"/>
        <v>0</v>
      </c>
      <c r="Z859" s="13">
        <f t="shared" si="137"/>
        <v>0</v>
      </c>
      <c r="AA859">
        <f t="shared" ca="1" si="132"/>
        <v>1</v>
      </c>
      <c r="AB859">
        <f t="shared" ca="1" si="133"/>
        <v>0</v>
      </c>
      <c r="AC859" s="24">
        <f t="shared" ca="1" si="134"/>
        <v>7.8809356400938058E-2</v>
      </c>
      <c r="AD859" s="24">
        <f t="shared" ca="1" si="135"/>
        <v>0</v>
      </c>
    </row>
    <row r="860" spans="3:30" x14ac:dyDescent="0.25">
      <c r="C860" s="6">
        <v>853</v>
      </c>
      <c r="D860" s="35">
        <v>43221</v>
      </c>
      <c r="E860" s="37">
        <v>20.905000000000001</v>
      </c>
      <c r="F860" s="37">
        <v>58.155062087123291</v>
      </c>
      <c r="G860" s="37">
        <v>49.63</v>
      </c>
      <c r="H860" s="37">
        <v>2.3666324545840762</v>
      </c>
      <c r="I860" s="37">
        <v>78.476874796103928</v>
      </c>
      <c r="J860" s="10">
        <v>0</v>
      </c>
      <c r="K860" s="38">
        <v>0</v>
      </c>
      <c r="L860" s="38">
        <v>0</v>
      </c>
      <c r="M860" s="38">
        <v>0</v>
      </c>
      <c r="N860" s="38">
        <v>1</v>
      </c>
      <c r="O860" s="38">
        <v>0</v>
      </c>
      <c r="P860" s="38">
        <v>0</v>
      </c>
      <c r="Q860" s="38">
        <v>0</v>
      </c>
      <c r="R860" s="38">
        <v>0</v>
      </c>
      <c r="S860" s="38">
        <v>0</v>
      </c>
      <c r="T860" s="38">
        <v>0</v>
      </c>
      <c r="U860" s="29" cm="1">
        <f t="array" aca="1" ref="U860" ca="1">+fair_value_gap(OFFSET(T859,0,0,-1*$J$5,-1*$AA$1),OFFSET(E859,0,0,-1*$J$5,1),F860:T860,0)</f>
        <v>20.576066714287837</v>
      </c>
      <c r="V860" s="9" cm="1">
        <f t="array" aca="1" ref="V860" ca="1">z_score_diff(OFFSET(U860,0,0,$J$5*-1,1),OFFSET(E860,0,0,$J$5*-1,1))</f>
        <v>-3.1319964923667065E-2</v>
      </c>
      <c r="W860" s="9">
        <f t="shared" ca="1" si="131"/>
        <v>-0.54563420479410407</v>
      </c>
      <c r="X860" s="17">
        <f t="shared" ca="1" si="130"/>
        <v>0.11624580539949174</v>
      </c>
      <c r="Y860" s="13">
        <f t="shared" si="137"/>
        <v>0</v>
      </c>
      <c r="Z860" s="13">
        <f t="shared" si="137"/>
        <v>0</v>
      </c>
      <c r="AA860">
        <f t="shared" ca="1" si="132"/>
        <v>1</v>
      </c>
      <c r="AB860">
        <f t="shared" ca="1" si="133"/>
        <v>0</v>
      </c>
      <c r="AC860" s="24">
        <f t="shared" ca="1" si="134"/>
        <v>0.11624580539949174</v>
      </c>
      <c r="AD860" s="24">
        <f t="shared" ca="1" si="135"/>
        <v>0</v>
      </c>
    </row>
    <row r="861" spans="3:30" x14ac:dyDescent="0.25">
      <c r="C861" s="6">
        <v>854</v>
      </c>
      <c r="D861" s="35">
        <v>43222</v>
      </c>
      <c r="E861" s="37">
        <v>20.585999999999999</v>
      </c>
      <c r="F861" s="37">
        <v>58.484595840270757</v>
      </c>
      <c r="G861" s="37">
        <v>49.21</v>
      </c>
      <c r="H861" s="37">
        <v>2.342022732464311</v>
      </c>
      <c r="I861" s="37">
        <v>77.929981766858248</v>
      </c>
      <c r="J861" s="10">
        <v>0</v>
      </c>
      <c r="K861" s="38">
        <v>0</v>
      </c>
      <c r="L861" s="38">
        <v>0</v>
      </c>
      <c r="M861" s="38">
        <v>0</v>
      </c>
      <c r="N861" s="38">
        <v>1</v>
      </c>
      <c r="O861" s="38">
        <v>0</v>
      </c>
      <c r="P861" s="38">
        <v>0</v>
      </c>
      <c r="Q861" s="38">
        <v>0</v>
      </c>
      <c r="R861" s="38">
        <v>0</v>
      </c>
      <c r="S861" s="38">
        <v>0</v>
      </c>
      <c r="T861" s="38">
        <v>0</v>
      </c>
      <c r="U861" s="29" cm="1">
        <f t="array" aca="1" ref="U861" ca="1">+fair_value_gap(OFFSET(T860,0,0,-1*$J$5,-1*$AA$1),OFFSET(E860,0,0,-1*$J$5,1),F861:T861,0)</f>
        <v>20.67663371353995</v>
      </c>
      <c r="V861" s="9" cm="1">
        <f t="array" aca="1" ref="V861" ca="1">z_score_diff(OFFSET(U861,0,0,$J$5*-1,1),OFFSET(E861,0,0,$J$5*-1,1))</f>
        <v>0.42914761676467972</v>
      </c>
      <c r="W861" s="9">
        <f t="shared" ca="1" si="131"/>
        <v>-0.4740203833763143</v>
      </c>
      <c r="X861" s="17">
        <f t="shared" ca="1" si="130"/>
        <v>0.14301340175303887</v>
      </c>
      <c r="Y861" s="13">
        <f t="shared" si="137"/>
        <v>0</v>
      </c>
      <c r="Z861" s="13">
        <f t="shared" si="137"/>
        <v>0</v>
      </c>
      <c r="AA861">
        <f t="shared" ca="1" si="132"/>
        <v>1</v>
      </c>
      <c r="AB861">
        <f t="shared" ca="1" si="133"/>
        <v>0</v>
      </c>
      <c r="AC861" s="24">
        <f t="shared" ca="1" si="134"/>
        <v>0.14301340175303887</v>
      </c>
      <c r="AD861" s="24">
        <f t="shared" ca="1" si="135"/>
        <v>0</v>
      </c>
    </row>
    <row r="862" spans="3:30" x14ac:dyDescent="0.25">
      <c r="C862" s="6">
        <v>855</v>
      </c>
      <c r="D862" s="35">
        <v>43223</v>
      </c>
      <c r="E862" s="37">
        <v>20.634</v>
      </c>
      <c r="F862" s="37">
        <v>58.475012456361632</v>
      </c>
      <c r="G862" s="37">
        <v>48.9</v>
      </c>
      <c r="H862" s="37">
        <v>2.30627685517568</v>
      </c>
      <c r="I862" s="37">
        <v>77.780317468669992</v>
      </c>
      <c r="J862" s="10">
        <v>0</v>
      </c>
      <c r="K862" s="38">
        <v>0</v>
      </c>
      <c r="L862" s="38">
        <v>0</v>
      </c>
      <c r="M862" s="38">
        <v>0</v>
      </c>
      <c r="N862" s="38">
        <v>1</v>
      </c>
      <c r="O862" s="38">
        <v>0</v>
      </c>
      <c r="P862" s="38">
        <v>0</v>
      </c>
      <c r="Q862" s="38">
        <v>0</v>
      </c>
      <c r="R862" s="38">
        <v>0</v>
      </c>
      <c r="S862" s="38">
        <v>0</v>
      </c>
      <c r="T862" s="38">
        <v>0</v>
      </c>
      <c r="U862" s="29" cm="1">
        <f t="array" aca="1" ref="U862" ca="1">+fair_value_gap(OFFSET(T861,0,0,-1*$J$5,-1*$AA$1),OFFSET(E861,0,0,-1*$J$5,1),F862:T862,0)</f>
        <v>20.544547378244708</v>
      </c>
      <c r="V862" s="9" cm="1">
        <f t="array" aca="1" ref="V862" ca="1">z_score_diff(OFFSET(U862,0,0,$J$5*-1,1),OFFSET(E862,0,0,$J$5*-1,1))</f>
        <v>0.18585951170871962</v>
      </c>
      <c r="W862" s="9">
        <f t="shared" ca="1" si="131"/>
        <v>-0.43323618127290897</v>
      </c>
      <c r="X862" s="17">
        <f t="shared" ca="1" si="130"/>
        <v>0.12579582168547146</v>
      </c>
      <c r="Y862" s="13">
        <f t="shared" si="137"/>
        <v>0</v>
      </c>
      <c r="Z862" s="13">
        <f t="shared" si="137"/>
        <v>0</v>
      </c>
      <c r="AA862">
        <f t="shared" ca="1" si="132"/>
        <v>1</v>
      </c>
      <c r="AB862">
        <f t="shared" ca="1" si="133"/>
        <v>0</v>
      </c>
      <c r="AC862" s="24">
        <f t="shared" ca="1" si="134"/>
        <v>0.12579582168547146</v>
      </c>
      <c r="AD862" s="24">
        <f t="shared" ca="1" si="135"/>
        <v>0</v>
      </c>
    </row>
    <row r="863" spans="3:30" x14ac:dyDescent="0.25">
      <c r="C863" s="6">
        <v>856</v>
      </c>
      <c r="D863" s="35">
        <v>43224</v>
      </c>
      <c r="E863" s="37">
        <v>21.125</v>
      </c>
      <c r="F863" s="37">
        <v>59.795981452859358</v>
      </c>
      <c r="G863" s="37">
        <v>49.25</v>
      </c>
      <c r="H863" s="37">
        <v>2.2957238536836684</v>
      </c>
      <c r="I863" s="37">
        <v>78.639876352395675</v>
      </c>
      <c r="J863" s="10">
        <v>0</v>
      </c>
      <c r="K863" s="38">
        <v>0</v>
      </c>
      <c r="L863" s="38">
        <v>0</v>
      </c>
      <c r="M863" s="38">
        <v>0</v>
      </c>
      <c r="N863" s="38">
        <v>1</v>
      </c>
      <c r="O863" s="38">
        <v>0</v>
      </c>
      <c r="P863" s="38">
        <v>0</v>
      </c>
      <c r="Q863" s="38">
        <v>0</v>
      </c>
      <c r="R863" s="38">
        <v>0</v>
      </c>
      <c r="S863" s="38">
        <v>0</v>
      </c>
      <c r="T863" s="38">
        <v>0</v>
      </c>
      <c r="U863" s="29" cm="1">
        <f t="array" aca="1" ref="U863" ca="1">+fair_value_gap(OFFSET(T862,0,0,-1*$J$5,-1*$AA$1),OFFSET(E862,0,0,-1*$J$5,1),F863:T863,0)</f>
        <v>20.79171810076117</v>
      </c>
      <c r="V863" s="9" cm="1">
        <f t="array" aca="1" ref="V863" ca="1">z_score_diff(OFFSET(U863,0,0,$J$5*-1,1),OFFSET(E863,0,0,$J$5*-1,1))</f>
        <v>-5.1338890123895808E-2</v>
      </c>
      <c r="W863" s="9">
        <f t="shared" ca="1" si="131"/>
        <v>-0.40186804889799427</v>
      </c>
      <c r="X863" s="17">
        <f t="shared" ca="1" si="130"/>
        <v>7.0938118306410655E-2</v>
      </c>
      <c r="Y863" s="13">
        <f t="shared" si="137"/>
        <v>0</v>
      </c>
      <c r="Z863" s="13">
        <f t="shared" si="137"/>
        <v>0</v>
      </c>
      <c r="AA863">
        <f t="shared" ca="1" si="132"/>
        <v>1</v>
      </c>
      <c r="AB863">
        <f t="shared" ca="1" si="133"/>
        <v>0</v>
      </c>
      <c r="AC863" s="24">
        <f t="shared" ca="1" si="134"/>
        <v>7.0938118306410655E-2</v>
      </c>
      <c r="AD863" s="24">
        <f t="shared" ca="1" si="135"/>
        <v>0</v>
      </c>
    </row>
    <row r="864" spans="3:30" x14ac:dyDescent="0.25">
      <c r="C864" s="6">
        <v>857</v>
      </c>
      <c r="D864" s="35">
        <v>43227</v>
      </c>
      <c r="E864" s="37">
        <v>21.417000000000002</v>
      </c>
      <c r="F864" s="37">
        <v>61.035596244115929</v>
      </c>
      <c r="G864" s="37">
        <v>49.93</v>
      </c>
      <c r="H864" s="37">
        <v>2.3180795322836389</v>
      </c>
      <c r="I864" s="37">
        <v>78.867613188252207</v>
      </c>
      <c r="J864" s="10">
        <v>0</v>
      </c>
      <c r="K864" s="38">
        <v>0</v>
      </c>
      <c r="L864" s="38">
        <v>0</v>
      </c>
      <c r="M864" s="38">
        <v>0</v>
      </c>
      <c r="N864" s="38">
        <v>1</v>
      </c>
      <c r="O864" s="38">
        <v>0</v>
      </c>
      <c r="P864" s="38">
        <v>0</v>
      </c>
      <c r="Q864" s="38">
        <v>0</v>
      </c>
      <c r="R864" s="38">
        <v>0</v>
      </c>
      <c r="S864" s="38">
        <v>0</v>
      </c>
      <c r="T864" s="38">
        <v>0</v>
      </c>
      <c r="U864" s="29" cm="1">
        <f t="array" aca="1" ref="U864" ca="1">+fair_value_gap(OFFSET(T863,0,0,-1*$J$5,-1*$AA$1),OFFSET(E863,0,0,-1*$J$5,1),F864:T864,0)</f>
        <v>21.173306034841886</v>
      </c>
      <c r="V864" s="9" cm="1">
        <f t="array" aca="1" ref="V864" ca="1">z_score_diff(OFFSET(U864,0,0,$J$5*-1,1),OFFSET(E864,0,0,$J$5*-1,1))</f>
        <v>7.9636030491416321E-2</v>
      </c>
      <c r="W864" s="9">
        <f t="shared" ca="1" si="131"/>
        <v>-0.35600927089766726</v>
      </c>
      <c r="X864" s="17">
        <f t="shared" ca="1" si="130"/>
        <v>6.1654059710773153E-2</v>
      </c>
      <c r="Y864" s="13">
        <f t="shared" si="137"/>
        <v>0</v>
      </c>
      <c r="Z864" s="13">
        <f t="shared" si="137"/>
        <v>0</v>
      </c>
      <c r="AA864">
        <f t="shared" ca="1" si="132"/>
        <v>1</v>
      </c>
      <c r="AB864">
        <f t="shared" ca="1" si="133"/>
        <v>0</v>
      </c>
      <c r="AC864" s="24">
        <f t="shared" ca="1" si="134"/>
        <v>6.1654059710773153E-2</v>
      </c>
      <c r="AD864" s="24">
        <f t="shared" ca="1" si="135"/>
        <v>0</v>
      </c>
    </row>
    <row r="865" spans="3:30" x14ac:dyDescent="0.25">
      <c r="C865" s="6">
        <v>858</v>
      </c>
      <c r="D865" s="35">
        <v>43228</v>
      </c>
      <c r="E865" s="37">
        <v>21.347000000000001</v>
      </c>
      <c r="F865" s="37">
        <v>60.255176894179186</v>
      </c>
      <c r="G865" s="37">
        <v>50.62</v>
      </c>
      <c r="H865" s="37">
        <v>2.3236416623882419</v>
      </c>
      <c r="I865" s="37">
        <v>80.085468807374511</v>
      </c>
      <c r="J865" s="10">
        <v>0</v>
      </c>
      <c r="K865" s="38">
        <v>0</v>
      </c>
      <c r="L865" s="38">
        <v>0</v>
      </c>
      <c r="M865" s="38">
        <v>0</v>
      </c>
      <c r="N865" s="38">
        <v>1</v>
      </c>
      <c r="O865" s="38">
        <v>0</v>
      </c>
      <c r="P865" s="38">
        <v>0</v>
      </c>
      <c r="Q865" s="38">
        <v>0</v>
      </c>
      <c r="R865" s="38">
        <v>0</v>
      </c>
      <c r="S865" s="38">
        <v>0</v>
      </c>
      <c r="T865" s="38">
        <v>0</v>
      </c>
      <c r="U865" s="29" cm="1">
        <f t="array" aca="1" ref="U865" ca="1">+fair_value_gap(OFFSET(T864,0,0,-1*$J$5,-1*$AA$1),OFFSET(E864,0,0,-1*$J$5,1),F865:T865,0)</f>
        <v>21.364690093350561</v>
      </c>
      <c r="V865" s="9" cm="1">
        <f t="array" aca="1" ref="V865" ca="1">z_score_diff(OFFSET(U865,0,0,$J$5*-1,1),OFFSET(E865,0,0,$J$5*-1,1))</f>
        <v>0.33146385999694328</v>
      </c>
      <c r="W865" s="9">
        <f t="shared" ca="1" si="131"/>
        <v>-0.30380733570724372</v>
      </c>
      <c r="X865" s="17">
        <f t="shared" ca="1" si="130"/>
        <v>4.479591218360033E-2</v>
      </c>
      <c r="Y865" s="13">
        <f t="shared" si="137"/>
        <v>0</v>
      </c>
      <c r="Z865" s="13">
        <f t="shared" si="137"/>
        <v>0</v>
      </c>
      <c r="AA865">
        <f t="shared" ca="1" si="132"/>
        <v>1</v>
      </c>
      <c r="AB865">
        <f t="shared" ca="1" si="133"/>
        <v>0</v>
      </c>
      <c r="AC865" s="24">
        <f t="shared" ca="1" si="134"/>
        <v>4.479591218360033E-2</v>
      </c>
      <c r="AD865" s="24">
        <f t="shared" ca="1" si="135"/>
        <v>0</v>
      </c>
    </row>
    <row r="866" spans="3:30" x14ac:dyDescent="0.25">
      <c r="C866" s="6">
        <v>859</v>
      </c>
      <c r="D866" s="35">
        <v>43229</v>
      </c>
      <c r="E866" s="37">
        <v>21.734999999999999</v>
      </c>
      <c r="F866" s="37">
        <v>62.286817191061715</v>
      </c>
      <c r="G866" s="37">
        <v>51.4</v>
      </c>
      <c r="H866" s="37">
        <v>2.3294121562037233</v>
      </c>
      <c r="I866" s="37">
        <v>80.28152609773548</v>
      </c>
      <c r="J866" s="10">
        <v>0</v>
      </c>
      <c r="K866" s="38">
        <v>0</v>
      </c>
      <c r="L866" s="38">
        <v>0</v>
      </c>
      <c r="M866" s="38">
        <v>0</v>
      </c>
      <c r="N866" s="38">
        <v>1</v>
      </c>
      <c r="O866" s="38">
        <v>0</v>
      </c>
      <c r="P866" s="38">
        <v>0</v>
      </c>
      <c r="Q866" s="38">
        <v>0</v>
      </c>
      <c r="R866" s="38">
        <v>0</v>
      </c>
      <c r="S866" s="38">
        <v>0</v>
      </c>
      <c r="T866" s="38">
        <v>0</v>
      </c>
      <c r="U866" s="29" cm="1">
        <f t="array" aca="1" ref="U866" ca="1">+fair_value_gap(OFFSET(T865,0,0,-1*$J$5,-1*$AA$1),OFFSET(E865,0,0,-1*$J$5,1),F866:T866,0)</f>
        <v>21.76222200427776</v>
      </c>
      <c r="V866" s="9" cm="1">
        <f t="array" aca="1" ref="V866" ca="1">z_score_diff(OFFSET(U866,0,0,$J$5*-1,1),OFFSET(E866,0,0,$J$5*-1,1))</f>
        <v>0.33650649911548136</v>
      </c>
      <c r="W866" s="9">
        <f t="shared" ca="1" si="131"/>
        <v>-0.23068580011831524</v>
      </c>
      <c r="X866" s="17">
        <f t="shared" ca="1" si="130"/>
        <v>1.9410122773955027E-2</v>
      </c>
      <c r="Y866" s="13">
        <f t="shared" si="137"/>
        <v>0</v>
      </c>
      <c r="Z866" s="13">
        <f t="shared" si="137"/>
        <v>0</v>
      </c>
      <c r="AA866">
        <f t="shared" ca="1" si="132"/>
        <v>1</v>
      </c>
      <c r="AB866">
        <f t="shared" ca="1" si="133"/>
        <v>0</v>
      </c>
      <c r="AC866" s="24">
        <f t="shared" ca="1" si="134"/>
        <v>1.9410122773955027E-2</v>
      </c>
      <c r="AD866" s="24">
        <f t="shared" ca="1" si="135"/>
        <v>0</v>
      </c>
    </row>
    <row r="867" spans="3:30" x14ac:dyDescent="0.25">
      <c r="C867" s="6">
        <v>860</v>
      </c>
      <c r="D867" s="35">
        <v>43230</v>
      </c>
      <c r="E867" s="37">
        <v>21.824000000000002</v>
      </c>
      <c r="F867" s="37">
        <v>62.325144952300406</v>
      </c>
      <c r="G867" s="37">
        <v>51.5</v>
      </c>
      <c r="H867" s="37">
        <v>2.3707055269296426</v>
      </c>
      <c r="I867" s="37">
        <v>80.264724646483529</v>
      </c>
      <c r="J867" s="10">
        <v>0</v>
      </c>
      <c r="K867" s="38">
        <v>0</v>
      </c>
      <c r="L867" s="38">
        <v>0</v>
      </c>
      <c r="M867" s="38">
        <v>0</v>
      </c>
      <c r="N867" s="38">
        <v>1</v>
      </c>
      <c r="O867" s="38">
        <v>0</v>
      </c>
      <c r="P867" s="38">
        <v>0</v>
      </c>
      <c r="Q867" s="38">
        <v>0</v>
      </c>
      <c r="R867" s="38">
        <v>0</v>
      </c>
      <c r="S867" s="38">
        <v>0</v>
      </c>
      <c r="T867" s="38">
        <v>0</v>
      </c>
      <c r="U867" s="29" cm="1">
        <f t="array" aca="1" ref="U867" ca="1">+fair_value_gap(OFFSET(T866,0,0,-1*$J$5,-1*$AA$1),OFFSET(E866,0,0,-1*$J$5,1),F867:T867,0)</f>
        <v>21.796242363734759</v>
      </c>
      <c r="V867" s="9" cm="1">
        <f t="array" aca="1" ref="V867" ca="1">z_score_diff(OFFSET(U867,0,0,$J$5*-1,1),OFFSET(E867,0,0,$J$5*-1,1))</f>
        <v>0.25468081698696832</v>
      </c>
      <c r="W867" s="9">
        <f t="shared" ca="1" si="131"/>
        <v>-0.1785744647066406</v>
      </c>
      <c r="X867" s="17">
        <f t="shared" ca="1" si="130"/>
        <v>2.9259808140891033E-2</v>
      </c>
      <c r="Y867" s="13">
        <f t="shared" si="137"/>
        <v>0</v>
      </c>
      <c r="Z867" s="13">
        <f t="shared" si="137"/>
        <v>0</v>
      </c>
      <c r="AA867">
        <f t="shared" ca="1" si="132"/>
        <v>1</v>
      </c>
      <c r="AB867">
        <f t="shared" ca="1" si="133"/>
        <v>0</v>
      </c>
      <c r="AC867" s="24">
        <f t="shared" ca="1" si="134"/>
        <v>2.9259808140891033E-2</v>
      </c>
      <c r="AD867" s="24">
        <f t="shared" ca="1" si="135"/>
        <v>0</v>
      </c>
    </row>
    <row r="868" spans="3:30" x14ac:dyDescent="0.25">
      <c r="C868" s="6">
        <v>861</v>
      </c>
      <c r="D868" s="35">
        <v>43231</v>
      </c>
      <c r="E868" s="37">
        <v>22.274000000000001</v>
      </c>
      <c r="F868" s="37">
        <v>62.048722489875296</v>
      </c>
      <c r="G868" s="37">
        <v>52.05</v>
      </c>
      <c r="H868" s="37">
        <v>2.3713097936250409</v>
      </c>
      <c r="I868" s="37">
        <v>80.832600555672542</v>
      </c>
      <c r="J868" s="10">
        <v>0</v>
      </c>
      <c r="K868" s="38">
        <v>0</v>
      </c>
      <c r="L868" s="38">
        <v>0</v>
      </c>
      <c r="M868" s="38">
        <v>0</v>
      </c>
      <c r="N868" s="38">
        <v>1</v>
      </c>
      <c r="O868" s="38">
        <v>0</v>
      </c>
      <c r="P868" s="38">
        <v>0</v>
      </c>
      <c r="Q868" s="38">
        <v>0</v>
      </c>
      <c r="R868" s="38">
        <v>0</v>
      </c>
      <c r="S868" s="38">
        <v>0</v>
      </c>
      <c r="T868" s="38">
        <v>0</v>
      </c>
      <c r="U868" s="29" cm="1">
        <f t="array" aca="1" ref="U868" ca="1">+fair_value_gap(OFFSET(T867,0,0,-1*$J$5,-1*$AA$1),OFFSET(E867,0,0,-1*$J$5,1),F868:T868,0)</f>
        <v>21.936653632021017</v>
      </c>
      <c r="V868" s="9" cm="1">
        <f t="array" aca="1" ref="V868" ca="1">z_score_diff(OFFSET(U868,0,0,$J$5*-1,1),OFFSET(E868,0,0,$J$5*-1,1))</f>
        <v>-2.0691663416874562E-2</v>
      </c>
      <c r="W868" s="9">
        <f t="shared" ca="1" si="131"/>
        <v>-0.13572425439661839</v>
      </c>
      <c r="X868" s="17">
        <f t="shared" ca="1" si="130"/>
        <v>7.4250016835870807E-3</v>
      </c>
      <c r="Y868" s="13">
        <f t="shared" si="137"/>
        <v>0</v>
      </c>
      <c r="Z868" s="13">
        <f t="shared" si="137"/>
        <v>0</v>
      </c>
      <c r="AA868">
        <f t="shared" ca="1" si="132"/>
        <v>1</v>
      </c>
      <c r="AB868">
        <f t="shared" ca="1" si="133"/>
        <v>0</v>
      </c>
      <c r="AC868" s="24">
        <f t="shared" ca="1" si="134"/>
        <v>7.4250016835870807E-3</v>
      </c>
      <c r="AD868" s="24">
        <f t="shared" ca="1" si="135"/>
        <v>0</v>
      </c>
    </row>
    <row r="869" spans="3:30" x14ac:dyDescent="0.25">
      <c r="C869" s="6">
        <v>862</v>
      </c>
      <c r="D869" s="35">
        <v>43234</v>
      </c>
      <c r="E869" s="37">
        <v>22.6</v>
      </c>
      <c r="F869" s="37">
        <v>62.857194837456973</v>
      </c>
      <c r="G869" s="37">
        <v>52.56</v>
      </c>
      <c r="H869" s="37">
        <v>2.3957017950810791</v>
      </c>
      <c r="I869" s="37">
        <v>82.199778540234476</v>
      </c>
      <c r="J869" s="10">
        <v>0</v>
      </c>
      <c r="K869" s="38">
        <v>0</v>
      </c>
      <c r="L869" s="38">
        <v>0</v>
      </c>
      <c r="M869" s="38">
        <v>0</v>
      </c>
      <c r="N869" s="38">
        <v>1</v>
      </c>
      <c r="O869" s="38">
        <v>0</v>
      </c>
      <c r="P869" s="38">
        <v>0</v>
      </c>
      <c r="Q869" s="38">
        <v>0</v>
      </c>
      <c r="R869" s="38">
        <v>0</v>
      </c>
      <c r="S869" s="38">
        <v>0</v>
      </c>
      <c r="T869" s="38">
        <v>0</v>
      </c>
      <c r="U869" s="29" cm="1">
        <f t="array" aca="1" ref="U869" ca="1">+fair_value_gap(OFFSET(T868,0,0,-1*$J$5,-1*$AA$1),OFFSET(E868,0,0,-1*$J$5,1),F869:T869,0)</f>
        <v>22.219228727565646</v>
      </c>
      <c r="V869" s="9" cm="1">
        <f t="array" aca="1" ref="V869" ca="1">z_score_diff(OFFSET(U869,0,0,$J$5*-1,1),OFFSET(E869,0,0,$J$5*-1,1))</f>
        <v>-3.3018748789517716E-2</v>
      </c>
      <c r="W869" s="9">
        <f t="shared" ca="1" si="131"/>
        <v>-0.11529700117988304</v>
      </c>
      <c r="X869" s="17">
        <f t="shared" ca="1" si="130"/>
        <v>-1.5697789346576483E-2</v>
      </c>
      <c r="Y869" s="13">
        <f t="shared" si="137"/>
        <v>0</v>
      </c>
      <c r="Z869" s="13">
        <f t="shared" si="137"/>
        <v>0</v>
      </c>
      <c r="AA869">
        <f t="shared" ca="1" si="132"/>
        <v>1</v>
      </c>
      <c r="AB869">
        <f t="shared" ca="1" si="133"/>
        <v>0</v>
      </c>
      <c r="AC869" s="24">
        <f t="shared" ca="1" si="134"/>
        <v>-1.5697789346576483E-2</v>
      </c>
      <c r="AD869" s="24">
        <f t="shared" ca="1" si="135"/>
        <v>0</v>
      </c>
    </row>
    <row r="870" spans="3:30" x14ac:dyDescent="0.25">
      <c r="C870" s="6">
        <v>863</v>
      </c>
      <c r="D870" s="35">
        <v>43235</v>
      </c>
      <c r="E870" s="37">
        <v>22.678000000000001</v>
      </c>
      <c r="F870" s="37">
        <v>63.702273238053223</v>
      </c>
      <c r="G870" s="37">
        <v>53.07</v>
      </c>
      <c r="H870" s="37">
        <v>2.4047545718637884</v>
      </c>
      <c r="I870" s="37">
        <v>82.822111422792304</v>
      </c>
      <c r="J870" s="10">
        <v>0</v>
      </c>
      <c r="K870" s="38">
        <v>0</v>
      </c>
      <c r="L870" s="38">
        <v>0</v>
      </c>
      <c r="M870" s="38">
        <v>0</v>
      </c>
      <c r="N870" s="38">
        <v>1</v>
      </c>
      <c r="O870" s="38">
        <v>0</v>
      </c>
      <c r="P870" s="38">
        <v>0</v>
      </c>
      <c r="Q870" s="38">
        <v>0</v>
      </c>
      <c r="R870" s="38">
        <v>0</v>
      </c>
      <c r="S870" s="38">
        <v>0</v>
      </c>
      <c r="T870" s="38">
        <v>0</v>
      </c>
      <c r="U870" s="29" cm="1">
        <f t="array" aca="1" ref="U870" ca="1">+fair_value_gap(OFFSET(T869,0,0,-1*$J$5,-1*$AA$1),OFFSET(E869,0,0,-1*$J$5,1),F870:T870,0)</f>
        <v>22.488589632727471</v>
      </c>
      <c r="V870" s="9" cm="1">
        <f t="array" aca="1" ref="V870" ca="1">z_score_diff(OFFSET(U870,0,0,$J$5*-1,1),OFFSET(E870,0,0,$J$5*-1,1))</f>
        <v>0.13476627689818521</v>
      </c>
      <c r="W870" s="9">
        <f t="shared" ca="1" si="131"/>
        <v>-0.10361165557075694</v>
      </c>
      <c r="X870" s="17">
        <f t="shared" ca="1" si="130"/>
        <v>8.3746561368450254E-4</v>
      </c>
      <c r="Y870" s="13">
        <f t="shared" si="137"/>
        <v>0</v>
      </c>
      <c r="Z870" s="13">
        <f t="shared" si="137"/>
        <v>0</v>
      </c>
      <c r="AA870">
        <f t="shared" ca="1" si="132"/>
        <v>1</v>
      </c>
      <c r="AB870">
        <f t="shared" ca="1" si="133"/>
        <v>0</v>
      </c>
      <c r="AC870" s="24">
        <f t="shared" ca="1" si="134"/>
        <v>8.3746561368450254E-4</v>
      </c>
      <c r="AD870" s="24">
        <f t="shared" ca="1" si="135"/>
        <v>0</v>
      </c>
    </row>
    <row r="871" spans="3:30" x14ac:dyDescent="0.25">
      <c r="C871" s="6">
        <v>864</v>
      </c>
      <c r="D871" s="35">
        <v>43236</v>
      </c>
      <c r="E871" s="37">
        <v>22.625</v>
      </c>
      <c r="F871" s="37">
        <v>64.606192776596828</v>
      </c>
      <c r="G871" s="37">
        <v>52.88</v>
      </c>
      <c r="H871" s="37">
        <v>2.4020679325183387</v>
      </c>
      <c r="I871" s="37">
        <v>83.450361437333328</v>
      </c>
      <c r="J871" s="10">
        <v>0</v>
      </c>
      <c r="K871" s="38">
        <v>0</v>
      </c>
      <c r="L871" s="38">
        <v>0</v>
      </c>
      <c r="M871" s="38">
        <v>0</v>
      </c>
      <c r="N871" s="38">
        <v>1</v>
      </c>
      <c r="O871" s="38">
        <v>0</v>
      </c>
      <c r="P871" s="38">
        <v>0</v>
      </c>
      <c r="Q871" s="38">
        <v>0</v>
      </c>
      <c r="R871" s="38">
        <v>0</v>
      </c>
      <c r="S871" s="38">
        <v>0</v>
      </c>
      <c r="T871" s="38">
        <v>0</v>
      </c>
      <c r="U871" s="29" cm="1">
        <f t="array" aca="1" ref="U871" ca="1">+fair_value_gap(OFFSET(T870,0,0,-1*$J$5,-1*$AA$1),OFFSET(E870,0,0,-1*$J$5,1),F871:T871,0)</f>
        <v>22.548143454360549</v>
      </c>
      <c r="V871" s="9" cm="1">
        <f t="array" aca="1" ref="V871" ca="1">z_score_diff(OFFSET(U871,0,0,$J$5*-1,1),OFFSET(E871,0,0,$J$5*-1,1))</f>
        <v>0.20698991181968562</v>
      </c>
      <c r="W871" s="9">
        <f t="shared" ca="1" si="131"/>
        <v>-8.0745826438262447E-2</v>
      </c>
      <c r="X871" s="17">
        <f t="shared" ca="1" si="130"/>
        <v>2.5786206555842312E-2</v>
      </c>
      <c r="Y871" s="13">
        <f t="shared" si="137"/>
        <v>0</v>
      </c>
      <c r="Z871" s="13">
        <f t="shared" si="137"/>
        <v>0</v>
      </c>
      <c r="AA871">
        <f t="shared" ca="1" si="132"/>
        <v>1</v>
      </c>
      <c r="AB871">
        <f t="shared" ca="1" si="133"/>
        <v>0</v>
      </c>
      <c r="AC871" s="24">
        <f t="shared" ca="1" si="134"/>
        <v>2.5786206555842312E-2</v>
      </c>
      <c r="AD871" s="24">
        <f t="shared" ca="1" si="135"/>
        <v>0</v>
      </c>
    </row>
    <row r="872" spans="3:30" x14ac:dyDescent="0.25">
      <c r="C872" s="6">
        <v>865</v>
      </c>
      <c r="D872" s="35">
        <v>43237</v>
      </c>
      <c r="E872" s="37">
        <v>23.216999999999999</v>
      </c>
      <c r="F872" s="37">
        <v>64.835483512415109</v>
      </c>
      <c r="G872" s="37">
        <v>54.02</v>
      </c>
      <c r="H872" s="37">
        <v>2.4419861152781253</v>
      </c>
      <c r="I872" s="37">
        <v>84.324571879384948</v>
      </c>
      <c r="J872" s="10">
        <v>0</v>
      </c>
      <c r="K872" s="38">
        <v>0</v>
      </c>
      <c r="L872" s="38">
        <v>0</v>
      </c>
      <c r="M872" s="38">
        <v>0</v>
      </c>
      <c r="N872" s="38">
        <v>1</v>
      </c>
      <c r="O872" s="38">
        <v>0</v>
      </c>
      <c r="P872" s="38">
        <v>0</v>
      </c>
      <c r="Q872" s="38">
        <v>0</v>
      </c>
      <c r="R872" s="38">
        <v>0</v>
      </c>
      <c r="S872" s="38">
        <v>0</v>
      </c>
      <c r="T872" s="38">
        <v>0</v>
      </c>
      <c r="U872" s="29" cm="1">
        <f t="array" aca="1" ref="U872" ca="1">+fair_value_gap(OFFSET(T871,0,0,-1*$J$5,-1*$AA$1),OFFSET(E871,0,0,-1*$J$5,1),F872:T872,0)</f>
        <v>22.912389776845028</v>
      </c>
      <c r="V872" s="9" cm="1">
        <f t="array" aca="1" ref="V872" ca="1">z_score_diff(OFFSET(U872,0,0,$J$5*-1,1),OFFSET(E872,0,0,$J$5*-1,1))</f>
        <v>4.2867925038610366E-2</v>
      </c>
      <c r="W872" s="9">
        <f t="shared" ca="1" si="131"/>
        <v>-5.6840114291628649E-2</v>
      </c>
      <c r="X872" s="17">
        <f t="shared" ca="1" si="130"/>
        <v>1.2913224934910943E-3</v>
      </c>
      <c r="Y872" s="13">
        <f t="shared" si="137"/>
        <v>0</v>
      </c>
      <c r="Z872" s="13">
        <f t="shared" si="137"/>
        <v>0</v>
      </c>
      <c r="AA872">
        <f t="shared" ca="1" si="132"/>
        <v>1</v>
      </c>
      <c r="AB872">
        <f t="shared" ca="1" si="133"/>
        <v>0</v>
      </c>
      <c r="AC872" s="24">
        <f t="shared" ca="1" si="134"/>
        <v>1.2913224934910943E-3</v>
      </c>
      <c r="AD872" s="24">
        <f t="shared" ca="1" si="135"/>
        <v>0</v>
      </c>
    </row>
    <row r="873" spans="3:30" x14ac:dyDescent="0.25">
      <c r="C873" s="6">
        <v>866</v>
      </c>
      <c r="D873" s="35">
        <v>43238</v>
      </c>
      <c r="E873" s="37">
        <v>23.01</v>
      </c>
      <c r="F873" s="37">
        <v>64.46335927774247</v>
      </c>
      <c r="G873" s="37">
        <v>53.91</v>
      </c>
      <c r="H873" s="37">
        <v>2.447933279585961</v>
      </c>
      <c r="I873" s="37">
        <v>83.425633143208287</v>
      </c>
      <c r="J873" s="10">
        <v>0</v>
      </c>
      <c r="K873" s="38">
        <v>0</v>
      </c>
      <c r="L873" s="38">
        <v>0</v>
      </c>
      <c r="M873" s="38">
        <v>0</v>
      </c>
      <c r="N873" s="38">
        <v>1</v>
      </c>
      <c r="O873" s="38">
        <v>0</v>
      </c>
      <c r="P873" s="38">
        <v>0</v>
      </c>
      <c r="Q873" s="38">
        <v>0</v>
      </c>
      <c r="R873" s="38">
        <v>0</v>
      </c>
      <c r="S873" s="38">
        <v>0</v>
      </c>
      <c r="T873" s="38">
        <v>0</v>
      </c>
      <c r="U873" s="29" cm="1">
        <f t="array" aca="1" ref="U873" ca="1">+fair_value_gap(OFFSET(T872,0,0,-1*$J$5,-1*$AA$1),OFFSET(E872,0,0,-1*$J$5,1),F873:T873,0)</f>
        <v>22.859194536280903</v>
      </c>
      <c r="V873" s="9" cm="1">
        <f t="array" aca="1" ref="V873" ca="1">z_score_diff(OFFSET(U873,0,0,$J$5*-1,1),OFFSET(E873,0,0,$J$5*-1,1))</f>
        <v>0.14092162390873142</v>
      </c>
      <c r="W873" s="9">
        <f t="shared" ca="1" si="131"/>
        <v>-2.1558449755284027E-2</v>
      </c>
      <c r="X873" s="17">
        <f t="shared" ca="1" si="130"/>
        <v>-2.1880403675241366E-2</v>
      </c>
      <c r="Y873" s="13">
        <f t="shared" ref="Y873:Z888" si="138">+Y872</f>
        <v>0</v>
      </c>
      <c r="Z873" s="13">
        <f t="shared" si="138"/>
        <v>0</v>
      </c>
      <c r="AA873">
        <f t="shared" ca="1" si="132"/>
        <v>1</v>
      </c>
      <c r="AB873">
        <f t="shared" ca="1" si="133"/>
        <v>0</v>
      </c>
      <c r="AC873" s="24">
        <f t="shared" ca="1" si="134"/>
        <v>-2.1880403675241366E-2</v>
      </c>
      <c r="AD873" s="24">
        <f t="shared" ca="1" si="135"/>
        <v>0</v>
      </c>
    </row>
    <row r="874" spans="3:30" x14ac:dyDescent="0.25">
      <c r="C874" s="6">
        <v>867</v>
      </c>
      <c r="D874" s="35">
        <v>43241</v>
      </c>
      <c r="E874" s="37">
        <v>23.292999999999999</v>
      </c>
      <c r="F874" s="37">
        <v>64.88495690638959</v>
      </c>
      <c r="G874" s="37">
        <v>54.07</v>
      </c>
      <c r="H874" s="37">
        <v>2.4270200992043418</v>
      </c>
      <c r="I874" s="37">
        <v>83.771069218145044</v>
      </c>
      <c r="J874" s="10">
        <v>0</v>
      </c>
      <c r="K874" s="38">
        <v>0</v>
      </c>
      <c r="L874" s="38">
        <v>0</v>
      </c>
      <c r="M874" s="38">
        <v>0</v>
      </c>
      <c r="N874" s="38">
        <v>1</v>
      </c>
      <c r="O874" s="38">
        <v>0</v>
      </c>
      <c r="P874" s="38">
        <v>0</v>
      </c>
      <c r="Q874" s="38">
        <v>0</v>
      </c>
      <c r="R874" s="38">
        <v>0</v>
      </c>
      <c r="S874" s="38">
        <v>0</v>
      </c>
      <c r="T874" s="38">
        <v>0</v>
      </c>
      <c r="U874" s="29" cm="1">
        <f t="array" aca="1" ref="U874" ca="1">+fair_value_gap(OFFSET(T873,0,0,-1*$J$5,-1*$AA$1),OFFSET(E873,0,0,-1*$J$5,1),F874:T874,0)</f>
        <v>22.954608260996761</v>
      </c>
      <c r="V874" s="9" cm="1">
        <f t="array" aca="1" ref="V874" ca="1">z_score_diff(OFFSET(U874,0,0,$J$5*-1,1),OFFSET(E874,0,0,$J$5*-1,1))</f>
        <v>6.0179302755871689E-3</v>
      </c>
      <c r="W874" s="9">
        <f t="shared" ca="1" si="131"/>
        <v>7.8306735746383575E-3</v>
      </c>
      <c r="X874" s="17">
        <f t="shared" ca="1" si="130"/>
        <v>-1.6012112915678004E-2</v>
      </c>
      <c r="Y874" s="13">
        <f t="shared" si="138"/>
        <v>0</v>
      </c>
      <c r="Z874" s="13">
        <f t="shared" si="138"/>
        <v>0</v>
      </c>
      <c r="AA874">
        <f t="shared" ca="1" si="132"/>
        <v>0</v>
      </c>
      <c r="AB874">
        <f t="shared" ca="1" si="133"/>
        <v>1</v>
      </c>
      <c r="AC874" s="24">
        <f t="shared" ca="1" si="134"/>
        <v>0</v>
      </c>
      <c r="AD874" s="24">
        <f t="shared" ca="1" si="135"/>
        <v>-1.6012112915678004E-2</v>
      </c>
    </row>
    <row r="875" spans="3:30" x14ac:dyDescent="0.25">
      <c r="C875" s="6">
        <v>868</v>
      </c>
      <c r="D875" s="35">
        <v>43242</v>
      </c>
      <c r="E875" s="37">
        <v>23.821999999999999</v>
      </c>
      <c r="F875" s="37">
        <v>65.231632112669928</v>
      </c>
      <c r="G875" s="37">
        <v>55.33</v>
      </c>
      <c r="H875" s="37">
        <v>2.4906318943108681</v>
      </c>
      <c r="I875" s="37">
        <v>83.202331840515896</v>
      </c>
      <c r="J875" s="10">
        <v>0</v>
      </c>
      <c r="K875" s="38">
        <v>0</v>
      </c>
      <c r="L875" s="38">
        <v>0</v>
      </c>
      <c r="M875" s="38">
        <v>0</v>
      </c>
      <c r="N875" s="38">
        <v>1</v>
      </c>
      <c r="O875" s="38">
        <v>0</v>
      </c>
      <c r="P875" s="38">
        <v>0</v>
      </c>
      <c r="Q875" s="38">
        <v>0</v>
      </c>
      <c r="R875" s="38">
        <v>0</v>
      </c>
      <c r="S875" s="38">
        <v>0</v>
      </c>
      <c r="T875" s="38">
        <v>0</v>
      </c>
      <c r="U875" s="29" cm="1">
        <f t="array" aca="1" ref="U875" ca="1">+fair_value_gap(OFFSET(T874,0,0,-1*$J$5,-1*$AA$1),OFFSET(E874,0,0,-1*$J$5,1),F875:T875,0)</f>
        <v>23.372966440909213</v>
      </c>
      <c r="V875" s="9" cm="1">
        <f t="array" aca="1" ref="V875" ca="1">z_score_diff(OFFSET(U875,0,0,$J$5*-1,1),OFFSET(E875,0,0,$J$5*-1,1))</f>
        <v>-4.4226525987358656E-2</v>
      </c>
      <c r="W875" s="9">
        <f t="shared" ca="1" si="131"/>
        <v>1.9809312660950186E-2</v>
      </c>
      <c r="X875" s="17">
        <f t="shared" ca="1" si="130"/>
        <v>-5.7272007830454788E-2</v>
      </c>
      <c r="Y875" s="13">
        <f t="shared" si="138"/>
        <v>0</v>
      </c>
      <c r="Z875" s="13">
        <f t="shared" si="138"/>
        <v>0</v>
      </c>
      <c r="AA875">
        <f t="shared" ca="1" si="132"/>
        <v>0</v>
      </c>
      <c r="AB875">
        <f t="shared" ca="1" si="133"/>
        <v>1</v>
      </c>
      <c r="AC875" s="24">
        <f t="shared" ca="1" si="134"/>
        <v>0</v>
      </c>
      <c r="AD875" s="24">
        <f t="shared" ca="1" si="135"/>
        <v>-5.7272007830454788E-2</v>
      </c>
    </row>
    <row r="876" spans="3:30" x14ac:dyDescent="0.25">
      <c r="C876" s="6">
        <v>869</v>
      </c>
      <c r="D876" s="35">
        <v>43243</v>
      </c>
      <c r="E876" s="37">
        <v>23.728999999999999</v>
      </c>
      <c r="F876" s="37">
        <v>65.884552544257105</v>
      </c>
      <c r="G876" s="37">
        <v>55.39</v>
      </c>
      <c r="H876" s="37">
        <v>2.5248867253954081</v>
      </c>
      <c r="I876" s="37">
        <v>83.376846502383387</v>
      </c>
      <c r="J876" s="10">
        <v>0</v>
      </c>
      <c r="K876" s="38">
        <v>0</v>
      </c>
      <c r="L876" s="38">
        <v>0</v>
      </c>
      <c r="M876" s="38">
        <v>0</v>
      </c>
      <c r="N876" s="38">
        <v>1</v>
      </c>
      <c r="O876" s="38">
        <v>0</v>
      </c>
      <c r="P876" s="38">
        <v>0</v>
      </c>
      <c r="Q876" s="38">
        <v>0</v>
      </c>
      <c r="R876" s="38">
        <v>0</v>
      </c>
      <c r="S876" s="38">
        <v>0</v>
      </c>
      <c r="T876" s="38">
        <v>0</v>
      </c>
      <c r="U876" s="29" cm="1">
        <f t="array" aca="1" ref="U876" ca="1">+fair_value_gap(OFFSET(T875,0,0,-1*$J$5,-1*$AA$1),OFFSET(E875,0,0,-1*$J$5,1),F876:T876,0)</f>
        <v>23.519756029583945</v>
      </c>
      <c r="V876" s="9" cm="1">
        <f t="array" aca="1" ref="V876" ca="1">z_score_diff(OFFSET(U876,0,0,$J$5*-1,1),OFFSET(E876,0,0,$J$5*-1,1))</f>
        <v>0.12106324187153117</v>
      </c>
      <c r="W876" s="9">
        <f t="shared" ca="1" si="131"/>
        <v>3.9532620780149942E-2</v>
      </c>
      <c r="X876" s="17">
        <f t="shared" ca="1" si="130"/>
        <v>-6.5300186100847771E-2</v>
      </c>
      <c r="Y876" s="13">
        <f t="shared" si="138"/>
        <v>0</v>
      </c>
      <c r="Z876" s="13">
        <f t="shared" si="138"/>
        <v>0</v>
      </c>
      <c r="AA876">
        <f t="shared" ca="1" si="132"/>
        <v>0</v>
      </c>
      <c r="AB876">
        <f t="shared" ca="1" si="133"/>
        <v>1</v>
      </c>
      <c r="AC876" s="24">
        <f t="shared" ca="1" si="134"/>
        <v>0</v>
      </c>
      <c r="AD876" s="24">
        <f t="shared" ca="1" si="135"/>
        <v>-6.5300186100847771E-2</v>
      </c>
    </row>
    <row r="877" spans="3:30" x14ac:dyDescent="0.25">
      <c r="C877" s="6">
        <v>870</v>
      </c>
      <c r="D877" s="35">
        <v>43244</v>
      </c>
      <c r="E877" s="37">
        <v>23.663</v>
      </c>
      <c r="F877" s="37">
        <v>65.035797014322995</v>
      </c>
      <c r="G877" s="37">
        <v>54.92</v>
      </c>
      <c r="H877" s="37">
        <v>2.5316455696202529</v>
      </c>
      <c r="I877" s="37">
        <v>83.701533196843627</v>
      </c>
      <c r="J877" s="10">
        <v>0</v>
      </c>
      <c r="K877" s="38">
        <v>0</v>
      </c>
      <c r="L877" s="38">
        <v>0</v>
      </c>
      <c r="M877" s="38">
        <v>0</v>
      </c>
      <c r="N877" s="38">
        <v>1</v>
      </c>
      <c r="O877" s="38">
        <v>0</v>
      </c>
      <c r="P877" s="38">
        <v>0</v>
      </c>
      <c r="Q877" s="38">
        <v>0</v>
      </c>
      <c r="R877" s="38">
        <v>0</v>
      </c>
      <c r="S877" s="38">
        <v>0</v>
      </c>
      <c r="T877" s="38">
        <v>0</v>
      </c>
      <c r="U877" s="29" cm="1">
        <f t="array" aca="1" ref="U877" ca="1">+fair_value_gap(OFFSET(T876,0,0,-1*$J$5,-1*$AA$1),OFFSET(E876,0,0,-1*$J$5,1),F877:T877,0)</f>
        <v>23.328635391268122</v>
      </c>
      <c r="V877" s="9" cm="1">
        <f t="array" aca="1" ref="V877" ca="1">z_score_diff(OFFSET(U877,0,0,$J$5*-1,1),OFFSET(E877,0,0,$J$5*-1,1))</f>
        <v>2.6756042587082529E-2</v>
      </c>
      <c r="W877" s="9">
        <f t="shared" ca="1" si="131"/>
        <v>5.9110244145775835E-2</v>
      </c>
      <c r="X877" s="17">
        <f t="shared" ca="1" si="130"/>
        <v>-6.0717069989394745E-2</v>
      </c>
      <c r="Y877" s="13">
        <f t="shared" si="138"/>
        <v>0</v>
      </c>
      <c r="Z877" s="13">
        <f t="shared" si="138"/>
        <v>0</v>
      </c>
      <c r="AA877">
        <f t="shared" ca="1" si="132"/>
        <v>0</v>
      </c>
      <c r="AB877">
        <f t="shared" ca="1" si="133"/>
        <v>1</v>
      </c>
      <c r="AC877" s="24">
        <f t="shared" ca="1" si="134"/>
        <v>0</v>
      </c>
      <c r="AD877" s="24">
        <f t="shared" ca="1" si="135"/>
        <v>-6.0717069989394745E-2</v>
      </c>
    </row>
    <row r="878" spans="3:30" x14ac:dyDescent="0.25">
      <c r="C878" s="6">
        <v>871</v>
      </c>
      <c r="D878" s="35">
        <v>43245</v>
      </c>
      <c r="E878" s="37">
        <v>22.878</v>
      </c>
      <c r="F878" s="37">
        <v>63.500711485456428</v>
      </c>
      <c r="G878" s="37">
        <v>54.32</v>
      </c>
      <c r="H878" s="37">
        <v>2.5447660557987333</v>
      </c>
      <c r="I878" s="37">
        <v>83.923135882724182</v>
      </c>
      <c r="J878" s="10">
        <v>0</v>
      </c>
      <c r="K878" s="38">
        <v>0</v>
      </c>
      <c r="L878" s="38">
        <v>0</v>
      </c>
      <c r="M878" s="38">
        <v>0</v>
      </c>
      <c r="N878" s="38">
        <v>1</v>
      </c>
      <c r="O878" s="38">
        <v>0</v>
      </c>
      <c r="P878" s="38">
        <v>0</v>
      </c>
      <c r="Q878" s="38">
        <v>0</v>
      </c>
      <c r="R878" s="38">
        <v>0</v>
      </c>
      <c r="S878" s="38">
        <v>0</v>
      </c>
      <c r="T878" s="38">
        <v>0</v>
      </c>
      <c r="U878" s="29" cm="1">
        <f t="array" aca="1" ref="U878" ca="1">+fair_value_gap(OFFSET(T877,0,0,-1*$J$5,-1*$AA$1),OFFSET(E877,0,0,-1*$J$5,1),F878:T878,0)</f>
        <v>23.050155673576366</v>
      </c>
      <c r="V878" s="9" cm="1">
        <f t="array" aca="1" ref="V878" ca="1">z_score_diff(OFFSET(U878,0,0,$J$5*-1,1),OFFSET(E878,0,0,$J$5*-1,1))</f>
        <v>0.31605133260679352</v>
      </c>
      <c r="W878" s="9">
        <f t="shared" ca="1" si="131"/>
        <v>0.10010452794552671</v>
      </c>
      <c r="X878" s="17">
        <f t="shared" ca="1" si="130"/>
        <v>-1.901877513407332E-2</v>
      </c>
      <c r="Y878" s="13">
        <f t="shared" si="138"/>
        <v>0</v>
      </c>
      <c r="Z878" s="13">
        <f t="shared" si="138"/>
        <v>0</v>
      </c>
      <c r="AA878">
        <f t="shared" ca="1" si="132"/>
        <v>0</v>
      </c>
      <c r="AB878">
        <f t="shared" ca="1" si="133"/>
        <v>1</v>
      </c>
      <c r="AC878" s="24">
        <f t="shared" ca="1" si="134"/>
        <v>0</v>
      </c>
      <c r="AD878" s="24">
        <f t="shared" ca="1" si="135"/>
        <v>-1.901877513407332E-2</v>
      </c>
    </row>
    <row r="879" spans="3:30" x14ac:dyDescent="0.25">
      <c r="C879" s="6">
        <v>872</v>
      </c>
      <c r="D879" s="35">
        <v>43248</v>
      </c>
      <c r="E879" s="37">
        <v>23.026</v>
      </c>
      <c r="F879" s="37">
        <v>62.731490903170673</v>
      </c>
      <c r="G879" s="37">
        <v>54.42</v>
      </c>
      <c r="H879" s="37">
        <v>2.5506396950086154</v>
      </c>
      <c r="I879" s="37">
        <v>84.201636208229885</v>
      </c>
      <c r="J879" s="10">
        <v>0</v>
      </c>
      <c r="K879" s="38">
        <v>0</v>
      </c>
      <c r="L879" s="38">
        <v>0</v>
      </c>
      <c r="M879" s="38">
        <v>0</v>
      </c>
      <c r="N879" s="38">
        <v>1</v>
      </c>
      <c r="O879" s="38">
        <v>0</v>
      </c>
      <c r="P879" s="38">
        <v>0</v>
      </c>
      <c r="Q879" s="38">
        <v>0</v>
      </c>
      <c r="R879" s="38">
        <v>0</v>
      </c>
      <c r="S879" s="38">
        <v>0</v>
      </c>
      <c r="T879" s="38">
        <v>0</v>
      </c>
      <c r="U879" s="29" cm="1">
        <f t="array" aca="1" ref="U879" ca="1">+fair_value_gap(OFFSET(T878,0,0,-1*$J$5,-1*$AA$1),OFFSET(E878,0,0,-1*$J$5,1),F879:T879,0)</f>
        <v>23.004952751176095</v>
      </c>
      <c r="V879" s="9" cm="1">
        <f t="array" aca="1" ref="V879" ca="1">z_score_diff(OFFSET(U879,0,0,$J$5*-1,1),OFFSET(E879,0,0,$J$5*-1,1))</f>
        <v>0.17868968176714928</v>
      </c>
      <c r="W879" s="9">
        <f t="shared" ca="1" si="131"/>
        <v>0.13054112542981255</v>
      </c>
      <c r="X879" s="17">
        <f t="shared" ca="1" si="130"/>
        <v>-3.0961679325285516E-2</v>
      </c>
      <c r="Y879" s="13">
        <f t="shared" si="138"/>
        <v>0</v>
      </c>
      <c r="Z879" s="13">
        <f t="shared" si="138"/>
        <v>0</v>
      </c>
      <c r="AA879">
        <f t="shared" ca="1" si="132"/>
        <v>0</v>
      </c>
      <c r="AB879">
        <f t="shared" ca="1" si="133"/>
        <v>1</v>
      </c>
      <c r="AC879" s="24">
        <f t="shared" ca="1" si="134"/>
        <v>0</v>
      </c>
      <c r="AD879" s="24">
        <f t="shared" ca="1" si="135"/>
        <v>-3.0961679325285516E-2</v>
      </c>
    </row>
    <row r="880" spans="3:30" x14ac:dyDescent="0.25">
      <c r="C880" s="6">
        <v>873</v>
      </c>
      <c r="D880" s="35">
        <v>43249</v>
      </c>
      <c r="E880" s="37">
        <v>23.481999999999999</v>
      </c>
      <c r="F880" s="37">
        <v>63.438982378914851</v>
      </c>
      <c r="G880" s="37">
        <v>55.13</v>
      </c>
      <c r="H880" s="37">
        <v>2.5230345449822971</v>
      </c>
      <c r="I880" s="37">
        <v>84.798909105822204</v>
      </c>
      <c r="J880" s="10">
        <v>0</v>
      </c>
      <c r="K880" s="38">
        <v>0</v>
      </c>
      <c r="L880" s="38">
        <v>0</v>
      </c>
      <c r="M880" s="38">
        <v>0</v>
      </c>
      <c r="N880" s="38">
        <v>1</v>
      </c>
      <c r="O880" s="38">
        <v>0</v>
      </c>
      <c r="P880" s="38">
        <v>0</v>
      </c>
      <c r="Q880" s="38">
        <v>0</v>
      </c>
      <c r="R880" s="38">
        <v>0</v>
      </c>
      <c r="S880" s="38">
        <v>0</v>
      </c>
      <c r="T880" s="38">
        <v>0</v>
      </c>
      <c r="U880" s="29" cm="1">
        <f t="array" aca="1" ref="U880" ca="1">+fair_value_gap(OFFSET(T879,0,0,-1*$J$5,-1*$AA$1),OFFSET(E879,0,0,-1*$J$5,1),F880:T880,0)</f>
        <v>23.2682105075069</v>
      </c>
      <c r="V880" s="9" cm="1">
        <f t="array" aca="1" ref="V880" ca="1">z_score_diff(OFFSET(U880,0,0,$J$5*-1,1),OFFSET(E880,0,0,$J$5*-1,1))</f>
        <v>6.4981500490870037E-2</v>
      </c>
      <c r="W880" s="9">
        <f t="shared" ca="1" si="131"/>
        <v>0.13535619870053942</v>
      </c>
      <c r="X880" s="17">
        <f t="shared" ca="1" si="130"/>
        <v>-5.1916586240588265E-2</v>
      </c>
      <c r="Y880" s="13">
        <f t="shared" si="138"/>
        <v>0</v>
      </c>
      <c r="Z880" s="13">
        <f t="shared" si="138"/>
        <v>0</v>
      </c>
      <c r="AA880">
        <f t="shared" ca="1" si="132"/>
        <v>0</v>
      </c>
      <c r="AB880">
        <f t="shared" ca="1" si="133"/>
        <v>1</v>
      </c>
      <c r="AC880" s="24">
        <f t="shared" ca="1" si="134"/>
        <v>0</v>
      </c>
      <c r="AD880" s="24">
        <f t="shared" ca="1" si="135"/>
        <v>-5.1916586240588265E-2</v>
      </c>
    </row>
    <row r="881" spans="3:30" x14ac:dyDescent="0.25">
      <c r="C881" s="6">
        <v>874</v>
      </c>
      <c r="D881" s="35">
        <v>43250</v>
      </c>
      <c r="E881" s="37">
        <v>23.751000000000001</v>
      </c>
      <c r="F881" s="37">
        <v>64.461594380531352</v>
      </c>
      <c r="G881" s="37">
        <v>55.05</v>
      </c>
      <c r="H881" s="37">
        <v>2.5679822151593785</v>
      </c>
      <c r="I881" s="37">
        <v>84.697767596764237</v>
      </c>
      <c r="J881" s="10">
        <v>0</v>
      </c>
      <c r="K881" s="38">
        <v>0</v>
      </c>
      <c r="L881" s="38">
        <v>0</v>
      </c>
      <c r="M881" s="38">
        <v>0</v>
      </c>
      <c r="N881" s="38">
        <v>1</v>
      </c>
      <c r="O881" s="38">
        <v>0</v>
      </c>
      <c r="P881" s="38">
        <v>0</v>
      </c>
      <c r="Q881" s="38">
        <v>0</v>
      </c>
      <c r="R881" s="38">
        <v>0</v>
      </c>
      <c r="S881" s="38">
        <v>0</v>
      </c>
      <c r="T881" s="38">
        <v>0</v>
      </c>
      <c r="U881" s="29" cm="1">
        <f t="array" aca="1" ref="U881" ca="1">+fair_value_gap(OFFSET(T880,0,0,-1*$J$5,-1*$AA$1),OFFSET(E880,0,0,-1*$J$5,1),F881:T881,0)</f>
        <v>23.363781897489645</v>
      </c>
      <c r="V881" s="9" cm="1">
        <f t="array" aca="1" ref="V881" ca="1">z_score_diff(OFFSET(U881,0,0,$J$5*-1,1),OFFSET(E881,0,0,$J$5*-1,1))</f>
        <v>-3.361754044420362E-2</v>
      </c>
      <c r="W881" s="9">
        <f t="shared" ca="1" si="131"/>
        <v>0.11221794084009525</v>
      </c>
      <c r="X881" s="17">
        <f t="shared" ca="1" si="130"/>
        <v>-3.25652960823163E-2</v>
      </c>
      <c r="Y881" s="13">
        <f t="shared" si="138"/>
        <v>0</v>
      </c>
      <c r="Z881" s="13">
        <f t="shared" si="138"/>
        <v>0</v>
      </c>
      <c r="AA881">
        <f t="shared" ca="1" si="132"/>
        <v>0</v>
      </c>
      <c r="AB881">
        <f t="shared" ca="1" si="133"/>
        <v>1</v>
      </c>
      <c r="AC881" s="24">
        <f t="shared" ca="1" si="134"/>
        <v>0</v>
      </c>
      <c r="AD881" s="24">
        <f t="shared" ca="1" si="135"/>
        <v>-3.25652960823163E-2</v>
      </c>
    </row>
    <row r="882" spans="3:30" x14ac:dyDescent="0.25">
      <c r="C882" s="6">
        <v>875</v>
      </c>
      <c r="D882" s="35">
        <v>43251</v>
      </c>
      <c r="E882" s="37">
        <v>23.4</v>
      </c>
      <c r="F882" s="37">
        <v>64.179929675990394</v>
      </c>
      <c r="G882" s="37">
        <v>55.27</v>
      </c>
      <c r="H882" s="37">
        <v>2.6009095598175489</v>
      </c>
      <c r="I882" s="37">
        <v>84.028089148998589</v>
      </c>
      <c r="J882" s="10">
        <v>0</v>
      </c>
      <c r="K882" s="38">
        <v>0</v>
      </c>
      <c r="L882" s="38">
        <v>0</v>
      </c>
      <c r="M882" s="38">
        <v>0</v>
      </c>
      <c r="N882" s="38">
        <v>1</v>
      </c>
      <c r="O882" s="38">
        <v>0</v>
      </c>
      <c r="P882" s="38">
        <v>0</v>
      </c>
      <c r="Q882" s="38">
        <v>0</v>
      </c>
      <c r="R882" s="38">
        <v>0</v>
      </c>
      <c r="S882" s="38">
        <v>0</v>
      </c>
      <c r="T882" s="38">
        <v>0</v>
      </c>
      <c r="U882" s="29" cm="1">
        <f t="array" aca="1" ref="U882" ca="1">+fair_value_gap(OFFSET(T881,0,0,-1*$J$5,-1*$AA$1),OFFSET(E881,0,0,-1*$J$5,1),F882:T882,0)</f>
        <v>23.437255617420913</v>
      </c>
      <c r="V882" s="9" cm="1">
        <f t="array" aca="1" ref="V882" ca="1">z_score_diff(OFFSET(U882,0,0,$J$5*-1,1),OFFSET(E882,0,0,$J$5*-1,1))</f>
        <v>0.20415607790696289</v>
      </c>
      <c r="W882" s="9">
        <f t="shared" ca="1" si="131"/>
        <v>0.1131327691500074</v>
      </c>
      <c r="X882" s="17">
        <f t="shared" ca="1" si="130"/>
        <v>-1.7415734602611248E-2</v>
      </c>
      <c r="Y882" s="13">
        <f t="shared" si="138"/>
        <v>0</v>
      </c>
      <c r="Z882" s="13">
        <f t="shared" si="138"/>
        <v>0</v>
      </c>
      <c r="AA882">
        <f t="shared" ca="1" si="132"/>
        <v>0</v>
      </c>
      <c r="AB882">
        <f t="shared" ca="1" si="133"/>
        <v>1</v>
      </c>
      <c r="AC882" s="24">
        <f t="shared" ca="1" si="134"/>
        <v>0</v>
      </c>
      <c r="AD882" s="24">
        <f t="shared" ca="1" si="135"/>
        <v>-1.7415734602611248E-2</v>
      </c>
    </row>
    <row r="883" spans="3:30" x14ac:dyDescent="0.25">
      <c r="C883" s="6">
        <v>876</v>
      </c>
      <c r="D883" s="35">
        <v>43252</v>
      </c>
      <c r="E883" s="37">
        <v>22.678000000000001</v>
      </c>
      <c r="F883" s="37">
        <v>63.605315659554321</v>
      </c>
      <c r="G883" s="37">
        <v>53.16</v>
      </c>
      <c r="H883" s="37">
        <v>2.6180975890170086</v>
      </c>
      <c r="I883" s="37">
        <v>84.832448517228556</v>
      </c>
      <c r="J883" s="10">
        <v>0</v>
      </c>
      <c r="K883" s="38">
        <v>0</v>
      </c>
      <c r="L883" s="38">
        <v>0</v>
      </c>
      <c r="M883" s="38">
        <v>0</v>
      </c>
      <c r="N883" s="38">
        <v>0</v>
      </c>
      <c r="O883" s="38">
        <v>1</v>
      </c>
      <c r="P883" s="38">
        <v>0</v>
      </c>
      <c r="Q883" s="38">
        <v>0</v>
      </c>
      <c r="R883" s="38">
        <v>0</v>
      </c>
      <c r="S883" s="38">
        <v>0</v>
      </c>
      <c r="T883" s="38">
        <v>0</v>
      </c>
      <c r="U883" s="29" cm="1">
        <f t="array" aca="1" ref="U883" ca="1">+fair_value_gap(OFFSET(T882,0,0,-1*$J$5,-1*$AA$1),OFFSET(E882,0,0,-1*$J$5,1),F883:T883,0)</f>
        <v>23.017832226100005</v>
      </c>
      <c r="V883" s="9" cm="1">
        <f t="array" aca="1" ref="V883" ca="1">z_score_diff(OFFSET(U883,0,0,$J$5*-1,1),OFFSET(E883,0,0,$J$5*-1,1))</f>
        <v>0.34280524328269202</v>
      </c>
      <c r="W883" s="9">
        <f t="shared" ca="1" si="131"/>
        <v>0.1328399758203368</v>
      </c>
      <c r="X883" s="17">
        <f t="shared" ca="1" si="130"/>
        <v>1.5706327466868127E-2</v>
      </c>
      <c r="Y883" s="13">
        <f t="shared" si="138"/>
        <v>0</v>
      </c>
      <c r="Z883" s="13">
        <f t="shared" si="138"/>
        <v>0</v>
      </c>
      <c r="AA883">
        <f t="shared" ca="1" si="132"/>
        <v>0</v>
      </c>
      <c r="AB883">
        <f t="shared" ca="1" si="133"/>
        <v>1</v>
      </c>
      <c r="AC883" s="24">
        <f t="shared" ca="1" si="134"/>
        <v>0</v>
      </c>
      <c r="AD883" s="24">
        <f t="shared" ca="1" si="135"/>
        <v>1.5706327466868127E-2</v>
      </c>
    </row>
    <row r="884" spans="3:30" x14ac:dyDescent="0.25">
      <c r="C884" s="6">
        <v>877</v>
      </c>
      <c r="D884" s="35">
        <v>43255</v>
      </c>
      <c r="E884" s="37">
        <v>22.779</v>
      </c>
      <c r="F884" s="37">
        <v>62.464973010783048</v>
      </c>
      <c r="G884" s="37">
        <v>54.48</v>
      </c>
      <c r="H884" s="37">
        <v>2.5923132350400522</v>
      </c>
      <c r="I884" s="37">
        <v>85.413181525133041</v>
      </c>
      <c r="J884" s="10">
        <v>0</v>
      </c>
      <c r="K884" s="38">
        <v>0</v>
      </c>
      <c r="L884" s="38">
        <v>0</v>
      </c>
      <c r="M884" s="38">
        <v>0</v>
      </c>
      <c r="N884" s="38">
        <v>0</v>
      </c>
      <c r="O884" s="38">
        <v>1</v>
      </c>
      <c r="P884" s="38">
        <v>0</v>
      </c>
      <c r="Q884" s="38">
        <v>0</v>
      </c>
      <c r="R884" s="38">
        <v>0</v>
      </c>
      <c r="S884" s="38">
        <v>0</v>
      </c>
      <c r="T884" s="38">
        <v>0</v>
      </c>
      <c r="U884" s="29" cm="1">
        <f t="array" aca="1" ref="U884" ca="1">+fair_value_gap(OFFSET(T883,0,0,-1*$J$5,-1*$AA$1),OFFSET(E883,0,0,-1*$J$5,1),F884:T884,0)</f>
        <v>23.101818400360493</v>
      </c>
      <c r="V884" s="9" cm="1">
        <f t="array" aca="1" ref="V884" ca="1">z_score_diff(OFFSET(U884,0,0,$J$5*-1,1),OFFSET(E884,0,0,$J$5*-1,1))</f>
        <v>0.31690915068425296</v>
      </c>
      <c r="W884" s="9">
        <f t="shared" ca="1" si="131"/>
        <v>0.14470363182997864</v>
      </c>
      <c r="X884" s="17">
        <f t="shared" ca="1" si="130"/>
        <v>2.2356757781253827E-2</v>
      </c>
      <c r="Y884" s="13">
        <f t="shared" si="138"/>
        <v>0</v>
      </c>
      <c r="Z884" s="13">
        <f t="shared" si="138"/>
        <v>0</v>
      </c>
      <c r="AA884">
        <f t="shared" ca="1" si="132"/>
        <v>0</v>
      </c>
      <c r="AB884">
        <f t="shared" ca="1" si="133"/>
        <v>1</v>
      </c>
      <c r="AC884" s="24">
        <f t="shared" ca="1" si="134"/>
        <v>0</v>
      </c>
      <c r="AD884" s="24">
        <f t="shared" ca="1" si="135"/>
        <v>2.2356757781253827E-2</v>
      </c>
    </row>
    <row r="885" spans="3:30" x14ac:dyDescent="0.25">
      <c r="C885" s="6">
        <v>878</v>
      </c>
      <c r="D885" s="35">
        <v>43256</v>
      </c>
      <c r="E885" s="37">
        <v>22.324999999999999</v>
      </c>
      <c r="F885" s="37">
        <v>62.271090009112235</v>
      </c>
      <c r="G885" s="37">
        <v>53.79</v>
      </c>
      <c r="H885" s="37">
        <v>2.5628663716762037</v>
      </c>
      <c r="I885" s="37">
        <v>84.47530653850653</v>
      </c>
      <c r="J885" s="10">
        <v>0</v>
      </c>
      <c r="K885" s="38">
        <v>0</v>
      </c>
      <c r="L885" s="38">
        <v>0</v>
      </c>
      <c r="M885" s="38">
        <v>0</v>
      </c>
      <c r="N885" s="38">
        <v>0</v>
      </c>
      <c r="O885" s="38">
        <v>1</v>
      </c>
      <c r="P885" s="38">
        <v>0</v>
      </c>
      <c r="Q885" s="38">
        <v>0</v>
      </c>
      <c r="R885" s="38">
        <v>0</v>
      </c>
      <c r="S885" s="38">
        <v>0</v>
      </c>
      <c r="T885" s="38">
        <v>0</v>
      </c>
      <c r="U885" s="29" cm="1">
        <f t="array" aca="1" ref="U885" ca="1">+fair_value_gap(OFFSET(T884,0,0,-1*$J$5,-1*$AA$1),OFFSET(E884,0,0,-1*$J$5,1),F885:T885,0)</f>
        <v>22.734702092164461</v>
      </c>
      <c r="V885" s="9" cm="1">
        <f t="array" aca="1" ref="V885" ca="1">z_score_diff(OFFSET(U885,0,0,$J$5*-1,1),OFFSET(E885,0,0,$J$5*-1,1))</f>
        <v>0.33775704336808499</v>
      </c>
      <c r="W885" s="9">
        <f t="shared" ca="1" si="131"/>
        <v>0.14501829099853572</v>
      </c>
      <c r="X885" s="17">
        <f t="shared" ca="1" si="130"/>
        <v>4.0382928379985361E-2</v>
      </c>
      <c r="Y885" s="13">
        <f t="shared" si="138"/>
        <v>0</v>
      </c>
      <c r="Z885" s="13">
        <f t="shared" si="138"/>
        <v>0</v>
      </c>
      <c r="AA885">
        <f t="shared" ca="1" si="132"/>
        <v>0</v>
      </c>
      <c r="AB885">
        <f t="shared" ca="1" si="133"/>
        <v>1</v>
      </c>
      <c r="AC885" s="24">
        <f t="shared" ca="1" si="134"/>
        <v>0</v>
      </c>
      <c r="AD885" s="24">
        <f t="shared" ca="1" si="135"/>
        <v>4.0382928379985361E-2</v>
      </c>
    </row>
    <row r="886" spans="3:30" x14ac:dyDescent="0.25">
      <c r="C886" s="6">
        <v>879</v>
      </c>
      <c r="D886" s="35">
        <v>43257</v>
      </c>
      <c r="E886" s="37">
        <v>22.161000000000001</v>
      </c>
      <c r="F886" s="37">
        <v>61.662149017139157</v>
      </c>
      <c r="G886" s="37">
        <v>53.46</v>
      </c>
      <c r="H886" s="37">
        <v>2.5548856747258855</v>
      </c>
      <c r="I886" s="37">
        <v>84.339689295095994</v>
      </c>
      <c r="J886" s="10">
        <v>0</v>
      </c>
      <c r="K886" s="38">
        <v>0</v>
      </c>
      <c r="L886" s="38">
        <v>0</v>
      </c>
      <c r="M886" s="38">
        <v>0</v>
      </c>
      <c r="N886" s="38">
        <v>0</v>
      </c>
      <c r="O886" s="38">
        <v>1</v>
      </c>
      <c r="P886" s="38">
        <v>0</v>
      </c>
      <c r="Q886" s="38">
        <v>0</v>
      </c>
      <c r="R886" s="38">
        <v>0</v>
      </c>
      <c r="S886" s="38">
        <v>0</v>
      </c>
      <c r="T886" s="38">
        <v>0</v>
      </c>
      <c r="U886" s="29" cm="1">
        <f t="array" aca="1" ref="U886" ca="1">+fair_value_gap(OFFSET(T885,0,0,-1*$J$5,-1*$AA$1),OFFSET(E885,0,0,-1*$J$5,1),F886:T886,0)</f>
        <v>22.470110131634314</v>
      </c>
      <c r="V886" s="9" cm="1">
        <f t="array" aca="1" ref="V886" ca="1">z_score_diff(OFFSET(U886,0,0,$J$5*-1,1),OFFSET(E886,0,0,$J$5*-1,1))</f>
        <v>0.26330614122819762</v>
      </c>
      <c r="W886" s="9">
        <f t="shared" ca="1" si="131"/>
        <v>0.14135827310417154</v>
      </c>
      <c r="X886" s="17">
        <f t="shared" ca="1" si="130"/>
        <v>4.2234290384729485E-2</v>
      </c>
      <c r="Y886" s="13">
        <f t="shared" si="138"/>
        <v>0</v>
      </c>
      <c r="Z886" s="13">
        <f t="shared" si="138"/>
        <v>0</v>
      </c>
      <c r="AA886">
        <f t="shared" ca="1" si="132"/>
        <v>0</v>
      </c>
      <c r="AB886">
        <f t="shared" ca="1" si="133"/>
        <v>1</v>
      </c>
      <c r="AC886" s="24">
        <f t="shared" ca="1" si="134"/>
        <v>0</v>
      </c>
      <c r="AD886" s="24">
        <f t="shared" ca="1" si="135"/>
        <v>4.2234290384729485E-2</v>
      </c>
    </row>
    <row r="887" spans="3:30" x14ac:dyDescent="0.25">
      <c r="C887" s="6">
        <v>880</v>
      </c>
      <c r="D887" s="35">
        <v>43258</v>
      </c>
      <c r="E887" s="37">
        <v>22.472000000000001</v>
      </c>
      <c r="F887" s="37">
        <v>63.186360905183683</v>
      </c>
      <c r="G887" s="37">
        <v>53.71</v>
      </c>
      <c r="H887" s="37">
        <v>2.5772614340905498</v>
      </c>
      <c r="I887" s="37">
        <v>84.446260672778877</v>
      </c>
      <c r="J887" s="10">
        <v>0</v>
      </c>
      <c r="K887" s="38">
        <v>0</v>
      </c>
      <c r="L887" s="38">
        <v>0</v>
      </c>
      <c r="M887" s="38">
        <v>0</v>
      </c>
      <c r="N887" s="38">
        <v>0</v>
      </c>
      <c r="O887" s="38">
        <v>1</v>
      </c>
      <c r="P887" s="38">
        <v>0</v>
      </c>
      <c r="Q887" s="38">
        <v>0</v>
      </c>
      <c r="R887" s="38">
        <v>0</v>
      </c>
      <c r="S887" s="38">
        <v>0</v>
      </c>
      <c r="T887" s="38">
        <v>0</v>
      </c>
      <c r="U887" s="29" cm="1">
        <f t="array" aca="1" ref="U887" ca="1">+fair_value_gap(OFFSET(T886,0,0,-1*$J$5,-1*$AA$1),OFFSET(E886,0,0,-1*$J$5,1),F887:T887,0)</f>
        <v>22.607967735545714</v>
      </c>
      <c r="V887" s="9" cm="1">
        <f t="array" aca="1" ref="V887" ca="1">z_score_diff(OFFSET(U887,0,0,$J$5*-1,1),OFFSET(E887,0,0,$J$5*-1,1))</f>
        <v>0.16406179733130255</v>
      </c>
      <c r="W887" s="9">
        <f t="shared" ca="1" si="131"/>
        <v>0.13682732212138823</v>
      </c>
      <c r="X887" s="17">
        <f t="shared" ca="1" si="130"/>
        <v>3.8412543749871138E-2</v>
      </c>
      <c r="Y887" s="13">
        <f t="shared" si="138"/>
        <v>0</v>
      </c>
      <c r="Z887" s="13">
        <f t="shared" si="138"/>
        <v>0</v>
      </c>
      <c r="AA887">
        <f t="shared" ca="1" si="132"/>
        <v>0</v>
      </c>
      <c r="AB887">
        <f t="shared" ca="1" si="133"/>
        <v>1</v>
      </c>
      <c r="AC887" s="24">
        <f t="shared" ca="1" si="134"/>
        <v>0</v>
      </c>
      <c r="AD887" s="24">
        <f t="shared" ca="1" si="135"/>
        <v>3.8412543749871138E-2</v>
      </c>
    </row>
    <row r="888" spans="3:30" x14ac:dyDescent="0.25">
      <c r="C888" s="6">
        <v>881</v>
      </c>
      <c r="D888" s="35">
        <v>43259</v>
      </c>
      <c r="E888" s="37">
        <v>22.44</v>
      </c>
      <c r="F888" s="37">
        <v>62.816259508729601</v>
      </c>
      <c r="G888" s="37">
        <v>53.94</v>
      </c>
      <c r="H888" s="37">
        <v>2.5526959552293826</v>
      </c>
      <c r="I888" s="37">
        <v>84.866458898830459</v>
      </c>
      <c r="J888" s="10">
        <v>0</v>
      </c>
      <c r="K888" s="38">
        <v>0</v>
      </c>
      <c r="L888" s="38">
        <v>0</v>
      </c>
      <c r="M888" s="38">
        <v>0</v>
      </c>
      <c r="N888" s="38">
        <v>0</v>
      </c>
      <c r="O888" s="38">
        <v>1</v>
      </c>
      <c r="P888" s="38">
        <v>0</v>
      </c>
      <c r="Q888" s="38">
        <v>0</v>
      </c>
      <c r="R888" s="38">
        <v>0</v>
      </c>
      <c r="S888" s="38">
        <v>0</v>
      </c>
      <c r="T888" s="38">
        <v>0</v>
      </c>
      <c r="U888" s="29" cm="1">
        <f t="array" aca="1" ref="U888" ca="1">+fair_value_gap(OFFSET(T887,0,0,-1*$J$5,-1*$AA$1),OFFSET(E887,0,0,-1*$J$5,1),F888:T888,0)</f>
        <v>22.60158750038568</v>
      </c>
      <c r="V888" s="9" cm="1">
        <f t="array" aca="1" ref="V888" ca="1">z_score_diff(OFFSET(U888,0,0,$J$5*-1,1),OFFSET(E888,0,0,$J$5*-1,1))</f>
        <v>0.16991759674509854</v>
      </c>
      <c r="W888" s="9">
        <f t="shared" ca="1" si="131"/>
        <v>0.14635778512948688</v>
      </c>
      <c r="X888" s="17">
        <f t="shared" ca="1" si="130"/>
        <v>3.4298086236190295E-2</v>
      </c>
      <c r="Y888" s="13">
        <f t="shared" si="138"/>
        <v>0</v>
      </c>
      <c r="Z888" s="13">
        <f t="shared" si="138"/>
        <v>0</v>
      </c>
      <c r="AA888">
        <f t="shared" ca="1" si="132"/>
        <v>0</v>
      </c>
      <c r="AB888">
        <f t="shared" ca="1" si="133"/>
        <v>1</v>
      </c>
      <c r="AC888" s="24">
        <f t="shared" ca="1" si="134"/>
        <v>0</v>
      </c>
      <c r="AD888" s="24">
        <f t="shared" ca="1" si="135"/>
        <v>3.4298086236190295E-2</v>
      </c>
    </row>
    <row r="889" spans="3:30" x14ac:dyDescent="0.25">
      <c r="C889" s="6">
        <v>882</v>
      </c>
      <c r="D889" s="35">
        <v>43262</v>
      </c>
      <c r="E889" s="37">
        <v>22.248000000000001</v>
      </c>
      <c r="F889" s="37">
        <v>62.692777781960636</v>
      </c>
      <c r="G889" s="37">
        <v>52.94</v>
      </c>
      <c r="H889" s="37">
        <v>2.5741350044714824</v>
      </c>
      <c r="I889" s="37">
        <v>85.204956192856827</v>
      </c>
      <c r="J889" s="10">
        <v>0</v>
      </c>
      <c r="K889" s="38">
        <v>0</v>
      </c>
      <c r="L889" s="38">
        <v>0</v>
      </c>
      <c r="M889" s="38">
        <v>0</v>
      </c>
      <c r="N889" s="38">
        <v>0</v>
      </c>
      <c r="O889" s="38">
        <v>1</v>
      </c>
      <c r="P889" s="38">
        <v>0</v>
      </c>
      <c r="Q889" s="38">
        <v>0</v>
      </c>
      <c r="R889" s="38">
        <v>0</v>
      </c>
      <c r="S889" s="38">
        <v>0</v>
      </c>
      <c r="T889" s="38">
        <v>0</v>
      </c>
      <c r="U889" s="29" cm="1">
        <f t="array" aca="1" ref="U889" ca="1">+fair_value_gap(OFFSET(T888,0,0,-1*$J$5,-1*$AA$1),OFFSET(E888,0,0,-1*$J$5,1),F889:T889,0)</f>
        <v>22.308193425293467</v>
      </c>
      <c r="V889" s="9" cm="1">
        <f t="array" aca="1" ref="V889" ca="1">z_score_diff(OFFSET(U889,0,0,$J$5*-1,1),OFFSET(E889,0,0,$J$5*-1,1))</f>
        <v>0.10465387993833897</v>
      </c>
      <c r="W889" s="9">
        <f t="shared" ca="1" si="131"/>
        <v>0.15324141656587972</v>
      </c>
      <c r="X889" s="17">
        <f t="shared" ca="1" si="130"/>
        <v>5.738312789226379E-2</v>
      </c>
      <c r="Y889" s="13">
        <f t="shared" ref="Y889:Z904" si="139">+Y888</f>
        <v>0</v>
      </c>
      <c r="Z889" s="13">
        <f t="shared" si="139"/>
        <v>0</v>
      </c>
      <c r="AA889">
        <f t="shared" ca="1" si="132"/>
        <v>0</v>
      </c>
      <c r="AB889">
        <f t="shared" ca="1" si="133"/>
        <v>1</v>
      </c>
      <c r="AC889" s="24">
        <f t="shared" ca="1" si="134"/>
        <v>0</v>
      </c>
      <c r="AD889" s="24">
        <f t="shared" ca="1" si="135"/>
        <v>5.738312789226379E-2</v>
      </c>
    </row>
    <row r="890" spans="3:30" x14ac:dyDescent="0.25">
      <c r="C890" s="6">
        <v>883</v>
      </c>
      <c r="D890" s="35">
        <v>43263</v>
      </c>
      <c r="E890" s="37">
        <v>22.696999999999999</v>
      </c>
      <c r="F890" s="37">
        <v>62.501678573346936</v>
      </c>
      <c r="G890" s="37">
        <v>53.94</v>
      </c>
      <c r="H890" s="37">
        <v>2.5782886609013267</v>
      </c>
      <c r="I890" s="37">
        <v>85.900991029704016</v>
      </c>
      <c r="J890" s="10">
        <v>0</v>
      </c>
      <c r="K890" s="38">
        <v>0</v>
      </c>
      <c r="L890" s="38">
        <v>0</v>
      </c>
      <c r="M890" s="38">
        <v>0</v>
      </c>
      <c r="N890" s="38">
        <v>0</v>
      </c>
      <c r="O890" s="38">
        <v>1</v>
      </c>
      <c r="P890" s="38">
        <v>0</v>
      </c>
      <c r="Q890" s="38">
        <v>0</v>
      </c>
      <c r="R890" s="38">
        <v>0</v>
      </c>
      <c r="S890" s="38">
        <v>0</v>
      </c>
      <c r="T890" s="38">
        <v>0</v>
      </c>
      <c r="U890" s="29" cm="1">
        <f t="array" aca="1" ref="U890" ca="1">+fair_value_gap(OFFSET(T889,0,0,-1*$J$5,-1*$AA$1),OFFSET(E889,0,0,-1*$J$5,1),F890:T890,0)</f>
        <v>22.570906503092491</v>
      </c>
      <c r="V890" s="9" cm="1">
        <f t="array" aca="1" ref="V890" ca="1">z_score_diff(OFFSET(U890,0,0,$J$5*-1,1),OFFSET(E890,0,0,$J$5*-1,1))</f>
        <v>1.0714191365258419E-2</v>
      </c>
      <c r="W890" s="9">
        <f t="shared" ca="1" si="131"/>
        <v>0.14703881228923338</v>
      </c>
      <c r="X890" s="17">
        <f t="shared" ca="1" si="130"/>
        <v>4.087662579879036E-2</v>
      </c>
      <c r="Y890" s="13">
        <f t="shared" si="139"/>
        <v>0</v>
      </c>
      <c r="Z890" s="13">
        <f t="shared" si="139"/>
        <v>0</v>
      </c>
      <c r="AA890">
        <f t="shared" ca="1" si="132"/>
        <v>0</v>
      </c>
      <c r="AB890">
        <f t="shared" ca="1" si="133"/>
        <v>1</v>
      </c>
      <c r="AC890" s="24">
        <f t="shared" ca="1" si="134"/>
        <v>0</v>
      </c>
      <c r="AD890" s="24">
        <f t="shared" ca="1" si="135"/>
        <v>4.087662579879036E-2</v>
      </c>
    </row>
    <row r="891" spans="3:30" x14ac:dyDescent="0.25">
      <c r="C891" s="6">
        <v>884</v>
      </c>
      <c r="D891" s="35">
        <v>43264</v>
      </c>
      <c r="E891" s="37">
        <v>23.216000000000001</v>
      </c>
      <c r="F891" s="37">
        <v>62.97137611518778</v>
      </c>
      <c r="G891" s="37">
        <v>54.55</v>
      </c>
      <c r="H891" s="37">
        <v>2.5833981969719897</v>
      </c>
      <c r="I891" s="37">
        <v>85.193616916325496</v>
      </c>
      <c r="J891" s="10">
        <v>0</v>
      </c>
      <c r="K891" s="38">
        <v>0</v>
      </c>
      <c r="L891" s="38">
        <v>0</v>
      </c>
      <c r="M891" s="38">
        <v>0</v>
      </c>
      <c r="N891" s="38">
        <v>0</v>
      </c>
      <c r="O891" s="38">
        <v>1</v>
      </c>
      <c r="P891" s="38">
        <v>0</v>
      </c>
      <c r="Q891" s="38">
        <v>0</v>
      </c>
      <c r="R891" s="38">
        <v>0</v>
      </c>
      <c r="S891" s="38">
        <v>0</v>
      </c>
      <c r="T891" s="38">
        <v>0</v>
      </c>
      <c r="U891" s="29" cm="1">
        <f t="array" aca="1" ref="U891" ca="1">+fair_value_gap(OFFSET(T890,0,0,-1*$J$5,-1*$AA$1),OFFSET(E890,0,0,-1*$J$5,1),F891:T891,0)</f>
        <v>22.792746600695679</v>
      </c>
      <c r="V891" s="9" cm="1">
        <f t="array" aca="1" ref="V891" ca="1">z_score_diff(OFFSET(U891,0,0,$J$5*-1,1),OFFSET(E891,0,0,$J$5*-1,1))</f>
        <v>-0.13445940399740941</v>
      </c>
      <c r="W891" s="9">
        <f t="shared" ca="1" si="131"/>
        <v>0.12996634649837863</v>
      </c>
      <c r="X891" s="17">
        <f t="shared" ca="1" si="130"/>
        <v>1.1307298818063714E-2</v>
      </c>
      <c r="Y891" s="13">
        <f t="shared" si="139"/>
        <v>0</v>
      </c>
      <c r="Z891" s="13">
        <f t="shared" si="139"/>
        <v>0</v>
      </c>
      <c r="AA891">
        <f t="shared" ca="1" si="132"/>
        <v>0</v>
      </c>
      <c r="AB891">
        <f t="shared" ca="1" si="133"/>
        <v>1</v>
      </c>
      <c r="AC891" s="24">
        <f t="shared" ca="1" si="134"/>
        <v>0</v>
      </c>
      <c r="AD891" s="24">
        <f t="shared" ca="1" si="135"/>
        <v>1.1307298818063714E-2</v>
      </c>
    </row>
    <row r="892" spans="3:30" x14ac:dyDescent="0.25">
      <c r="C892" s="6">
        <v>885</v>
      </c>
      <c r="D892" s="35">
        <v>43265</v>
      </c>
      <c r="E892" s="37">
        <v>23.247</v>
      </c>
      <c r="F892" s="37">
        <v>63.331367984813426</v>
      </c>
      <c r="G892" s="37">
        <v>55.15</v>
      </c>
      <c r="H892" s="37">
        <v>2.6429961454176141</v>
      </c>
      <c r="I892" s="37">
        <v>87.12003735298228</v>
      </c>
      <c r="J892" s="10">
        <v>0</v>
      </c>
      <c r="K892" s="38">
        <v>0</v>
      </c>
      <c r="L892" s="38">
        <v>0</v>
      </c>
      <c r="M892" s="38">
        <v>0</v>
      </c>
      <c r="N892" s="38">
        <v>0</v>
      </c>
      <c r="O892" s="38">
        <v>1</v>
      </c>
      <c r="P892" s="38">
        <v>0</v>
      </c>
      <c r="Q892" s="38">
        <v>0</v>
      </c>
      <c r="R892" s="38">
        <v>0</v>
      </c>
      <c r="S892" s="38">
        <v>0</v>
      </c>
      <c r="T892" s="38">
        <v>0</v>
      </c>
      <c r="U892" s="29" cm="1">
        <f t="array" aca="1" ref="U892" ca="1">+fair_value_gap(OFFSET(T891,0,0,-1*$J$5,-1*$AA$1),OFFSET(E891,0,0,-1*$J$5,1),F892:T892,0)</f>
        <v>23.093237957717463</v>
      </c>
      <c r="V892" s="9" cm="1">
        <f t="array" aca="1" ref="V892" ca="1">z_score_diff(OFFSET(U892,0,0,$J$5*-1,1),OFFSET(E892,0,0,$J$5*-1,1))</f>
        <v>1.1238583005175773E-2</v>
      </c>
      <c r="W892" s="9">
        <f t="shared" ca="1" si="131"/>
        <v>0.1283848793967069</v>
      </c>
      <c r="X892" s="17">
        <f t="shared" ca="1" si="130"/>
        <v>-1.7618924783425943E-2</v>
      </c>
      <c r="Y892" s="13">
        <f t="shared" si="139"/>
        <v>0</v>
      </c>
      <c r="Z892" s="13">
        <f t="shared" si="139"/>
        <v>0</v>
      </c>
      <c r="AA892">
        <f t="shared" ca="1" si="132"/>
        <v>0</v>
      </c>
      <c r="AB892">
        <f t="shared" ca="1" si="133"/>
        <v>1</v>
      </c>
      <c r="AC892" s="24">
        <f t="shared" ca="1" si="134"/>
        <v>0</v>
      </c>
      <c r="AD892" s="24">
        <f t="shared" ca="1" si="135"/>
        <v>-1.7618924783425943E-2</v>
      </c>
    </row>
    <row r="893" spans="3:30" x14ac:dyDescent="0.25">
      <c r="C893" s="6">
        <v>886</v>
      </c>
      <c r="D893" s="35">
        <v>43266</v>
      </c>
      <c r="E893" s="37">
        <v>22.512</v>
      </c>
      <c r="F893" s="37">
        <v>61.028755893471526</v>
      </c>
      <c r="G893" s="37">
        <v>54.25</v>
      </c>
      <c r="H893" s="37">
        <v>2.6691585609310624</v>
      </c>
      <c r="I893" s="37">
        <v>86.64995964830311</v>
      </c>
      <c r="J893" s="10">
        <v>0</v>
      </c>
      <c r="K893" s="38">
        <v>0</v>
      </c>
      <c r="L893" s="38">
        <v>0</v>
      </c>
      <c r="M893" s="38">
        <v>0</v>
      </c>
      <c r="N893" s="38">
        <v>0</v>
      </c>
      <c r="O893" s="38">
        <v>1</v>
      </c>
      <c r="P893" s="38">
        <v>0</v>
      </c>
      <c r="Q893" s="38">
        <v>0</v>
      </c>
      <c r="R893" s="38">
        <v>0</v>
      </c>
      <c r="S893" s="38">
        <v>0</v>
      </c>
      <c r="T893" s="38">
        <v>0</v>
      </c>
      <c r="U893" s="29" cm="1">
        <f t="array" aca="1" ref="U893" ca="1">+fair_value_gap(OFFSET(T892,0,0,-1*$J$5,-1*$AA$1),OFFSET(E892,0,0,-1*$J$5,1),F893:T893,0)</f>
        <v>22.689739340359719</v>
      </c>
      <c r="V893" s="9" cm="1">
        <f t="array" aca="1" ref="V893" ca="1">z_score_diff(OFFSET(U893,0,0,$J$5*-1,1),OFFSET(E893,0,0,$J$5*-1,1))</f>
        <v>0.16625612147788704</v>
      </c>
      <c r="W893" s="9">
        <f t="shared" ca="1" si="131"/>
        <v>0.1296516042751647</v>
      </c>
      <c r="X893" s="17">
        <f t="shared" ca="1" si="130"/>
        <v>2.8637186138120978E-2</v>
      </c>
      <c r="Y893" s="13">
        <f t="shared" si="139"/>
        <v>0</v>
      </c>
      <c r="Z893" s="13">
        <f t="shared" si="139"/>
        <v>0</v>
      </c>
      <c r="AA893">
        <f t="shared" ca="1" si="132"/>
        <v>0</v>
      </c>
      <c r="AB893">
        <f t="shared" ca="1" si="133"/>
        <v>1</v>
      </c>
      <c r="AC893" s="24">
        <f t="shared" ca="1" si="134"/>
        <v>0</v>
      </c>
      <c r="AD893" s="24">
        <f t="shared" ca="1" si="135"/>
        <v>2.8637186138120978E-2</v>
      </c>
    </row>
    <row r="894" spans="3:30" x14ac:dyDescent="0.25">
      <c r="C894" s="6">
        <v>887</v>
      </c>
      <c r="D894" s="35">
        <v>43269</v>
      </c>
      <c r="E894" s="37">
        <v>22.922999999999998</v>
      </c>
      <c r="F894" s="37">
        <v>62.430815035986775</v>
      </c>
      <c r="G894" s="37">
        <v>55.63</v>
      </c>
      <c r="H894" s="37">
        <v>2.6253175616355855</v>
      </c>
      <c r="I894" s="37">
        <v>86.817852159419104</v>
      </c>
      <c r="J894" s="10">
        <v>0</v>
      </c>
      <c r="K894" s="38">
        <v>0</v>
      </c>
      <c r="L894" s="38">
        <v>0</v>
      </c>
      <c r="M894" s="38">
        <v>0</v>
      </c>
      <c r="N894" s="38">
        <v>0</v>
      </c>
      <c r="O894" s="38">
        <v>1</v>
      </c>
      <c r="P894" s="38">
        <v>0</v>
      </c>
      <c r="Q894" s="38">
        <v>0</v>
      </c>
      <c r="R894" s="38">
        <v>0</v>
      </c>
      <c r="S894" s="38">
        <v>0</v>
      </c>
      <c r="T894" s="38">
        <v>0</v>
      </c>
      <c r="U894" s="29" cm="1">
        <f t="array" aca="1" ref="U894" ca="1">+fair_value_gap(OFFSET(T893,0,0,-1*$J$5,-1*$AA$1),OFFSET(E893,0,0,-1*$J$5,1),F894:T894,0)</f>
        <v>23.139955705624708</v>
      </c>
      <c r="V894" s="9" cm="1">
        <f t="array" aca="1" ref="V894" ca="1">z_score_diff(OFFSET(U894,0,0,$J$5*-1,1),OFFSET(E894,0,0,$J$5*-1,1))</f>
        <v>0.18785606224448026</v>
      </c>
      <c r="W894" s="9">
        <f t="shared" ca="1" si="131"/>
        <v>0.13874351087360934</v>
      </c>
      <c r="X894" s="17">
        <f t="shared" ca="1" si="130"/>
        <v>-4.5472510692523803E-3</v>
      </c>
      <c r="Y894" s="13">
        <f t="shared" si="139"/>
        <v>0</v>
      </c>
      <c r="Z894" s="13">
        <f t="shared" si="139"/>
        <v>0</v>
      </c>
      <c r="AA894">
        <f t="shared" ca="1" si="132"/>
        <v>0</v>
      </c>
      <c r="AB894">
        <f t="shared" ca="1" si="133"/>
        <v>1</v>
      </c>
      <c r="AC894" s="24">
        <f t="shared" ca="1" si="134"/>
        <v>0</v>
      </c>
      <c r="AD894" s="24">
        <f t="shared" ca="1" si="135"/>
        <v>-4.5472510692523803E-3</v>
      </c>
    </row>
    <row r="895" spans="3:30" x14ac:dyDescent="0.25">
      <c r="C895" s="6">
        <v>888</v>
      </c>
      <c r="D895" s="35">
        <v>43270</v>
      </c>
      <c r="E895" s="37">
        <v>22.495999999999999</v>
      </c>
      <c r="F895" s="37">
        <v>62.242181453224816</v>
      </c>
      <c r="G895" s="37">
        <v>55.6</v>
      </c>
      <c r="H895" s="37">
        <v>2.5890297942554841</v>
      </c>
      <c r="I895" s="37">
        <v>86.329344322250861</v>
      </c>
      <c r="J895" s="10">
        <v>0</v>
      </c>
      <c r="K895" s="38">
        <v>0</v>
      </c>
      <c r="L895" s="38">
        <v>0</v>
      </c>
      <c r="M895" s="38">
        <v>0</v>
      </c>
      <c r="N895" s="38">
        <v>0</v>
      </c>
      <c r="O895" s="38">
        <v>1</v>
      </c>
      <c r="P895" s="38">
        <v>0</v>
      </c>
      <c r="Q895" s="38">
        <v>0</v>
      </c>
      <c r="R895" s="38">
        <v>0</v>
      </c>
      <c r="S895" s="38">
        <v>0</v>
      </c>
      <c r="T895" s="38">
        <v>0</v>
      </c>
      <c r="U895" s="29" cm="1">
        <f t="array" aca="1" ref="U895" ca="1">+fair_value_gap(OFFSET(T894,0,0,-1*$J$5,-1*$AA$1),OFFSET(E894,0,0,-1*$J$5,1),F895:T895,0)</f>
        <v>23.067104329689418</v>
      </c>
      <c r="V895" s="9" cm="1">
        <f t="array" aca="1" ref="V895" ca="1">z_score_diff(OFFSET(U895,0,0,$J$5*-1,1),OFFSET(E895,0,0,$J$5*-1,1))</f>
        <v>0.35102179745315887</v>
      </c>
      <c r="W895" s="9">
        <f t="shared" ca="1" si="131"/>
        <v>0.15850592704563521</v>
      </c>
      <c r="X895" s="17">
        <f t="shared" ca="1" si="130"/>
        <v>9.6439588412001436E-3</v>
      </c>
      <c r="Y895" s="13">
        <f t="shared" si="139"/>
        <v>0</v>
      </c>
      <c r="Z895" s="13">
        <f t="shared" si="139"/>
        <v>0</v>
      </c>
      <c r="AA895">
        <f t="shared" ca="1" si="132"/>
        <v>0</v>
      </c>
      <c r="AB895">
        <f t="shared" ca="1" si="133"/>
        <v>1</v>
      </c>
      <c r="AC895" s="24">
        <f t="shared" ca="1" si="134"/>
        <v>0</v>
      </c>
      <c r="AD895" s="24">
        <f t="shared" ca="1" si="135"/>
        <v>9.6439588412001436E-3</v>
      </c>
    </row>
    <row r="896" spans="3:30" x14ac:dyDescent="0.25">
      <c r="C896" s="6">
        <v>889</v>
      </c>
      <c r="D896" s="35">
        <v>43271</v>
      </c>
      <c r="E896" s="37">
        <v>22.228999999999999</v>
      </c>
      <c r="F896" s="37">
        <v>62.105927665762763</v>
      </c>
      <c r="G896" s="37">
        <v>54.97</v>
      </c>
      <c r="H896" s="37">
        <v>2.6392889425038826</v>
      </c>
      <c r="I896" s="37">
        <v>85.789669628838269</v>
      </c>
      <c r="J896" s="10">
        <v>0</v>
      </c>
      <c r="K896" s="38">
        <v>0</v>
      </c>
      <c r="L896" s="38">
        <v>0</v>
      </c>
      <c r="M896" s="38">
        <v>0</v>
      </c>
      <c r="N896" s="38">
        <v>0</v>
      </c>
      <c r="O896" s="38">
        <v>1</v>
      </c>
      <c r="P896" s="38">
        <v>0</v>
      </c>
      <c r="Q896" s="38">
        <v>0</v>
      </c>
      <c r="R896" s="38">
        <v>0</v>
      </c>
      <c r="S896" s="38">
        <v>0</v>
      </c>
      <c r="T896" s="38">
        <v>0</v>
      </c>
      <c r="U896" s="29" cm="1">
        <f t="array" aca="1" ref="U896" ca="1">+fair_value_gap(OFFSET(T895,0,0,-1*$J$5,-1*$AA$1),OFFSET(E895,0,0,-1*$J$5,1),F896:T896,0)</f>
        <v>22.861162545361562</v>
      </c>
      <c r="V896" s="9" cm="1">
        <f t="array" aca="1" ref="V896" ca="1">z_score_diff(OFFSET(U896,0,0,$J$5*-1,1),OFFSET(E896,0,0,$J$5*-1,1))</f>
        <v>0.36567037893384979</v>
      </c>
      <c r="W896" s="9">
        <f t="shared" ca="1" si="131"/>
        <v>0.17073628389875115</v>
      </c>
      <c r="X896" s="17">
        <f t="shared" ca="1" si="130"/>
        <v>3.4531161338501884E-2</v>
      </c>
      <c r="Y896" s="13">
        <f t="shared" si="139"/>
        <v>0</v>
      </c>
      <c r="Z896" s="13">
        <f t="shared" si="139"/>
        <v>0</v>
      </c>
      <c r="AA896">
        <f t="shared" ca="1" si="132"/>
        <v>0</v>
      </c>
      <c r="AB896">
        <f t="shared" ca="1" si="133"/>
        <v>1</v>
      </c>
      <c r="AC896" s="24">
        <f t="shared" ca="1" si="134"/>
        <v>0</v>
      </c>
      <c r="AD896" s="24">
        <f t="shared" ca="1" si="135"/>
        <v>3.4531161338501884E-2</v>
      </c>
    </row>
    <row r="897" spans="3:30" x14ac:dyDescent="0.25">
      <c r="C897" s="6">
        <v>890</v>
      </c>
      <c r="D897" s="35">
        <v>43272</v>
      </c>
      <c r="E897" s="37">
        <v>22.268999999999998</v>
      </c>
      <c r="F897" s="37">
        <v>60.799260485238598</v>
      </c>
      <c r="G897" s="37">
        <v>54.55</v>
      </c>
      <c r="H897" s="37">
        <v>2.6338416364482904</v>
      </c>
      <c r="I897" s="37">
        <v>83.730675249025481</v>
      </c>
      <c r="J897" s="10">
        <v>0</v>
      </c>
      <c r="K897" s="38">
        <v>0</v>
      </c>
      <c r="L897" s="38">
        <v>0</v>
      </c>
      <c r="M897" s="38">
        <v>0</v>
      </c>
      <c r="N897" s="38">
        <v>0</v>
      </c>
      <c r="O897" s="38">
        <v>1</v>
      </c>
      <c r="P897" s="38">
        <v>0</v>
      </c>
      <c r="Q897" s="38">
        <v>0</v>
      </c>
      <c r="R897" s="38">
        <v>0</v>
      </c>
      <c r="S897" s="38">
        <v>0</v>
      </c>
      <c r="T897" s="38">
        <v>0</v>
      </c>
      <c r="U897" s="29" cm="1">
        <f t="array" aca="1" ref="U897" ca="1">+fair_value_gap(OFFSET(T896,0,0,-1*$J$5,-1*$AA$1),OFFSET(E896,0,0,-1*$J$5,1),F897:T897,0)</f>
        <v>22.568798721621526</v>
      </c>
      <c r="V897" s="9" cm="1">
        <f t="array" aca="1" ref="V897" ca="1">z_score_diff(OFFSET(U897,0,0,$J$5*-1,1),OFFSET(E897,0,0,$J$5*-1,1))</f>
        <v>0.19100298560747797</v>
      </c>
      <c r="W897" s="9">
        <f t="shared" ca="1" si="131"/>
        <v>0.17894863104977093</v>
      </c>
      <c r="X897" s="17">
        <f t="shared" ca="1" si="130"/>
        <v>3.5337495382142897E-2</v>
      </c>
      <c r="Y897" s="13">
        <f t="shared" si="139"/>
        <v>0</v>
      </c>
      <c r="Z897" s="13">
        <f t="shared" si="139"/>
        <v>0</v>
      </c>
      <c r="AA897">
        <f t="shared" ca="1" si="132"/>
        <v>0</v>
      </c>
      <c r="AB897">
        <f t="shared" ca="1" si="133"/>
        <v>1</v>
      </c>
      <c r="AC897" s="24">
        <f t="shared" ca="1" si="134"/>
        <v>0</v>
      </c>
      <c r="AD897" s="24">
        <f t="shared" ca="1" si="135"/>
        <v>3.5337495382142897E-2</v>
      </c>
    </row>
    <row r="898" spans="3:30" x14ac:dyDescent="0.25">
      <c r="C898" s="6">
        <v>891</v>
      </c>
      <c r="D898" s="35">
        <v>43273</v>
      </c>
      <c r="E898" s="37">
        <v>22.446999999999999</v>
      </c>
      <c r="F898" s="37">
        <v>62.512263940294062</v>
      </c>
      <c r="G898" s="37">
        <v>54.94</v>
      </c>
      <c r="H898" s="37">
        <v>2.5991095533557522</v>
      </c>
      <c r="I898" s="37">
        <v>83.521662347504247</v>
      </c>
      <c r="J898" s="10">
        <v>0</v>
      </c>
      <c r="K898" s="38">
        <v>0</v>
      </c>
      <c r="L898" s="38">
        <v>0</v>
      </c>
      <c r="M898" s="38">
        <v>0</v>
      </c>
      <c r="N898" s="38">
        <v>0</v>
      </c>
      <c r="O898" s="38">
        <v>1</v>
      </c>
      <c r="P898" s="38">
        <v>0</v>
      </c>
      <c r="Q898" s="38">
        <v>0</v>
      </c>
      <c r="R898" s="38">
        <v>0</v>
      </c>
      <c r="S898" s="38">
        <v>0</v>
      </c>
      <c r="T898" s="38">
        <v>0</v>
      </c>
      <c r="U898" s="29" cm="1">
        <f t="array" aca="1" ref="U898" ca="1">+fair_value_gap(OFFSET(T897,0,0,-1*$J$5,-1*$AA$1),OFFSET(E897,0,0,-1*$J$5,1),F898:T898,0)</f>
        <v>22.781537029279033</v>
      </c>
      <c r="V898" s="9" cm="1">
        <f t="array" aca="1" ref="V898" ca="1">z_score_diff(OFFSET(U898,0,0,$J$5*-1,1),OFFSET(E898,0,0,$J$5*-1,1))</f>
        <v>0.20429376051553216</v>
      </c>
      <c r="W898" s="9">
        <f t="shared" ca="1" si="131"/>
        <v>0.17336075244520785</v>
      </c>
      <c r="X898" s="17">
        <f t="shared" ca="1" si="130"/>
        <v>1.4638182882750921E-2</v>
      </c>
      <c r="Y898" s="13">
        <f t="shared" si="139"/>
        <v>0</v>
      </c>
      <c r="Z898" s="13">
        <f t="shared" si="139"/>
        <v>0</v>
      </c>
      <c r="AA898">
        <f t="shared" ca="1" si="132"/>
        <v>0</v>
      </c>
      <c r="AB898">
        <f t="shared" ca="1" si="133"/>
        <v>1</v>
      </c>
      <c r="AC898" s="24">
        <f t="shared" ca="1" si="134"/>
        <v>0</v>
      </c>
      <c r="AD898" s="24">
        <f t="shared" ca="1" si="135"/>
        <v>1.4638182882750921E-2</v>
      </c>
    </row>
    <row r="899" spans="3:30" x14ac:dyDescent="0.25">
      <c r="C899" s="6">
        <v>892</v>
      </c>
      <c r="D899" s="35">
        <v>43276</v>
      </c>
      <c r="E899" s="37">
        <v>22.324000000000002</v>
      </c>
      <c r="F899" s="37">
        <v>61.742279687725095</v>
      </c>
      <c r="G899" s="37">
        <v>54.73</v>
      </c>
      <c r="H899" s="37">
        <v>2.5761753484112884</v>
      </c>
      <c r="I899" s="37">
        <v>84.707139072189349</v>
      </c>
      <c r="J899" s="10">
        <v>0</v>
      </c>
      <c r="K899" s="38">
        <v>0</v>
      </c>
      <c r="L899" s="38">
        <v>0</v>
      </c>
      <c r="M899" s="38">
        <v>0</v>
      </c>
      <c r="N899" s="38">
        <v>0</v>
      </c>
      <c r="O899" s="38">
        <v>1</v>
      </c>
      <c r="P899" s="38">
        <v>0</v>
      </c>
      <c r="Q899" s="38">
        <v>0</v>
      </c>
      <c r="R899" s="38">
        <v>0</v>
      </c>
      <c r="S899" s="38">
        <v>0</v>
      </c>
      <c r="T899" s="38">
        <v>0</v>
      </c>
      <c r="U899" s="29" cm="1">
        <f t="array" aca="1" ref="U899" ca="1">+fair_value_gap(OFFSET(T898,0,0,-1*$J$5,-1*$AA$1),OFFSET(E898,0,0,-1*$J$5,1),F899:T899,0)</f>
        <v>22.61657542322537</v>
      </c>
      <c r="V899" s="9" cm="1">
        <f t="array" aca="1" ref="V899" ca="1">z_score_diff(OFFSET(U899,0,0,$J$5*-1,1),OFFSET(E899,0,0,$J$5*-1,1))</f>
        <v>0.17714427619860063</v>
      </c>
      <c r="W899" s="9">
        <f t="shared" ca="1" si="131"/>
        <v>0.17328348216678041</v>
      </c>
      <c r="X899" s="17">
        <f t="shared" ca="1" si="130"/>
        <v>2.7481296450764133E-2</v>
      </c>
      <c r="Y899" s="13">
        <f t="shared" si="139"/>
        <v>0</v>
      </c>
      <c r="Z899" s="13">
        <f t="shared" si="139"/>
        <v>0</v>
      </c>
      <c r="AA899">
        <f t="shared" ca="1" si="132"/>
        <v>0</v>
      </c>
      <c r="AB899">
        <f t="shared" ca="1" si="133"/>
        <v>1</v>
      </c>
      <c r="AC899" s="24">
        <f t="shared" ca="1" si="134"/>
        <v>0</v>
      </c>
      <c r="AD899" s="24">
        <f t="shared" ca="1" si="135"/>
        <v>2.7481296450764133E-2</v>
      </c>
    </row>
    <row r="900" spans="3:30" x14ac:dyDescent="0.25">
      <c r="C900" s="6">
        <v>893</v>
      </c>
      <c r="D900" s="35">
        <v>43277</v>
      </c>
      <c r="E900" s="37">
        <v>22.294</v>
      </c>
      <c r="F900" s="37">
        <v>63.389134621489482</v>
      </c>
      <c r="G900" s="37">
        <v>54.58</v>
      </c>
      <c r="H900" s="37">
        <v>2.5938075384647941</v>
      </c>
      <c r="I900" s="37">
        <v>85.45850881462826</v>
      </c>
      <c r="J900" s="10">
        <v>0</v>
      </c>
      <c r="K900" s="38">
        <v>0</v>
      </c>
      <c r="L900" s="38">
        <v>0</v>
      </c>
      <c r="M900" s="38">
        <v>0</v>
      </c>
      <c r="N900" s="38">
        <v>0</v>
      </c>
      <c r="O900" s="38">
        <v>1</v>
      </c>
      <c r="P900" s="38">
        <v>0</v>
      </c>
      <c r="Q900" s="38">
        <v>0</v>
      </c>
      <c r="R900" s="38">
        <v>0</v>
      </c>
      <c r="S900" s="38">
        <v>0</v>
      </c>
      <c r="T900" s="38">
        <v>0</v>
      </c>
      <c r="U900" s="29" cm="1">
        <f t="array" aca="1" ref="U900" ca="1">+fair_value_gap(OFFSET(T899,0,0,-1*$J$5,-1*$AA$1),OFFSET(E899,0,0,-1*$J$5,1),F900:T900,0)</f>
        <v>22.717404368959812</v>
      </c>
      <c r="V900" s="9" cm="1">
        <f t="array" aca="1" ref="V900" ca="1">z_score_diff(OFFSET(U900,0,0,$J$5*-1,1),OFFSET(E900,0,0,$J$5*-1,1))</f>
        <v>0.23519711788200204</v>
      </c>
      <c r="W900" s="9">
        <f t="shared" ca="1" si="131"/>
        <v>0.18179426303633703</v>
      </c>
      <c r="X900" s="17">
        <f t="shared" ca="1" si="130"/>
        <v>3.3044451717222811E-2</v>
      </c>
      <c r="Y900" s="13">
        <f t="shared" si="139"/>
        <v>0</v>
      </c>
      <c r="Z900" s="13">
        <f t="shared" si="139"/>
        <v>0</v>
      </c>
      <c r="AA900">
        <f t="shared" ca="1" si="132"/>
        <v>0</v>
      </c>
      <c r="AB900">
        <f t="shared" ca="1" si="133"/>
        <v>1</v>
      </c>
      <c r="AC900" s="24">
        <f t="shared" ca="1" si="134"/>
        <v>0</v>
      </c>
      <c r="AD900" s="24">
        <f t="shared" ca="1" si="135"/>
        <v>3.3044451717222811E-2</v>
      </c>
    </row>
    <row r="901" spans="3:30" x14ac:dyDescent="0.25">
      <c r="C901" s="6">
        <v>894</v>
      </c>
      <c r="D901" s="35">
        <v>43278</v>
      </c>
      <c r="E901" s="37">
        <v>22.99</v>
      </c>
      <c r="F901" s="37">
        <v>64.939989518936201</v>
      </c>
      <c r="G901" s="37">
        <v>55.03</v>
      </c>
      <c r="H901" s="37">
        <v>2.6398646835016977</v>
      </c>
      <c r="I901" s="37">
        <v>86.873532757584925</v>
      </c>
      <c r="J901" s="10">
        <v>0</v>
      </c>
      <c r="K901" s="38">
        <v>0</v>
      </c>
      <c r="L901" s="38">
        <v>0</v>
      </c>
      <c r="M901" s="38">
        <v>0</v>
      </c>
      <c r="N901" s="38">
        <v>0</v>
      </c>
      <c r="O901" s="38">
        <v>1</v>
      </c>
      <c r="P901" s="38">
        <v>0</v>
      </c>
      <c r="Q901" s="38">
        <v>0</v>
      </c>
      <c r="R901" s="38">
        <v>0</v>
      </c>
      <c r="S901" s="38">
        <v>0</v>
      </c>
      <c r="T901" s="38">
        <v>0</v>
      </c>
      <c r="U901" s="29" cm="1">
        <f t="array" aca="1" ref="U901" ca="1">+fair_value_gap(OFFSET(T900,0,0,-1*$J$5,-1*$AA$1),OFFSET(E900,0,0,-1*$J$5,1),F901:T901,0)</f>
        <v>22.989755978278247</v>
      </c>
      <c r="V901" s="9" cm="1">
        <f t="array" aca="1" ref="V901" ca="1">z_score_diff(OFFSET(U901,0,0,$J$5*-1,1),OFFSET(E901,0,0,$J$5*-1,1))</f>
        <v>3.373794682680753E-2</v>
      </c>
      <c r="W901" s="9">
        <f t="shared" ca="1" si="131"/>
        <v>0.1851620373998876</v>
      </c>
      <c r="X901" s="17">
        <f t="shared" ca="1" si="130"/>
        <v>4.8598550913983843E-3</v>
      </c>
      <c r="Y901" s="13">
        <f t="shared" si="139"/>
        <v>0</v>
      </c>
      <c r="Z901" s="13">
        <f t="shared" si="139"/>
        <v>0</v>
      </c>
      <c r="AA901">
        <f t="shared" ca="1" si="132"/>
        <v>0</v>
      </c>
      <c r="AB901">
        <f t="shared" ca="1" si="133"/>
        <v>1</v>
      </c>
      <c r="AC901" s="24">
        <f t="shared" ca="1" si="134"/>
        <v>0</v>
      </c>
      <c r="AD901" s="24">
        <f t="shared" ca="1" si="135"/>
        <v>4.8598550913983843E-3</v>
      </c>
    </row>
    <row r="902" spans="3:30" x14ac:dyDescent="0.25">
      <c r="C902" s="6">
        <v>895</v>
      </c>
      <c r="D902" s="35">
        <v>43279</v>
      </c>
      <c r="E902" s="37">
        <v>22.995999999999999</v>
      </c>
      <c r="F902" s="37">
        <v>65.019539087119526</v>
      </c>
      <c r="G902" s="37">
        <v>55.21</v>
      </c>
      <c r="H902" s="37">
        <v>2.6869971996956892</v>
      </c>
      <c r="I902" s="37">
        <v>86.684199451184654</v>
      </c>
      <c r="J902" s="10">
        <v>0</v>
      </c>
      <c r="K902" s="38">
        <v>0</v>
      </c>
      <c r="L902" s="38">
        <v>0</v>
      </c>
      <c r="M902" s="38">
        <v>0</v>
      </c>
      <c r="N902" s="38">
        <v>0</v>
      </c>
      <c r="O902" s="38">
        <v>1</v>
      </c>
      <c r="P902" s="38">
        <v>0</v>
      </c>
      <c r="Q902" s="38">
        <v>0</v>
      </c>
      <c r="R902" s="38">
        <v>0</v>
      </c>
      <c r="S902" s="38">
        <v>0</v>
      </c>
      <c r="T902" s="38">
        <v>0</v>
      </c>
      <c r="U902" s="29" cm="1">
        <f t="array" aca="1" ref="U902" ca="1">+fair_value_gap(OFFSET(T901,0,0,-1*$J$5,-1*$AA$1),OFFSET(E901,0,0,-1*$J$5,1),F902:T902,0)</f>
        <v>23.067495116534207</v>
      </c>
      <c r="V902" s="9" cm="1">
        <f t="array" aca="1" ref="V902" ca="1">z_score_diff(OFFSET(U902,0,0,$J$5*-1,1),OFFSET(E902,0,0,$J$5*-1,1))</f>
        <v>6.6132252521253321E-2</v>
      </c>
      <c r="W902" s="9">
        <f t="shared" ca="1" si="131"/>
        <v>0.17826084613060211</v>
      </c>
      <c r="X902" s="17">
        <f t="shared" ca="1" si="130"/>
        <v>5.4642574920854142E-3</v>
      </c>
      <c r="Y902" s="13">
        <f t="shared" si="139"/>
        <v>0</v>
      </c>
      <c r="Z902" s="13">
        <f t="shared" si="139"/>
        <v>0</v>
      </c>
      <c r="AA902">
        <f t="shared" ca="1" si="132"/>
        <v>0</v>
      </c>
      <c r="AB902">
        <f t="shared" ca="1" si="133"/>
        <v>1</v>
      </c>
      <c r="AC902" s="24">
        <f t="shared" ca="1" si="134"/>
        <v>0</v>
      </c>
      <c r="AD902" s="24">
        <f t="shared" ca="1" si="135"/>
        <v>5.4642574920854142E-3</v>
      </c>
    </row>
    <row r="903" spans="3:30" x14ac:dyDescent="0.25">
      <c r="C903" s="6">
        <v>896</v>
      </c>
      <c r="D903" s="35">
        <v>43280</v>
      </c>
      <c r="E903" s="37">
        <v>23.036999999999999</v>
      </c>
      <c r="F903" s="37">
        <v>65.545448640459171</v>
      </c>
      <c r="G903" s="37">
        <v>53.09</v>
      </c>
      <c r="H903" s="37">
        <v>2.6445943563428504</v>
      </c>
      <c r="I903" s="37">
        <v>86.761253444932109</v>
      </c>
      <c r="J903" s="10">
        <v>0</v>
      </c>
      <c r="K903" s="38">
        <v>0</v>
      </c>
      <c r="L903" s="38">
        <v>0</v>
      </c>
      <c r="M903" s="38">
        <v>0</v>
      </c>
      <c r="N903" s="38">
        <v>0</v>
      </c>
      <c r="O903" s="38">
        <v>1</v>
      </c>
      <c r="P903" s="38">
        <v>0</v>
      </c>
      <c r="Q903" s="38">
        <v>0</v>
      </c>
      <c r="R903" s="38">
        <v>0</v>
      </c>
      <c r="S903" s="38">
        <v>0</v>
      </c>
      <c r="T903" s="38">
        <v>0</v>
      </c>
      <c r="U903" s="29" cm="1">
        <f t="array" aca="1" ref="U903" ca="1">+fair_value_gap(OFFSET(T902,0,0,-1*$J$5,-1*$AA$1),OFFSET(E902,0,0,-1*$J$5,1),F903:T903,0)</f>
        <v>22.486654139482432</v>
      </c>
      <c r="V903" s="9" cm="1">
        <f t="array" aca="1" ref="V903" ca="1">z_score_diff(OFFSET(U903,0,0,$J$5*-1,1),OFFSET(E903,0,0,$J$5*-1,1))</f>
        <v>-0.22563936524710448</v>
      </c>
      <c r="W903" s="9">
        <f t="shared" ca="1" si="131"/>
        <v>0.14983861570411228</v>
      </c>
      <c r="X903" s="17">
        <f t="shared" ref="X903:X966" ca="1" si="140">+LN(OFFSET(E903,$X$3,0,1,1)/E903)</f>
        <v>4.3407487798605368E-5</v>
      </c>
      <c r="Y903" s="13">
        <f t="shared" si="139"/>
        <v>0</v>
      </c>
      <c r="Z903" s="13">
        <f t="shared" si="139"/>
        <v>0</v>
      </c>
      <c r="AA903">
        <f t="shared" ca="1" si="132"/>
        <v>0</v>
      </c>
      <c r="AB903">
        <f t="shared" ca="1" si="133"/>
        <v>1</v>
      </c>
      <c r="AC903" s="24">
        <f t="shared" ca="1" si="134"/>
        <v>0</v>
      </c>
      <c r="AD903" s="24">
        <f t="shared" ca="1" si="135"/>
        <v>4.3407487798605368E-5</v>
      </c>
    </row>
    <row r="904" spans="3:30" x14ac:dyDescent="0.25">
      <c r="C904" s="6">
        <v>897</v>
      </c>
      <c r="D904" s="35">
        <v>43283</v>
      </c>
      <c r="E904" s="37">
        <v>23.294</v>
      </c>
      <c r="F904" s="37">
        <v>63.966191839292676</v>
      </c>
      <c r="G904" s="37">
        <v>53.55</v>
      </c>
      <c r="H904" s="37">
        <v>2.618608038754044</v>
      </c>
      <c r="I904" s="37">
        <v>86.129507613611352</v>
      </c>
      <c r="J904" s="10">
        <v>0</v>
      </c>
      <c r="K904" s="38">
        <v>0</v>
      </c>
      <c r="L904" s="38">
        <v>0</v>
      </c>
      <c r="M904" s="38">
        <v>0</v>
      </c>
      <c r="N904" s="38">
        <v>0</v>
      </c>
      <c r="O904" s="38">
        <v>0</v>
      </c>
      <c r="P904" s="38">
        <v>1</v>
      </c>
      <c r="Q904" s="38">
        <v>0</v>
      </c>
      <c r="R904" s="38">
        <v>0</v>
      </c>
      <c r="S904" s="38">
        <v>0</v>
      </c>
      <c r="T904" s="38">
        <v>0</v>
      </c>
      <c r="U904" s="29" cm="1">
        <f t="array" aca="1" ref="U904" ca="1">+fair_value_gap(OFFSET(T903,0,0,-1*$J$5,-1*$AA$1),OFFSET(E903,0,0,-1*$J$5,1),F904:T904,0)</f>
        <v>22.654469788484683</v>
      </c>
      <c r="V904" s="9" cm="1">
        <f t="array" aca="1" ref="V904" ca="1">z_score_diff(OFFSET(U904,0,0,$J$5*-1,1),OFFSET(E904,0,0,$J$5*-1,1))</f>
        <v>-0.25807300470172478</v>
      </c>
      <c r="W904" s="9">
        <f t="shared" ref="W904:W967" ca="1" si="141">+IF(ISERROR(AVERAGE(OFFSET(V904,0,0,$W$5*-1,1))),"",AVERAGE(OFFSET(V904,0,0,$W$5*-1,1)))</f>
        <v>0.12108950793481336</v>
      </c>
      <c r="X904" s="17">
        <f t="shared" ca="1" si="140"/>
        <v>-5.8123428007766055E-3</v>
      </c>
      <c r="Y904" s="13">
        <f t="shared" si="139"/>
        <v>0</v>
      </c>
      <c r="Z904" s="13">
        <f t="shared" si="139"/>
        <v>0</v>
      </c>
      <c r="AA904">
        <f t="shared" ref="AA904:AA967" ca="1" si="142">+IF(W904="","",IF(W904&lt;Y904,1,0))</f>
        <v>0</v>
      </c>
      <c r="AB904">
        <f t="shared" ref="AB904:AB967" ca="1" si="143">+IF(W904="","",IF(W904&gt;Z904,1,0))</f>
        <v>1</v>
      </c>
      <c r="AC904" s="24">
        <f t="shared" ref="AC904:AC967" ca="1" si="144">+IF(ISERROR(AA904*X904),"",AA904*X904)</f>
        <v>0</v>
      </c>
      <c r="AD904" s="24">
        <f t="shared" ref="AD904:AD967" ca="1" si="145">+IF(ISERROR(AB904*X904),"",AB904*X904)</f>
        <v>-5.8123428007766055E-3</v>
      </c>
    </row>
    <row r="905" spans="3:30" x14ac:dyDescent="0.25">
      <c r="C905" s="6">
        <v>898</v>
      </c>
      <c r="D905" s="35">
        <v>43284</v>
      </c>
      <c r="E905" s="37">
        <v>23.245000000000001</v>
      </c>
      <c r="F905" s="37">
        <v>64.180239081960451</v>
      </c>
      <c r="G905" s="37">
        <v>53.75</v>
      </c>
      <c r="H905" s="37">
        <v>2.6154081617984675</v>
      </c>
      <c r="I905" s="37">
        <v>87.011154170404879</v>
      </c>
      <c r="J905" s="10">
        <v>0</v>
      </c>
      <c r="K905" s="38">
        <v>0</v>
      </c>
      <c r="L905" s="38">
        <v>0</v>
      </c>
      <c r="M905" s="38">
        <v>0</v>
      </c>
      <c r="N905" s="38">
        <v>0</v>
      </c>
      <c r="O905" s="38">
        <v>0</v>
      </c>
      <c r="P905" s="38">
        <v>1</v>
      </c>
      <c r="Q905" s="38">
        <v>0</v>
      </c>
      <c r="R905" s="38">
        <v>0</v>
      </c>
      <c r="S905" s="38">
        <v>0</v>
      </c>
      <c r="T905" s="38">
        <v>0</v>
      </c>
      <c r="U905" s="29" cm="1">
        <f t="array" aca="1" ref="U905" ca="1">+fair_value_gap(OFFSET(T904,0,0,-1*$J$5,-1*$AA$1),OFFSET(E904,0,0,-1*$J$5,1),F905:T905,0)</f>
        <v>23.09806626418596</v>
      </c>
      <c r="V905" s="9" cm="1">
        <f t="array" aca="1" ref="V905" ca="1">z_score_diff(OFFSET(U905,0,0,$J$5*-1,1),OFFSET(E905,0,0,$J$5*-1,1))</f>
        <v>-2.6055743491752548E-2</v>
      </c>
      <c r="W905" s="9">
        <f t="shared" ca="1" si="141"/>
        <v>0.10289886859182149</v>
      </c>
      <c r="X905" s="17">
        <f t="shared" ca="1" si="140"/>
        <v>-1.0421941291040336E-2</v>
      </c>
      <c r="Y905" s="13">
        <f t="shared" ref="Y905:Z920" si="146">+Y904</f>
        <v>0</v>
      </c>
      <c r="Z905" s="13">
        <f t="shared" si="146"/>
        <v>0</v>
      </c>
      <c r="AA905">
        <f t="shared" ca="1" si="142"/>
        <v>0</v>
      </c>
      <c r="AB905">
        <f t="shared" ca="1" si="143"/>
        <v>1</v>
      </c>
      <c r="AC905" s="24">
        <f t="shared" ca="1" si="144"/>
        <v>0</v>
      </c>
      <c r="AD905" s="24">
        <f t="shared" ca="1" si="145"/>
        <v>-1.0421941291040336E-2</v>
      </c>
    </row>
    <row r="906" spans="3:30" x14ac:dyDescent="0.25">
      <c r="C906" s="6">
        <v>899</v>
      </c>
      <c r="D906" s="35">
        <v>43285</v>
      </c>
      <c r="E906" s="37">
        <v>23.117000000000001</v>
      </c>
      <c r="F906" s="37">
        <v>64.540118905260314</v>
      </c>
      <c r="G906" s="37">
        <v>53.4</v>
      </c>
      <c r="H906" s="37">
        <v>2.6138874921300266</v>
      </c>
      <c r="I906" s="37">
        <v>87.129583071000894</v>
      </c>
      <c r="J906" s="10">
        <v>0</v>
      </c>
      <c r="K906" s="38">
        <v>0</v>
      </c>
      <c r="L906" s="38">
        <v>0</v>
      </c>
      <c r="M906" s="38">
        <v>0</v>
      </c>
      <c r="N906" s="38">
        <v>0</v>
      </c>
      <c r="O906" s="38">
        <v>0</v>
      </c>
      <c r="P906" s="38">
        <v>1</v>
      </c>
      <c r="Q906" s="38">
        <v>0</v>
      </c>
      <c r="R906" s="38">
        <v>0</v>
      </c>
      <c r="S906" s="38">
        <v>0</v>
      </c>
      <c r="T906" s="38">
        <v>0</v>
      </c>
      <c r="U906" s="29" cm="1">
        <f t="array" aca="1" ref="U906" ca="1">+fair_value_gap(OFFSET(T905,0,0,-1*$J$5,-1*$AA$1),OFFSET(E905,0,0,-1*$J$5,1),F906:T906,0)</f>
        <v>23.084183905456918</v>
      </c>
      <c r="V906" s="9" cm="1">
        <f t="array" aca="1" ref="V906" ca="1">z_score_diff(OFFSET(U906,0,0,$J$5*-1,1),OFFSET(E906,0,0,$J$5*-1,1))</f>
        <v>2.4307286902209402E-2</v>
      </c>
      <c r="W906" s="9">
        <f t="shared" ca="1" si="141"/>
        <v>9.0948925875522099E-2</v>
      </c>
      <c r="X906" s="17">
        <f t="shared" ca="1" si="140"/>
        <v>-1.0174000802053017E-2</v>
      </c>
      <c r="Y906" s="13">
        <f t="shared" si="146"/>
        <v>0</v>
      </c>
      <c r="Z906" s="13">
        <f t="shared" si="146"/>
        <v>0</v>
      </c>
      <c r="AA906">
        <f t="shared" ca="1" si="142"/>
        <v>0</v>
      </c>
      <c r="AB906">
        <f t="shared" ca="1" si="143"/>
        <v>1</v>
      </c>
      <c r="AC906" s="24">
        <f t="shared" ca="1" si="144"/>
        <v>0</v>
      </c>
      <c r="AD906" s="24">
        <f t="shared" ca="1" si="145"/>
        <v>-1.0174000802053017E-2</v>
      </c>
    </row>
    <row r="907" spans="3:30" x14ac:dyDescent="0.25">
      <c r="C907" s="6">
        <v>900</v>
      </c>
      <c r="D907" s="35">
        <v>43286</v>
      </c>
      <c r="E907" s="37">
        <v>23.352</v>
      </c>
      <c r="F907" s="37">
        <v>63.931267144015635</v>
      </c>
      <c r="G907" s="37">
        <v>54.17</v>
      </c>
      <c r="H907" s="37">
        <v>2.5786622652102298</v>
      </c>
      <c r="I907" s="37">
        <v>86.995078708628867</v>
      </c>
      <c r="J907" s="10">
        <v>0</v>
      </c>
      <c r="K907" s="38">
        <v>0</v>
      </c>
      <c r="L907" s="38">
        <v>0</v>
      </c>
      <c r="M907" s="38">
        <v>0</v>
      </c>
      <c r="N907" s="38">
        <v>0</v>
      </c>
      <c r="O907" s="38">
        <v>0</v>
      </c>
      <c r="P907" s="38">
        <v>1</v>
      </c>
      <c r="Q907" s="38">
        <v>0</v>
      </c>
      <c r="R907" s="38">
        <v>0</v>
      </c>
      <c r="S907" s="38">
        <v>0</v>
      </c>
      <c r="T907" s="38">
        <v>0</v>
      </c>
      <c r="U907" s="29" cm="1">
        <f t="array" aca="1" ref="U907" ca="1">+fair_value_gap(OFFSET(T906,0,0,-1*$J$5,-1*$AA$1),OFFSET(E906,0,0,-1*$J$5,1),F907:T907,0)</f>
        <v>23.250612528987673</v>
      </c>
      <c r="V907" s="9" cm="1">
        <f t="array" aca="1" ref="V907" ca="1">z_score_diff(OFFSET(U907,0,0,$J$5*-1,1),OFFSET(E907,0,0,$J$5*-1,1))</f>
        <v>-5.8843483304578115E-3</v>
      </c>
      <c r="W907" s="9">
        <f t="shared" ca="1" si="141"/>
        <v>8.2451618592434092E-2</v>
      </c>
      <c r="X907" s="17">
        <f t="shared" ca="1" si="140"/>
        <v>-2.1337720673902414E-2</v>
      </c>
      <c r="Y907" s="13">
        <f t="shared" si="146"/>
        <v>0</v>
      </c>
      <c r="Z907" s="13">
        <f t="shared" si="146"/>
        <v>0</v>
      </c>
      <c r="AA907">
        <f t="shared" ca="1" si="142"/>
        <v>0</v>
      </c>
      <c r="AB907">
        <f t="shared" ca="1" si="143"/>
        <v>1</v>
      </c>
      <c r="AC907" s="24">
        <f t="shared" ca="1" si="144"/>
        <v>0</v>
      </c>
      <c r="AD907" s="24">
        <f t="shared" ca="1" si="145"/>
        <v>-2.1337720673902414E-2</v>
      </c>
    </row>
    <row r="908" spans="3:30" x14ac:dyDescent="0.25">
      <c r="C908" s="6">
        <v>901</v>
      </c>
      <c r="D908" s="35">
        <v>43287</v>
      </c>
      <c r="E908" s="37">
        <v>23.222999999999999</v>
      </c>
      <c r="F908" s="37">
        <v>63.720348725005664</v>
      </c>
      <c r="G908" s="37">
        <v>53.92</v>
      </c>
      <c r="H908" s="37">
        <v>2.573483138525051</v>
      </c>
      <c r="I908" s="37">
        <v>86.006528105255214</v>
      </c>
      <c r="J908" s="10">
        <v>0</v>
      </c>
      <c r="K908" s="38">
        <v>0</v>
      </c>
      <c r="L908" s="38">
        <v>0</v>
      </c>
      <c r="M908" s="38">
        <v>0</v>
      </c>
      <c r="N908" s="38">
        <v>0</v>
      </c>
      <c r="O908" s="38">
        <v>0</v>
      </c>
      <c r="P908" s="38">
        <v>1</v>
      </c>
      <c r="Q908" s="38">
        <v>0</v>
      </c>
      <c r="R908" s="38">
        <v>0</v>
      </c>
      <c r="S908" s="38">
        <v>0</v>
      </c>
      <c r="T908" s="38">
        <v>0</v>
      </c>
      <c r="U908" s="29" cm="1">
        <f t="array" aca="1" ref="U908" ca="1">+fair_value_gap(OFFSET(T907,0,0,-1*$J$5,-1*$AA$1),OFFSET(E907,0,0,-1*$J$5,1),F908:T908,0)</f>
        <v>23.172906222242865</v>
      </c>
      <c r="V908" s="9" cm="1">
        <f t="array" aca="1" ref="V908" ca="1">z_score_diff(OFFSET(U908,0,0,$J$5*-1,1),OFFSET(E908,0,0,$J$5*-1,1))</f>
        <v>1.582593033494506E-2</v>
      </c>
      <c r="W908" s="9">
        <f t="shared" ca="1" si="141"/>
        <v>7.4747035271926415E-2</v>
      </c>
      <c r="X908" s="17">
        <f t="shared" ca="1" si="140"/>
        <v>-7.3230096533231069E-4</v>
      </c>
      <c r="Y908" s="13">
        <f t="shared" si="146"/>
        <v>0</v>
      </c>
      <c r="Z908" s="13">
        <f t="shared" si="146"/>
        <v>0</v>
      </c>
      <c r="AA908">
        <f t="shared" ca="1" si="142"/>
        <v>0</v>
      </c>
      <c r="AB908">
        <f t="shared" ca="1" si="143"/>
        <v>1</v>
      </c>
      <c r="AC908" s="24">
        <f t="shared" ca="1" si="144"/>
        <v>0</v>
      </c>
      <c r="AD908" s="24">
        <f t="shared" ca="1" si="145"/>
        <v>-7.3230096533231069E-4</v>
      </c>
    </row>
    <row r="909" spans="3:30" x14ac:dyDescent="0.25">
      <c r="C909" s="6">
        <v>902</v>
      </c>
      <c r="D909" s="35">
        <v>43290</v>
      </c>
      <c r="E909" s="37">
        <v>23.562000000000001</v>
      </c>
      <c r="F909" s="37">
        <v>64.448659954277929</v>
      </c>
      <c r="G909" s="37">
        <v>54.52</v>
      </c>
      <c r="H909" s="37">
        <v>2.5553034076862051</v>
      </c>
      <c r="I909" s="37">
        <v>87.175513366912043</v>
      </c>
      <c r="J909" s="10">
        <v>0</v>
      </c>
      <c r="K909" s="38">
        <v>0</v>
      </c>
      <c r="L909" s="38">
        <v>0</v>
      </c>
      <c r="M909" s="38">
        <v>0</v>
      </c>
      <c r="N909" s="38">
        <v>0</v>
      </c>
      <c r="O909" s="38">
        <v>0</v>
      </c>
      <c r="P909" s="38">
        <v>1</v>
      </c>
      <c r="Q909" s="38">
        <v>0</v>
      </c>
      <c r="R909" s="38">
        <v>0</v>
      </c>
      <c r="S909" s="38">
        <v>0</v>
      </c>
      <c r="T909" s="38">
        <v>0</v>
      </c>
      <c r="U909" s="29" cm="1">
        <f t="array" aca="1" ref="U909" ca="1">+fair_value_gap(OFFSET(T908,0,0,-1*$J$5,-1*$AA$1),OFFSET(E908,0,0,-1*$J$5,1),F909:T909,0)</f>
        <v>23.434567761605884</v>
      </c>
      <c r="V909" s="9" cm="1">
        <f t="array" aca="1" ref="V909" ca="1">z_score_diff(OFFSET(U909,0,0,$J$5*-1,1),OFFSET(E909,0,0,$J$5*-1,1))</f>
        <v>-1.6067975084930186E-2</v>
      </c>
      <c r="W909" s="9">
        <f t="shared" ca="1" si="141"/>
        <v>6.8710942520762958E-2</v>
      </c>
      <c r="X909" s="17">
        <f t="shared" ca="1" si="140"/>
        <v>-6.4292474457465984E-3</v>
      </c>
      <c r="Y909" s="13">
        <f t="shared" si="146"/>
        <v>0</v>
      </c>
      <c r="Z909" s="13">
        <f t="shared" si="146"/>
        <v>0</v>
      </c>
      <c r="AA909">
        <f t="shared" ca="1" si="142"/>
        <v>0</v>
      </c>
      <c r="AB909">
        <f t="shared" ca="1" si="143"/>
        <v>1</v>
      </c>
      <c r="AC909" s="24">
        <f t="shared" ca="1" si="144"/>
        <v>0</v>
      </c>
      <c r="AD909" s="24">
        <f t="shared" ca="1" si="145"/>
        <v>-6.4292474457465984E-3</v>
      </c>
    </row>
    <row r="910" spans="3:30" x14ac:dyDescent="0.25">
      <c r="C910" s="6">
        <v>903</v>
      </c>
      <c r="D910" s="35">
        <v>43291</v>
      </c>
      <c r="E910" s="37">
        <v>23.643999999999998</v>
      </c>
      <c r="F910" s="37">
        <v>64.995209466295947</v>
      </c>
      <c r="G910" s="37">
        <v>55.11</v>
      </c>
      <c r="H910" s="37">
        <v>2.5328583629630499</v>
      </c>
      <c r="I910" s="37">
        <v>87.378999172772993</v>
      </c>
      <c r="J910" s="10">
        <v>0</v>
      </c>
      <c r="K910" s="38">
        <v>0</v>
      </c>
      <c r="L910" s="38">
        <v>0</v>
      </c>
      <c r="M910" s="38">
        <v>0</v>
      </c>
      <c r="N910" s="38">
        <v>0</v>
      </c>
      <c r="O910" s="38">
        <v>0</v>
      </c>
      <c r="P910" s="38">
        <v>1</v>
      </c>
      <c r="Q910" s="38">
        <v>0</v>
      </c>
      <c r="R910" s="38">
        <v>0</v>
      </c>
      <c r="S910" s="38">
        <v>0</v>
      </c>
      <c r="T910" s="38">
        <v>0</v>
      </c>
      <c r="U910" s="29" cm="1">
        <f t="array" aca="1" ref="U910" ca="1">+fair_value_gap(OFFSET(T909,0,0,-1*$J$5,-1*$AA$1),OFFSET(E909,0,0,-1*$J$5,1),F910:T910,0)</f>
        <v>23.682819569198756</v>
      </c>
      <c r="V910" s="9" cm="1">
        <f t="array" aca="1" ref="V910" ca="1">z_score_diff(OFFSET(U910,0,0,$J$5*-1,1),OFFSET(E910,0,0,$J$5*-1,1))</f>
        <v>5.7447755804298062E-2</v>
      </c>
      <c r="W910" s="9">
        <f t="shared" ca="1" si="141"/>
        <v>7.1047620742714937E-2</v>
      </c>
      <c r="X910" s="17">
        <f t="shared" ca="1" si="140"/>
        <v>-5.428342422114537E-3</v>
      </c>
      <c r="Y910" s="13">
        <f t="shared" si="146"/>
        <v>0</v>
      </c>
      <c r="Z910" s="13">
        <f t="shared" si="146"/>
        <v>0</v>
      </c>
      <c r="AA910">
        <f t="shared" ca="1" si="142"/>
        <v>0</v>
      </c>
      <c r="AB910">
        <f t="shared" ca="1" si="143"/>
        <v>1</v>
      </c>
      <c r="AC910" s="24">
        <f t="shared" ca="1" si="144"/>
        <v>0</v>
      </c>
      <c r="AD910" s="24">
        <f t="shared" ca="1" si="145"/>
        <v>-5.428342422114537E-3</v>
      </c>
    </row>
    <row r="911" spans="3:30" x14ac:dyDescent="0.25">
      <c r="C911" s="6">
        <v>904</v>
      </c>
      <c r="D911" s="35">
        <v>43292</v>
      </c>
      <c r="E911" s="37">
        <v>23.48</v>
      </c>
      <c r="F911" s="37">
        <v>61.607329051692915</v>
      </c>
      <c r="G911" s="37">
        <v>55.05</v>
      </c>
      <c r="H911" s="37">
        <v>2.5801287869257714</v>
      </c>
      <c r="I911" s="37">
        <v>87.974286517560671</v>
      </c>
      <c r="J911" s="10">
        <v>0</v>
      </c>
      <c r="K911" s="38">
        <v>0</v>
      </c>
      <c r="L911" s="38">
        <v>0</v>
      </c>
      <c r="M911" s="38">
        <v>0</v>
      </c>
      <c r="N911" s="38">
        <v>0</v>
      </c>
      <c r="O911" s="38">
        <v>0</v>
      </c>
      <c r="P911" s="38">
        <v>1</v>
      </c>
      <c r="Q911" s="38">
        <v>0</v>
      </c>
      <c r="R911" s="38">
        <v>0</v>
      </c>
      <c r="S911" s="38">
        <v>0</v>
      </c>
      <c r="T911" s="38">
        <v>0</v>
      </c>
      <c r="U911" s="29" cm="1">
        <f t="array" aca="1" ref="U911" ca="1">+fair_value_gap(OFFSET(T910,0,0,-1*$J$5,-1*$AA$1),OFFSET(E910,0,0,-1*$J$5,1),F911:T911,0)</f>
        <v>23.33110058429077</v>
      </c>
      <c r="V911" s="9" cm="1">
        <f t="array" aca="1" ref="V911" ca="1">z_score_diff(OFFSET(U911,0,0,$J$5*-1,1),OFFSET(E911,0,0,$J$5*-1,1))</f>
        <v>-2.6936147896725604E-2</v>
      </c>
      <c r="W911" s="9">
        <f t="shared" ca="1" si="141"/>
        <v>7.6423783547749119E-2</v>
      </c>
      <c r="X911" s="17">
        <f t="shared" ca="1" si="140"/>
        <v>1.4469934856537715E-3</v>
      </c>
      <c r="Y911" s="13">
        <f t="shared" si="146"/>
        <v>0</v>
      </c>
      <c r="Z911" s="13">
        <f t="shared" si="146"/>
        <v>0</v>
      </c>
      <c r="AA911">
        <f t="shared" ca="1" si="142"/>
        <v>0</v>
      </c>
      <c r="AB911">
        <f t="shared" ca="1" si="143"/>
        <v>1</v>
      </c>
      <c r="AC911" s="24">
        <f t="shared" ca="1" si="144"/>
        <v>0</v>
      </c>
      <c r="AD911" s="24">
        <f t="shared" ca="1" si="145"/>
        <v>1.4469934856537715E-3</v>
      </c>
    </row>
    <row r="912" spans="3:30" x14ac:dyDescent="0.25">
      <c r="C912" s="6">
        <v>905</v>
      </c>
      <c r="D912" s="35">
        <v>43293</v>
      </c>
      <c r="E912" s="37">
        <v>22.841000000000001</v>
      </c>
      <c r="F912" s="37">
        <v>62.627747090322472</v>
      </c>
      <c r="G912" s="37">
        <v>54.05</v>
      </c>
      <c r="H912" s="37">
        <v>2.5616986773425223</v>
      </c>
      <c r="I912" s="37">
        <v>86.445716988462635</v>
      </c>
      <c r="J912" s="10">
        <v>0</v>
      </c>
      <c r="K912" s="38">
        <v>0</v>
      </c>
      <c r="L912" s="38">
        <v>0</v>
      </c>
      <c r="M912" s="38">
        <v>0</v>
      </c>
      <c r="N912" s="38">
        <v>0</v>
      </c>
      <c r="O912" s="38">
        <v>0</v>
      </c>
      <c r="P912" s="38">
        <v>1</v>
      </c>
      <c r="Q912" s="38">
        <v>0</v>
      </c>
      <c r="R912" s="38">
        <v>0</v>
      </c>
      <c r="S912" s="38">
        <v>0</v>
      </c>
      <c r="T912" s="38">
        <v>0</v>
      </c>
      <c r="U912" s="29" cm="1">
        <f t="array" aca="1" ref="U912" ca="1">+fair_value_gap(OFFSET(T911,0,0,-1*$J$5,-1*$AA$1),OFFSET(E911,0,0,-1*$J$5,1),F912:T912,0)</f>
        <v>23.146994520491084</v>
      </c>
      <c r="V912" s="9" cm="1">
        <f t="array" aca="1" ref="V912" ca="1">z_score_diff(OFFSET(U912,0,0,$J$5*-1,1),OFFSET(E912,0,0,$J$5*-1,1))</f>
        <v>0.16555686540761272</v>
      </c>
      <c r="W912" s="9">
        <f t="shared" ca="1" si="141"/>
        <v>8.4139697667870966E-2</v>
      </c>
      <c r="X912" s="17">
        <f t="shared" ca="1" si="140"/>
        <v>3.5355480126417406E-2</v>
      </c>
      <c r="Y912" s="13">
        <f t="shared" si="146"/>
        <v>0</v>
      </c>
      <c r="Z912" s="13">
        <f t="shared" si="146"/>
        <v>0</v>
      </c>
      <c r="AA912">
        <f t="shared" ca="1" si="142"/>
        <v>0</v>
      </c>
      <c r="AB912">
        <f t="shared" ca="1" si="143"/>
        <v>1</v>
      </c>
      <c r="AC912" s="24">
        <f t="shared" ca="1" si="144"/>
        <v>0</v>
      </c>
      <c r="AD912" s="24">
        <f t="shared" ca="1" si="145"/>
        <v>3.5355480126417406E-2</v>
      </c>
    </row>
    <row r="913" spans="3:30" x14ac:dyDescent="0.25">
      <c r="C913" s="6">
        <v>906</v>
      </c>
      <c r="D913" s="35">
        <v>43294</v>
      </c>
      <c r="E913" s="37">
        <v>23.166</v>
      </c>
      <c r="F913" s="37">
        <v>63.079401766358217</v>
      </c>
      <c r="G913" s="37">
        <v>53.8</v>
      </c>
      <c r="H913" s="37">
        <v>2.5297556284743021</v>
      </c>
      <c r="I913" s="37">
        <v>85.323368396190617</v>
      </c>
      <c r="J913" s="10">
        <v>0</v>
      </c>
      <c r="K913" s="38">
        <v>0</v>
      </c>
      <c r="L913" s="38">
        <v>0</v>
      </c>
      <c r="M913" s="38">
        <v>0</v>
      </c>
      <c r="N913" s="38">
        <v>0</v>
      </c>
      <c r="O913" s="38">
        <v>0</v>
      </c>
      <c r="P913" s="38">
        <v>1</v>
      </c>
      <c r="Q913" s="38">
        <v>0</v>
      </c>
      <c r="R913" s="38">
        <v>0</v>
      </c>
      <c r="S913" s="38">
        <v>0</v>
      </c>
      <c r="T913" s="38">
        <v>0</v>
      </c>
      <c r="U913" s="29" cm="1">
        <f t="array" aca="1" ref="U913" ca="1">+fair_value_gap(OFFSET(T912,0,0,-1*$J$5,-1*$AA$1),OFFSET(E912,0,0,-1*$J$5,1),F913:T913,0)</f>
        <v>23.075101363714221</v>
      </c>
      <c r="V913" s="9" cm="1">
        <f t="array" aca="1" ref="V913" ca="1">z_score_diff(OFFSET(U913,0,0,$J$5*-1,1),OFFSET(E913,0,0,$J$5*-1,1))</f>
        <v>-6.571311661517143E-3</v>
      </c>
      <c r="W913" s="9">
        <f t="shared" ca="1" si="141"/>
        <v>7.5498326010900757E-2</v>
      </c>
      <c r="X913" s="17">
        <f t="shared" ca="1" si="140"/>
        <v>2.9811065171252545E-2</v>
      </c>
      <c r="Y913" s="13">
        <f t="shared" si="146"/>
        <v>0</v>
      </c>
      <c r="Z913" s="13">
        <f t="shared" si="146"/>
        <v>0</v>
      </c>
      <c r="AA913">
        <f t="shared" ca="1" si="142"/>
        <v>0</v>
      </c>
      <c r="AB913">
        <f t="shared" ca="1" si="143"/>
        <v>1</v>
      </c>
      <c r="AC913" s="24">
        <f t="shared" ca="1" si="144"/>
        <v>0</v>
      </c>
      <c r="AD913" s="24">
        <f t="shared" ca="1" si="145"/>
        <v>2.9811065171252545E-2</v>
      </c>
    </row>
    <row r="914" spans="3:30" x14ac:dyDescent="0.25">
      <c r="C914" s="6">
        <v>907</v>
      </c>
      <c r="D914" s="35">
        <v>43297</v>
      </c>
      <c r="E914" s="37">
        <v>22.818999999999999</v>
      </c>
      <c r="F914" s="37">
        <v>60.252014992317022</v>
      </c>
      <c r="G914" s="37">
        <v>54.05</v>
      </c>
      <c r="H914" s="37">
        <v>2.5152691733524524</v>
      </c>
      <c r="I914" s="37">
        <v>84.31916064567271</v>
      </c>
      <c r="J914" s="10">
        <v>0</v>
      </c>
      <c r="K914" s="38">
        <v>0</v>
      </c>
      <c r="L914" s="38">
        <v>0</v>
      </c>
      <c r="M914" s="38">
        <v>0</v>
      </c>
      <c r="N914" s="38">
        <v>0</v>
      </c>
      <c r="O914" s="38">
        <v>0</v>
      </c>
      <c r="P914" s="38">
        <v>1</v>
      </c>
      <c r="Q914" s="38">
        <v>0</v>
      </c>
      <c r="R914" s="38">
        <v>0</v>
      </c>
      <c r="S914" s="38">
        <v>0</v>
      </c>
      <c r="T914" s="38">
        <v>0</v>
      </c>
      <c r="U914" s="29" cm="1">
        <f t="array" aca="1" ref="U914" ca="1">+fair_value_gap(OFFSET(T913,0,0,-1*$J$5,-1*$AA$1),OFFSET(E913,0,0,-1*$J$5,1),F914:T914,0)</f>
        <v>22.869224545891505</v>
      </c>
      <c r="V914" s="9" cm="1">
        <f t="array" aca="1" ref="V914" ca="1">z_score_diff(OFFSET(U914,0,0,$J$5*-1,1),OFFSET(E914,0,0,$J$5*-1,1))</f>
        <v>5.1533568852787814E-2</v>
      </c>
      <c r="W914" s="9">
        <f t="shared" ca="1" si="141"/>
        <v>6.868220134131614E-2</v>
      </c>
      <c r="X914" s="17">
        <f t="shared" ca="1" si="140"/>
        <v>6.6825662169922972E-2</v>
      </c>
      <c r="Y914" s="13">
        <f t="shared" si="146"/>
        <v>0</v>
      </c>
      <c r="Z914" s="13">
        <f t="shared" si="146"/>
        <v>0</v>
      </c>
      <c r="AA914">
        <f t="shared" ca="1" si="142"/>
        <v>0</v>
      </c>
      <c r="AB914">
        <f t="shared" ca="1" si="143"/>
        <v>1</v>
      </c>
      <c r="AC914" s="24">
        <f t="shared" ca="1" si="144"/>
        <v>0</v>
      </c>
      <c r="AD914" s="24">
        <f t="shared" ca="1" si="145"/>
        <v>6.6825662169922972E-2</v>
      </c>
    </row>
    <row r="915" spans="3:30" x14ac:dyDescent="0.25">
      <c r="C915" s="6">
        <v>908</v>
      </c>
      <c r="D915" s="35">
        <v>43298</v>
      </c>
      <c r="E915" s="37">
        <v>22.713999999999999</v>
      </c>
      <c r="F915" s="37">
        <v>60.873460624963009</v>
      </c>
      <c r="G915" s="37">
        <v>53.4</v>
      </c>
      <c r="H915" s="37">
        <v>2.5086424761856461</v>
      </c>
      <c r="I915" s="37">
        <v>84.311686994446831</v>
      </c>
      <c r="J915" s="10">
        <v>0</v>
      </c>
      <c r="K915" s="38">
        <v>0</v>
      </c>
      <c r="L915" s="38">
        <v>0</v>
      </c>
      <c r="M915" s="38">
        <v>0</v>
      </c>
      <c r="N915" s="38">
        <v>0</v>
      </c>
      <c r="O915" s="38">
        <v>0</v>
      </c>
      <c r="P915" s="38">
        <v>1</v>
      </c>
      <c r="Q915" s="38">
        <v>0</v>
      </c>
      <c r="R915" s="38">
        <v>0</v>
      </c>
      <c r="S915" s="38">
        <v>0</v>
      </c>
      <c r="T915" s="38">
        <v>0</v>
      </c>
      <c r="U915" s="29" cm="1">
        <f t="array" aca="1" ref="U915" ca="1">+fair_value_gap(OFFSET(T914,0,0,-1*$J$5,-1*$AA$1),OFFSET(E914,0,0,-1*$J$5,1),F915:T915,0)</f>
        <v>22.737469516364328</v>
      </c>
      <c r="V915" s="9" cm="1">
        <f t="array" aca="1" ref="V915" ca="1">z_score_diff(OFFSET(U915,0,0,$J$5*-1,1),OFFSET(E915,0,0,$J$5*-1,1))</f>
        <v>3.8383731337334748E-2</v>
      </c>
      <c r="W915" s="9">
        <f t="shared" ca="1" si="141"/>
        <v>5.3050298035524933E-2</v>
      </c>
      <c r="X915" s="17">
        <f t="shared" ca="1" si="140"/>
        <v>8.2849636877937671E-2</v>
      </c>
      <c r="Y915" s="13">
        <f t="shared" si="146"/>
        <v>0</v>
      </c>
      <c r="Z915" s="13">
        <f t="shared" si="146"/>
        <v>0</v>
      </c>
      <c r="AA915">
        <f t="shared" ca="1" si="142"/>
        <v>0</v>
      </c>
      <c r="AB915">
        <f t="shared" ca="1" si="143"/>
        <v>1</v>
      </c>
      <c r="AC915" s="24">
        <f t="shared" ca="1" si="144"/>
        <v>0</v>
      </c>
      <c r="AD915" s="24">
        <f t="shared" ca="1" si="145"/>
        <v>8.2849636877937671E-2</v>
      </c>
    </row>
    <row r="916" spans="3:30" x14ac:dyDescent="0.25">
      <c r="C916" s="6">
        <v>909</v>
      </c>
      <c r="D916" s="35">
        <v>43299</v>
      </c>
      <c r="E916" s="37">
        <v>23.01</v>
      </c>
      <c r="F916" s="37">
        <v>61.529136179352186</v>
      </c>
      <c r="G916" s="37">
        <v>53.92</v>
      </c>
      <c r="H916" s="37">
        <v>2.5007851991442811</v>
      </c>
      <c r="I916" s="37">
        <v>85.927453525099693</v>
      </c>
      <c r="J916" s="10">
        <v>0</v>
      </c>
      <c r="K916" s="38">
        <v>0</v>
      </c>
      <c r="L916" s="38">
        <v>0</v>
      </c>
      <c r="M916" s="38">
        <v>0</v>
      </c>
      <c r="N916" s="38">
        <v>0</v>
      </c>
      <c r="O916" s="38">
        <v>0</v>
      </c>
      <c r="P916" s="38">
        <v>1</v>
      </c>
      <c r="Q916" s="38">
        <v>0</v>
      </c>
      <c r="R916" s="38">
        <v>0</v>
      </c>
      <c r="S916" s="38">
        <v>0</v>
      </c>
      <c r="T916" s="38">
        <v>0</v>
      </c>
      <c r="U916" s="29" cm="1">
        <f t="array" aca="1" ref="U916" ca="1">+fair_value_gap(OFFSET(T915,0,0,-1*$J$5,-1*$AA$1),OFFSET(E915,0,0,-1*$J$5,1),F916:T916,0)</f>
        <v>22.963220886835096</v>
      </c>
      <c r="V916" s="9" cm="1">
        <f t="array" aca="1" ref="V916" ca="1">z_score_diff(OFFSET(U916,0,0,$J$5*-1,1),OFFSET(E916,0,0,$J$5*-1,1))</f>
        <v>1.0109786061246018E-2</v>
      </c>
      <c r="W916" s="9">
        <f t="shared" ca="1" si="141"/>
        <v>3.5272268391894748E-2</v>
      </c>
      <c r="X916" s="17">
        <f t="shared" ca="1" si="140"/>
        <v>6.0128550740245958E-2</v>
      </c>
      <c r="Y916" s="13">
        <f t="shared" si="146"/>
        <v>0</v>
      </c>
      <c r="Z916" s="13">
        <f t="shared" si="146"/>
        <v>0</v>
      </c>
      <c r="AA916">
        <f t="shared" ca="1" si="142"/>
        <v>0</v>
      </c>
      <c r="AB916">
        <f t="shared" ca="1" si="143"/>
        <v>1</v>
      </c>
      <c r="AC916" s="24">
        <f t="shared" ca="1" si="144"/>
        <v>0</v>
      </c>
      <c r="AD916" s="24">
        <f t="shared" ca="1" si="145"/>
        <v>6.0128550740245958E-2</v>
      </c>
    </row>
    <row r="917" spans="3:30" x14ac:dyDescent="0.25">
      <c r="C917" s="6">
        <v>910</v>
      </c>
      <c r="D917" s="35">
        <v>43300</v>
      </c>
      <c r="E917" s="37">
        <v>23.07</v>
      </c>
      <c r="F917" s="37">
        <v>61.378259397223161</v>
      </c>
      <c r="G917" s="37">
        <v>54.65</v>
      </c>
      <c r="H917" s="37">
        <v>2.5330172705722993</v>
      </c>
      <c r="I917" s="37">
        <v>84.828987470369114</v>
      </c>
      <c r="J917" s="10">
        <v>0</v>
      </c>
      <c r="K917" s="38">
        <v>0</v>
      </c>
      <c r="L917" s="38">
        <v>0</v>
      </c>
      <c r="M917" s="38">
        <v>0</v>
      </c>
      <c r="N917" s="38">
        <v>0</v>
      </c>
      <c r="O917" s="38">
        <v>0</v>
      </c>
      <c r="P917" s="38">
        <v>1</v>
      </c>
      <c r="Q917" s="38">
        <v>0</v>
      </c>
      <c r="R917" s="38">
        <v>0</v>
      </c>
      <c r="S917" s="38">
        <v>0</v>
      </c>
      <c r="T917" s="38">
        <v>0</v>
      </c>
      <c r="U917" s="29" cm="1">
        <f t="array" aca="1" ref="U917" ca="1">+fair_value_gap(OFFSET(T916,0,0,-1*$J$5,-1*$AA$1),OFFSET(E916,0,0,-1*$J$5,1),F917:T917,0)</f>
        <v>23.160784145789357</v>
      </c>
      <c r="V917" s="9" cm="1">
        <f t="array" aca="1" ref="V917" ca="1">z_score_diff(OFFSET(U917,0,0,$J$5*-1,1),OFFSET(E917,0,0,$J$5*-1,1))</f>
        <v>6.8321318091778771E-2</v>
      </c>
      <c r="W917" s="9">
        <f t="shared" ca="1" si="141"/>
        <v>2.9138185016109784E-2</v>
      </c>
      <c r="X917" s="17">
        <f t="shared" ca="1" si="140"/>
        <v>6.7379086290679707E-2</v>
      </c>
      <c r="Y917" s="13">
        <f t="shared" si="146"/>
        <v>0</v>
      </c>
      <c r="Z917" s="13">
        <f t="shared" si="146"/>
        <v>0</v>
      </c>
      <c r="AA917">
        <f t="shared" ca="1" si="142"/>
        <v>0</v>
      </c>
      <c r="AB917">
        <f t="shared" ca="1" si="143"/>
        <v>1</v>
      </c>
      <c r="AC917" s="24">
        <f t="shared" ca="1" si="144"/>
        <v>0</v>
      </c>
      <c r="AD917" s="24">
        <f t="shared" ca="1" si="145"/>
        <v>6.7379086290679707E-2</v>
      </c>
    </row>
    <row r="918" spans="3:30" x14ac:dyDescent="0.25">
      <c r="C918" s="6">
        <v>911</v>
      </c>
      <c r="D918" s="35">
        <v>43301</v>
      </c>
      <c r="E918" s="37">
        <v>22.777999999999999</v>
      </c>
      <c r="F918" s="37">
        <v>61.404807407606789</v>
      </c>
      <c r="G918" s="37">
        <v>54.03</v>
      </c>
      <c r="H918" s="37">
        <v>2.5133912949853299</v>
      </c>
      <c r="I918" s="37">
        <v>82.812373825738192</v>
      </c>
      <c r="J918" s="10">
        <v>0</v>
      </c>
      <c r="K918" s="38">
        <v>0</v>
      </c>
      <c r="L918" s="38">
        <v>0</v>
      </c>
      <c r="M918" s="38">
        <v>0</v>
      </c>
      <c r="N918" s="38">
        <v>0</v>
      </c>
      <c r="O918" s="38">
        <v>0</v>
      </c>
      <c r="P918" s="38">
        <v>1</v>
      </c>
      <c r="Q918" s="38">
        <v>0</v>
      </c>
      <c r="R918" s="38">
        <v>0</v>
      </c>
      <c r="S918" s="38">
        <v>0</v>
      </c>
      <c r="T918" s="38">
        <v>0</v>
      </c>
      <c r="U918" s="29" cm="1">
        <f t="array" aca="1" ref="U918" ca="1">+fair_value_gap(OFFSET(T917,0,0,-1*$J$5,-1*$AA$1),OFFSET(E917,0,0,-1*$J$5,1),F918:T918,0)</f>
        <v>22.962481662142146</v>
      </c>
      <c r="V918" s="9" cm="1">
        <f t="array" aca="1" ref="V918" ca="1">z_score_diff(OFFSET(U918,0,0,$J$5*-1,1),OFFSET(E918,0,0,$J$5*-1,1))</f>
        <v>0.10428106979349372</v>
      </c>
      <c r="W918" s="9">
        <f t="shared" ca="1" si="141"/>
        <v>2.4137550480007864E-2</v>
      </c>
      <c r="X918" s="17">
        <f t="shared" ca="1" si="140"/>
        <v>9.2920654214675866E-2</v>
      </c>
      <c r="Y918" s="13">
        <f t="shared" si="146"/>
        <v>0</v>
      </c>
      <c r="Z918" s="13">
        <f t="shared" si="146"/>
        <v>0</v>
      </c>
      <c r="AA918">
        <f t="shared" ca="1" si="142"/>
        <v>0</v>
      </c>
      <c r="AB918">
        <f t="shared" ca="1" si="143"/>
        <v>1</v>
      </c>
      <c r="AC918" s="24">
        <f t="shared" ca="1" si="144"/>
        <v>0</v>
      </c>
      <c r="AD918" s="24">
        <f t="shared" ca="1" si="145"/>
        <v>9.2920654214675866E-2</v>
      </c>
    </row>
    <row r="919" spans="3:30" x14ac:dyDescent="0.25">
      <c r="C919" s="6">
        <v>912</v>
      </c>
      <c r="D919" s="35">
        <v>43304</v>
      </c>
      <c r="E919" s="37">
        <v>22.946000000000002</v>
      </c>
      <c r="F919" s="37">
        <v>62.071273637116981</v>
      </c>
      <c r="G919" s="37">
        <v>54.7</v>
      </c>
      <c r="H919" s="37">
        <v>2.5003856798545292</v>
      </c>
      <c r="I919" s="37">
        <v>82.657726200180903</v>
      </c>
      <c r="J919" s="10">
        <v>0</v>
      </c>
      <c r="K919" s="38">
        <v>0</v>
      </c>
      <c r="L919" s="38">
        <v>0</v>
      </c>
      <c r="M919" s="38">
        <v>0</v>
      </c>
      <c r="N919" s="38">
        <v>0</v>
      </c>
      <c r="O919" s="38">
        <v>0</v>
      </c>
      <c r="P919" s="38">
        <v>1</v>
      </c>
      <c r="Q919" s="38">
        <v>0</v>
      </c>
      <c r="R919" s="38">
        <v>0</v>
      </c>
      <c r="S919" s="38">
        <v>0</v>
      </c>
      <c r="T919" s="38">
        <v>0</v>
      </c>
      <c r="U919" s="29" cm="1">
        <f t="array" aca="1" ref="U919" ca="1">+fair_value_gap(OFFSET(T918,0,0,-1*$J$5,-1*$AA$1),OFFSET(E918,0,0,-1*$J$5,1),F919:T919,0)</f>
        <v>23.203478985050126</v>
      </c>
      <c r="V919" s="9" cm="1">
        <f t="array" aca="1" ref="V919" ca="1">z_score_diff(OFFSET(U919,0,0,$J$5*-1,1),OFFSET(E919,0,0,$J$5*-1,1))</f>
        <v>0.13379379849217687</v>
      </c>
      <c r="W919" s="9">
        <f t="shared" ca="1" si="141"/>
        <v>2.1970026594686675E-2</v>
      </c>
      <c r="X919" s="17">
        <f t="shared" ca="1" si="140"/>
        <v>8.7849951462250817E-2</v>
      </c>
      <c r="Y919" s="13">
        <f t="shared" si="146"/>
        <v>0</v>
      </c>
      <c r="Z919" s="13">
        <f t="shared" si="146"/>
        <v>0</v>
      </c>
      <c r="AA919">
        <f t="shared" ca="1" si="142"/>
        <v>0</v>
      </c>
      <c r="AB919">
        <f t="shared" ca="1" si="143"/>
        <v>1</v>
      </c>
      <c r="AC919" s="24">
        <f t="shared" ca="1" si="144"/>
        <v>0</v>
      </c>
      <c r="AD919" s="24">
        <f t="shared" ca="1" si="145"/>
        <v>8.7849951462250817E-2</v>
      </c>
    </row>
    <row r="920" spans="3:30" x14ac:dyDescent="0.25">
      <c r="C920" s="6">
        <v>913</v>
      </c>
      <c r="D920" s="35">
        <v>43305</v>
      </c>
      <c r="E920" s="37">
        <v>23.042999999999999</v>
      </c>
      <c r="F920" s="37">
        <v>62.557134616746893</v>
      </c>
      <c r="G920" s="37">
        <v>54.89</v>
      </c>
      <c r="H920" s="37">
        <v>2.5206696598740423</v>
      </c>
      <c r="I920" s="37">
        <v>83.446056488637169</v>
      </c>
      <c r="J920" s="10">
        <v>0</v>
      </c>
      <c r="K920" s="38">
        <v>0</v>
      </c>
      <c r="L920" s="38">
        <v>0</v>
      </c>
      <c r="M920" s="38">
        <v>0</v>
      </c>
      <c r="N920" s="38">
        <v>0</v>
      </c>
      <c r="O920" s="38">
        <v>0</v>
      </c>
      <c r="P920" s="38">
        <v>1</v>
      </c>
      <c r="Q920" s="38">
        <v>0</v>
      </c>
      <c r="R920" s="38">
        <v>0</v>
      </c>
      <c r="S920" s="38">
        <v>0</v>
      </c>
      <c r="T920" s="38">
        <v>0</v>
      </c>
      <c r="U920" s="29" cm="1">
        <f t="array" aca="1" ref="U920" ca="1">+fair_value_gap(OFFSET(T919,0,0,-1*$J$5,-1*$AA$1),OFFSET(E919,0,0,-1*$J$5,1),F920:T920,0)</f>
        <v>23.29465364489165</v>
      </c>
      <c r="V920" s="9" cm="1">
        <f t="array" aca="1" ref="V920" ca="1">z_score_diff(OFFSET(U920,0,0,$J$5*-1,1),OFFSET(E920,0,0,$J$5*-1,1))</f>
        <v>0.12832955453767103</v>
      </c>
      <c r="W920" s="9">
        <f t="shared" ca="1" si="141"/>
        <v>1.6626648427470126E-2</v>
      </c>
      <c r="X920" s="17">
        <f t="shared" ca="1" si="140"/>
        <v>9.2018421828631639E-2</v>
      </c>
      <c r="Y920" s="13">
        <f t="shared" si="146"/>
        <v>0</v>
      </c>
      <c r="Z920" s="13">
        <f t="shared" si="146"/>
        <v>0</v>
      </c>
      <c r="AA920">
        <f t="shared" ca="1" si="142"/>
        <v>0</v>
      </c>
      <c r="AB920">
        <f t="shared" ca="1" si="143"/>
        <v>1</v>
      </c>
      <c r="AC920" s="24">
        <f t="shared" ca="1" si="144"/>
        <v>0</v>
      </c>
      <c r="AD920" s="24">
        <f t="shared" ca="1" si="145"/>
        <v>9.2018421828631639E-2</v>
      </c>
    </row>
    <row r="921" spans="3:30" x14ac:dyDescent="0.25">
      <c r="C921" s="6">
        <v>914</v>
      </c>
      <c r="D921" s="35">
        <v>43306</v>
      </c>
      <c r="E921" s="37">
        <v>23.102</v>
      </c>
      <c r="F921" s="37">
        <v>62.925638836413505</v>
      </c>
      <c r="G921" s="37">
        <v>55.12</v>
      </c>
      <c r="H921" s="37">
        <v>2.5387066629915225</v>
      </c>
      <c r="I921" s="37">
        <v>82.816796305135568</v>
      </c>
      <c r="J921" s="10">
        <v>0</v>
      </c>
      <c r="K921" s="38">
        <v>0</v>
      </c>
      <c r="L921" s="38">
        <v>0</v>
      </c>
      <c r="M921" s="38">
        <v>0</v>
      </c>
      <c r="N921" s="38">
        <v>0</v>
      </c>
      <c r="O921" s="38">
        <v>0</v>
      </c>
      <c r="P921" s="38">
        <v>1</v>
      </c>
      <c r="Q921" s="38">
        <v>0</v>
      </c>
      <c r="R921" s="38">
        <v>0</v>
      </c>
      <c r="S921" s="38">
        <v>0</v>
      </c>
      <c r="T921" s="38">
        <v>0</v>
      </c>
      <c r="U921" s="29" cm="1">
        <f t="array" aca="1" ref="U921" ca="1">+fair_value_gap(OFFSET(T920,0,0,-1*$J$5,-1*$AA$1),OFFSET(E920,0,0,-1*$J$5,1),F921:T921,0)</f>
        <v>23.377864966560814</v>
      </c>
      <c r="V921" s="9" cm="1">
        <f t="array" aca="1" ref="V921" ca="1">z_score_diff(OFFSET(U921,0,0,$J$5*-1,1),OFFSET(E921,0,0,$J$5*-1,1))</f>
        <v>0.13512324660904862</v>
      </c>
      <c r="W921" s="9">
        <f t="shared" ca="1" si="141"/>
        <v>2.1695913416582179E-2</v>
      </c>
      <c r="X921" s="17">
        <f t="shared" ca="1" si="140"/>
        <v>9.1635908158785667E-2</v>
      </c>
      <c r="Y921" s="13">
        <f t="shared" ref="Y921:Z936" si="147">+Y920</f>
        <v>0</v>
      </c>
      <c r="Z921" s="13">
        <f t="shared" si="147"/>
        <v>0</v>
      </c>
      <c r="AA921">
        <f t="shared" ca="1" si="142"/>
        <v>0</v>
      </c>
      <c r="AB921">
        <f t="shared" ca="1" si="143"/>
        <v>1</v>
      </c>
      <c r="AC921" s="24">
        <f t="shared" ca="1" si="144"/>
        <v>0</v>
      </c>
      <c r="AD921" s="24">
        <f t="shared" ca="1" si="145"/>
        <v>9.1635908158785667E-2</v>
      </c>
    </row>
    <row r="922" spans="3:30" x14ac:dyDescent="0.25">
      <c r="C922" s="6">
        <v>915</v>
      </c>
      <c r="D922" s="35">
        <v>43307</v>
      </c>
      <c r="E922" s="37">
        <v>23.122</v>
      </c>
      <c r="F922" s="37">
        <v>63.896167669233407</v>
      </c>
      <c r="G922" s="37">
        <v>54.4</v>
      </c>
      <c r="H922" s="37">
        <v>2.5610958950501002</v>
      </c>
      <c r="I922" s="37">
        <v>82.71704758558505</v>
      </c>
      <c r="J922" s="10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38">
        <v>1</v>
      </c>
      <c r="Q922" s="38">
        <v>0</v>
      </c>
      <c r="R922" s="38">
        <v>0</v>
      </c>
      <c r="S922" s="38">
        <v>0</v>
      </c>
      <c r="T922" s="38">
        <v>0</v>
      </c>
      <c r="U922" s="29" cm="1">
        <f t="array" aca="1" ref="U922" ca="1">+fair_value_gap(OFFSET(T921,0,0,-1*$J$5,-1*$AA$1),OFFSET(E921,0,0,-1*$J$5,1),F922:T922,0)</f>
        <v>23.271092158510307</v>
      </c>
      <c r="V922" s="9" cm="1">
        <f t="array" aca="1" ref="V922" ca="1">z_score_diff(OFFSET(U922,0,0,$J$5*-1,1),OFFSET(E922,0,0,$J$5*-1,1))</f>
        <v>8.0005540651164164E-2</v>
      </c>
      <c r="W922" s="9">
        <f t="shared" ca="1" si="141"/>
        <v>2.2389577823077721E-2</v>
      </c>
      <c r="X922" s="17">
        <f t="shared" ca="1" si="140"/>
        <v>0.10305702563281885</v>
      </c>
      <c r="Y922" s="13">
        <f t="shared" si="147"/>
        <v>0</v>
      </c>
      <c r="Z922" s="13">
        <f t="shared" si="147"/>
        <v>0</v>
      </c>
      <c r="AA922">
        <f t="shared" ca="1" si="142"/>
        <v>0</v>
      </c>
      <c r="AB922">
        <f t="shared" ca="1" si="143"/>
        <v>1</v>
      </c>
      <c r="AC922" s="24">
        <f t="shared" ca="1" si="144"/>
        <v>0</v>
      </c>
      <c r="AD922" s="24">
        <f t="shared" ca="1" si="145"/>
        <v>0.10305702563281885</v>
      </c>
    </row>
    <row r="923" spans="3:30" x14ac:dyDescent="0.25">
      <c r="C923" s="6">
        <v>916</v>
      </c>
      <c r="D923" s="35">
        <v>43308</v>
      </c>
      <c r="E923" s="37">
        <v>23.038</v>
      </c>
      <c r="F923" s="37">
        <v>63.351400715366864</v>
      </c>
      <c r="G923" s="37">
        <v>54.26</v>
      </c>
      <c r="H923" s="37">
        <v>2.5697398127869713</v>
      </c>
      <c r="I923" s="37">
        <v>82.909835025917246</v>
      </c>
      <c r="J923" s="10">
        <v>0</v>
      </c>
      <c r="K923" s="38">
        <v>0</v>
      </c>
      <c r="L923" s="38">
        <v>0</v>
      </c>
      <c r="M923" s="38">
        <v>0</v>
      </c>
      <c r="N923" s="38">
        <v>0</v>
      </c>
      <c r="O923" s="38">
        <v>0</v>
      </c>
      <c r="P923" s="38">
        <v>1</v>
      </c>
      <c r="Q923" s="38">
        <v>0</v>
      </c>
      <c r="R923" s="38">
        <v>0</v>
      </c>
      <c r="S923" s="38">
        <v>0</v>
      </c>
      <c r="T923" s="38">
        <v>0</v>
      </c>
      <c r="U923" s="29" cm="1">
        <f t="array" aca="1" ref="U923" ca="1">+fair_value_gap(OFFSET(T922,0,0,-1*$J$5,-1*$AA$1),OFFSET(E922,0,0,-1*$J$5,1),F923:T923,0)</f>
        <v>23.17667899513944</v>
      </c>
      <c r="V923" s="9" cm="1">
        <f t="array" aca="1" ref="V923" ca="1">z_score_diff(OFFSET(U923,0,0,$J$5*-1,1),OFFSET(E923,0,0,$J$5*-1,1))</f>
        <v>7.3543834058173108E-2</v>
      </c>
      <c r="W923" s="9">
        <f t="shared" ca="1" si="141"/>
        <v>3.73487377883416E-2</v>
      </c>
      <c r="X923" s="17">
        <f t="shared" ca="1" si="140"/>
        <v>0.11551367633145489</v>
      </c>
      <c r="Y923" s="13">
        <f t="shared" si="147"/>
        <v>0</v>
      </c>
      <c r="Z923" s="13">
        <f t="shared" si="147"/>
        <v>0</v>
      </c>
      <c r="AA923">
        <f t="shared" ca="1" si="142"/>
        <v>0</v>
      </c>
      <c r="AB923">
        <f t="shared" ca="1" si="143"/>
        <v>1</v>
      </c>
      <c r="AC923" s="24">
        <f t="shared" ca="1" si="144"/>
        <v>0</v>
      </c>
      <c r="AD923" s="24">
        <f t="shared" ca="1" si="145"/>
        <v>0.11551367633145489</v>
      </c>
    </row>
    <row r="924" spans="3:30" x14ac:dyDescent="0.25">
      <c r="C924" s="6">
        <v>917</v>
      </c>
      <c r="D924" s="35">
        <v>43311</v>
      </c>
      <c r="E924" s="37">
        <v>23.158999999999999</v>
      </c>
      <c r="F924" s="37">
        <v>63.666650108735098</v>
      </c>
      <c r="G924" s="37">
        <v>54.36</v>
      </c>
      <c r="H924" s="37">
        <v>2.5468343900942036</v>
      </c>
      <c r="I924" s="37">
        <v>81.961761281213455</v>
      </c>
      <c r="J924" s="10">
        <v>0</v>
      </c>
      <c r="K924" s="38">
        <v>0</v>
      </c>
      <c r="L924" s="38">
        <v>0</v>
      </c>
      <c r="M924" s="38">
        <v>0</v>
      </c>
      <c r="N924" s="38">
        <v>0</v>
      </c>
      <c r="O924" s="38">
        <v>0</v>
      </c>
      <c r="P924" s="38">
        <v>1</v>
      </c>
      <c r="Q924" s="38">
        <v>0</v>
      </c>
      <c r="R924" s="38">
        <v>0</v>
      </c>
      <c r="S924" s="38">
        <v>0</v>
      </c>
      <c r="T924" s="38">
        <v>0</v>
      </c>
      <c r="U924" s="29" cm="1">
        <f t="array" aca="1" ref="U924" ca="1">+fair_value_gap(OFFSET(T923,0,0,-1*$J$5,-1*$AA$1),OFFSET(E923,0,0,-1*$J$5,1),F924:T924,0)</f>
        <v>23.205380981133608</v>
      </c>
      <c r="V924" s="9" cm="1">
        <f t="array" aca="1" ref="V924" ca="1">z_score_diff(OFFSET(U924,0,0,$J$5*-1,1),OFFSET(E924,0,0,$J$5*-1,1))</f>
        <v>3.5028148557795014E-2</v>
      </c>
      <c r="W924" s="9">
        <f t="shared" ca="1" si="141"/>
        <v>5.2003795451317593E-2</v>
      </c>
      <c r="X924" s="17">
        <f t="shared" ca="1" si="140"/>
        <v>0.12691927018143973</v>
      </c>
      <c r="Y924" s="13">
        <f t="shared" si="147"/>
        <v>0</v>
      </c>
      <c r="Z924" s="13">
        <f t="shared" si="147"/>
        <v>0</v>
      </c>
      <c r="AA924">
        <f t="shared" ca="1" si="142"/>
        <v>0</v>
      </c>
      <c r="AB924">
        <f t="shared" ca="1" si="143"/>
        <v>1</v>
      </c>
      <c r="AC924" s="24">
        <f t="shared" ca="1" si="144"/>
        <v>0</v>
      </c>
      <c r="AD924" s="24">
        <f t="shared" ca="1" si="145"/>
        <v>0.12691927018143973</v>
      </c>
    </row>
    <row r="925" spans="3:30" x14ac:dyDescent="0.25">
      <c r="C925" s="6">
        <v>918</v>
      </c>
      <c r="D925" s="35">
        <v>43312</v>
      </c>
      <c r="E925" s="37">
        <v>23.004000000000001</v>
      </c>
      <c r="F925" s="37">
        <v>62.576630249303754</v>
      </c>
      <c r="G925" s="37">
        <v>54.47</v>
      </c>
      <c r="H925" s="37">
        <v>2.5322215714941794</v>
      </c>
      <c r="I925" s="37">
        <v>82.244534235551384</v>
      </c>
      <c r="J925" s="10">
        <v>0</v>
      </c>
      <c r="K925" s="38">
        <v>0</v>
      </c>
      <c r="L925" s="38">
        <v>0</v>
      </c>
      <c r="M925" s="38">
        <v>0</v>
      </c>
      <c r="N925" s="38">
        <v>0</v>
      </c>
      <c r="O925" s="38">
        <v>0</v>
      </c>
      <c r="P925" s="38">
        <v>1</v>
      </c>
      <c r="Q925" s="38">
        <v>0</v>
      </c>
      <c r="R925" s="38">
        <v>0</v>
      </c>
      <c r="S925" s="38">
        <v>0</v>
      </c>
      <c r="T925" s="38">
        <v>0</v>
      </c>
      <c r="U925" s="29" cm="1">
        <f t="array" aca="1" ref="U925" ca="1">+fair_value_gap(OFFSET(T924,0,0,-1*$J$5,-1*$AA$1),OFFSET(E924,0,0,-1*$J$5,1),F925:T925,0)</f>
        <v>23.119557329845755</v>
      </c>
      <c r="V925" s="9" cm="1">
        <f t="array" aca="1" ref="V925" ca="1">z_score_diff(OFFSET(U925,0,0,$J$5*-1,1),OFFSET(E925,0,0,$J$5*-1,1))</f>
        <v>6.1558985715153725E-2</v>
      </c>
      <c r="W925" s="9">
        <f t="shared" ca="1" si="141"/>
        <v>5.6384531911662907E-2</v>
      </c>
      <c r="X925" s="17">
        <f t="shared" ca="1" si="140"/>
        <v>0.12936584299777626</v>
      </c>
      <c r="Y925" s="13">
        <f t="shared" si="147"/>
        <v>0</v>
      </c>
      <c r="Z925" s="13">
        <f t="shared" si="147"/>
        <v>0</v>
      </c>
      <c r="AA925">
        <f t="shared" ca="1" si="142"/>
        <v>0</v>
      </c>
      <c r="AB925">
        <f t="shared" ca="1" si="143"/>
        <v>1</v>
      </c>
      <c r="AC925" s="24">
        <f t="shared" ca="1" si="144"/>
        <v>0</v>
      </c>
      <c r="AD925" s="24">
        <f t="shared" ca="1" si="145"/>
        <v>0.12936584299777626</v>
      </c>
    </row>
    <row r="926" spans="3:30" x14ac:dyDescent="0.25">
      <c r="C926" s="6">
        <v>919</v>
      </c>
      <c r="D926" s="35">
        <v>43313</v>
      </c>
      <c r="E926" s="37">
        <v>22.882999999999999</v>
      </c>
      <c r="F926" s="37">
        <v>61.251912009532582</v>
      </c>
      <c r="G926" s="37">
        <v>54.53</v>
      </c>
      <c r="H926" s="37">
        <v>2.5107537331722032</v>
      </c>
      <c r="I926" s="37">
        <v>82.311482198240526</v>
      </c>
      <c r="J926" s="10">
        <v>0</v>
      </c>
      <c r="K926" s="38">
        <v>0</v>
      </c>
      <c r="L926" s="38">
        <v>0</v>
      </c>
      <c r="M926" s="38">
        <v>0</v>
      </c>
      <c r="N926" s="38">
        <v>0</v>
      </c>
      <c r="O926" s="38">
        <v>0</v>
      </c>
      <c r="P926" s="38">
        <v>0</v>
      </c>
      <c r="Q926" s="38">
        <v>1</v>
      </c>
      <c r="R926" s="38">
        <v>0</v>
      </c>
      <c r="S926" s="38">
        <v>0</v>
      </c>
      <c r="T926" s="38">
        <v>0</v>
      </c>
      <c r="U926" s="29" cm="1">
        <f t="array" aca="1" ref="U926" ca="1">+fair_value_gap(OFFSET(T925,0,0,-1*$J$5,-1*$AA$1),OFFSET(E925,0,0,-1*$J$5,1),F926:T926,0)</f>
        <v>22.931090003922844</v>
      </c>
      <c r="V926" s="9" cm="1">
        <f t="array" aca="1" ref="V926" ca="1">z_score_diff(OFFSET(U926,0,0,$J$5*-1,1),OFFSET(E926,0,0,$J$5*-1,1))</f>
        <v>3.2894547184711298E-2</v>
      </c>
      <c r="W926" s="9">
        <f t="shared" ca="1" si="141"/>
        <v>5.6813894925787999E-2</v>
      </c>
      <c r="X926" s="17">
        <f t="shared" ca="1" si="140"/>
        <v>0.14957664743062485</v>
      </c>
      <c r="Y926" s="13">
        <f t="shared" si="147"/>
        <v>0</v>
      </c>
      <c r="Z926" s="13">
        <f t="shared" si="147"/>
        <v>0</v>
      </c>
      <c r="AA926">
        <f t="shared" ca="1" si="142"/>
        <v>0</v>
      </c>
      <c r="AB926">
        <f t="shared" ca="1" si="143"/>
        <v>1</v>
      </c>
      <c r="AC926" s="24">
        <f t="shared" ca="1" si="144"/>
        <v>0</v>
      </c>
      <c r="AD926" s="24">
        <f t="shared" ca="1" si="145"/>
        <v>0.14957664743062485</v>
      </c>
    </row>
    <row r="927" spans="3:30" x14ac:dyDescent="0.25">
      <c r="C927" s="6">
        <v>920</v>
      </c>
      <c r="D927" s="35">
        <v>43314</v>
      </c>
      <c r="E927" s="37">
        <v>22.859000000000002</v>
      </c>
      <c r="F927" s="37">
        <v>62.434759971994104</v>
      </c>
      <c r="G927" s="37">
        <v>54.62</v>
      </c>
      <c r="H927" s="37">
        <v>2.5572814889741693</v>
      </c>
      <c r="I927" s="37">
        <v>82.009958595179626</v>
      </c>
      <c r="J927" s="10">
        <v>0</v>
      </c>
      <c r="K927" s="38">
        <v>0</v>
      </c>
      <c r="L927" s="38">
        <v>0</v>
      </c>
      <c r="M927" s="38">
        <v>0</v>
      </c>
      <c r="N927" s="38">
        <v>0</v>
      </c>
      <c r="O927" s="38">
        <v>0</v>
      </c>
      <c r="P927" s="38">
        <v>0</v>
      </c>
      <c r="Q927" s="38">
        <v>1</v>
      </c>
      <c r="R927" s="38">
        <v>0</v>
      </c>
      <c r="S927" s="38">
        <v>0</v>
      </c>
      <c r="T927" s="38">
        <v>0</v>
      </c>
      <c r="U927" s="29" cm="1">
        <f t="array" aca="1" ref="U927" ca="1">+fair_value_gap(OFFSET(T926,0,0,-1*$J$5,-1*$AA$1),OFFSET(E926,0,0,-1*$J$5,1),F927:T927,0)</f>
        <v>23.060151097673312</v>
      </c>
      <c r="V927" s="9" cm="1">
        <f t="array" aca="1" ref="V927" ca="1">z_score_diff(OFFSET(U927,0,0,$J$5*-1,1),OFFSET(E927,0,0,$J$5*-1,1))</f>
        <v>9.3465131782271893E-2</v>
      </c>
      <c r="W927" s="9">
        <f t="shared" ca="1" si="141"/>
        <v>6.1781368931424482E-2</v>
      </c>
      <c r="X927" s="17">
        <f t="shared" ca="1" si="140"/>
        <v>0.15528119864338402</v>
      </c>
      <c r="Y927" s="13">
        <f t="shared" si="147"/>
        <v>0</v>
      </c>
      <c r="Z927" s="13">
        <f t="shared" si="147"/>
        <v>0</v>
      </c>
      <c r="AA927">
        <f t="shared" ca="1" si="142"/>
        <v>0</v>
      </c>
      <c r="AB927">
        <f t="shared" ca="1" si="143"/>
        <v>1</v>
      </c>
      <c r="AC927" s="24">
        <f t="shared" ca="1" si="144"/>
        <v>0</v>
      </c>
      <c r="AD927" s="24">
        <f t="shared" ca="1" si="145"/>
        <v>0.15528119864338402</v>
      </c>
    </row>
    <row r="928" spans="3:30" x14ac:dyDescent="0.25">
      <c r="C928" s="6">
        <v>921</v>
      </c>
      <c r="D928" s="35">
        <v>43315</v>
      </c>
      <c r="E928" s="37">
        <v>23.206</v>
      </c>
      <c r="F928" s="37">
        <v>62.476576607270616</v>
      </c>
      <c r="G928" s="37">
        <v>55.12</v>
      </c>
      <c r="H928" s="37">
        <v>2.5936083949439541</v>
      </c>
      <c r="I928" s="37">
        <v>81.811522605703388</v>
      </c>
      <c r="J928" s="10">
        <v>0</v>
      </c>
      <c r="K928" s="38">
        <v>0</v>
      </c>
      <c r="L928" s="38">
        <v>0</v>
      </c>
      <c r="M928" s="38">
        <v>0</v>
      </c>
      <c r="N928" s="38">
        <v>0</v>
      </c>
      <c r="O928" s="38">
        <v>0</v>
      </c>
      <c r="P928" s="38">
        <v>0</v>
      </c>
      <c r="Q928" s="38">
        <v>1</v>
      </c>
      <c r="R928" s="38">
        <v>0</v>
      </c>
      <c r="S928" s="38">
        <v>0</v>
      </c>
      <c r="T928" s="38">
        <v>0</v>
      </c>
      <c r="U928" s="29" cm="1">
        <f t="array" aca="1" ref="U928" ca="1">+fair_value_gap(OFFSET(T927,0,0,-1*$J$5,-1*$AA$1),OFFSET(E927,0,0,-1*$J$5,1),F928:T928,0)</f>
        <v>23.13892313618032</v>
      </c>
      <c r="V928" s="9" cm="1">
        <f t="array" aca="1" ref="V928" ca="1">z_score_diff(OFFSET(U928,0,0,$J$5*-1,1),OFFSET(E928,0,0,$J$5*-1,1))</f>
        <v>-1.3954787951548919E-2</v>
      </c>
      <c r="W928" s="9">
        <f t="shared" ca="1" si="141"/>
        <v>6.0292333017099783E-2</v>
      </c>
      <c r="X928" s="17">
        <f t="shared" ca="1" si="140"/>
        <v>0.11322402709293092</v>
      </c>
      <c r="Y928" s="13">
        <f t="shared" si="147"/>
        <v>0</v>
      </c>
      <c r="Z928" s="13">
        <f t="shared" si="147"/>
        <v>0</v>
      </c>
      <c r="AA928">
        <f t="shared" ca="1" si="142"/>
        <v>0</v>
      </c>
      <c r="AB928">
        <f t="shared" ca="1" si="143"/>
        <v>1</v>
      </c>
      <c r="AC928" s="24">
        <f t="shared" ca="1" si="144"/>
        <v>0</v>
      </c>
      <c r="AD928" s="24">
        <f t="shared" ca="1" si="145"/>
        <v>0.11322402709293092</v>
      </c>
    </row>
    <row r="929" spans="3:30" x14ac:dyDescent="0.25">
      <c r="C929" s="6">
        <v>922</v>
      </c>
      <c r="D929" s="35">
        <v>43318</v>
      </c>
      <c r="E929" s="37">
        <v>23.411000000000001</v>
      </c>
      <c r="F929" s="37">
        <v>63.06115729549267</v>
      </c>
      <c r="G929" s="37">
        <v>55.62</v>
      </c>
      <c r="H929" s="37">
        <v>2.6033092393594428</v>
      </c>
      <c r="I929" s="37">
        <v>82.995409236459295</v>
      </c>
      <c r="J929" s="10">
        <v>0</v>
      </c>
      <c r="K929" s="38">
        <v>0</v>
      </c>
      <c r="L929" s="38">
        <v>0</v>
      </c>
      <c r="M929" s="38">
        <v>0</v>
      </c>
      <c r="N929" s="38">
        <v>0</v>
      </c>
      <c r="O929" s="38">
        <v>0</v>
      </c>
      <c r="P929" s="38">
        <v>0</v>
      </c>
      <c r="Q929" s="38">
        <v>1</v>
      </c>
      <c r="R929" s="38">
        <v>0</v>
      </c>
      <c r="S929" s="38">
        <v>0</v>
      </c>
      <c r="T929" s="38">
        <v>0</v>
      </c>
      <c r="U929" s="29" cm="1">
        <f t="array" aca="1" ref="U929" ca="1">+fair_value_gap(OFFSET(T928,0,0,-1*$J$5,-1*$AA$1),OFFSET(E928,0,0,-1*$J$5,1),F929:T929,0)</f>
        <v>23.360698048678273</v>
      </c>
      <c r="V929" s="9" cm="1">
        <f t="array" aca="1" ref="V929" ca="1">z_score_diff(OFFSET(U929,0,0,$J$5*-1,1),OFFSET(E929,0,0,$J$5*-1,1))</f>
        <v>-6.2990598758665417E-3</v>
      </c>
      <c r="W929" s="9">
        <f t="shared" ca="1" si="141"/>
        <v>6.0780778777552967E-2</v>
      </c>
      <c r="X929" s="17">
        <f t="shared" ca="1" si="140"/>
        <v>0.11719909403395093</v>
      </c>
      <c r="Y929" s="13">
        <f t="shared" si="147"/>
        <v>0</v>
      </c>
      <c r="Z929" s="13">
        <f t="shared" si="147"/>
        <v>0</v>
      </c>
      <c r="AA929">
        <f t="shared" ca="1" si="142"/>
        <v>0</v>
      </c>
      <c r="AB929">
        <f t="shared" ca="1" si="143"/>
        <v>1</v>
      </c>
      <c r="AC929" s="24">
        <f t="shared" ca="1" si="144"/>
        <v>0</v>
      </c>
      <c r="AD929" s="24">
        <f t="shared" ca="1" si="145"/>
        <v>0.11719909403395093</v>
      </c>
    </row>
    <row r="930" spans="3:30" x14ac:dyDescent="0.25">
      <c r="C930" s="6">
        <v>923</v>
      </c>
      <c r="D930" s="35">
        <v>43319</v>
      </c>
      <c r="E930" s="37">
        <v>23.515999999999998</v>
      </c>
      <c r="F930" s="37">
        <v>63.680685875647661</v>
      </c>
      <c r="G930" s="37">
        <v>55.84</v>
      </c>
      <c r="H930" s="37">
        <v>2.6165489927560674</v>
      </c>
      <c r="I930" s="37">
        <v>83.381260921755853</v>
      </c>
      <c r="J930" s="10">
        <v>0</v>
      </c>
      <c r="K930" s="38">
        <v>0</v>
      </c>
      <c r="L930" s="38">
        <v>0</v>
      </c>
      <c r="M930" s="38">
        <v>0</v>
      </c>
      <c r="N930" s="38">
        <v>0</v>
      </c>
      <c r="O930" s="38">
        <v>0</v>
      </c>
      <c r="P930" s="38">
        <v>0</v>
      </c>
      <c r="Q930" s="38">
        <v>1</v>
      </c>
      <c r="R930" s="38">
        <v>0</v>
      </c>
      <c r="S930" s="38">
        <v>0</v>
      </c>
      <c r="T930" s="38">
        <v>0</v>
      </c>
      <c r="U930" s="29" cm="1">
        <f t="array" aca="1" ref="U930" ca="1">+fair_value_gap(OFFSET(T929,0,0,-1*$J$5,-1*$AA$1),OFFSET(E929,0,0,-1*$J$5,1),F930:T930,0)</f>
        <v>23.49931453819589</v>
      </c>
      <c r="V930" s="9" cm="1">
        <f t="array" aca="1" ref="V930" ca="1">z_score_diff(OFFSET(U930,0,0,$J$5*-1,1),OFFSET(E930,0,0,$J$5*-1,1))</f>
        <v>7.2560386113462716E-3</v>
      </c>
      <c r="W930" s="9">
        <f t="shared" ca="1" si="141"/>
        <v>5.8271192917905376E-2</v>
      </c>
      <c r="X930" s="17">
        <f t="shared" ca="1" si="140"/>
        <v>0.12952610370445983</v>
      </c>
      <c r="Y930" s="13">
        <f t="shared" si="147"/>
        <v>0</v>
      </c>
      <c r="Z930" s="13">
        <f t="shared" si="147"/>
        <v>0</v>
      </c>
      <c r="AA930">
        <f t="shared" ca="1" si="142"/>
        <v>0</v>
      </c>
      <c r="AB930">
        <f t="shared" ca="1" si="143"/>
        <v>1</v>
      </c>
      <c r="AC930" s="24">
        <f t="shared" ca="1" si="144"/>
        <v>0</v>
      </c>
      <c r="AD930" s="24">
        <f t="shared" ca="1" si="145"/>
        <v>0.12952610370445983</v>
      </c>
    </row>
    <row r="931" spans="3:30" x14ac:dyDescent="0.25">
      <c r="C931" s="6">
        <v>924</v>
      </c>
      <c r="D931" s="35">
        <v>43320</v>
      </c>
      <c r="E931" s="37">
        <v>23.513999999999999</v>
      </c>
      <c r="F931" s="37">
        <v>61.754796880436537</v>
      </c>
      <c r="G931" s="37">
        <v>55.8</v>
      </c>
      <c r="H931" s="37">
        <v>2.6511197671359592</v>
      </c>
      <c r="I931" s="37">
        <v>81.977647088775171</v>
      </c>
      <c r="J931" s="10">
        <v>0</v>
      </c>
      <c r="K931" s="38">
        <v>0</v>
      </c>
      <c r="L931" s="38">
        <v>0</v>
      </c>
      <c r="M931" s="38">
        <v>0</v>
      </c>
      <c r="N931" s="38">
        <v>0</v>
      </c>
      <c r="O931" s="38">
        <v>0</v>
      </c>
      <c r="P931" s="38">
        <v>0</v>
      </c>
      <c r="Q931" s="38">
        <v>1</v>
      </c>
      <c r="R931" s="38">
        <v>0</v>
      </c>
      <c r="S931" s="38">
        <v>0</v>
      </c>
      <c r="T931" s="38">
        <v>0</v>
      </c>
      <c r="U931" s="29" cm="1">
        <f t="array" aca="1" ref="U931" ca="1">+fair_value_gap(OFFSET(T930,0,0,-1*$J$5,-1*$AA$1),OFFSET(E930,0,0,-1*$J$5,1),F931:T931,0)</f>
        <v>23.307717260606793</v>
      </c>
      <c r="V931" s="9" cm="1">
        <f t="array" aca="1" ref="V931" ca="1">z_score_diff(OFFSET(U931,0,0,$J$5*-1,1),OFFSET(E931,0,0,$J$5*-1,1))</f>
        <v>-6.7080202005656231E-2</v>
      </c>
      <c r="W931" s="9">
        <f t="shared" ca="1" si="141"/>
        <v>5.6263990212458849E-2</v>
      </c>
      <c r="X931" s="17">
        <f t="shared" ca="1" si="140"/>
        <v>0.14367055459155653</v>
      </c>
      <c r="Y931" s="13">
        <f t="shared" si="147"/>
        <v>0</v>
      </c>
      <c r="Z931" s="13">
        <f t="shared" si="147"/>
        <v>0</v>
      </c>
      <c r="AA931">
        <f t="shared" ca="1" si="142"/>
        <v>0</v>
      </c>
      <c r="AB931">
        <f t="shared" ca="1" si="143"/>
        <v>1</v>
      </c>
      <c r="AC931" s="24">
        <f t="shared" ca="1" si="144"/>
        <v>0</v>
      </c>
      <c r="AD931" s="24">
        <f t="shared" ca="1" si="145"/>
        <v>0.14367055459155653</v>
      </c>
    </row>
    <row r="932" spans="3:30" x14ac:dyDescent="0.25">
      <c r="C932" s="6">
        <v>925</v>
      </c>
      <c r="D932" s="35">
        <v>43321</v>
      </c>
      <c r="E932" s="37">
        <v>23.663</v>
      </c>
      <c r="F932" s="37">
        <v>61.997016826296381</v>
      </c>
      <c r="G932" s="37">
        <v>55.89</v>
      </c>
      <c r="H932" s="37">
        <v>2.6711798922125491</v>
      </c>
      <c r="I932" s="37">
        <v>82.65699058462512</v>
      </c>
      <c r="J932" s="10">
        <v>0</v>
      </c>
      <c r="K932" s="38">
        <v>0</v>
      </c>
      <c r="L932" s="38">
        <v>0</v>
      </c>
      <c r="M932" s="38">
        <v>0</v>
      </c>
      <c r="N932" s="38">
        <v>0</v>
      </c>
      <c r="O932" s="38">
        <v>0</v>
      </c>
      <c r="P932" s="38">
        <v>0</v>
      </c>
      <c r="Q932" s="38">
        <v>1</v>
      </c>
      <c r="R932" s="38">
        <v>0</v>
      </c>
      <c r="S932" s="38">
        <v>0</v>
      </c>
      <c r="T932" s="38">
        <v>0</v>
      </c>
      <c r="U932" s="29" cm="1">
        <f t="array" aca="1" ref="U932" ca="1">+fair_value_gap(OFFSET(T931,0,0,-1*$J$5,-1*$AA$1),OFFSET(E931,0,0,-1*$J$5,1),F932:T932,0)</f>
        <v>23.399988996309254</v>
      </c>
      <c r="V932" s="9" cm="1">
        <f t="array" aca="1" ref="V932" ca="1">z_score_diff(OFFSET(U932,0,0,$J$5*-1,1),OFFSET(E932,0,0,$J$5*-1,1))</f>
        <v>-8.721158572388088E-2</v>
      </c>
      <c r="W932" s="9">
        <f t="shared" ca="1" si="141"/>
        <v>4.362556765588417E-2</v>
      </c>
      <c r="X932" s="17">
        <f t="shared" ca="1" si="140"/>
        <v>0.15125469439320643</v>
      </c>
      <c r="Y932" s="13">
        <f t="shared" si="147"/>
        <v>0</v>
      </c>
      <c r="Z932" s="13">
        <f t="shared" si="147"/>
        <v>0</v>
      </c>
      <c r="AA932">
        <f t="shared" ca="1" si="142"/>
        <v>0</v>
      </c>
      <c r="AB932">
        <f t="shared" ca="1" si="143"/>
        <v>1</v>
      </c>
      <c r="AC932" s="24">
        <f t="shared" ca="1" si="144"/>
        <v>0</v>
      </c>
      <c r="AD932" s="24">
        <f t="shared" ca="1" si="145"/>
        <v>0.15125469439320643</v>
      </c>
    </row>
    <row r="933" spans="3:30" x14ac:dyDescent="0.25">
      <c r="C933" s="6">
        <v>926</v>
      </c>
      <c r="D933" s="35">
        <v>43322</v>
      </c>
      <c r="E933" s="37">
        <v>23.867000000000001</v>
      </c>
      <c r="F933" s="37">
        <v>63.208068527217463</v>
      </c>
      <c r="G933" s="37">
        <v>56.14</v>
      </c>
      <c r="H933" s="37">
        <v>2.6880699088145898</v>
      </c>
      <c r="I933" s="37">
        <v>83.543451229621439</v>
      </c>
      <c r="J933" s="10">
        <v>0</v>
      </c>
      <c r="K933" s="38">
        <v>0</v>
      </c>
      <c r="L933" s="38">
        <v>0</v>
      </c>
      <c r="M933" s="38">
        <v>0</v>
      </c>
      <c r="N933" s="38">
        <v>0</v>
      </c>
      <c r="O933" s="38">
        <v>0</v>
      </c>
      <c r="P933" s="38">
        <v>0</v>
      </c>
      <c r="Q933" s="38">
        <v>1</v>
      </c>
      <c r="R933" s="38">
        <v>0</v>
      </c>
      <c r="S933" s="38">
        <v>0</v>
      </c>
      <c r="T933" s="38">
        <v>0</v>
      </c>
      <c r="U933" s="29" cm="1">
        <f t="array" aca="1" ref="U933" ca="1">+fair_value_gap(OFFSET(T932,0,0,-1*$J$5,-1*$AA$1),OFFSET(E932,0,0,-1*$J$5,1),F933:T933,0)</f>
        <v>23.63190806436829</v>
      </c>
      <c r="V933" s="9" cm="1">
        <f t="array" aca="1" ref="V933" ca="1">z_score_diff(OFFSET(U933,0,0,$J$5*-1,1),OFFSET(E933,0,0,$J$5*-1,1))</f>
        <v>-7.3754017099762814E-2</v>
      </c>
      <c r="W933" s="9">
        <f t="shared" ca="1" si="141"/>
        <v>4.0266432383971887E-2</v>
      </c>
      <c r="X933" s="17">
        <f t="shared" ca="1" si="140"/>
        <v>0.16159882644001264</v>
      </c>
      <c r="Y933" s="13">
        <f t="shared" si="147"/>
        <v>0</v>
      </c>
      <c r="Z933" s="13">
        <f t="shared" si="147"/>
        <v>0</v>
      </c>
      <c r="AA933">
        <f t="shared" ca="1" si="142"/>
        <v>0</v>
      </c>
      <c r="AB933">
        <f t="shared" ca="1" si="143"/>
        <v>1</v>
      </c>
      <c r="AC933" s="24">
        <f t="shared" ca="1" si="144"/>
        <v>0</v>
      </c>
      <c r="AD933" s="24">
        <f t="shared" ca="1" si="145"/>
        <v>0.16159882644001264</v>
      </c>
    </row>
    <row r="934" spans="3:30" x14ac:dyDescent="0.25">
      <c r="C934" s="6">
        <v>927</v>
      </c>
      <c r="D934" s="35">
        <v>43325</v>
      </c>
      <c r="E934" s="37">
        <v>24.396000000000001</v>
      </c>
      <c r="F934" s="37">
        <v>63.037076060765692</v>
      </c>
      <c r="G934" s="37">
        <v>57.37</v>
      </c>
      <c r="H934" s="37">
        <v>2.6850564388672495</v>
      </c>
      <c r="I934" s="37">
        <v>84.334435913601467</v>
      </c>
      <c r="J934" s="10">
        <v>0</v>
      </c>
      <c r="K934" s="38">
        <v>0</v>
      </c>
      <c r="L934" s="38">
        <v>0</v>
      </c>
      <c r="M934" s="38">
        <v>0</v>
      </c>
      <c r="N934" s="38">
        <v>0</v>
      </c>
      <c r="O934" s="38">
        <v>0</v>
      </c>
      <c r="P934" s="38">
        <v>0</v>
      </c>
      <c r="Q934" s="38">
        <v>1</v>
      </c>
      <c r="R934" s="38">
        <v>0</v>
      </c>
      <c r="S934" s="38">
        <v>0</v>
      </c>
      <c r="T934" s="38">
        <v>0</v>
      </c>
      <c r="U934" s="29" cm="1">
        <f t="array" aca="1" ref="U934" ca="1">+fair_value_gap(OFFSET(T933,0,0,-1*$J$5,-1*$AA$1),OFFSET(E933,0,0,-1*$J$5,1),F934:T934,0)</f>
        <v>23.981582453552804</v>
      </c>
      <c r="V934" s="9" cm="1">
        <f t="array" aca="1" ref="V934" ca="1">z_score_diff(OFFSET(U934,0,0,$J$5*-1,1),OFFSET(E934,0,0,$J$5*-1,1))</f>
        <v>-0.13860831590949929</v>
      </c>
      <c r="W934" s="9">
        <f t="shared" ca="1" si="141"/>
        <v>3.0759338145857528E-2</v>
      </c>
      <c r="X934" s="17">
        <f t="shared" ca="1" si="140"/>
        <v>0.18081060553036371</v>
      </c>
      <c r="Y934" s="13">
        <f t="shared" si="147"/>
        <v>0</v>
      </c>
      <c r="Z934" s="13">
        <f t="shared" si="147"/>
        <v>0</v>
      </c>
      <c r="AA934">
        <f t="shared" ca="1" si="142"/>
        <v>0</v>
      </c>
      <c r="AB934">
        <f t="shared" ca="1" si="143"/>
        <v>1</v>
      </c>
      <c r="AC934" s="24">
        <f t="shared" ca="1" si="144"/>
        <v>0</v>
      </c>
      <c r="AD934" s="24">
        <f t="shared" ca="1" si="145"/>
        <v>0.18081060553036371</v>
      </c>
    </row>
    <row r="935" spans="3:30" x14ac:dyDescent="0.25">
      <c r="C935" s="6">
        <v>928</v>
      </c>
      <c r="D935" s="35">
        <v>43326</v>
      </c>
      <c r="E935" s="37">
        <v>24.675999999999998</v>
      </c>
      <c r="F935" s="37">
        <v>63.246686385857736</v>
      </c>
      <c r="G935" s="37">
        <v>58.04</v>
      </c>
      <c r="H935" s="37">
        <v>2.7243390786385944</v>
      </c>
      <c r="I935" s="37">
        <v>84.647246707222095</v>
      </c>
      <c r="J935" s="10">
        <v>0</v>
      </c>
      <c r="K935" s="38">
        <v>0</v>
      </c>
      <c r="L935" s="38">
        <v>0</v>
      </c>
      <c r="M935" s="38">
        <v>0</v>
      </c>
      <c r="N935" s="38">
        <v>0</v>
      </c>
      <c r="O935" s="38">
        <v>0</v>
      </c>
      <c r="P935" s="38">
        <v>0</v>
      </c>
      <c r="Q935" s="38">
        <v>1</v>
      </c>
      <c r="R935" s="38">
        <v>0</v>
      </c>
      <c r="S935" s="38">
        <v>0</v>
      </c>
      <c r="T935" s="38">
        <v>0</v>
      </c>
      <c r="U935" s="29" cm="1">
        <f t="array" aca="1" ref="U935" ca="1">+fair_value_gap(OFFSET(T934,0,0,-1*$J$5,-1*$AA$1),OFFSET(E934,0,0,-1*$J$5,1),F935:T935,0)</f>
        <v>24.251430062821466</v>
      </c>
      <c r="V935" s="9" cm="1">
        <f t="array" aca="1" ref="V935" ca="1">z_score_diff(OFFSET(U935,0,0,$J$5*-1,1),OFFSET(E935,0,0,$J$5*-1,1))</f>
        <v>-0.13749023161617235</v>
      </c>
      <c r="W935" s="9">
        <f t="shared" ca="1" si="141"/>
        <v>2.1965639998182174E-2</v>
      </c>
      <c r="X935" s="17">
        <f t="shared" ca="1" si="140"/>
        <v>0.15970454976067758</v>
      </c>
      <c r="Y935" s="13">
        <f t="shared" si="147"/>
        <v>0</v>
      </c>
      <c r="Z935" s="13">
        <f t="shared" si="147"/>
        <v>0</v>
      </c>
      <c r="AA935">
        <f t="shared" ca="1" si="142"/>
        <v>0</v>
      </c>
      <c r="AB935">
        <f t="shared" ca="1" si="143"/>
        <v>1</v>
      </c>
      <c r="AC935" s="24">
        <f t="shared" ca="1" si="144"/>
        <v>0</v>
      </c>
      <c r="AD935" s="24">
        <f t="shared" ca="1" si="145"/>
        <v>0.15970454976067758</v>
      </c>
    </row>
    <row r="936" spans="3:30" x14ac:dyDescent="0.25">
      <c r="C936" s="6">
        <v>929</v>
      </c>
      <c r="D936" s="35">
        <v>43327</v>
      </c>
      <c r="E936" s="37">
        <v>24.436</v>
      </c>
      <c r="F936" s="37">
        <v>61.834749150032586</v>
      </c>
      <c r="G936" s="37">
        <v>57.86</v>
      </c>
      <c r="H936" s="37">
        <v>2.7150350272501678</v>
      </c>
      <c r="I936" s="37">
        <v>83.282484291769052</v>
      </c>
      <c r="J936" s="10">
        <v>0</v>
      </c>
      <c r="K936" s="38">
        <v>0</v>
      </c>
      <c r="L936" s="38">
        <v>0</v>
      </c>
      <c r="M936" s="38">
        <v>0</v>
      </c>
      <c r="N936" s="38">
        <v>0</v>
      </c>
      <c r="O936" s="38">
        <v>0</v>
      </c>
      <c r="P936" s="38">
        <v>0</v>
      </c>
      <c r="Q936" s="38">
        <v>1</v>
      </c>
      <c r="R936" s="38">
        <v>0</v>
      </c>
      <c r="S936" s="38">
        <v>0</v>
      </c>
      <c r="T936" s="38">
        <v>0</v>
      </c>
      <c r="U936" s="29" cm="1">
        <f t="array" aca="1" ref="U936" ca="1">+fair_value_gap(OFFSET(T935,0,0,-1*$J$5,-1*$AA$1),OFFSET(E935,0,0,-1*$J$5,1),F936:T936,0)</f>
        <v>24.101267760455681</v>
      </c>
      <c r="V936" s="9" cm="1">
        <f t="array" aca="1" ref="V936" ca="1">z_score_diff(OFFSET(U936,0,0,$J$5*-1,1),OFFSET(E936,0,0,$J$5*-1,1))</f>
        <v>-0.1010261592692181</v>
      </c>
      <c r="W936" s="9">
        <f t="shared" ca="1" si="141"/>
        <v>1.6408842731658969E-2</v>
      </c>
      <c r="X936" s="17">
        <f t="shared" ca="1" si="140"/>
        <v>0.12764674417629693</v>
      </c>
      <c r="Y936" s="13">
        <f t="shared" si="147"/>
        <v>0</v>
      </c>
      <c r="Z936" s="13">
        <f t="shared" si="147"/>
        <v>0</v>
      </c>
      <c r="AA936">
        <f t="shared" ca="1" si="142"/>
        <v>0</v>
      </c>
      <c r="AB936">
        <f t="shared" ca="1" si="143"/>
        <v>1</v>
      </c>
      <c r="AC936" s="24">
        <f t="shared" ca="1" si="144"/>
        <v>0</v>
      </c>
      <c r="AD936" s="24">
        <f t="shared" ca="1" si="145"/>
        <v>0.12764674417629693</v>
      </c>
    </row>
    <row r="937" spans="3:30" x14ac:dyDescent="0.25">
      <c r="C937" s="6">
        <v>930</v>
      </c>
      <c r="D937" s="35">
        <v>43328</v>
      </c>
      <c r="E937" s="37">
        <v>24.678000000000001</v>
      </c>
      <c r="F937" s="37">
        <v>62.188731540427007</v>
      </c>
      <c r="G937" s="37">
        <v>58.34</v>
      </c>
      <c r="H937" s="37">
        <v>2.6850287990992161</v>
      </c>
      <c r="I937" s="37">
        <v>82.716209778701668</v>
      </c>
      <c r="J937" s="10">
        <v>0</v>
      </c>
      <c r="K937" s="38">
        <v>0</v>
      </c>
      <c r="L937" s="38">
        <v>0</v>
      </c>
      <c r="M937" s="38">
        <v>0</v>
      </c>
      <c r="N937" s="38">
        <v>0</v>
      </c>
      <c r="O937" s="38">
        <v>0</v>
      </c>
      <c r="P937" s="38">
        <v>0</v>
      </c>
      <c r="Q937" s="38">
        <v>1</v>
      </c>
      <c r="R937" s="38">
        <v>0</v>
      </c>
      <c r="S937" s="38">
        <v>0</v>
      </c>
      <c r="T937" s="38">
        <v>0</v>
      </c>
      <c r="U937" s="29" cm="1">
        <f t="array" aca="1" ref="U937" ca="1">+fair_value_gap(OFFSET(T936,0,0,-1*$J$5,-1*$AA$1),OFFSET(E936,0,0,-1*$J$5,1),F937:T937,0)</f>
        <v>24.292508989161377</v>
      </c>
      <c r="V937" s="9" cm="1">
        <f t="array" aca="1" ref="V937" ca="1">z_score_diff(OFFSET(U937,0,0,$J$5*-1,1),OFFSET(E937,0,0,$J$5*-1,1))</f>
        <v>-0.11623675990047477</v>
      </c>
      <c r="W937" s="9">
        <f t="shared" ca="1" si="141"/>
        <v>7.1809388320462908E-3</v>
      </c>
      <c r="X937" s="17">
        <f t="shared" ca="1" si="140"/>
        <v>9.1848781236351498E-2</v>
      </c>
      <c r="Y937" s="13">
        <f t="shared" ref="Y937:Z952" si="148">+Y936</f>
        <v>0</v>
      </c>
      <c r="Z937" s="13">
        <f t="shared" si="148"/>
        <v>0</v>
      </c>
      <c r="AA937">
        <f t="shared" ca="1" si="142"/>
        <v>0</v>
      </c>
      <c r="AB937">
        <f t="shared" ca="1" si="143"/>
        <v>1</v>
      </c>
      <c r="AC937" s="24">
        <f t="shared" ca="1" si="144"/>
        <v>0</v>
      </c>
      <c r="AD937" s="24">
        <f t="shared" ca="1" si="145"/>
        <v>9.1848781236351498E-2</v>
      </c>
    </row>
    <row r="938" spans="3:30" x14ac:dyDescent="0.25">
      <c r="C938" s="6">
        <v>931</v>
      </c>
      <c r="D938" s="35">
        <v>43329</v>
      </c>
      <c r="E938" s="37">
        <v>24.995999999999999</v>
      </c>
      <c r="F938" s="37">
        <v>62.037208540992722</v>
      </c>
      <c r="G938" s="37">
        <v>59.02</v>
      </c>
      <c r="H938" s="37">
        <v>2.6982438154477046</v>
      </c>
      <c r="I938" s="37">
        <v>83.953978229686712</v>
      </c>
      <c r="J938" s="10">
        <v>0</v>
      </c>
      <c r="K938" s="38">
        <v>0</v>
      </c>
      <c r="L938" s="38">
        <v>0</v>
      </c>
      <c r="M938" s="38">
        <v>0</v>
      </c>
      <c r="N938" s="38">
        <v>0</v>
      </c>
      <c r="O938" s="38">
        <v>0</v>
      </c>
      <c r="P938" s="38">
        <v>0</v>
      </c>
      <c r="Q938" s="38">
        <v>1</v>
      </c>
      <c r="R938" s="38">
        <v>0</v>
      </c>
      <c r="S938" s="38">
        <v>0</v>
      </c>
      <c r="T938" s="38">
        <v>0</v>
      </c>
      <c r="U938" s="29" cm="1">
        <f t="array" aca="1" ref="U938" ca="1">+fair_value_gap(OFFSET(T937,0,0,-1*$J$5,-1*$AA$1),OFFSET(E937,0,0,-1*$J$5,1),F938:T938,0)</f>
        <v>24.531111322256216</v>
      </c>
      <c r="V938" s="9" cm="1">
        <f t="array" aca="1" ref="V938" ca="1">z_score_diff(OFFSET(U938,0,0,$J$5*-1,1),OFFSET(E938,0,0,$J$5*-1,1))</f>
        <v>-0.14088076798757898</v>
      </c>
      <c r="W938" s="9">
        <f t="shared" ca="1" si="141"/>
        <v>-5.0771530570073442E-3</v>
      </c>
      <c r="X938" s="17">
        <f t="shared" ca="1" si="140"/>
        <v>8.1076185047477281E-2</v>
      </c>
      <c r="Y938" s="13">
        <f t="shared" si="148"/>
        <v>0</v>
      </c>
      <c r="Z938" s="13">
        <f t="shared" si="148"/>
        <v>0</v>
      </c>
      <c r="AA938">
        <f t="shared" ca="1" si="142"/>
        <v>1</v>
      </c>
      <c r="AB938">
        <f t="shared" ca="1" si="143"/>
        <v>0</v>
      </c>
      <c r="AC938" s="24">
        <f t="shared" ca="1" si="144"/>
        <v>8.1076185047477281E-2</v>
      </c>
      <c r="AD938" s="24">
        <f t="shared" ca="1" si="145"/>
        <v>0</v>
      </c>
    </row>
    <row r="939" spans="3:30" x14ac:dyDescent="0.25">
      <c r="C939" s="6">
        <v>932</v>
      </c>
      <c r="D939" s="35">
        <v>43332</v>
      </c>
      <c r="E939" s="37">
        <v>25.053000000000001</v>
      </c>
      <c r="F939" s="37">
        <v>62.112600536193042</v>
      </c>
      <c r="G939" s="37">
        <v>58.99</v>
      </c>
      <c r="H939" s="37">
        <v>2.6672386058981234</v>
      </c>
      <c r="I939" s="37">
        <v>83.002680965147462</v>
      </c>
      <c r="J939" s="10">
        <v>0</v>
      </c>
      <c r="K939" s="38">
        <v>0</v>
      </c>
      <c r="L939" s="38">
        <v>0</v>
      </c>
      <c r="M939" s="38">
        <v>0</v>
      </c>
      <c r="N939" s="38">
        <v>0</v>
      </c>
      <c r="O939" s="38">
        <v>0</v>
      </c>
      <c r="P939" s="38">
        <v>0</v>
      </c>
      <c r="Q939" s="38">
        <v>1</v>
      </c>
      <c r="R939" s="38">
        <v>0</v>
      </c>
      <c r="S939" s="38">
        <v>0</v>
      </c>
      <c r="T939" s="38">
        <v>0</v>
      </c>
      <c r="U939" s="29" cm="1">
        <f t="array" aca="1" ref="U939" ca="1">+fair_value_gap(OFFSET(T938,0,0,-1*$J$5,-1*$AA$1),OFFSET(E938,0,0,-1*$J$5,1),F939:T939,0)</f>
        <v>24.564573256908176</v>
      </c>
      <c r="V939" s="9" cm="1">
        <f t="array" aca="1" ref="V939" ca="1">z_score_diff(OFFSET(U939,0,0,$J$5*-1,1),OFFSET(E939,0,0,$J$5*-1,1))</f>
        <v>-0.14521092094714616</v>
      </c>
      <c r="W939" s="9">
        <f t="shared" ca="1" si="141"/>
        <v>-1.9027389028973496E-2</v>
      </c>
      <c r="X939" s="17">
        <f t="shared" ca="1" si="140"/>
        <v>0.11761892563133208</v>
      </c>
      <c r="Y939" s="13">
        <f t="shared" si="148"/>
        <v>0</v>
      </c>
      <c r="Z939" s="13">
        <f t="shared" si="148"/>
        <v>0</v>
      </c>
      <c r="AA939">
        <f t="shared" ca="1" si="142"/>
        <v>1</v>
      </c>
      <c r="AB939">
        <f t="shared" ca="1" si="143"/>
        <v>0</v>
      </c>
      <c r="AC939" s="24">
        <f t="shared" ca="1" si="144"/>
        <v>0.11761892563133208</v>
      </c>
      <c r="AD939" s="24">
        <f t="shared" ca="1" si="145"/>
        <v>0</v>
      </c>
    </row>
    <row r="940" spans="3:30" x14ac:dyDescent="0.25">
      <c r="C940" s="6">
        <v>933</v>
      </c>
      <c r="D940" s="35">
        <v>43333</v>
      </c>
      <c r="E940" s="37">
        <v>25.263999999999999</v>
      </c>
      <c r="F940" s="37">
        <v>61.809297283303394</v>
      </c>
      <c r="G940" s="37">
        <v>59.98</v>
      </c>
      <c r="H940" s="37">
        <v>2.6663669026456724</v>
      </c>
      <c r="I940" s="37">
        <v>82.349945540030845</v>
      </c>
      <c r="J940" s="10">
        <v>0</v>
      </c>
      <c r="K940" s="38">
        <v>0</v>
      </c>
      <c r="L940" s="38">
        <v>0</v>
      </c>
      <c r="M940" s="38">
        <v>0</v>
      </c>
      <c r="N940" s="38">
        <v>0</v>
      </c>
      <c r="O940" s="38">
        <v>0</v>
      </c>
      <c r="P940" s="38">
        <v>0</v>
      </c>
      <c r="Q940" s="38">
        <v>1</v>
      </c>
      <c r="R940" s="38">
        <v>0</v>
      </c>
      <c r="S940" s="38">
        <v>0</v>
      </c>
      <c r="T940" s="38">
        <v>0</v>
      </c>
      <c r="U940" s="29" cm="1">
        <f t="array" aca="1" ref="U940" ca="1">+fair_value_gap(OFFSET(T939,0,0,-1*$J$5,-1*$AA$1),OFFSET(E939,0,0,-1*$J$5,1),F940:T940,0)</f>
        <v>24.886435832458243</v>
      </c>
      <c r="V940" s="9" cm="1">
        <f t="array" aca="1" ref="V940" ca="1">z_score_diff(OFFSET(U940,0,0,$J$5*-1,1),OFFSET(E940,0,0,$J$5*-1,1))</f>
        <v>-9.8960629334271744E-2</v>
      </c>
      <c r="W940" s="9">
        <f t="shared" ca="1" si="141"/>
        <v>-3.0391898222570636E-2</v>
      </c>
      <c r="X940" s="17">
        <f t="shared" ca="1" si="140"/>
        <v>8.9666441121191515E-2</v>
      </c>
      <c r="Y940" s="13">
        <f t="shared" si="148"/>
        <v>0</v>
      </c>
      <c r="Z940" s="13">
        <f t="shared" si="148"/>
        <v>0</v>
      </c>
      <c r="AA940">
        <f t="shared" ca="1" si="142"/>
        <v>1</v>
      </c>
      <c r="AB940">
        <f t="shared" ca="1" si="143"/>
        <v>0</v>
      </c>
      <c r="AC940" s="24">
        <f t="shared" ca="1" si="144"/>
        <v>8.9666441121191515E-2</v>
      </c>
      <c r="AD940" s="24">
        <f t="shared" ca="1" si="145"/>
        <v>0</v>
      </c>
    </row>
    <row r="941" spans="3:30" x14ac:dyDescent="0.25">
      <c r="C941" s="6">
        <v>934</v>
      </c>
      <c r="D941" s="35">
        <v>43334</v>
      </c>
      <c r="E941" s="37">
        <v>25.318999999999999</v>
      </c>
      <c r="F941" s="37">
        <v>63.415695278364559</v>
      </c>
      <c r="G941" s="37">
        <v>60.59</v>
      </c>
      <c r="H941" s="37">
        <v>2.6494725697164774</v>
      </c>
      <c r="I941" s="37">
        <v>82.126851784187807</v>
      </c>
      <c r="J941" s="10">
        <v>0</v>
      </c>
      <c r="K941" s="38">
        <v>0</v>
      </c>
      <c r="L941" s="38">
        <v>0</v>
      </c>
      <c r="M941" s="38">
        <v>0</v>
      </c>
      <c r="N941" s="38">
        <v>0</v>
      </c>
      <c r="O941" s="38">
        <v>0</v>
      </c>
      <c r="P941" s="38">
        <v>0</v>
      </c>
      <c r="Q941" s="38">
        <v>1</v>
      </c>
      <c r="R941" s="38">
        <v>0</v>
      </c>
      <c r="S941" s="38">
        <v>0</v>
      </c>
      <c r="T941" s="38">
        <v>0</v>
      </c>
      <c r="U941" s="29" cm="1">
        <f t="array" aca="1" ref="U941" ca="1">+fair_value_gap(OFFSET(T940,0,0,-1*$J$5,-1*$AA$1),OFFSET(E940,0,0,-1*$J$5,1),F941:T941,0)</f>
        <v>25.23637519826017</v>
      </c>
      <c r="V941" s="9" cm="1">
        <f t="array" aca="1" ref="V941" ca="1">z_score_diff(OFFSET(U941,0,0,$J$5*-1,1),OFFSET(E941,0,0,$J$5*-1,1))</f>
        <v>1.1522016589676998E-2</v>
      </c>
      <c r="W941" s="9">
        <f t="shared" ca="1" si="141"/>
        <v>-3.6571959723539216E-2</v>
      </c>
      <c r="X941" s="17">
        <f t="shared" ca="1" si="140"/>
        <v>0.11827880734832298</v>
      </c>
      <c r="Y941" s="13">
        <f t="shared" si="148"/>
        <v>0</v>
      </c>
      <c r="Z941" s="13">
        <f t="shared" si="148"/>
        <v>0</v>
      </c>
      <c r="AA941">
        <f t="shared" ca="1" si="142"/>
        <v>1</v>
      </c>
      <c r="AB941">
        <f t="shared" ca="1" si="143"/>
        <v>0</v>
      </c>
      <c r="AC941" s="24">
        <f t="shared" ca="1" si="144"/>
        <v>0.11827880734832298</v>
      </c>
      <c r="AD941" s="24">
        <f t="shared" ca="1" si="145"/>
        <v>0</v>
      </c>
    </row>
    <row r="942" spans="3:30" x14ac:dyDescent="0.25">
      <c r="C942" s="6">
        <v>935</v>
      </c>
      <c r="D942" s="35">
        <v>43335</v>
      </c>
      <c r="E942" s="37">
        <v>25.632000000000001</v>
      </c>
      <c r="F942" s="37">
        <v>63.775325128690106</v>
      </c>
      <c r="G942" s="37">
        <v>61.16</v>
      </c>
      <c r="H942" s="37">
        <v>2.6715306163383299</v>
      </c>
      <c r="I942" s="37">
        <v>82.535786134158641</v>
      </c>
      <c r="J942" s="10">
        <v>0</v>
      </c>
      <c r="K942" s="38">
        <v>0</v>
      </c>
      <c r="L942" s="38">
        <v>0</v>
      </c>
      <c r="M942" s="38">
        <v>0</v>
      </c>
      <c r="N942" s="38">
        <v>0</v>
      </c>
      <c r="O942" s="38">
        <v>0</v>
      </c>
      <c r="P942" s="38">
        <v>0</v>
      </c>
      <c r="Q942" s="38">
        <v>1</v>
      </c>
      <c r="R942" s="38">
        <v>0</v>
      </c>
      <c r="S942" s="38">
        <v>0</v>
      </c>
      <c r="T942" s="38">
        <v>0</v>
      </c>
      <c r="U942" s="29" cm="1">
        <f t="array" aca="1" ref="U942" ca="1">+fair_value_gap(OFFSET(T941,0,0,-1*$J$5,-1*$AA$1),OFFSET(E941,0,0,-1*$J$5,1),F942:T942,0)</f>
        <v>25.457400663727221</v>
      </c>
      <c r="V942" s="9" cm="1">
        <f t="array" aca="1" ref="V942" ca="1">z_score_diff(OFFSET(U942,0,0,$J$5*-1,1),OFFSET(E942,0,0,$J$5*-1,1))</f>
        <v>-1.9857764136197442E-2</v>
      </c>
      <c r="W942" s="9">
        <f t="shared" ca="1" si="141"/>
        <v>-4.1565124962907297E-2</v>
      </c>
      <c r="X942" s="17">
        <f t="shared" ca="1" si="140"/>
        <v>0.11117224647172469</v>
      </c>
      <c r="Y942" s="13">
        <f t="shared" si="148"/>
        <v>0</v>
      </c>
      <c r="Z942" s="13">
        <f t="shared" si="148"/>
        <v>0</v>
      </c>
      <c r="AA942">
        <f t="shared" ca="1" si="142"/>
        <v>1</v>
      </c>
      <c r="AB942">
        <f t="shared" ca="1" si="143"/>
        <v>0</v>
      </c>
      <c r="AC942" s="24">
        <f t="shared" ca="1" si="144"/>
        <v>0.11117224647172469</v>
      </c>
      <c r="AD942" s="24">
        <f t="shared" ca="1" si="145"/>
        <v>0</v>
      </c>
    </row>
    <row r="943" spans="3:30" x14ac:dyDescent="0.25">
      <c r="C943" s="6">
        <v>936</v>
      </c>
      <c r="D943" s="35">
        <v>43336</v>
      </c>
      <c r="E943" s="37">
        <v>25.859000000000002</v>
      </c>
      <c r="F943" s="37">
        <v>64.990219625979222</v>
      </c>
      <c r="G943" s="37">
        <v>61.57</v>
      </c>
      <c r="H943" s="37">
        <v>2.6626024830876549</v>
      </c>
      <c r="I943" s="37">
        <v>83.90554043343451</v>
      </c>
      <c r="J943" s="10">
        <v>0</v>
      </c>
      <c r="K943" s="38">
        <v>0</v>
      </c>
      <c r="L943" s="38">
        <v>0</v>
      </c>
      <c r="M943" s="38">
        <v>0</v>
      </c>
      <c r="N943" s="38">
        <v>0</v>
      </c>
      <c r="O943" s="38">
        <v>0</v>
      </c>
      <c r="P943" s="38">
        <v>0</v>
      </c>
      <c r="Q943" s="38">
        <v>1</v>
      </c>
      <c r="R943" s="38">
        <v>0</v>
      </c>
      <c r="S943" s="38">
        <v>0</v>
      </c>
      <c r="T943" s="38">
        <v>0</v>
      </c>
      <c r="U943" s="29" cm="1">
        <f t="array" aca="1" ref="U943" ca="1">+fair_value_gap(OFFSET(T942,0,0,-1*$J$5,-1*$AA$1),OFFSET(E942,0,0,-1*$J$5,1),F943:T943,0)</f>
        <v>25.696115959023139</v>
      </c>
      <c r="V943" s="9" cm="1">
        <f t="array" aca="1" ref="V943" ca="1">z_score_diff(OFFSET(U943,0,0,$J$5*-1,1),OFFSET(E943,0,0,$J$5*-1,1))</f>
        <v>-1.4219446606670516E-2</v>
      </c>
      <c r="W943" s="9">
        <f t="shared" ca="1" si="141"/>
        <v>-4.5953288996149477E-2</v>
      </c>
      <c r="X943" s="17">
        <f t="shared" ca="1" si="140"/>
        <v>0.10611818516463126</v>
      </c>
      <c r="Y943" s="13">
        <f t="shared" si="148"/>
        <v>0</v>
      </c>
      <c r="Z943" s="13">
        <f t="shared" si="148"/>
        <v>0</v>
      </c>
      <c r="AA943">
        <f t="shared" ca="1" si="142"/>
        <v>1</v>
      </c>
      <c r="AB943">
        <f t="shared" ca="1" si="143"/>
        <v>0</v>
      </c>
      <c r="AC943" s="24">
        <f t="shared" ca="1" si="144"/>
        <v>0.10611818516463126</v>
      </c>
      <c r="AD943" s="24">
        <f t="shared" ca="1" si="145"/>
        <v>0</v>
      </c>
    </row>
    <row r="944" spans="3:30" x14ac:dyDescent="0.25">
      <c r="C944" s="6">
        <v>937</v>
      </c>
      <c r="D944" s="35">
        <v>43339</v>
      </c>
      <c r="E944" s="37">
        <v>26.292999999999999</v>
      </c>
      <c r="F944" s="37">
        <v>64.047498097139552</v>
      </c>
      <c r="G944" s="37">
        <v>62.62</v>
      </c>
      <c r="H944" s="37">
        <v>2.5711821699866171</v>
      </c>
      <c r="I944" s="37">
        <v>82.780758410136883</v>
      </c>
      <c r="J944" s="10">
        <v>0</v>
      </c>
      <c r="K944" s="38">
        <v>0</v>
      </c>
      <c r="L944" s="38">
        <v>0</v>
      </c>
      <c r="M944" s="38">
        <v>0</v>
      </c>
      <c r="N944" s="38">
        <v>0</v>
      </c>
      <c r="O944" s="38">
        <v>0</v>
      </c>
      <c r="P944" s="38">
        <v>0</v>
      </c>
      <c r="Q944" s="38">
        <v>1</v>
      </c>
      <c r="R944" s="38">
        <v>0</v>
      </c>
      <c r="S944" s="38">
        <v>0</v>
      </c>
      <c r="T944" s="38">
        <v>0</v>
      </c>
      <c r="U944" s="29" cm="1">
        <f t="array" aca="1" ref="U944" ca="1">+fair_value_gap(OFFSET(T943,0,0,-1*$J$5,-1*$AA$1),OFFSET(E943,0,0,-1*$J$5,1),F944:T944,0)</f>
        <v>25.927127719755731</v>
      </c>
      <c r="V944" s="9" cm="1">
        <f t="array" aca="1" ref="V944" ca="1">z_score_diff(OFFSET(U944,0,0,$J$5*-1,1),OFFSET(E944,0,0,$J$5*-1,1))</f>
        <v>-8.2871299716160696E-2</v>
      </c>
      <c r="W944" s="9">
        <f t="shared" ca="1" si="141"/>
        <v>-5.184826140984726E-2</v>
      </c>
      <c r="X944" s="17">
        <f t="shared" ca="1" si="140"/>
        <v>0.10756779144329592</v>
      </c>
      <c r="Y944" s="13">
        <f t="shared" si="148"/>
        <v>0</v>
      </c>
      <c r="Z944" s="13">
        <f t="shared" si="148"/>
        <v>0</v>
      </c>
      <c r="AA944">
        <f t="shared" ca="1" si="142"/>
        <v>1</v>
      </c>
      <c r="AB944">
        <f t="shared" ca="1" si="143"/>
        <v>0</v>
      </c>
      <c r="AC944" s="24">
        <f t="shared" ca="1" si="144"/>
        <v>0.10756779144329592</v>
      </c>
      <c r="AD944" s="24">
        <f t="shared" ca="1" si="145"/>
        <v>0</v>
      </c>
    </row>
    <row r="945" spans="3:30" x14ac:dyDescent="0.25">
      <c r="C945" s="6">
        <v>938</v>
      </c>
      <c r="D945" s="35">
        <v>43340</v>
      </c>
      <c r="E945" s="37">
        <v>26.181000000000001</v>
      </c>
      <c r="F945" s="37">
        <v>63.717509210850096</v>
      </c>
      <c r="G945" s="37">
        <v>62.85</v>
      </c>
      <c r="H945" s="37">
        <v>2.5449924324397206</v>
      </c>
      <c r="I945" s="37">
        <v>82.922932235784288</v>
      </c>
      <c r="J945" s="10">
        <v>0</v>
      </c>
      <c r="K945" s="38">
        <v>0</v>
      </c>
      <c r="L945" s="38">
        <v>0</v>
      </c>
      <c r="M945" s="38">
        <v>0</v>
      </c>
      <c r="N945" s="38">
        <v>0</v>
      </c>
      <c r="O945" s="38">
        <v>0</v>
      </c>
      <c r="P945" s="38">
        <v>0</v>
      </c>
      <c r="Q945" s="38">
        <v>1</v>
      </c>
      <c r="R945" s="38">
        <v>0</v>
      </c>
      <c r="S945" s="38">
        <v>0</v>
      </c>
      <c r="T945" s="38">
        <v>0</v>
      </c>
      <c r="U945" s="29" cm="1">
        <f t="array" aca="1" ref="U945" ca="1">+fair_value_gap(OFFSET(T944,0,0,-1*$J$5,-1*$AA$1),OFFSET(E944,0,0,-1*$J$5,1),F945:T945,0)</f>
        <v>26.030380033284871</v>
      </c>
      <c r="V945" s="9" cm="1">
        <f t="array" aca="1" ref="V945" ca="1">z_score_diff(OFFSET(U945,0,0,$J$5*-1,1),OFFSET(E945,0,0,$J$5*-1,1))</f>
        <v>-5.7691205503691556E-3</v>
      </c>
      <c r="W945" s="9">
        <f t="shared" ca="1" si="141"/>
        <v>-5.5214666723123404E-2</v>
      </c>
      <c r="X945" s="17">
        <f t="shared" ca="1" si="140"/>
        <v>0.11111908370661031</v>
      </c>
      <c r="Y945" s="13">
        <f t="shared" si="148"/>
        <v>0</v>
      </c>
      <c r="Z945" s="13">
        <f t="shared" si="148"/>
        <v>0</v>
      </c>
      <c r="AA945">
        <f t="shared" ca="1" si="142"/>
        <v>1</v>
      </c>
      <c r="AB945">
        <f t="shared" ca="1" si="143"/>
        <v>0</v>
      </c>
      <c r="AC945" s="24">
        <f t="shared" ca="1" si="144"/>
        <v>0.11111908370661031</v>
      </c>
      <c r="AD945" s="24">
        <f t="shared" ca="1" si="145"/>
        <v>0</v>
      </c>
    </row>
    <row r="946" spans="3:30" x14ac:dyDescent="0.25">
      <c r="C946" s="6">
        <v>939</v>
      </c>
      <c r="D946" s="35">
        <v>43341</v>
      </c>
      <c r="E946" s="37">
        <v>26.574999999999999</v>
      </c>
      <c r="F946" s="37">
        <v>64.555289989468093</v>
      </c>
      <c r="G946" s="37">
        <v>62.93</v>
      </c>
      <c r="H946" s="37">
        <v>2.5508936967669316</v>
      </c>
      <c r="I946" s="37">
        <v>84.061628918210602</v>
      </c>
      <c r="J946" s="10">
        <v>0</v>
      </c>
      <c r="K946" s="38">
        <v>0</v>
      </c>
      <c r="L946" s="38">
        <v>0</v>
      </c>
      <c r="M946" s="38">
        <v>0</v>
      </c>
      <c r="N946" s="38">
        <v>0</v>
      </c>
      <c r="O946" s="38">
        <v>0</v>
      </c>
      <c r="P946" s="38">
        <v>0</v>
      </c>
      <c r="Q946" s="38">
        <v>1</v>
      </c>
      <c r="R946" s="38">
        <v>0</v>
      </c>
      <c r="S946" s="38">
        <v>0</v>
      </c>
      <c r="T946" s="38">
        <v>0</v>
      </c>
      <c r="U946" s="29" cm="1">
        <f t="array" aca="1" ref="U946" ca="1">+fair_value_gap(OFFSET(T945,0,0,-1*$J$5,-1*$AA$1),OFFSET(E945,0,0,-1*$J$5,1),F946:T946,0)</f>
        <v>26.153328932025783</v>
      </c>
      <c r="V946" s="9" cm="1">
        <f t="array" aca="1" ref="V946" ca="1">z_score_diff(OFFSET(U946,0,0,$J$5*-1,1),OFFSET(E946,0,0,$J$5*-1,1))</f>
        <v>-9.6402968043823645E-2</v>
      </c>
      <c r="W946" s="9">
        <f t="shared" ca="1" si="141"/>
        <v>-6.1679542484550154E-2</v>
      </c>
      <c r="X946" s="17">
        <f t="shared" ca="1" si="140"/>
        <v>6.3385457744293799E-2</v>
      </c>
      <c r="Y946" s="13">
        <f t="shared" si="148"/>
        <v>0</v>
      </c>
      <c r="Z946" s="13">
        <f t="shared" si="148"/>
        <v>0</v>
      </c>
      <c r="AA946">
        <f t="shared" ca="1" si="142"/>
        <v>1</v>
      </c>
      <c r="AB946">
        <f t="shared" ca="1" si="143"/>
        <v>0</v>
      </c>
      <c r="AC946" s="24">
        <f t="shared" ca="1" si="144"/>
        <v>6.3385457744293799E-2</v>
      </c>
      <c r="AD946" s="24">
        <f t="shared" ca="1" si="145"/>
        <v>0</v>
      </c>
    </row>
    <row r="947" spans="3:30" x14ac:dyDescent="0.25">
      <c r="C947" s="6">
        <v>940</v>
      </c>
      <c r="D947" s="35">
        <v>43342</v>
      </c>
      <c r="E947" s="37">
        <v>26.699000000000002</v>
      </c>
      <c r="F947" s="37">
        <v>65.102671000087838</v>
      </c>
      <c r="G947" s="37">
        <v>64.36</v>
      </c>
      <c r="H947" s="37">
        <v>2.476401548680041</v>
      </c>
      <c r="I947" s="37">
        <v>82.94087042304912</v>
      </c>
      <c r="J947" s="10">
        <v>0</v>
      </c>
      <c r="K947" s="38">
        <v>0</v>
      </c>
      <c r="L947" s="38">
        <v>0</v>
      </c>
      <c r="M947" s="38">
        <v>0</v>
      </c>
      <c r="N947" s="38">
        <v>0</v>
      </c>
      <c r="O947" s="38">
        <v>0</v>
      </c>
      <c r="P947" s="38">
        <v>0</v>
      </c>
      <c r="Q947" s="38">
        <v>1</v>
      </c>
      <c r="R947" s="38">
        <v>0</v>
      </c>
      <c r="S947" s="38">
        <v>0</v>
      </c>
      <c r="T947" s="38">
        <v>0</v>
      </c>
      <c r="U947" s="29" cm="1">
        <f t="array" aca="1" ref="U947" ca="1">+fair_value_gap(OFFSET(T946,0,0,-1*$J$5,-1*$AA$1),OFFSET(E946,0,0,-1*$J$5,1),F947:T947,0)</f>
        <v>26.712361533563602</v>
      </c>
      <c r="V947" s="9" cm="1">
        <f t="array" aca="1" ref="V947" ca="1">z_score_diff(OFFSET(U947,0,0,$J$5*-1,1),OFFSET(E947,0,0,$J$5*-1,1))</f>
        <v>5.5672429312107585E-2</v>
      </c>
      <c r="W947" s="9">
        <f t="shared" ca="1" si="141"/>
        <v>-6.3569177608058372E-2</v>
      </c>
      <c r="X947" s="17">
        <f t="shared" ca="1" si="140"/>
        <v>3.1884461973666248E-2</v>
      </c>
      <c r="Y947" s="13">
        <f t="shared" si="148"/>
        <v>0</v>
      </c>
      <c r="Z947" s="13">
        <f t="shared" si="148"/>
        <v>0</v>
      </c>
      <c r="AA947">
        <f t="shared" ca="1" si="142"/>
        <v>1</v>
      </c>
      <c r="AB947">
        <f t="shared" ca="1" si="143"/>
        <v>0</v>
      </c>
      <c r="AC947" s="24">
        <f t="shared" ca="1" si="144"/>
        <v>3.1884461973666248E-2</v>
      </c>
      <c r="AD947" s="24">
        <f t="shared" ca="1" si="145"/>
        <v>0</v>
      </c>
    </row>
    <row r="948" spans="3:30" x14ac:dyDescent="0.25">
      <c r="C948" s="6">
        <v>941</v>
      </c>
      <c r="D948" s="35">
        <v>43343</v>
      </c>
      <c r="E948" s="37">
        <v>25.988</v>
      </c>
      <c r="F948" s="37">
        <v>65.095472793779095</v>
      </c>
      <c r="G948" s="37">
        <v>61.82</v>
      </c>
      <c r="H948" s="37">
        <v>2.5229486388819513</v>
      </c>
      <c r="I948" s="37">
        <v>83.71602301744656</v>
      </c>
      <c r="J948" s="10">
        <v>0</v>
      </c>
      <c r="K948" s="38">
        <v>0</v>
      </c>
      <c r="L948" s="38">
        <v>0</v>
      </c>
      <c r="M948" s="38">
        <v>0</v>
      </c>
      <c r="N948" s="38">
        <v>0</v>
      </c>
      <c r="O948" s="38">
        <v>0</v>
      </c>
      <c r="P948" s="38">
        <v>0</v>
      </c>
      <c r="Q948" s="38">
        <v>1</v>
      </c>
      <c r="R948" s="38">
        <v>0</v>
      </c>
      <c r="S948" s="38">
        <v>0</v>
      </c>
      <c r="T948" s="38">
        <v>0</v>
      </c>
      <c r="U948" s="29" cm="1">
        <f t="array" aca="1" ref="U948" ca="1">+fair_value_gap(OFFSET(T947,0,0,-1*$J$5,-1*$AA$1),OFFSET(E947,0,0,-1*$J$5,1),F948:T948,0)</f>
        <v>25.886801870756592</v>
      </c>
      <c r="V948" s="9" cm="1">
        <f t="array" aca="1" ref="V948" ca="1">z_score_diff(OFFSET(U948,0,0,$J$5*-1,1),OFFSET(E948,0,0,$J$5*-1,1))</f>
        <v>1.1113043914535492E-2</v>
      </c>
      <c r="W948" s="9">
        <f t="shared" ca="1" si="141"/>
        <v>-6.2315786014754147E-2</v>
      </c>
      <c r="X948" s="17">
        <f t="shared" ca="1" si="140"/>
        <v>-3.4129799766421498E-2</v>
      </c>
      <c r="Y948" s="13">
        <f t="shared" si="148"/>
        <v>0</v>
      </c>
      <c r="Z948" s="13">
        <f t="shared" si="148"/>
        <v>0</v>
      </c>
      <c r="AA948">
        <f t="shared" ca="1" si="142"/>
        <v>1</v>
      </c>
      <c r="AB948">
        <f t="shared" ca="1" si="143"/>
        <v>0</v>
      </c>
      <c r="AC948" s="24">
        <f t="shared" ca="1" si="144"/>
        <v>-3.4129799766421498E-2</v>
      </c>
      <c r="AD948" s="24">
        <f t="shared" ca="1" si="145"/>
        <v>0</v>
      </c>
    </row>
    <row r="949" spans="3:30" x14ac:dyDescent="0.25">
      <c r="C949" s="6">
        <v>942</v>
      </c>
      <c r="D949" s="35">
        <v>43346</v>
      </c>
      <c r="E949" s="37">
        <v>26.321999999999999</v>
      </c>
      <c r="F949" s="37">
        <v>65.112896540676061</v>
      </c>
      <c r="G949" s="37">
        <v>61.4</v>
      </c>
      <c r="H949" s="37">
        <v>2.5173822276205144</v>
      </c>
      <c r="I949" s="37">
        <v>83.82798057631949</v>
      </c>
      <c r="J949" s="10">
        <v>0</v>
      </c>
      <c r="K949" s="38">
        <v>0</v>
      </c>
      <c r="L949" s="38">
        <v>0</v>
      </c>
      <c r="M949" s="38">
        <v>0</v>
      </c>
      <c r="N949" s="38">
        <v>0</v>
      </c>
      <c r="O949" s="38">
        <v>0</v>
      </c>
      <c r="P949" s="38">
        <v>0</v>
      </c>
      <c r="Q949" s="38">
        <v>0</v>
      </c>
      <c r="R949" s="38">
        <v>1</v>
      </c>
      <c r="S949" s="38">
        <v>0</v>
      </c>
      <c r="T949" s="38">
        <v>0</v>
      </c>
      <c r="U949" s="29" cm="1">
        <f t="array" aca="1" ref="U949" ca="1">+fair_value_gap(OFFSET(T948,0,0,-1*$J$5,-1*$AA$1),OFFSET(E948,0,0,-1*$J$5,1),F949:T949,0)</f>
        <v>25.919825527618769</v>
      </c>
      <c r="V949" s="9" cm="1">
        <f t="array" aca="1" ref="V949" ca="1">z_score_diff(OFFSET(U949,0,0,$J$5*-1,1),OFFSET(E949,0,0,$J$5*-1,1))</f>
        <v>-8.7986349757085414E-2</v>
      </c>
      <c r="W949" s="9">
        <f t="shared" ca="1" si="141"/>
        <v>-6.6400150508815092E-2</v>
      </c>
      <c r="X949" s="17">
        <f t="shared" ca="1" si="140"/>
        <v>-2.4614734003049737E-2</v>
      </c>
      <c r="Y949" s="13">
        <f t="shared" si="148"/>
        <v>0</v>
      </c>
      <c r="Z949" s="13">
        <f t="shared" si="148"/>
        <v>0</v>
      </c>
      <c r="AA949">
        <f t="shared" ca="1" si="142"/>
        <v>1</v>
      </c>
      <c r="AB949">
        <f t="shared" ca="1" si="143"/>
        <v>0</v>
      </c>
      <c r="AC949" s="24">
        <f t="shared" ca="1" si="144"/>
        <v>-2.4614734003049737E-2</v>
      </c>
      <c r="AD949" s="24">
        <f t="shared" ca="1" si="145"/>
        <v>0</v>
      </c>
    </row>
    <row r="950" spans="3:30" x14ac:dyDescent="0.25">
      <c r="C950" s="6">
        <v>943</v>
      </c>
      <c r="D950" s="35">
        <v>43347</v>
      </c>
      <c r="E950" s="37">
        <v>26.768000000000001</v>
      </c>
      <c r="F950" s="37">
        <v>65.387727527595146</v>
      </c>
      <c r="G950" s="37">
        <v>62.76</v>
      </c>
      <c r="H950" s="37">
        <v>2.4598037772580037</v>
      </c>
      <c r="I950" s="37">
        <v>84.999791542052776</v>
      </c>
      <c r="J950" s="10">
        <v>0</v>
      </c>
      <c r="K950" s="38">
        <v>0</v>
      </c>
      <c r="L950" s="38">
        <v>0</v>
      </c>
      <c r="M950" s="38">
        <v>0</v>
      </c>
      <c r="N950" s="38">
        <v>0</v>
      </c>
      <c r="O950" s="38">
        <v>0</v>
      </c>
      <c r="P950" s="38">
        <v>0</v>
      </c>
      <c r="Q950" s="38">
        <v>0</v>
      </c>
      <c r="R950" s="38">
        <v>1</v>
      </c>
      <c r="S950" s="38">
        <v>0</v>
      </c>
      <c r="T950" s="38">
        <v>0</v>
      </c>
      <c r="U950" s="29" cm="1">
        <f t="array" aca="1" ref="U950" ca="1">+fair_value_gap(OFFSET(T949,0,0,-1*$J$5,-1*$AA$1),OFFSET(E949,0,0,-1*$J$5,1),F950:T950,0)</f>
        <v>26.61403664684412</v>
      </c>
      <c r="V950" s="9" cm="1">
        <f t="array" aca="1" ref="V950" ca="1">z_score_diff(OFFSET(U950,0,0,$J$5*-1,1),OFFSET(E950,0,0,$J$5*-1,1))</f>
        <v>-2.3268845712554054E-4</v>
      </c>
      <c r="W950" s="9">
        <f t="shared" ca="1" si="141"/>
        <v>-6.677458686223868E-2</v>
      </c>
      <c r="X950" s="17">
        <f t="shared" ca="1" si="140"/>
        <v>-5.1120282645913021E-2</v>
      </c>
      <c r="Y950" s="13">
        <f t="shared" si="148"/>
        <v>0</v>
      </c>
      <c r="Z950" s="13">
        <f t="shared" si="148"/>
        <v>0</v>
      </c>
      <c r="AA950">
        <f t="shared" ca="1" si="142"/>
        <v>1</v>
      </c>
      <c r="AB950">
        <f t="shared" ca="1" si="143"/>
        <v>0</v>
      </c>
      <c r="AC950" s="24">
        <f t="shared" ca="1" si="144"/>
        <v>-5.1120282645913021E-2</v>
      </c>
      <c r="AD950" s="24">
        <f t="shared" ca="1" si="145"/>
        <v>0</v>
      </c>
    </row>
    <row r="951" spans="3:30" x14ac:dyDescent="0.25">
      <c r="C951" s="6">
        <v>944</v>
      </c>
      <c r="D951" s="35">
        <v>43348</v>
      </c>
      <c r="E951" s="37">
        <v>27.146999999999998</v>
      </c>
      <c r="F951" s="37">
        <v>64.220533124430986</v>
      </c>
      <c r="G951" s="37">
        <v>63.28</v>
      </c>
      <c r="H951" s="37">
        <v>2.4238318053820587</v>
      </c>
      <c r="I951" s="37">
        <v>85.494696279985618</v>
      </c>
      <c r="J951" s="10">
        <v>0</v>
      </c>
      <c r="K951" s="38">
        <v>0</v>
      </c>
      <c r="L951" s="38">
        <v>0</v>
      </c>
      <c r="M951" s="38">
        <v>0</v>
      </c>
      <c r="N951" s="38">
        <v>0</v>
      </c>
      <c r="O951" s="38">
        <v>0</v>
      </c>
      <c r="P951" s="38">
        <v>0</v>
      </c>
      <c r="Q951" s="38">
        <v>0</v>
      </c>
      <c r="R951" s="38">
        <v>1</v>
      </c>
      <c r="S951" s="38">
        <v>0</v>
      </c>
      <c r="T951" s="38">
        <v>0</v>
      </c>
      <c r="U951" s="29" cm="1">
        <f t="array" aca="1" ref="U951" ca="1">+fair_value_gap(OFFSET(T950,0,0,-1*$J$5,-1*$AA$1),OFFSET(E950,0,0,-1*$J$5,1),F951:T951,0)</f>
        <v>26.760600651137594</v>
      </c>
      <c r="V951" s="9" cm="1">
        <f t="array" aca="1" ref="V951" ca="1">z_score_diff(OFFSET(U951,0,0,$J$5*-1,1),OFFSET(E951,0,0,$J$5*-1,1))</f>
        <v>-7.3862373806232728E-2</v>
      </c>
      <c r="W951" s="9">
        <f t="shared" ca="1" si="141"/>
        <v>-6.7113695452267502E-2</v>
      </c>
      <c r="X951" s="17">
        <f t="shared" ca="1" si="140"/>
        <v>-6.6281176435836919E-2</v>
      </c>
      <c r="Y951" s="13">
        <f t="shared" si="148"/>
        <v>0</v>
      </c>
      <c r="Z951" s="13">
        <f t="shared" si="148"/>
        <v>0</v>
      </c>
      <c r="AA951">
        <f t="shared" ca="1" si="142"/>
        <v>1</v>
      </c>
      <c r="AB951">
        <f t="shared" ca="1" si="143"/>
        <v>0</v>
      </c>
      <c r="AC951" s="24">
        <f t="shared" ca="1" si="144"/>
        <v>-6.6281176435836919E-2</v>
      </c>
      <c r="AD951" s="24">
        <f t="shared" ca="1" si="145"/>
        <v>0</v>
      </c>
    </row>
    <row r="952" spans="3:30" x14ac:dyDescent="0.25">
      <c r="C952" s="6">
        <v>945</v>
      </c>
      <c r="D952" s="35">
        <v>43349</v>
      </c>
      <c r="E952" s="37">
        <v>27.527000000000001</v>
      </c>
      <c r="F952" s="37">
        <v>63.693241684234444</v>
      </c>
      <c r="G952" s="37">
        <v>64.61</v>
      </c>
      <c r="H952" s="37">
        <v>2.411595323285161</v>
      </c>
      <c r="I952" s="37">
        <v>85.82566835944553</v>
      </c>
      <c r="J952" s="10">
        <v>0</v>
      </c>
      <c r="K952" s="38">
        <v>0</v>
      </c>
      <c r="L952" s="38">
        <v>0</v>
      </c>
      <c r="M952" s="38">
        <v>0</v>
      </c>
      <c r="N952" s="38">
        <v>0</v>
      </c>
      <c r="O952" s="38">
        <v>0</v>
      </c>
      <c r="P952" s="38">
        <v>0</v>
      </c>
      <c r="Q952" s="38">
        <v>0</v>
      </c>
      <c r="R952" s="38">
        <v>1</v>
      </c>
      <c r="S952" s="38">
        <v>0</v>
      </c>
      <c r="T952" s="38">
        <v>0</v>
      </c>
      <c r="U952" s="29" cm="1">
        <f t="array" aca="1" ref="U952" ca="1">+fair_value_gap(OFFSET(T951,0,0,-1*$J$5,-1*$AA$1),OFFSET(E951,0,0,-1*$J$5,1),F952:T952,0)</f>
        <v>27.289551475640792</v>
      </c>
      <c r="V952" s="9" cm="1">
        <f t="array" aca="1" ref="V952" ca="1">z_score_diff(OFFSET(U952,0,0,$J$5*-1,1),OFFSET(E952,0,0,$J$5*-1,1))</f>
        <v>-2.0746114530483251E-2</v>
      </c>
      <c r="W952" s="9">
        <f t="shared" ca="1" si="141"/>
        <v>-6.3790421892597621E-2</v>
      </c>
      <c r="X952" s="17">
        <f t="shared" ca="1" si="140"/>
        <v>-6.1156059549665215E-2</v>
      </c>
      <c r="Y952" s="13">
        <f t="shared" si="148"/>
        <v>0</v>
      </c>
      <c r="Z952" s="13">
        <f t="shared" si="148"/>
        <v>0</v>
      </c>
      <c r="AA952">
        <f t="shared" ca="1" si="142"/>
        <v>1</v>
      </c>
      <c r="AB952">
        <f t="shared" ca="1" si="143"/>
        <v>0</v>
      </c>
      <c r="AC952" s="24">
        <f t="shared" ca="1" si="144"/>
        <v>-6.1156059549665215E-2</v>
      </c>
      <c r="AD952" s="24">
        <f t="shared" ca="1" si="145"/>
        <v>0</v>
      </c>
    </row>
    <row r="953" spans="3:30" x14ac:dyDescent="0.25">
      <c r="C953" s="6">
        <v>946</v>
      </c>
      <c r="D953" s="35">
        <v>43350</v>
      </c>
      <c r="E953" s="37">
        <v>28.053000000000001</v>
      </c>
      <c r="F953" s="37">
        <v>64.362016943746568</v>
      </c>
      <c r="G953" s="37">
        <v>66.290000000000006</v>
      </c>
      <c r="H953" s="37">
        <v>2.4228500084428779</v>
      </c>
      <c r="I953" s="37">
        <v>86.688737542491566</v>
      </c>
      <c r="J953" s="10">
        <v>0</v>
      </c>
      <c r="K953" s="38">
        <v>0</v>
      </c>
      <c r="L953" s="38">
        <v>0</v>
      </c>
      <c r="M953" s="38">
        <v>0</v>
      </c>
      <c r="N953" s="38">
        <v>0</v>
      </c>
      <c r="O953" s="38">
        <v>0</v>
      </c>
      <c r="P953" s="38">
        <v>0</v>
      </c>
      <c r="Q953" s="38">
        <v>0</v>
      </c>
      <c r="R953" s="38">
        <v>1</v>
      </c>
      <c r="S953" s="38">
        <v>0</v>
      </c>
      <c r="T953" s="38">
        <v>0</v>
      </c>
      <c r="U953" s="29" cm="1">
        <f t="array" aca="1" ref="U953" ca="1">+fair_value_gap(OFFSET(T952,0,0,-1*$J$5,-1*$AA$1),OFFSET(E952,0,0,-1*$J$5,1),F953:T953,0)</f>
        <v>27.97903244528225</v>
      </c>
      <c r="V953" s="9" cm="1">
        <f t="array" aca="1" ref="V953" ca="1">z_score_diff(OFFSET(U953,0,0,$J$5*-1,1),OFFSET(E953,0,0,$J$5*-1,1))</f>
        <v>3.461392685922382E-2</v>
      </c>
      <c r="W953" s="9">
        <f t="shared" ca="1" si="141"/>
        <v>-5.8372024694648292E-2</v>
      </c>
      <c r="X953" s="17">
        <f t="shared" ca="1" si="140"/>
        <v>-7.0820165956534176E-2</v>
      </c>
      <c r="Y953" s="13">
        <f t="shared" ref="Y953:Z968" si="149">+Y952</f>
        <v>0</v>
      </c>
      <c r="Z953" s="13">
        <f t="shared" si="149"/>
        <v>0</v>
      </c>
      <c r="AA953">
        <f t="shared" ca="1" si="142"/>
        <v>1</v>
      </c>
      <c r="AB953">
        <f t="shared" ca="1" si="143"/>
        <v>0</v>
      </c>
      <c r="AC953" s="24">
        <f t="shared" ca="1" si="144"/>
        <v>-7.0820165956534176E-2</v>
      </c>
      <c r="AD953" s="24">
        <f t="shared" ca="1" si="145"/>
        <v>0</v>
      </c>
    </row>
    <row r="954" spans="3:30" x14ac:dyDescent="0.25">
      <c r="C954" s="6">
        <v>947</v>
      </c>
      <c r="D954" s="35">
        <v>43353</v>
      </c>
      <c r="E954" s="37">
        <v>29.231000000000002</v>
      </c>
      <c r="F954" s="37">
        <v>64.396204871683338</v>
      </c>
      <c r="G954" s="37">
        <v>68.59</v>
      </c>
      <c r="H954" s="37">
        <v>2.4305744345367555</v>
      </c>
      <c r="I954" s="37">
        <v>87.673988690735115</v>
      </c>
      <c r="J954" s="10">
        <v>0</v>
      </c>
      <c r="K954" s="38">
        <v>0</v>
      </c>
      <c r="L954" s="38">
        <v>0</v>
      </c>
      <c r="M954" s="38">
        <v>0</v>
      </c>
      <c r="N954" s="38">
        <v>0</v>
      </c>
      <c r="O954" s="38">
        <v>0</v>
      </c>
      <c r="P954" s="38">
        <v>0</v>
      </c>
      <c r="Q954" s="38">
        <v>0</v>
      </c>
      <c r="R954" s="38">
        <v>1</v>
      </c>
      <c r="S954" s="38">
        <v>0</v>
      </c>
      <c r="T954" s="38">
        <v>0</v>
      </c>
      <c r="U954" s="29" cm="1">
        <f t="array" aca="1" ref="U954" ca="1">+fair_value_gap(OFFSET(T953,0,0,-1*$J$5,-1*$AA$1),OFFSET(E953,0,0,-1*$J$5,1),F954:T954,0)</f>
        <v>28.79251080771326</v>
      </c>
      <c r="V954" s="9" cm="1">
        <f t="array" aca="1" ref="V954" ca="1">z_score_diff(OFFSET(U954,0,0,$J$5*-1,1),OFFSET(E954,0,0,$J$5*-1,1))</f>
        <v>-7.3638134981578229E-2</v>
      </c>
      <c r="W954" s="9">
        <f t="shared" ca="1" si="141"/>
        <v>-5.5123515648252241E-2</v>
      </c>
      <c r="X954" s="17">
        <f t="shared" ca="1" si="140"/>
        <v>-0.13205167257340808</v>
      </c>
      <c r="Y954" s="13">
        <f t="shared" si="149"/>
        <v>0</v>
      </c>
      <c r="Z954" s="13">
        <f t="shared" si="149"/>
        <v>0</v>
      </c>
      <c r="AA954">
        <f t="shared" ca="1" si="142"/>
        <v>1</v>
      </c>
      <c r="AB954">
        <f t="shared" ca="1" si="143"/>
        <v>0</v>
      </c>
      <c r="AC954" s="24">
        <f t="shared" ca="1" si="144"/>
        <v>-0.13205167257340808</v>
      </c>
      <c r="AD954" s="24">
        <f t="shared" ca="1" si="145"/>
        <v>0</v>
      </c>
    </row>
    <row r="955" spans="3:30" x14ac:dyDescent="0.25">
      <c r="C955" s="6">
        <v>948</v>
      </c>
      <c r="D955" s="35">
        <v>43354</v>
      </c>
      <c r="E955" s="37">
        <v>28.949000000000002</v>
      </c>
      <c r="F955" s="37">
        <v>65.613823301948386</v>
      </c>
      <c r="G955" s="37">
        <v>68.87</v>
      </c>
      <c r="H955" s="37">
        <v>2.4415235582404389</v>
      </c>
      <c r="I955" s="37">
        <v>88.203858727810029</v>
      </c>
      <c r="J955" s="10">
        <v>0</v>
      </c>
      <c r="K955" s="38">
        <v>0</v>
      </c>
      <c r="L955" s="38">
        <v>0</v>
      </c>
      <c r="M955" s="38">
        <v>0</v>
      </c>
      <c r="N955" s="38">
        <v>0</v>
      </c>
      <c r="O955" s="38">
        <v>0</v>
      </c>
      <c r="P955" s="38">
        <v>0</v>
      </c>
      <c r="Q955" s="38">
        <v>0</v>
      </c>
      <c r="R955" s="38">
        <v>1</v>
      </c>
      <c r="S955" s="38">
        <v>0</v>
      </c>
      <c r="T955" s="38">
        <v>0</v>
      </c>
      <c r="U955" s="29" cm="1">
        <f t="array" aca="1" ref="U955" ca="1">+fair_value_gap(OFFSET(T954,0,0,-1*$J$5,-1*$AA$1),OFFSET(E954,0,0,-1*$J$5,1),F955:T955,0)</f>
        <v>29.080663029183789</v>
      </c>
      <c r="V955" s="9" cm="1">
        <f t="array" aca="1" ref="V955" ca="1">z_score_diff(OFFSET(U955,0,0,$J$5*-1,1),OFFSET(E955,0,0,$J$5*-1,1))</f>
        <v>0.10161491279880153</v>
      </c>
      <c r="W955" s="9">
        <f t="shared" ca="1" si="141"/>
        <v>-4.3168258427503547E-2</v>
      </c>
      <c r="X955" s="17">
        <f t="shared" ca="1" si="140"/>
        <v>-0.13877103481963179</v>
      </c>
      <c r="Y955" s="13">
        <f t="shared" si="149"/>
        <v>0</v>
      </c>
      <c r="Z955" s="13">
        <f t="shared" si="149"/>
        <v>0</v>
      </c>
      <c r="AA955">
        <f t="shared" ca="1" si="142"/>
        <v>1</v>
      </c>
      <c r="AB955">
        <f t="shared" ca="1" si="143"/>
        <v>0</v>
      </c>
      <c r="AC955" s="24">
        <f t="shared" ca="1" si="144"/>
        <v>-0.13877103481963179</v>
      </c>
      <c r="AD955" s="24">
        <f t="shared" ca="1" si="145"/>
        <v>0</v>
      </c>
    </row>
    <row r="956" spans="3:30" x14ac:dyDescent="0.25">
      <c r="C956" s="6">
        <v>949</v>
      </c>
      <c r="D956" s="35">
        <v>43355</v>
      </c>
      <c r="E956" s="37">
        <v>27.763000000000002</v>
      </c>
      <c r="F956" s="37">
        <v>66.1065432090397</v>
      </c>
      <c r="G956" s="37">
        <v>68.37</v>
      </c>
      <c r="H956" s="37">
        <v>2.4351474645319162</v>
      </c>
      <c r="I956" s="37">
        <v>87.356890603076053</v>
      </c>
      <c r="J956" s="10">
        <v>0</v>
      </c>
      <c r="K956" s="38">
        <v>0</v>
      </c>
      <c r="L956" s="38">
        <v>0</v>
      </c>
      <c r="M956" s="38">
        <v>0</v>
      </c>
      <c r="N956" s="38">
        <v>0</v>
      </c>
      <c r="O956" s="38">
        <v>0</v>
      </c>
      <c r="P956" s="38">
        <v>0</v>
      </c>
      <c r="Q956" s="38">
        <v>0</v>
      </c>
      <c r="R956" s="38">
        <v>1</v>
      </c>
      <c r="S956" s="38">
        <v>0</v>
      </c>
      <c r="T956" s="38">
        <v>0</v>
      </c>
      <c r="U956" s="29" cm="1">
        <f t="array" aca="1" ref="U956" ca="1">+fair_value_gap(OFFSET(T955,0,0,-1*$J$5,-1*$AA$1),OFFSET(E955,0,0,-1*$J$5,1),F956:T956,0)</f>
        <v>28.922008541176314</v>
      </c>
      <c r="V956" s="9" cm="1">
        <f t="array" aca="1" ref="V956" ca="1">z_score_diff(OFFSET(U956,0,0,$J$5*-1,1),OFFSET(E956,0,0,$J$5*-1,1))</f>
        <v>0.40037017041407674</v>
      </c>
      <c r="W956" s="9">
        <f t="shared" ca="1" si="141"/>
        <v>-1.8098441943338806E-2</v>
      </c>
      <c r="X956" s="17">
        <f t="shared" ca="1" si="140"/>
        <v>-0.12339975968105217</v>
      </c>
      <c r="Y956" s="13">
        <f t="shared" si="149"/>
        <v>0</v>
      </c>
      <c r="Z956" s="13">
        <f t="shared" si="149"/>
        <v>0</v>
      </c>
      <c r="AA956">
        <f t="shared" ca="1" si="142"/>
        <v>1</v>
      </c>
      <c r="AB956">
        <f t="shared" ca="1" si="143"/>
        <v>0</v>
      </c>
      <c r="AC956" s="24">
        <f t="shared" ca="1" si="144"/>
        <v>-0.12339975968105217</v>
      </c>
      <c r="AD956" s="24">
        <f t="shared" ca="1" si="145"/>
        <v>0</v>
      </c>
    </row>
    <row r="957" spans="3:30" x14ac:dyDescent="0.25">
      <c r="C957" s="6">
        <v>950</v>
      </c>
      <c r="D957" s="35">
        <v>43356</v>
      </c>
      <c r="E957" s="37">
        <v>27.052</v>
      </c>
      <c r="F957" s="37">
        <v>64.520586844945825</v>
      </c>
      <c r="G957" s="37">
        <v>64.84</v>
      </c>
      <c r="H957" s="37">
        <v>2.4082517592119004</v>
      </c>
      <c r="I957" s="37">
        <v>86.707174955529936</v>
      </c>
      <c r="J957" s="10">
        <v>0</v>
      </c>
      <c r="K957" s="38">
        <v>0</v>
      </c>
      <c r="L957" s="38">
        <v>0</v>
      </c>
      <c r="M957" s="38">
        <v>0</v>
      </c>
      <c r="N957" s="38">
        <v>0</v>
      </c>
      <c r="O957" s="38">
        <v>0</v>
      </c>
      <c r="P957" s="38">
        <v>0</v>
      </c>
      <c r="Q957" s="38">
        <v>0</v>
      </c>
      <c r="R957" s="38">
        <v>1</v>
      </c>
      <c r="S957" s="38">
        <v>0</v>
      </c>
      <c r="T957" s="38">
        <v>0</v>
      </c>
      <c r="U957" s="29" cm="1">
        <f t="array" aca="1" ref="U957" ca="1">+fair_value_gap(OFFSET(T956,0,0,-1*$J$5,-1*$AA$1),OFFSET(E956,0,0,-1*$J$5,1),F957:T957,0)</f>
        <v>27.424909463588993</v>
      </c>
      <c r="V957" s="9" cm="1">
        <f t="array" aca="1" ref="V957" ca="1">z_score_diff(OFFSET(U957,0,0,$J$5*-1,1),OFFSET(E957,0,0,$J$5*-1,1))</f>
        <v>0.1484197193133201</v>
      </c>
      <c r="W957" s="9">
        <f t="shared" ca="1" si="141"/>
        <v>-4.865617982649062E-3</v>
      </c>
      <c r="X957" s="17">
        <f t="shared" ca="1" si="140"/>
        <v>-0.11775069106635988</v>
      </c>
      <c r="Y957" s="13">
        <f t="shared" si="149"/>
        <v>0</v>
      </c>
      <c r="Z957" s="13">
        <f t="shared" si="149"/>
        <v>0</v>
      </c>
      <c r="AA957">
        <f t="shared" ca="1" si="142"/>
        <v>1</v>
      </c>
      <c r="AB957">
        <f t="shared" ca="1" si="143"/>
        <v>0</v>
      </c>
      <c r="AC957" s="24">
        <f t="shared" ca="1" si="144"/>
        <v>-0.11775069106635988</v>
      </c>
      <c r="AD957" s="24">
        <f t="shared" ca="1" si="145"/>
        <v>0</v>
      </c>
    </row>
    <row r="958" spans="3:30" x14ac:dyDescent="0.25">
      <c r="C958" s="6">
        <v>951</v>
      </c>
      <c r="D958" s="35">
        <v>43357</v>
      </c>
      <c r="E958" s="37">
        <v>27.106999999999999</v>
      </c>
      <c r="F958" s="37">
        <v>64.704332793212942</v>
      </c>
      <c r="G958" s="37">
        <v>64.14</v>
      </c>
      <c r="H958" s="37">
        <v>2.3835317774591078</v>
      </c>
      <c r="I958" s="37">
        <v>86.904889967059148</v>
      </c>
      <c r="J958" s="10">
        <v>0</v>
      </c>
      <c r="K958" s="38">
        <v>0</v>
      </c>
      <c r="L958" s="38">
        <v>0</v>
      </c>
      <c r="M958" s="38">
        <v>0</v>
      </c>
      <c r="N958" s="38">
        <v>0</v>
      </c>
      <c r="O958" s="38">
        <v>0</v>
      </c>
      <c r="P958" s="38">
        <v>0</v>
      </c>
      <c r="Q958" s="38">
        <v>0</v>
      </c>
      <c r="R958" s="38">
        <v>1</v>
      </c>
      <c r="S958" s="38">
        <v>0</v>
      </c>
      <c r="T958" s="38">
        <v>0</v>
      </c>
      <c r="U958" s="29" cm="1">
        <f t="array" aca="1" ref="U958" ca="1">+fair_value_gap(OFFSET(T957,0,0,-1*$J$5,-1*$AA$1),OFFSET(E957,0,0,-1*$J$5,1),F958:T958,0)</f>
        <v>27.164429452204189</v>
      </c>
      <c r="V958" s="9" cm="1">
        <f t="array" aca="1" ref="V958" ca="1">z_score_diff(OFFSET(U958,0,0,$J$5*-1,1),OFFSET(E958,0,0,$J$5*-1,1))</f>
        <v>4.9833815301199014E-2</v>
      </c>
      <c r="W958" s="9">
        <f t="shared" ca="1" si="141"/>
        <v>4.6701111817898378E-3</v>
      </c>
      <c r="X958" s="17">
        <f t="shared" ca="1" si="140"/>
        <v>-9.2381650355389727E-2</v>
      </c>
      <c r="Y958" s="13">
        <f t="shared" si="149"/>
        <v>0</v>
      </c>
      <c r="Z958" s="13">
        <f t="shared" si="149"/>
        <v>0</v>
      </c>
      <c r="AA958">
        <f t="shared" ca="1" si="142"/>
        <v>0</v>
      </c>
      <c r="AB958">
        <f t="shared" ca="1" si="143"/>
        <v>1</v>
      </c>
      <c r="AC958" s="24">
        <f t="shared" ca="1" si="144"/>
        <v>0</v>
      </c>
      <c r="AD958" s="24">
        <f t="shared" ca="1" si="145"/>
        <v>-9.2381650355389727E-2</v>
      </c>
    </row>
    <row r="959" spans="3:30" x14ac:dyDescent="0.25">
      <c r="C959" s="6">
        <v>952</v>
      </c>
      <c r="D959" s="35">
        <v>43360</v>
      </c>
      <c r="E959" s="37">
        <v>28.18</v>
      </c>
      <c r="F959" s="37">
        <v>64.507699958697543</v>
      </c>
      <c r="G959" s="37">
        <v>65.92</v>
      </c>
      <c r="H959" s="37">
        <v>2.3812132808483022</v>
      </c>
      <c r="I959" s="37">
        <v>87.072329880222867</v>
      </c>
      <c r="J959" s="10">
        <v>0</v>
      </c>
      <c r="K959" s="38">
        <v>0</v>
      </c>
      <c r="L959" s="38">
        <v>0</v>
      </c>
      <c r="M959" s="38">
        <v>0</v>
      </c>
      <c r="N959" s="38">
        <v>0</v>
      </c>
      <c r="O959" s="38">
        <v>0</v>
      </c>
      <c r="P959" s="38">
        <v>0</v>
      </c>
      <c r="Q959" s="38">
        <v>0</v>
      </c>
      <c r="R959" s="38">
        <v>1</v>
      </c>
      <c r="S959" s="38">
        <v>0</v>
      </c>
      <c r="T959" s="38">
        <v>0</v>
      </c>
      <c r="U959" s="29" cm="1">
        <f t="array" aca="1" ref="U959" ca="1">+fair_value_gap(OFFSET(T958,0,0,-1*$J$5,-1*$AA$1),OFFSET(E958,0,0,-1*$J$5,1),F959:T959,0)</f>
        <v>27.7550105357723</v>
      </c>
      <c r="V959" s="9" cm="1">
        <f t="array" aca="1" ref="V959" ca="1">z_score_diff(OFFSET(U959,0,0,$J$5*-1,1),OFFSET(E959,0,0,$J$5*-1,1))</f>
        <v>-9.0379483222658319E-2</v>
      </c>
      <c r="W959" s="9">
        <f t="shared" ca="1" si="141"/>
        <v>7.4116830680142302E-3</v>
      </c>
      <c r="X959" s="17">
        <f t="shared" ca="1" si="140"/>
        <v>-0.12591573267904896</v>
      </c>
      <c r="Y959" s="13">
        <f t="shared" si="149"/>
        <v>0</v>
      </c>
      <c r="Z959" s="13">
        <f t="shared" si="149"/>
        <v>0</v>
      </c>
      <c r="AA959">
        <f t="shared" ca="1" si="142"/>
        <v>0</v>
      </c>
      <c r="AB959">
        <f t="shared" ca="1" si="143"/>
        <v>1</v>
      </c>
      <c r="AC959" s="24">
        <f t="shared" ca="1" si="144"/>
        <v>0</v>
      </c>
      <c r="AD959" s="24">
        <f t="shared" ca="1" si="145"/>
        <v>-0.12591573267904896</v>
      </c>
    </row>
    <row r="960" spans="3:30" x14ac:dyDescent="0.25">
      <c r="C960" s="6">
        <v>953</v>
      </c>
      <c r="D960" s="35">
        <v>43361</v>
      </c>
      <c r="E960" s="37">
        <v>27.634</v>
      </c>
      <c r="F960" s="37">
        <v>65.336905557014418</v>
      </c>
      <c r="G960" s="37">
        <v>65.44</v>
      </c>
      <c r="H960" s="37">
        <v>2.4427457712127518</v>
      </c>
      <c r="I960" s="37">
        <v>85.53409838363352</v>
      </c>
      <c r="J960" s="10">
        <v>0</v>
      </c>
      <c r="K960" s="38">
        <v>0</v>
      </c>
      <c r="L960" s="38">
        <v>0</v>
      </c>
      <c r="M960" s="38">
        <v>0</v>
      </c>
      <c r="N960" s="38">
        <v>0</v>
      </c>
      <c r="O960" s="38">
        <v>0</v>
      </c>
      <c r="P960" s="38">
        <v>0</v>
      </c>
      <c r="Q960" s="38">
        <v>0</v>
      </c>
      <c r="R960" s="38">
        <v>1</v>
      </c>
      <c r="S960" s="38">
        <v>0</v>
      </c>
      <c r="T960" s="38">
        <v>0</v>
      </c>
      <c r="U960" s="29" cm="1">
        <f t="array" aca="1" ref="U960" ca="1">+fair_value_gap(OFFSET(T959,0,0,-1*$J$5,-1*$AA$1),OFFSET(E959,0,0,-1*$J$5,1),F960:T960,0)</f>
        <v>27.680945206307058</v>
      </c>
      <c r="V960" s="9" cm="1">
        <f t="array" aca="1" ref="V960" ca="1">z_score_diff(OFFSET(U960,0,0,$J$5*-1,1),OFFSET(E960,0,0,$J$5*-1,1))</f>
        <v>4.8255892118683086E-2</v>
      </c>
      <c r="W960" s="9">
        <f t="shared" ca="1" si="141"/>
        <v>1.4772509140661971E-2</v>
      </c>
      <c r="X960" s="17">
        <f t="shared" ca="1" si="140"/>
        <v>-0.11577213999492826</v>
      </c>
      <c r="Y960" s="13">
        <f t="shared" si="149"/>
        <v>0</v>
      </c>
      <c r="Z960" s="13">
        <f t="shared" si="149"/>
        <v>0</v>
      </c>
      <c r="AA960">
        <f t="shared" ca="1" si="142"/>
        <v>0</v>
      </c>
      <c r="AB960">
        <f t="shared" ca="1" si="143"/>
        <v>1</v>
      </c>
      <c r="AC960" s="24">
        <f t="shared" ca="1" si="144"/>
        <v>0</v>
      </c>
      <c r="AD960" s="24">
        <f t="shared" ca="1" si="145"/>
        <v>-0.11577213999492826</v>
      </c>
    </row>
    <row r="961" spans="3:30" x14ac:dyDescent="0.25">
      <c r="C961" s="6">
        <v>954</v>
      </c>
      <c r="D961" s="35">
        <v>43362</v>
      </c>
      <c r="E961" s="37">
        <v>28.498000000000001</v>
      </c>
      <c r="F961" s="37">
        <v>65.561766995909565</v>
      </c>
      <c r="G961" s="37">
        <v>66.38</v>
      </c>
      <c r="H961" s="37">
        <v>2.4319940073238198</v>
      </c>
      <c r="I961" s="37">
        <v>86.127848819896627</v>
      </c>
      <c r="J961" s="10">
        <v>0</v>
      </c>
      <c r="K961" s="38">
        <v>0</v>
      </c>
      <c r="L961" s="38">
        <v>0</v>
      </c>
      <c r="M961" s="38">
        <v>0</v>
      </c>
      <c r="N961" s="38">
        <v>0</v>
      </c>
      <c r="O961" s="38">
        <v>0</v>
      </c>
      <c r="P961" s="38">
        <v>0</v>
      </c>
      <c r="Q961" s="38">
        <v>0</v>
      </c>
      <c r="R961" s="38">
        <v>1</v>
      </c>
      <c r="S961" s="38">
        <v>0</v>
      </c>
      <c r="T961" s="38">
        <v>0</v>
      </c>
      <c r="U961" s="29" cm="1">
        <f t="array" aca="1" ref="U961" ca="1">+fair_value_gap(OFFSET(T960,0,0,-1*$J$5,-1*$AA$1),OFFSET(E960,0,0,-1*$J$5,1),F961:T961,0)</f>
        <v>28.020482404563452</v>
      </c>
      <c r="V961" s="9" cm="1">
        <f t="array" aca="1" ref="V961" ca="1">z_score_diff(OFFSET(U961,0,0,$J$5*-1,1),OFFSET(E961,0,0,$J$5*-1,1))</f>
        <v>-0.10157416016359466</v>
      </c>
      <c r="W961" s="9">
        <f t="shared" ca="1" si="141"/>
        <v>9.1177003029983879E-3</v>
      </c>
      <c r="X961" s="17">
        <f t="shared" ca="1" si="140"/>
        <v>-0.1593164076104511</v>
      </c>
      <c r="Y961" s="13">
        <f t="shared" si="149"/>
        <v>0</v>
      </c>
      <c r="Z961" s="13">
        <f t="shared" si="149"/>
        <v>0</v>
      </c>
      <c r="AA961">
        <f t="shared" ca="1" si="142"/>
        <v>0</v>
      </c>
      <c r="AB961">
        <f t="shared" ca="1" si="143"/>
        <v>1</v>
      </c>
      <c r="AC961" s="24">
        <f t="shared" ca="1" si="144"/>
        <v>0</v>
      </c>
      <c r="AD961" s="24">
        <f t="shared" ca="1" si="145"/>
        <v>-0.1593164076104511</v>
      </c>
    </row>
    <row r="962" spans="3:30" x14ac:dyDescent="0.25">
      <c r="C962" s="6">
        <v>955</v>
      </c>
      <c r="D962" s="35">
        <v>43363</v>
      </c>
      <c r="E962" s="37">
        <v>28.646000000000001</v>
      </c>
      <c r="F962" s="37">
        <v>64.527408255058091</v>
      </c>
      <c r="G962" s="37">
        <v>68.7</v>
      </c>
      <c r="H962" s="37">
        <v>2.4576293162219427</v>
      </c>
      <c r="I962" s="37">
        <v>85.113608892301784</v>
      </c>
      <c r="J962" s="10">
        <v>0</v>
      </c>
      <c r="K962" s="38">
        <v>0</v>
      </c>
      <c r="L962" s="38">
        <v>0</v>
      </c>
      <c r="M962" s="38">
        <v>0</v>
      </c>
      <c r="N962" s="38">
        <v>0</v>
      </c>
      <c r="O962" s="38">
        <v>0</v>
      </c>
      <c r="P962" s="38">
        <v>0</v>
      </c>
      <c r="Q962" s="38">
        <v>0</v>
      </c>
      <c r="R962" s="38">
        <v>1</v>
      </c>
      <c r="S962" s="38">
        <v>0</v>
      </c>
      <c r="T962" s="38">
        <v>0</v>
      </c>
      <c r="U962" s="29" cm="1">
        <f t="array" aca="1" ref="U962" ca="1">+fair_value_gap(OFFSET(T961,0,0,-1*$J$5,-1*$AA$1),OFFSET(E961,0,0,-1*$J$5,1),F962:T962,0)</f>
        <v>28.775750630885867</v>
      </c>
      <c r="V962" s="9" cm="1">
        <f t="array" aca="1" ref="V962" ca="1">z_score_diff(OFFSET(U962,0,0,$J$5*-1,1),OFFSET(E962,0,0,$J$5*-1,1))</f>
        <v>7.4896856957344049E-2</v>
      </c>
      <c r="W962" s="9">
        <f t="shared" ca="1" si="141"/>
        <v>1.3855431357675464E-2</v>
      </c>
      <c r="X962" s="17">
        <f t="shared" ca="1" si="140"/>
        <v>-0.16754610364915293</v>
      </c>
      <c r="Y962" s="13">
        <f t="shared" si="149"/>
        <v>0</v>
      </c>
      <c r="Z962" s="13">
        <f t="shared" si="149"/>
        <v>0</v>
      </c>
      <c r="AA962">
        <f t="shared" ca="1" si="142"/>
        <v>0</v>
      </c>
      <c r="AB962">
        <f t="shared" ca="1" si="143"/>
        <v>1</v>
      </c>
      <c r="AC962" s="24">
        <f t="shared" ca="1" si="144"/>
        <v>0</v>
      </c>
      <c r="AD962" s="24">
        <f t="shared" ca="1" si="145"/>
        <v>-0.16754610364915293</v>
      </c>
    </row>
    <row r="963" spans="3:30" x14ac:dyDescent="0.25">
      <c r="C963" s="6">
        <v>956</v>
      </c>
      <c r="D963" s="35">
        <v>43364</v>
      </c>
      <c r="E963" s="37">
        <v>28.754000000000001</v>
      </c>
      <c r="F963" s="37">
        <v>64.700098822925909</v>
      </c>
      <c r="G963" s="37">
        <v>68.05</v>
      </c>
      <c r="H963" s="37">
        <v>2.4634485093999126</v>
      </c>
      <c r="I963" s="37">
        <v>85.453751457407648</v>
      </c>
      <c r="J963" s="10">
        <v>0</v>
      </c>
      <c r="K963" s="38">
        <v>0</v>
      </c>
      <c r="L963" s="38">
        <v>0</v>
      </c>
      <c r="M963" s="38">
        <v>0</v>
      </c>
      <c r="N963" s="38">
        <v>0</v>
      </c>
      <c r="O963" s="38">
        <v>0</v>
      </c>
      <c r="P963" s="38">
        <v>0</v>
      </c>
      <c r="Q963" s="38">
        <v>0</v>
      </c>
      <c r="R963" s="38">
        <v>1</v>
      </c>
      <c r="S963" s="38">
        <v>0</v>
      </c>
      <c r="T963" s="38">
        <v>0</v>
      </c>
      <c r="U963" s="29" cm="1">
        <f t="array" aca="1" ref="U963" ca="1">+fair_value_gap(OFFSET(T962,0,0,-1*$J$5,-1*$AA$1),OFFSET(E962,0,0,-1*$J$5,1),F963:T963,0)</f>
        <v>28.554771636203903</v>
      </c>
      <c r="V963" s="9" cm="1">
        <f t="array" aca="1" ref="V963" ca="1">z_score_diff(OFFSET(U963,0,0,$J$5*-1,1),OFFSET(E963,0,0,$J$5*-1,1))</f>
        <v>-2.0104692607777253E-2</v>
      </c>
      <c r="W963" s="9">
        <f t="shared" ca="1" si="141"/>
        <v>1.3561169057620125E-2</v>
      </c>
      <c r="X963" s="17">
        <f t="shared" ca="1" si="140"/>
        <v>-0.14350755872631174</v>
      </c>
      <c r="Y963" s="13">
        <f t="shared" si="149"/>
        <v>0</v>
      </c>
      <c r="Z963" s="13">
        <f t="shared" si="149"/>
        <v>0</v>
      </c>
      <c r="AA963">
        <f t="shared" ca="1" si="142"/>
        <v>0</v>
      </c>
      <c r="AB963">
        <f t="shared" ca="1" si="143"/>
        <v>1</v>
      </c>
      <c r="AC963" s="24">
        <f t="shared" ca="1" si="144"/>
        <v>0</v>
      </c>
      <c r="AD963" s="24">
        <f t="shared" ca="1" si="145"/>
        <v>-0.14350755872631174</v>
      </c>
    </row>
    <row r="964" spans="3:30" x14ac:dyDescent="0.25">
      <c r="C964" s="6">
        <v>957</v>
      </c>
      <c r="D964" s="35">
        <v>43367</v>
      </c>
      <c r="E964" s="37">
        <v>29.279</v>
      </c>
      <c r="F964" s="37">
        <v>66.428754615901667</v>
      </c>
      <c r="G964" s="37">
        <v>70.459999999999994</v>
      </c>
      <c r="H964" s="37">
        <v>2.478297090578113</v>
      </c>
      <c r="I964" s="37">
        <v>85.319798383784885</v>
      </c>
      <c r="J964" s="10">
        <v>0</v>
      </c>
      <c r="K964" s="38">
        <v>0</v>
      </c>
      <c r="L964" s="38">
        <v>0</v>
      </c>
      <c r="M964" s="38">
        <v>0</v>
      </c>
      <c r="N964" s="38">
        <v>0</v>
      </c>
      <c r="O964" s="38">
        <v>0</v>
      </c>
      <c r="P964" s="38">
        <v>0</v>
      </c>
      <c r="Q964" s="38">
        <v>0</v>
      </c>
      <c r="R964" s="38">
        <v>1</v>
      </c>
      <c r="S964" s="38">
        <v>0</v>
      </c>
      <c r="T964" s="38">
        <v>0</v>
      </c>
      <c r="U964" s="29" cm="1">
        <f t="array" aca="1" ref="U964" ca="1">+fair_value_gap(OFFSET(T963,0,0,-1*$J$5,-1*$AA$1),OFFSET(E963,0,0,-1*$J$5,1),F964:T964,0)</f>
        <v>29.49838463362623</v>
      </c>
      <c r="V964" s="9" cm="1">
        <f t="array" aca="1" ref="V964" ca="1">z_score_diff(OFFSET(U964,0,0,$J$5*-1,1),OFFSET(E964,0,0,$J$5*-1,1))</f>
        <v>9.8709243367988364E-2</v>
      </c>
      <c r="W964" s="9">
        <f t="shared" ca="1" si="141"/>
        <v>2.2640196211827578E-2</v>
      </c>
      <c r="X964" s="17">
        <f t="shared" ca="1" si="140"/>
        <v>-0.18122239675552249</v>
      </c>
      <c r="Y964" s="13">
        <f t="shared" si="149"/>
        <v>0</v>
      </c>
      <c r="Z964" s="13">
        <f t="shared" si="149"/>
        <v>0</v>
      </c>
      <c r="AA964">
        <f t="shared" ca="1" si="142"/>
        <v>0</v>
      </c>
      <c r="AB964">
        <f t="shared" ca="1" si="143"/>
        <v>1</v>
      </c>
      <c r="AC964" s="24">
        <f t="shared" ca="1" si="144"/>
        <v>0</v>
      </c>
      <c r="AD964" s="24">
        <f t="shared" ca="1" si="145"/>
        <v>-0.18122239675552249</v>
      </c>
    </row>
    <row r="965" spans="3:30" x14ac:dyDescent="0.25">
      <c r="C965" s="6">
        <v>958</v>
      </c>
      <c r="D965" s="35">
        <v>43368</v>
      </c>
      <c r="E965" s="37">
        <v>29.257999999999999</v>
      </c>
      <c r="F965" s="37">
        <v>66.839405548448738</v>
      </c>
      <c r="G965" s="37">
        <v>69.180000000000007</v>
      </c>
      <c r="H965" s="37">
        <v>2.4697699984856762</v>
      </c>
      <c r="I965" s="37">
        <v>86.257888497247023</v>
      </c>
      <c r="J965" s="10">
        <v>0</v>
      </c>
      <c r="K965" s="38">
        <v>0</v>
      </c>
      <c r="L965" s="38">
        <v>0</v>
      </c>
      <c r="M965" s="38">
        <v>0</v>
      </c>
      <c r="N965" s="38">
        <v>0</v>
      </c>
      <c r="O965" s="38">
        <v>0</v>
      </c>
      <c r="P965" s="38">
        <v>0</v>
      </c>
      <c r="Q965" s="38">
        <v>0</v>
      </c>
      <c r="R965" s="38">
        <v>1</v>
      </c>
      <c r="S965" s="38">
        <v>0</v>
      </c>
      <c r="T965" s="38">
        <v>0</v>
      </c>
      <c r="U965" s="29" cm="1">
        <f t="array" aca="1" ref="U965" ca="1">+fair_value_gap(OFFSET(T964,0,0,-1*$J$5,-1*$AA$1),OFFSET(E964,0,0,-1*$J$5,1),F965:T965,0)</f>
        <v>29.081835301537584</v>
      </c>
      <c r="V965" s="9" cm="1">
        <f t="array" aca="1" ref="V965" ca="1">z_score_diff(OFFSET(U965,0,0,$J$5*-1,1),OFFSET(E965,0,0,$J$5*-1,1))</f>
        <v>-1.2830801389601021E-2</v>
      </c>
      <c r="W965" s="9">
        <f t="shared" ca="1" si="141"/>
        <v>2.2287112169865987E-2</v>
      </c>
      <c r="X965" s="17">
        <f t="shared" ca="1" si="140"/>
        <v>-0.18427849119063697</v>
      </c>
      <c r="Y965" s="13">
        <f t="shared" si="149"/>
        <v>0</v>
      </c>
      <c r="Z965" s="13">
        <f t="shared" si="149"/>
        <v>0</v>
      </c>
      <c r="AA965">
        <f t="shared" ca="1" si="142"/>
        <v>0</v>
      </c>
      <c r="AB965">
        <f t="shared" ca="1" si="143"/>
        <v>1</v>
      </c>
      <c r="AC965" s="24">
        <f t="shared" ca="1" si="144"/>
        <v>0</v>
      </c>
      <c r="AD965" s="24">
        <f t="shared" ca="1" si="145"/>
        <v>-0.18427849119063697</v>
      </c>
    </row>
    <row r="966" spans="3:30" x14ac:dyDescent="0.25">
      <c r="C966" s="6">
        <v>959</v>
      </c>
      <c r="D966" s="35">
        <v>43369</v>
      </c>
      <c r="E966" s="37">
        <v>28.314</v>
      </c>
      <c r="F966" s="37">
        <v>66.603689606354251</v>
      </c>
      <c r="G966" s="37">
        <v>67.06</v>
      </c>
      <c r="H966" s="37">
        <v>2.4492320794080937</v>
      </c>
      <c r="I966" s="37">
        <v>86.837934095372518</v>
      </c>
      <c r="J966" s="10">
        <v>0</v>
      </c>
      <c r="K966" s="38">
        <v>0</v>
      </c>
      <c r="L966" s="38">
        <v>0</v>
      </c>
      <c r="M966" s="38">
        <v>0</v>
      </c>
      <c r="N966" s="38">
        <v>0</v>
      </c>
      <c r="O966" s="38">
        <v>0</v>
      </c>
      <c r="P966" s="38">
        <v>0</v>
      </c>
      <c r="Q966" s="38">
        <v>0</v>
      </c>
      <c r="R966" s="38">
        <v>1</v>
      </c>
      <c r="S966" s="38">
        <v>0</v>
      </c>
      <c r="T966" s="38">
        <v>0</v>
      </c>
      <c r="U966" s="29" cm="1">
        <f t="array" aca="1" ref="U966" ca="1">+fair_value_gap(OFFSET(T965,0,0,-1*$J$5,-1*$AA$1),OFFSET(E965,0,0,-1*$J$5,1),F966:T966,0)</f>
        <v>28.373890189601187</v>
      </c>
      <c r="V966" s="9" cm="1">
        <f t="array" aca="1" ref="V966" ca="1">z_score_diff(OFFSET(U966,0,0,$J$5*-1,1),OFFSET(E966,0,0,$J$5*-1,1))</f>
        <v>4.9566127709236074E-2</v>
      </c>
      <c r="W966" s="9">
        <f t="shared" ca="1" si="141"/>
        <v>2.9585566957518971E-2</v>
      </c>
      <c r="X966" s="17">
        <f t="shared" ca="1" si="140"/>
        <v>-0.16301350682088844</v>
      </c>
      <c r="Y966" s="13">
        <f t="shared" si="149"/>
        <v>0</v>
      </c>
      <c r="Z966" s="13">
        <f t="shared" si="149"/>
        <v>0</v>
      </c>
      <c r="AA966">
        <f t="shared" ca="1" si="142"/>
        <v>0</v>
      </c>
      <c r="AB966">
        <f t="shared" ca="1" si="143"/>
        <v>1</v>
      </c>
      <c r="AC966" s="24">
        <f t="shared" ca="1" si="144"/>
        <v>0</v>
      </c>
      <c r="AD966" s="24">
        <f t="shared" ca="1" si="145"/>
        <v>-0.16301350682088844</v>
      </c>
    </row>
    <row r="967" spans="3:30" x14ac:dyDescent="0.25">
      <c r="C967" s="6">
        <v>960</v>
      </c>
      <c r="D967" s="35">
        <v>43370</v>
      </c>
      <c r="E967" s="37">
        <v>27.564</v>
      </c>
      <c r="F967" s="37">
        <v>67.70012379837776</v>
      </c>
      <c r="G967" s="37">
        <v>65.180000000000007</v>
      </c>
      <c r="H967" s="37">
        <v>2.2341209976931555</v>
      </c>
      <c r="I967" s="37">
        <v>86.971742851151049</v>
      </c>
      <c r="J967" s="10">
        <v>0</v>
      </c>
      <c r="K967" s="38">
        <v>0</v>
      </c>
      <c r="L967" s="38">
        <v>0</v>
      </c>
      <c r="M967" s="38">
        <v>0</v>
      </c>
      <c r="N967" s="38">
        <v>0</v>
      </c>
      <c r="O967" s="38">
        <v>0</v>
      </c>
      <c r="P967" s="38">
        <v>0</v>
      </c>
      <c r="Q967" s="38">
        <v>0</v>
      </c>
      <c r="R967" s="38">
        <v>1</v>
      </c>
      <c r="S967" s="38">
        <v>0</v>
      </c>
      <c r="T967" s="38">
        <v>0</v>
      </c>
      <c r="U967" s="29" cm="1">
        <f t="array" aca="1" ref="U967" ca="1">+fair_value_gap(OFFSET(T966,0,0,-1*$J$5,-1*$AA$1),OFFSET(E966,0,0,-1*$J$5,1),F967:T967,0)</f>
        <v>27.815803406598011</v>
      </c>
      <c r="V967" s="9" cm="1">
        <f t="array" aca="1" ref="V967" ca="1">z_score_diff(OFFSET(U967,0,0,$J$5*-1,1),OFFSET(E967,0,0,$J$5*-1,1))</f>
        <v>9.8487800083886912E-2</v>
      </c>
      <c r="W967" s="9">
        <f t="shared" ca="1" si="141"/>
        <v>3.1726335496107941E-2</v>
      </c>
      <c r="X967" s="17">
        <f t="shared" ref="X967:X1030" ca="1" si="150">+LN(OFFSET(E967,$X$3,0,1,1)/E967)</f>
        <v>-0.14296689862490194</v>
      </c>
      <c r="Y967" s="13">
        <f t="shared" si="149"/>
        <v>0</v>
      </c>
      <c r="Z967" s="13">
        <f t="shared" si="149"/>
        <v>0</v>
      </c>
      <c r="AA967">
        <f t="shared" ca="1" si="142"/>
        <v>0</v>
      </c>
      <c r="AB967">
        <f t="shared" ca="1" si="143"/>
        <v>1</v>
      </c>
      <c r="AC967" s="24">
        <f t="shared" ca="1" si="144"/>
        <v>0</v>
      </c>
      <c r="AD967" s="24">
        <f t="shared" ca="1" si="145"/>
        <v>-0.14296689862490194</v>
      </c>
    </row>
    <row r="968" spans="3:30" x14ac:dyDescent="0.25">
      <c r="C968" s="6">
        <v>961</v>
      </c>
      <c r="D968" s="35">
        <v>43371</v>
      </c>
      <c r="E968" s="37">
        <v>25.116</v>
      </c>
      <c r="F968" s="37">
        <v>68.896561023576965</v>
      </c>
      <c r="G968" s="37">
        <v>61.31</v>
      </c>
      <c r="H968" s="37">
        <v>2.2439721869569751</v>
      </c>
      <c r="I968" s="37">
        <v>87.647212971278677</v>
      </c>
      <c r="J968" s="10">
        <v>0</v>
      </c>
      <c r="K968" s="38">
        <v>0</v>
      </c>
      <c r="L968" s="38">
        <v>0</v>
      </c>
      <c r="M968" s="38">
        <v>0</v>
      </c>
      <c r="N968" s="38">
        <v>0</v>
      </c>
      <c r="O968" s="38">
        <v>0</v>
      </c>
      <c r="P968" s="38">
        <v>0</v>
      </c>
      <c r="Q968" s="38">
        <v>0</v>
      </c>
      <c r="R968" s="38">
        <v>1</v>
      </c>
      <c r="S968" s="38">
        <v>0</v>
      </c>
      <c r="T968" s="38">
        <v>0</v>
      </c>
      <c r="U968" s="29" cm="1">
        <f t="array" aca="1" ref="U968" ca="1">+fair_value_gap(OFFSET(T967,0,0,-1*$J$5,-1*$AA$1),OFFSET(E967,0,0,-1*$J$5,1),F968:T968,0)</f>
        <v>26.571770998251822</v>
      </c>
      <c r="V968" s="9" cm="1">
        <f t="array" aca="1" ref="V968" ca="1">z_score_diff(OFFSET(U968,0,0,$J$5*-1,1),OFFSET(E968,0,0,$J$5*-1,1))</f>
        <v>0.41939303045638288</v>
      </c>
      <c r="W968" s="9">
        <f t="shared" ref="W968:W1031" ca="1" si="151">+IF(ISERROR(AVERAGE(OFFSET(V968,0,0,$W$5*-1,1))),"",AVERAGE(OFFSET(V968,0,0,$W$5*-1,1)))</f>
        <v>5.214033482320031E-2</v>
      </c>
      <c r="X968" s="17">
        <f t="shared" ca="1" si="150"/>
        <v>-7.7156951390745299E-2</v>
      </c>
      <c r="Y968" s="13">
        <f t="shared" si="149"/>
        <v>0</v>
      </c>
      <c r="Z968" s="13">
        <f t="shared" si="149"/>
        <v>0</v>
      </c>
      <c r="AA968">
        <f t="shared" ref="AA968:AA1031" ca="1" si="152">+IF(W968="","",IF(W968&lt;Y968,1,0))</f>
        <v>0</v>
      </c>
      <c r="AB968">
        <f t="shared" ref="AB968:AB1031" ca="1" si="153">+IF(W968="","",IF(W968&gt;Z968,1,0))</f>
        <v>1</v>
      </c>
      <c r="AC968" s="24">
        <f t="shared" ref="AC968:AC1031" ca="1" si="154">+IF(ISERROR(AA968*X968),"",AA968*X968)</f>
        <v>0</v>
      </c>
      <c r="AD968" s="24">
        <f t="shared" ref="AD968:AD1031" ca="1" si="155">+IF(ISERROR(AB968*X968),"",AB968*X968)</f>
        <v>-7.7156951390745299E-2</v>
      </c>
    </row>
    <row r="969" spans="3:30" x14ac:dyDescent="0.25">
      <c r="C969" s="6">
        <v>962</v>
      </c>
      <c r="D969" s="35">
        <v>43374</v>
      </c>
      <c r="E969" s="37">
        <v>25.681999999999999</v>
      </c>
      <c r="F969" s="37">
        <v>70.677476729910524</v>
      </c>
      <c r="G969" s="37">
        <v>61.22</v>
      </c>
      <c r="H969" s="37">
        <v>2.2691950606535691</v>
      </c>
      <c r="I969" s="37">
        <v>88.33621835964999</v>
      </c>
      <c r="J969" s="10">
        <v>0</v>
      </c>
      <c r="K969" s="38">
        <v>0</v>
      </c>
      <c r="L969" s="38">
        <v>0</v>
      </c>
      <c r="M969" s="38">
        <v>0</v>
      </c>
      <c r="N969" s="38">
        <v>0</v>
      </c>
      <c r="O969" s="38">
        <v>0</v>
      </c>
      <c r="P969" s="38">
        <v>0</v>
      </c>
      <c r="Q969" s="38">
        <v>0</v>
      </c>
      <c r="R969" s="38">
        <v>0</v>
      </c>
      <c r="S969" s="38">
        <v>1</v>
      </c>
      <c r="T969" s="38">
        <v>0</v>
      </c>
      <c r="U969" s="29" cm="1">
        <f t="array" aca="1" ref="U969" ca="1">+fair_value_gap(OFFSET(T968,0,0,-1*$J$5,-1*$AA$1),OFFSET(E968,0,0,-1*$J$5,1),F969:T969,0)</f>
        <v>26.028818265153205</v>
      </c>
      <c r="V969" s="9" cm="1">
        <f t="array" aca="1" ref="V969" ca="1">z_score_diff(OFFSET(U969,0,0,$J$5*-1,1),OFFSET(E969,0,0,$J$5*-1,1))</f>
        <v>0.11238024652044998</v>
      </c>
      <c r="W969" s="9">
        <f t="shared" ca="1" si="151"/>
        <v>6.2158664637077074E-2</v>
      </c>
      <c r="X969" s="17">
        <f t="shared" ca="1" si="150"/>
        <v>-8.509464460734377E-2</v>
      </c>
      <c r="Y969" s="13">
        <f t="shared" ref="Y969:Z984" si="156">+Y968</f>
        <v>0</v>
      </c>
      <c r="Z969" s="13">
        <f t="shared" si="156"/>
        <v>0</v>
      </c>
      <c r="AA969">
        <f t="shared" ca="1" si="152"/>
        <v>0</v>
      </c>
      <c r="AB969">
        <f t="shared" ca="1" si="153"/>
        <v>1</v>
      </c>
      <c r="AC969" s="24">
        <f t="shared" ca="1" si="154"/>
        <v>0</v>
      </c>
      <c r="AD969" s="24">
        <f t="shared" ca="1" si="155"/>
        <v>-8.509464460734377E-2</v>
      </c>
    </row>
    <row r="970" spans="3:30" x14ac:dyDescent="0.25">
      <c r="C970" s="6">
        <v>963</v>
      </c>
      <c r="D970" s="35">
        <v>43375</v>
      </c>
      <c r="E970" s="37">
        <v>25.434000000000001</v>
      </c>
      <c r="F970" s="37">
        <v>70.815335394624782</v>
      </c>
      <c r="G970" s="37">
        <v>62.72</v>
      </c>
      <c r="H970" s="37">
        <v>2.2991327742783563</v>
      </c>
      <c r="I970" s="37">
        <v>88.316705752776301</v>
      </c>
      <c r="J970" s="10">
        <v>0</v>
      </c>
      <c r="K970" s="38">
        <v>0</v>
      </c>
      <c r="L970" s="38">
        <v>0</v>
      </c>
      <c r="M970" s="38">
        <v>0</v>
      </c>
      <c r="N970" s="38">
        <v>0</v>
      </c>
      <c r="O970" s="38">
        <v>0</v>
      </c>
      <c r="P970" s="38">
        <v>0</v>
      </c>
      <c r="Q970" s="38">
        <v>0</v>
      </c>
      <c r="R970" s="38">
        <v>0</v>
      </c>
      <c r="S970" s="38">
        <v>1</v>
      </c>
      <c r="T970" s="38">
        <v>0</v>
      </c>
      <c r="U970" s="29" cm="1">
        <f t="array" aca="1" ref="U970" ca="1">+fair_value_gap(OFFSET(T969,0,0,-1*$J$5,-1*$AA$1),OFFSET(E969,0,0,-1*$J$5,1),F970:T970,0)</f>
        <v>26.372051647137408</v>
      </c>
      <c r="V970" s="9" cm="1">
        <f t="array" aca="1" ref="V970" ca="1">z_score_diff(OFFSET(U970,0,0,$J$5*-1,1),OFFSET(E970,0,0,$J$5*-1,1))</f>
        <v>0.270462127388023</v>
      </c>
      <c r="W970" s="9">
        <f t="shared" ca="1" si="151"/>
        <v>7.5693405429334504E-2</v>
      </c>
      <c r="X970" s="17">
        <f t="shared" ca="1" si="150"/>
        <v>-0.10233329014718945</v>
      </c>
      <c r="Y970" s="13">
        <f t="shared" si="156"/>
        <v>0</v>
      </c>
      <c r="Z970" s="13">
        <f t="shared" si="156"/>
        <v>0</v>
      </c>
      <c r="AA970">
        <f t="shared" ca="1" si="152"/>
        <v>0</v>
      </c>
      <c r="AB970">
        <f t="shared" ca="1" si="153"/>
        <v>1</v>
      </c>
      <c r="AC970" s="24">
        <f t="shared" ca="1" si="154"/>
        <v>0</v>
      </c>
      <c r="AD970" s="24">
        <f t="shared" ca="1" si="155"/>
        <v>-0.10233329014718945</v>
      </c>
    </row>
    <row r="971" spans="3:30" x14ac:dyDescent="0.25">
      <c r="C971" s="6">
        <v>964</v>
      </c>
      <c r="D971" s="35">
        <v>43376</v>
      </c>
      <c r="E971" s="37">
        <v>25.405999999999999</v>
      </c>
      <c r="F971" s="37">
        <v>72.494486540293309</v>
      </c>
      <c r="G971" s="37">
        <v>62.02</v>
      </c>
      <c r="H971" s="37">
        <v>2.3272377781400979</v>
      </c>
      <c r="I971" s="37">
        <v>89.245106536345929</v>
      </c>
      <c r="J971" s="10">
        <v>0</v>
      </c>
      <c r="K971" s="38">
        <v>0</v>
      </c>
      <c r="L971" s="38">
        <v>0</v>
      </c>
      <c r="M971" s="38">
        <v>0</v>
      </c>
      <c r="N971" s="38">
        <v>0</v>
      </c>
      <c r="O971" s="38">
        <v>0</v>
      </c>
      <c r="P971" s="38">
        <v>0</v>
      </c>
      <c r="Q971" s="38">
        <v>0</v>
      </c>
      <c r="R971" s="38">
        <v>0</v>
      </c>
      <c r="S971" s="38">
        <v>1</v>
      </c>
      <c r="T971" s="38">
        <v>0</v>
      </c>
      <c r="U971" s="29" cm="1">
        <f t="array" aca="1" ref="U971" ca="1">+fair_value_gap(OFFSET(T970,0,0,-1*$J$5,-1*$AA$1),OFFSET(E970,0,0,-1*$J$5,1),F971:T971,0)</f>
        <v>25.860589705906449</v>
      </c>
      <c r="V971" s="9" cm="1">
        <f t="array" aca="1" ref="V971" ca="1">z_score_diff(OFFSET(U971,0,0,$J$5*-1,1),OFFSET(E971,0,0,$J$5*-1,1))</f>
        <v>0.13578011933205669</v>
      </c>
      <c r="W971" s="9">
        <f t="shared" ca="1" si="151"/>
        <v>8.617553008624898E-2</v>
      </c>
      <c r="X971" s="17">
        <f t="shared" ca="1" si="150"/>
        <v>-0.12833803247612274</v>
      </c>
      <c r="Y971" s="13">
        <f t="shared" si="156"/>
        <v>0</v>
      </c>
      <c r="Z971" s="13">
        <f t="shared" si="156"/>
        <v>0</v>
      </c>
      <c r="AA971">
        <f t="shared" ca="1" si="152"/>
        <v>0</v>
      </c>
      <c r="AB971">
        <f t="shared" ca="1" si="153"/>
        <v>1</v>
      </c>
      <c r="AC971" s="24">
        <f t="shared" ca="1" si="154"/>
        <v>0</v>
      </c>
      <c r="AD971" s="24">
        <f t="shared" ca="1" si="155"/>
        <v>-0.12833803247612274</v>
      </c>
    </row>
    <row r="972" spans="3:30" x14ac:dyDescent="0.25">
      <c r="C972" s="6">
        <v>965</v>
      </c>
      <c r="D972" s="35">
        <v>43377</v>
      </c>
      <c r="E972" s="37">
        <v>25.893999999999998</v>
      </c>
      <c r="F972" s="37">
        <v>70.967830197068267</v>
      </c>
      <c r="G972" s="37">
        <v>62.87</v>
      </c>
      <c r="H972" s="37">
        <v>2.3120122030466579</v>
      </c>
      <c r="I972" s="37">
        <v>88.667036041397338</v>
      </c>
      <c r="J972" s="10">
        <v>0</v>
      </c>
      <c r="K972" s="38">
        <v>0</v>
      </c>
      <c r="L972" s="38">
        <v>0</v>
      </c>
      <c r="M972" s="38">
        <v>0</v>
      </c>
      <c r="N972" s="38">
        <v>0</v>
      </c>
      <c r="O972" s="38">
        <v>0</v>
      </c>
      <c r="P972" s="38">
        <v>0</v>
      </c>
      <c r="Q972" s="38">
        <v>0</v>
      </c>
      <c r="R972" s="38">
        <v>0</v>
      </c>
      <c r="S972" s="38">
        <v>1</v>
      </c>
      <c r="T972" s="38">
        <v>0</v>
      </c>
      <c r="U972" s="29" cm="1">
        <f t="array" aca="1" ref="U972" ca="1">+fair_value_gap(OFFSET(T971,0,0,-1*$J$5,-1*$AA$1),OFFSET(E971,0,0,-1*$J$5,1),F972:T972,0)</f>
        <v>25.957525282000375</v>
      </c>
      <c r="V972" s="9" cm="1">
        <f t="array" aca="1" ref="V972" ca="1">z_score_diff(OFFSET(U972,0,0,$J$5*-1,1),OFFSET(E972,0,0,$J$5*-1,1))</f>
        <v>2.8866308871470236E-2</v>
      </c>
      <c r="W972" s="9">
        <f t="shared" ca="1" si="151"/>
        <v>8.8656151256346655E-2</v>
      </c>
      <c r="X972" s="17">
        <f t="shared" ca="1" si="150"/>
        <v>-0.18335708156520517</v>
      </c>
      <c r="Y972" s="13">
        <f t="shared" si="156"/>
        <v>0</v>
      </c>
      <c r="Z972" s="13">
        <f t="shared" si="156"/>
        <v>0</v>
      </c>
      <c r="AA972">
        <f t="shared" ca="1" si="152"/>
        <v>0</v>
      </c>
      <c r="AB972">
        <f t="shared" ca="1" si="153"/>
        <v>1</v>
      </c>
      <c r="AC972" s="24">
        <f t="shared" ca="1" si="154"/>
        <v>0</v>
      </c>
      <c r="AD972" s="24">
        <f t="shared" ca="1" si="155"/>
        <v>-0.18335708156520517</v>
      </c>
    </row>
    <row r="973" spans="3:30" x14ac:dyDescent="0.25">
      <c r="C973" s="6">
        <v>966</v>
      </c>
      <c r="D973" s="35">
        <v>43378</v>
      </c>
      <c r="E973" s="37">
        <v>26.135000000000002</v>
      </c>
      <c r="F973" s="37">
        <v>70.782805715935822</v>
      </c>
      <c r="G973" s="37">
        <v>63.16</v>
      </c>
      <c r="H973" s="37">
        <v>2.3178485444457926</v>
      </c>
      <c r="I973" s="37">
        <v>88.809567340634032</v>
      </c>
      <c r="J973" s="10">
        <v>0</v>
      </c>
      <c r="K973" s="38">
        <v>0</v>
      </c>
      <c r="L973" s="38">
        <v>0</v>
      </c>
      <c r="M973" s="38">
        <v>0</v>
      </c>
      <c r="N973" s="38">
        <v>0</v>
      </c>
      <c r="O973" s="38">
        <v>0</v>
      </c>
      <c r="P973" s="38">
        <v>0</v>
      </c>
      <c r="Q973" s="38">
        <v>0</v>
      </c>
      <c r="R973" s="38">
        <v>0</v>
      </c>
      <c r="S973" s="38">
        <v>1</v>
      </c>
      <c r="T973" s="38">
        <v>0</v>
      </c>
      <c r="U973" s="29" cm="1">
        <f t="array" aca="1" ref="U973" ca="1">+fair_value_gap(OFFSET(T972,0,0,-1*$J$5,-1*$AA$1),OFFSET(E972,0,0,-1*$J$5,1),F973:T973,0)</f>
        <v>26.040820098954661</v>
      </c>
      <c r="V973" s="9" cm="1">
        <f t="array" aca="1" ref="V973" ca="1">z_score_diff(OFFSET(U973,0,0,$J$5*-1,1),OFFSET(E973,0,0,$J$5*-1,1))</f>
        <v>-1.3679822491818427E-2</v>
      </c>
      <c r="W973" s="9">
        <f t="shared" ca="1" si="151"/>
        <v>8.6241463788794534E-2</v>
      </c>
      <c r="X973" s="17">
        <f t="shared" ca="1" si="150"/>
        <v>-0.17246025736420204</v>
      </c>
      <c r="Y973" s="13">
        <f t="shared" si="156"/>
        <v>0</v>
      </c>
      <c r="Z973" s="13">
        <f t="shared" si="156"/>
        <v>0</v>
      </c>
      <c r="AA973">
        <f t="shared" ca="1" si="152"/>
        <v>0</v>
      </c>
      <c r="AB973">
        <f t="shared" ca="1" si="153"/>
        <v>1</v>
      </c>
      <c r="AC973" s="24">
        <f t="shared" ca="1" si="154"/>
        <v>0</v>
      </c>
      <c r="AD973" s="24">
        <f t="shared" ca="1" si="155"/>
        <v>-0.17246025736420204</v>
      </c>
    </row>
    <row r="974" spans="3:30" x14ac:dyDescent="0.25">
      <c r="C974" s="6">
        <v>967</v>
      </c>
      <c r="D974" s="35">
        <v>43381</v>
      </c>
      <c r="E974" s="37">
        <v>25.614999999999998</v>
      </c>
      <c r="F974" s="37">
        <v>70.768273951432803</v>
      </c>
      <c r="G974" s="37">
        <v>63.84</v>
      </c>
      <c r="H974" s="37">
        <v>2.3489481560928307</v>
      </c>
      <c r="I974" s="37">
        <v>87.678644703173305</v>
      </c>
      <c r="J974" s="10">
        <v>0</v>
      </c>
      <c r="K974" s="38">
        <v>0</v>
      </c>
      <c r="L974" s="38">
        <v>0</v>
      </c>
      <c r="M974" s="38">
        <v>0</v>
      </c>
      <c r="N974" s="38">
        <v>0</v>
      </c>
      <c r="O974" s="38">
        <v>0</v>
      </c>
      <c r="P974" s="38">
        <v>0</v>
      </c>
      <c r="Q974" s="38">
        <v>0</v>
      </c>
      <c r="R974" s="38">
        <v>0</v>
      </c>
      <c r="S974" s="38">
        <v>1</v>
      </c>
      <c r="T974" s="38">
        <v>0</v>
      </c>
      <c r="U974" s="29" cm="1">
        <f t="array" aca="1" ref="U974" ca="1">+fair_value_gap(OFFSET(T973,0,0,-1*$J$5,-1*$AA$1),OFFSET(E973,0,0,-1*$J$5,1),F974:T974,0)</f>
        <v>26.30466009302625</v>
      </c>
      <c r="V974" s="9" cm="1">
        <f t="array" aca="1" ref="V974" ca="1">z_score_diff(OFFSET(U974,0,0,$J$5*-1,1),OFFSET(E974,0,0,$J$5*-1,1))</f>
        <v>0.19589200777519244</v>
      </c>
      <c r="W974" s="9">
        <f t="shared" ca="1" si="151"/>
        <v>9.9717970926633065E-2</v>
      </c>
      <c r="X974" s="17">
        <f t="shared" ca="1" si="150"/>
        <v>-0.15783368514748744</v>
      </c>
      <c r="Y974" s="13">
        <f t="shared" si="156"/>
        <v>0</v>
      </c>
      <c r="Z974" s="13">
        <f t="shared" si="156"/>
        <v>0</v>
      </c>
      <c r="AA974">
        <f t="shared" ca="1" si="152"/>
        <v>0</v>
      </c>
      <c r="AB974">
        <f t="shared" ca="1" si="153"/>
        <v>1</v>
      </c>
      <c r="AC974" s="24">
        <f t="shared" ca="1" si="154"/>
        <v>0</v>
      </c>
      <c r="AD974" s="24">
        <f t="shared" ca="1" si="155"/>
        <v>-0.15783368514748744</v>
      </c>
    </row>
    <row r="975" spans="3:30" x14ac:dyDescent="0.25">
      <c r="C975" s="6">
        <v>968</v>
      </c>
      <c r="D975" s="35">
        <v>43382</v>
      </c>
      <c r="E975" s="37">
        <v>25.198</v>
      </c>
      <c r="F975" s="37">
        <v>71.483686869422172</v>
      </c>
      <c r="G975" s="37">
        <v>63.01</v>
      </c>
      <c r="H975" s="37">
        <v>2.352530104592101</v>
      </c>
      <c r="I975" s="37">
        <v>87.524054127889613</v>
      </c>
      <c r="J975" s="10">
        <v>0</v>
      </c>
      <c r="K975" s="38">
        <v>0</v>
      </c>
      <c r="L975" s="38">
        <v>0</v>
      </c>
      <c r="M975" s="38">
        <v>0</v>
      </c>
      <c r="N975" s="38">
        <v>0</v>
      </c>
      <c r="O975" s="38">
        <v>0</v>
      </c>
      <c r="P975" s="38">
        <v>0</v>
      </c>
      <c r="Q975" s="38">
        <v>0</v>
      </c>
      <c r="R975" s="38">
        <v>0</v>
      </c>
      <c r="S975" s="38">
        <v>1</v>
      </c>
      <c r="T975" s="38">
        <v>0</v>
      </c>
      <c r="U975" s="29" cm="1">
        <f t="array" aca="1" ref="U975" ca="1">+fair_value_gap(OFFSET(T974,0,0,-1*$J$5,-1*$AA$1),OFFSET(E974,0,0,-1*$J$5,1),F975:T975,0)</f>
        <v>25.939418299391271</v>
      </c>
      <c r="V975" s="9" cm="1">
        <f t="array" aca="1" ref="V975" ca="1">z_score_diff(OFFSET(U975,0,0,$J$5*-1,1),OFFSET(E975,0,0,$J$5*-1,1))</f>
        <v>0.2067617632800951</v>
      </c>
      <c r="W975" s="9">
        <f t="shared" ca="1" si="151"/>
        <v>0.10497531345069774</v>
      </c>
      <c r="X975" s="17">
        <f t="shared" ca="1" si="150"/>
        <v>-0.14050632603507635</v>
      </c>
      <c r="Y975" s="13">
        <f t="shared" si="156"/>
        <v>0</v>
      </c>
      <c r="Z975" s="13">
        <f t="shared" si="156"/>
        <v>0</v>
      </c>
      <c r="AA975">
        <f t="shared" ca="1" si="152"/>
        <v>0</v>
      </c>
      <c r="AB975">
        <f t="shared" ca="1" si="153"/>
        <v>1</v>
      </c>
      <c r="AC975" s="24">
        <f t="shared" ca="1" si="154"/>
        <v>0</v>
      </c>
      <c r="AD975" s="24">
        <f t="shared" ca="1" si="155"/>
        <v>-0.14050632603507635</v>
      </c>
    </row>
    <row r="976" spans="3:30" x14ac:dyDescent="0.25">
      <c r="C976" s="6">
        <v>969</v>
      </c>
      <c r="D976" s="35">
        <v>43383</v>
      </c>
      <c r="E976" s="37">
        <v>24.54</v>
      </c>
      <c r="F976" s="37">
        <v>69.807223091894627</v>
      </c>
      <c r="G976" s="37">
        <v>60.77</v>
      </c>
      <c r="H976" s="37">
        <v>2.3502505254330073</v>
      </c>
      <c r="I976" s="37">
        <v>85.401545255559853</v>
      </c>
      <c r="J976" s="10">
        <v>0</v>
      </c>
      <c r="K976" s="38">
        <v>0</v>
      </c>
      <c r="L976" s="38">
        <v>0</v>
      </c>
      <c r="M976" s="38">
        <v>0</v>
      </c>
      <c r="N976" s="38">
        <v>0</v>
      </c>
      <c r="O976" s="38">
        <v>0</v>
      </c>
      <c r="P976" s="38">
        <v>0</v>
      </c>
      <c r="Q976" s="38">
        <v>0</v>
      </c>
      <c r="R976" s="38">
        <v>0</v>
      </c>
      <c r="S976" s="38">
        <v>1</v>
      </c>
      <c r="T976" s="38">
        <v>0</v>
      </c>
      <c r="U976" s="29" cm="1">
        <f t="array" aca="1" ref="U976" ca="1">+fair_value_gap(OFFSET(T975,0,0,-1*$J$5,-1*$AA$1),OFFSET(E975,0,0,-1*$J$5,1),F976:T976,0)</f>
        <v>25.007908711932817</v>
      </c>
      <c r="V976" s="9" cm="1">
        <f t="array" aca="1" ref="V976" ca="1">z_score_diff(OFFSET(U976,0,0,$J$5*-1,1),OFFSET(E976,0,0,$J$5*-1,1))</f>
        <v>0.13118617812008404</v>
      </c>
      <c r="W976" s="9">
        <f t="shared" ca="1" si="151"/>
        <v>9.1516113835998114E-2</v>
      </c>
      <c r="X976" s="17">
        <f t="shared" ca="1" si="150"/>
        <v>-9.755801807429236E-2</v>
      </c>
      <c r="Y976" s="13">
        <f t="shared" si="156"/>
        <v>0</v>
      </c>
      <c r="Z976" s="13">
        <f t="shared" si="156"/>
        <v>0</v>
      </c>
      <c r="AA976">
        <f t="shared" ca="1" si="152"/>
        <v>0</v>
      </c>
      <c r="AB976">
        <f t="shared" ca="1" si="153"/>
        <v>1</v>
      </c>
      <c r="AC976" s="24">
        <f t="shared" ca="1" si="154"/>
        <v>0</v>
      </c>
      <c r="AD976" s="24">
        <f t="shared" ca="1" si="155"/>
        <v>-9.755801807429236E-2</v>
      </c>
    </row>
    <row r="977" spans="3:30" x14ac:dyDescent="0.25">
      <c r="C977" s="6">
        <v>970</v>
      </c>
      <c r="D977" s="35">
        <v>43384</v>
      </c>
      <c r="E977" s="37">
        <v>24.047000000000001</v>
      </c>
      <c r="F977" s="37">
        <v>67.155010133961895</v>
      </c>
      <c r="G977" s="37">
        <v>59.12</v>
      </c>
      <c r="H977" s="37">
        <v>2.3392597410426728</v>
      </c>
      <c r="I977" s="37">
        <v>84.060513380480799</v>
      </c>
      <c r="J977" s="10">
        <v>0</v>
      </c>
      <c r="K977" s="38">
        <v>0</v>
      </c>
      <c r="L977" s="38">
        <v>0</v>
      </c>
      <c r="M977" s="38">
        <v>0</v>
      </c>
      <c r="N977" s="38">
        <v>0</v>
      </c>
      <c r="O977" s="38">
        <v>0</v>
      </c>
      <c r="P977" s="38">
        <v>0</v>
      </c>
      <c r="Q977" s="38">
        <v>0</v>
      </c>
      <c r="R977" s="38">
        <v>0</v>
      </c>
      <c r="S977" s="38">
        <v>1</v>
      </c>
      <c r="T977" s="38">
        <v>0</v>
      </c>
      <c r="U977" s="29" cm="1">
        <f t="array" aca="1" ref="U977" ca="1">+fair_value_gap(OFFSET(T976,0,0,-1*$J$5,-1*$AA$1),OFFSET(E976,0,0,-1*$J$5,1),F977:T977,0)</f>
        <v>24.289012202333438</v>
      </c>
      <c r="V977" s="9" cm="1">
        <f t="array" aca="1" ref="V977" ca="1">z_score_diff(OFFSET(U977,0,0,$J$5*-1,1),OFFSET(E977,0,0,$J$5*-1,1))</f>
        <v>6.9557011139907865E-2</v>
      </c>
      <c r="W977" s="9">
        <f t="shared" ca="1" si="151"/>
        <v>8.7572978427327502E-2</v>
      </c>
      <c r="X977" s="17">
        <f t="shared" ca="1" si="150"/>
        <v>-8.8467920246366766E-2</v>
      </c>
      <c r="Y977" s="13">
        <f t="shared" si="156"/>
        <v>0</v>
      </c>
      <c r="Z977" s="13">
        <f t="shared" si="156"/>
        <v>0</v>
      </c>
      <c r="AA977">
        <f t="shared" ca="1" si="152"/>
        <v>0</v>
      </c>
      <c r="AB977">
        <f t="shared" ca="1" si="153"/>
        <v>1</v>
      </c>
      <c r="AC977" s="24">
        <f t="shared" ca="1" si="154"/>
        <v>0</v>
      </c>
      <c r="AD977" s="24">
        <f t="shared" ca="1" si="155"/>
        <v>-8.8467920246366766E-2</v>
      </c>
    </row>
    <row r="978" spans="3:30" x14ac:dyDescent="0.25">
      <c r="C978" s="6">
        <v>971</v>
      </c>
      <c r="D978" s="35">
        <v>43385</v>
      </c>
      <c r="E978" s="37">
        <v>24.715</v>
      </c>
      <c r="F978" s="37">
        <v>67.509305831370597</v>
      </c>
      <c r="G978" s="37">
        <v>60.12</v>
      </c>
      <c r="H978" s="37">
        <v>2.337417145542096</v>
      </c>
      <c r="I978" s="37">
        <v>85.503842778479083</v>
      </c>
      <c r="J978" s="10">
        <v>0</v>
      </c>
      <c r="K978" s="38">
        <v>0</v>
      </c>
      <c r="L978" s="38">
        <v>0</v>
      </c>
      <c r="M978" s="38">
        <v>0</v>
      </c>
      <c r="N978" s="38">
        <v>0</v>
      </c>
      <c r="O978" s="38">
        <v>0</v>
      </c>
      <c r="P978" s="38">
        <v>0</v>
      </c>
      <c r="Q978" s="38">
        <v>0</v>
      </c>
      <c r="R978" s="38">
        <v>0</v>
      </c>
      <c r="S978" s="38">
        <v>1</v>
      </c>
      <c r="T978" s="38">
        <v>0</v>
      </c>
      <c r="U978" s="29" cm="1">
        <f t="array" aca="1" ref="U978" ca="1">+fair_value_gap(OFFSET(T977,0,0,-1*$J$5,-1*$AA$1),OFFSET(E977,0,0,-1*$J$5,1),F978:T978,0)</f>
        <v>24.619975278938668</v>
      </c>
      <c r="V978" s="9" cm="1">
        <f t="array" aca="1" ref="V978" ca="1">z_score_diff(OFFSET(U978,0,0,$J$5*-1,1),OFFSET(E978,0,0,$J$5*-1,1))</f>
        <v>-2.1048936608676128E-2</v>
      </c>
      <c r="W978" s="9">
        <f t="shared" ca="1" si="151"/>
        <v>8.4028840831833734E-2</v>
      </c>
      <c r="X978" s="17">
        <f t="shared" ca="1" si="150"/>
        <v>-0.11582258756141019</v>
      </c>
      <c r="Y978" s="13">
        <f t="shared" si="156"/>
        <v>0</v>
      </c>
      <c r="Z978" s="13">
        <f t="shared" si="156"/>
        <v>0</v>
      </c>
      <c r="AA978">
        <f t="shared" ca="1" si="152"/>
        <v>0</v>
      </c>
      <c r="AB978">
        <f t="shared" ca="1" si="153"/>
        <v>1</v>
      </c>
      <c r="AC978" s="24">
        <f t="shared" ca="1" si="154"/>
        <v>0</v>
      </c>
      <c r="AD978" s="24">
        <f t="shared" ca="1" si="155"/>
        <v>-0.11582258756141019</v>
      </c>
    </row>
    <row r="979" spans="3:30" x14ac:dyDescent="0.25">
      <c r="C979" s="6">
        <v>972</v>
      </c>
      <c r="D979" s="35">
        <v>43388</v>
      </c>
      <c r="E979" s="37">
        <v>24.846</v>
      </c>
      <c r="F979" s="37">
        <v>67.878398487927299</v>
      </c>
      <c r="G979" s="37">
        <v>60.21</v>
      </c>
      <c r="H979" s="37">
        <v>2.3405172084105645</v>
      </c>
      <c r="I979" s="37">
        <v>84.901114422736171</v>
      </c>
      <c r="J979" s="10">
        <v>0</v>
      </c>
      <c r="K979" s="38">
        <v>0</v>
      </c>
      <c r="L979" s="38">
        <v>0</v>
      </c>
      <c r="M979" s="38">
        <v>0</v>
      </c>
      <c r="N979" s="38">
        <v>0</v>
      </c>
      <c r="O979" s="38">
        <v>0</v>
      </c>
      <c r="P979" s="38">
        <v>0</v>
      </c>
      <c r="Q979" s="38">
        <v>0</v>
      </c>
      <c r="R979" s="38">
        <v>0</v>
      </c>
      <c r="S979" s="38">
        <v>1</v>
      </c>
      <c r="T979" s="38">
        <v>0</v>
      </c>
      <c r="U979" s="29" cm="1">
        <f t="array" aca="1" ref="U979" ca="1">+fair_value_gap(OFFSET(T978,0,0,-1*$J$5,-1*$AA$1),OFFSET(E978,0,0,-1*$J$5,1),F979:T979,0)</f>
        <v>24.661076273765918</v>
      </c>
      <c r="V979" s="9" cm="1">
        <f t="array" aca="1" ref="V979" ca="1">z_score_diff(OFFSET(U979,0,0,$J$5*-1,1),OFFSET(E979,0,0,$J$5*-1,1))</f>
        <v>-4.4851110073958367E-2</v>
      </c>
      <c r="W979" s="9">
        <f t="shared" ca="1" si="151"/>
        <v>8.6305259489268732E-2</v>
      </c>
      <c r="X979" s="17">
        <f t="shared" ca="1" si="150"/>
        <v>-7.4770734534318845E-2</v>
      </c>
      <c r="Y979" s="13">
        <f t="shared" si="156"/>
        <v>0</v>
      </c>
      <c r="Z979" s="13">
        <f t="shared" si="156"/>
        <v>0</v>
      </c>
      <c r="AA979">
        <f t="shared" ca="1" si="152"/>
        <v>0</v>
      </c>
      <c r="AB979">
        <f t="shared" ca="1" si="153"/>
        <v>1</v>
      </c>
      <c r="AC979" s="24">
        <f t="shared" ca="1" si="154"/>
        <v>0</v>
      </c>
      <c r="AD979" s="24">
        <f t="shared" ca="1" si="155"/>
        <v>-7.4770734534318845E-2</v>
      </c>
    </row>
    <row r="980" spans="3:30" x14ac:dyDescent="0.25">
      <c r="C980" s="6">
        <v>973</v>
      </c>
      <c r="D980" s="35">
        <v>43389</v>
      </c>
      <c r="E980" s="37">
        <v>24.613</v>
      </c>
      <c r="F980" s="37">
        <v>68.439926748023737</v>
      </c>
      <c r="G980" s="37">
        <v>59.91</v>
      </c>
      <c r="H980" s="37">
        <v>2.34226084709075</v>
      </c>
      <c r="I980" s="37">
        <v>85.231088900489183</v>
      </c>
      <c r="J980" s="10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38">
        <v>0</v>
      </c>
      <c r="Q980" s="38">
        <v>0</v>
      </c>
      <c r="R980" s="38">
        <v>0</v>
      </c>
      <c r="S980" s="38">
        <v>1</v>
      </c>
      <c r="T980" s="38">
        <v>0</v>
      </c>
      <c r="U980" s="29" cm="1">
        <f t="array" aca="1" ref="U980" ca="1">+fair_value_gap(OFFSET(T979,0,0,-1*$J$5,-1*$AA$1),OFFSET(E979,0,0,-1*$J$5,1),F980:T980,0)</f>
        <v>24.596968305724662</v>
      </c>
      <c r="V980" s="9" cm="1">
        <f t="array" aca="1" ref="V980" ca="1">z_score_diff(OFFSET(U980,0,0,$J$5*-1,1),OFFSET(E980,0,0,$J$5*-1,1))</f>
        <v>6.3280008600830051E-4</v>
      </c>
      <c r="W980" s="9">
        <f t="shared" ca="1" si="151"/>
        <v>8.3924104887634993E-2</v>
      </c>
      <c r="X980" s="17">
        <f t="shared" ca="1" si="150"/>
        <v>-6.8128429302880392E-2</v>
      </c>
      <c r="Y980" s="13">
        <f t="shared" si="156"/>
        <v>0</v>
      </c>
      <c r="Z980" s="13">
        <f t="shared" si="156"/>
        <v>0</v>
      </c>
      <c r="AA980">
        <f t="shared" ca="1" si="152"/>
        <v>0</v>
      </c>
      <c r="AB980">
        <f t="shared" ca="1" si="153"/>
        <v>1</v>
      </c>
      <c r="AC980" s="24">
        <f t="shared" ca="1" si="154"/>
        <v>0</v>
      </c>
      <c r="AD980" s="24">
        <f t="shared" ca="1" si="155"/>
        <v>-6.8128429302880392E-2</v>
      </c>
    </row>
    <row r="981" spans="3:30" x14ac:dyDescent="0.25">
      <c r="C981" s="6">
        <v>974</v>
      </c>
      <c r="D981" s="35">
        <v>43390</v>
      </c>
      <c r="E981" s="37">
        <v>24.300999999999998</v>
      </c>
      <c r="F981" s="37">
        <v>67.675251183739462</v>
      </c>
      <c r="G981" s="37">
        <v>59.13</v>
      </c>
      <c r="H981" s="37">
        <v>2.3636293644377719</v>
      </c>
      <c r="I981" s="37">
        <v>85.374669044838811</v>
      </c>
      <c r="J981" s="10">
        <v>0</v>
      </c>
      <c r="K981" s="38">
        <v>0</v>
      </c>
      <c r="L981" s="38">
        <v>0</v>
      </c>
      <c r="M981" s="38">
        <v>0</v>
      </c>
      <c r="N981" s="38">
        <v>0</v>
      </c>
      <c r="O981" s="38">
        <v>0</v>
      </c>
      <c r="P981" s="38">
        <v>0</v>
      </c>
      <c r="Q981" s="38">
        <v>0</v>
      </c>
      <c r="R981" s="38">
        <v>0</v>
      </c>
      <c r="S981" s="38">
        <v>1</v>
      </c>
      <c r="T981" s="38">
        <v>0</v>
      </c>
      <c r="U981" s="29" cm="1">
        <f t="array" aca="1" ref="U981" ca="1">+fair_value_gap(OFFSET(T980,0,0,-1*$J$5,-1*$AA$1),OFFSET(E980,0,0,-1*$J$5,1),F981:T981,0)</f>
        <v>24.318418278025831</v>
      </c>
      <c r="V981" s="9" cm="1">
        <f t="array" aca="1" ref="V981" ca="1">z_score_diff(OFFSET(U981,0,0,$J$5*-1,1),OFFSET(E981,0,0,$J$5*-1,1))</f>
        <v>9.6320042854006749E-3</v>
      </c>
      <c r="W981" s="9">
        <f t="shared" ca="1" si="151"/>
        <v>8.9484413110084773E-2</v>
      </c>
      <c r="X981" s="17">
        <f t="shared" ca="1" si="150"/>
        <v>-7.3010171283234185E-2</v>
      </c>
      <c r="Y981" s="13">
        <f t="shared" si="156"/>
        <v>0</v>
      </c>
      <c r="Z981" s="13">
        <f t="shared" si="156"/>
        <v>0</v>
      </c>
      <c r="AA981">
        <f t="shared" ca="1" si="152"/>
        <v>0</v>
      </c>
      <c r="AB981">
        <f t="shared" ca="1" si="153"/>
        <v>1</v>
      </c>
      <c r="AC981" s="24">
        <f t="shared" ca="1" si="154"/>
        <v>0</v>
      </c>
      <c r="AD981" s="24">
        <f t="shared" ca="1" si="155"/>
        <v>-7.3010171283234185E-2</v>
      </c>
    </row>
    <row r="982" spans="3:30" x14ac:dyDescent="0.25">
      <c r="C982" s="6">
        <v>975</v>
      </c>
      <c r="D982" s="35">
        <v>43391</v>
      </c>
      <c r="E982" s="37">
        <v>24.227</v>
      </c>
      <c r="F982" s="37">
        <v>67.146262374642987</v>
      </c>
      <c r="G982" s="37">
        <v>59.2</v>
      </c>
      <c r="H982" s="37">
        <v>2.3467262224321948</v>
      </c>
      <c r="I982" s="37">
        <v>87.143255953787019</v>
      </c>
      <c r="J982" s="10">
        <v>0</v>
      </c>
      <c r="K982" s="38">
        <v>0</v>
      </c>
      <c r="L982" s="38">
        <v>0</v>
      </c>
      <c r="M982" s="38">
        <v>0</v>
      </c>
      <c r="N982" s="38">
        <v>0</v>
      </c>
      <c r="O982" s="38">
        <v>0</v>
      </c>
      <c r="P982" s="38">
        <v>0</v>
      </c>
      <c r="Q982" s="38">
        <v>0</v>
      </c>
      <c r="R982" s="38">
        <v>0</v>
      </c>
      <c r="S982" s="38">
        <v>1</v>
      </c>
      <c r="T982" s="38">
        <v>0</v>
      </c>
      <c r="U982" s="29" cm="1">
        <f t="array" aca="1" ref="U982" ca="1">+fair_value_gap(OFFSET(T981,0,0,-1*$J$5,-1*$AA$1),OFFSET(E981,0,0,-1*$J$5,1),F982:T982,0)</f>
        <v>24.318767769016727</v>
      </c>
      <c r="V982" s="9" cm="1">
        <f t="array" aca="1" ref="V982" ca="1">z_score_diff(OFFSET(U982,0,0,$J$5*-1,1),OFFSET(E982,0,0,$J$5*-1,1))</f>
        <v>2.9504539611202807E-2</v>
      </c>
      <c r="W982" s="9">
        <f t="shared" ca="1" si="151"/>
        <v>8.7214797242777711E-2</v>
      </c>
      <c r="X982" s="17">
        <f t="shared" ca="1" si="150"/>
        <v>-6.3474160210518799E-2</v>
      </c>
      <c r="Y982" s="13">
        <f t="shared" si="156"/>
        <v>0</v>
      </c>
      <c r="Z982" s="13">
        <f t="shared" si="156"/>
        <v>0</v>
      </c>
      <c r="AA982">
        <f t="shared" ca="1" si="152"/>
        <v>0</v>
      </c>
      <c r="AB982">
        <f t="shared" ca="1" si="153"/>
        <v>1</v>
      </c>
      <c r="AC982" s="24">
        <f t="shared" ca="1" si="154"/>
        <v>0</v>
      </c>
      <c r="AD982" s="24">
        <f t="shared" ca="1" si="155"/>
        <v>-6.3474160210518799E-2</v>
      </c>
    </row>
    <row r="983" spans="3:30" x14ac:dyDescent="0.25">
      <c r="C983" s="6">
        <v>976</v>
      </c>
      <c r="D983" s="35">
        <v>43392</v>
      </c>
      <c r="E983" s="37">
        <v>24.91</v>
      </c>
      <c r="F983" s="37">
        <v>67.225468941867533</v>
      </c>
      <c r="G983" s="37">
        <v>60.8</v>
      </c>
      <c r="H983" s="37">
        <v>2.3490887774398606</v>
      </c>
      <c r="I983" s="37">
        <v>87.887879505161749</v>
      </c>
      <c r="J983" s="10">
        <v>0</v>
      </c>
      <c r="K983" s="38">
        <v>0</v>
      </c>
      <c r="L983" s="38">
        <v>0</v>
      </c>
      <c r="M983" s="38">
        <v>0</v>
      </c>
      <c r="N983" s="38">
        <v>0</v>
      </c>
      <c r="O983" s="38">
        <v>0</v>
      </c>
      <c r="P983" s="38">
        <v>0</v>
      </c>
      <c r="Q983" s="38">
        <v>0</v>
      </c>
      <c r="R983" s="38">
        <v>0</v>
      </c>
      <c r="S983" s="38">
        <v>1</v>
      </c>
      <c r="T983" s="38">
        <v>0</v>
      </c>
      <c r="U983" s="29" cm="1">
        <f t="array" aca="1" ref="U983" ca="1">+fair_value_gap(OFFSET(T982,0,0,-1*$J$5,-1*$AA$1),OFFSET(E982,0,0,-1*$J$5,1),F983:T983,0)</f>
        <v>24.856828376245371</v>
      </c>
      <c r="V983" s="9" cm="1">
        <f t="array" aca="1" ref="V983" ca="1">z_score_diff(OFFSET(U983,0,0,$J$5*-1,1),OFFSET(E983,0,0,$J$5*-1,1))</f>
        <v>-9.6282490185410907E-3</v>
      </c>
      <c r="W983" s="9">
        <f t="shared" ca="1" si="151"/>
        <v>8.7738619422239511E-2</v>
      </c>
      <c r="X983" s="17">
        <f t="shared" ca="1" si="150"/>
        <v>-0.10781680610969016</v>
      </c>
      <c r="Y983" s="13">
        <f t="shared" si="156"/>
        <v>0</v>
      </c>
      <c r="Z983" s="13">
        <f t="shared" si="156"/>
        <v>0</v>
      </c>
      <c r="AA983">
        <f t="shared" ca="1" si="152"/>
        <v>0</v>
      </c>
      <c r="AB983">
        <f t="shared" ca="1" si="153"/>
        <v>1</v>
      </c>
      <c r="AC983" s="24">
        <f t="shared" ca="1" si="154"/>
        <v>0</v>
      </c>
      <c r="AD983" s="24">
        <f t="shared" ca="1" si="155"/>
        <v>-0.10781680610969016</v>
      </c>
    </row>
    <row r="984" spans="3:30" x14ac:dyDescent="0.25">
      <c r="C984" s="6">
        <v>977</v>
      </c>
      <c r="D984" s="35">
        <v>43395</v>
      </c>
      <c r="E984" s="37">
        <v>24.425999999999998</v>
      </c>
      <c r="F984" s="37">
        <v>67.784305346026912</v>
      </c>
      <c r="G984" s="37">
        <v>60.07</v>
      </c>
      <c r="H984" s="37">
        <v>2.3307022828181934</v>
      </c>
      <c r="I984" s="37">
        <v>87.873311399331001</v>
      </c>
      <c r="J984" s="10">
        <v>0</v>
      </c>
      <c r="K984" s="38">
        <v>0</v>
      </c>
      <c r="L984" s="38">
        <v>0</v>
      </c>
      <c r="M984" s="38">
        <v>0</v>
      </c>
      <c r="N984" s="38">
        <v>0</v>
      </c>
      <c r="O984" s="38">
        <v>0</v>
      </c>
      <c r="P984" s="38">
        <v>0</v>
      </c>
      <c r="Q984" s="38">
        <v>0</v>
      </c>
      <c r="R984" s="38">
        <v>0</v>
      </c>
      <c r="S984" s="38">
        <v>1</v>
      </c>
      <c r="T984" s="38">
        <v>0</v>
      </c>
      <c r="U984" s="29" cm="1">
        <f t="array" aca="1" ref="U984" ca="1">+fair_value_gap(OFFSET(T983,0,0,-1*$J$5,-1*$AA$1),OFFSET(E983,0,0,-1*$J$5,1),F984:T984,0)</f>
        <v>24.619606590510308</v>
      </c>
      <c r="V984" s="9" cm="1">
        <f t="array" aca="1" ref="V984" ca="1">z_score_diff(OFFSET(U984,0,0,$J$5*-1,1),OFFSET(E984,0,0,$J$5*-1,1))</f>
        <v>5.648848011341745E-2</v>
      </c>
      <c r="W984" s="9">
        <f t="shared" ca="1" si="151"/>
        <v>8.5627581259510976E-2</v>
      </c>
      <c r="X984" s="17">
        <f t="shared" ca="1" si="150"/>
        <v>-0.11736860422734023</v>
      </c>
      <c r="Y984" s="13">
        <f t="shared" si="156"/>
        <v>0</v>
      </c>
      <c r="Z984" s="13">
        <f t="shared" si="156"/>
        <v>0</v>
      </c>
      <c r="AA984">
        <f t="shared" ca="1" si="152"/>
        <v>0</v>
      </c>
      <c r="AB984">
        <f t="shared" ca="1" si="153"/>
        <v>1</v>
      </c>
      <c r="AC984" s="24">
        <f t="shared" ca="1" si="154"/>
        <v>0</v>
      </c>
      <c r="AD984" s="24">
        <f t="shared" ca="1" si="155"/>
        <v>-0.11736860422734023</v>
      </c>
    </row>
    <row r="985" spans="3:30" x14ac:dyDescent="0.25">
      <c r="C985" s="6">
        <v>978</v>
      </c>
      <c r="D985" s="35">
        <v>43396</v>
      </c>
      <c r="E985" s="37">
        <v>24.334</v>
      </c>
      <c r="F985" s="37">
        <v>65.144316748050613</v>
      </c>
      <c r="G985" s="37">
        <v>58.9</v>
      </c>
      <c r="H985" s="37">
        <v>2.3458815840147254</v>
      </c>
      <c r="I985" s="37">
        <v>87.402315689616287</v>
      </c>
      <c r="J985" s="10">
        <v>0</v>
      </c>
      <c r="K985" s="38">
        <v>0</v>
      </c>
      <c r="L985" s="38">
        <v>0</v>
      </c>
      <c r="M985" s="38">
        <v>0</v>
      </c>
      <c r="N985" s="38">
        <v>0</v>
      </c>
      <c r="O985" s="38">
        <v>0</v>
      </c>
      <c r="P985" s="38">
        <v>0</v>
      </c>
      <c r="Q985" s="38">
        <v>0</v>
      </c>
      <c r="R985" s="38">
        <v>0</v>
      </c>
      <c r="S985" s="38">
        <v>1</v>
      </c>
      <c r="T985" s="38">
        <v>0</v>
      </c>
      <c r="U985" s="29" cm="1">
        <f t="array" aca="1" ref="U985" ca="1">+fair_value_gap(OFFSET(T984,0,0,-1*$J$5,-1*$AA$1),OFFSET(E984,0,0,-1*$J$5,1),F985:T985,0)</f>
        <v>24.068739712948176</v>
      </c>
      <c r="V985" s="9" cm="1">
        <f t="array" aca="1" ref="V985" ca="1">z_score_diff(OFFSET(U985,0,0,$J$5*-1,1),OFFSET(E985,0,0,$J$5*-1,1))</f>
        <v>-6.6156123760094276E-2</v>
      </c>
      <c r="W985" s="9">
        <f t="shared" ca="1" si="151"/>
        <v>8.2961315140986314E-2</v>
      </c>
      <c r="X985" s="17">
        <f t="shared" ca="1" si="150"/>
        <v>-0.11447012716724128</v>
      </c>
      <c r="Y985" s="13">
        <f t="shared" ref="Y985:Z1000" si="157">+Y984</f>
        <v>0</v>
      </c>
      <c r="Z985" s="13">
        <f t="shared" si="157"/>
        <v>0</v>
      </c>
      <c r="AA985">
        <f t="shared" ca="1" si="152"/>
        <v>0</v>
      </c>
      <c r="AB985">
        <f t="shared" ca="1" si="153"/>
        <v>1</v>
      </c>
      <c r="AC985" s="24">
        <f t="shared" ca="1" si="154"/>
        <v>0</v>
      </c>
      <c r="AD985" s="24">
        <f t="shared" ca="1" si="155"/>
        <v>-0.11447012716724128</v>
      </c>
    </row>
    <row r="986" spans="3:30" x14ac:dyDescent="0.25">
      <c r="C986" s="6">
        <v>979</v>
      </c>
      <c r="D986" s="35">
        <v>43397</v>
      </c>
      <c r="E986" s="37">
        <v>24.055</v>
      </c>
      <c r="F986" s="37">
        <v>65.739714247231063</v>
      </c>
      <c r="G986" s="37">
        <v>59.32</v>
      </c>
      <c r="H986" s="37">
        <v>2.3311955406819527</v>
      </c>
      <c r="I986" s="37">
        <v>88.283238531381343</v>
      </c>
      <c r="J986" s="10">
        <v>0</v>
      </c>
      <c r="K986" s="38">
        <v>0</v>
      </c>
      <c r="L986" s="38">
        <v>0</v>
      </c>
      <c r="M986" s="38">
        <v>0</v>
      </c>
      <c r="N986" s="38">
        <v>0</v>
      </c>
      <c r="O986" s="38">
        <v>0</v>
      </c>
      <c r="P986" s="38">
        <v>0</v>
      </c>
      <c r="Q986" s="38">
        <v>0</v>
      </c>
      <c r="R986" s="38">
        <v>0</v>
      </c>
      <c r="S986" s="38">
        <v>1</v>
      </c>
      <c r="T986" s="38">
        <v>0</v>
      </c>
      <c r="U986" s="29" cm="1">
        <f t="array" aca="1" ref="U986" ca="1">+fair_value_gap(OFFSET(T985,0,0,-1*$J$5,-1*$AA$1),OFFSET(E985,0,0,-1*$J$5,1),F986:T986,0)</f>
        <v>24.212475083184046</v>
      </c>
      <c r="V986" s="9" cm="1">
        <f t="array" aca="1" ref="V986" ca="1">z_score_diff(OFFSET(U986,0,0,$J$5*-1,1),OFFSET(E986,0,0,$J$5*-1,1))</f>
        <v>4.7345831879377243E-2</v>
      </c>
      <c r="W986" s="9">
        <f t="shared" ca="1" si="151"/>
        <v>8.2850300349493367E-2</v>
      </c>
      <c r="X986" s="17">
        <f t="shared" ca="1" si="150"/>
        <v>-0.10945674799700175</v>
      </c>
      <c r="Y986" s="13">
        <f t="shared" si="157"/>
        <v>0</v>
      </c>
      <c r="Z986" s="13">
        <f t="shared" si="157"/>
        <v>0</v>
      </c>
      <c r="AA986">
        <f t="shared" ca="1" si="152"/>
        <v>0</v>
      </c>
      <c r="AB986">
        <f t="shared" ca="1" si="153"/>
        <v>1</v>
      </c>
      <c r="AC986" s="24">
        <f t="shared" ca="1" si="154"/>
        <v>0</v>
      </c>
      <c r="AD986" s="24">
        <f t="shared" ca="1" si="155"/>
        <v>-0.10945674799700175</v>
      </c>
    </row>
    <row r="987" spans="3:30" x14ac:dyDescent="0.25">
      <c r="C987" s="6">
        <v>980</v>
      </c>
      <c r="D987" s="35">
        <v>43398</v>
      </c>
      <c r="E987" s="37">
        <v>23.891999999999999</v>
      </c>
      <c r="F987" s="37">
        <v>66.31455805292704</v>
      </c>
      <c r="G987" s="37">
        <v>58.34</v>
      </c>
      <c r="H987" s="37">
        <v>2.3275856101562336</v>
      </c>
      <c r="I987" s="37">
        <v>87.738728947896689</v>
      </c>
      <c r="J987" s="10">
        <v>0</v>
      </c>
      <c r="K987" s="38">
        <v>0</v>
      </c>
      <c r="L987" s="38">
        <v>0</v>
      </c>
      <c r="M987" s="38">
        <v>0</v>
      </c>
      <c r="N987" s="38">
        <v>0</v>
      </c>
      <c r="O987" s="38">
        <v>0</v>
      </c>
      <c r="P987" s="38">
        <v>0</v>
      </c>
      <c r="Q987" s="38">
        <v>0</v>
      </c>
      <c r="R987" s="38">
        <v>0</v>
      </c>
      <c r="S987" s="38">
        <v>1</v>
      </c>
      <c r="T987" s="38">
        <v>0</v>
      </c>
      <c r="U987" s="29" cm="1">
        <f t="array" aca="1" ref="U987" ca="1">+fair_value_gap(OFFSET(T986,0,0,-1*$J$5,-1*$AA$1),OFFSET(E986,0,0,-1*$J$5,1),F987:T987,0)</f>
        <v>23.890770770465114</v>
      </c>
      <c r="V987" s="9" cm="1">
        <f t="array" aca="1" ref="V987" ca="1">z_score_diff(OFFSET(U987,0,0,$J$5*-1,1),OFFSET(E987,0,0,$J$5*-1,1))</f>
        <v>4.930805051051923E-3</v>
      </c>
      <c r="W987" s="9">
        <f t="shared" ca="1" si="151"/>
        <v>7.8172450597851634E-2</v>
      </c>
      <c r="X987" s="17">
        <f t="shared" ca="1" si="150"/>
        <v>-9.9000220891778776E-2</v>
      </c>
      <c r="Y987" s="13">
        <f t="shared" si="157"/>
        <v>0</v>
      </c>
      <c r="Z987" s="13">
        <f t="shared" si="157"/>
        <v>0</v>
      </c>
      <c r="AA987">
        <f t="shared" ca="1" si="152"/>
        <v>0</v>
      </c>
      <c r="AB987">
        <f t="shared" ca="1" si="153"/>
        <v>1</v>
      </c>
      <c r="AC987" s="24">
        <f t="shared" ca="1" si="154"/>
        <v>0</v>
      </c>
      <c r="AD987" s="24">
        <f t="shared" ca="1" si="155"/>
        <v>-9.9000220891778776E-2</v>
      </c>
    </row>
    <row r="988" spans="3:30" x14ac:dyDescent="0.25">
      <c r="C988" s="6">
        <v>981</v>
      </c>
      <c r="D988" s="35">
        <v>43399</v>
      </c>
      <c r="E988" s="37">
        <v>23.251000000000001</v>
      </c>
      <c r="F988" s="37">
        <v>66.688700631764988</v>
      </c>
      <c r="G988" s="37">
        <v>57.6</v>
      </c>
      <c r="H988" s="37">
        <v>2.3092515901993154</v>
      </c>
      <c r="I988" s="37">
        <v>86.338049925052871</v>
      </c>
      <c r="J988" s="10">
        <v>0</v>
      </c>
      <c r="K988" s="38">
        <v>0</v>
      </c>
      <c r="L988" s="38">
        <v>0</v>
      </c>
      <c r="M988" s="38">
        <v>0</v>
      </c>
      <c r="N988" s="38">
        <v>0</v>
      </c>
      <c r="O988" s="38">
        <v>0</v>
      </c>
      <c r="P988" s="38">
        <v>0</v>
      </c>
      <c r="Q988" s="38">
        <v>0</v>
      </c>
      <c r="R988" s="38">
        <v>0</v>
      </c>
      <c r="S988" s="38">
        <v>1</v>
      </c>
      <c r="T988" s="38">
        <v>0</v>
      </c>
      <c r="U988" s="29" cm="1">
        <f t="array" aca="1" ref="U988" ca="1">+fair_value_gap(OFFSET(T987,0,0,-1*$J$5,-1*$AA$1),OFFSET(E987,0,0,-1*$J$5,1),F988:T988,0)</f>
        <v>23.638090728528919</v>
      </c>
      <c r="V988" s="9" cm="1">
        <f t="array" aca="1" ref="V988" ca="1">z_score_diff(OFFSET(U988,0,0,$J$5*-1,1),OFFSET(E988,0,0,$J$5*-1,1))</f>
        <v>0.1097016258940896</v>
      </c>
      <c r="W988" s="9">
        <f t="shared" ca="1" si="151"/>
        <v>6.2687880369736965E-2</v>
      </c>
      <c r="X988" s="17">
        <f t="shared" ca="1" si="150"/>
        <v>-9.1262642607613589E-2</v>
      </c>
      <c r="Y988" s="13">
        <f t="shared" si="157"/>
        <v>0</v>
      </c>
      <c r="Z988" s="13">
        <f t="shared" si="157"/>
        <v>0</v>
      </c>
      <c r="AA988">
        <f t="shared" ca="1" si="152"/>
        <v>0</v>
      </c>
      <c r="AB988">
        <f t="shared" ca="1" si="153"/>
        <v>1</v>
      </c>
      <c r="AC988" s="24">
        <f t="shared" ca="1" si="154"/>
        <v>0</v>
      </c>
      <c r="AD988" s="24">
        <f t="shared" ca="1" si="155"/>
        <v>-9.1262642607613589E-2</v>
      </c>
    </row>
    <row r="989" spans="3:30" x14ac:dyDescent="0.25">
      <c r="C989" s="6">
        <v>982</v>
      </c>
      <c r="D989" s="35">
        <v>43402</v>
      </c>
      <c r="E989" s="37">
        <v>23.587</v>
      </c>
      <c r="F989" s="37">
        <v>66.717189019347302</v>
      </c>
      <c r="G989" s="37">
        <v>56.83</v>
      </c>
      <c r="H989" s="37">
        <v>2.3150310920095096</v>
      </c>
      <c r="I989" s="37">
        <v>86.640644194601037</v>
      </c>
      <c r="J989" s="10">
        <v>0</v>
      </c>
      <c r="K989" s="38">
        <v>0</v>
      </c>
      <c r="L989" s="38">
        <v>0</v>
      </c>
      <c r="M989" s="38">
        <v>0</v>
      </c>
      <c r="N989" s="38">
        <v>0</v>
      </c>
      <c r="O989" s="38">
        <v>0</v>
      </c>
      <c r="P989" s="38">
        <v>0</v>
      </c>
      <c r="Q989" s="38">
        <v>0</v>
      </c>
      <c r="R989" s="38">
        <v>0</v>
      </c>
      <c r="S989" s="38">
        <v>1</v>
      </c>
      <c r="T989" s="38">
        <v>0</v>
      </c>
      <c r="U989" s="29" cm="1">
        <f t="array" aca="1" ref="U989" ca="1">+fair_value_gap(OFFSET(T988,0,0,-1*$J$5,-1*$AA$1),OFFSET(E988,0,0,-1*$J$5,1),F989:T989,0)</f>
        <v>23.351644294713722</v>
      </c>
      <c r="V989" s="9" cm="1">
        <f t="array" aca="1" ref="V989" ca="1">z_score_diff(OFFSET(U989,0,0,$J$5*-1,1),OFFSET(E989,0,0,$J$5*-1,1))</f>
        <v>-5.7827839151278315E-2</v>
      </c>
      <c r="W989" s="9">
        <f t="shared" ca="1" si="151"/>
        <v>5.4177476086150554E-2</v>
      </c>
      <c r="X989" s="17">
        <f t="shared" ca="1" si="150"/>
        <v>-9.8239807204839186E-2</v>
      </c>
      <c r="Y989" s="13">
        <f t="shared" si="157"/>
        <v>0</v>
      </c>
      <c r="Z989" s="13">
        <f t="shared" si="157"/>
        <v>0</v>
      </c>
      <c r="AA989">
        <f t="shared" ca="1" si="152"/>
        <v>0</v>
      </c>
      <c r="AB989">
        <f t="shared" ca="1" si="153"/>
        <v>1</v>
      </c>
      <c r="AC989" s="24">
        <f t="shared" ca="1" si="154"/>
        <v>0</v>
      </c>
      <c r="AD989" s="24">
        <f t="shared" ca="1" si="155"/>
        <v>-9.8239807204839186E-2</v>
      </c>
    </row>
    <row r="990" spans="3:30" x14ac:dyDescent="0.25">
      <c r="C990" s="6">
        <v>983</v>
      </c>
      <c r="D990" s="35">
        <v>43403</v>
      </c>
      <c r="E990" s="37">
        <v>22.96</v>
      </c>
      <c r="F990" s="37">
        <v>65.745244334796766</v>
      </c>
      <c r="G990" s="37">
        <v>55.53</v>
      </c>
      <c r="H990" s="37">
        <v>2.2840378458044577</v>
      </c>
      <c r="I990" s="37">
        <v>85.835755731998134</v>
      </c>
      <c r="J990" s="10">
        <v>0</v>
      </c>
      <c r="K990" s="38">
        <v>0</v>
      </c>
      <c r="L990" s="38">
        <v>0</v>
      </c>
      <c r="M990" s="38">
        <v>0</v>
      </c>
      <c r="N990" s="38">
        <v>0</v>
      </c>
      <c r="O990" s="38">
        <v>0</v>
      </c>
      <c r="P990" s="38">
        <v>0</v>
      </c>
      <c r="Q990" s="38">
        <v>0</v>
      </c>
      <c r="R990" s="38">
        <v>0</v>
      </c>
      <c r="S990" s="38">
        <v>1</v>
      </c>
      <c r="T990" s="38">
        <v>0</v>
      </c>
      <c r="U990" s="29" cm="1">
        <f t="array" aca="1" ref="U990" ca="1">+fair_value_gap(OFFSET(T989,0,0,-1*$J$5,-1*$AA$1),OFFSET(E989,0,0,-1*$J$5,1),F990:T990,0)</f>
        <v>22.858055562270323</v>
      </c>
      <c r="V990" s="9" cm="1">
        <f t="array" aca="1" ref="V990" ca="1">z_score_diff(OFFSET(U990,0,0,$J$5*-1,1),OFFSET(E990,0,0,$J$5*-1,1))</f>
        <v>-2.0896019719385706E-2</v>
      </c>
      <c r="W990" s="9">
        <f t="shared" ca="1" si="151"/>
        <v>3.9609568730780101E-2</v>
      </c>
      <c r="X990" s="17">
        <f t="shared" ca="1" si="150"/>
        <v>-4.5350963056066514E-2</v>
      </c>
      <c r="Y990" s="13">
        <f t="shared" si="157"/>
        <v>0</v>
      </c>
      <c r="Z990" s="13">
        <f t="shared" si="157"/>
        <v>0</v>
      </c>
      <c r="AA990">
        <f t="shared" ca="1" si="152"/>
        <v>0</v>
      </c>
      <c r="AB990">
        <f t="shared" ca="1" si="153"/>
        <v>1</v>
      </c>
      <c r="AC990" s="24">
        <f t="shared" ca="1" si="154"/>
        <v>0</v>
      </c>
      <c r="AD990" s="24">
        <f t="shared" ca="1" si="155"/>
        <v>-4.5350963056066514E-2</v>
      </c>
    </row>
    <row r="991" spans="3:30" x14ac:dyDescent="0.25">
      <c r="C991" s="6">
        <v>984</v>
      </c>
      <c r="D991" s="35">
        <v>43404</v>
      </c>
      <c r="E991" s="37">
        <v>22.346</v>
      </c>
      <c r="F991" s="37">
        <v>65.260131841987871</v>
      </c>
      <c r="G991" s="37">
        <v>54.41</v>
      </c>
      <c r="H991" s="37">
        <v>2.3086695541702573</v>
      </c>
      <c r="I991" s="37">
        <v>84.999039141296663</v>
      </c>
      <c r="J991" s="10">
        <v>0</v>
      </c>
      <c r="K991" s="38">
        <v>0</v>
      </c>
      <c r="L991" s="38">
        <v>0</v>
      </c>
      <c r="M991" s="38">
        <v>0</v>
      </c>
      <c r="N991" s="38">
        <v>0</v>
      </c>
      <c r="O991" s="38">
        <v>0</v>
      </c>
      <c r="P991" s="38">
        <v>0</v>
      </c>
      <c r="Q991" s="38">
        <v>0</v>
      </c>
      <c r="R991" s="38">
        <v>0</v>
      </c>
      <c r="S991" s="38">
        <v>1</v>
      </c>
      <c r="T991" s="38">
        <v>0</v>
      </c>
      <c r="U991" s="29" cm="1">
        <f t="array" aca="1" ref="U991" ca="1">+fair_value_gap(OFFSET(T990,0,0,-1*$J$5,-1*$AA$1),OFFSET(E990,0,0,-1*$J$5,1),F991:T991,0)</f>
        <v>22.443384971188721</v>
      </c>
      <c r="V991" s="9" cm="1">
        <f t="array" aca="1" ref="V991" ca="1">z_score_diff(OFFSET(U991,0,0,$J$5*-1,1),OFFSET(E991,0,0,$J$5*-1,1))</f>
        <v>3.3648217801261981E-2</v>
      </c>
      <c r="W991" s="9">
        <f t="shared" ca="1" si="151"/>
        <v>3.4502973654240363E-2</v>
      </c>
      <c r="X991" s="17">
        <f t="shared" ca="1" si="150"/>
        <v>-4.0596401662202145E-2</v>
      </c>
      <c r="Y991" s="13">
        <f t="shared" si="157"/>
        <v>0</v>
      </c>
      <c r="Z991" s="13">
        <f t="shared" si="157"/>
        <v>0</v>
      </c>
      <c r="AA991">
        <f t="shared" ca="1" si="152"/>
        <v>0</v>
      </c>
      <c r="AB991">
        <f t="shared" ca="1" si="153"/>
        <v>1</v>
      </c>
      <c r="AC991" s="24">
        <f t="shared" ca="1" si="154"/>
        <v>0</v>
      </c>
      <c r="AD991" s="24">
        <f t="shared" ca="1" si="155"/>
        <v>-4.0596401662202145E-2</v>
      </c>
    </row>
    <row r="992" spans="3:30" x14ac:dyDescent="0.25">
      <c r="C992" s="6">
        <v>985</v>
      </c>
      <c r="D992" s="35">
        <v>43405</v>
      </c>
      <c r="E992" s="37">
        <v>21.556000000000001</v>
      </c>
      <c r="F992" s="37">
        <v>62.944899918816951</v>
      </c>
      <c r="G992" s="37">
        <v>53.3</v>
      </c>
      <c r="H992" s="37">
        <v>2.2801997051183278</v>
      </c>
      <c r="I992" s="37">
        <v>82.30459775568994</v>
      </c>
      <c r="J992" s="10">
        <v>0</v>
      </c>
      <c r="K992" s="38">
        <v>0</v>
      </c>
      <c r="L992" s="38">
        <v>0</v>
      </c>
      <c r="M992" s="38">
        <v>0</v>
      </c>
      <c r="N992" s="38">
        <v>0</v>
      </c>
      <c r="O992" s="38">
        <v>0</v>
      </c>
      <c r="P992" s="38">
        <v>0</v>
      </c>
      <c r="Q992" s="38">
        <v>0</v>
      </c>
      <c r="R992" s="38">
        <v>0</v>
      </c>
      <c r="S992" s="38">
        <v>0</v>
      </c>
      <c r="T992" s="38">
        <v>1</v>
      </c>
      <c r="U992" s="29" cm="1">
        <f t="array" aca="1" ref="U992" ca="1">+fair_value_gap(OFFSET(T991,0,0,-1*$J$5,-1*$AA$1),OFFSET(E991,0,0,-1*$J$5,1),F992:T992,0)</f>
        <v>23.1676668757435</v>
      </c>
      <c r="V992" s="9" cm="1">
        <f t="array" aca="1" ref="V992" ca="1">z_score_diff(OFFSET(U992,0,0,$J$5*-1,1),OFFSET(E992,0,0,$J$5*-1,1))</f>
        <v>0.44259141294842852</v>
      </c>
      <c r="W992" s="9">
        <f t="shared" ca="1" si="151"/>
        <v>5.5189228858088281E-2</v>
      </c>
      <c r="X992" s="17">
        <f t="shared" ca="1" si="150"/>
        <v>4.5359948174562544E-3</v>
      </c>
      <c r="Y992" s="13">
        <f t="shared" si="157"/>
        <v>0</v>
      </c>
      <c r="Z992" s="13">
        <f t="shared" si="157"/>
        <v>0</v>
      </c>
      <c r="AA992">
        <f t="shared" ca="1" si="152"/>
        <v>0</v>
      </c>
      <c r="AB992">
        <f t="shared" ca="1" si="153"/>
        <v>1</v>
      </c>
      <c r="AC992" s="24">
        <f t="shared" ca="1" si="154"/>
        <v>0</v>
      </c>
      <c r="AD992" s="24">
        <f t="shared" ca="1" si="155"/>
        <v>4.5359948174562544E-3</v>
      </c>
    </row>
    <row r="993" spans="3:30" x14ac:dyDescent="0.25">
      <c r="C993" s="6">
        <v>986</v>
      </c>
      <c r="D993" s="35">
        <v>43406</v>
      </c>
      <c r="E993" s="37">
        <v>21.995000000000001</v>
      </c>
      <c r="F993" s="37">
        <v>62.923138880294793</v>
      </c>
      <c r="G993" s="37">
        <v>53.72</v>
      </c>
      <c r="H993" s="37">
        <v>2.2858357689655229</v>
      </c>
      <c r="I993" s="37">
        <v>83.698750179323582</v>
      </c>
      <c r="J993" s="10">
        <v>0</v>
      </c>
      <c r="K993" s="38">
        <v>0</v>
      </c>
      <c r="L993" s="38">
        <v>0</v>
      </c>
      <c r="M993" s="38">
        <v>0</v>
      </c>
      <c r="N993" s="38">
        <v>0</v>
      </c>
      <c r="O993" s="38">
        <v>0</v>
      </c>
      <c r="P993" s="38">
        <v>0</v>
      </c>
      <c r="Q993" s="38">
        <v>0</v>
      </c>
      <c r="R993" s="38">
        <v>0</v>
      </c>
      <c r="S993" s="38">
        <v>0</v>
      </c>
      <c r="T993" s="38">
        <v>1</v>
      </c>
      <c r="U993" s="29" cm="1">
        <f t="array" aca="1" ref="U993" ca="1">+fair_value_gap(OFFSET(T992,0,0,-1*$J$5,-1*$AA$1),OFFSET(E992,0,0,-1*$J$5,1),F993:T993,0)</f>
        <v>22.798578804020117</v>
      </c>
      <c r="V993" s="9" cm="1">
        <f t="array" aca="1" ref="V993" ca="1">z_score_diff(OFFSET(U993,0,0,$J$5*-1,1),OFFSET(E993,0,0,$J$5*-1,1))</f>
        <v>0.22223985606154617</v>
      </c>
      <c r="W993" s="9">
        <f t="shared" ca="1" si="151"/>
        <v>6.6985212785756504E-2</v>
      </c>
      <c r="X993" s="17">
        <f t="shared" ca="1" si="150"/>
        <v>-3.2436774596421671E-2</v>
      </c>
      <c r="Y993" s="13">
        <f t="shared" si="157"/>
        <v>0</v>
      </c>
      <c r="Z993" s="13">
        <f t="shared" si="157"/>
        <v>0</v>
      </c>
      <c r="AA993">
        <f t="shared" ca="1" si="152"/>
        <v>0</v>
      </c>
      <c r="AB993">
        <f t="shared" ca="1" si="153"/>
        <v>1</v>
      </c>
      <c r="AC993" s="24">
        <f t="shared" ca="1" si="154"/>
        <v>0</v>
      </c>
      <c r="AD993" s="24">
        <f t="shared" ca="1" si="155"/>
        <v>-3.2436774596421671E-2</v>
      </c>
    </row>
    <row r="994" spans="3:30" x14ac:dyDescent="0.25">
      <c r="C994" s="6">
        <v>987</v>
      </c>
      <c r="D994" s="35">
        <v>43409</v>
      </c>
      <c r="E994" s="37">
        <v>21.875</v>
      </c>
      <c r="F994" s="37">
        <v>63.012162511860602</v>
      </c>
      <c r="G994" s="37">
        <v>53.7</v>
      </c>
      <c r="H994" s="37">
        <v>2.3108772535150521</v>
      </c>
      <c r="I994" s="37">
        <v>82.463555593892863</v>
      </c>
      <c r="J994" s="10">
        <v>0</v>
      </c>
      <c r="K994" s="38">
        <v>0</v>
      </c>
      <c r="L994" s="38">
        <v>0</v>
      </c>
      <c r="M994" s="38">
        <v>0</v>
      </c>
      <c r="N994" s="38">
        <v>0</v>
      </c>
      <c r="O994" s="38">
        <v>0</v>
      </c>
      <c r="P994" s="38">
        <v>0</v>
      </c>
      <c r="Q994" s="38">
        <v>0</v>
      </c>
      <c r="R994" s="38">
        <v>0</v>
      </c>
      <c r="S994" s="38">
        <v>0</v>
      </c>
      <c r="T994" s="38">
        <v>1</v>
      </c>
      <c r="U994" s="29" cm="1">
        <f t="array" aca="1" ref="U994" ca="1">+fair_value_gap(OFFSET(T993,0,0,-1*$J$5,-1*$AA$1),OFFSET(E993,0,0,-1*$J$5,1),F994:T994,0)</f>
        <v>22.591085613260972</v>
      </c>
      <c r="V994" s="9" cm="1">
        <f t="array" aca="1" ref="V994" ca="1">z_score_diff(OFFSET(U994,0,0,$J$5*-1,1),OFFSET(E994,0,0,$J$5*-1,1))</f>
        <v>0.19779515044910573</v>
      </c>
      <c r="W994" s="9">
        <f t="shared" ca="1" si="151"/>
        <v>6.7080369919452182E-2</v>
      </c>
      <c r="X994" s="17">
        <f t="shared" ca="1" si="150"/>
        <v>-2.1486329642086705E-2</v>
      </c>
      <c r="Y994" s="13">
        <f t="shared" si="157"/>
        <v>0</v>
      </c>
      <c r="Z994" s="13">
        <f t="shared" si="157"/>
        <v>0</v>
      </c>
      <c r="AA994">
        <f t="shared" ca="1" si="152"/>
        <v>0</v>
      </c>
      <c r="AB994">
        <f t="shared" ca="1" si="153"/>
        <v>1</v>
      </c>
      <c r="AC994" s="24">
        <f t="shared" ca="1" si="154"/>
        <v>0</v>
      </c>
      <c r="AD994" s="24">
        <f t="shared" ca="1" si="155"/>
        <v>-2.1486329642086705E-2</v>
      </c>
    </row>
    <row r="995" spans="3:30" x14ac:dyDescent="0.25">
      <c r="C995" s="6">
        <v>988</v>
      </c>
      <c r="D995" s="35">
        <v>43410</v>
      </c>
      <c r="E995" s="37">
        <v>21.895</v>
      </c>
      <c r="F995" s="37">
        <v>62.341614815848807</v>
      </c>
      <c r="G995" s="37">
        <v>53.87</v>
      </c>
      <c r="H995" s="37">
        <v>2.3239161735776674</v>
      </c>
      <c r="I995" s="37">
        <v>81.384457765817842</v>
      </c>
      <c r="J995" s="10">
        <v>0</v>
      </c>
      <c r="K995" s="38">
        <v>0</v>
      </c>
      <c r="L995" s="38">
        <v>0</v>
      </c>
      <c r="M995" s="38">
        <v>0</v>
      </c>
      <c r="N995" s="38">
        <v>0</v>
      </c>
      <c r="O995" s="38">
        <v>0</v>
      </c>
      <c r="P995" s="38">
        <v>0</v>
      </c>
      <c r="Q995" s="38">
        <v>0</v>
      </c>
      <c r="R995" s="38">
        <v>0</v>
      </c>
      <c r="S995" s="38">
        <v>0</v>
      </c>
      <c r="T995" s="38">
        <v>1</v>
      </c>
      <c r="U995" s="29" cm="1">
        <f t="array" aca="1" ref="U995" ca="1">+fair_value_gap(OFFSET(T994,0,0,-1*$J$5,-1*$AA$1),OFFSET(E994,0,0,-1*$J$5,1),F995:T995,0)</f>
        <v>22.480738371574411</v>
      </c>
      <c r="V995" s="9" cm="1">
        <f t="array" aca="1" ref="V995" ca="1">z_score_diff(OFFSET(U995,0,0,$J$5*-1,1),OFFSET(E995,0,0,$J$5*-1,1))</f>
        <v>0.16178989311311476</v>
      </c>
      <c r="W995" s="9">
        <f t="shared" ca="1" si="151"/>
        <v>6.4831776411103159E-2</v>
      </c>
      <c r="X995" s="17">
        <f t="shared" ca="1" si="150"/>
        <v>-2.7316513301486274E-2</v>
      </c>
      <c r="Y995" s="13">
        <f t="shared" si="157"/>
        <v>0</v>
      </c>
      <c r="Z995" s="13">
        <f t="shared" si="157"/>
        <v>0</v>
      </c>
      <c r="AA995">
        <f t="shared" ca="1" si="152"/>
        <v>0</v>
      </c>
      <c r="AB995">
        <f t="shared" ca="1" si="153"/>
        <v>1</v>
      </c>
      <c r="AC995" s="24">
        <f t="shared" ca="1" si="154"/>
        <v>0</v>
      </c>
      <c r="AD995" s="24">
        <f t="shared" ca="1" si="155"/>
        <v>-2.7316513301486274E-2</v>
      </c>
    </row>
    <row r="996" spans="3:30" x14ac:dyDescent="0.25">
      <c r="C996" s="6">
        <v>989</v>
      </c>
      <c r="D996" s="35">
        <v>43411</v>
      </c>
      <c r="E996" s="37">
        <v>22.259</v>
      </c>
      <c r="F996" s="37">
        <v>62.372636520752188</v>
      </c>
      <c r="G996" s="37">
        <v>55.33</v>
      </c>
      <c r="H996" s="37">
        <v>2.3215621533778728</v>
      </c>
      <c r="I996" s="37">
        <v>82.243488877997606</v>
      </c>
      <c r="J996" s="10">
        <v>0</v>
      </c>
      <c r="K996" s="38">
        <v>0</v>
      </c>
      <c r="L996" s="38">
        <v>0</v>
      </c>
      <c r="M996" s="38">
        <v>0</v>
      </c>
      <c r="N996" s="38">
        <v>0</v>
      </c>
      <c r="O996" s="38">
        <v>0</v>
      </c>
      <c r="P996" s="38">
        <v>0</v>
      </c>
      <c r="Q996" s="38">
        <v>0</v>
      </c>
      <c r="R996" s="38">
        <v>0</v>
      </c>
      <c r="S996" s="38">
        <v>0</v>
      </c>
      <c r="T996" s="38">
        <v>1</v>
      </c>
      <c r="U996" s="29" cm="1">
        <f t="array" aca="1" ref="U996" ca="1">+fair_value_gap(OFFSET(T995,0,0,-1*$J$5,-1*$AA$1),OFFSET(E995,0,0,-1*$J$5,1),F996:T996,0)</f>
        <v>22.857243223043511</v>
      </c>
      <c r="V996" s="9" cm="1">
        <f t="array" aca="1" ref="V996" ca="1">z_score_diff(OFFSET(U996,0,0,$J$5*-1,1),OFFSET(E996,0,0,$J$5*-1,1))</f>
        <v>0.16416119401552803</v>
      </c>
      <c r="W996" s="9">
        <f t="shared" ca="1" si="151"/>
        <v>6.6480527205875356E-2</v>
      </c>
      <c r="X996" s="17">
        <f t="shared" ca="1" si="150"/>
        <v>-5.750995275139293E-2</v>
      </c>
      <c r="Y996" s="13">
        <f t="shared" si="157"/>
        <v>0</v>
      </c>
      <c r="Z996" s="13">
        <f t="shared" si="157"/>
        <v>0</v>
      </c>
      <c r="AA996">
        <f t="shared" ca="1" si="152"/>
        <v>0</v>
      </c>
      <c r="AB996">
        <f t="shared" ca="1" si="153"/>
        <v>1</v>
      </c>
      <c r="AC996" s="24">
        <f t="shared" ca="1" si="154"/>
        <v>0</v>
      </c>
      <c r="AD996" s="24">
        <f t="shared" ca="1" si="155"/>
        <v>-5.750995275139293E-2</v>
      </c>
    </row>
    <row r="997" spans="3:30" x14ac:dyDescent="0.25">
      <c r="C997" s="6">
        <v>990</v>
      </c>
      <c r="D997" s="35">
        <v>43412</v>
      </c>
      <c r="E997" s="37">
        <v>22.010999999999999</v>
      </c>
      <c r="F997" s="37">
        <v>61.983149169836082</v>
      </c>
      <c r="G997" s="37">
        <v>56.14</v>
      </c>
      <c r="H997" s="37">
        <v>2.3448170800319224</v>
      </c>
      <c r="I997" s="37">
        <v>81.190048765963198</v>
      </c>
      <c r="J997" s="10">
        <v>0</v>
      </c>
      <c r="K997" s="38">
        <v>0</v>
      </c>
      <c r="L997" s="38">
        <v>0</v>
      </c>
      <c r="M997" s="38">
        <v>0</v>
      </c>
      <c r="N997" s="38">
        <v>0</v>
      </c>
      <c r="O997" s="38">
        <v>0</v>
      </c>
      <c r="P997" s="38">
        <v>0</v>
      </c>
      <c r="Q997" s="38">
        <v>0</v>
      </c>
      <c r="R997" s="38">
        <v>0</v>
      </c>
      <c r="S997" s="38">
        <v>0</v>
      </c>
      <c r="T997" s="38">
        <v>1</v>
      </c>
      <c r="U997" s="29" cm="1">
        <f t="array" aca="1" ref="U997" ca="1">+fair_value_gap(OFFSET(T996,0,0,-1*$J$5,-1*$AA$1),OFFSET(E996,0,0,-1*$J$5,1),F997:T997,0)</f>
        <v>23.016163459174891</v>
      </c>
      <c r="V997" s="9" cm="1">
        <f t="array" aca="1" ref="V997" ca="1">z_score_diff(OFFSET(U997,0,0,$J$5*-1,1),OFFSET(E997,0,0,$J$5*-1,1))</f>
        <v>0.27457132224201586</v>
      </c>
      <c r="W997" s="9">
        <f t="shared" ca="1" si="151"/>
        <v>7.673124276098077E-2</v>
      </c>
      <c r="X997" s="17">
        <f t="shared" ca="1" si="150"/>
        <v>-5.1123537223569729E-2</v>
      </c>
      <c r="Y997" s="13">
        <f t="shared" si="157"/>
        <v>0</v>
      </c>
      <c r="Z997" s="13">
        <f t="shared" si="157"/>
        <v>0</v>
      </c>
      <c r="AA997">
        <f t="shared" ca="1" si="152"/>
        <v>0</v>
      </c>
      <c r="AB997">
        <f t="shared" ca="1" si="153"/>
        <v>1</v>
      </c>
      <c r="AC997" s="24">
        <f t="shared" ca="1" si="154"/>
        <v>0</v>
      </c>
      <c r="AD997" s="24">
        <f t="shared" ca="1" si="155"/>
        <v>-5.1123537223569729E-2</v>
      </c>
    </row>
    <row r="998" spans="3:30" x14ac:dyDescent="0.25">
      <c r="C998" s="6">
        <v>991</v>
      </c>
      <c r="D998" s="35">
        <v>43413</v>
      </c>
      <c r="E998" s="37">
        <v>22.012</v>
      </c>
      <c r="F998" s="37">
        <v>61.704184361100076</v>
      </c>
      <c r="G998" s="37">
        <v>55.67</v>
      </c>
      <c r="H998" s="37">
        <v>2.3654283021847671</v>
      </c>
      <c r="I998" s="37">
        <v>80.872310258114567</v>
      </c>
      <c r="J998" s="10">
        <v>0</v>
      </c>
      <c r="K998" s="38">
        <v>0</v>
      </c>
      <c r="L998" s="38">
        <v>0</v>
      </c>
      <c r="M998" s="38">
        <v>0</v>
      </c>
      <c r="N998" s="38">
        <v>0</v>
      </c>
      <c r="O998" s="38">
        <v>0</v>
      </c>
      <c r="P998" s="38">
        <v>0</v>
      </c>
      <c r="Q998" s="38">
        <v>0</v>
      </c>
      <c r="R998" s="38">
        <v>0</v>
      </c>
      <c r="S998" s="38">
        <v>0</v>
      </c>
      <c r="T998" s="38">
        <v>1</v>
      </c>
      <c r="U998" s="29" cm="1">
        <f t="array" aca="1" ref="U998" ca="1">+fair_value_gap(OFFSET(T997,0,0,-1*$J$5,-1*$AA$1),OFFSET(E997,0,0,-1*$J$5,1),F998:T998,0)</f>
        <v>22.732906977260122</v>
      </c>
      <c r="V998" s="9" cm="1">
        <f t="array" aca="1" ref="V998" ca="1">z_score_diff(OFFSET(U998,0,0,$J$5*-1,1),OFFSET(E998,0,0,$J$5*-1,1))</f>
        <v>0.19610532793945568</v>
      </c>
      <c r="W998" s="9">
        <f t="shared" ca="1" si="151"/>
        <v>8.7588955988387368E-2</v>
      </c>
      <c r="X998" s="17">
        <f t="shared" ca="1" si="150"/>
        <v>-4.1462001813189819E-2</v>
      </c>
      <c r="Y998" s="13">
        <f t="shared" si="157"/>
        <v>0</v>
      </c>
      <c r="Z998" s="13">
        <f t="shared" si="157"/>
        <v>0</v>
      </c>
      <c r="AA998">
        <f t="shared" ca="1" si="152"/>
        <v>0</v>
      </c>
      <c r="AB998">
        <f t="shared" ca="1" si="153"/>
        <v>1</v>
      </c>
      <c r="AC998" s="24">
        <f t="shared" ca="1" si="154"/>
        <v>0</v>
      </c>
      <c r="AD998" s="24">
        <f t="shared" ca="1" si="155"/>
        <v>-4.1462001813189819E-2</v>
      </c>
    </row>
    <row r="999" spans="3:30" x14ac:dyDescent="0.25">
      <c r="C999" s="6">
        <v>992</v>
      </c>
      <c r="D999" s="35">
        <v>43416</v>
      </c>
      <c r="E999" s="37">
        <v>23.056000000000001</v>
      </c>
      <c r="F999" s="37">
        <v>62.272198934430115</v>
      </c>
      <c r="G999" s="37">
        <v>57.37</v>
      </c>
      <c r="H999" s="37">
        <v>2.404457230815622</v>
      </c>
      <c r="I999" s="37">
        <v>82.091658645965381</v>
      </c>
      <c r="J999" s="10">
        <v>0</v>
      </c>
      <c r="K999" s="38">
        <v>0</v>
      </c>
      <c r="L999" s="38">
        <v>0</v>
      </c>
      <c r="M999" s="38">
        <v>0</v>
      </c>
      <c r="N999" s="38">
        <v>0</v>
      </c>
      <c r="O999" s="38">
        <v>0</v>
      </c>
      <c r="P999" s="38">
        <v>0</v>
      </c>
      <c r="Q999" s="38">
        <v>0</v>
      </c>
      <c r="R999" s="38">
        <v>0</v>
      </c>
      <c r="S999" s="38">
        <v>0</v>
      </c>
      <c r="T999" s="38">
        <v>1</v>
      </c>
      <c r="U999" s="29" cm="1">
        <f t="array" aca="1" ref="U999" ca="1">+fair_value_gap(OFFSET(T998,0,0,-1*$J$5,-1*$AA$1),OFFSET(E998,0,0,-1*$J$5,1),F999:T999,0)</f>
        <v>23.231757876142819</v>
      </c>
      <c r="V999" s="9" cm="1">
        <f t="array" aca="1" ref="V999" ca="1">z_score_diff(OFFSET(U999,0,0,$J$5*-1,1),OFFSET(E999,0,0,$J$5*-1,1))</f>
        <v>4.493131918751414E-2</v>
      </c>
      <c r="W999" s="9">
        <f t="shared" ca="1" si="151"/>
        <v>9.2078077451460988E-2</v>
      </c>
      <c r="X999" s="17">
        <f t="shared" ca="1" si="150"/>
        <v>-8.5766174404531978E-2</v>
      </c>
      <c r="Y999" s="13">
        <f t="shared" si="157"/>
        <v>0</v>
      </c>
      <c r="Z999" s="13">
        <f t="shared" si="157"/>
        <v>0</v>
      </c>
      <c r="AA999">
        <f t="shared" ca="1" si="152"/>
        <v>0</v>
      </c>
      <c r="AB999">
        <f t="shared" ca="1" si="153"/>
        <v>1</v>
      </c>
      <c r="AC999" s="24">
        <f t="shared" ca="1" si="154"/>
        <v>0</v>
      </c>
      <c r="AD999" s="24">
        <f t="shared" ca="1" si="155"/>
        <v>-8.5766174404531978E-2</v>
      </c>
    </row>
    <row r="1000" spans="3:30" x14ac:dyDescent="0.25">
      <c r="C1000" s="6">
        <v>993</v>
      </c>
      <c r="D1000" s="35">
        <v>43417</v>
      </c>
      <c r="E1000" s="37">
        <v>22.992000000000001</v>
      </c>
      <c r="F1000" s="37">
        <v>58.107763012365005</v>
      </c>
      <c r="G1000" s="37">
        <v>57.44</v>
      </c>
      <c r="H1000" s="37">
        <v>2.3776507799269799</v>
      </c>
      <c r="I1000" s="37">
        <v>80.925540658438436</v>
      </c>
      <c r="J1000" s="10">
        <v>0</v>
      </c>
      <c r="K1000" s="38">
        <v>0</v>
      </c>
      <c r="L1000" s="38">
        <v>0</v>
      </c>
      <c r="M1000" s="38">
        <v>0</v>
      </c>
      <c r="N1000" s="38">
        <v>0</v>
      </c>
      <c r="O1000" s="38">
        <v>0</v>
      </c>
      <c r="P1000" s="38">
        <v>0</v>
      </c>
      <c r="Q1000" s="38">
        <v>0</v>
      </c>
      <c r="R1000" s="38">
        <v>0</v>
      </c>
      <c r="S1000" s="38">
        <v>0</v>
      </c>
      <c r="T1000" s="38">
        <v>1</v>
      </c>
      <c r="U1000" s="29" cm="1">
        <f t="array" aca="1" ref="U1000" ca="1">+fair_value_gap(OFFSET(T999,0,0,-1*$J$5,-1*$AA$1),OFFSET(E999,0,0,-1*$J$5,1),F1000:T1000,0)</f>
        <v>23.037415390145142</v>
      </c>
      <c r="V1000" s="9" cm="1">
        <f t="array" aca="1" ref="V1000" ca="1">z_score_diff(OFFSET(U1000,0,0,$J$5*-1,1),OFFSET(E1000,0,0,$J$5*-1,1))</f>
        <v>8.836177838172643E-3</v>
      </c>
      <c r="W1000" s="9">
        <f t="shared" ca="1" si="151"/>
        <v>9.2488246339069199E-2</v>
      </c>
      <c r="X1000" s="17">
        <f t="shared" ca="1" si="150"/>
        <v>-7.4281960844895925E-2</v>
      </c>
      <c r="Y1000" s="13">
        <f t="shared" si="157"/>
        <v>0</v>
      </c>
      <c r="Z1000" s="13">
        <f t="shared" si="157"/>
        <v>0</v>
      </c>
      <c r="AA1000">
        <f t="shared" ca="1" si="152"/>
        <v>0</v>
      </c>
      <c r="AB1000">
        <f t="shared" ca="1" si="153"/>
        <v>1</v>
      </c>
      <c r="AC1000" s="24">
        <f t="shared" ca="1" si="154"/>
        <v>0</v>
      </c>
      <c r="AD1000" s="24">
        <f t="shared" ca="1" si="155"/>
        <v>-7.4281960844895925E-2</v>
      </c>
    </row>
    <row r="1001" spans="3:30" x14ac:dyDescent="0.25">
      <c r="C1001" s="6">
        <v>994</v>
      </c>
      <c r="D1001" s="35">
        <v>43418</v>
      </c>
      <c r="E1001" s="37">
        <v>22.59</v>
      </c>
      <c r="F1001" s="37">
        <v>58.504543881885141</v>
      </c>
      <c r="G1001" s="37">
        <v>56.63</v>
      </c>
      <c r="H1001" s="37">
        <v>2.3662610467532148</v>
      </c>
      <c r="I1001" s="37">
        <v>78.064012490241993</v>
      </c>
      <c r="J1001" s="10">
        <v>0</v>
      </c>
      <c r="K1001" s="38">
        <v>0</v>
      </c>
      <c r="L1001" s="38">
        <v>0</v>
      </c>
      <c r="M1001" s="38">
        <v>0</v>
      </c>
      <c r="N1001" s="38">
        <v>0</v>
      </c>
      <c r="O1001" s="38">
        <v>0</v>
      </c>
      <c r="P1001" s="38">
        <v>0</v>
      </c>
      <c r="Q1001" s="38">
        <v>0</v>
      </c>
      <c r="R1001" s="38">
        <v>0</v>
      </c>
      <c r="S1001" s="38">
        <v>0</v>
      </c>
      <c r="T1001" s="38">
        <v>1</v>
      </c>
      <c r="U1001" s="29" cm="1">
        <f t="array" aca="1" ref="U1001" ca="1">+fair_value_gap(OFFSET(T1000,0,0,-1*$J$5,-1*$AA$1),OFFSET(E1000,0,0,-1*$J$5,1),F1001:T1001,0)</f>
        <v>22.724981269535164</v>
      </c>
      <c r="V1001" s="9" cm="1">
        <f t="array" aca="1" ref="V1001" ca="1">z_score_diff(OFFSET(U1001,0,0,$J$5*-1,1),OFFSET(E1001,0,0,$J$5*-1,1))</f>
        <v>3.3571854881747187E-2</v>
      </c>
      <c r="W1001" s="9">
        <f t="shared" ca="1" si="151"/>
        <v>9.3685238868886522E-2</v>
      </c>
      <c r="X1001" s="17">
        <f t="shared" ca="1" si="150"/>
        <v>-4.1117153908466479E-2</v>
      </c>
      <c r="Y1001" s="13">
        <f t="shared" ref="Y1001:Z1016" si="158">+Y1000</f>
        <v>0</v>
      </c>
      <c r="Z1001" s="13">
        <f t="shared" si="158"/>
        <v>0</v>
      </c>
      <c r="AA1001">
        <f t="shared" ca="1" si="152"/>
        <v>0</v>
      </c>
      <c r="AB1001">
        <f t="shared" ca="1" si="153"/>
        <v>1</v>
      </c>
      <c r="AC1001" s="24">
        <f t="shared" ca="1" si="154"/>
        <v>0</v>
      </c>
      <c r="AD1001" s="24">
        <f t="shared" ca="1" si="155"/>
        <v>-4.1117153908466479E-2</v>
      </c>
    </row>
    <row r="1002" spans="3:30" x14ac:dyDescent="0.25">
      <c r="C1002" s="6">
        <v>995</v>
      </c>
      <c r="D1002" s="35">
        <v>43419</v>
      </c>
      <c r="E1002" s="37">
        <v>22.736999999999998</v>
      </c>
      <c r="F1002" s="37">
        <v>58.520755725979441</v>
      </c>
      <c r="G1002" s="37">
        <v>56.62</v>
      </c>
      <c r="H1002" s="37">
        <v>2.3022851829891335</v>
      </c>
      <c r="I1002" s="37">
        <v>79.086794936014357</v>
      </c>
      <c r="J1002" s="10">
        <v>0</v>
      </c>
      <c r="K1002" s="38">
        <v>0</v>
      </c>
      <c r="L1002" s="38">
        <v>0</v>
      </c>
      <c r="M1002" s="38">
        <v>0</v>
      </c>
      <c r="N1002" s="38">
        <v>0</v>
      </c>
      <c r="O1002" s="38">
        <v>0</v>
      </c>
      <c r="P1002" s="38">
        <v>0</v>
      </c>
      <c r="Q1002" s="38">
        <v>0</v>
      </c>
      <c r="R1002" s="38">
        <v>0</v>
      </c>
      <c r="S1002" s="38">
        <v>0</v>
      </c>
      <c r="T1002" s="38">
        <v>1</v>
      </c>
      <c r="U1002" s="29" cm="1">
        <f t="array" aca="1" ref="U1002" ca="1">+fair_value_gap(OFFSET(T1001,0,0,-1*$J$5,-1*$AA$1),OFFSET(E1001,0,0,-1*$J$5,1),F1002:T1002,0)</f>
        <v>22.656926187921268</v>
      </c>
      <c r="V1002" s="9" cm="1">
        <f t="array" aca="1" ref="V1002" ca="1">z_score_diff(OFFSET(U1002,0,0,$J$5*-1,1),OFFSET(E1002,0,0,$J$5*-1,1))</f>
        <v>-2.60330498263871E-2</v>
      </c>
      <c r="W1002" s="9">
        <f t="shared" ca="1" si="151"/>
        <v>9.0908359397007032E-2</v>
      </c>
      <c r="X1002" s="17">
        <f t="shared" ca="1" si="150"/>
        <v>-3.6092392472633607E-2</v>
      </c>
      <c r="Y1002" s="13">
        <f t="shared" si="158"/>
        <v>0</v>
      </c>
      <c r="Z1002" s="13">
        <f t="shared" si="158"/>
        <v>0</v>
      </c>
      <c r="AA1002">
        <f t="shared" ca="1" si="152"/>
        <v>0</v>
      </c>
      <c r="AB1002">
        <f t="shared" ca="1" si="153"/>
        <v>1</v>
      </c>
      <c r="AC1002" s="24">
        <f t="shared" ca="1" si="154"/>
        <v>0</v>
      </c>
      <c r="AD1002" s="24">
        <f t="shared" ca="1" si="155"/>
        <v>-3.6092392472633607E-2</v>
      </c>
    </row>
    <row r="1003" spans="3:30" x14ac:dyDescent="0.25">
      <c r="C1003" s="6">
        <v>996</v>
      </c>
      <c r="D1003" s="35">
        <v>43420</v>
      </c>
      <c r="E1003" s="37">
        <v>22.364000000000001</v>
      </c>
      <c r="F1003" s="37">
        <v>58.208201218303159</v>
      </c>
      <c r="G1003" s="37">
        <v>56.68</v>
      </c>
      <c r="H1003" s="37">
        <v>2.2991894645914472</v>
      </c>
      <c r="I1003" s="37">
        <v>76.812066477352076</v>
      </c>
      <c r="J1003" s="10">
        <v>0</v>
      </c>
      <c r="K1003" s="38">
        <v>0</v>
      </c>
      <c r="L1003" s="38">
        <v>0</v>
      </c>
      <c r="M1003" s="38">
        <v>0</v>
      </c>
      <c r="N1003" s="38">
        <v>0</v>
      </c>
      <c r="O1003" s="38">
        <v>0</v>
      </c>
      <c r="P1003" s="38">
        <v>0</v>
      </c>
      <c r="Q1003" s="38">
        <v>0</v>
      </c>
      <c r="R1003" s="38">
        <v>0</v>
      </c>
      <c r="S1003" s="38">
        <v>0</v>
      </c>
      <c r="T1003" s="38">
        <v>1</v>
      </c>
      <c r="U1003" s="29" cm="1">
        <f t="array" aca="1" ref="U1003" ca="1">+fair_value_gap(OFFSET(T1002,0,0,-1*$J$5,-1*$AA$1),OFFSET(E1002,0,0,-1*$J$5,1),F1003:T1003,0)</f>
        <v>22.614957206266055</v>
      </c>
      <c r="V1003" s="9" cm="1">
        <f t="array" aca="1" ref="V1003" ca="1">z_score_diff(OFFSET(U1003,0,0,$J$5*-1,1),OFFSET(E1003,0,0,$J$5*-1,1))</f>
        <v>6.5336312633577309E-2</v>
      </c>
      <c r="W1003" s="9">
        <f t="shared" ca="1" si="151"/>
        <v>9.4656587479612947E-2</v>
      </c>
      <c r="X1003" s="17">
        <f t="shared" ca="1" si="150"/>
        <v>-1.6110269303778672E-3</v>
      </c>
      <c r="Y1003" s="13">
        <f t="shared" si="158"/>
        <v>0</v>
      </c>
      <c r="Z1003" s="13">
        <f t="shared" si="158"/>
        <v>0</v>
      </c>
      <c r="AA1003">
        <f t="shared" ca="1" si="152"/>
        <v>0</v>
      </c>
      <c r="AB1003">
        <f t="shared" ca="1" si="153"/>
        <v>1</v>
      </c>
      <c r="AC1003" s="24">
        <f t="shared" ca="1" si="154"/>
        <v>0</v>
      </c>
      <c r="AD1003" s="24">
        <f t="shared" ca="1" si="155"/>
        <v>-1.6110269303778672E-3</v>
      </c>
    </row>
    <row r="1004" spans="3:30" x14ac:dyDescent="0.25">
      <c r="C1004" s="6">
        <v>997</v>
      </c>
      <c r="D1004" s="35">
        <v>43423</v>
      </c>
      <c r="E1004" s="37">
        <v>21.721</v>
      </c>
      <c r="F1004" s="37">
        <v>58.066040775989855</v>
      </c>
      <c r="G1004" s="37">
        <v>54.25</v>
      </c>
      <c r="H1004" s="37">
        <v>2.3649214772165768</v>
      </c>
      <c r="I1004" s="37">
        <v>75.966227683846441</v>
      </c>
      <c r="J1004" s="10">
        <v>0</v>
      </c>
      <c r="K1004" s="38">
        <v>0</v>
      </c>
      <c r="L1004" s="38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1</v>
      </c>
      <c r="U1004" s="29" cm="1">
        <f t="array" aca="1" ref="U1004" ca="1">+fair_value_gap(OFFSET(T1003,0,0,-1*$J$5,-1*$AA$1),OFFSET(E1003,0,0,-1*$J$5,1),F1004:T1004,0)</f>
        <v>21.861299126372835</v>
      </c>
      <c r="V1004" s="9" cm="1">
        <f t="array" aca="1" ref="V1004" ca="1">z_score_diff(OFFSET(U1004,0,0,$J$5*-1,1),OFFSET(E1004,0,0,$J$5*-1,1))</f>
        <v>3.4752344204750443E-2</v>
      </c>
      <c r="W1004" s="9">
        <f t="shared" ca="1" si="151"/>
        <v>9.3569780684179607E-2</v>
      </c>
      <c r="X1004" s="17">
        <f t="shared" ca="1" si="150"/>
        <v>2.979879886397287E-2</v>
      </c>
      <c r="Y1004" s="13">
        <f t="shared" si="158"/>
        <v>0</v>
      </c>
      <c r="Z1004" s="13">
        <f t="shared" si="158"/>
        <v>0</v>
      </c>
      <c r="AA1004">
        <f t="shared" ca="1" si="152"/>
        <v>0</v>
      </c>
      <c r="AB1004">
        <f t="shared" ca="1" si="153"/>
        <v>1</v>
      </c>
      <c r="AC1004" s="24">
        <f t="shared" ca="1" si="154"/>
        <v>0</v>
      </c>
      <c r="AD1004" s="24">
        <f t="shared" ca="1" si="155"/>
        <v>2.979879886397287E-2</v>
      </c>
    </row>
    <row r="1005" spans="3:30" x14ac:dyDescent="0.25">
      <c r="C1005" s="6">
        <v>998</v>
      </c>
      <c r="D1005" s="35">
        <v>43424</v>
      </c>
      <c r="E1005" s="37">
        <v>21.702000000000002</v>
      </c>
      <c r="F1005" s="37">
        <v>54.90615582477804</v>
      </c>
      <c r="G1005" s="37">
        <v>54.45</v>
      </c>
      <c r="H1005" s="37">
        <v>2.3454552693119246</v>
      </c>
      <c r="I1005" s="37">
        <v>76.465303706165514</v>
      </c>
      <c r="J1005" s="10">
        <v>0</v>
      </c>
      <c r="K1005" s="38">
        <v>0</v>
      </c>
      <c r="L1005" s="38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1</v>
      </c>
      <c r="U1005" s="29" cm="1">
        <f t="array" aca="1" ref="U1005" ca="1">+fair_value_gap(OFFSET(T1004,0,0,-1*$J$5,-1*$AA$1),OFFSET(E1004,0,0,-1*$J$5,1),F1005:T1005,0)</f>
        <v>21.774913605494916</v>
      </c>
      <c r="V1005" s="9" cm="1">
        <f t="array" aca="1" ref="V1005" ca="1">z_score_diff(OFFSET(U1005,0,0,$J$5*-1,1),OFFSET(E1005,0,0,$J$5*-1,1))</f>
        <v>1.6030811221457442E-2</v>
      </c>
      <c r="W1005" s="9">
        <f t="shared" ca="1" si="151"/>
        <v>9.7679127433257171E-2</v>
      </c>
      <c r="X1005" s="17">
        <f t="shared" ca="1" si="150"/>
        <v>8.442740798235213E-3</v>
      </c>
      <c r="Y1005" s="13">
        <f t="shared" si="158"/>
        <v>0</v>
      </c>
      <c r="Z1005" s="13">
        <f t="shared" si="158"/>
        <v>0</v>
      </c>
      <c r="AA1005">
        <f t="shared" ca="1" si="152"/>
        <v>0</v>
      </c>
      <c r="AB1005">
        <f t="shared" ca="1" si="153"/>
        <v>1</v>
      </c>
      <c r="AC1005" s="24">
        <f t="shared" ca="1" si="154"/>
        <v>0</v>
      </c>
      <c r="AD1005" s="24">
        <f t="shared" ca="1" si="155"/>
        <v>8.442740798235213E-3</v>
      </c>
    </row>
    <row r="1006" spans="3:30" x14ac:dyDescent="0.25">
      <c r="C1006" s="6">
        <v>999</v>
      </c>
      <c r="D1006" s="35">
        <v>43425</v>
      </c>
      <c r="E1006" s="37">
        <v>21.561</v>
      </c>
      <c r="F1006" s="37">
        <v>55.783966583216916</v>
      </c>
      <c r="G1006" s="37">
        <v>54.74</v>
      </c>
      <c r="H1006" s="37">
        <v>2.340108438567615</v>
      </c>
      <c r="I1006" s="37">
        <v>76.02975144884438</v>
      </c>
      <c r="J1006" s="10">
        <v>0</v>
      </c>
      <c r="K1006" s="38">
        <v>0</v>
      </c>
      <c r="L1006" s="38">
        <v>0</v>
      </c>
      <c r="M1006" s="38">
        <v>0</v>
      </c>
      <c r="N1006" s="38">
        <v>0</v>
      </c>
      <c r="O1006" s="38">
        <v>0</v>
      </c>
      <c r="P1006" s="38">
        <v>0</v>
      </c>
      <c r="Q1006" s="38">
        <v>0</v>
      </c>
      <c r="R1006" s="38">
        <v>0</v>
      </c>
      <c r="S1006" s="38">
        <v>0</v>
      </c>
      <c r="T1006" s="38">
        <v>1</v>
      </c>
      <c r="U1006" s="29" cm="1">
        <f t="array" aca="1" ref="U1006" ca="1">+fair_value_gap(OFFSET(T1005,0,0,-1*$J$5,-1*$AA$1),OFFSET(E1005,0,0,-1*$J$5,1),F1006:T1006,0)</f>
        <v>21.855188317267611</v>
      </c>
      <c r="V1006" s="9" cm="1">
        <f t="array" aca="1" ref="V1006" ca="1">z_score_diff(OFFSET(U1006,0,0,$J$5*-1,1),OFFSET(E1006,0,0,$J$5*-1,1))</f>
        <v>7.7433958622868768E-2</v>
      </c>
      <c r="W1006" s="9">
        <f t="shared" ca="1" si="151"/>
        <v>9.9183533770431737E-2</v>
      </c>
      <c r="X1006" s="17">
        <f t="shared" ca="1" si="150"/>
        <v>2.7357607352652691E-2</v>
      </c>
      <c r="Y1006" s="13">
        <f t="shared" si="158"/>
        <v>0</v>
      </c>
      <c r="Z1006" s="13">
        <f t="shared" si="158"/>
        <v>0</v>
      </c>
      <c r="AA1006">
        <f t="shared" ca="1" si="152"/>
        <v>0</v>
      </c>
      <c r="AB1006">
        <f t="shared" ca="1" si="153"/>
        <v>1</v>
      </c>
      <c r="AC1006" s="24">
        <f t="shared" ca="1" si="154"/>
        <v>0</v>
      </c>
      <c r="AD1006" s="24">
        <f t="shared" ca="1" si="155"/>
        <v>2.7357607352652691E-2</v>
      </c>
    </row>
    <row r="1007" spans="3:30" x14ac:dyDescent="0.25">
      <c r="C1007" s="6">
        <v>1000</v>
      </c>
      <c r="D1007" s="35">
        <v>43426</v>
      </c>
      <c r="E1007" s="37">
        <v>21.64</v>
      </c>
      <c r="F1007" s="37">
        <v>54.88391831327047</v>
      </c>
      <c r="G1007" s="37">
        <v>54.8</v>
      </c>
      <c r="H1007" s="37">
        <v>2.33491697114605</v>
      </c>
      <c r="I1007" s="37">
        <v>76.335482802521398</v>
      </c>
      <c r="J1007" s="10">
        <v>0</v>
      </c>
      <c r="K1007" s="38">
        <v>0</v>
      </c>
      <c r="L1007" s="38">
        <v>0</v>
      </c>
      <c r="M1007" s="38">
        <v>0</v>
      </c>
      <c r="N1007" s="38">
        <v>0</v>
      </c>
      <c r="O1007" s="38">
        <v>0</v>
      </c>
      <c r="P1007" s="38">
        <v>0</v>
      </c>
      <c r="Q1007" s="38">
        <v>0</v>
      </c>
      <c r="R1007" s="38">
        <v>0</v>
      </c>
      <c r="S1007" s="38">
        <v>0</v>
      </c>
      <c r="T1007" s="38">
        <v>1</v>
      </c>
      <c r="U1007" s="29" cm="1">
        <f t="array" aca="1" ref="U1007" ca="1">+fair_value_gap(OFFSET(T1006,0,0,-1*$J$5,-1*$AA$1),OFFSET(E1006,0,0,-1*$J$5,1),F1007:T1007,0)</f>
        <v>21.777440950443008</v>
      </c>
      <c r="V1007" s="9" cm="1">
        <f t="array" aca="1" ref="V1007" ca="1">z_score_diff(OFFSET(U1007,0,0,$J$5*-1,1),OFFSET(E1007,0,0,$J$5*-1,1))</f>
        <v>3.3410306516370586E-2</v>
      </c>
      <c r="W1007" s="9">
        <f t="shared" ca="1" si="151"/>
        <v>0.10060750884369767</v>
      </c>
      <c r="X1007" s="17">
        <f t="shared" ca="1" si="150"/>
        <v>2.3294042512863784E-2</v>
      </c>
      <c r="Y1007" s="13">
        <f t="shared" si="158"/>
        <v>0</v>
      </c>
      <c r="Z1007" s="13">
        <f t="shared" si="158"/>
        <v>0</v>
      </c>
      <c r="AA1007">
        <f t="shared" ca="1" si="152"/>
        <v>0</v>
      </c>
      <c r="AB1007">
        <f t="shared" ca="1" si="153"/>
        <v>1</v>
      </c>
      <c r="AC1007" s="24">
        <f t="shared" ca="1" si="154"/>
        <v>0</v>
      </c>
      <c r="AD1007" s="24">
        <f t="shared" ca="1" si="155"/>
        <v>2.3294042512863784E-2</v>
      </c>
    </row>
    <row r="1008" spans="3:30" x14ac:dyDescent="0.25">
      <c r="C1008" s="6">
        <v>1001</v>
      </c>
      <c r="D1008" s="35">
        <v>43427</v>
      </c>
      <c r="E1008" s="37">
        <v>21.222999999999999</v>
      </c>
      <c r="F1008" s="37">
        <v>51.905743060493897</v>
      </c>
      <c r="G1008" s="37">
        <v>54.82</v>
      </c>
      <c r="H1008" s="37">
        <v>2.3921097713559831</v>
      </c>
      <c r="I1008" s="37">
        <v>76.148104155324774</v>
      </c>
      <c r="J1008" s="10">
        <v>0</v>
      </c>
      <c r="K1008" s="38">
        <v>0</v>
      </c>
      <c r="L1008" s="38">
        <v>0</v>
      </c>
      <c r="M1008" s="38">
        <v>0</v>
      </c>
      <c r="N1008" s="38">
        <v>0</v>
      </c>
      <c r="O1008" s="38">
        <v>0</v>
      </c>
      <c r="P1008" s="38">
        <v>0</v>
      </c>
      <c r="Q1008" s="38">
        <v>0</v>
      </c>
      <c r="R1008" s="38">
        <v>0</v>
      </c>
      <c r="S1008" s="38">
        <v>0</v>
      </c>
      <c r="T1008" s="38">
        <v>1</v>
      </c>
      <c r="U1008" s="29" cm="1">
        <f t="array" aca="1" ref="U1008" ca="1">+fair_value_gap(OFFSET(T1007,0,0,-1*$J$5,-1*$AA$1),OFFSET(E1007,0,0,-1*$J$5,1),F1008:T1008,0)</f>
        <v>21.583038990693431</v>
      </c>
      <c r="V1008" s="9" cm="1">
        <f t="array" aca="1" ref="V1008" ca="1">z_score_diff(OFFSET(U1008,0,0,$J$5*-1,1),OFFSET(E1008,0,0,$J$5*-1,1))</f>
        <v>9.4917457483790019E-2</v>
      </c>
      <c r="W1008" s="9">
        <f t="shared" ca="1" si="151"/>
        <v>9.9868300423182718E-2</v>
      </c>
      <c r="X1008" s="17">
        <f t="shared" ca="1" si="150"/>
        <v>3.3727197316498633E-2</v>
      </c>
      <c r="Y1008" s="13">
        <f t="shared" si="158"/>
        <v>0</v>
      </c>
      <c r="Z1008" s="13">
        <f t="shared" si="158"/>
        <v>0</v>
      </c>
      <c r="AA1008">
        <f t="shared" ca="1" si="152"/>
        <v>0</v>
      </c>
      <c r="AB1008">
        <f t="shared" ca="1" si="153"/>
        <v>1</v>
      </c>
      <c r="AC1008" s="24">
        <f t="shared" ca="1" si="154"/>
        <v>0</v>
      </c>
      <c r="AD1008" s="24">
        <f t="shared" ca="1" si="155"/>
        <v>3.3727197316498633E-2</v>
      </c>
    </row>
    <row r="1009" spans="3:30" x14ac:dyDescent="0.25">
      <c r="C1009" s="6">
        <v>1002</v>
      </c>
      <c r="D1009" s="35">
        <v>43430</v>
      </c>
      <c r="E1009" s="37">
        <v>21.38</v>
      </c>
      <c r="F1009" s="37">
        <v>53.096884010143462</v>
      </c>
      <c r="G1009" s="37">
        <v>53.84</v>
      </c>
      <c r="H1009" s="37">
        <v>2.3752040851773368</v>
      </c>
      <c r="I1009" s="37">
        <v>77.335255497273067</v>
      </c>
      <c r="J1009" s="10">
        <v>0</v>
      </c>
      <c r="K1009" s="38">
        <v>0</v>
      </c>
      <c r="L1009" s="38">
        <v>0</v>
      </c>
      <c r="M1009" s="38">
        <v>0</v>
      </c>
      <c r="N1009" s="38">
        <v>0</v>
      </c>
      <c r="O1009" s="38">
        <v>0</v>
      </c>
      <c r="P1009" s="38">
        <v>0</v>
      </c>
      <c r="Q1009" s="38">
        <v>0</v>
      </c>
      <c r="R1009" s="38">
        <v>0</v>
      </c>
      <c r="S1009" s="38">
        <v>0</v>
      </c>
      <c r="T1009" s="38">
        <v>1</v>
      </c>
      <c r="U1009" s="29" cm="1">
        <f t="array" aca="1" ref="U1009" ca="1">+fair_value_gap(OFFSET(T1008,0,0,-1*$J$5,-1*$AA$1),OFFSET(E1008,0,0,-1*$J$5,1),F1009:T1009,0)</f>
        <v>21.259453355848542</v>
      </c>
      <c r="V1009" s="9" cm="1">
        <f t="array" aca="1" ref="V1009" ca="1">z_score_diff(OFFSET(U1009,0,0,$J$5*-1,1),OFFSET(E1009,0,0,$J$5*-1,1))</f>
        <v>-4.052778320754867E-2</v>
      </c>
      <c r="W1009" s="9">
        <f t="shared" ca="1" si="151"/>
        <v>0.10073330322036919</v>
      </c>
      <c r="X1009" s="17">
        <f t="shared" ca="1" si="150"/>
        <v>1.9625257455389089E-3</v>
      </c>
      <c r="Y1009" s="13">
        <f t="shared" si="158"/>
        <v>0</v>
      </c>
      <c r="Z1009" s="13">
        <f t="shared" si="158"/>
        <v>0</v>
      </c>
      <c r="AA1009">
        <f t="shared" ca="1" si="152"/>
        <v>0</v>
      </c>
      <c r="AB1009">
        <f t="shared" ca="1" si="153"/>
        <v>1</v>
      </c>
      <c r="AC1009" s="24">
        <f t="shared" ca="1" si="154"/>
        <v>0</v>
      </c>
      <c r="AD1009" s="24">
        <f t="shared" ca="1" si="155"/>
        <v>1.9625257455389089E-3</v>
      </c>
    </row>
    <row r="1010" spans="3:30" x14ac:dyDescent="0.25">
      <c r="C1010" s="6">
        <v>1003</v>
      </c>
      <c r="D1010" s="35">
        <v>43431</v>
      </c>
      <c r="E1010" s="37">
        <v>21.942</v>
      </c>
      <c r="F1010" s="37">
        <v>53.188060086390308</v>
      </c>
      <c r="G1010" s="37">
        <v>54.85</v>
      </c>
      <c r="H1010" s="37">
        <v>2.3949873411545775</v>
      </c>
      <c r="I1010" s="37">
        <v>78.627721913132277</v>
      </c>
      <c r="J1010" s="10">
        <v>0</v>
      </c>
      <c r="K1010" s="38">
        <v>0</v>
      </c>
      <c r="L1010" s="38">
        <v>0</v>
      </c>
      <c r="M1010" s="38">
        <v>0</v>
      </c>
      <c r="N1010" s="38">
        <v>0</v>
      </c>
      <c r="O1010" s="38">
        <v>0</v>
      </c>
      <c r="P1010" s="38">
        <v>0</v>
      </c>
      <c r="Q1010" s="38">
        <v>0</v>
      </c>
      <c r="R1010" s="38">
        <v>0</v>
      </c>
      <c r="S1010" s="38">
        <v>0</v>
      </c>
      <c r="T1010" s="38">
        <v>1</v>
      </c>
      <c r="U1010" s="29" cm="1">
        <f t="array" aca="1" ref="U1010" ca="1">+fair_value_gap(OFFSET(T1009,0,0,-1*$J$5,-1*$AA$1),OFFSET(E1009,0,0,-1*$J$5,1),F1010:T1010,0)</f>
        <v>21.657025255971142</v>
      </c>
      <c r="V1010" s="9" cm="1">
        <f t="array" aca="1" ref="V1010" ca="1">z_score_diff(OFFSET(U1010,0,0,$J$5*-1,1),OFFSET(E1010,0,0,$J$5*-1,1))</f>
        <v>-8.6963642399314797E-2</v>
      </c>
      <c r="W1010" s="9">
        <f t="shared" ca="1" si="151"/>
        <v>9.7429922086372744E-2</v>
      </c>
      <c r="X1010" s="17">
        <f t="shared" ca="1" si="150"/>
        <v>-4.807945151343309E-2</v>
      </c>
      <c r="Y1010" s="13">
        <f t="shared" si="158"/>
        <v>0</v>
      </c>
      <c r="Z1010" s="13">
        <f t="shared" si="158"/>
        <v>0</v>
      </c>
      <c r="AA1010">
        <f t="shared" ca="1" si="152"/>
        <v>0</v>
      </c>
      <c r="AB1010">
        <f t="shared" ca="1" si="153"/>
        <v>1</v>
      </c>
      <c r="AC1010" s="24">
        <f t="shared" ca="1" si="154"/>
        <v>0</v>
      </c>
      <c r="AD1010" s="24">
        <f t="shared" ca="1" si="155"/>
        <v>-4.807945151343309E-2</v>
      </c>
    </row>
    <row r="1011" spans="3:30" x14ac:dyDescent="0.25">
      <c r="C1011" s="6">
        <v>1004</v>
      </c>
      <c r="D1011" s="35">
        <v>43432</v>
      </c>
      <c r="E1011" s="37">
        <v>21.457000000000001</v>
      </c>
      <c r="F1011" s="37">
        <v>51.81028691731823</v>
      </c>
      <c r="G1011" s="37">
        <v>54.21</v>
      </c>
      <c r="H1011" s="37">
        <v>2.4117537067944625</v>
      </c>
      <c r="I1011" s="37">
        <v>78.386323815591737</v>
      </c>
      <c r="J1011" s="10">
        <v>0</v>
      </c>
      <c r="K1011" s="38">
        <v>0</v>
      </c>
      <c r="L1011" s="38">
        <v>0</v>
      </c>
      <c r="M1011" s="38">
        <v>0</v>
      </c>
      <c r="N1011" s="38">
        <v>0</v>
      </c>
      <c r="O1011" s="38">
        <v>0</v>
      </c>
      <c r="P1011" s="38">
        <v>0</v>
      </c>
      <c r="Q1011" s="38">
        <v>0</v>
      </c>
      <c r="R1011" s="38">
        <v>0</v>
      </c>
      <c r="S1011" s="38">
        <v>0</v>
      </c>
      <c r="T1011" s="38">
        <v>1</v>
      </c>
      <c r="U1011" s="29" cm="1">
        <f t="array" aca="1" ref="U1011" ca="1">+fair_value_gap(OFFSET(T1010,0,0,-1*$J$5,-1*$AA$1),OFFSET(E1010,0,0,-1*$J$5,1),F1011:T1011,0)</f>
        <v>21.402515197469924</v>
      </c>
      <c r="V1011" s="9" cm="1">
        <f t="array" aca="1" ref="V1011" ca="1">z_score_diff(OFFSET(U1011,0,0,$J$5*-1,1),OFFSET(E1011,0,0,$J$5*-1,1))</f>
        <v>-2.1950925083728944E-2</v>
      </c>
      <c r="W1011" s="9">
        <f t="shared" ca="1" si="151"/>
        <v>9.4649964942123188E-2</v>
      </c>
      <c r="X1011" s="17">
        <f t="shared" ca="1" si="150"/>
        <v>-3.843247004663139E-2</v>
      </c>
      <c r="Y1011" s="13">
        <f t="shared" si="158"/>
        <v>0</v>
      </c>
      <c r="Z1011" s="13">
        <f t="shared" si="158"/>
        <v>0</v>
      </c>
      <c r="AA1011">
        <f t="shared" ca="1" si="152"/>
        <v>0</v>
      </c>
      <c r="AB1011">
        <f t="shared" ca="1" si="153"/>
        <v>1</v>
      </c>
      <c r="AC1011" s="24">
        <f t="shared" ca="1" si="154"/>
        <v>0</v>
      </c>
      <c r="AD1011" s="24">
        <f t="shared" ca="1" si="155"/>
        <v>-3.843247004663139E-2</v>
      </c>
    </row>
    <row r="1012" spans="3:30" x14ac:dyDescent="0.25">
      <c r="C1012" s="6">
        <v>1005</v>
      </c>
      <c r="D1012" s="35">
        <v>43433</v>
      </c>
      <c r="E1012" s="37">
        <v>21.654</v>
      </c>
      <c r="F1012" s="37">
        <v>52.348510772144856</v>
      </c>
      <c r="G1012" s="37">
        <v>54.58</v>
      </c>
      <c r="H1012" s="37">
        <v>2.3858408425535154</v>
      </c>
      <c r="I1012" s="37">
        <v>78.980750818323543</v>
      </c>
      <c r="J1012" s="10">
        <v>0</v>
      </c>
      <c r="K1012" s="38">
        <v>0</v>
      </c>
      <c r="L1012" s="38">
        <v>0</v>
      </c>
      <c r="M1012" s="38">
        <v>0</v>
      </c>
      <c r="N1012" s="38">
        <v>0</v>
      </c>
      <c r="O1012" s="38">
        <v>0</v>
      </c>
      <c r="P1012" s="38">
        <v>0</v>
      </c>
      <c r="Q1012" s="38">
        <v>0</v>
      </c>
      <c r="R1012" s="38">
        <v>0</v>
      </c>
      <c r="S1012" s="38">
        <v>0</v>
      </c>
      <c r="T1012" s="38">
        <v>1</v>
      </c>
      <c r="U1012" s="29" cm="1">
        <f t="array" aca="1" ref="U1012" ca="1">+fair_value_gap(OFFSET(T1011,0,0,-1*$J$5,-1*$AA$1),OFFSET(E1011,0,0,-1*$J$5,1),F1012:T1012,0)</f>
        <v>21.577990055024149</v>
      </c>
      <c r="V1012" s="9" cm="1">
        <f t="array" aca="1" ref="V1012" ca="1">z_score_diff(OFFSET(U1012,0,0,$J$5*-1,1),OFFSET(E1012,0,0,$J$5*-1,1))</f>
        <v>-2.8094765461355503E-2</v>
      </c>
      <c r="W1012" s="9">
        <f t="shared" ca="1" si="151"/>
        <v>7.1115656021633999E-2</v>
      </c>
      <c r="X1012" s="17">
        <f t="shared" ca="1" si="150"/>
        <v>-7.4719166987542079E-2</v>
      </c>
      <c r="Y1012" s="13">
        <f t="shared" si="158"/>
        <v>0</v>
      </c>
      <c r="Z1012" s="13">
        <f t="shared" si="158"/>
        <v>0</v>
      </c>
      <c r="AA1012">
        <f t="shared" ca="1" si="152"/>
        <v>0</v>
      </c>
      <c r="AB1012">
        <f t="shared" ca="1" si="153"/>
        <v>1</v>
      </c>
      <c r="AC1012" s="24">
        <f t="shared" ca="1" si="154"/>
        <v>0</v>
      </c>
      <c r="AD1012" s="24">
        <f t="shared" ca="1" si="155"/>
        <v>-7.4719166987542079E-2</v>
      </c>
    </row>
    <row r="1013" spans="3:30" x14ac:dyDescent="0.25">
      <c r="C1013" s="6">
        <v>1006</v>
      </c>
      <c r="D1013" s="35">
        <v>43434</v>
      </c>
      <c r="E1013" s="37">
        <v>21.292999999999999</v>
      </c>
      <c r="F1013" s="37">
        <v>52.12187510054374</v>
      </c>
      <c r="G1013" s="37">
        <v>53.9</v>
      </c>
      <c r="H1013" s="37">
        <v>2.4173976106024626</v>
      </c>
      <c r="I1013" s="37">
        <v>79.608903327573898</v>
      </c>
      <c r="J1013" s="10">
        <v>0</v>
      </c>
      <c r="K1013" s="38">
        <v>0</v>
      </c>
      <c r="L1013" s="38">
        <v>0</v>
      </c>
      <c r="M1013" s="38">
        <v>0</v>
      </c>
      <c r="N1013" s="38">
        <v>0</v>
      </c>
      <c r="O1013" s="38">
        <v>0</v>
      </c>
      <c r="P1013" s="38">
        <v>0</v>
      </c>
      <c r="Q1013" s="38">
        <v>0</v>
      </c>
      <c r="R1013" s="38">
        <v>0</v>
      </c>
      <c r="S1013" s="38">
        <v>0</v>
      </c>
      <c r="T1013" s="38">
        <v>1</v>
      </c>
      <c r="U1013" s="29" cm="1">
        <f t="array" aca="1" ref="U1013" ca="1">+fair_value_gap(OFFSET(T1012,0,0,-1*$J$5,-1*$AA$1),OFFSET(E1012,0,0,-1*$J$5,1),F1013:T1013,0)</f>
        <v>21.349366881683824</v>
      </c>
      <c r="V1013" s="9" cm="1">
        <f t="array" aca="1" ref="V1013" ca="1">z_score_diff(OFFSET(U1013,0,0,$J$5*-1,1),OFFSET(E1013,0,0,$J$5*-1,1))</f>
        <v>9.6930327856646972E-3</v>
      </c>
      <c r="W1013" s="9">
        <f t="shared" ca="1" si="151"/>
        <v>6.0488314857839932E-2</v>
      </c>
      <c r="X1013" s="17">
        <f t="shared" ca="1" si="150"/>
        <v>-5.3290011726245631E-2</v>
      </c>
      <c r="Y1013" s="13">
        <f t="shared" si="158"/>
        <v>0</v>
      </c>
      <c r="Z1013" s="13">
        <f t="shared" si="158"/>
        <v>0</v>
      </c>
      <c r="AA1013">
        <f t="shared" ca="1" si="152"/>
        <v>0</v>
      </c>
      <c r="AB1013">
        <f t="shared" ca="1" si="153"/>
        <v>1</v>
      </c>
      <c r="AC1013" s="24">
        <f t="shared" ca="1" si="154"/>
        <v>0</v>
      </c>
      <c r="AD1013" s="24">
        <f t="shared" ca="1" si="155"/>
        <v>-5.3290011726245631E-2</v>
      </c>
    </row>
    <row r="1014" spans="3:30" x14ac:dyDescent="0.25">
      <c r="C1014" s="6">
        <v>1007</v>
      </c>
      <c r="D1014" s="35">
        <v>43437</v>
      </c>
      <c r="E1014" s="37">
        <v>21.41</v>
      </c>
      <c r="F1014" s="37">
        <v>53.929595913799339</v>
      </c>
      <c r="G1014" s="37">
        <v>54.51</v>
      </c>
      <c r="H1014" s="37">
        <v>2.4359775682008702</v>
      </c>
      <c r="I1014" s="37">
        <v>79.147598568234685</v>
      </c>
      <c r="J1014" s="10">
        <v>0</v>
      </c>
      <c r="K1014" s="38">
        <v>0</v>
      </c>
      <c r="L1014" s="38">
        <v>0</v>
      </c>
      <c r="M1014" s="38">
        <v>0</v>
      </c>
      <c r="N1014" s="38">
        <v>0</v>
      </c>
      <c r="O1014" s="38">
        <v>0</v>
      </c>
      <c r="P1014" s="38">
        <v>0</v>
      </c>
      <c r="Q1014" s="38">
        <v>0</v>
      </c>
      <c r="R1014" s="38">
        <v>0</v>
      </c>
      <c r="S1014" s="38">
        <v>0</v>
      </c>
      <c r="T1014" s="38">
        <v>0</v>
      </c>
      <c r="U1014" s="29" cm="1">
        <f t="array" aca="1" ref="U1014" ca="1">+fair_value_gap(OFFSET(T1013,0,0,-1*$J$5,-1*$AA$1),OFFSET(E1013,0,0,-1*$J$5,1),F1014:T1014,0)</f>
        <v>22.864427827408601</v>
      </c>
      <c r="V1014" s="9" cm="1">
        <f t="array" aca="1" ref="V1014" ca="1">z_score_diff(OFFSET(U1014,0,0,$J$5*-1,1),OFFSET(E1014,0,0,$J$5*-1,1))</f>
        <v>0.40846939374230828</v>
      </c>
      <c r="W1014" s="9">
        <f t="shared" ca="1" si="151"/>
        <v>7.1022027022500073E-2</v>
      </c>
      <c r="X1014" s="17">
        <f t="shared" ca="1" si="150"/>
        <v>-6.8025834047267184E-2</v>
      </c>
      <c r="Y1014" s="13">
        <f t="shared" si="158"/>
        <v>0</v>
      </c>
      <c r="Z1014" s="13">
        <f t="shared" si="158"/>
        <v>0</v>
      </c>
      <c r="AA1014">
        <f t="shared" ca="1" si="152"/>
        <v>0</v>
      </c>
      <c r="AB1014">
        <f t="shared" ca="1" si="153"/>
        <v>1</v>
      </c>
      <c r="AC1014" s="24">
        <f t="shared" ca="1" si="154"/>
        <v>0</v>
      </c>
      <c r="AD1014" s="24">
        <f t="shared" ca="1" si="155"/>
        <v>-6.8025834047267184E-2</v>
      </c>
    </row>
    <row r="1015" spans="3:30" x14ac:dyDescent="0.25">
      <c r="C1015" s="6">
        <v>1008</v>
      </c>
      <c r="D1015" s="35">
        <v>43438</v>
      </c>
      <c r="E1015" s="37">
        <v>21.305</v>
      </c>
      <c r="F1015" s="37">
        <v>54.450854113182473</v>
      </c>
      <c r="G1015" s="37">
        <v>53.89</v>
      </c>
      <c r="H1015" s="37">
        <v>2.4752754427168515</v>
      </c>
      <c r="I1015" s="37">
        <v>79.515946135646487</v>
      </c>
      <c r="J1015" s="10">
        <v>0</v>
      </c>
      <c r="K1015" s="38">
        <v>0</v>
      </c>
      <c r="L1015" s="38">
        <v>0</v>
      </c>
      <c r="M1015" s="38">
        <v>0</v>
      </c>
      <c r="N1015" s="38">
        <v>0</v>
      </c>
      <c r="O1015" s="38">
        <v>0</v>
      </c>
      <c r="P1015" s="38">
        <v>0</v>
      </c>
      <c r="Q1015" s="38">
        <v>0</v>
      </c>
      <c r="R1015" s="38">
        <v>0</v>
      </c>
      <c r="S1015" s="38">
        <v>0</v>
      </c>
      <c r="T1015" s="38">
        <v>0</v>
      </c>
      <c r="U1015" s="29" cm="1">
        <f t="array" aca="1" ref="U1015" ca="1">+fair_value_gap(OFFSET(T1014,0,0,-1*$J$5,-1*$AA$1),OFFSET(E1014,0,0,-1*$J$5,1),F1015:T1015,0)</f>
        <v>22.235513255939683</v>
      </c>
      <c r="V1015" s="9" cm="1">
        <f t="array" aca="1" ref="V1015" ca="1">z_score_diff(OFFSET(U1015,0,0,$J$5*-1,1),OFFSET(E1015,0,0,$J$5*-1,1))</f>
        <v>0.25791098527476636</v>
      </c>
      <c r="W1015" s="9">
        <f t="shared" ca="1" si="151"/>
        <v>7.5828081630582619E-2</v>
      </c>
      <c r="X1015" s="17">
        <f t="shared" ca="1" si="150"/>
        <v>-4.0910005903117365E-2</v>
      </c>
      <c r="Y1015" s="13">
        <f t="shared" si="158"/>
        <v>0</v>
      </c>
      <c r="Z1015" s="13">
        <f t="shared" si="158"/>
        <v>0</v>
      </c>
      <c r="AA1015">
        <f t="shared" ca="1" si="152"/>
        <v>0</v>
      </c>
      <c r="AB1015">
        <f t="shared" ca="1" si="153"/>
        <v>1</v>
      </c>
      <c r="AC1015" s="24">
        <f t="shared" ca="1" si="154"/>
        <v>0</v>
      </c>
      <c r="AD1015" s="24">
        <f t="shared" ca="1" si="155"/>
        <v>-4.0910005903117365E-2</v>
      </c>
    </row>
    <row r="1016" spans="3:30" x14ac:dyDescent="0.25">
      <c r="C1016" s="6">
        <v>1009</v>
      </c>
      <c r="D1016" s="35">
        <v>43439</v>
      </c>
      <c r="E1016" s="37">
        <v>21.015000000000001</v>
      </c>
      <c r="F1016" s="37">
        <v>54.124241154719869</v>
      </c>
      <c r="G1016" s="37">
        <v>53.48</v>
      </c>
      <c r="H1016" s="37">
        <v>2.4858986402151788</v>
      </c>
      <c r="I1016" s="37">
        <v>79.321504064088657</v>
      </c>
      <c r="J1016" s="10">
        <v>0</v>
      </c>
      <c r="K1016" s="38">
        <v>0</v>
      </c>
      <c r="L1016" s="38">
        <v>0</v>
      </c>
      <c r="M1016" s="38">
        <v>0</v>
      </c>
      <c r="N1016" s="38">
        <v>0</v>
      </c>
      <c r="O1016" s="38">
        <v>0</v>
      </c>
      <c r="P1016" s="38">
        <v>0</v>
      </c>
      <c r="Q1016" s="38">
        <v>0</v>
      </c>
      <c r="R1016" s="38">
        <v>0</v>
      </c>
      <c r="S1016" s="38">
        <v>0</v>
      </c>
      <c r="T1016" s="38">
        <v>0</v>
      </c>
      <c r="U1016" s="29" cm="1">
        <f t="array" aca="1" ref="U1016" ca="1">+fair_value_gap(OFFSET(T1015,0,0,-1*$J$5,-1*$AA$1),OFFSET(E1015,0,0,-1*$J$5,1),F1016:T1016,0)</f>
        <v>21.870622450968632</v>
      </c>
      <c r="V1016" s="9" cm="1">
        <f t="array" aca="1" ref="V1016" ca="1">z_score_diff(OFFSET(U1016,0,0,$J$5*-1,1),OFFSET(E1016,0,0,$J$5*-1,1))</f>
        <v>0.23623753076955931</v>
      </c>
      <c r="W1016" s="9">
        <f t="shared" ca="1" si="151"/>
        <v>7.9431898468284176E-2</v>
      </c>
      <c r="X1016" s="17">
        <f t="shared" ca="1" si="150"/>
        <v>-6.011024069031335E-2</v>
      </c>
      <c r="Y1016" s="13">
        <f t="shared" si="158"/>
        <v>0</v>
      </c>
      <c r="Z1016" s="13">
        <f t="shared" si="158"/>
        <v>0</v>
      </c>
      <c r="AA1016">
        <f t="shared" ca="1" si="152"/>
        <v>0</v>
      </c>
      <c r="AB1016">
        <f t="shared" ca="1" si="153"/>
        <v>1</v>
      </c>
      <c r="AC1016" s="24">
        <f t="shared" ca="1" si="154"/>
        <v>0</v>
      </c>
      <c r="AD1016" s="24">
        <f t="shared" ca="1" si="155"/>
        <v>-6.011024069031335E-2</v>
      </c>
    </row>
    <row r="1017" spans="3:30" x14ac:dyDescent="0.25">
      <c r="C1017" s="6">
        <v>1010</v>
      </c>
      <c r="D1017" s="35">
        <v>43440</v>
      </c>
      <c r="E1017" s="37">
        <v>20.914000000000001</v>
      </c>
      <c r="F1017" s="37">
        <v>52.818438562474014</v>
      </c>
      <c r="G1017" s="37">
        <v>52.98</v>
      </c>
      <c r="H1017" s="37">
        <v>2.4714879844535713</v>
      </c>
      <c r="I1017" s="37">
        <v>79.832779071104341</v>
      </c>
      <c r="J1017" s="10">
        <v>0</v>
      </c>
      <c r="K1017" s="38">
        <v>0</v>
      </c>
      <c r="L1017" s="38">
        <v>0</v>
      </c>
      <c r="M1017" s="38">
        <v>0</v>
      </c>
      <c r="N1017" s="38">
        <v>0</v>
      </c>
      <c r="O1017" s="38">
        <v>0</v>
      </c>
      <c r="P1017" s="38">
        <v>0</v>
      </c>
      <c r="Q1017" s="38">
        <v>0</v>
      </c>
      <c r="R1017" s="38">
        <v>0</v>
      </c>
      <c r="S1017" s="38">
        <v>0</v>
      </c>
      <c r="T1017" s="38">
        <v>0</v>
      </c>
      <c r="U1017" s="29" cm="1">
        <f t="array" aca="1" ref="U1017" ca="1">+fair_value_gap(OFFSET(T1016,0,0,-1*$J$5,-1*$AA$1),OFFSET(E1016,0,0,-1*$J$5,1),F1017:T1017,0)</f>
        <v>21.520678196553174</v>
      </c>
      <c r="V1017" s="9" cm="1">
        <f t="array" aca="1" ref="V1017" ca="1">z_score_diff(OFFSET(U1017,0,0,$J$5*-1,1),OFFSET(E1017,0,0,$J$5*-1,1))</f>
        <v>0.16386174138948906</v>
      </c>
      <c r="W1017" s="9">
        <f t="shared" ca="1" si="151"/>
        <v>7.3896419425657833E-2</v>
      </c>
      <c r="X1017" s="17">
        <f t="shared" ca="1" si="150"/>
        <v>-3.5132304817594426E-2</v>
      </c>
      <c r="Y1017" s="13">
        <f t="shared" ref="Y1017:Z1032" si="159">+Y1016</f>
        <v>0</v>
      </c>
      <c r="Z1017" s="13">
        <f t="shared" si="159"/>
        <v>0</v>
      </c>
      <c r="AA1017">
        <f t="shared" ca="1" si="152"/>
        <v>0</v>
      </c>
      <c r="AB1017">
        <f t="shared" ca="1" si="153"/>
        <v>1</v>
      </c>
      <c r="AC1017" s="24">
        <f t="shared" ca="1" si="154"/>
        <v>0</v>
      </c>
      <c r="AD1017" s="24">
        <f t="shared" ca="1" si="155"/>
        <v>-3.5132304817594426E-2</v>
      </c>
    </row>
    <row r="1018" spans="3:30" x14ac:dyDescent="0.25">
      <c r="C1018" s="6">
        <v>1011</v>
      </c>
      <c r="D1018" s="35">
        <v>43441</v>
      </c>
      <c r="E1018" s="37">
        <v>21.117999999999999</v>
      </c>
      <c r="F1018" s="37">
        <v>53.832514355480967</v>
      </c>
      <c r="G1018" s="37">
        <v>53.23</v>
      </c>
      <c r="H1018" s="37">
        <v>2.4953298848541587</v>
      </c>
      <c r="I1018" s="37">
        <v>79.76944946568706</v>
      </c>
      <c r="J1018" s="10">
        <v>0</v>
      </c>
      <c r="K1018" s="38">
        <v>0</v>
      </c>
      <c r="L1018" s="38">
        <v>0</v>
      </c>
      <c r="M1018" s="38">
        <v>0</v>
      </c>
      <c r="N1018" s="38">
        <v>0</v>
      </c>
      <c r="O1018" s="38">
        <v>0</v>
      </c>
      <c r="P1018" s="38">
        <v>0</v>
      </c>
      <c r="Q1018" s="38">
        <v>0</v>
      </c>
      <c r="R1018" s="38">
        <v>0</v>
      </c>
      <c r="S1018" s="38">
        <v>0</v>
      </c>
      <c r="T1018" s="38">
        <v>0</v>
      </c>
      <c r="U1018" s="29" cm="1">
        <f t="array" aca="1" ref="U1018" ca="1">+fair_value_gap(OFFSET(T1017,0,0,-1*$J$5,-1*$AA$1),OFFSET(E1017,0,0,-1*$J$5,1),F1018:T1018,0)</f>
        <v>21.533346324522199</v>
      </c>
      <c r="V1018" s="9" cm="1">
        <f t="array" aca="1" ref="V1018" ca="1">z_score_diff(OFFSET(U1018,0,0,$J$5*-1,1),OFFSET(E1018,0,0,$J$5*-1,1))</f>
        <v>0.1083096172240629</v>
      </c>
      <c r="W1018" s="9">
        <f t="shared" ca="1" si="151"/>
        <v>6.9506633889888189E-2</v>
      </c>
      <c r="X1018" s="17">
        <f t="shared" ca="1" si="150"/>
        <v>-6.3282877676248697E-2</v>
      </c>
      <c r="Y1018" s="13">
        <f t="shared" si="159"/>
        <v>0</v>
      </c>
      <c r="Z1018" s="13">
        <f t="shared" si="159"/>
        <v>0</v>
      </c>
      <c r="AA1018">
        <f t="shared" ca="1" si="152"/>
        <v>0</v>
      </c>
      <c r="AB1018">
        <f t="shared" ca="1" si="153"/>
        <v>1</v>
      </c>
      <c r="AC1018" s="24">
        <f t="shared" ca="1" si="154"/>
        <v>0</v>
      </c>
      <c r="AD1018" s="24">
        <f t="shared" ca="1" si="155"/>
        <v>-6.3282877676248697E-2</v>
      </c>
    </row>
    <row r="1019" spans="3:30" x14ac:dyDescent="0.25">
      <c r="C1019" s="6">
        <v>1012</v>
      </c>
      <c r="D1019" s="35">
        <v>43444</v>
      </c>
      <c r="E1019" s="37">
        <v>21.161000000000001</v>
      </c>
      <c r="F1019" s="37">
        <v>52.548224828732828</v>
      </c>
      <c r="G1019" s="37">
        <v>53.51</v>
      </c>
      <c r="H1019" s="37">
        <v>2.4930500595090006</v>
      </c>
      <c r="I1019" s="37">
        <v>80.356655256079407</v>
      </c>
      <c r="J1019" s="10">
        <v>0</v>
      </c>
      <c r="K1019" s="38">
        <v>0</v>
      </c>
      <c r="L1019" s="38">
        <v>0</v>
      </c>
      <c r="M1019" s="38">
        <v>0</v>
      </c>
      <c r="N1019" s="38">
        <v>0</v>
      </c>
      <c r="O1019" s="38">
        <v>0</v>
      </c>
      <c r="P1019" s="38">
        <v>0</v>
      </c>
      <c r="Q1019" s="38">
        <v>0</v>
      </c>
      <c r="R1019" s="38">
        <v>0</v>
      </c>
      <c r="S1019" s="38">
        <v>0</v>
      </c>
      <c r="T1019" s="38">
        <v>0</v>
      </c>
      <c r="U1019" s="29" cm="1">
        <f t="array" aca="1" ref="U1019" ca="1">+fair_value_gap(OFFSET(T1018,0,0,-1*$J$5,-1*$AA$1),OFFSET(E1018,0,0,-1*$J$5,1),F1019:T1019,0)</f>
        <v>21.506029990830445</v>
      </c>
      <c r="V1019" s="9" cm="1">
        <f t="array" aca="1" ref="V1019" ca="1">z_score_diff(OFFSET(U1019,0,0,$J$5*-1,1),OFFSET(E1019,0,0,$J$5*-1,1))</f>
        <v>8.7758125951906837E-2</v>
      </c>
      <c r="W1019" s="9">
        <f t="shared" ca="1" si="151"/>
        <v>7.1647974228107841E-2</v>
      </c>
      <c r="X1019" s="17">
        <f t="shared" ca="1" si="150"/>
        <v>-6.2596580444172392E-2</v>
      </c>
      <c r="Y1019" s="13">
        <f t="shared" si="159"/>
        <v>0</v>
      </c>
      <c r="Z1019" s="13">
        <f t="shared" si="159"/>
        <v>0</v>
      </c>
      <c r="AA1019">
        <f t="shared" ca="1" si="152"/>
        <v>0</v>
      </c>
      <c r="AB1019">
        <f t="shared" ca="1" si="153"/>
        <v>1</v>
      </c>
      <c r="AC1019" s="24">
        <f t="shared" ca="1" si="154"/>
        <v>0</v>
      </c>
      <c r="AD1019" s="24">
        <f t="shared" ca="1" si="155"/>
        <v>-6.2596580444172392E-2</v>
      </c>
    </row>
    <row r="1020" spans="3:30" x14ac:dyDescent="0.25">
      <c r="C1020" s="6">
        <v>1013</v>
      </c>
      <c r="D1020" s="35">
        <v>43445</v>
      </c>
      <c r="E1020" s="37">
        <v>21.346</v>
      </c>
      <c r="F1020" s="37">
        <v>52.962031126929787</v>
      </c>
      <c r="G1020" s="37">
        <v>54.26</v>
      </c>
      <c r="H1020" s="37">
        <v>2.5246509913428117</v>
      </c>
      <c r="I1020" s="37">
        <v>81.155705937276679</v>
      </c>
      <c r="J1020" s="10">
        <v>0</v>
      </c>
      <c r="K1020" s="38">
        <v>0</v>
      </c>
      <c r="L1020" s="38">
        <v>0</v>
      </c>
      <c r="M1020" s="38">
        <v>0</v>
      </c>
      <c r="N1020" s="38">
        <v>0</v>
      </c>
      <c r="O1020" s="38">
        <v>0</v>
      </c>
      <c r="P1020" s="38">
        <v>0</v>
      </c>
      <c r="Q1020" s="38">
        <v>0</v>
      </c>
      <c r="R1020" s="38">
        <v>0</v>
      </c>
      <c r="S1020" s="38">
        <v>0</v>
      </c>
      <c r="T1020" s="38">
        <v>0</v>
      </c>
      <c r="U1020" s="29" cm="1">
        <f t="array" aca="1" ref="U1020" ca="1">+fair_value_gap(OFFSET(T1019,0,0,-1*$J$5,-1*$AA$1),OFFSET(E1019,0,0,-1*$J$5,1),F1020:T1020,0)</f>
        <v>21.723328288430174</v>
      </c>
      <c r="V1020" s="9" cm="1">
        <f t="array" aca="1" ref="V1020" ca="1">z_score_diff(OFFSET(U1020,0,0,$J$5*-1,1),OFFSET(E1020,0,0,$J$5*-1,1))</f>
        <v>9.7033779976315016E-2</v>
      </c>
      <c r="W1020" s="9">
        <f t="shared" ca="1" si="151"/>
        <v>7.6057854335014968E-2</v>
      </c>
      <c r="X1020" s="17">
        <f t="shared" ca="1" si="150"/>
        <v>-5.1771743235945931E-2</v>
      </c>
      <c r="Y1020" s="13">
        <f t="shared" si="159"/>
        <v>0</v>
      </c>
      <c r="Z1020" s="13">
        <f t="shared" si="159"/>
        <v>0</v>
      </c>
      <c r="AA1020">
        <f t="shared" ca="1" si="152"/>
        <v>0</v>
      </c>
      <c r="AB1020">
        <f t="shared" ca="1" si="153"/>
        <v>1</v>
      </c>
      <c r="AC1020" s="24">
        <f t="shared" ca="1" si="154"/>
        <v>0</v>
      </c>
      <c r="AD1020" s="24">
        <f t="shared" ca="1" si="155"/>
        <v>-5.1771743235945931E-2</v>
      </c>
    </row>
    <row r="1021" spans="3:30" x14ac:dyDescent="0.25">
      <c r="C1021" s="6">
        <v>1014</v>
      </c>
      <c r="D1021" s="35">
        <v>43446</v>
      </c>
      <c r="E1021" s="37">
        <v>21.68</v>
      </c>
      <c r="F1021" s="37">
        <v>52.714927030759178</v>
      </c>
      <c r="G1021" s="37">
        <v>55.23</v>
      </c>
      <c r="H1021" s="37">
        <v>2.4594523885016484</v>
      </c>
      <c r="I1021" s="37">
        <v>81.086559902696123</v>
      </c>
      <c r="J1021" s="10">
        <v>0</v>
      </c>
      <c r="K1021" s="38">
        <v>0</v>
      </c>
      <c r="L1021" s="38">
        <v>0</v>
      </c>
      <c r="M1021" s="38">
        <v>0</v>
      </c>
      <c r="N1021" s="38">
        <v>0</v>
      </c>
      <c r="O1021" s="38">
        <v>0</v>
      </c>
      <c r="P1021" s="38">
        <v>0</v>
      </c>
      <c r="Q1021" s="38">
        <v>0</v>
      </c>
      <c r="R1021" s="38">
        <v>0</v>
      </c>
      <c r="S1021" s="38">
        <v>0</v>
      </c>
      <c r="T1021" s="38">
        <v>0</v>
      </c>
      <c r="U1021" s="29" cm="1">
        <f t="array" aca="1" ref="U1021" ca="1">+fair_value_gap(OFFSET(T1020,0,0,-1*$J$5,-1*$AA$1),OFFSET(E1020,0,0,-1*$J$5,1),F1021:T1021,0)</f>
        <v>21.961516032618327</v>
      </c>
      <c r="V1021" s="9" cm="1">
        <f t="array" aca="1" ref="V1021" ca="1">z_score_diff(OFFSET(U1021,0,0,$J$5*-1,1),OFFSET(E1021,0,0,$J$5*-1,1))</f>
        <v>6.8833337106830442E-2</v>
      </c>
      <c r="W1021" s="9">
        <f t="shared" ca="1" si="151"/>
        <v>7.7820928446269116E-2</v>
      </c>
      <c r="X1021" s="17">
        <f t="shared" ca="1" si="150"/>
        <v>-8.4414951895166693E-2</v>
      </c>
      <c r="Y1021" s="13">
        <f t="shared" si="159"/>
        <v>0</v>
      </c>
      <c r="Z1021" s="13">
        <f t="shared" si="159"/>
        <v>0</v>
      </c>
      <c r="AA1021">
        <f t="shared" ca="1" si="152"/>
        <v>0</v>
      </c>
      <c r="AB1021">
        <f t="shared" ca="1" si="153"/>
        <v>1</v>
      </c>
      <c r="AC1021" s="24">
        <f t="shared" ca="1" si="154"/>
        <v>0</v>
      </c>
      <c r="AD1021" s="24">
        <f t="shared" ca="1" si="155"/>
        <v>-8.4414951895166693E-2</v>
      </c>
    </row>
    <row r="1022" spans="3:30" x14ac:dyDescent="0.25">
      <c r="C1022" s="6">
        <v>1015</v>
      </c>
      <c r="D1022" s="35">
        <v>43447</v>
      </c>
      <c r="E1022" s="37">
        <v>21.931000000000001</v>
      </c>
      <c r="F1022" s="37">
        <v>53.880337141916655</v>
      </c>
      <c r="G1022" s="37">
        <v>56.15</v>
      </c>
      <c r="H1022" s="37">
        <v>2.4402075519096336</v>
      </c>
      <c r="I1022" s="37">
        <v>81.946622084008283</v>
      </c>
      <c r="J1022" s="10">
        <v>0</v>
      </c>
      <c r="K1022" s="38">
        <v>0</v>
      </c>
      <c r="L1022" s="38">
        <v>0</v>
      </c>
      <c r="M1022" s="38">
        <v>0</v>
      </c>
      <c r="N1022" s="38">
        <v>0</v>
      </c>
      <c r="O1022" s="38">
        <v>0</v>
      </c>
      <c r="P1022" s="38">
        <v>0</v>
      </c>
      <c r="Q1022" s="38">
        <v>0</v>
      </c>
      <c r="R1022" s="38">
        <v>0</v>
      </c>
      <c r="S1022" s="38">
        <v>0</v>
      </c>
      <c r="T1022" s="38">
        <v>0</v>
      </c>
      <c r="U1022" s="29" cm="1">
        <f t="array" aca="1" ref="U1022" ca="1">+fair_value_gap(OFFSET(T1021,0,0,-1*$J$5,-1*$AA$1),OFFSET(E1021,0,0,-1*$J$5,1),F1022:T1022,0)</f>
        <v>22.291393713935321</v>
      </c>
      <c r="V1022" s="9" cm="1">
        <f t="array" aca="1" ref="V1022" ca="1">z_score_diff(OFFSET(U1022,0,0,$J$5*-1,1),OFFSET(E1022,0,0,$J$5*-1,1))</f>
        <v>9.1855458477675067E-2</v>
      </c>
      <c r="W1022" s="9">
        <f t="shared" ca="1" si="151"/>
        <v>8.3715353861472247E-2</v>
      </c>
      <c r="X1022" s="17">
        <f t="shared" ca="1" si="150"/>
        <v>-7.9993311541243478E-2</v>
      </c>
      <c r="Y1022" s="13">
        <f t="shared" si="159"/>
        <v>0</v>
      </c>
      <c r="Z1022" s="13">
        <f t="shared" si="159"/>
        <v>0</v>
      </c>
      <c r="AA1022">
        <f t="shared" ca="1" si="152"/>
        <v>0</v>
      </c>
      <c r="AB1022">
        <f t="shared" ca="1" si="153"/>
        <v>1</v>
      </c>
      <c r="AC1022" s="24">
        <f t="shared" ca="1" si="154"/>
        <v>0</v>
      </c>
      <c r="AD1022" s="24">
        <f t="shared" ca="1" si="155"/>
        <v>-7.9993311541243478E-2</v>
      </c>
    </row>
    <row r="1023" spans="3:30" x14ac:dyDescent="0.25">
      <c r="C1023" s="6">
        <v>1016</v>
      </c>
      <c r="D1023" s="35">
        <v>43448</v>
      </c>
      <c r="E1023" s="37">
        <v>22.327999999999999</v>
      </c>
      <c r="F1023" s="37">
        <v>53.203668798237857</v>
      </c>
      <c r="G1023" s="37">
        <v>57.26</v>
      </c>
      <c r="H1023" s="37">
        <v>2.4647289538178918</v>
      </c>
      <c r="I1023" s="37">
        <v>82.839618493738058</v>
      </c>
      <c r="J1023" s="10">
        <v>0</v>
      </c>
      <c r="K1023" s="38">
        <v>0</v>
      </c>
      <c r="L1023" s="38">
        <v>0</v>
      </c>
      <c r="M1023" s="38">
        <v>0</v>
      </c>
      <c r="N1023" s="38">
        <v>0</v>
      </c>
      <c r="O1023" s="38">
        <v>0</v>
      </c>
      <c r="P1023" s="38">
        <v>0</v>
      </c>
      <c r="Q1023" s="38">
        <v>0</v>
      </c>
      <c r="R1023" s="38">
        <v>0</v>
      </c>
      <c r="S1023" s="38">
        <v>0</v>
      </c>
      <c r="T1023" s="38">
        <v>0</v>
      </c>
      <c r="U1023" s="29" cm="1">
        <f t="array" aca="1" ref="U1023" ca="1">+fair_value_gap(OFFSET(T1022,0,0,-1*$J$5,-1*$AA$1),OFFSET(E1022,0,0,-1*$J$5,1),F1023:T1023,0)</f>
        <v>22.550200921368493</v>
      </c>
      <c r="V1023" s="9" cm="1">
        <f t="array" aca="1" ref="V1023" ca="1">z_score_diff(OFFSET(U1023,0,0,$J$5*-1,1),OFFSET(E1023,0,0,$J$5*-1,1))</f>
        <v>5.1364071719225246E-2</v>
      </c>
      <c r="W1023" s="9">
        <f t="shared" ca="1" si="151"/>
        <v>8.3016741815754622E-2</v>
      </c>
      <c r="X1023" s="17">
        <f t="shared" ca="1" si="150"/>
        <v>-9.0404639405694612E-2</v>
      </c>
      <c r="Y1023" s="13">
        <f t="shared" si="159"/>
        <v>0</v>
      </c>
      <c r="Z1023" s="13">
        <f t="shared" si="159"/>
        <v>0</v>
      </c>
      <c r="AA1023">
        <f t="shared" ca="1" si="152"/>
        <v>0</v>
      </c>
      <c r="AB1023">
        <f t="shared" ca="1" si="153"/>
        <v>1</v>
      </c>
      <c r="AC1023" s="24">
        <f t="shared" ca="1" si="154"/>
        <v>0</v>
      </c>
      <c r="AD1023" s="24">
        <f t="shared" ca="1" si="155"/>
        <v>-9.0404639405694612E-2</v>
      </c>
    </row>
    <row r="1024" spans="3:30" x14ac:dyDescent="0.25">
      <c r="C1024" s="6">
        <v>1017</v>
      </c>
      <c r="D1024" s="35">
        <v>43451</v>
      </c>
      <c r="E1024" s="37">
        <v>22.378</v>
      </c>
      <c r="F1024" s="37">
        <v>52.429666409522383</v>
      </c>
      <c r="G1024" s="37">
        <v>57.92</v>
      </c>
      <c r="H1024" s="37">
        <v>2.3932641502393697</v>
      </c>
      <c r="I1024" s="37">
        <v>83.130785204108633</v>
      </c>
      <c r="J1024" s="10">
        <v>0</v>
      </c>
      <c r="K1024" s="38">
        <v>0</v>
      </c>
      <c r="L1024" s="38">
        <v>0</v>
      </c>
      <c r="M1024" s="38">
        <v>0</v>
      </c>
      <c r="N1024" s="38">
        <v>0</v>
      </c>
      <c r="O1024" s="38">
        <v>0</v>
      </c>
      <c r="P1024" s="38">
        <v>0</v>
      </c>
      <c r="Q1024" s="38">
        <v>0</v>
      </c>
      <c r="R1024" s="38">
        <v>0</v>
      </c>
      <c r="S1024" s="38">
        <v>0</v>
      </c>
      <c r="T1024" s="38">
        <v>0</v>
      </c>
      <c r="U1024" s="29" cm="1">
        <f t="array" aca="1" ref="U1024" ca="1">+fair_value_gap(OFFSET(T1023,0,0,-1*$J$5,-1*$AA$1),OFFSET(E1023,0,0,-1*$J$5,1),F1024:T1024,0)</f>
        <v>22.682767351888181</v>
      </c>
      <c r="V1024" s="9" cm="1">
        <f t="array" aca="1" ref="V1024" ca="1">z_score_diff(OFFSET(U1024,0,0,$J$5*-1,1),OFFSET(E1024,0,0,$J$5*-1,1))</f>
        <v>7.5741272852513808E-2</v>
      </c>
      <c r="W1024" s="9">
        <f t="shared" ca="1" si="151"/>
        <v>8.5066188248142799E-2</v>
      </c>
      <c r="X1024" s="17">
        <f t="shared" ca="1" si="150"/>
        <v>-4.7823163816038926E-2</v>
      </c>
      <c r="Y1024" s="13">
        <f t="shared" si="159"/>
        <v>0</v>
      </c>
      <c r="Z1024" s="13">
        <f t="shared" si="159"/>
        <v>0</v>
      </c>
      <c r="AA1024">
        <f t="shared" ca="1" si="152"/>
        <v>0</v>
      </c>
      <c r="AB1024">
        <f t="shared" ca="1" si="153"/>
        <v>1</v>
      </c>
      <c r="AC1024" s="24">
        <f t="shared" ca="1" si="154"/>
        <v>0</v>
      </c>
      <c r="AD1024" s="24">
        <f t="shared" ca="1" si="155"/>
        <v>-4.7823163816038926E-2</v>
      </c>
    </row>
    <row r="1025" spans="3:30" x14ac:dyDescent="0.25">
      <c r="C1025" s="6">
        <v>1018</v>
      </c>
      <c r="D1025" s="35">
        <v>43452</v>
      </c>
      <c r="E1025" s="37">
        <v>21.885999999999999</v>
      </c>
      <c r="F1025" s="37">
        <v>49.387913865260479</v>
      </c>
      <c r="G1025" s="37">
        <v>57.18</v>
      </c>
      <c r="H1025" s="37">
        <v>2.4395082519658571</v>
      </c>
      <c r="I1025" s="37">
        <v>82.818532985772706</v>
      </c>
      <c r="J1025" s="10">
        <v>0</v>
      </c>
      <c r="K1025" s="38">
        <v>0</v>
      </c>
      <c r="L1025" s="38">
        <v>0</v>
      </c>
      <c r="M1025" s="38">
        <v>0</v>
      </c>
      <c r="N1025" s="38">
        <v>0</v>
      </c>
      <c r="O1025" s="38">
        <v>0</v>
      </c>
      <c r="P1025" s="38">
        <v>0</v>
      </c>
      <c r="Q1025" s="38">
        <v>0</v>
      </c>
      <c r="R1025" s="38">
        <v>0</v>
      </c>
      <c r="S1025" s="38">
        <v>0</v>
      </c>
      <c r="T1025" s="38">
        <v>0</v>
      </c>
      <c r="U1025" s="29" cm="1">
        <f t="array" aca="1" ref="U1025" ca="1">+fair_value_gap(OFFSET(T1024,0,0,-1*$J$5,-1*$AA$1),OFFSET(E1024,0,0,-1*$J$5,1),F1025:T1025,0)</f>
        <v>22.218183754640876</v>
      </c>
      <c r="V1025" s="9" cm="1">
        <f t="array" aca="1" ref="V1025" ca="1">z_score_diff(OFFSET(U1025,0,0,$J$5*-1,1),OFFSET(E1025,0,0,$J$5*-1,1))</f>
        <v>8.3359272860407577E-2</v>
      </c>
      <c r="W1025" s="9">
        <f t="shared" ca="1" si="151"/>
        <v>8.8432611330090297E-2</v>
      </c>
      <c r="X1025" s="17">
        <f t="shared" ca="1" si="150"/>
        <v>-2.953732755665606E-2</v>
      </c>
      <c r="Y1025" s="13">
        <f t="shared" si="159"/>
        <v>0</v>
      </c>
      <c r="Z1025" s="13">
        <f t="shared" si="159"/>
        <v>0</v>
      </c>
      <c r="AA1025">
        <f t="shared" ca="1" si="152"/>
        <v>0</v>
      </c>
      <c r="AB1025">
        <f t="shared" ca="1" si="153"/>
        <v>1</v>
      </c>
      <c r="AC1025" s="24">
        <f t="shared" ca="1" si="154"/>
        <v>0</v>
      </c>
      <c r="AD1025" s="24">
        <f t="shared" ca="1" si="155"/>
        <v>-2.953732755665606E-2</v>
      </c>
    </row>
    <row r="1026" spans="3:30" x14ac:dyDescent="0.25">
      <c r="C1026" s="6">
        <v>1019</v>
      </c>
      <c r="D1026" s="35">
        <v>43453</v>
      </c>
      <c r="E1026" s="37">
        <v>22.158999999999999</v>
      </c>
      <c r="F1026" s="37">
        <v>50.418713349057626</v>
      </c>
      <c r="G1026" s="37">
        <v>57.71</v>
      </c>
      <c r="H1026" s="37">
        <v>2.4356782723476078</v>
      </c>
      <c r="I1026" s="37">
        <v>82.530889576526079</v>
      </c>
      <c r="J1026" s="10">
        <v>0</v>
      </c>
      <c r="K1026" s="38">
        <v>0</v>
      </c>
      <c r="L1026" s="38">
        <v>0</v>
      </c>
      <c r="M1026" s="38">
        <v>0</v>
      </c>
      <c r="N1026" s="38">
        <v>0</v>
      </c>
      <c r="O1026" s="38">
        <v>0</v>
      </c>
      <c r="P1026" s="38">
        <v>0</v>
      </c>
      <c r="Q1026" s="38">
        <v>0</v>
      </c>
      <c r="R1026" s="38">
        <v>0</v>
      </c>
      <c r="S1026" s="38">
        <v>0</v>
      </c>
      <c r="T1026" s="38">
        <v>0</v>
      </c>
      <c r="U1026" s="29" cm="1">
        <f t="array" aca="1" ref="U1026" ca="1">+fair_value_gap(OFFSET(T1025,0,0,-1*$J$5,-1*$AA$1),OFFSET(E1025,0,0,-1*$J$5,1),F1026:T1026,0)</f>
        <v>22.399294700363846</v>
      </c>
      <c r="V1026" s="9" cm="1">
        <f t="array" aca="1" ref="V1026" ca="1">z_score_diff(OFFSET(U1026,0,0,$J$5*-1,1),OFFSET(E1026,0,0,$J$5*-1,1))</f>
        <v>5.606007263952259E-2</v>
      </c>
      <c r="W1026" s="9">
        <f t="shared" ca="1" si="151"/>
        <v>8.7363917030922986E-2</v>
      </c>
      <c r="X1026" s="17">
        <f t="shared" ca="1" si="150"/>
        <v>-6.2473773921546391E-2</v>
      </c>
      <c r="Y1026" s="13">
        <f t="shared" si="159"/>
        <v>0</v>
      </c>
      <c r="Z1026" s="13">
        <f t="shared" si="159"/>
        <v>0</v>
      </c>
      <c r="AA1026">
        <f t="shared" ca="1" si="152"/>
        <v>0</v>
      </c>
      <c r="AB1026">
        <f t="shared" ca="1" si="153"/>
        <v>1</v>
      </c>
      <c r="AC1026" s="24">
        <f t="shared" ca="1" si="154"/>
        <v>0</v>
      </c>
      <c r="AD1026" s="24">
        <f t="shared" ca="1" si="155"/>
        <v>-6.2473773921546391E-2</v>
      </c>
    </row>
    <row r="1027" spans="3:30" x14ac:dyDescent="0.25">
      <c r="C1027" s="6">
        <v>1020</v>
      </c>
      <c r="D1027" s="35">
        <v>43454</v>
      </c>
      <c r="E1027" s="37">
        <v>22.15</v>
      </c>
      <c r="F1027" s="37">
        <v>47.799159325948509</v>
      </c>
      <c r="G1027" s="37">
        <v>57</v>
      </c>
      <c r="H1027" s="37">
        <v>2.4127276539144957</v>
      </c>
      <c r="I1027" s="37">
        <v>81.541258673962133</v>
      </c>
      <c r="J1027" s="10">
        <v>0</v>
      </c>
      <c r="K1027" s="38">
        <v>0</v>
      </c>
      <c r="L1027" s="38">
        <v>0</v>
      </c>
      <c r="M1027" s="38">
        <v>0</v>
      </c>
      <c r="N1027" s="38">
        <v>0</v>
      </c>
      <c r="O1027" s="38">
        <v>0</v>
      </c>
      <c r="P1027" s="38">
        <v>0</v>
      </c>
      <c r="Q1027" s="38">
        <v>0</v>
      </c>
      <c r="R1027" s="38">
        <v>0</v>
      </c>
      <c r="S1027" s="38">
        <v>0</v>
      </c>
      <c r="T1027" s="38">
        <v>0</v>
      </c>
      <c r="U1027" s="29" cm="1">
        <f t="array" aca="1" ref="U1027" ca="1">+fair_value_gap(OFFSET(T1026,0,0,-1*$J$5,-1*$AA$1),OFFSET(E1026,0,0,-1*$J$5,1),F1027:T1027,0)</f>
        <v>22.027473211957584</v>
      </c>
      <c r="V1027" s="9" cm="1">
        <f t="array" aca="1" ref="V1027" ca="1">z_score_diff(OFFSET(U1027,0,0,$J$5*-1,1),OFFSET(E1027,0,0,$J$5*-1,1))</f>
        <v>-5.1573042523109833E-2</v>
      </c>
      <c r="W1027" s="9">
        <f t="shared" ca="1" si="151"/>
        <v>8.3114749578948974E-2</v>
      </c>
      <c r="X1027" s="17">
        <f t="shared" ca="1" si="150"/>
        <v>-6.3509705177790754E-2</v>
      </c>
      <c r="Y1027" s="13">
        <f t="shared" si="159"/>
        <v>0</v>
      </c>
      <c r="Z1027" s="13">
        <f t="shared" si="159"/>
        <v>0</v>
      </c>
      <c r="AA1027">
        <f t="shared" ca="1" si="152"/>
        <v>0</v>
      </c>
      <c r="AB1027">
        <f t="shared" ca="1" si="153"/>
        <v>1</v>
      </c>
      <c r="AC1027" s="24">
        <f t="shared" ca="1" si="154"/>
        <v>0</v>
      </c>
      <c r="AD1027" s="24">
        <f t="shared" ca="1" si="155"/>
        <v>-6.3509705177790754E-2</v>
      </c>
    </row>
    <row r="1028" spans="3:30" x14ac:dyDescent="0.25">
      <c r="C1028" s="6">
        <v>1021</v>
      </c>
      <c r="D1028" s="35">
        <v>43455</v>
      </c>
      <c r="E1028" s="37">
        <v>21.951000000000001</v>
      </c>
      <c r="F1028" s="37">
        <v>47.667242613353757</v>
      </c>
      <c r="G1028" s="37">
        <v>56.57</v>
      </c>
      <c r="H1028" s="37">
        <v>2.4973094566748872</v>
      </c>
      <c r="I1028" s="37">
        <v>82.016079137501066</v>
      </c>
      <c r="J1028" s="10">
        <v>0</v>
      </c>
      <c r="K1028" s="38">
        <v>0</v>
      </c>
      <c r="L1028" s="38">
        <v>0</v>
      </c>
      <c r="M1028" s="38">
        <v>0</v>
      </c>
      <c r="N1028" s="38">
        <v>0</v>
      </c>
      <c r="O1028" s="38">
        <v>0</v>
      </c>
      <c r="P1028" s="38">
        <v>0</v>
      </c>
      <c r="Q1028" s="38">
        <v>0</v>
      </c>
      <c r="R1028" s="38">
        <v>0</v>
      </c>
      <c r="S1028" s="38">
        <v>0</v>
      </c>
      <c r="T1028" s="38">
        <v>0</v>
      </c>
      <c r="U1028" s="29" cm="1">
        <f t="array" aca="1" ref="U1028" ca="1">+fair_value_gap(OFFSET(T1027,0,0,-1*$J$5,-1*$AA$1),OFFSET(E1027,0,0,-1*$J$5,1),F1028:T1028,0)</f>
        <v>21.87258986469713</v>
      </c>
      <c r="V1028" s="9" cm="1">
        <f t="array" aca="1" ref="V1028" ca="1">z_score_diff(OFFSET(U1028,0,0,$J$5*-1,1),OFFSET(E1028,0,0,$J$5*-1,1))</f>
        <v>-3.8264994570601694E-2</v>
      </c>
      <c r="W1028" s="9">
        <f t="shared" ca="1" si="151"/>
        <v>7.6455626976229388E-2</v>
      </c>
      <c r="X1028" s="17">
        <f t="shared" ca="1" si="150"/>
        <v>-3.9966287366525154E-2</v>
      </c>
      <c r="Y1028" s="13">
        <f t="shared" si="159"/>
        <v>0</v>
      </c>
      <c r="Z1028" s="13">
        <f t="shared" si="159"/>
        <v>0</v>
      </c>
      <c r="AA1028">
        <f t="shared" ca="1" si="152"/>
        <v>0</v>
      </c>
      <c r="AB1028">
        <f t="shared" ca="1" si="153"/>
        <v>1</v>
      </c>
      <c r="AC1028" s="24">
        <f t="shared" ca="1" si="154"/>
        <v>0</v>
      </c>
      <c r="AD1028" s="24">
        <f t="shared" ca="1" si="155"/>
        <v>-3.9966287366525154E-2</v>
      </c>
    </row>
    <row r="1029" spans="3:30" x14ac:dyDescent="0.25">
      <c r="C1029" s="6">
        <v>1022</v>
      </c>
      <c r="D1029" s="35">
        <v>43458</v>
      </c>
      <c r="E1029" s="37">
        <v>21.422000000000001</v>
      </c>
      <c r="F1029" s="37">
        <v>44.703058766651417</v>
      </c>
      <c r="G1029" s="37">
        <v>56.43</v>
      </c>
      <c r="H1029" s="37">
        <v>2.4250848218525269</v>
      </c>
      <c r="I1029" s="37">
        <v>81.843375262235497</v>
      </c>
      <c r="J1029" s="10">
        <v>0</v>
      </c>
      <c r="K1029" s="38">
        <v>0</v>
      </c>
      <c r="L1029" s="38">
        <v>0</v>
      </c>
      <c r="M1029" s="38">
        <v>0</v>
      </c>
      <c r="N1029" s="38">
        <v>0</v>
      </c>
      <c r="O1029" s="38">
        <v>0</v>
      </c>
      <c r="P1029" s="38">
        <v>0</v>
      </c>
      <c r="Q1029" s="38">
        <v>0</v>
      </c>
      <c r="R1029" s="38">
        <v>0</v>
      </c>
      <c r="S1029" s="38">
        <v>0</v>
      </c>
      <c r="T1029" s="38">
        <v>0</v>
      </c>
      <c r="U1029" s="29" cm="1">
        <f t="array" aca="1" ref="U1029" ca="1">+fair_value_gap(OFFSET(T1028,0,0,-1*$J$5,-1*$AA$1),OFFSET(E1028,0,0,-1*$J$5,1),F1029:T1029,0)</f>
        <v>21.723115845300374</v>
      </c>
      <c r="V1029" s="9" cm="1">
        <f t="array" aca="1" ref="V1029" ca="1">z_score_diff(OFFSET(U1029,0,0,$J$5*-1,1),OFFSET(E1029,0,0,$J$5*-1,1))</f>
        <v>7.508485424824432E-2</v>
      </c>
      <c r="W1029" s="9">
        <f t="shared" ca="1" si="151"/>
        <v>8.2236258849019028E-2</v>
      </c>
      <c r="X1029" s="17">
        <f t="shared" ca="1" si="150"/>
        <v>-4.9619095071221149E-2</v>
      </c>
      <c r="Y1029" s="13">
        <f t="shared" si="159"/>
        <v>0</v>
      </c>
      <c r="Z1029" s="13">
        <f t="shared" si="159"/>
        <v>0</v>
      </c>
      <c r="AA1029">
        <f t="shared" ca="1" si="152"/>
        <v>0</v>
      </c>
      <c r="AB1029">
        <f t="shared" ca="1" si="153"/>
        <v>1</v>
      </c>
      <c r="AC1029" s="24">
        <f t="shared" ca="1" si="154"/>
        <v>0</v>
      </c>
      <c r="AD1029" s="24">
        <f t="shared" ca="1" si="155"/>
        <v>-4.9619095071221149E-2</v>
      </c>
    </row>
    <row r="1030" spans="3:30" x14ac:dyDescent="0.25">
      <c r="C1030" s="6">
        <v>1023</v>
      </c>
      <c r="D1030" s="35">
        <v>43461</v>
      </c>
      <c r="E1030" s="37">
        <v>20.911999999999999</v>
      </c>
      <c r="F1030" s="37">
        <v>46.33282455372678</v>
      </c>
      <c r="G1030" s="37">
        <v>56.25</v>
      </c>
      <c r="H1030" s="37">
        <v>2.4695335191584808</v>
      </c>
      <c r="I1030" s="37">
        <v>81.097516856913487</v>
      </c>
      <c r="J1030" s="10">
        <v>0</v>
      </c>
      <c r="K1030" s="38">
        <v>0</v>
      </c>
      <c r="L1030" s="38">
        <v>0</v>
      </c>
      <c r="M1030" s="38">
        <v>0</v>
      </c>
      <c r="N1030" s="38">
        <v>0</v>
      </c>
      <c r="O1030" s="38">
        <v>0</v>
      </c>
      <c r="P1030" s="38">
        <v>0</v>
      </c>
      <c r="Q1030" s="38">
        <v>0</v>
      </c>
      <c r="R1030" s="38">
        <v>0</v>
      </c>
      <c r="S1030" s="38">
        <v>0</v>
      </c>
      <c r="T1030" s="38">
        <v>0</v>
      </c>
      <c r="U1030" s="29" cm="1">
        <f t="array" aca="1" ref="U1030" ca="1">+fair_value_gap(OFFSET(T1029,0,0,-1*$J$5,-1*$AA$1),OFFSET(E1029,0,0,-1*$J$5,1),F1030:T1030,0)</f>
        <v>21.670423812881609</v>
      </c>
      <c r="V1030" s="9" cm="1">
        <f t="array" aca="1" ref="V1030" ca="1">z_score_diff(OFFSET(U1030,0,0,$J$5*-1,1),OFFSET(E1030,0,0,$J$5*-1,1))</f>
        <v>0.21222988479261995</v>
      </c>
      <c r="W1030" s="9">
        <f t="shared" ca="1" si="151"/>
        <v>9.7195935208615775E-2</v>
      </c>
      <c r="X1030" s="17">
        <f t="shared" ca="1" si="150"/>
        <v>-3.7267762948093849E-2</v>
      </c>
      <c r="Y1030" s="13">
        <f t="shared" si="159"/>
        <v>0</v>
      </c>
      <c r="Z1030" s="13">
        <f t="shared" si="159"/>
        <v>0</v>
      </c>
      <c r="AA1030">
        <f t="shared" ca="1" si="152"/>
        <v>0</v>
      </c>
      <c r="AB1030">
        <f t="shared" ca="1" si="153"/>
        <v>1</v>
      </c>
      <c r="AC1030" s="24">
        <f t="shared" ca="1" si="154"/>
        <v>0</v>
      </c>
      <c r="AD1030" s="24">
        <f t="shared" ca="1" si="155"/>
        <v>-3.7267762948093849E-2</v>
      </c>
    </row>
    <row r="1031" spans="3:30" x14ac:dyDescent="0.25">
      <c r="C1031" s="6">
        <v>1024</v>
      </c>
      <c r="D1031" s="35">
        <v>43462</v>
      </c>
      <c r="E1031" s="37">
        <v>20.648</v>
      </c>
      <c r="F1031" s="37">
        <v>46.608736944521155</v>
      </c>
      <c r="G1031" s="37">
        <v>55.96</v>
      </c>
      <c r="H1031" s="37">
        <v>2.4663574902167249</v>
      </c>
      <c r="I1031" s="37">
        <v>80.950205730517538</v>
      </c>
      <c r="J1031" s="10">
        <v>0</v>
      </c>
      <c r="K1031" s="38">
        <v>0</v>
      </c>
      <c r="L1031" s="38">
        <v>0</v>
      </c>
      <c r="M1031" s="38">
        <v>0</v>
      </c>
      <c r="N1031" s="38">
        <v>0</v>
      </c>
      <c r="O1031" s="38">
        <v>0</v>
      </c>
      <c r="P1031" s="38">
        <v>0</v>
      </c>
      <c r="Q1031" s="38">
        <v>0</v>
      </c>
      <c r="R1031" s="38">
        <v>0</v>
      </c>
      <c r="S1031" s="38">
        <v>0</v>
      </c>
      <c r="T1031" s="38">
        <v>0</v>
      </c>
      <c r="U1031" s="29" cm="1">
        <f t="array" aca="1" ref="U1031" ca="1">+fair_value_gap(OFFSET(T1030,0,0,-1*$J$5,-1*$AA$1),OFFSET(E1030,0,0,-1*$J$5,1),F1031:T1031,0)</f>
        <v>21.514782907687483</v>
      </c>
      <c r="V1031" s="9" cm="1">
        <f t="array" aca="1" ref="V1031" ca="1">z_score_diff(OFFSET(U1031,0,0,$J$5*-1,1),OFFSET(E1031,0,0,$J$5*-1,1))</f>
        <v>0.24459288471416585</v>
      </c>
      <c r="W1031" s="9">
        <f t="shared" ca="1" si="151"/>
        <v>0.11052312569851053</v>
      </c>
      <c r="X1031" s="17">
        <f t="shared" ref="X1031:X1094" ca="1" si="160">+LN(OFFSET(E1031,$X$3,0,1,1)/E1031)</f>
        <v>-3.7250551361472456E-2</v>
      </c>
      <c r="Y1031" s="13">
        <f t="shared" si="159"/>
        <v>0</v>
      </c>
      <c r="Z1031" s="13">
        <f t="shared" si="159"/>
        <v>0</v>
      </c>
      <c r="AA1031">
        <f t="shared" ca="1" si="152"/>
        <v>0</v>
      </c>
      <c r="AB1031">
        <f t="shared" ca="1" si="153"/>
        <v>1</v>
      </c>
      <c r="AC1031" s="24">
        <f t="shared" ca="1" si="154"/>
        <v>0</v>
      </c>
      <c r="AD1031" s="24">
        <f t="shared" ca="1" si="155"/>
        <v>-3.7250551361472456E-2</v>
      </c>
    </row>
    <row r="1032" spans="3:30" x14ac:dyDescent="0.25">
      <c r="C1032" s="6">
        <v>1025</v>
      </c>
      <c r="D1032" s="35">
        <v>43465</v>
      </c>
      <c r="E1032" s="37">
        <v>20.094999999999999</v>
      </c>
      <c r="F1032" s="37">
        <v>47.16831128335108</v>
      </c>
      <c r="G1032" s="37">
        <v>55.06</v>
      </c>
      <c r="H1032" s="37">
        <v>2.3721672584192595</v>
      </c>
      <c r="I1032" s="37">
        <v>79.97469688257685</v>
      </c>
      <c r="J1032" s="10">
        <v>0</v>
      </c>
      <c r="K1032" s="38">
        <v>0</v>
      </c>
      <c r="L1032" s="38">
        <v>0</v>
      </c>
      <c r="M1032" s="38">
        <v>0</v>
      </c>
      <c r="N1032" s="38">
        <v>0</v>
      </c>
      <c r="O1032" s="38">
        <v>0</v>
      </c>
      <c r="P1032" s="38">
        <v>0</v>
      </c>
      <c r="Q1032" s="38">
        <v>0</v>
      </c>
      <c r="R1032" s="38">
        <v>0</v>
      </c>
      <c r="S1032" s="38">
        <v>0</v>
      </c>
      <c r="T1032" s="38">
        <v>0</v>
      </c>
      <c r="U1032" s="29" cm="1">
        <f t="array" aca="1" ref="U1032" ca="1">+fair_value_gap(OFFSET(T1031,0,0,-1*$J$5,-1*$AA$1),OFFSET(E1031,0,0,-1*$J$5,1),F1032:T1032,0)</f>
        <v>21.189680816395654</v>
      </c>
      <c r="V1032" s="9" cm="1">
        <f t="array" aca="1" ref="V1032" ca="1">z_score_diff(OFFSET(U1032,0,0,$J$5*-1,1),OFFSET(E1032,0,0,$J$5*-1,1))</f>
        <v>0.31276066118252288</v>
      </c>
      <c r="W1032" s="9">
        <f t="shared" ref="W1032:W1095" ca="1" si="161">+IF(ISERROR(AVERAGE(OFFSET(V1032,0,0,$W$5*-1,1))),"",AVERAGE(OFFSET(V1032,0,0,$W$5*-1,1)))</f>
        <v>0.12756589703070445</v>
      </c>
      <c r="X1032" s="17">
        <f t="shared" ca="1" si="160"/>
        <v>-6.8910689153160471E-3</v>
      </c>
      <c r="Y1032" s="13">
        <f t="shared" si="159"/>
        <v>0</v>
      </c>
      <c r="Z1032" s="13">
        <f t="shared" si="159"/>
        <v>0</v>
      </c>
      <c r="AA1032">
        <f t="shared" ref="AA1032:AA1095" ca="1" si="162">+IF(W1032="","",IF(W1032&lt;Y1032,1,0))</f>
        <v>0</v>
      </c>
      <c r="AB1032">
        <f t="shared" ref="AB1032:AB1095" ca="1" si="163">+IF(W1032="","",IF(W1032&gt;Z1032,1,0))</f>
        <v>1</v>
      </c>
      <c r="AC1032" s="24">
        <f t="shared" ref="AC1032:AC1095" ca="1" si="164">+IF(ISERROR(AA1032*X1032),"",AA1032*X1032)</f>
        <v>0</v>
      </c>
      <c r="AD1032" s="24">
        <f t="shared" ref="AD1032:AD1095" ca="1" si="165">+IF(ISERROR(AB1032*X1032),"",AB1032*X1032)</f>
        <v>-6.8910689153160471E-3</v>
      </c>
    </row>
    <row r="1033" spans="3:30" x14ac:dyDescent="0.25">
      <c r="C1033" s="6">
        <v>1026</v>
      </c>
      <c r="D1033" s="35">
        <v>43467</v>
      </c>
      <c r="E1033" s="37">
        <v>20.187999999999999</v>
      </c>
      <c r="F1033" s="37">
        <v>48.688390826548151</v>
      </c>
      <c r="G1033" s="37">
        <v>54.48</v>
      </c>
      <c r="H1033" s="37">
        <v>2.3298206628357145</v>
      </c>
      <c r="I1033" s="37">
        <v>79.252096317772256</v>
      </c>
      <c r="J1033" s="10">
        <v>1</v>
      </c>
      <c r="K1033" s="38">
        <v>0</v>
      </c>
      <c r="L1033" s="38">
        <v>0</v>
      </c>
      <c r="M1033" s="38">
        <v>0</v>
      </c>
      <c r="N1033" s="38">
        <v>0</v>
      </c>
      <c r="O1033" s="38">
        <v>0</v>
      </c>
      <c r="P1033" s="38">
        <v>0</v>
      </c>
      <c r="Q1033" s="38">
        <v>0</v>
      </c>
      <c r="R1033" s="38">
        <v>0</v>
      </c>
      <c r="S1033" s="38">
        <v>0</v>
      </c>
      <c r="T1033" s="38">
        <v>0</v>
      </c>
      <c r="U1033" s="29" cm="1">
        <f t="array" aca="1" ref="U1033" ca="1">+fair_value_gap(OFFSET(T1032,0,0,-1*$J$5,-1*$AA$1),OFFSET(E1032,0,0,-1*$J$5,1),F1033:T1033,0)</f>
        <v>22.058855519272928</v>
      </c>
      <c r="V1033" s="9" cm="1">
        <f t="array" aca="1" ref="V1033" ca="1">z_score_diff(OFFSET(U1033,0,0,$J$5*-1,1),OFFSET(E1033,0,0,$J$5*-1,1))</f>
        <v>0.54759951343786573</v>
      </c>
      <c r="W1033" s="9">
        <f t="shared" ca="1" si="161"/>
        <v>0.1544612210633145</v>
      </c>
      <c r="X1033" s="17">
        <f t="shared" ca="1" si="160"/>
        <v>-3.2113082046641123E-2</v>
      </c>
      <c r="Y1033" s="13">
        <f t="shared" ref="Y1033:Z1048" si="166">+Y1032</f>
        <v>0</v>
      </c>
      <c r="Z1033" s="13">
        <f t="shared" si="166"/>
        <v>0</v>
      </c>
      <c r="AA1033">
        <f t="shared" ca="1" si="162"/>
        <v>0</v>
      </c>
      <c r="AB1033">
        <f t="shared" ca="1" si="163"/>
        <v>1</v>
      </c>
      <c r="AC1033" s="24">
        <f t="shared" ca="1" si="164"/>
        <v>0</v>
      </c>
      <c r="AD1033" s="24">
        <f t="shared" ca="1" si="165"/>
        <v>-3.2113082046641123E-2</v>
      </c>
    </row>
    <row r="1034" spans="3:30" x14ac:dyDescent="0.25">
      <c r="C1034" s="6">
        <v>1027</v>
      </c>
      <c r="D1034" s="35">
        <v>43468</v>
      </c>
      <c r="E1034" s="37">
        <v>20.001999999999999</v>
      </c>
      <c r="F1034" s="37">
        <v>49.250228146345513</v>
      </c>
      <c r="G1034" s="37">
        <v>53.35</v>
      </c>
      <c r="H1034" s="37">
        <v>2.3117101296977407</v>
      </c>
      <c r="I1034" s="37">
        <v>77.215439285417986</v>
      </c>
      <c r="J1034" s="10">
        <v>1</v>
      </c>
      <c r="K1034" s="38">
        <v>0</v>
      </c>
      <c r="L1034" s="38">
        <v>0</v>
      </c>
      <c r="M1034" s="38">
        <v>0</v>
      </c>
      <c r="N1034" s="38">
        <v>0</v>
      </c>
      <c r="O1034" s="38">
        <v>0</v>
      </c>
      <c r="P1034" s="38">
        <v>0</v>
      </c>
      <c r="Q1034" s="38">
        <v>0</v>
      </c>
      <c r="R1034" s="38">
        <v>0</v>
      </c>
      <c r="S1034" s="38">
        <v>0</v>
      </c>
      <c r="T1034" s="38">
        <v>0</v>
      </c>
      <c r="U1034" s="29" cm="1">
        <f t="array" aca="1" ref="U1034" ca="1">+fair_value_gap(OFFSET(T1033,0,0,-1*$J$5,-1*$AA$1),OFFSET(E1033,0,0,-1*$J$5,1),F1034:T1034,0)</f>
        <v>21.025532748151534</v>
      </c>
      <c r="V1034" s="9" cm="1">
        <f t="array" aca="1" ref="V1034" ca="1">z_score_diff(OFFSET(U1034,0,0,$J$5*-1,1),OFFSET(E1034,0,0,$J$5*-1,1))</f>
        <v>0.2887415290379432</v>
      </c>
      <c r="W1034" s="9">
        <f t="shared" ca="1" si="161"/>
        <v>0.14847482782809623</v>
      </c>
      <c r="X1034" s="17">
        <f t="shared" ca="1" si="160"/>
        <v>-2.9271372300613066E-2</v>
      </c>
      <c r="Y1034" s="13">
        <f t="shared" si="166"/>
        <v>0</v>
      </c>
      <c r="Z1034" s="13">
        <f t="shared" si="166"/>
        <v>0</v>
      </c>
      <c r="AA1034">
        <f t="shared" ca="1" si="162"/>
        <v>0</v>
      </c>
      <c r="AB1034">
        <f t="shared" ca="1" si="163"/>
        <v>1</v>
      </c>
      <c r="AC1034" s="24">
        <f t="shared" ca="1" si="164"/>
        <v>0</v>
      </c>
      <c r="AD1034" s="24">
        <f t="shared" ca="1" si="165"/>
        <v>-2.9271372300613066E-2</v>
      </c>
    </row>
    <row r="1035" spans="3:30" x14ac:dyDescent="0.25">
      <c r="C1035" s="6">
        <v>1028</v>
      </c>
      <c r="D1035" s="35">
        <v>43469</v>
      </c>
      <c r="E1035" s="37">
        <v>20.451000000000001</v>
      </c>
      <c r="F1035" s="37">
        <v>50.060037491037569</v>
      </c>
      <c r="G1035" s="37">
        <v>53.41</v>
      </c>
      <c r="H1035" s="37">
        <v>2.366081841034545</v>
      </c>
      <c r="I1035" s="37">
        <v>76.709772721382848</v>
      </c>
      <c r="J1035" s="10">
        <v>1</v>
      </c>
      <c r="K1035" s="38">
        <v>0</v>
      </c>
      <c r="L1035" s="38">
        <v>0</v>
      </c>
      <c r="M1035" s="38">
        <v>0</v>
      </c>
      <c r="N1035" s="38">
        <v>0</v>
      </c>
      <c r="O1035" s="38">
        <v>0</v>
      </c>
      <c r="P1035" s="38">
        <v>0</v>
      </c>
      <c r="Q1035" s="38">
        <v>0</v>
      </c>
      <c r="R1035" s="38">
        <v>0</v>
      </c>
      <c r="S1035" s="38">
        <v>0</v>
      </c>
      <c r="T1035" s="38">
        <v>0</v>
      </c>
      <c r="U1035" s="29" cm="1">
        <f t="array" aca="1" ref="U1035" ca="1">+fair_value_gap(OFFSET(T1034,0,0,-1*$J$5,-1*$AA$1),OFFSET(E1034,0,0,-1*$J$5,1),F1035:T1035,0)</f>
        <v>20.852040038988914</v>
      </c>
      <c r="V1035" s="9" cm="1">
        <f t="array" aca="1" ref="V1035" ca="1">z_score_diff(OFFSET(U1035,0,0,$J$5*-1,1),OFFSET(E1035,0,0,$J$5*-1,1))</f>
        <v>9.8495516570931252E-2</v>
      </c>
      <c r="W1035" s="9">
        <f t="shared" ca="1" si="161"/>
        <v>0.14050405439290448</v>
      </c>
      <c r="X1035" s="17">
        <f t="shared" ca="1" si="160"/>
        <v>-7.3066624548420098E-2</v>
      </c>
      <c r="Y1035" s="13">
        <f t="shared" si="166"/>
        <v>0</v>
      </c>
      <c r="Z1035" s="13">
        <f t="shared" si="166"/>
        <v>0</v>
      </c>
      <c r="AA1035">
        <f t="shared" ca="1" si="162"/>
        <v>0</v>
      </c>
      <c r="AB1035">
        <f t="shared" ca="1" si="163"/>
        <v>1</v>
      </c>
      <c r="AC1035" s="24">
        <f t="shared" ca="1" si="164"/>
        <v>0</v>
      </c>
      <c r="AD1035" s="24">
        <f t="shared" ca="1" si="165"/>
        <v>-7.3066624548420098E-2</v>
      </c>
    </row>
    <row r="1036" spans="3:30" x14ac:dyDescent="0.25">
      <c r="C1036" s="6">
        <v>1029</v>
      </c>
      <c r="D1036" s="35">
        <v>43472</v>
      </c>
      <c r="E1036" s="37">
        <v>19.789000000000001</v>
      </c>
      <c r="F1036" s="37">
        <v>50.1036494032112</v>
      </c>
      <c r="G1036" s="37">
        <v>51.94</v>
      </c>
      <c r="H1036" s="37">
        <v>2.3571118941445599</v>
      </c>
      <c r="I1036" s="37">
        <v>75.494534264389671</v>
      </c>
      <c r="J1036" s="10">
        <v>1</v>
      </c>
      <c r="K1036" s="38">
        <v>0</v>
      </c>
      <c r="L1036" s="38">
        <v>0</v>
      </c>
      <c r="M1036" s="38">
        <v>0</v>
      </c>
      <c r="N1036" s="38">
        <v>0</v>
      </c>
      <c r="O1036" s="38">
        <v>0</v>
      </c>
      <c r="P1036" s="38">
        <v>0</v>
      </c>
      <c r="Q1036" s="38">
        <v>0</v>
      </c>
      <c r="R1036" s="38">
        <v>0</v>
      </c>
      <c r="S1036" s="38">
        <v>0</v>
      </c>
      <c r="T1036" s="38">
        <v>0</v>
      </c>
      <c r="U1036" s="29" cm="1">
        <f t="array" aca="1" ref="U1036" ca="1">+fair_value_gap(OFFSET(T1035,0,0,-1*$J$5,-1*$AA$1),OFFSET(E1035,0,0,-1*$J$5,1),F1036:T1036,0)</f>
        <v>20.327957673103725</v>
      </c>
      <c r="V1036" s="9" cm="1">
        <f t="array" aca="1" ref="V1036" ca="1">z_score_diff(OFFSET(U1036,0,0,$J$5*-1,1),OFFSET(E1036,0,0,$J$5*-1,1))</f>
        <v>0.13983679487950318</v>
      </c>
      <c r="W1036" s="9">
        <f t="shared" ca="1" si="161"/>
        <v>0.13568401759840162</v>
      </c>
      <c r="X1036" s="17">
        <f t="shared" ca="1" si="160"/>
        <v>-4.385014000883445E-2</v>
      </c>
      <c r="Y1036" s="13">
        <f t="shared" si="166"/>
        <v>0</v>
      </c>
      <c r="Z1036" s="13">
        <f t="shared" si="166"/>
        <v>0</v>
      </c>
      <c r="AA1036">
        <f t="shared" ca="1" si="162"/>
        <v>0</v>
      </c>
      <c r="AB1036">
        <f t="shared" ca="1" si="163"/>
        <v>1</v>
      </c>
      <c r="AC1036" s="24">
        <f t="shared" ca="1" si="164"/>
        <v>0</v>
      </c>
      <c r="AD1036" s="24">
        <f t="shared" ca="1" si="165"/>
        <v>-4.385014000883445E-2</v>
      </c>
    </row>
    <row r="1037" spans="3:30" x14ac:dyDescent="0.25">
      <c r="C1037" s="6">
        <v>1030</v>
      </c>
      <c r="D1037" s="35">
        <v>43473</v>
      </c>
      <c r="E1037" s="37">
        <v>20.192</v>
      </c>
      <c r="F1037" s="37">
        <v>51.300148908150348</v>
      </c>
      <c r="G1037" s="37">
        <v>52.13</v>
      </c>
      <c r="H1037" s="37">
        <v>2.3859733686810864</v>
      </c>
      <c r="I1037" s="37">
        <v>75.659112231986853</v>
      </c>
      <c r="J1037" s="10">
        <v>1</v>
      </c>
      <c r="K1037" s="38">
        <v>0</v>
      </c>
      <c r="L1037" s="38">
        <v>0</v>
      </c>
      <c r="M1037" s="38">
        <v>0</v>
      </c>
      <c r="N1037" s="38">
        <v>0</v>
      </c>
      <c r="O1037" s="38">
        <v>0</v>
      </c>
      <c r="P1037" s="38">
        <v>0</v>
      </c>
      <c r="Q1037" s="38">
        <v>0</v>
      </c>
      <c r="R1037" s="38">
        <v>0</v>
      </c>
      <c r="S1037" s="38">
        <v>0</v>
      </c>
      <c r="T1037" s="38">
        <v>0</v>
      </c>
      <c r="U1037" s="29" cm="1">
        <f t="array" aca="1" ref="U1037" ca="1">+fair_value_gap(OFFSET(T1036,0,0,-1*$J$5,-1*$AA$1),OFFSET(E1036,0,0,-1*$J$5,1),F1037:T1037,0)</f>
        <v>20.398907295504248</v>
      </c>
      <c r="V1037" s="9" cm="1">
        <f t="array" aca="1" ref="V1037" ca="1">z_score_diff(OFFSET(U1037,0,0,$J$5*-1,1),OFFSET(E1037,0,0,$J$5*-1,1))</f>
        <v>3.8460189283357371E-2</v>
      </c>
      <c r="W1037" s="9">
        <f t="shared" ca="1" si="161"/>
        <v>0.12941393999309508</v>
      </c>
      <c r="X1037" s="17">
        <f t="shared" ca="1" si="160"/>
        <v>-7.3293053771818481E-2</v>
      </c>
      <c r="Y1037" s="13">
        <f t="shared" si="166"/>
        <v>0</v>
      </c>
      <c r="Z1037" s="13">
        <f t="shared" si="166"/>
        <v>0</v>
      </c>
      <c r="AA1037">
        <f t="shared" ca="1" si="162"/>
        <v>0</v>
      </c>
      <c r="AB1037">
        <f t="shared" ca="1" si="163"/>
        <v>1</v>
      </c>
      <c r="AC1037" s="24">
        <f t="shared" ca="1" si="164"/>
        <v>0</v>
      </c>
      <c r="AD1037" s="24">
        <f t="shared" ca="1" si="165"/>
        <v>-7.3293053771818481E-2</v>
      </c>
    </row>
    <row r="1038" spans="3:30" x14ac:dyDescent="0.25">
      <c r="C1038" s="6">
        <v>1031</v>
      </c>
      <c r="D1038" s="35">
        <v>43474</v>
      </c>
      <c r="E1038" s="37">
        <v>19.823</v>
      </c>
      <c r="F1038" s="37">
        <v>53.028462302475376</v>
      </c>
      <c r="G1038" s="37">
        <v>51.74</v>
      </c>
      <c r="H1038" s="37">
        <v>2.3837231607350664</v>
      </c>
      <c r="I1038" s="37">
        <v>75.45046485159277</v>
      </c>
      <c r="J1038" s="10">
        <v>1</v>
      </c>
      <c r="K1038" s="38">
        <v>0</v>
      </c>
      <c r="L1038" s="38">
        <v>0</v>
      </c>
      <c r="M1038" s="38">
        <v>0</v>
      </c>
      <c r="N1038" s="38">
        <v>0</v>
      </c>
      <c r="O1038" s="38">
        <v>0</v>
      </c>
      <c r="P1038" s="38">
        <v>0</v>
      </c>
      <c r="Q1038" s="38">
        <v>0</v>
      </c>
      <c r="R1038" s="38">
        <v>0</v>
      </c>
      <c r="S1038" s="38">
        <v>0</v>
      </c>
      <c r="T1038" s="38">
        <v>0</v>
      </c>
      <c r="U1038" s="29" cm="1">
        <f t="array" aca="1" ref="U1038" ca="1">+fair_value_gap(OFFSET(T1037,0,0,-1*$J$5,-1*$AA$1),OFFSET(E1037,0,0,-1*$J$5,1),F1038:T1038,0)</f>
        <v>20.39288941671348</v>
      </c>
      <c r="V1038" s="9" cm="1">
        <f t="array" aca="1" ref="V1038" ca="1">z_score_diff(OFFSET(U1038,0,0,$J$5*-1,1),OFFSET(E1038,0,0,$J$5*-1,1))</f>
        <v>0.15062017066196154</v>
      </c>
      <c r="W1038" s="9">
        <f t="shared" ca="1" si="161"/>
        <v>0.13152946766499002</v>
      </c>
      <c r="X1038" s="17">
        <f t="shared" ca="1" si="160"/>
        <v>-6.5510928730333207E-2</v>
      </c>
      <c r="Y1038" s="13">
        <f t="shared" si="166"/>
        <v>0</v>
      </c>
      <c r="Z1038" s="13">
        <f t="shared" si="166"/>
        <v>0</v>
      </c>
      <c r="AA1038">
        <f t="shared" ca="1" si="162"/>
        <v>0</v>
      </c>
      <c r="AB1038">
        <f t="shared" ca="1" si="163"/>
        <v>1</v>
      </c>
      <c r="AC1038" s="24">
        <f t="shared" ca="1" si="164"/>
        <v>0</v>
      </c>
      <c r="AD1038" s="24">
        <f t="shared" ca="1" si="165"/>
        <v>-6.5510928730333207E-2</v>
      </c>
    </row>
    <row r="1039" spans="3:30" x14ac:dyDescent="0.25">
      <c r="C1039" s="6">
        <v>1032</v>
      </c>
      <c r="D1039" s="35">
        <v>43475</v>
      </c>
      <c r="E1039" s="37">
        <v>19.876999999999999</v>
      </c>
      <c r="F1039" s="37">
        <v>53.388568595533854</v>
      </c>
      <c r="G1039" s="37">
        <v>51.7</v>
      </c>
      <c r="H1039" s="37">
        <v>2.3967057497818645</v>
      </c>
      <c r="I1039" s="37">
        <v>75.608830905944487</v>
      </c>
      <c r="J1039" s="10">
        <v>1</v>
      </c>
      <c r="K1039" s="38">
        <v>0</v>
      </c>
      <c r="L1039" s="38">
        <v>0</v>
      </c>
      <c r="M1039" s="38">
        <v>0</v>
      </c>
      <c r="N1039" s="38">
        <v>0</v>
      </c>
      <c r="O1039" s="38">
        <v>0</v>
      </c>
      <c r="P1039" s="38">
        <v>0</v>
      </c>
      <c r="Q1039" s="38">
        <v>0</v>
      </c>
      <c r="R1039" s="38">
        <v>0</v>
      </c>
      <c r="S1039" s="38">
        <v>0</v>
      </c>
      <c r="T1039" s="38">
        <v>0</v>
      </c>
      <c r="U1039" s="29" cm="1">
        <f t="array" aca="1" ref="U1039" ca="1">+fair_value_gap(OFFSET(T1038,0,0,-1*$J$5,-1*$AA$1),OFFSET(E1038,0,0,-1*$J$5,1),F1039:T1039,0)</f>
        <v>20.344606033172688</v>
      </c>
      <c r="V1039" s="9" cm="1">
        <f t="array" aca="1" ref="V1039" ca="1">z_score_diff(OFFSET(U1039,0,0,$J$5*-1,1),OFFSET(E1039,0,0,$J$5*-1,1))</f>
        <v>0.11933663897504343</v>
      </c>
      <c r="W1039" s="9">
        <f t="shared" ca="1" si="161"/>
        <v>0.13310839331614685</v>
      </c>
      <c r="X1039" s="17">
        <f t="shared" ca="1" si="160"/>
        <v>-7.2765998942613305E-2</v>
      </c>
      <c r="Y1039" s="13">
        <f t="shared" si="166"/>
        <v>0</v>
      </c>
      <c r="Z1039" s="13">
        <f t="shared" si="166"/>
        <v>0</v>
      </c>
      <c r="AA1039">
        <f t="shared" ca="1" si="162"/>
        <v>0</v>
      </c>
      <c r="AB1039">
        <f t="shared" ca="1" si="163"/>
        <v>1</v>
      </c>
      <c r="AC1039" s="24">
        <f t="shared" ca="1" si="164"/>
        <v>0</v>
      </c>
      <c r="AD1039" s="24">
        <f t="shared" ca="1" si="165"/>
        <v>-7.2765998942613305E-2</v>
      </c>
    </row>
    <row r="1040" spans="3:30" x14ac:dyDescent="0.25">
      <c r="C1040" s="6">
        <v>1033</v>
      </c>
      <c r="D1040" s="35">
        <v>43476</v>
      </c>
      <c r="E1040" s="37">
        <v>20.268999999999998</v>
      </c>
      <c r="F1040" s="37">
        <v>52.524960954212048</v>
      </c>
      <c r="G1040" s="37">
        <v>52.4</v>
      </c>
      <c r="H1040" s="37">
        <v>2.4398248137056298</v>
      </c>
      <c r="I1040" s="37">
        <v>76.287480090514066</v>
      </c>
      <c r="J1040" s="10">
        <v>1</v>
      </c>
      <c r="K1040" s="38">
        <v>0</v>
      </c>
      <c r="L1040" s="38">
        <v>0</v>
      </c>
      <c r="M1040" s="38">
        <v>0</v>
      </c>
      <c r="N1040" s="38">
        <v>0</v>
      </c>
      <c r="O1040" s="38">
        <v>0</v>
      </c>
      <c r="P1040" s="38">
        <v>0</v>
      </c>
      <c r="Q1040" s="38">
        <v>0</v>
      </c>
      <c r="R1040" s="38">
        <v>0</v>
      </c>
      <c r="S1040" s="38">
        <v>0</v>
      </c>
      <c r="T1040" s="38">
        <v>0</v>
      </c>
      <c r="U1040" s="29" cm="1">
        <f t="array" aca="1" ref="U1040" ca="1">+fair_value_gap(OFFSET(T1039,0,0,-1*$J$5,-1*$AA$1),OFFSET(E1039,0,0,-1*$J$5,1),F1040:T1040,0)</f>
        <v>20.433806352260927</v>
      </c>
      <c r="V1040" s="9" cm="1">
        <f t="array" aca="1" ref="V1040" ca="1">z_score_diff(OFFSET(U1040,0,0,$J$5*-1,1),OFFSET(E1040,0,0,$J$5*-1,1))</f>
        <v>2.6030807565415148E-2</v>
      </c>
      <c r="W1040" s="9">
        <f t="shared" ca="1" si="161"/>
        <v>0.12955824469560184</v>
      </c>
      <c r="X1040" s="17">
        <f t="shared" ca="1" si="160"/>
        <v>-0.11711105269576423</v>
      </c>
      <c r="Y1040" s="13">
        <f t="shared" si="166"/>
        <v>0</v>
      </c>
      <c r="Z1040" s="13">
        <f t="shared" si="166"/>
        <v>0</v>
      </c>
      <c r="AA1040">
        <f t="shared" ca="1" si="162"/>
        <v>0</v>
      </c>
      <c r="AB1040">
        <f t="shared" ca="1" si="163"/>
        <v>1</v>
      </c>
      <c r="AC1040" s="24">
        <f t="shared" ca="1" si="164"/>
        <v>0</v>
      </c>
      <c r="AD1040" s="24">
        <f t="shared" ca="1" si="165"/>
        <v>-0.11711105269576423</v>
      </c>
    </row>
    <row r="1041" spans="3:30" x14ac:dyDescent="0.25">
      <c r="C1041" s="6">
        <v>1034</v>
      </c>
      <c r="D1041" s="35">
        <v>43479</v>
      </c>
      <c r="E1041" s="37">
        <v>19.925000000000001</v>
      </c>
      <c r="F1041" s="37">
        <v>51.327932080215135</v>
      </c>
      <c r="G1041" s="37">
        <v>51.79</v>
      </c>
      <c r="H1041" s="37">
        <v>2.5260417561056028</v>
      </c>
      <c r="I1041" s="37">
        <v>75.944389302359127</v>
      </c>
      <c r="J1041" s="10">
        <v>1</v>
      </c>
      <c r="K1041" s="38">
        <v>0</v>
      </c>
      <c r="L1041" s="38">
        <v>0</v>
      </c>
      <c r="M1041" s="38">
        <v>0</v>
      </c>
      <c r="N1041" s="38">
        <v>0</v>
      </c>
      <c r="O1041" s="38">
        <v>0</v>
      </c>
      <c r="P1041" s="38">
        <v>0</v>
      </c>
      <c r="Q1041" s="38">
        <v>0</v>
      </c>
      <c r="R1041" s="38">
        <v>0</v>
      </c>
      <c r="S1041" s="38">
        <v>0</v>
      </c>
      <c r="T1041" s="38">
        <v>0</v>
      </c>
      <c r="U1041" s="29" cm="1">
        <f t="array" aca="1" ref="U1041" ca="1">+fair_value_gap(OFFSET(T1040,0,0,-1*$J$5,-1*$AA$1),OFFSET(E1040,0,0,-1*$J$5,1),F1041:T1041,0)</f>
        <v>20.176112093786259</v>
      </c>
      <c r="V1041" s="9" cm="1">
        <f t="array" aca="1" ref="V1041" ca="1">z_score_diff(OFFSET(U1041,0,0,$J$5*-1,1),OFFSET(E1041,0,0,$J$5*-1,1))</f>
        <v>5.297671364314116E-2</v>
      </c>
      <c r="W1041" s="9">
        <f t="shared" ca="1" si="161"/>
        <v>0.12876541352241738</v>
      </c>
      <c r="X1041" s="17">
        <f t="shared" ca="1" si="160"/>
        <v>-0.10622524185851773</v>
      </c>
      <c r="Y1041" s="13">
        <f t="shared" si="166"/>
        <v>0</v>
      </c>
      <c r="Z1041" s="13">
        <f t="shared" si="166"/>
        <v>0</v>
      </c>
      <c r="AA1041">
        <f t="shared" ca="1" si="162"/>
        <v>0</v>
      </c>
      <c r="AB1041">
        <f t="shared" ca="1" si="163"/>
        <v>1</v>
      </c>
      <c r="AC1041" s="24">
        <f t="shared" ca="1" si="164"/>
        <v>0</v>
      </c>
      <c r="AD1041" s="24">
        <f t="shared" ca="1" si="165"/>
        <v>-0.10622524185851773</v>
      </c>
    </row>
    <row r="1042" spans="3:30" x14ac:dyDescent="0.25">
      <c r="C1042" s="6">
        <v>1035</v>
      </c>
      <c r="D1042" s="35">
        <v>43480</v>
      </c>
      <c r="E1042" s="37">
        <v>20.245000000000001</v>
      </c>
      <c r="F1042" s="37">
        <v>52.888590460375845</v>
      </c>
      <c r="G1042" s="37">
        <v>51.79</v>
      </c>
      <c r="H1042" s="37">
        <v>2.4830364679259347</v>
      </c>
      <c r="I1042" s="37">
        <v>77.071656790332284</v>
      </c>
      <c r="J1042" s="10">
        <v>1</v>
      </c>
      <c r="K1042" s="38">
        <v>0</v>
      </c>
      <c r="L1042" s="38">
        <v>0</v>
      </c>
      <c r="M1042" s="38">
        <v>0</v>
      </c>
      <c r="N1042" s="38">
        <v>0</v>
      </c>
      <c r="O1042" s="38">
        <v>0</v>
      </c>
      <c r="P1042" s="38">
        <v>0</v>
      </c>
      <c r="Q1042" s="38">
        <v>0</v>
      </c>
      <c r="R1042" s="38">
        <v>0</v>
      </c>
      <c r="S1042" s="38">
        <v>0</v>
      </c>
      <c r="T1042" s="38">
        <v>0</v>
      </c>
      <c r="U1042" s="29" cm="1">
        <f t="array" aca="1" ref="U1042" ca="1">+fair_value_gap(OFFSET(T1041,0,0,-1*$J$5,-1*$AA$1),OFFSET(E1041,0,0,-1*$J$5,1),F1042:T1042,0)</f>
        <v>20.256718657606122</v>
      </c>
      <c r="V1042" s="9" cm="1">
        <f t="array" aca="1" ref="V1042" ca="1">z_score_diff(OFFSET(U1042,0,0,$J$5*-1,1),OFFSET(E1042,0,0,$J$5*-1,1))</f>
        <v>-2.1078536101074352E-2</v>
      </c>
      <c r="W1042" s="9">
        <f t="shared" ca="1" si="161"/>
        <v>0.12311871379347991</v>
      </c>
      <c r="X1042" s="17">
        <f t="shared" ca="1" si="160"/>
        <v>-0.13530412341128426</v>
      </c>
      <c r="Y1042" s="13">
        <f t="shared" si="166"/>
        <v>0</v>
      </c>
      <c r="Z1042" s="13">
        <f t="shared" si="166"/>
        <v>0</v>
      </c>
      <c r="AA1042">
        <f t="shared" ca="1" si="162"/>
        <v>0</v>
      </c>
      <c r="AB1042">
        <f t="shared" ca="1" si="163"/>
        <v>1</v>
      </c>
      <c r="AC1042" s="24">
        <f t="shared" ca="1" si="164"/>
        <v>0</v>
      </c>
      <c r="AD1042" s="24">
        <f t="shared" ca="1" si="165"/>
        <v>-0.13530412341128426</v>
      </c>
    </row>
    <row r="1043" spans="3:30" x14ac:dyDescent="0.25">
      <c r="C1043" s="6">
        <v>1036</v>
      </c>
      <c r="D1043" s="35">
        <v>43481</v>
      </c>
      <c r="E1043" s="37">
        <v>20.398</v>
      </c>
      <c r="F1043" s="37">
        <v>53.334208986796938</v>
      </c>
      <c r="G1043" s="37">
        <v>52.32</v>
      </c>
      <c r="H1043" s="37">
        <v>2.481786263935204</v>
      </c>
      <c r="I1043" s="37">
        <v>78.938431479972451</v>
      </c>
      <c r="J1043" s="10">
        <v>1</v>
      </c>
      <c r="K1043" s="38">
        <v>0</v>
      </c>
      <c r="L1043" s="38">
        <v>0</v>
      </c>
      <c r="M1043" s="38">
        <v>0</v>
      </c>
      <c r="N1043" s="38">
        <v>0</v>
      </c>
      <c r="O1043" s="38">
        <v>0</v>
      </c>
      <c r="P1043" s="38">
        <v>0</v>
      </c>
      <c r="Q1043" s="38">
        <v>0</v>
      </c>
      <c r="R1043" s="38">
        <v>0</v>
      </c>
      <c r="S1043" s="38">
        <v>0</v>
      </c>
      <c r="T1043" s="38">
        <v>0</v>
      </c>
      <c r="U1043" s="29" cm="1">
        <f t="array" aca="1" ref="U1043" ca="1">+fair_value_gap(OFFSET(T1042,0,0,-1*$J$5,-1*$AA$1),OFFSET(E1042,0,0,-1*$J$5,1),F1043:T1043,0)</f>
        <v>20.438457504411879</v>
      </c>
      <c r="V1043" s="9" cm="1">
        <f t="array" aca="1" ref="V1043" ca="1">z_score_diff(OFFSET(U1043,0,0,$J$5*-1,1),OFFSET(E1043,0,0,$J$5*-1,1))</f>
        <v>-1.1100456204913123E-2</v>
      </c>
      <c r="W1043" s="9">
        <f t="shared" ca="1" si="161"/>
        <v>0.11999548739727302</v>
      </c>
      <c r="X1043" s="17">
        <f t="shared" ca="1" si="160"/>
        <v>-0.12445417447340598</v>
      </c>
      <c r="Y1043" s="13">
        <f t="shared" si="166"/>
        <v>0</v>
      </c>
      <c r="Z1043" s="13">
        <f t="shared" si="166"/>
        <v>0</v>
      </c>
      <c r="AA1043">
        <f t="shared" ca="1" si="162"/>
        <v>0</v>
      </c>
      <c r="AB1043">
        <f t="shared" ca="1" si="163"/>
        <v>1</v>
      </c>
      <c r="AC1043" s="24">
        <f t="shared" ca="1" si="164"/>
        <v>0</v>
      </c>
      <c r="AD1043" s="24">
        <f t="shared" ca="1" si="165"/>
        <v>-0.12445417447340598</v>
      </c>
    </row>
    <row r="1044" spans="3:30" x14ac:dyDescent="0.25">
      <c r="C1044" s="6">
        <v>1037</v>
      </c>
      <c r="D1044" s="35">
        <v>43482</v>
      </c>
      <c r="E1044" s="37">
        <v>21.332999999999998</v>
      </c>
      <c r="F1044" s="37">
        <v>53.145876267271539</v>
      </c>
      <c r="G1044" s="37">
        <v>54.11</v>
      </c>
      <c r="H1044" s="37">
        <v>2.5086098394213083</v>
      </c>
      <c r="I1044" s="37">
        <v>80.954966044729673</v>
      </c>
      <c r="J1044" s="10">
        <v>1</v>
      </c>
      <c r="K1044" s="38">
        <v>0</v>
      </c>
      <c r="L1044" s="38">
        <v>0</v>
      </c>
      <c r="M1044" s="38">
        <v>0</v>
      </c>
      <c r="N1044" s="38">
        <v>0</v>
      </c>
      <c r="O1044" s="38">
        <v>0</v>
      </c>
      <c r="P1044" s="38">
        <v>0</v>
      </c>
      <c r="Q1044" s="38">
        <v>0</v>
      </c>
      <c r="R1044" s="38">
        <v>0</v>
      </c>
      <c r="S1044" s="38">
        <v>0</v>
      </c>
      <c r="T1044" s="38">
        <v>0</v>
      </c>
      <c r="U1044" s="29" cm="1">
        <f t="array" aca="1" ref="U1044" ca="1">+fair_value_gap(OFFSET(T1043,0,0,-1*$J$5,-1*$AA$1),OFFSET(E1043,0,0,-1*$J$5,1),F1044:T1044,0)</f>
        <v>20.939737865548235</v>
      </c>
      <c r="V1044" s="9" cm="1">
        <f t="array" aca="1" ref="V1044" ca="1">z_score_diff(OFFSET(U1044,0,0,$J$5*-1,1),OFFSET(E1044,0,0,$J$5*-1,1))</f>
        <v>-0.14718203017178039</v>
      </c>
      <c r="W1044" s="9">
        <f t="shared" ca="1" si="161"/>
        <v>0.10884932224605826</v>
      </c>
      <c r="X1044" s="17">
        <f t="shared" ca="1" si="160"/>
        <v>-0.18038278211003456</v>
      </c>
      <c r="Y1044" s="13">
        <f t="shared" si="166"/>
        <v>0</v>
      </c>
      <c r="Z1044" s="13">
        <f t="shared" si="166"/>
        <v>0</v>
      </c>
      <c r="AA1044">
        <f t="shared" ca="1" si="162"/>
        <v>0</v>
      </c>
      <c r="AB1044">
        <f t="shared" ca="1" si="163"/>
        <v>1</v>
      </c>
      <c r="AC1044" s="24">
        <f t="shared" ca="1" si="164"/>
        <v>0</v>
      </c>
      <c r="AD1044" s="24">
        <f t="shared" ca="1" si="165"/>
        <v>-0.18038278211003456</v>
      </c>
    </row>
    <row r="1045" spans="3:30" x14ac:dyDescent="0.25">
      <c r="C1045" s="6">
        <v>1038</v>
      </c>
      <c r="D1045" s="35">
        <v>43483</v>
      </c>
      <c r="E1045" s="37">
        <v>21.248999999999999</v>
      </c>
      <c r="F1045" s="37">
        <v>54.365062172349553</v>
      </c>
      <c r="G1045" s="37">
        <v>54.49</v>
      </c>
      <c r="H1045" s="37">
        <v>2.5466834192625969</v>
      </c>
      <c r="I1045" s="37">
        <v>81.105671331398113</v>
      </c>
      <c r="J1045" s="10">
        <v>1</v>
      </c>
      <c r="K1045" s="38">
        <v>0</v>
      </c>
      <c r="L1045" s="38">
        <v>0</v>
      </c>
      <c r="M1045" s="38">
        <v>0</v>
      </c>
      <c r="N1045" s="38">
        <v>0</v>
      </c>
      <c r="O1045" s="38">
        <v>0</v>
      </c>
      <c r="P1045" s="38">
        <v>0</v>
      </c>
      <c r="Q1045" s="38">
        <v>0</v>
      </c>
      <c r="R1045" s="38">
        <v>0</v>
      </c>
      <c r="S1045" s="38">
        <v>0</v>
      </c>
      <c r="T1045" s="38">
        <v>0</v>
      </c>
      <c r="U1045" s="29" cm="1">
        <f t="array" aca="1" ref="U1045" ca="1">+fair_value_gap(OFFSET(T1044,0,0,-1*$J$5,-1*$AA$1),OFFSET(E1044,0,0,-1*$J$5,1),F1045:T1045,0)</f>
        <v>21.17642025172557</v>
      </c>
      <c r="V1045" s="9" cm="1">
        <f t="array" aca="1" ref="V1045" ca="1">z_score_diff(OFFSET(U1045,0,0,$J$5*-1,1),OFFSET(E1045,0,0,$J$5*-1,1))</f>
        <v>-4.4460181112275565E-2</v>
      </c>
      <c r="W1045" s="9">
        <f t="shared" ca="1" si="161"/>
        <v>0.1024583495474241</v>
      </c>
      <c r="X1045" s="17">
        <f t="shared" ca="1" si="160"/>
        <v>-0.15945911144572136</v>
      </c>
      <c r="Y1045" s="13">
        <f t="shared" si="166"/>
        <v>0</v>
      </c>
      <c r="Z1045" s="13">
        <f t="shared" si="166"/>
        <v>0</v>
      </c>
      <c r="AA1045">
        <f t="shared" ca="1" si="162"/>
        <v>0</v>
      </c>
      <c r="AB1045">
        <f t="shared" ca="1" si="163"/>
        <v>1</v>
      </c>
      <c r="AC1045" s="24">
        <f t="shared" ca="1" si="164"/>
        <v>0</v>
      </c>
      <c r="AD1045" s="24">
        <f t="shared" ca="1" si="165"/>
        <v>-0.15945911144572136</v>
      </c>
    </row>
    <row r="1046" spans="3:30" x14ac:dyDescent="0.25">
      <c r="C1046" s="6">
        <v>1039</v>
      </c>
      <c r="D1046" s="35">
        <v>43486</v>
      </c>
      <c r="E1046" s="37">
        <v>20.817</v>
      </c>
      <c r="F1046" s="37">
        <v>54.343682860905119</v>
      </c>
      <c r="G1046" s="37">
        <v>53.27</v>
      </c>
      <c r="H1046" s="37">
        <v>2.5460877399681197</v>
      </c>
      <c r="I1046" s="37">
        <v>79.743918497470375</v>
      </c>
      <c r="J1046" s="10">
        <v>1</v>
      </c>
      <c r="K1046" s="38">
        <v>0</v>
      </c>
      <c r="L1046" s="38">
        <v>0</v>
      </c>
      <c r="M1046" s="38">
        <v>0</v>
      </c>
      <c r="N1046" s="38">
        <v>0</v>
      </c>
      <c r="O1046" s="38">
        <v>0</v>
      </c>
      <c r="P1046" s="38">
        <v>0</v>
      </c>
      <c r="Q1046" s="38">
        <v>0</v>
      </c>
      <c r="R1046" s="38">
        <v>0</v>
      </c>
      <c r="S1046" s="38">
        <v>0</v>
      </c>
      <c r="T1046" s="38">
        <v>0</v>
      </c>
      <c r="U1046" s="29" cm="1">
        <f t="array" aca="1" ref="U1046" ca="1">+fair_value_gap(OFFSET(T1045,0,0,-1*$J$5,-1*$AA$1),OFFSET(E1045,0,0,-1*$J$5,1),F1046:T1046,0)</f>
        <v>20.808039031625512</v>
      </c>
      <c r="V1046" s="9" cm="1">
        <f t="array" aca="1" ref="V1046" ca="1">z_score_diff(OFFSET(U1046,0,0,$J$5*-1,1),OFFSET(E1046,0,0,$J$5*-1,1))</f>
        <v>-2.2827115553131605E-2</v>
      </c>
      <c r="W1046" s="9">
        <f t="shared" ca="1" si="161"/>
        <v>9.8513990137791385E-2</v>
      </c>
      <c r="X1046" s="17">
        <f t="shared" ca="1" si="160"/>
        <v>-0.16611124428689844</v>
      </c>
      <c r="Y1046" s="13">
        <f t="shared" si="166"/>
        <v>0</v>
      </c>
      <c r="Z1046" s="13">
        <f t="shared" si="166"/>
        <v>0</v>
      </c>
      <c r="AA1046">
        <f t="shared" ca="1" si="162"/>
        <v>0</v>
      </c>
      <c r="AB1046">
        <f t="shared" ca="1" si="163"/>
        <v>1</v>
      </c>
      <c r="AC1046" s="24">
        <f t="shared" ca="1" si="164"/>
        <v>0</v>
      </c>
      <c r="AD1046" s="24">
        <f t="shared" ca="1" si="165"/>
        <v>-0.16611124428689844</v>
      </c>
    </row>
    <row r="1047" spans="3:30" x14ac:dyDescent="0.25">
      <c r="C1047" s="6">
        <v>1040</v>
      </c>
      <c r="D1047" s="35">
        <v>43487</v>
      </c>
      <c r="E1047" s="37">
        <v>20.786999999999999</v>
      </c>
      <c r="F1047" s="37">
        <v>53.473757205391578</v>
      </c>
      <c r="G1047" s="37">
        <v>54.2</v>
      </c>
      <c r="H1047" s="37">
        <v>2.5154943006977852</v>
      </c>
      <c r="I1047" s="37">
        <v>80.39700082347332</v>
      </c>
      <c r="J1047" s="10">
        <v>1</v>
      </c>
      <c r="K1047" s="38">
        <v>0</v>
      </c>
      <c r="L1047" s="38">
        <v>0</v>
      </c>
      <c r="M1047" s="38">
        <v>0</v>
      </c>
      <c r="N1047" s="38">
        <v>0</v>
      </c>
      <c r="O1047" s="38">
        <v>0</v>
      </c>
      <c r="P1047" s="38">
        <v>0</v>
      </c>
      <c r="Q1047" s="38">
        <v>0</v>
      </c>
      <c r="R1047" s="38">
        <v>0</v>
      </c>
      <c r="S1047" s="38">
        <v>0</v>
      </c>
      <c r="T1047" s="38">
        <v>0</v>
      </c>
      <c r="U1047" s="29" cm="1">
        <f t="array" aca="1" ref="U1047" ca="1">+fair_value_gap(OFFSET(T1046,0,0,-1*$J$5,-1*$AA$1),OFFSET(E1046,0,0,-1*$J$5,1),F1047:T1047,0)</f>
        <v>20.992324581101144</v>
      </c>
      <c r="V1047" s="9" cm="1">
        <f t="array" aca="1" ref="V1047" ca="1">z_score_diff(OFFSET(U1047,0,0,$J$5*-1,1),OFFSET(E1047,0,0,$J$5*-1,1))</f>
        <v>4.7030574408051529E-2</v>
      </c>
      <c r="W1047" s="9">
        <f t="shared" ca="1" si="161"/>
        <v>0.10344417098434948</v>
      </c>
      <c r="X1047" s="17">
        <f t="shared" ca="1" si="160"/>
        <v>-0.14657055942466216</v>
      </c>
      <c r="Y1047" s="13">
        <f t="shared" si="166"/>
        <v>0</v>
      </c>
      <c r="Z1047" s="13">
        <f t="shared" si="166"/>
        <v>0</v>
      </c>
      <c r="AA1047">
        <f t="shared" ca="1" si="162"/>
        <v>0</v>
      </c>
      <c r="AB1047">
        <f t="shared" ca="1" si="163"/>
        <v>1</v>
      </c>
      <c r="AC1047" s="24">
        <f t="shared" ca="1" si="164"/>
        <v>0</v>
      </c>
      <c r="AD1047" s="24">
        <f t="shared" ca="1" si="165"/>
        <v>-0.14657055942466216</v>
      </c>
    </row>
    <row r="1048" spans="3:30" x14ac:dyDescent="0.25">
      <c r="C1048" s="6">
        <v>1041</v>
      </c>
      <c r="D1048" s="35">
        <v>43488</v>
      </c>
      <c r="E1048" s="37">
        <v>21.091000000000001</v>
      </c>
      <c r="F1048" s="37">
        <v>53.082523599922482</v>
      </c>
      <c r="G1048" s="37">
        <v>54.51</v>
      </c>
      <c r="H1048" s="37">
        <v>2.4940827173822773</v>
      </c>
      <c r="I1048" s="37">
        <v>80.194751266506103</v>
      </c>
      <c r="J1048" s="10">
        <v>1</v>
      </c>
      <c r="K1048" s="38">
        <v>0</v>
      </c>
      <c r="L1048" s="38">
        <v>0</v>
      </c>
      <c r="M1048" s="38">
        <v>0</v>
      </c>
      <c r="N1048" s="38">
        <v>0</v>
      </c>
      <c r="O1048" s="38">
        <v>0</v>
      </c>
      <c r="P1048" s="38">
        <v>0</v>
      </c>
      <c r="Q1048" s="38">
        <v>0</v>
      </c>
      <c r="R1048" s="38">
        <v>0</v>
      </c>
      <c r="S1048" s="38">
        <v>0</v>
      </c>
      <c r="T1048" s="38">
        <v>0</v>
      </c>
      <c r="U1048" s="29" cm="1">
        <f t="array" aca="1" ref="U1048" ca="1">+fair_value_gap(OFFSET(T1047,0,0,-1*$J$5,-1*$AA$1),OFFSET(E1047,0,0,-1*$J$5,1),F1048:T1048,0)</f>
        <v>21.017498001767386</v>
      </c>
      <c r="V1048" s="9" cm="1">
        <f t="array" aca="1" ref="V1048" ca="1">z_score_diff(OFFSET(U1048,0,0,$J$5*-1,1),OFFSET(E1048,0,0,$J$5*-1,1))</f>
        <v>-4.370217056067327E-2</v>
      </c>
      <c r="W1048" s="9">
        <f t="shared" ca="1" si="161"/>
        <v>0.1031723121848459</v>
      </c>
      <c r="X1048" s="17">
        <f t="shared" ca="1" si="160"/>
        <v>-0.13627837691025535</v>
      </c>
      <c r="Y1048" s="13">
        <f t="shared" si="166"/>
        <v>0</v>
      </c>
      <c r="Z1048" s="13">
        <f t="shared" si="166"/>
        <v>0</v>
      </c>
      <c r="AA1048">
        <f t="shared" ca="1" si="162"/>
        <v>0</v>
      </c>
      <c r="AB1048">
        <f t="shared" ca="1" si="163"/>
        <v>1</v>
      </c>
      <c r="AC1048" s="24">
        <f t="shared" ca="1" si="164"/>
        <v>0</v>
      </c>
      <c r="AD1048" s="24">
        <f t="shared" ca="1" si="165"/>
        <v>-0.13627837691025535</v>
      </c>
    </row>
    <row r="1049" spans="3:30" x14ac:dyDescent="0.25">
      <c r="C1049" s="6">
        <v>1042</v>
      </c>
      <c r="D1049" s="35">
        <v>43489</v>
      </c>
      <c r="E1049" s="37">
        <v>20.385000000000002</v>
      </c>
      <c r="F1049" s="37">
        <v>53.52677731885521</v>
      </c>
      <c r="G1049" s="37">
        <v>53.63</v>
      </c>
      <c r="H1049" s="37">
        <v>2.552708378316257</v>
      </c>
      <c r="I1049" s="37">
        <v>79.402115996740335</v>
      </c>
      <c r="J1049" s="10">
        <v>1</v>
      </c>
      <c r="K1049" s="38">
        <v>0</v>
      </c>
      <c r="L1049" s="38">
        <v>0</v>
      </c>
      <c r="M1049" s="38">
        <v>0</v>
      </c>
      <c r="N1049" s="38">
        <v>0</v>
      </c>
      <c r="O1049" s="38">
        <v>0</v>
      </c>
      <c r="P1049" s="38">
        <v>0</v>
      </c>
      <c r="Q1049" s="38">
        <v>0</v>
      </c>
      <c r="R1049" s="38">
        <v>0</v>
      </c>
      <c r="S1049" s="38">
        <v>0</v>
      </c>
      <c r="T1049" s="38">
        <v>0</v>
      </c>
      <c r="U1049" s="29" cm="1">
        <f t="array" aca="1" ref="U1049" ca="1">+fair_value_gap(OFFSET(T1048,0,0,-1*$J$5,-1*$AA$1),OFFSET(E1048,0,0,-1*$J$5,1),F1049:T1049,0)</f>
        <v>20.720035209848291</v>
      </c>
      <c r="V1049" s="9" cm="1">
        <f t="array" aca="1" ref="V1049" ca="1">z_score_diff(OFFSET(U1049,0,0,$J$5*-1,1),OFFSET(E1049,0,0,$J$5*-1,1))</f>
        <v>9.092491184064827E-2</v>
      </c>
      <c r="W1049" s="9">
        <f t="shared" ca="1" si="161"/>
        <v>0.10396431506446609</v>
      </c>
      <c r="X1049" s="17">
        <f t="shared" ca="1" si="160"/>
        <v>-0.12804522528697096</v>
      </c>
      <c r="Y1049" s="13">
        <f t="shared" ref="Y1049:Z1064" si="167">+Y1048</f>
        <v>0</v>
      </c>
      <c r="Z1049" s="13">
        <f t="shared" si="167"/>
        <v>0</v>
      </c>
      <c r="AA1049">
        <f t="shared" ca="1" si="162"/>
        <v>0</v>
      </c>
      <c r="AB1049">
        <f t="shared" ca="1" si="163"/>
        <v>1</v>
      </c>
      <c r="AC1049" s="24">
        <f t="shared" ca="1" si="164"/>
        <v>0</v>
      </c>
      <c r="AD1049" s="24">
        <f t="shared" ca="1" si="165"/>
        <v>-0.12804522528697096</v>
      </c>
    </row>
    <row r="1050" spans="3:30" x14ac:dyDescent="0.25">
      <c r="C1050" s="6">
        <v>1043</v>
      </c>
      <c r="D1050" s="35">
        <v>43490</v>
      </c>
      <c r="E1050" s="37">
        <v>20.146999999999998</v>
      </c>
      <c r="F1050" s="37">
        <v>53.324522119626025</v>
      </c>
      <c r="G1050" s="37">
        <v>52.61</v>
      </c>
      <c r="H1050" s="37">
        <v>2.5458771198028862</v>
      </c>
      <c r="I1050" s="37">
        <v>79.111125681438381</v>
      </c>
      <c r="J1050" s="10">
        <v>1</v>
      </c>
      <c r="K1050" s="38">
        <v>0</v>
      </c>
      <c r="L1050" s="38">
        <v>0</v>
      </c>
      <c r="M1050" s="38">
        <v>0</v>
      </c>
      <c r="N1050" s="38">
        <v>0</v>
      </c>
      <c r="O1050" s="38">
        <v>0</v>
      </c>
      <c r="P1050" s="38">
        <v>0</v>
      </c>
      <c r="Q1050" s="38">
        <v>0</v>
      </c>
      <c r="R1050" s="38">
        <v>0</v>
      </c>
      <c r="S1050" s="38">
        <v>0</v>
      </c>
      <c r="T1050" s="38">
        <v>0</v>
      </c>
      <c r="U1050" s="29" cm="1">
        <f t="array" aca="1" ref="U1050" ca="1">+fair_value_gap(OFFSET(T1049,0,0,-1*$J$5,-1*$AA$1),OFFSET(E1049,0,0,-1*$J$5,1),F1050:T1050,0)</f>
        <v>20.354934546906133</v>
      </c>
      <c r="V1050" s="9" cm="1">
        <f t="array" aca="1" ref="V1050" ca="1">z_score_diff(OFFSET(U1050,0,0,$J$5*-1,1),OFFSET(E1050,0,0,$J$5*-1,1))</f>
        <v>5.1270790036001213E-2</v>
      </c>
      <c r="W1050" s="9">
        <f t="shared" ca="1" si="161"/>
        <v>9.5916360326635169E-2</v>
      </c>
      <c r="X1050" s="17">
        <f t="shared" ca="1" si="160"/>
        <v>-0.12875656066331242</v>
      </c>
      <c r="Y1050" s="13">
        <f t="shared" si="167"/>
        <v>0</v>
      </c>
      <c r="Z1050" s="13">
        <f t="shared" si="167"/>
        <v>0</v>
      </c>
      <c r="AA1050">
        <f t="shared" ca="1" si="162"/>
        <v>0</v>
      </c>
      <c r="AB1050">
        <f t="shared" ca="1" si="163"/>
        <v>1</v>
      </c>
      <c r="AC1050" s="24">
        <f t="shared" ca="1" si="164"/>
        <v>0</v>
      </c>
      <c r="AD1050" s="24">
        <f t="shared" ca="1" si="165"/>
        <v>-0.12875656066331242</v>
      </c>
    </row>
    <row r="1051" spans="3:30" x14ac:dyDescent="0.25">
      <c r="C1051" s="6">
        <v>1044</v>
      </c>
      <c r="D1051" s="35">
        <v>43493</v>
      </c>
      <c r="E1051" s="37">
        <v>19.893000000000001</v>
      </c>
      <c r="F1051" s="37">
        <v>51.697601348498196</v>
      </c>
      <c r="G1051" s="37">
        <v>51.91</v>
      </c>
      <c r="H1051" s="37">
        <v>2.495686839560773</v>
      </c>
      <c r="I1051" s="37">
        <v>79.196692180813216</v>
      </c>
      <c r="J1051" s="10">
        <v>1</v>
      </c>
      <c r="K1051" s="38">
        <v>0</v>
      </c>
      <c r="L1051" s="38">
        <v>0</v>
      </c>
      <c r="M1051" s="38">
        <v>0</v>
      </c>
      <c r="N1051" s="38">
        <v>0</v>
      </c>
      <c r="O1051" s="38">
        <v>0</v>
      </c>
      <c r="P1051" s="38">
        <v>0</v>
      </c>
      <c r="Q1051" s="38">
        <v>0</v>
      </c>
      <c r="R1051" s="38">
        <v>0</v>
      </c>
      <c r="S1051" s="38">
        <v>0</v>
      </c>
      <c r="T1051" s="38">
        <v>0</v>
      </c>
      <c r="U1051" s="29" cm="1">
        <f t="array" aca="1" ref="U1051" ca="1">+fair_value_gap(OFFSET(T1050,0,0,-1*$J$5,-1*$AA$1),OFFSET(E1050,0,0,-1*$J$5,1),F1051:T1051,0)</f>
        <v>20.002340262339313</v>
      </c>
      <c r="V1051" s="9" cm="1">
        <f t="array" aca="1" ref="V1051" ca="1">z_score_diff(OFFSET(U1051,0,0,$J$5*-1,1),OFFSET(E1051,0,0,$J$5*-1,1))</f>
        <v>2.1219772672267823E-2</v>
      </c>
      <c r="W1051" s="9">
        <f t="shared" ca="1" si="161"/>
        <v>8.4747704724540268E-2</v>
      </c>
      <c r="X1051" s="17">
        <f t="shared" ca="1" si="160"/>
        <v>-0.12913893083932848</v>
      </c>
      <c r="Y1051" s="13">
        <f t="shared" si="167"/>
        <v>0</v>
      </c>
      <c r="Z1051" s="13">
        <f t="shared" si="167"/>
        <v>0</v>
      </c>
      <c r="AA1051">
        <f t="shared" ca="1" si="162"/>
        <v>0</v>
      </c>
      <c r="AB1051">
        <f t="shared" ca="1" si="163"/>
        <v>1</v>
      </c>
      <c r="AC1051" s="24">
        <f t="shared" ca="1" si="164"/>
        <v>0</v>
      </c>
      <c r="AD1051" s="24">
        <f t="shared" ca="1" si="165"/>
        <v>-0.12913893083932848</v>
      </c>
    </row>
    <row r="1052" spans="3:30" x14ac:dyDescent="0.25">
      <c r="C1052" s="6">
        <v>1045</v>
      </c>
      <c r="D1052" s="35">
        <v>43494</v>
      </c>
      <c r="E1052" s="37">
        <v>19.957000000000001</v>
      </c>
      <c r="F1052" s="37">
        <v>52.799692726629182</v>
      </c>
      <c r="G1052" s="37">
        <v>51.98</v>
      </c>
      <c r="H1052" s="37">
        <v>2.5258766721122718</v>
      </c>
      <c r="I1052" s="37">
        <v>78.799084724948131</v>
      </c>
      <c r="J1052" s="10">
        <v>1</v>
      </c>
      <c r="K1052" s="38">
        <v>0</v>
      </c>
      <c r="L1052" s="38">
        <v>0</v>
      </c>
      <c r="M1052" s="38">
        <v>0</v>
      </c>
      <c r="N1052" s="38">
        <v>0</v>
      </c>
      <c r="O1052" s="38">
        <v>0</v>
      </c>
      <c r="P1052" s="38">
        <v>0</v>
      </c>
      <c r="Q1052" s="38">
        <v>0</v>
      </c>
      <c r="R1052" s="38">
        <v>0</v>
      </c>
      <c r="S1052" s="38">
        <v>0</v>
      </c>
      <c r="T1052" s="38">
        <v>0</v>
      </c>
      <c r="U1052" s="29" cm="1">
        <f t="array" aca="1" ref="U1052" ca="1">+fair_value_gap(OFFSET(T1051,0,0,-1*$J$5,-1*$AA$1),OFFSET(E1051,0,0,-1*$J$5,1),F1052:T1052,0)</f>
        <v>20.097288464161313</v>
      </c>
      <c r="V1052" s="9" cm="1">
        <f t="array" aca="1" ref="V1052" ca="1">z_score_diff(OFFSET(U1052,0,0,$J$5*-1,1),OFFSET(E1052,0,0,$J$5*-1,1))</f>
        <v>3.1975911763751697E-2</v>
      </c>
      <c r="W1052" s="9">
        <f t="shared" ca="1" si="161"/>
        <v>7.070846725360172E-2</v>
      </c>
      <c r="X1052" s="17">
        <f t="shared" ca="1" si="160"/>
        <v>-0.13109340457921936</v>
      </c>
      <c r="Y1052" s="13">
        <f t="shared" si="167"/>
        <v>0</v>
      </c>
      <c r="Z1052" s="13">
        <f t="shared" si="167"/>
        <v>0</v>
      </c>
      <c r="AA1052">
        <f t="shared" ca="1" si="162"/>
        <v>0</v>
      </c>
      <c r="AB1052">
        <f t="shared" ca="1" si="163"/>
        <v>1</v>
      </c>
      <c r="AC1052" s="24">
        <f t="shared" ca="1" si="164"/>
        <v>0</v>
      </c>
      <c r="AD1052" s="24">
        <f t="shared" ca="1" si="165"/>
        <v>-0.13109340457921936</v>
      </c>
    </row>
    <row r="1053" spans="3:30" x14ac:dyDescent="0.25">
      <c r="C1053" s="6">
        <v>1046</v>
      </c>
      <c r="D1053" s="35">
        <v>43495</v>
      </c>
      <c r="E1053" s="37">
        <v>19.55</v>
      </c>
      <c r="F1053" s="37">
        <v>52.875281084925618</v>
      </c>
      <c r="G1053" s="37">
        <v>51.85</v>
      </c>
      <c r="H1053" s="37">
        <v>2.494052281581677</v>
      </c>
      <c r="I1053" s="37">
        <v>78.545058953836445</v>
      </c>
      <c r="J1053" s="10">
        <v>1</v>
      </c>
      <c r="K1053" s="38">
        <v>0</v>
      </c>
      <c r="L1053" s="38">
        <v>0</v>
      </c>
      <c r="M1053" s="38">
        <v>0</v>
      </c>
      <c r="N1053" s="38">
        <v>0</v>
      </c>
      <c r="O1053" s="38">
        <v>0</v>
      </c>
      <c r="P1053" s="38">
        <v>0</v>
      </c>
      <c r="Q1053" s="38">
        <v>0</v>
      </c>
      <c r="R1053" s="38">
        <v>0</v>
      </c>
      <c r="S1053" s="38">
        <v>0</v>
      </c>
      <c r="T1053" s="38">
        <v>0</v>
      </c>
      <c r="U1053" s="29" cm="1">
        <f t="array" aca="1" ref="U1053" ca="1">+fair_value_gap(OFFSET(T1052,0,0,-1*$J$5,-1*$AA$1),OFFSET(E1052,0,0,-1*$J$5,1),F1053:T1053,0)</f>
        <v>20.048020741535218</v>
      </c>
      <c r="V1053" s="9" cm="1">
        <f t="array" aca="1" ref="V1053" ca="1">z_score_diff(OFFSET(U1053,0,0,$J$5*-1,1),OFFSET(E1053,0,0,$J$5*-1,1))</f>
        <v>0.1516000285694733</v>
      </c>
      <c r="W1053" s="9">
        <f t="shared" ca="1" si="161"/>
        <v>5.0908493010182097E-2</v>
      </c>
      <c r="X1053" s="17">
        <f t="shared" ca="1" si="160"/>
        <v>-8.2714645819617946E-2</v>
      </c>
      <c r="Y1053" s="13">
        <f t="shared" si="167"/>
        <v>0</v>
      </c>
      <c r="Z1053" s="13">
        <f t="shared" si="167"/>
        <v>0</v>
      </c>
      <c r="AA1053">
        <f t="shared" ca="1" si="162"/>
        <v>0</v>
      </c>
      <c r="AB1053">
        <f t="shared" ca="1" si="163"/>
        <v>1</v>
      </c>
      <c r="AC1053" s="24">
        <f t="shared" ca="1" si="164"/>
        <v>0</v>
      </c>
      <c r="AD1053" s="24">
        <f t="shared" ca="1" si="165"/>
        <v>-8.2714645819617946E-2</v>
      </c>
    </row>
    <row r="1054" spans="3:30" x14ac:dyDescent="0.25">
      <c r="C1054" s="6">
        <v>1047</v>
      </c>
      <c r="D1054" s="35">
        <v>43496</v>
      </c>
      <c r="E1054" s="37">
        <v>19.425000000000001</v>
      </c>
      <c r="F1054" s="37">
        <v>52.438574352066183</v>
      </c>
      <c r="G1054" s="37">
        <v>51.53</v>
      </c>
      <c r="H1054" s="37">
        <v>2.4645097690070479</v>
      </c>
      <c r="I1054" s="37">
        <v>77.978293389350398</v>
      </c>
      <c r="J1054" s="10">
        <v>1</v>
      </c>
      <c r="K1054" s="38">
        <v>0</v>
      </c>
      <c r="L1054" s="38">
        <v>0</v>
      </c>
      <c r="M1054" s="38">
        <v>0</v>
      </c>
      <c r="N1054" s="38">
        <v>0</v>
      </c>
      <c r="O1054" s="38">
        <v>0</v>
      </c>
      <c r="P1054" s="38">
        <v>0</v>
      </c>
      <c r="Q1054" s="38">
        <v>0</v>
      </c>
      <c r="R1054" s="38">
        <v>0</v>
      </c>
      <c r="S1054" s="38">
        <v>0</v>
      </c>
      <c r="T1054" s="38">
        <v>0</v>
      </c>
      <c r="U1054" s="29" cm="1">
        <f t="array" aca="1" ref="U1054" ca="1">+fair_value_gap(OFFSET(T1053,0,0,-1*$J$5,-1*$AA$1),OFFSET(E1053,0,0,-1*$J$5,1),F1054:T1054,0)</f>
        <v>19.887158577499239</v>
      </c>
      <c r="V1054" s="9" cm="1">
        <f t="array" aca="1" ref="V1054" ca="1">z_score_diff(OFFSET(U1054,0,0,$J$5*-1,1),OFFSET(E1054,0,0,$J$5*-1,1))</f>
        <v>0.14025855888648064</v>
      </c>
      <c r="W1054" s="9">
        <f t="shared" ca="1" si="161"/>
        <v>4.3484344502608969E-2</v>
      </c>
      <c r="X1054" s="17">
        <f t="shared" ca="1" si="160"/>
        <v>-4.6954013089211544E-2</v>
      </c>
      <c r="Y1054" s="13">
        <f t="shared" si="167"/>
        <v>0</v>
      </c>
      <c r="Z1054" s="13">
        <f t="shared" si="167"/>
        <v>0</v>
      </c>
      <c r="AA1054">
        <f t="shared" ca="1" si="162"/>
        <v>0</v>
      </c>
      <c r="AB1054">
        <f t="shared" ca="1" si="163"/>
        <v>1</v>
      </c>
      <c r="AC1054" s="24">
        <f t="shared" ca="1" si="164"/>
        <v>0</v>
      </c>
      <c r="AD1054" s="24">
        <f t="shared" ca="1" si="165"/>
        <v>-4.6954013089211544E-2</v>
      </c>
    </row>
    <row r="1055" spans="3:30" x14ac:dyDescent="0.25">
      <c r="C1055" s="6">
        <v>1048</v>
      </c>
      <c r="D1055" s="35">
        <v>43497</v>
      </c>
      <c r="E1055" s="37">
        <v>19.010000000000002</v>
      </c>
      <c r="F1055" s="37">
        <v>53.853808436151404</v>
      </c>
      <c r="G1055" s="37">
        <v>50.97</v>
      </c>
      <c r="H1055" s="37">
        <v>2.4069653331683436</v>
      </c>
      <c r="I1055" s="37">
        <v>76.393865804593261</v>
      </c>
      <c r="J1055" s="10">
        <v>0</v>
      </c>
      <c r="K1055" s="38">
        <v>1</v>
      </c>
      <c r="L1055" s="38">
        <v>0</v>
      </c>
      <c r="M1055" s="38">
        <v>0</v>
      </c>
      <c r="N1055" s="38">
        <v>0</v>
      </c>
      <c r="O1055" s="38">
        <v>0</v>
      </c>
      <c r="P1055" s="38">
        <v>0</v>
      </c>
      <c r="Q1055" s="38">
        <v>0</v>
      </c>
      <c r="R1055" s="38">
        <v>0</v>
      </c>
      <c r="S1055" s="38">
        <v>0</v>
      </c>
      <c r="T1055" s="38">
        <v>0</v>
      </c>
      <c r="U1055" s="29" cm="1">
        <f t="array" aca="1" ref="U1055" ca="1">+fair_value_gap(OFFSET(T1054,0,0,-1*$J$5,-1*$AA$1),OFFSET(E1054,0,0,-1*$J$5,1),F1055:T1055,0)</f>
        <v>21.417627071241959</v>
      </c>
      <c r="V1055" s="9" cm="1">
        <f t="array" aca="1" ref="V1055" ca="1">z_score_diff(OFFSET(U1055,0,0,$J$5*-1,1),OFFSET(E1055,0,0,$J$5*-1,1))</f>
        <v>0.79389862241798237</v>
      </c>
      <c r="W1055" s="9">
        <f t="shared" ca="1" si="161"/>
        <v>7.8254499794961505E-2</v>
      </c>
      <c r="X1055" s="17">
        <f t="shared" ca="1" si="160"/>
        <v>-4.5248311380034413E-2</v>
      </c>
      <c r="Y1055" s="13">
        <f t="shared" si="167"/>
        <v>0</v>
      </c>
      <c r="Z1055" s="13">
        <f t="shared" si="167"/>
        <v>0</v>
      </c>
      <c r="AA1055">
        <f t="shared" ca="1" si="162"/>
        <v>0</v>
      </c>
      <c r="AB1055">
        <f t="shared" ca="1" si="163"/>
        <v>1</v>
      </c>
      <c r="AC1055" s="24">
        <f t="shared" ca="1" si="164"/>
        <v>0</v>
      </c>
      <c r="AD1055" s="24">
        <f t="shared" ca="1" si="165"/>
        <v>-4.5248311380034413E-2</v>
      </c>
    </row>
    <row r="1056" spans="3:30" x14ac:dyDescent="0.25">
      <c r="C1056" s="6">
        <v>1049</v>
      </c>
      <c r="D1056" s="35">
        <v>43500</v>
      </c>
      <c r="E1056" s="37">
        <v>18.940000000000001</v>
      </c>
      <c r="F1056" s="37">
        <v>53.804130235441505</v>
      </c>
      <c r="G1056" s="37">
        <v>49.63</v>
      </c>
      <c r="H1056" s="37">
        <v>2.3737875989616293</v>
      </c>
      <c r="I1056" s="37">
        <v>75.725288113411423</v>
      </c>
      <c r="J1056" s="10">
        <v>0</v>
      </c>
      <c r="K1056" s="38">
        <v>1</v>
      </c>
      <c r="L1056" s="38">
        <v>0</v>
      </c>
      <c r="M1056" s="38">
        <v>0</v>
      </c>
      <c r="N1056" s="38">
        <v>0</v>
      </c>
      <c r="O1056" s="38">
        <v>0</v>
      </c>
      <c r="P1056" s="38">
        <v>0</v>
      </c>
      <c r="Q1056" s="38">
        <v>0</v>
      </c>
      <c r="R1056" s="38">
        <v>0</v>
      </c>
      <c r="S1056" s="38">
        <v>0</v>
      </c>
      <c r="T1056" s="38">
        <v>0</v>
      </c>
      <c r="U1056" s="29" cm="1">
        <f t="array" aca="1" ref="U1056" ca="1">+fair_value_gap(OFFSET(T1055,0,0,-1*$J$5,-1*$AA$1),OFFSET(E1055,0,0,-1*$J$5,1),F1056:T1056,0)</f>
        <v>20.512138385281268</v>
      </c>
      <c r="V1056" s="9" cm="1">
        <f t="array" aca="1" ref="V1056" ca="1">z_score_diff(OFFSET(U1056,0,0,$J$5*-1,1),OFFSET(E1056,0,0,$J$5*-1,1))</f>
        <v>0.51139034566875707</v>
      </c>
      <c r="W1056" s="9">
        <f t="shared" ca="1" si="161"/>
        <v>9.6832177334424216E-2</v>
      </c>
      <c r="X1056" s="17">
        <f t="shared" ca="1" si="160"/>
        <v>-3.4648289286762043E-2</v>
      </c>
      <c r="Y1056" s="13">
        <f t="shared" si="167"/>
        <v>0</v>
      </c>
      <c r="Z1056" s="13">
        <f t="shared" si="167"/>
        <v>0</v>
      </c>
      <c r="AA1056">
        <f t="shared" ca="1" si="162"/>
        <v>0</v>
      </c>
      <c r="AB1056">
        <f t="shared" ca="1" si="163"/>
        <v>1</v>
      </c>
      <c r="AC1056" s="24">
        <f t="shared" ca="1" si="164"/>
        <v>0</v>
      </c>
      <c r="AD1056" s="24">
        <f t="shared" ca="1" si="165"/>
        <v>-3.4648289286762043E-2</v>
      </c>
    </row>
    <row r="1057" spans="3:30" x14ac:dyDescent="0.25">
      <c r="C1057" s="6">
        <v>1050</v>
      </c>
      <c r="D1057" s="35">
        <v>43501</v>
      </c>
      <c r="E1057" s="37">
        <v>18.765000000000001</v>
      </c>
      <c r="F1057" s="37">
        <v>53.563320390662632</v>
      </c>
      <c r="G1057" s="37">
        <v>50.46</v>
      </c>
      <c r="H1057" s="37">
        <v>2.3911425863357856</v>
      </c>
      <c r="I1057" s="37">
        <v>75.14402965362099</v>
      </c>
      <c r="J1057" s="10">
        <v>0</v>
      </c>
      <c r="K1057" s="38">
        <v>1</v>
      </c>
      <c r="L1057" s="38">
        <v>0</v>
      </c>
      <c r="M1057" s="38">
        <v>0</v>
      </c>
      <c r="N1057" s="38">
        <v>0</v>
      </c>
      <c r="O1057" s="38">
        <v>0</v>
      </c>
      <c r="P1057" s="38">
        <v>0</v>
      </c>
      <c r="Q1057" s="38">
        <v>0</v>
      </c>
      <c r="R1057" s="38">
        <v>0</v>
      </c>
      <c r="S1057" s="38">
        <v>0</v>
      </c>
      <c r="T1057" s="38">
        <v>0</v>
      </c>
      <c r="U1057" s="29" cm="1">
        <f t="array" aca="1" ref="U1057" ca="1">+fair_value_gap(OFFSET(T1056,0,0,-1*$J$5,-1*$AA$1),OFFSET(E1056,0,0,-1*$J$5,1),F1057:T1057,0)</f>
        <v>20.451520005059034</v>
      </c>
      <c r="V1057" s="9" cm="1">
        <f t="array" aca="1" ref="V1057" ca="1">z_score_diff(OFFSET(U1057,0,0,$J$5*-1,1),OFFSET(E1057,0,0,$J$5*-1,1))</f>
        <v>0.54975449000923671</v>
      </c>
      <c r="W1057" s="9">
        <f t="shared" ca="1" si="161"/>
        <v>0.12239689237071819</v>
      </c>
      <c r="X1057" s="17">
        <f t="shared" ca="1" si="160"/>
        <v>-4.0011860026920962E-2</v>
      </c>
      <c r="Y1057" s="13">
        <f t="shared" si="167"/>
        <v>0</v>
      </c>
      <c r="Z1057" s="13">
        <f t="shared" si="167"/>
        <v>0</v>
      </c>
      <c r="AA1057">
        <f t="shared" ca="1" si="162"/>
        <v>0</v>
      </c>
      <c r="AB1057">
        <f t="shared" ca="1" si="163"/>
        <v>1</v>
      </c>
      <c r="AC1057" s="24">
        <f t="shared" ca="1" si="164"/>
        <v>0</v>
      </c>
      <c r="AD1057" s="24">
        <f t="shared" ca="1" si="165"/>
        <v>-4.0011860026920962E-2</v>
      </c>
    </row>
    <row r="1058" spans="3:30" x14ac:dyDescent="0.25">
      <c r="C1058" s="6">
        <v>1051</v>
      </c>
      <c r="D1058" s="35">
        <v>43502</v>
      </c>
      <c r="E1058" s="37">
        <v>18.565999999999999</v>
      </c>
      <c r="F1058" s="37">
        <v>54.259684093067101</v>
      </c>
      <c r="G1058" s="37">
        <v>50.78</v>
      </c>
      <c r="H1058" s="37">
        <v>2.4084611492691446</v>
      </c>
      <c r="I1058" s="37">
        <v>75.502657970793521</v>
      </c>
      <c r="J1058" s="10">
        <v>0</v>
      </c>
      <c r="K1058" s="38">
        <v>1</v>
      </c>
      <c r="L1058" s="38">
        <v>0</v>
      </c>
      <c r="M1058" s="38">
        <v>0</v>
      </c>
      <c r="N1058" s="38">
        <v>0</v>
      </c>
      <c r="O1058" s="38">
        <v>0</v>
      </c>
      <c r="P1058" s="38">
        <v>0</v>
      </c>
      <c r="Q1058" s="38">
        <v>0</v>
      </c>
      <c r="R1058" s="38">
        <v>0</v>
      </c>
      <c r="S1058" s="38">
        <v>0</v>
      </c>
      <c r="T1058" s="38">
        <v>0</v>
      </c>
      <c r="U1058" s="29" cm="1">
        <f t="array" aca="1" ref="U1058" ca="1">+fair_value_gap(OFFSET(T1057,0,0,-1*$J$5,-1*$AA$1),OFFSET(E1057,0,0,-1*$J$5,1),F1058:T1058,0)</f>
        <v>20.313044595793393</v>
      </c>
      <c r="V1058" s="9" cm="1">
        <f t="array" aca="1" ref="V1058" ca="1">z_score_diff(OFFSET(U1058,0,0,$J$5*-1,1),OFFSET(E1058,0,0,$J$5*-1,1))</f>
        <v>0.56937080542186536</v>
      </c>
      <c r="W1058" s="9">
        <f t="shared" ca="1" si="161"/>
        <v>0.14333442410871339</v>
      </c>
      <c r="X1058" s="17">
        <f t="shared" ca="1" si="160"/>
        <v>-4.867167501374392E-2</v>
      </c>
      <c r="Y1058" s="13">
        <f t="shared" si="167"/>
        <v>0</v>
      </c>
      <c r="Z1058" s="13">
        <f t="shared" si="167"/>
        <v>0</v>
      </c>
      <c r="AA1058">
        <f t="shared" ca="1" si="162"/>
        <v>0</v>
      </c>
      <c r="AB1058">
        <f t="shared" ca="1" si="163"/>
        <v>1</v>
      </c>
      <c r="AC1058" s="24">
        <f t="shared" ca="1" si="164"/>
        <v>0</v>
      </c>
      <c r="AD1058" s="24">
        <f t="shared" ca="1" si="165"/>
        <v>-4.867167501374392E-2</v>
      </c>
    </row>
    <row r="1059" spans="3:30" x14ac:dyDescent="0.25">
      <c r="C1059" s="6">
        <v>1052</v>
      </c>
      <c r="D1059" s="35">
        <v>43503</v>
      </c>
      <c r="E1059" s="37">
        <v>18.481999999999999</v>
      </c>
      <c r="F1059" s="37">
        <v>53.373012944778722</v>
      </c>
      <c r="G1059" s="37">
        <v>50.47</v>
      </c>
      <c r="H1059" s="37">
        <v>2.3630667084529553</v>
      </c>
      <c r="I1059" s="37">
        <v>74.052016984216408</v>
      </c>
      <c r="J1059" s="10">
        <v>0</v>
      </c>
      <c r="K1059" s="38">
        <v>1</v>
      </c>
      <c r="L1059" s="38">
        <v>0</v>
      </c>
      <c r="M1059" s="38">
        <v>0</v>
      </c>
      <c r="N1059" s="38">
        <v>0</v>
      </c>
      <c r="O1059" s="38">
        <v>0</v>
      </c>
      <c r="P1059" s="38">
        <v>0</v>
      </c>
      <c r="Q1059" s="38">
        <v>0</v>
      </c>
      <c r="R1059" s="38">
        <v>0</v>
      </c>
      <c r="S1059" s="38">
        <v>0</v>
      </c>
      <c r="T1059" s="38">
        <v>0</v>
      </c>
      <c r="U1059" s="29" cm="1">
        <f t="array" aca="1" ref="U1059" ca="1">+fair_value_gap(OFFSET(T1058,0,0,-1*$J$5,-1*$AA$1),OFFSET(E1058,0,0,-1*$J$5,1),F1059:T1059,0)</f>
        <v>19.834655307195504</v>
      </c>
      <c r="V1059" s="9" cm="1">
        <f t="array" aca="1" ref="V1059" ca="1">z_score_diff(OFFSET(U1059,0,0,$J$5*-1,1),OFFSET(E1059,0,0,$J$5*-1,1))</f>
        <v>0.43213228604599585</v>
      </c>
      <c r="W1059" s="9">
        <f t="shared" ca="1" si="161"/>
        <v>0.15897420646226101</v>
      </c>
      <c r="X1059" s="17">
        <f t="shared" ca="1" si="160"/>
        <v>-4.2837243841768825E-2</v>
      </c>
      <c r="Y1059" s="13">
        <f t="shared" si="167"/>
        <v>0</v>
      </c>
      <c r="Z1059" s="13">
        <f t="shared" si="167"/>
        <v>0</v>
      </c>
      <c r="AA1059">
        <f t="shared" ca="1" si="162"/>
        <v>0</v>
      </c>
      <c r="AB1059">
        <f t="shared" ca="1" si="163"/>
        <v>1</v>
      </c>
      <c r="AC1059" s="24">
        <f t="shared" ca="1" si="164"/>
        <v>0</v>
      </c>
      <c r="AD1059" s="24">
        <f t="shared" ca="1" si="165"/>
        <v>-4.2837243841768825E-2</v>
      </c>
    </row>
    <row r="1060" spans="3:30" x14ac:dyDescent="0.25">
      <c r="C1060" s="6">
        <v>1053</v>
      </c>
      <c r="D1060" s="35">
        <v>43504</v>
      </c>
      <c r="E1060" s="37">
        <v>18.029</v>
      </c>
      <c r="F1060" s="37">
        <v>53.719996694689321</v>
      </c>
      <c r="G1060" s="37">
        <v>49.41</v>
      </c>
      <c r="H1060" s="37">
        <v>2.3989596969552003</v>
      </c>
      <c r="I1060" s="37">
        <v>72.325416534381759</v>
      </c>
      <c r="J1060" s="10">
        <v>0</v>
      </c>
      <c r="K1060" s="38">
        <v>1</v>
      </c>
      <c r="L1060" s="38">
        <v>0</v>
      </c>
      <c r="M1060" s="38">
        <v>0</v>
      </c>
      <c r="N1060" s="38">
        <v>0</v>
      </c>
      <c r="O1060" s="38">
        <v>0</v>
      </c>
      <c r="P1060" s="38">
        <v>0</v>
      </c>
      <c r="Q1060" s="38">
        <v>0</v>
      </c>
      <c r="R1060" s="38">
        <v>0</v>
      </c>
      <c r="S1060" s="38">
        <v>0</v>
      </c>
      <c r="T1060" s="38">
        <v>0</v>
      </c>
      <c r="U1060" s="29" cm="1">
        <f t="array" aca="1" ref="U1060" ca="1">+fair_value_gap(OFFSET(T1059,0,0,-1*$J$5,-1*$AA$1),OFFSET(E1059,0,0,-1*$J$5,1),F1060:T1060,0)</f>
        <v>19.307816980903958</v>
      </c>
      <c r="V1060" s="9" cm="1">
        <f t="array" aca="1" ref="V1060" ca="1">z_score_diff(OFFSET(U1060,0,0,$J$5*-1,1),OFFSET(E1060,0,0,$J$5*-1,1))</f>
        <v>0.40346490376475264</v>
      </c>
      <c r="W1060" s="9">
        <f t="shared" ca="1" si="161"/>
        <v>0.17784591127222787</v>
      </c>
      <c r="X1060" s="17">
        <f t="shared" ca="1" si="160"/>
        <v>-2.6357984353092698E-2</v>
      </c>
      <c r="Y1060" s="13">
        <f t="shared" si="167"/>
        <v>0</v>
      </c>
      <c r="Z1060" s="13">
        <f t="shared" si="167"/>
        <v>0</v>
      </c>
      <c r="AA1060">
        <f t="shared" ca="1" si="162"/>
        <v>0</v>
      </c>
      <c r="AB1060">
        <f t="shared" ca="1" si="163"/>
        <v>1</v>
      </c>
      <c r="AC1060" s="24">
        <f t="shared" ca="1" si="164"/>
        <v>0</v>
      </c>
      <c r="AD1060" s="24">
        <f t="shared" ca="1" si="165"/>
        <v>-2.6357984353092698E-2</v>
      </c>
    </row>
    <row r="1061" spans="3:30" x14ac:dyDescent="0.25">
      <c r="C1061" s="6">
        <v>1054</v>
      </c>
      <c r="D1061" s="35">
        <v>43507</v>
      </c>
      <c r="E1061" s="37">
        <v>17.917000000000002</v>
      </c>
      <c r="F1061" s="37">
        <v>53.564193201346882</v>
      </c>
      <c r="G1061" s="37">
        <v>48.11</v>
      </c>
      <c r="H1061" s="37">
        <v>2.4468025652131393</v>
      </c>
      <c r="I1061" s="37">
        <v>72.522110292987577</v>
      </c>
      <c r="J1061" s="10">
        <v>0</v>
      </c>
      <c r="K1061" s="38">
        <v>1</v>
      </c>
      <c r="L1061" s="38">
        <v>0</v>
      </c>
      <c r="M1061" s="38">
        <v>0</v>
      </c>
      <c r="N1061" s="38">
        <v>0</v>
      </c>
      <c r="O1061" s="38">
        <v>0</v>
      </c>
      <c r="P1061" s="38">
        <v>0</v>
      </c>
      <c r="Q1061" s="38">
        <v>0</v>
      </c>
      <c r="R1061" s="38">
        <v>0</v>
      </c>
      <c r="S1061" s="38">
        <v>0</v>
      </c>
      <c r="T1061" s="38">
        <v>0</v>
      </c>
      <c r="U1061" s="29" cm="1">
        <f t="array" aca="1" ref="U1061" ca="1">+fair_value_gap(OFFSET(T1060,0,0,-1*$J$5,-1*$AA$1),OFFSET(E1060,0,0,-1*$J$5,1),F1061:T1061,0)</f>
        <v>18.794279257223224</v>
      </c>
      <c r="V1061" s="9" cm="1">
        <f t="array" aca="1" ref="V1061" ca="1">z_score_diff(OFFSET(U1061,0,0,$J$5*-1,1),OFFSET(E1061,0,0,$J$5*-1,1))</f>
        <v>0.26000986411279192</v>
      </c>
      <c r="W1061" s="9">
        <f t="shared" ca="1" si="161"/>
        <v>0.18819756879571042</v>
      </c>
      <c r="X1061" s="17">
        <f t="shared" ca="1" si="160"/>
        <v>-2.8303242068112949E-2</v>
      </c>
      <c r="Y1061" s="13">
        <f t="shared" si="167"/>
        <v>0</v>
      </c>
      <c r="Z1061" s="13">
        <f t="shared" si="167"/>
        <v>0</v>
      </c>
      <c r="AA1061">
        <f t="shared" ca="1" si="162"/>
        <v>0</v>
      </c>
      <c r="AB1061">
        <f t="shared" ca="1" si="163"/>
        <v>1</v>
      </c>
      <c r="AC1061" s="24">
        <f t="shared" ca="1" si="164"/>
        <v>0</v>
      </c>
      <c r="AD1061" s="24">
        <f t="shared" ca="1" si="165"/>
        <v>-2.8303242068112949E-2</v>
      </c>
    </row>
    <row r="1062" spans="3:30" x14ac:dyDescent="0.25">
      <c r="C1062" s="6">
        <v>1055</v>
      </c>
      <c r="D1062" s="35">
        <v>43508</v>
      </c>
      <c r="E1062" s="37">
        <v>17.683</v>
      </c>
      <c r="F1062" s="37">
        <v>53.980015835065018</v>
      </c>
      <c r="G1062" s="37">
        <v>47.9</v>
      </c>
      <c r="H1062" s="37">
        <v>2.4734684441570609</v>
      </c>
      <c r="I1062" s="37">
        <v>71.701035362950634</v>
      </c>
      <c r="J1062" s="10">
        <v>0</v>
      </c>
      <c r="K1062" s="38">
        <v>1</v>
      </c>
      <c r="L1062" s="38">
        <v>0</v>
      </c>
      <c r="M1062" s="38">
        <v>0</v>
      </c>
      <c r="N1062" s="38">
        <v>0</v>
      </c>
      <c r="O1062" s="38">
        <v>0</v>
      </c>
      <c r="P1062" s="38">
        <v>0</v>
      </c>
      <c r="Q1062" s="38">
        <v>0</v>
      </c>
      <c r="R1062" s="38">
        <v>0</v>
      </c>
      <c r="S1062" s="38">
        <v>0</v>
      </c>
      <c r="T1062" s="38">
        <v>0</v>
      </c>
      <c r="U1062" s="29" cm="1">
        <f t="array" aca="1" ref="U1062" ca="1">+fair_value_gap(OFFSET(T1061,0,0,-1*$J$5,-1*$AA$1),OFFSET(E1061,0,0,-1*$J$5,1),F1062:T1062,0)</f>
        <v>18.589191775693727</v>
      </c>
      <c r="V1062" s="9" cm="1">
        <f t="array" aca="1" ref="V1062" ca="1">z_score_diff(OFFSET(U1062,0,0,$J$5*-1,1),OFFSET(E1062,0,0,$J$5*-1,1))</f>
        <v>0.26542449336979979</v>
      </c>
      <c r="W1062" s="9">
        <f t="shared" ca="1" si="161"/>
        <v>0.20252272026925411</v>
      </c>
      <c r="X1062" s="17">
        <f t="shared" ca="1" si="160"/>
        <v>-3.6629490904052375E-2</v>
      </c>
      <c r="Y1062" s="13">
        <f t="shared" si="167"/>
        <v>0</v>
      </c>
      <c r="Z1062" s="13">
        <f t="shared" si="167"/>
        <v>0</v>
      </c>
      <c r="AA1062">
        <f t="shared" ca="1" si="162"/>
        <v>0</v>
      </c>
      <c r="AB1062">
        <f t="shared" ca="1" si="163"/>
        <v>1</v>
      </c>
      <c r="AC1062" s="24">
        <f t="shared" ca="1" si="164"/>
        <v>0</v>
      </c>
      <c r="AD1062" s="24">
        <f t="shared" ca="1" si="165"/>
        <v>-3.6629490904052375E-2</v>
      </c>
    </row>
    <row r="1063" spans="3:30" x14ac:dyDescent="0.25">
      <c r="C1063" s="6">
        <v>1056</v>
      </c>
      <c r="D1063" s="35">
        <v>43509</v>
      </c>
      <c r="E1063" s="37">
        <v>18.010999999999999</v>
      </c>
      <c r="F1063" s="37">
        <v>55.222107722442047</v>
      </c>
      <c r="G1063" s="37">
        <v>47.23</v>
      </c>
      <c r="H1063" s="37">
        <v>2.4263464868233475</v>
      </c>
      <c r="I1063" s="37">
        <v>72.982684311869434</v>
      </c>
      <c r="J1063" s="10">
        <v>0</v>
      </c>
      <c r="K1063" s="38">
        <v>1</v>
      </c>
      <c r="L1063" s="38">
        <v>0</v>
      </c>
      <c r="M1063" s="38">
        <v>0</v>
      </c>
      <c r="N1063" s="38">
        <v>0</v>
      </c>
      <c r="O1063" s="38">
        <v>0</v>
      </c>
      <c r="P1063" s="38">
        <v>0</v>
      </c>
      <c r="Q1063" s="38">
        <v>0</v>
      </c>
      <c r="R1063" s="38">
        <v>0</v>
      </c>
      <c r="S1063" s="38">
        <v>0</v>
      </c>
      <c r="T1063" s="38">
        <v>0</v>
      </c>
      <c r="U1063" s="29" cm="1">
        <f t="array" aca="1" ref="U1063" ca="1">+fair_value_gap(OFFSET(T1062,0,0,-1*$J$5,-1*$AA$1),OFFSET(E1062,0,0,-1*$J$5,1),F1063:T1063,0)</f>
        <v>18.46499788342993</v>
      </c>
      <c r="V1063" s="9" cm="1">
        <f t="array" aca="1" ref="V1063" ca="1">z_score_diff(OFFSET(U1063,0,0,$J$5*-1,1),OFFSET(E1063,0,0,$J$5*-1,1))</f>
        <v>0.10520857710747866</v>
      </c>
      <c r="W1063" s="9">
        <f t="shared" ca="1" si="161"/>
        <v>0.20833817193487372</v>
      </c>
      <c r="X1063" s="17">
        <f t="shared" ca="1" si="160"/>
        <v>-8.3690646603061122E-2</v>
      </c>
      <c r="Y1063" s="13">
        <f t="shared" si="167"/>
        <v>0</v>
      </c>
      <c r="Z1063" s="13">
        <f t="shared" si="167"/>
        <v>0</v>
      </c>
      <c r="AA1063">
        <f t="shared" ca="1" si="162"/>
        <v>0</v>
      </c>
      <c r="AB1063">
        <f t="shared" ca="1" si="163"/>
        <v>1</v>
      </c>
      <c r="AC1063" s="24">
        <f t="shared" ca="1" si="164"/>
        <v>0</v>
      </c>
      <c r="AD1063" s="24">
        <f t="shared" ca="1" si="165"/>
        <v>-8.3690646603061122E-2</v>
      </c>
    </row>
    <row r="1064" spans="3:30" x14ac:dyDescent="0.25">
      <c r="C1064" s="6">
        <v>1057</v>
      </c>
      <c r="D1064" s="35">
        <v>43510</v>
      </c>
      <c r="E1064" s="37">
        <v>17.812000000000001</v>
      </c>
      <c r="F1064" s="37">
        <v>55.80916752778468</v>
      </c>
      <c r="G1064" s="37">
        <v>47.42</v>
      </c>
      <c r="H1064" s="37">
        <v>2.4093864043635791</v>
      </c>
      <c r="I1064" s="37">
        <v>71.636298631367367</v>
      </c>
      <c r="J1064" s="10">
        <v>0</v>
      </c>
      <c r="K1064" s="38">
        <v>1</v>
      </c>
      <c r="L1064" s="38">
        <v>0</v>
      </c>
      <c r="M1064" s="38">
        <v>0</v>
      </c>
      <c r="N1064" s="38">
        <v>0</v>
      </c>
      <c r="O1064" s="38">
        <v>0</v>
      </c>
      <c r="P1064" s="38">
        <v>0</v>
      </c>
      <c r="Q1064" s="38">
        <v>0</v>
      </c>
      <c r="R1064" s="38">
        <v>0</v>
      </c>
      <c r="S1064" s="38">
        <v>0</v>
      </c>
      <c r="T1064" s="38">
        <v>0</v>
      </c>
      <c r="U1064" s="29" cm="1">
        <f t="array" aca="1" ref="U1064" ca="1">+fair_value_gap(OFFSET(T1063,0,0,-1*$J$5,-1*$AA$1),OFFSET(E1063,0,0,-1*$J$5,1),F1064:T1064,0)</f>
        <v>18.395314128584332</v>
      </c>
      <c r="V1064" s="9" cm="1">
        <f t="array" aca="1" ref="V1064" ca="1">z_score_diff(OFFSET(U1064,0,0,$J$5*-1,1),OFFSET(E1064,0,0,$J$5*-1,1))</f>
        <v>0.14794800651840156</v>
      </c>
      <c r="W1064" s="9">
        <f t="shared" ca="1" si="161"/>
        <v>0.22309467376938277</v>
      </c>
      <c r="X1064" s="17">
        <f t="shared" ca="1" si="160"/>
        <v>-8.539987171967052E-2</v>
      </c>
      <c r="Y1064" s="13">
        <f t="shared" si="167"/>
        <v>0</v>
      </c>
      <c r="Z1064" s="13">
        <f t="shared" si="167"/>
        <v>0</v>
      </c>
      <c r="AA1064">
        <f t="shared" ca="1" si="162"/>
        <v>0</v>
      </c>
      <c r="AB1064">
        <f t="shared" ca="1" si="163"/>
        <v>1</v>
      </c>
      <c r="AC1064" s="24">
        <f t="shared" ca="1" si="164"/>
        <v>0</v>
      </c>
      <c r="AD1064" s="24">
        <f t="shared" ca="1" si="165"/>
        <v>-8.539987171967052E-2</v>
      </c>
    </row>
    <row r="1065" spans="3:30" x14ac:dyDescent="0.25">
      <c r="C1065" s="6">
        <v>1058</v>
      </c>
      <c r="D1065" s="35">
        <v>43511</v>
      </c>
      <c r="E1065" s="37">
        <v>18.117000000000001</v>
      </c>
      <c r="F1065" s="37">
        <v>57.311987553915301</v>
      </c>
      <c r="G1065" s="37">
        <v>47.7</v>
      </c>
      <c r="H1065" s="37">
        <v>2.4409046433872326</v>
      </c>
      <c r="I1065" s="37">
        <v>72.904475951115629</v>
      </c>
      <c r="J1065" s="10">
        <v>0</v>
      </c>
      <c r="K1065" s="38">
        <v>1</v>
      </c>
      <c r="L1065" s="38">
        <v>0</v>
      </c>
      <c r="M1065" s="38">
        <v>0</v>
      </c>
      <c r="N1065" s="38">
        <v>0</v>
      </c>
      <c r="O1065" s="38">
        <v>0</v>
      </c>
      <c r="P1065" s="38">
        <v>0</v>
      </c>
      <c r="Q1065" s="38">
        <v>0</v>
      </c>
      <c r="R1065" s="38">
        <v>0</v>
      </c>
      <c r="S1065" s="38">
        <v>0</v>
      </c>
      <c r="T1065" s="38">
        <v>0</v>
      </c>
      <c r="U1065" s="29" cm="1">
        <f t="array" aca="1" ref="U1065" ca="1">+fair_value_gap(OFFSET(T1064,0,0,-1*$J$5,-1*$AA$1),OFFSET(E1064,0,0,-1*$J$5,1),F1065:T1065,0)</f>
        <v>18.539192068564574</v>
      </c>
      <c r="V1065" s="9" cm="1">
        <f t="array" aca="1" ref="V1065" ca="1">z_score_diff(OFFSET(U1065,0,0,$J$5*-1,1),OFFSET(E1065,0,0,$J$5*-1,1))</f>
        <v>9.0208388324554578E-2</v>
      </c>
      <c r="W1065" s="9">
        <f t="shared" ca="1" si="161"/>
        <v>0.2298281022412243</v>
      </c>
      <c r="X1065" s="17">
        <f t="shared" ca="1" si="160"/>
        <v>-0.13109781276337451</v>
      </c>
      <c r="Y1065" s="13">
        <f t="shared" ref="Y1065:Z1080" si="168">+Y1064</f>
        <v>0</v>
      </c>
      <c r="Z1065" s="13">
        <f t="shared" si="168"/>
        <v>0</v>
      </c>
      <c r="AA1065">
        <f t="shared" ca="1" si="162"/>
        <v>0</v>
      </c>
      <c r="AB1065">
        <f t="shared" ca="1" si="163"/>
        <v>1</v>
      </c>
      <c r="AC1065" s="24">
        <f t="shared" ca="1" si="164"/>
        <v>0</v>
      </c>
      <c r="AD1065" s="24">
        <f t="shared" ca="1" si="165"/>
        <v>-0.13109781276337451</v>
      </c>
    </row>
    <row r="1066" spans="3:30" x14ac:dyDescent="0.25">
      <c r="C1066" s="6">
        <v>1059</v>
      </c>
      <c r="D1066" s="35">
        <v>43514</v>
      </c>
      <c r="E1066" s="37">
        <v>17.631</v>
      </c>
      <c r="F1066" s="37">
        <v>57.515197211131103</v>
      </c>
      <c r="G1066" s="37">
        <v>47.3</v>
      </c>
      <c r="H1066" s="37">
        <v>2.4369518164389334</v>
      </c>
      <c r="I1066" s="37">
        <v>73.352336739900011</v>
      </c>
      <c r="J1066" s="10">
        <v>0</v>
      </c>
      <c r="K1066" s="38">
        <v>1</v>
      </c>
      <c r="L1066" s="38">
        <v>0</v>
      </c>
      <c r="M1066" s="38">
        <v>0</v>
      </c>
      <c r="N1066" s="38">
        <v>0</v>
      </c>
      <c r="O1066" s="38">
        <v>0</v>
      </c>
      <c r="P1066" s="38">
        <v>0</v>
      </c>
      <c r="Q1066" s="38">
        <v>0</v>
      </c>
      <c r="R1066" s="38">
        <v>0</v>
      </c>
      <c r="S1066" s="38">
        <v>0</v>
      </c>
      <c r="T1066" s="38">
        <v>0</v>
      </c>
      <c r="U1066" s="29" cm="1">
        <f t="array" aca="1" ref="U1066" ca="1">+fair_value_gap(OFFSET(T1065,0,0,-1*$J$5,-1*$AA$1),OFFSET(E1065,0,0,-1*$J$5,1),F1066:T1066,0)</f>
        <v>18.369354019531528</v>
      </c>
      <c r="V1066" s="9" cm="1">
        <f t="array" aca="1" ref="V1066" ca="1">z_score_diff(OFFSET(U1066,0,0,$J$5*-1,1),OFFSET(E1066,0,0,$J$5*-1,1))</f>
        <v>0.1976530418786322</v>
      </c>
      <c r="W1066" s="9">
        <f t="shared" ca="1" si="161"/>
        <v>0.24085211011281243</v>
      </c>
      <c r="X1066" s="17">
        <f t="shared" ca="1" si="160"/>
        <v>-0.1206585288674589</v>
      </c>
      <c r="Y1066" s="13">
        <f t="shared" si="168"/>
        <v>0</v>
      </c>
      <c r="Z1066" s="13">
        <f t="shared" si="168"/>
        <v>0</v>
      </c>
      <c r="AA1066">
        <f t="shared" ca="1" si="162"/>
        <v>0</v>
      </c>
      <c r="AB1066">
        <f t="shared" ca="1" si="163"/>
        <v>1</v>
      </c>
      <c r="AC1066" s="24">
        <f t="shared" ca="1" si="164"/>
        <v>0</v>
      </c>
      <c r="AD1066" s="24">
        <f t="shared" ca="1" si="165"/>
        <v>-0.1206585288674589</v>
      </c>
    </row>
    <row r="1067" spans="3:30" x14ac:dyDescent="0.25">
      <c r="C1067" s="6">
        <v>1060</v>
      </c>
      <c r="D1067" s="35">
        <v>43515</v>
      </c>
      <c r="E1067" s="37">
        <v>17.952999999999999</v>
      </c>
      <c r="F1067" s="37">
        <v>57.357058982928379</v>
      </c>
      <c r="G1067" s="37">
        <v>47.26</v>
      </c>
      <c r="H1067" s="37">
        <v>2.4648596819132456</v>
      </c>
      <c r="I1067" s="37">
        <v>73.216233680509717</v>
      </c>
      <c r="J1067" s="10">
        <v>0</v>
      </c>
      <c r="K1067" s="38">
        <v>1</v>
      </c>
      <c r="L1067" s="38">
        <v>0</v>
      </c>
      <c r="M1067" s="38">
        <v>0</v>
      </c>
      <c r="N1067" s="38">
        <v>0</v>
      </c>
      <c r="O1067" s="38">
        <v>0</v>
      </c>
      <c r="P1067" s="38">
        <v>0</v>
      </c>
      <c r="Q1067" s="38">
        <v>0</v>
      </c>
      <c r="R1067" s="38">
        <v>0</v>
      </c>
      <c r="S1067" s="38">
        <v>0</v>
      </c>
      <c r="T1067" s="38">
        <v>0</v>
      </c>
      <c r="U1067" s="29" cm="1">
        <f t="array" aca="1" ref="U1067" ca="1">+fair_value_gap(OFFSET(T1066,0,0,-1*$J$5,-1*$AA$1),OFFSET(E1066,0,0,-1*$J$5,1),F1067:T1067,0)</f>
        <v>18.169856245255566</v>
      </c>
      <c r="V1067" s="9" cm="1">
        <f t="array" aca="1" ref="V1067" ca="1">z_score_diff(OFFSET(U1067,0,0,$J$5*-1,1),OFFSET(E1067,0,0,$J$5*-1,1))</f>
        <v>1.1613008494779864E-2</v>
      </c>
      <c r="W1067" s="9">
        <f t="shared" ca="1" si="161"/>
        <v>0.23908123181714885</v>
      </c>
      <c r="X1067" s="17">
        <f t="shared" ca="1" si="160"/>
        <v>-0.13933313664820843</v>
      </c>
      <c r="Y1067" s="13">
        <f t="shared" si="168"/>
        <v>0</v>
      </c>
      <c r="Z1067" s="13">
        <f t="shared" si="168"/>
        <v>0</v>
      </c>
      <c r="AA1067">
        <f t="shared" ca="1" si="162"/>
        <v>0</v>
      </c>
      <c r="AB1067">
        <f t="shared" ca="1" si="163"/>
        <v>1</v>
      </c>
      <c r="AC1067" s="24">
        <f t="shared" ca="1" si="164"/>
        <v>0</v>
      </c>
      <c r="AD1067" s="24">
        <f t="shared" ca="1" si="165"/>
        <v>-0.13933313664820843</v>
      </c>
    </row>
    <row r="1068" spans="3:30" x14ac:dyDescent="0.25">
      <c r="C1068" s="6">
        <v>1061</v>
      </c>
      <c r="D1068" s="35">
        <v>43516</v>
      </c>
      <c r="E1068" s="37">
        <v>18.404</v>
      </c>
      <c r="F1068" s="37">
        <v>57.911401203931554</v>
      </c>
      <c r="G1068" s="37">
        <v>47.84</v>
      </c>
      <c r="H1068" s="37">
        <v>2.4415759547343985</v>
      </c>
      <c r="I1068" s="37">
        <v>73.942389234127148</v>
      </c>
      <c r="J1068" s="10">
        <v>0</v>
      </c>
      <c r="K1068" s="38">
        <v>1</v>
      </c>
      <c r="L1068" s="38">
        <v>0</v>
      </c>
      <c r="M1068" s="38">
        <v>0</v>
      </c>
      <c r="N1068" s="38">
        <v>0</v>
      </c>
      <c r="O1068" s="38">
        <v>0</v>
      </c>
      <c r="P1068" s="38">
        <v>0</v>
      </c>
      <c r="Q1068" s="38">
        <v>0</v>
      </c>
      <c r="R1068" s="38">
        <v>0</v>
      </c>
      <c r="S1068" s="38">
        <v>0</v>
      </c>
      <c r="T1068" s="38">
        <v>0</v>
      </c>
      <c r="U1068" s="29" cm="1">
        <f t="array" aca="1" ref="U1068" ca="1">+fair_value_gap(OFFSET(T1067,0,0,-1*$J$5,-1*$AA$1),OFFSET(E1067,0,0,-1*$J$5,1),F1068:T1068,0)</f>
        <v>18.238427162488481</v>
      </c>
      <c r="V1068" s="9" cm="1">
        <f t="array" aca="1" ref="V1068" ca="1">z_score_diff(OFFSET(U1068,0,0,$J$5*-1,1),OFFSET(E1068,0,0,$J$5*-1,1))</f>
        <v>-0.11974887824969471</v>
      </c>
      <c r="W1068" s="9">
        <f t="shared" ca="1" si="161"/>
        <v>0.23527889643269781</v>
      </c>
      <c r="X1068" s="17">
        <f t="shared" ca="1" si="160"/>
        <v>-0.14499185187698518</v>
      </c>
      <c r="Y1068" s="13">
        <f t="shared" si="168"/>
        <v>0</v>
      </c>
      <c r="Z1068" s="13">
        <f t="shared" si="168"/>
        <v>0</v>
      </c>
      <c r="AA1068">
        <f t="shared" ca="1" si="162"/>
        <v>0</v>
      </c>
      <c r="AB1068">
        <f t="shared" ca="1" si="163"/>
        <v>1</v>
      </c>
      <c r="AC1068" s="24">
        <f t="shared" ca="1" si="164"/>
        <v>0</v>
      </c>
      <c r="AD1068" s="24">
        <f t="shared" ca="1" si="165"/>
        <v>-0.14499185187698518</v>
      </c>
    </row>
    <row r="1069" spans="3:30" x14ac:dyDescent="0.25">
      <c r="C1069" s="6">
        <v>1062</v>
      </c>
      <c r="D1069" s="35">
        <v>43517</v>
      </c>
      <c r="E1069" s="37">
        <v>17.934999999999999</v>
      </c>
      <c r="F1069" s="37">
        <v>57.982628679106867</v>
      </c>
      <c r="G1069" s="37">
        <v>47.39</v>
      </c>
      <c r="H1069" s="37">
        <v>2.4754088813985362</v>
      </c>
      <c r="I1069" s="37">
        <v>73.054113933127454</v>
      </c>
      <c r="J1069" s="10">
        <v>0</v>
      </c>
      <c r="K1069" s="38">
        <v>1</v>
      </c>
      <c r="L1069" s="38">
        <v>0</v>
      </c>
      <c r="M1069" s="38">
        <v>0</v>
      </c>
      <c r="N1069" s="38">
        <v>0</v>
      </c>
      <c r="O1069" s="38">
        <v>0</v>
      </c>
      <c r="P1069" s="38">
        <v>0</v>
      </c>
      <c r="Q1069" s="38">
        <v>0</v>
      </c>
      <c r="R1069" s="38">
        <v>0</v>
      </c>
      <c r="S1069" s="38">
        <v>0</v>
      </c>
      <c r="T1069" s="38">
        <v>0</v>
      </c>
      <c r="U1069" s="29" cm="1">
        <f t="array" aca="1" ref="U1069" ca="1">+fair_value_gap(OFFSET(T1068,0,0,-1*$J$5,-1*$AA$1),OFFSET(E1068,0,0,-1*$J$5,1),F1069:T1069,0)</f>
        <v>17.989485955068186</v>
      </c>
      <c r="V1069" s="9" cm="1">
        <f t="array" aca="1" ref="V1069" ca="1">z_score_diff(OFFSET(U1069,0,0,$J$5*-1,1),OFFSET(E1069,0,0,$J$5*-1,1))</f>
        <v>-4.4263750999505858E-2</v>
      </c>
      <c r="W1069" s="9">
        <f t="shared" ca="1" si="161"/>
        <v>0.22851946329069009</v>
      </c>
      <c r="X1069" s="17">
        <f t="shared" ca="1" si="160"/>
        <v>-0.14707605220172421</v>
      </c>
      <c r="Y1069" s="13">
        <f t="shared" si="168"/>
        <v>0</v>
      </c>
      <c r="Z1069" s="13">
        <f t="shared" si="168"/>
        <v>0</v>
      </c>
      <c r="AA1069">
        <f t="shared" ca="1" si="162"/>
        <v>0</v>
      </c>
      <c r="AB1069">
        <f t="shared" ca="1" si="163"/>
        <v>1</v>
      </c>
      <c r="AC1069" s="24">
        <f t="shared" ca="1" si="164"/>
        <v>0</v>
      </c>
      <c r="AD1069" s="24">
        <f t="shared" ca="1" si="165"/>
        <v>-0.14707605220172421</v>
      </c>
    </row>
    <row r="1070" spans="3:30" x14ac:dyDescent="0.25">
      <c r="C1070" s="6">
        <v>1063</v>
      </c>
      <c r="D1070" s="35">
        <v>43518</v>
      </c>
      <c r="E1070" s="37">
        <v>17.713000000000001</v>
      </c>
      <c r="F1070" s="37">
        <v>58.053347870580239</v>
      </c>
      <c r="G1070" s="37">
        <v>47</v>
      </c>
      <c r="H1070" s="37">
        <v>2.4883732455534022</v>
      </c>
      <c r="I1070" s="37">
        <v>73.468741876052576</v>
      </c>
      <c r="J1070" s="10">
        <v>0</v>
      </c>
      <c r="K1070" s="38">
        <v>1</v>
      </c>
      <c r="L1070" s="38">
        <v>0</v>
      </c>
      <c r="M1070" s="38">
        <v>0</v>
      </c>
      <c r="N1070" s="38">
        <v>0</v>
      </c>
      <c r="O1070" s="38">
        <v>0</v>
      </c>
      <c r="P1070" s="38">
        <v>0</v>
      </c>
      <c r="Q1070" s="38">
        <v>0</v>
      </c>
      <c r="R1070" s="38">
        <v>0</v>
      </c>
      <c r="S1070" s="38">
        <v>0</v>
      </c>
      <c r="T1070" s="38">
        <v>0</v>
      </c>
      <c r="U1070" s="29" cm="1">
        <f t="array" aca="1" ref="U1070" ca="1">+fair_value_gap(OFFSET(T1069,0,0,-1*$J$5,-1*$AA$1),OFFSET(E1069,0,0,-1*$J$5,1),F1070:T1070,0)</f>
        <v>17.859593746963593</v>
      </c>
      <c r="V1070" s="9" cm="1">
        <f t="array" aca="1" ref="V1070" ca="1">z_score_diff(OFFSET(U1070,0,0,$J$5*-1,1),OFFSET(E1070,0,0,$J$5*-1,1))</f>
        <v>-1.565174137922698E-2</v>
      </c>
      <c r="W1070" s="9">
        <f t="shared" ca="1" si="161"/>
        <v>0.22517333671992867</v>
      </c>
      <c r="X1070" s="17">
        <f t="shared" ca="1" si="160"/>
        <v>-0.14032101015833412</v>
      </c>
      <c r="Y1070" s="13">
        <f t="shared" si="168"/>
        <v>0</v>
      </c>
      <c r="Z1070" s="13">
        <f t="shared" si="168"/>
        <v>0</v>
      </c>
      <c r="AA1070">
        <f t="shared" ca="1" si="162"/>
        <v>0</v>
      </c>
      <c r="AB1070">
        <f t="shared" ca="1" si="163"/>
        <v>1</v>
      </c>
      <c r="AC1070" s="24">
        <f t="shared" ca="1" si="164"/>
        <v>0</v>
      </c>
      <c r="AD1070" s="24">
        <f t="shared" ca="1" si="165"/>
        <v>-0.14032101015833412</v>
      </c>
    </row>
    <row r="1071" spans="3:30" x14ac:dyDescent="0.25">
      <c r="C1071" s="6">
        <v>1064</v>
      </c>
      <c r="D1071" s="35">
        <v>43521</v>
      </c>
      <c r="E1071" s="37">
        <v>17.483000000000001</v>
      </c>
      <c r="F1071" s="37">
        <v>56.009003057085827</v>
      </c>
      <c r="G1071" s="37">
        <v>46.37</v>
      </c>
      <c r="H1071" s="37">
        <v>2.5195381251376383</v>
      </c>
      <c r="I1071" s="37">
        <v>73.132498573764551</v>
      </c>
      <c r="J1071" s="10">
        <v>0</v>
      </c>
      <c r="K1071" s="38">
        <v>1</v>
      </c>
      <c r="L1071" s="38">
        <v>0</v>
      </c>
      <c r="M1071" s="38">
        <v>0</v>
      </c>
      <c r="N1071" s="38">
        <v>0</v>
      </c>
      <c r="O1071" s="38">
        <v>0</v>
      </c>
      <c r="P1071" s="38">
        <v>0</v>
      </c>
      <c r="Q1071" s="38">
        <v>0</v>
      </c>
      <c r="R1071" s="38">
        <v>0</v>
      </c>
      <c r="S1071" s="38">
        <v>0</v>
      </c>
      <c r="T1071" s="38">
        <v>0</v>
      </c>
      <c r="U1071" s="29" cm="1">
        <f t="array" aca="1" ref="U1071" ca="1">+fair_value_gap(OFFSET(T1070,0,0,-1*$J$5,-1*$AA$1),OFFSET(E1070,0,0,-1*$J$5,1),F1071:T1071,0)</f>
        <v>17.515423866782172</v>
      </c>
      <c r="V1071" s="9" cm="1">
        <f t="array" aca="1" ref="V1071" ca="1">z_score_diff(OFFSET(U1071,0,0,$J$5*-1,1),OFFSET(E1071,0,0,$J$5*-1,1))</f>
        <v>-6.0903717128719892E-2</v>
      </c>
      <c r="W1071" s="9">
        <f t="shared" ca="1" si="161"/>
        <v>0.22106716222987929</v>
      </c>
      <c r="X1071" s="17">
        <f t="shared" ca="1" si="160"/>
        <v>-0.14885480763324732</v>
      </c>
      <c r="Y1071" s="13">
        <f t="shared" si="168"/>
        <v>0</v>
      </c>
      <c r="Z1071" s="13">
        <f t="shared" si="168"/>
        <v>0</v>
      </c>
      <c r="AA1071">
        <f t="shared" ca="1" si="162"/>
        <v>0</v>
      </c>
      <c r="AB1071">
        <f t="shared" ca="1" si="163"/>
        <v>1</v>
      </c>
      <c r="AC1071" s="24">
        <f t="shared" ca="1" si="164"/>
        <v>0</v>
      </c>
      <c r="AD1071" s="24">
        <f t="shared" ca="1" si="165"/>
        <v>-0.14885480763324732</v>
      </c>
    </row>
    <row r="1072" spans="3:30" x14ac:dyDescent="0.25">
      <c r="C1072" s="6">
        <v>1065</v>
      </c>
      <c r="D1072" s="35">
        <v>43522</v>
      </c>
      <c r="E1072" s="37">
        <v>17.504999999999999</v>
      </c>
      <c r="F1072" s="37">
        <v>56.322657135716582</v>
      </c>
      <c r="G1072" s="37">
        <v>46.5</v>
      </c>
      <c r="H1072" s="37">
        <v>2.502652690784029</v>
      </c>
      <c r="I1072" s="37">
        <v>73.289500879041611</v>
      </c>
      <c r="J1072" s="10">
        <v>0</v>
      </c>
      <c r="K1072" s="38">
        <v>1</v>
      </c>
      <c r="L1072" s="38">
        <v>0</v>
      </c>
      <c r="M1072" s="38">
        <v>0</v>
      </c>
      <c r="N1072" s="38">
        <v>0</v>
      </c>
      <c r="O1072" s="38">
        <v>0</v>
      </c>
      <c r="P1072" s="38">
        <v>0</v>
      </c>
      <c r="Q1072" s="38">
        <v>0</v>
      </c>
      <c r="R1072" s="38">
        <v>0</v>
      </c>
      <c r="S1072" s="38">
        <v>0</v>
      </c>
      <c r="T1072" s="38">
        <v>0</v>
      </c>
      <c r="U1072" s="29" cm="1">
        <f t="array" aca="1" ref="U1072" ca="1">+fair_value_gap(OFFSET(T1071,0,0,-1*$J$5,-1*$AA$1),OFFSET(E1071,0,0,-1*$J$5,1),F1072:T1072,0)</f>
        <v>17.57413049929049</v>
      </c>
      <c r="V1072" s="9" cm="1">
        <f t="array" aca="1" ref="V1072" ca="1">z_score_diff(OFFSET(U1072,0,0,$J$5*-1,1),OFFSET(E1072,0,0,$J$5*-1,1))</f>
        <v>-4.9636577056015208E-2</v>
      </c>
      <c r="W1072" s="9">
        <f t="shared" ca="1" si="161"/>
        <v>0.21698653778889096</v>
      </c>
      <c r="X1072" s="17">
        <f t="shared" ca="1" si="160"/>
        <v>-0.13698943970069832</v>
      </c>
      <c r="Y1072" s="13">
        <f t="shared" si="168"/>
        <v>0</v>
      </c>
      <c r="Z1072" s="13">
        <f t="shared" si="168"/>
        <v>0</v>
      </c>
      <c r="AA1072">
        <f t="shared" ca="1" si="162"/>
        <v>0</v>
      </c>
      <c r="AB1072">
        <f t="shared" ca="1" si="163"/>
        <v>1</v>
      </c>
      <c r="AC1072" s="24">
        <f t="shared" ca="1" si="164"/>
        <v>0</v>
      </c>
      <c r="AD1072" s="24">
        <f t="shared" ca="1" si="165"/>
        <v>-0.13698943970069832</v>
      </c>
    </row>
    <row r="1073" spans="3:30" x14ac:dyDescent="0.25">
      <c r="C1073" s="6">
        <v>1066</v>
      </c>
      <c r="D1073" s="35">
        <v>43523</v>
      </c>
      <c r="E1073" s="37">
        <v>17.998000000000001</v>
      </c>
      <c r="F1073" s="37">
        <v>57.403829750753602</v>
      </c>
      <c r="G1073" s="37">
        <v>47.47</v>
      </c>
      <c r="H1073" s="37">
        <v>2.4991318850607165</v>
      </c>
      <c r="I1073" s="37">
        <v>73.519160444093842</v>
      </c>
      <c r="J1073" s="10">
        <v>0</v>
      </c>
      <c r="K1073" s="38">
        <v>1</v>
      </c>
      <c r="L1073" s="38">
        <v>0</v>
      </c>
      <c r="M1073" s="38">
        <v>0</v>
      </c>
      <c r="N1073" s="38">
        <v>0</v>
      </c>
      <c r="O1073" s="38">
        <v>0</v>
      </c>
      <c r="P1073" s="38">
        <v>0</v>
      </c>
      <c r="Q1073" s="38">
        <v>0</v>
      </c>
      <c r="R1073" s="38">
        <v>0</v>
      </c>
      <c r="S1073" s="38">
        <v>0</v>
      </c>
      <c r="T1073" s="38">
        <v>0</v>
      </c>
      <c r="U1073" s="29" cm="1">
        <f t="array" aca="1" ref="U1073" ca="1">+fair_value_gap(OFFSET(T1072,0,0,-1*$J$5,-1*$AA$1),OFFSET(E1072,0,0,-1*$J$5,1),F1073:T1073,0)</f>
        <v>17.952265460890189</v>
      </c>
      <c r="V1073" s="9" cm="1">
        <f t="array" aca="1" ref="V1073" ca="1">z_score_diff(OFFSET(U1073,0,0,$J$5*-1,1),OFFSET(E1073,0,0,$J$5*-1,1))</f>
        <v>-9.0333967930994019E-2</v>
      </c>
      <c r="W1073" s="9">
        <f t="shared" ca="1" si="161"/>
        <v>0.20488983796386756</v>
      </c>
      <c r="X1073" s="17">
        <f t="shared" ca="1" si="160"/>
        <v>-0.13851258424382742</v>
      </c>
      <c r="Y1073" s="13">
        <f t="shared" si="168"/>
        <v>0</v>
      </c>
      <c r="Z1073" s="13">
        <f t="shared" si="168"/>
        <v>0</v>
      </c>
      <c r="AA1073">
        <f t="shared" ca="1" si="162"/>
        <v>0</v>
      </c>
      <c r="AB1073">
        <f t="shared" ca="1" si="163"/>
        <v>1</v>
      </c>
      <c r="AC1073" s="24">
        <f t="shared" ca="1" si="164"/>
        <v>0</v>
      </c>
      <c r="AD1073" s="24">
        <f t="shared" ca="1" si="165"/>
        <v>-0.13851258424382742</v>
      </c>
    </row>
    <row r="1074" spans="3:30" x14ac:dyDescent="0.25">
      <c r="C1074" s="6">
        <v>1067</v>
      </c>
      <c r="D1074" s="35">
        <v>43524</v>
      </c>
      <c r="E1074" s="37">
        <v>18.533999999999999</v>
      </c>
      <c r="F1074" s="37">
        <v>57.230391944621005</v>
      </c>
      <c r="G1074" s="37">
        <v>50.18</v>
      </c>
      <c r="H1074" s="37">
        <v>2.5173059371011237</v>
      </c>
      <c r="I1074" s="37">
        <v>73.432247494384342</v>
      </c>
      <c r="J1074" s="10">
        <v>0</v>
      </c>
      <c r="K1074" s="38">
        <v>1</v>
      </c>
      <c r="L1074" s="38">
        <v>0</v>
      </c>
      <c r="M1074" s="38">
        <v>0</v>
      </c>
      <c r="N1074" s="38">
        <v>0</v>
      </c>
      <c r="O1074" s="38">
        <v>0</v>
      </c>
      <c r="P1074" s="38">
        <v>0</v>
      </c>
      <c r="Q1074" s="38">
        <v>0</v>
      </c>
      <c r="R1074" s="38">
        <v>0</v>
      </c>
      <c r="S1074" s="38">
        <v>0</v>
      </c>
      <c r="T1074" s="38">
        <v>0</v>
      </c>
      <c r="U1074" s="29" cm="1">
        <f t="array" aca="1" ref="U1074" ca="1">+fair_value_gap(OFFSET(T1073,0,0,-1*$J$5,-1*$AA$1),OFFSET(E1073,0,0,-1*$J$5,1),F1074:T1074,0)</f>
        <v>18.825389463443489</v>
      </c>
      <c r="V1074" s="9" cm="1">
        <f t="array" aca="1" ref="V1074" ca="1">z_score_diff(OFFSET(U1074,0,0,$J$5*-1,1),OFFSET(E1074,0,0,$J$5*-1,1))</f>
        <v>3.2666819758502497E-2</v>
      </c>
      <c r="W1074" s="9">
        <f t="shared" ca="1" si="161"/>
        <v>0.19951025100746872</v>
      </c>
      <c r="X1074" s="17">
        <f t="shared" ca="1" si="160"/>
        <v>-0.19417528423151462</v>
      </c>
      <c r="Y1074" s="13">
        <f t="shared" si="168"/>
        <v>0</v>
      </c>
      <c r="Z1074" s="13">
        <f t="shared" si="168"/>
        <v>0</v>
      </c>
      <c r="AA1074">
        <f t="shared" ca="1" si="162"/>
        <v>0</v>
      </c>
      <c r="AB1074">
        <f t="shared" ca="1" si="163"/>
        <v>1</v>
      </c>
      <c r="AC1074" s="24">
        <f t="shared" ca="1" si="164"/>
        <v>0</v>
      </c>
      <c r="AD1074" s="24">
        <f t="shared" ca="1" si="165"/>
        <v>-0.19417528423151462</v>
      </c>
    </row>
    <row r="1075" spans="3:30" x14ac:dyDescent="0.25">
      <c r="C1075" s="6">
        <v>1068</v>
      </c>
      <c r="D1075" s="35">
        <v>43525</v>
      </c>
      <c r="E1075" s="37">
        <v>18.169</v>
      </c>
      <c r="F1075" s="37">
        <v>56.200512615221449</v>
      </c>
      <c r="G1075" s="37">
        <v>50.51</v>
      </c>
      <c r="H1075" s="37">
        <v>2.5483457847882556</v>
      </c>
      <c r="I1075" s="37">
        <v>73.521638843687015</v>
      </c>
      <c r="J1075" s="10">
        <v>0</v>
      </c>
      <c r="K1075" s="38">
        <v>0</v>
      </c>
      <c r="L1075" s="38">
        <v>1</v>
      </c>
      <c r="M1075" s="38">
        <v>0</v>
      </c>
      <c r="N1075" s="38">
        <v>0</v>
      </c>
      <c r="O1075" s="38">
        <v>0</v>
      </c>
      <c r="P1075" s="38">
        <v>0</v>
      </c>
      <c r="Q1075" s="38">
        <v>0</v>
      </c>
      <c r="R1075" s="38">
        <v>0</v>
      </c>
      <c r="S1075" s="38">
        <v>0</v>
      </c>
      <c r="T1075" s="38">
        <v>0</v>
      </c>
      <c r="U1075" s="29" cm="1">
        <f t="array" aca="1" ref="U1075" ca="1">+fair_value_gap(OFFSET(T1074,0,0,-1*$J$5,-1*$AA$1),OFFSET(E1074,0,0,-1*$J$5,1),F1075:T1075,0)</f>
        <v>21.286545433546813</v>
      </c>
      <c r="V1075" s="9" cm="1">
        <f t="array" aca="1" ref="V1075" ca="1">z_score_diff(OFFSET(U1075,0,0,$J$5*-1,1),OFFSET(E1075,0,0,$J$5*-1,1))</f>
        <v>1.0604720582809475</v>
      </c>
      <c r="W1075" s="9">
        <f t="shared" ca="1" si="161"/>
        <v>0.21283892280061689</v>
      </c>
      <c r="X1075" s="17">
        <f t="shared" ca="1" si="160"/>
        <v>-0.10139946180792221</v>
      </c>
      <c r="Y1075" s="13">
        <f t="shared" si="168"/>
        <v>0</v>
      </c>
      <c r="Z1075" s="13">
        <f t="shared" si="168"/>
        <v>0</v>
      </c>
      <c r="AA1075">
        <f t="shared" ca="1" si="162"/>
        <v>0</v>
      </c>
      <c r="AB1075">
        <f t="shared" ca="1" si="163"/>
        <v>1</v>
      </c>
      <c r="AC1075" s="24">
        <f t="shared" ca="1" si="164"/>
        <v>0</v>
      </c>
      <c r="AD1075" s="24">
        <f t="shared" ca="1" si="165"/>
        <v>-0.10139946180792221</v>
      </c>
    </row>
    <row r="1076" spans="3:30" x14ac:dyDescent="0.25">
      <c r="C1076" s="6">
        <v>1069</v>
      </c>
      <c r="D1076" s="35">
        <v>43528</v>
      </c>
      <c r="E1076" s="37">
        <v>18.295000000000002</v>
      </c>
      <c r="F1076" s="37">
        <v>56.941386931356838</v>
      </c>
      <c r="G1076" s="37">
        <v>50.66</v>
      </c>
      <c r="H1076" s="37">
        <v>2.5513770749477871</v>
      </c>
      <c r="I1076" s="37">
        <v>74.335560794938928</v>
      </c>
      <c r="J1076" s="10">
        <v>0</v>
      </c>
      <c r="K1076" s="38">
        <v>0</v>
      </c>
      <c r="L1076" s="38">
        <v>1</v>
      </c>
      <c r="M1076" s="38">
        <v>0</v>
      </c>
      <c r="N1076" s="38">
        <v>0</v>
      </c>
      <c r="O1076" s="38">
        <v>0</v>
      </c>
      <c r="P1076" s="38">
        <v>0</v>
      </c>
      <c r="Q1076" s="38">
        <v>0</v>
      </c>
      <c r="R1076" s="38">
        <v>0</v>
      </c>
      <c r="S1076" s="38">
        <v>0</v>
      </c>
      <c r="T1076" s="38">
        <v>0</v>
      </c>
      <c r="U1076" s="29" cm="1">
        <f t="array" aca="1" ref="U1076" ca="1">+fair_value_gap(OFFSET(T1075,0,0,-1*$J$5,-1*$AA$1),OFFSET(E1075,0,0,-1*$J$5,1),F1076:T1076,0)</f>
        <v>21.005042866019348</v>
      </c>
      <c r="V1076" s="9" cm="1">
        <f t="array" aca="1" ref="V1076" ca="1">z_score_diff(OFFSET(U1076,0,0,$J$5*-1,1),OFFSET(E1076,0,0,$J$5*-1,1))</f>
        <v>0.90465435678031525</v>
      </c>
      <c r="W1076" s="9">
        <f t="shared" ca="1" si="161"/>
        <v>0.2325021233561948</v>
      </c>
      <c r="X1076" s="17">
        <f t="shared" ca="1" si="160"/>
        <v>-0.11675186484479745</v>
      </c>
      <c r="Y1076" s="13">
        <f t="shared" si="168"/>
        <v>0</v>
      </c>
      <c r="Z1076" s="13">
        <f t="shared" si="168"/>
        <v>0</v>
      </c>
      <c r="AA1076">
        <f t="shared" ca="1" si="162"/>
        <v>0</v>
      </c>
      <c r="AB1076">
        <f t="shared" ca="1" si="163"/>
        <v>1</v>
      </c>
      <c r="AC1076" s="24">
        <f t="shared" ca="1" si="164"/>
        <v>0</v>
      </c>
      <c r="AD1076" s="24">
        <f t="shared" ca="1" si="165"/>
        <v>-0.11675186484479745</v>
      </c>
    </row>
    <row r="1077" spans="3:30" x14ac:dyDescent="0.25">
      <c r="C1077" s="6">
        <v>1070</v>
      </c>
      <c r="D1077" s="35">
        <v>43529</v>
      </c>
      <c r="E1077" s="37">
        <v>18.029</v>
      </c>
      <c r="F1077" s="37">
        <v>57.210629160179316</v>
      </c>
      <c r="G1077" s="37">
        <v>50.48</v>
      </c>
      <c r="H1077" s="37">
        <v>2.574042919292086</v>
      </c>
      <c r="I1077" s="37">
        <v>73.799099259135417</v>
      </c>
      <c r="J1077" s="10">
        <v>0</v>
      </c>
      <c r="K1077" s="38">
        <v>0</v>
      </c>
      <c r="L1077" s="38">
        <v>1</v>
      </c>
      <c r="M1077" s="38">
        <v>0</v>
      </c>
      <c r="N1077" s="38">
        <v>0</v>
      </c>
      <c r="O1077" s="38">
        <v>0</v>
      </c>
      <c r="P1077" s="38">
        <v>0</v>
      </c>
      <c r="Q1077" s="38">
        <v>0</v>
      </c>
      <c r="R1077" s="38">
        <v>0</v>
      </c>
      <c r="S1077" s="38">
        <v>0</v>
      </c>
      <c r="T1077" s="38">
        <v>0</v>
      </c>
      <c r="U1077" s="29" cm="1">
        <f t="array" aca="1" ref="U1077" ca="1">+fair_value_gap(OFFSET(T1076,0,0,-1*$J$5,-1*$AA$1),OFFSET(E1076,0,0,-1*$J$5,1),F1077:T1077,0)</f>
        <v>20.62433223191751</v>
      </c>
      <c r="V1077" s="9" cm="1">
        <f t="array" aca="1" ref="V1077" ca="1">z_score_diff(OFFSET(U1077,0,0,$J$5*-1,1),OFFSET(E1077,0,0,$J$5*-1,1))</f>
        <v>0.85185918171523445</v>
      </c>
      <c r="W1077" s="9">
        <f t="shared" ca="1" si="161"/>
        <v>0.24760735794149472</v>
      </c>
      <c r="X1077" s="17">
        <f t="shared" ca="1" si="160"/>
        <v>-0.11795638253432018</v>
      </c>
      <c r="Y1077" s="13">
        <f t="shared" si="168"/>
        <v>0</v>
      </c>
      <c r="Z1077" s="13">
        <f t="shared" si="168"/>
        <v>0</v>
      </c>
      <c r="AA1077">
        <f t="shared" ca="1" si="162"/>
        <v>0</v>
      </c>
      <c r="AB1077">
        <f t="shared" ca="1" si="163"/>
        <v>1</v>
      </c>
      <c r="AC1077" s="24">
        <f t="shared" ca="1" si="164"/>
        <v>0</v>
      </c>
      <c r="AD1077" s="24">
        <f t="shared" ca="1" si="165"/>
        <v>-0.11795638253432018</v>
      </c>
    </row>
    <row r="1078" spans="3:30" x14ac:dyDescent="0.25">
      <c r="C1078" s="6">
        <v>1071</v>
      </c>
      <c r="D1078" s="35">
        <v>43530</v>
      </c>
      <c r="E1078" s="37">
        <v>17.684000000000001</v>
      </c>
      <c r="F1078" s="37">
        <v>57.158332237595445</v>
      </c>
      <c r="G1078" s="37">
        <v>49.82</v>
      </c>
      <c r="H1078" s="37">
        <v>2.5496586957903635</v>
      </c>
      <c r="I1078" s="37">
        <v>72.797632161227583</v>
      </c>
      <c r="J1078" s="10">
        <v>0</v>
      </c>
      <c r="K1078" s="38">
        <v>0</v>
      </c>
      <c r="L1078" s="38">
        <v>1</v>
      </c>
      <c r="M1078" s="38">
        <v>0</v>
      </c>
      <c r="N1078" s="38">
        <v>0</v>
      </c>
      <c r="O1078" s="38">
        <v>0</v>
      </c>
      <c r="P1078" s="38">
        <v>0</v>
      </c>
      <c r="Q1078" s="38">
        <v>0</v>
      </c>
      <c r="R1078" s="38">
        <v>0</v>
      </c>
      <c r="S1078" s="38">
        <v>0</v>
      </c>
      <c r="T1078" s="38">
        <v>0</v>
      </c>
      <c r="U1078" s="29" cm="1">
        <f t="array" aca="1" ref="U1078" ca="1">+fair_value_gap(OFFSET(T1077,0,0,-1*$J$5,-1*$AA$1),OFFSET(E1077,0,0,-1*$J$5,1),F1078:T1078,0)</f>
        <v>20.098497904985379</v>
      </c>
      <c r="V1078" s="9" cm="1">
        <f t="array" aca="1" ref="V1078" ca="1">z_score_diff(OFFSET(U1078,0,0,$J$5*-1,1),OFFSET(E1078,0,0,$J$5*-1,1))</f>
        <v>0.77233104797022345</v>
      </c>
      <c r="W1078" s="9">
        <f t="shared" ca="1" si="161"/>
        <v>0.25775537006891269</v>
      </c>
      <c r="X1078" s="17">
        <f t="shared" ca="1" si="160"/>
        <v>-6.2775768980518648E-2</v>
      </c>
      <c r="Y1078" s="13">
        <f t="shared" si="168"/>
        <v>0</v>
      </c>
      <c r="Z1078" s="13">
        <f t="shared" si="168"/>
        <v>0</v>
      </c>
      <c r="AA1078">
        <f t="shared" ca="1" si="162"/>
        <v>0</v>
      </c>
      <c r="AB1078">
        <f t="shared" ca="1" si="163"/>
        <v>1</v>
      </c>
      <c r="AC1078" s="24">
        <f t="shared" ca="1" si="164"/>
        <v>0</v>
      </c>
      <c r="AD1078" s="24">
        <f t="shared" ca="1" si="165"/>
        <v>-6.2775768980518648E-2</v>
      </c>
    </row>
    <row r="1079" spans="3:30" x14ac:dyDescent="0.25">
      <c r="C1079" s="6">
        <v>1072</v>
      </c>
      <c r="D1079" s="35">
        <v>43531</v>
      </c>
      <c r="E1079" s="37">
        <v>17.707000000000001</v>
      </c>
      <c r="F1079" s="37">
        <v>58.014968707317649</v>
      </c>
      <c r="G1079" s="37">
        <v>49.41</v>
      </c>
      <c r="H1079" s="37">
        <v>2.6031002959749694</v>
      </c>
      <c r="I1079" s="37">
        <v>73.047080362355786</v>
      </c>
      <c r="J1079" s="10">
        <v>0</v>
      </c>
      <c r="K1079" s="38">
        <v>0</v>
      </c>
      <c r="L1079" s="38">
        <v>1</v>
      </c>
      <c r="M1079" s="38">
        <v>0</v>
      </c>
      <c r="N1079" s="38">
        <v>0</v>
      </c>
      <c r="O1079" s="38">
        <v>0</v>
      </c>
      <c r="P1079" s="38">
        <v>0</v>
      </c>
      <c r="Q1079" s="38">
        <v>0</v>
      </c>
      <c r="R1079" s="38">
        <v>0</v>
      </c>
      <c r="S1079" s="38">
        <v>0</v>
      </c>
      <c r="T1079" s="38">
        <v>0</v>
      </c>
      <c r="U1079" s="29" cm="1">
        <f t="array" aca="1" ref="U1079" ca="1">+fair_value_gap(OFFSET(T1078,0,0,-1*$J$5,-1*$AA$1),OFFSET(E1078,0,0,-1*$J$5,1),F1079:T1079,0)</f>
        <v>19.744214266966406</v>
      </c>
      <c r="V1079" s="9" cm="1">
        <f t="array" aca="1" ref="V1079" ca="1">z_score_diff(OFFSET(U1079,0,0,$J$5*-1,1),OFFSET(E1079,0,0,$J$5*-1,1))</f>
        <v>0.62311646077751881</v>
      </c>
      <c r="W1079" s="9">
        <f t="shared" ca="1" si="161"/>
        <v>0.2673045788054888</v>
      </c>
      <c r="X1079" s="17">
        <f t="shared" ca="1" si="160"/>
        <v>-2.2906779439532711E-2</v>
      </c>
      <c r="Y1079" s="13">
        <f t="shared" si="168"/>
        <v>0</v>
      </c>
      <c r="Z1079" s="13">
        <f t="shared" si="168"/>
        <v>0</v>
      </c>
      <c r="AA1079">
        <f t="shared" ca="1" si="162"/>
        <v>0</v>
      </c>
      <c r="AB1079">
        <f t="shared" ca="1" si="163"/>
        <v>1</v>
      </c>
      <c r="AC1079" s="24">
        <f t="shared" ca="1" si="164"/>
        <v>0</v>
      </c>
      <c r="AD1079" s="24">
        <f t="shared" ca="1" si="165"/>
        <v>-2.2906779439532711E-2</v>
      </c>
    </row>
    <row r="1080" spans="3:30" x14ac:dyDescent="0.25">
      <c r="C1080" s="6">
        <v>1073</v>
      </c>
      <c r="D1080" s="35">
        <v>43532</v>
      </c>
      <c r="E1080" s="37">
        <v>17.559999999999999</v>
      </c>
      <c r="F1080" s="37">
        <v>57.266567057387576</v>
      </c>
      <c r="G1080" s="37">
        <v>49.53</v>
      </c>
      <c r="H1080" s="37">
        <v>2.5963298890969928</v>
      </c>
      <c r="I1080" s="37">
        <v>71.199590339302887</v>
      </c>
      <c r="J1080" s="10">
        <v>0</v>
      </c>
      <c r="K1080" s="38">
        <v>0</v>
      </c>
      <c r="L1080" s="38">
        <v>1</v>
      </c>
      <c r="M1080" s="38">
        <v>0</v>
      </c>
      <c r="N1080" s="38">
        <v>0</v>
      </c>
      <c r="O1080" s="38">
        <v>0</v>
      </c>
      <c r="P1080" s="38">
        <v>0</v>
      </c>
      <c r="Q1080" s="38">
        <v>0</v>
      </c>
      <c r="R1080" s="38">
        <v>0</v>
      </c>
      <c r="S1080" s="38">
        <v>0</v>
      </c>
      <c r="T1080" s="38">
        <v>0</v>
      </c>
      <c r="U1080" s="29" cm="1">
        <f t="array" aca="1" ref="U1080" ca="1">+fair_value_gap(OFFSET(T1079,0,0,-1*$J$5,-1*$AA$1),OFFSET(E1079,0,0,-1*$J$5,1),F1080:T1080,0)</f>
        <v>19.35255416314866</v>
      </c>
      <c r="V1080" s="9" cm="1">
        <f t="array" aca="1" ref="V1080" ca="1">z_score_diff(OFFSET(U1080,0,0,$J$5*-1,1),OFFSET(E1080,0,0,$J$5*-1,1))</f>
        <v>0.52078801469079461</v>
      </c>
      <c r="W1080" s="9">
        <f t="shared" ca="1" si="161"/>
        <v>0.27317073435179096</v>
      </c>
      <c r="X1080" s="17">
        <f t="shared" ca="1" si="160"/>
        <v>7.1154542503349932E-2</v>
      </c>
      <c r="Y1080" s="13">
        <f t="shared" si="168"/>
        <v>0</v>
      </c>
      <c r="Z1080" s="13">
        <f t="shared" si="168"/>
        <v>0</v>
      </c>
      <c r="AA1080">
        <f t="shared" ca="1" si="162"/>
        <v>0</v>
      </c>
      <c r="AB1080">
        <f t="shared" ca="1" si="163"/>
        <v>1</v>
      </c>
      <c r="AC1080" s="24">
        <f t="shared" ca="1" si="164"/>
        <v>0</v>
      </c>
      <c r="AD1080" s="24">
        <f t="shared" ca="1" si="165"/>
        <v>7.1154542503349932E-2</v>
      </c>
    </row>
    <row r="1081" spans="3:30" x14ac:dyDescent="0.25">
      <c r="C1081" s="6">
        <v>1074</v>
      </c>
      <c r="D1081" s="35">
        <v>43535</v>
      </c>
      <c r="E1081" s="37">
        <v>17.417000000000002</v>
      </c>
      <c r="F1081" s="37">
        <v>57.797646935192198</v>
      </c>
      <c r="G1081" s="37">
        <v>49.24</v>
      </c>
      <c r="H1081" s="37">
        <v>2.5325878020693309</v>
      </c>
      <c r="I1081" s="37">
        <v>70.933475784099514</v>
      </c>
      <c r="J1081" s="10">
        <v>0</v>
      </c>
      <c r="K1081" s="38">
        <v>0</v>
      </c>
      <c r="L1081" s="38">
        <v>1</v>
      </c>
      <c r="M1081" s="38">
        <v>0</v>
      </c>
      <c r="N1081" s="38">
        <v>0</v>
      </c>
      <c r="O1081" s="38">
        <v>0</v>
      </c>
      <c r="P1081" s="38">
        <v>0</v>
      </c>
      <c r="Q1081" s="38">
        <v>0</v>
      </c>
      <c r="R1081" s="38">
        <v>0</v>
      </c>
      <c r="S1081" s="38">
        <v>0</v>
      </c>
      <c r="T1081" s="38">
        <v>0</v>
      </c>
      <c r="U1081" s="29" cm="1">
        <f t="array" aca="1" ref="U1081" ca="1">+fair_value_gap(OFFSET(T1080,0,0,-1*$J$5,-1*$AA$1),OFFSET(E1080,0,0,-1*$J$5,1),F1081:T1081,0)</f>
        <v>19.148164530557786</v>
      </c>
      <c r="V1081" s="9" cm="1">
        <f t="array" aca="1" ref="V1081" ca="1">z_score_diff(OFFSET(U1081,0,0,$J$5*-1,1),OFFSET(E1081,0,0,$J$5*-1,1))</f>
        <v>0.48575540817681295</v>
      </c>
      <c r="W1081" s="9">
        <f t="shared" ca="1" si="161"/>
        <v>0.28445801155499195</v>
      </c>
      <c r="X1081" s="17">
        <f t="shared" ca="1" si="160"/>
        <v>6.6306063012178562E-2</v>
      </c>
      <c r="Y1081" s="13">
        <f t="shared" ref="Y1081:Z1096" si="169">+Y1080</f>
        <v>0</v>
      </c>
      <c r="Z1081" s="13">
        <f t="shared" si="169"/>
        <v>0</v>
      </c>
      <c r="AA1081">
        <f t="shared" ca="1" si="162"/>
        <v>0</v>
      </c>
      <c r="AB1081">
        <f t="shared" ca="1" si="163"/>
        <v>1</v>
      </c>
      <c r="AC1081" s="24">
        <f t="shared" ca="1" si="164"/>
        <v>0</v>
      </c>
      <c r="AD1081" s="24">
        <f t="shared" ca="1" si="165"/>
        <v>6.6306063012178562E-2</v>
      </c>
    </row>
    <row r="1082" spans="3:30" x14ac:dyDescent="0.25">
      <c r="C1082" s="6">
        <v>1075</v>
      </c>
      <c r="D1082" s="35">
        <v>43536</v>
      </c>
      <c r="E1082" s="37">
        <v>17.047000000000001</v>
      </c>
      <c r="F1082" s="37">
        <v>57.658836615847676</v>
      </c>
      <c r="G1082" s="37">
        <v>49.34</v>
      </c>
      <c r="H1082" s="37">
        <v>2.5352788501384982</v>
      </c>
      <c r="I1082" s="37">
        <v>70.884861174725728</v>
      </c>
      <c r="J1082" s="10">
        <v>0</v>
      </c>
      <c r="K1082" s="38">
        <v>0</v>
      </c>
      <c r="L1082" s="38">
        <v>1</v>
      </c>
      <c r="M1082" s="38">
        <v>0</v>
      </c>
      <c r="N1082" s="38">
        <v>0</v>
      </c>
      <c r="O1082" s="38">
        <v>0</v>
      </c>
      <c r="P1082" s="38">
        <v>0</v>
      </c>
      <c r="Q1082" s="38">
        <v>0</v>
      </c>
      <c r="R1082" s="38">
        <v>0</v>
      </c>
      <c r="S1082" s="38">
        <v>0</v>
      </c>
      <c r="T1082" s="38">
        <v>0</v>
      </c>
      <c r="U1082" s="29" cm="1">
        <f t="array" aca="1" ref="U1082" ca="1">+fair_value_gap(OFFSET(T1081,0,0,-1*$J$5,-1*$AA$1),OFFSET(E1081,0,0,-1*$J$5,1),F1082:T1082,0)</f>
        <v>18.943227411753757</v>
      </c>
      <c r="V1082" s="9" cm="1">
        <f t="array" aca="1" ref="V1082" ca="1">z_score_diff(OFFSET(U1082,0,0,$J$5*-1,1),OFFSET(E1082,0,0,$J$5*-1,1))</f>
        <v>0.52983917563182259</v>
      </c>
      <c r="W1082" s="9">
        <f t="shared" ca="1" si="161"/>
        <v>0.2976787456680931</v>
      </c>
      <c r="X1082" s="17">
        <f t="shared" ca="1" si="160"/>
        <v>0.13166715821867747</v>
      </c>
      <c r="Y1082" s="13">
        <f t="shared" si="169"/>
        <v>0</v>
      </c>
      <c r="Z1082" s="13">
        <f t="shared" si="169"/>
        <v>0</v>
      </c>
      <c r="AA1082">
        <f t="shared" ca="1" si="162"/>
        <v>0</v>
      </c>
      <c r="AB1082">
        <f t="shared" ca="1" si="163"/>
        <v>1</v>
      </c>
      <c r="AC1082" s="24">
        <f t="shared" ca="1" si="164"/>
        <v>0</v>
      </c>
      <c r="AD1082" s="24">
        <f t="shared" ca="1" si="165"/>
        <v>0.13166715821867747</v>
      </c>
    </row>
    <row r="1083" spans="3:30" x14ac:dyDescent="0.25">
      <c r="C1083" s="6">
        <v>1076</v>
      </c>
      <c r="D1083" s="35">
        <v>43537</v>
      </c>
      <c r="E1083" s="37">
        <v>16.565000000000001</v>
      </c>
      <c r="F1083" s="37">
        <v>58.194273593066065</v>
      </c>
      <c r="G1083" s="37">
        <v>47.4</v>
      </c>
      <c r="H1083" s="37">
        <v>2.5532802740190474</v>
      </c>
      <c r="I1083" s="37">
        <v>70.37386386851955</v>
      </c>
      <c r="J1083" s="10">
        <v>0</v>
      </c>
      <c r="K1083" s="38">
        <v>0</v>
      </c>
      <c r="L1083" s="38">
        <v>1</v>
      </c>
      <c r="M1083" s="38">
        <v>0</v>
      </c>
      <c r="N1083" s="38">
        <v>0</v>
      </c>
      <c r="O1083" s="38">
        <v>0</v>
      </c>
      <c r="P1083" s="38">
        <v>0</v>
      </c>
      <c r="Q1083" s="38">
        <v>0</v>
      </c>
      <c r="R1083" s="38">
        <v>0</v>
      </c>
      <c r="S1083" s="38">
        <v>0</v>
      </c>
      <c r="T1083" s="38">
        <v>0</v>
      </c>
      <c r="U1083" s="29" cm="1">
        <f t="array" aca="1" ref="U1083" ca="1">+fair_value_gap(OFFSET(T1082,0,0,-1*$J$5,-1*$AA$1),OFFSET(E1082,0,0,-1*$J$5,1),F1083:T1083,0)</f>
        <v>18.167737972308842</v>
      </c>
      <c r="V1083" s="9" cm="1">
        <f t="array" aca="1" ref="V1083" ca="1">z_score_diff(OFFSET(U1083,0,0,$J$5*-1,1),OFFSET(E1083,0,0,$J$5*-1,1))</f>
        <v>0.39641050992055638</v>
      </c>
      <c r="W1083" s="9">
        <f t="shared" ca="1" si="161"/>
        <v>0.3122388423087471</v>
      </c>
      <c r="X1083" s="17">
        <f t="shared" ca="1" si="160"/>
        <v>0.13640982970774743</v>
      </c>
      <c r="Y1083" s="13">
        <f t="shared" si="169"/>
        <v>0</v>
      </c>
      <c r="Z1083" s="13">
        <f t="shared" si="169"/>
        <v>0</v>
      </c>
      <c r="AA1083">
        <f t="shared" ca="1" si="162"/>
        <v>0</v>
      </c>
      <c r="AB1083">
        <f t="shared" ca="1" si="163"/>
        <v>1</v>
      </c>
      <c r="AC1083" s="24">
        <f t="shared" ca="1" si="164"/>
        <v>0</v>
      </c>
      <c r="AD1083" s="24">
        <f t="shared" ca="1" si="165"/>
        <v>0.13640982970774743</v>
      </c>
    </row>
    <row r="1084" spans="3:30" x14ac:dyDescent="0.25">
      <c r="C1084" s="6">
        <v>1077</v>
      </c>
      <c r="D1084" s="35">
        <v>43538</v>
      </c>
      <c r="E1084" s="37">
        <v>16.353999999999999</v>
      </c>
      <c r="F1084" s="37">
        <v>58.026101724749417</v>
      </c>
      <c r="G1084" s="37">
        <v>47.67</v>
      </c>
      <c r="H1084" s="37">
        <v>2.5697398105764533</v>
      </c>
      <c r="I1084" s="37">
        <v>71.062150407768655</v>
      </c>
      <c r="J1084" s="10">
        <v>0</v>
      </c>
      <c r="K1084" s="38">
        <v>0</v>
      </c>
      <c r="L1084" s="38">
        <v>1</v>
      </c>
      <c r="M1084" s="38">
        <v>0</v>
      </c>
      <c r="N1084" s="38">
        <v>0</v>
      </c>
      <c r="O1084" s="38">
        <v>0</v>
      </c>
      <c r="P1084" s="38">
        <v>0</v>
      </c>
      <c r="Q1084" s="38">
        <v>0</v>
      </c>
      <c r="R1084" s="38">
        <v>0</v>
      </c>
      <c r="S1084" s="38">
        <v>0</v>
      </c>
      <c r="T1084" s="38">
        <v>0</v>
      </c>
      <c r="U1084" s="29" cm="1">
        <f t="array" aca="1" ref="U1084" ca="1">+fair_value_gap(OFFSET(T1083,0,0,-1*$J$5,-1*$AA$1),OFFSET(E1083,0,0,-1*$J$5,1),F1084:T1084,0)</f>
        <v>18.051657718671986</v>
      </c>
      <c r="V1084" s="9" cm="1">
        <f t="array" aca="1" ref="V1084" ca="1">z_score_diff(OFFSET(U1084,0,0,$J$5*-1,1),OFFSET(E1084,0,0,$J$5*-1,1))</f>
        <v>0.41621629760635859</v>
      </c>
      <c r="W1084" s="9">
        <f t="shared" ca="1" si="161"/>
        <v>0.32565225686314492</v>
      </c>
      <c r="X1084" s="17">
        <f t="shared" ca="1" si="160"/>
        <v>0.15443017045740765</v>
      </c>
      <c r="Y1084" s="13">
        <f t="shared" si="169"/>
        <v>0</v>
      </c>
      <c r="Z1084" s="13">
        <f t="shared" si="169"/>
        <v>0</v>
      </c>
      <c r="AA1084">
        <f t="shared" ca="1" si="162"/>
        <v>0</v>
      </c>
      <c r="AB1084">
        <f t="shared" ca="1" si="163"/>
        <v>1</v>
      </c>
      <c r="AC1084" s="24">
        <f t="shared" ca="1" si="164"/>
        <v>0</v>
      </c>
      <c r="AD1084" s="24">
        <f t="shared" ca="1" si="165"/>
        <v>0.15443017045740765</v>
      </c>
    </row>
    <row r="1085" spans="3:30" x14ac:dyDescent="0.25">
      <c r="C1085" s="6">
        <v>1078</v>
      </c>
      <c r="D1085" s="35">
        <v>43539</v>
      </c>
      <c r="E1085" s="37">
        <v>15.891</v>
      </c>
      <c r="F1085" s="37">
        <v>57.77125054236631</v>
      </c>
      <c r="G1085" s="37">
        <v>46.44</v>
      </c>
      <c r="H1085" s="37">
        <v>2.5268400673708085</v>
      </c>
      <c r="I1085" s="37">
        <v>69.953297804535964</v>
      </c>
      <c r="J1085" s="10">
        <v>0</v>
      </c>
      <c r="K1085" s="38">
        <v>0</v>
      </c>
      <c r="L1085" s="38">
        <v>1</v>
      </c>
      <c r="M1085" s="38">
        <v>0</v>
      </c>
      <c r="N1085" s="38">
        <v>0</v>
      </c>
      <c r="O1085" s="38">
        <v>0</v>
      </c>
      <c r="P1085" s="38">
        <v>0</v>
      </c>
      <c r="Q1085" s="38">
        <v>0</v>
      </c>
      <c r="R1085" s="38">
        <v>0</v>
      </c>
      <c r="S1085" s="38">
        <v>0</v>
      </c>
      <c r="T1085" s="38">
        <v>0</v>
      </c>
      <c r="U1085" s="29" cm="1">
        <f t="array" aca="1" ref="U1085" ca="1">+fair_value_gap(OFFSET(T1084,0,0,-1*$J$5,-1*$AA$1),OFFSET(E1084,0,0,-1*$J$5,1),F1085:T1085,0)</f>
        <v>17.435184826024802</v>
      </c>
      <c r="V1085" s="9" cm="1">
        <f t="array" aca="1" ref="V1085" ca="1">z_score_diff(OFFSET(U1085,0,0,$J$5*-1,1),OFFSET(E1085,0,0,$J$5*-1,1))</f>
        <v>0.33565251962337439</v>
      </c>
      <c r="W1085" s="9">
        <f t="shared" ca="1" si="161"/>
        <v>0.33792446342808591</v>
      </c>
      <c r="X1085" s="17">
        <f t="shared" ca="1" si="160"/>
        <v>0.18162910138244495</v>
      </c>
      <c r="Y1085" s="13">
        <f t="shared" si="169"/>
        <v>0</v>
      </c>
      <c r="Z1085" s="13">
        <f t="shared" si="169"/>
        <v>0</v>
      </c>
      <c r="AA1085">
        <f t="shared" ca="1" si="162"/>
        <v>0</v>
      </c>
      <c r="AB1085">
        <f t="shared" ca="1" si="163"/>
        <v>1</v>
      </c>
      <c r="AC1085" s="24">
        <f t="shared" ca="1" si="164"/>
        <v>0</v>
      </c>
      <c r="AD1085" s="24">
        <f t="shared" ca="1" si="165"/>
        <v>0.18162910138244495</v>
      </c>
    </row>
    <row r="1086" spans="3:30" x14ac:dyDescent="0.25">
      <c r="C1086" s="6">
        <v>1079</v>
      </c>
      <c r="D1086" s="35">
        <v>43542</v>
      </c>
      <c r="E1086" s="37">
        <v>15.627000000000001</v>
      </c>
      <c r="F1086" s="37">
        <v>57.876149382118925</v>
      </c>
      <c r="G1086" s="37">
        <v>45.61</v>
      </c>
      <c r="H1086" s="37">
        <v>2.5694752591401335</v>
      </c>
      <c r="I1086" s="37">
        <v>69.425328478625772</v>
      </c>
      <c r="J1086" s="10">
        <v>0</v>
      </c>
      <c r="K1086" s="38">
        <v>0</v>
      </c>
      <c r="L1086" s="38">
        <v>1</v>
      </c>
      <c r="M1086" s="38">
        <v>0</v>
      </c>
      <c r="N1086" s="38">
        <v>0</v>
      </c>
      <c r="O1086" s="38">
        <v>0</v>
      </c>
      <c r="P1086" s="38">
        <v>0</v>
      </c>
      <c r="Q1086" s="38">
        <v>0</v>
      </c>
      <c r="R1086" s="38">
        <v>0</v>
      </c>
      <c r="S1086" s="38">
        <v>0</v>
      </c>
      <c r="T1086" s="38">
        <v>0</v>
      </c>
      <c r="U1086" s="29" cm="1">
        <f t="array" aca="1" ref="U1086" ca="1">+fair_value_gap(OFFSET(T1085,0,0,-1*$J$5,-1*$AA$1),OFFSET(E1085,0,0,-1*$J$5,1),F1086:T1086,0)</f>
        <v>16.867865745869526</v>
      </c>
      <c r="V1086" s="9" cm="1">
        <f t="array" aca="1" ref="V1086" ca="1">z_score_diff(OFFSET(U1086,0,0,$J$5*-1,1),OFFSET(E1086,0,0,$J$5*-1,1))</f>
        <v>0.20559036733318559</v>
      </c>
      <c r="W1086" s="9">
        <f t="shared" ca="1" si="161"/>
        <v>0.33832132970081352</v>
      </c>
      <c r="X1086" s="17">
        <f t="shared" ca="1" si="160"/>
        <v>0.16671437813679552</v>
      </c>
      <c r="Y1086" s="13">
        <f t="shared" si="169"/>
        <v>0</v>
      </c>
      <c r="Z1086" s="13">
        <f t="shared" si="169"/>
        <v>0</v>
      </c>
      <c r="AA1086">
        <f t="shared" ca="1" si="162"/>
        <v>0</v>
      </c>
      <c r="AB1086">
        <f t="shared" ca="1" si="163"/>
        <v>1</v>
      </c>
      <c r="AC1086" s="24">
        <f t="shared" ca="1" si="164"/>
        <v>0</v>
      </c>
      <c r="AD1086" s="24">
        <f t="shared" ca="1" si="165"/>
        <v>0.16671437813679552</v>
      </c>
    </row>
    <row r="1087" spans="3:30" x14ac:dyDescent="0.25">
      <c r="C1087" s="6">
        <v>1080</v>
      </c>
      <c r="D1087" s="35">
        <v>43543</v>
      </c>
      <c r="E1087" s="37">
        <v>15.618</v>
      </c>
      <c r="F1087" s="37">
        <v>57.872257746659677</v>
      </c>
      <c r="G1087" s="37">
        <v>45.53</v>
      </c>
      <c r="H1087" s="37">
        <v>2.572678604265477</v>
      </c>
      <c r="I1087" s="37">
        <v>68.437067389260335</v>
      </c>
      <c r="J1087" s="10">
        <v>0</v>
      </c>
      <c r="K1087" s="38">
        <v>0</v>
      </c>
      <c r="L1087" s="38">
        <v>1</v>
      </c>
      <c r="M1087" s="38">
        <v>0</v>
      </c>
      <c r="N1087" s="38">
        <v>0</v>
      </c>
      <c r="O1087" s="38">
        <v>0</v>
      </c>
      <c r="P1087" s="38">
        <v>0</v>
      </c>
      <c r="Q1087" s="38">
        <v>0</v>
      </c>
      <c r="R1087" s="38">
        <v>0</v>
      </c>
      <c r="S1087" s="38">
        <v>0</v>
      </c>
      <c r="T1087" s="38">
        <v>0</v>
      </c>
      <c r="U1087" s="29" cm="1">
        <f t="array" aca="1" ref="U1087" ca="1">+fair_value_gap(OFFSET(T1086,0,0,-1*$J$5,-1*$AA$1),OFFSET(E1086,0,0,-1*$J$5,1),F1087:T1087,0)</f>
        <v>16.55582988797163</v>
      </c>
      <c r="V1087" s="9" cm="1">
        <f t="array" aca="1" ref="V1087" ca="1">z_score_diff(OFFSET(U1087,0,0,$J$5*-1,1),OFFSET(E1087,0,0,$J$5*-1,1))</f>
        <v>8.46064571143752E-2</v>
      </c>
      <c r="W1087" s="9">
        <f t="shared" ca="1" si="161"/>
        <v>0.34197100213179332</v>
      </c>
      <c r="X1087" s="17">
        <f t="shared" ca="1" si="160"/>
        <v>0.15437018265423866</v>
      </c>
      <c r="Y1087" s="13">
        <f t="shared" si="169"/>
        <v>0</v>
      </c>
      <c r="Z1087" s="13">
        <f t="shared" si="169"/>
        <v>0</v>
      </c>
      <c r="AA1087">
        <f t="shared" ca="1" si="162"/>
        <v>0</v>
      </c>
      <c r="AB1087">
        <f t="shared" ca="1" si="163"/>
        <v>1</v>
      </c>
      <c r="AC1087" s="24">
        <f t="shared" ca="1" si="164"/>
        <v>0</v>
      </c>
      <c r="AD1087" s="24">
        <f t="shared" ca="1" si="165"/>
        <v>0.15437018265423866</v>
      </c>
    </row>
    <row r="1088" spans="3:30" x14ac:dyDescent="0.25">
      <c r="C1088" s="6">
        <v>1081</v>
      </c>
      <c r="D1088" s="35">
        <v>43544</v>
      </c>
      <c r="E1088" s="37">
        <v>15.92</v>
      </c>
      <c r="F1088" s="37">
        <v>58.182822091182416</v>
      </c>
      <c r="G1088" s="37">
        <v>44.99</v>
      </c>
      <c r="H1088" s="37">
        <v>2.5269496723765315</v>
      </c>
      <c r="I1088" s="37">
        <v>68.242307642534527</v>
      </c>
      <c r="J1088" s="10">
        <v>0</v>
      </c>
      <c r="K1088" s="38">
        <v>0</v>
      </c>
      <c r="L1088" s="38">
        <v>1</v>
      </c>
      <c r="M1088" s="38">
        <v>0</v>
      </c>
      <c r="N1088" s="38">
        <v>0</v>
      </c>
      <c r="O1088" s="38">
        <v>0</v>
      </c>
      <c r="P1088" s="38">
        <v>0</v>
      </c>
      <c r="Q1088" s="38">
        <v>0</v>
      </c>
      <c r="R1088" s="38">
        <v>0</v>
      </c>
      <c r="S1088" s="38">
        <v>0</v>
      </c>
      <c r="T1088" s="38">
        <v>0</v>
      </c>
      <c r="U1088" s="29" cm="1">
        <f t="array" aca="1" ref="U1088" ca="1">+fair_value_gap(OFFSET(T1087,0,0,-1*$J$5,-1*$AA$1),OFFSET(E1087,0,0,-1*$J$5,1),F1088:T1088,0)</f>
        <v>16.225375335315089</v>
      </c>
      <c r="V1088" s="9" cm="1">
        <f t="array" aca="1" ref="V1088" ca="1">z_score_diff(OFFSET(U1088,0,0,$J$5*-1,1),OFFSET(E1088,0,0,$J$5*-1,1))</f>
        <v>-0.14351348058276381</v>
      </c>
      <c r="W1088" s="9">
        <f t="shared" ca="1" si="161"/>
        <v>0.3407827720151399</v>
      </c>
      <c r="X1088" s="17">
        <f t="shared" ca="1" si="160"/>
        <v>0.15907393195031025</v>
      </c>
      <c r="Y1088" s="13">
        <f t="shared" si="169"/>
        <v>0</v>
      </c>
      <c r="Z1088" s="13">
        <f t="shared" si="169"/>
        <v>0</v>
      </c>
      <c r="AA1088">
        <f t="shared" ca="1" si="162"/>
        <v>0</v>
      </c>
      <c r="AB1088">
        <f t="shared" ca="1" si="163"/>
        <v>1</v>
      </c>
      <c r="AC1088" s="24">
        <f t="shared" ca="1" si="164"/>
        <v>0</v>
      </c>
      <c r="AD1088" s="24">
        <f t="shared" ca="1" si="165"/>
        <v>0.15907393195031025</v>
      </c>
    </row>
    <row r="1089" spans="3:30" x14ac:dyDescent="0.25">
      <c r="C1089" s="6">
        <v>1082</v>
      </c>
      <c r="D1089" s="35">
        <v>43545</v>
      </c>
      <c r="E1089" s="37">
        <v>15.481999999999999</v>
      </c>
      <c r="F1089" s="37">
        <v>57.903944722465326</v>
      </c>
      <c r="G1089" s="37">
        <v>44.76</v>
      </c>
      <c r="H1089" s="37">
        <v>2.5433067662521025</v>
      </c>
      <c r="I1089" s="37">
        <v>67.131871927450831</v>
      </c>
      <c r="J1089" s="10">
        <v>0</v>
      </c>
      <c r="K1089" s="38">
        <v>0</v>
      </c>
      <c r="L1089" s="38">
        <v>1</v>
      </c>
      <c r="M1089" s="38">
        <v>0</v>
      </c>
      <c r="N1089" s="38">
        <v>0</v>
      </c>
      <c r="O1089" s="38">
        <v>0</v>
      </c>
      <c r="P1089" s="38">
        <v>0</v>
      </c>
      <c r="Q1089" s="38">
        <v>0</v>
      </c>
      <c r="R1089" s="38">
        <v>0</v>
      </c>
      <c r="S1089" s="38">
        <v>0</v>
      </c>
      <c r="T1089" s="38">
        <v>0</v>
      </c>
      <c r="U1089" s="29" cm="1">
        <f t="array" aca="1" ref="U1089" ca="1">+fair_value_gap(OFFSET(T1088,0,0,-1*$J$5,-1*$AA$1),OFFSET(E1088,0,0,-1*$J$5,1),F1089:T1089,0)</f>
        <v>15.91272520900687</v>
      </c>
      <c r="V1089" s="9" cm="1">
        <f t="array" aca="1" ref="V1089" ca="1">z_score_diff(OFFSET(U1089,0,0,$J$5*-1,1),OFFSET(E1089,0,0,$J$5*-1,1))</f>
        <v>-0.10285415240486584</v>
      </c>
      <c r="W1089" s="9">
        <f t="shared" ca="1" si="161"/>
        <v>0.33785325194487187</v>
      </c>
      <c r="X1089" s="17">
        <f t="shared" ca="1" si="160"/>
        <v>0.1597084989847847</v>
      </c>
      <c r="Y1089" s="13">
        <f t="shared" si="169"/>
        <v>0</v>
      </c>
      <c r="Z1089" s="13">
        <f t="shared" si="169"/>
        <v>0</v>
      </c>
      <c r="AA1089">
        <f t="shared" ca="1" si="162"/>
        <v>0</v>
      </c>
      <c r="AB1089">
        <f t="shared" ca="1" si="163"/>
        <v>1</v>
      </c>
      <c r="AC1089" s="24">
        <f t="shared" ca="1" si="164"/>
        <v>0</v>
      </c>
      <c r="AD1089" s="24">
        <f t="shared" ca="1" si="165"/>
        <v>0.1597084989847847</v>
      </c>
    </row>
    <row r="1090" spans="3:30" x14ac:dyDescent="0.25">
      <c r="C1090" s="6">
        <v>1083</v>
      </c>
      <c r="D1090" s="35">
        <v>43546</v>
      </c>
      <c r="E1090" s="37">
        <v>15.394</v>
      </c>
      <c r="F1090" s="37">
        <v>57.427132143348416</v>
      </c>
      <c r="G1090" s="37">
        <v>44</v>
      </c>
      <c r="H1090" s="37">
        <v>2.5196197759680161</v>
      </c>
      <c r="I1090" s="37">
        <v>66.908355142758126</v>
      </c>
      <c r="J1090" s="10">
        <v>0</v>
      </c>
      <c r="K1090" s="38">
        <v>0</v>
      </c>
      <c r="L1090" s="38">
        <v>1</v>
      </c>
      <c r="M1090" s="38">
        <v>0</v>
      </c>
      <c r="N1090" s="38">
        <v>0</v>
      </c>
      <c r="O1090" s="38">
        <v>0</v>
      </c>
      <c r="P1090" s="38">
        <v>0</v>
      </c>
      <c r="Q1090" s="38">
        <v>0</v>
      </c>
      <c r="R1090" s="38">
        <v>0</v>
      </c>
      <c r="S1090" s="38">
        <v>0</v>
      </c>
      <c r="T1090" s="38">
        <v>0</v>
      </c>
      <c r="U1090" s="29" cm="1">
        <f t="array" aca="1" ref="U1090" ca="1">+fair_value_gap(OFFSET(T1089,0,0,-1*$J$5,-1*$AA$1),OFFSET(E1089,0,0,-1*$J$5,1),F1090:T1090,0)</f>
        <v>15.489717573723652</v>
      </c>
      <c r="V1090" s="9" cm="1">
        <f t="array" aca="1" ref="V1090" ca="1">z_score_diff(OFFSET(U1090,0,0,$J$5*-1,1),OFFSET(E1090,0,0,$J$5*-1,1))</f>
        <v>-0.23047585103150858</v>
      </c>
      <c r="W1090" s="9">
        <f t="shared" ca="1" si="161"/>
        <v>0.32711204646225778</v>
      </c>
      <c r="X1090" s="17">
        <f t="shared" ca="1" si="160"/>
        <v>0.17155618252371643</v>
      </c>
      <c r="Y1090" s="13">
        <f t="shared" si="169"/>
        <v>0</v>
      </c>
      <c r="Z1090" s="13">
        <f t="shared" si="169"/>
        <v>0</v>
      </c>
      <c r="AA1090">
        <f t="shared" ca="1" si="162"/>
        <v>0</v>
      </c>
      <c r="AB1090">
        <f t="shared" ca="1" si="163"/>
        <v>1</v>
      </c>
      <c r="AC1090" s="24">
        <f t="shared" ca="1" si="164"/>
        <v>0</v>
      </c>
      <c r="AD1090" s="24">
        <f t="shared" ca="1" si="165"/>
        <v>0.17155618252371643</v>
      </c>
    </row>
    <row r="1091" spans="3:30" x14ac:dyDescent="0.25">
      <c r="C1091" s="6">
        <v>1084</v>
      </c>
      <c r="D1091" s="35">
        <v>43549</v>
      </c>
      <c r="E1091" s="37">
        <v>15.065</v>
      </c>
      <c r="F1091" s="37">
        <v>57.455204527470109</v>
      </c>
      <c r="G1091" s="37">
        <v>43.86</v>
      </c>
      <c r="H1091" s="37">
        <v>2.5245468656009593</v>
      </c>
      <c r="I1091" s="37">
        <v>66.595805247749453</v>
      </c>
      <c r="J1091" s="10">
        <v>0</v>
      </c>
      <c r="K1091" s="38">
        <v>0</v>
      </c>
      <c r="L1091" s="38">
        <v>1</v>
      </c>
      <c r="M1091" s="38">
        <v>0</v>
      </c>
      <c r="N1091" s="38">
        <v>0</v>
      </c>
      <c r="O1091" s="38">
        <v>0</v>
      </c>
      <c r="P1091" s="38">
        <v>0</v>
      </c>
      <c r="Q1091" s="38">
        <v>0</v>
      </c>
      <c r="R1091" s="38">
        <v>0</v>
      </c>
      <c r="S1091" s="38">
        <v>0</v>
      </c>
      <c r="T1091" s="38">
        <v>0</v>
      </c>
      <c r="U1091" s="29" cm="1">
        <f t="array" aca="1" ref="U1091" ca="1">+fair_value_gap(OFFSET(T1090,0,0,-1*$J$5,-1*$AA$1),OFFSET(E1090,0,0,-1*$J$5,1),F1091:T1091,0)</f>
        <v>15.437027895660773</v>
      </c>
      <c r="V1091" s="9" cm="1">
        <f t="array" aca="1" ref="V1091" ca="1">z_score_diff(OFFSET(U1091,0,0,$J$5*-1,1),OFFSET(E1091,0,0,$J$5*-1,1))</f>
        <v>-0.13774551691432535</v>
      </c>
      <c r="W1091" s="9">
        <f t="shared" ca="1" si="161"/>
        <v>0.32326995647297752</v>
      </c>
      <c r="X1091" s="17">
        <f t="shared" ca="1" si="160"/>
        <v>0.18926717757213105</v>
      </c>
      <c r="Y1091" s="13">
        <f t="shared" si="169"/>
        <v>0</v>
      </c>
      <c r="Z1091" s="13">
        <f t="shared" si="169"/>
        <v>0</v>
      </c>
      <c r="AA1091">
        <f t="shared" ca="1" si="162"/>
        <v>0</v>
      </c>
      <c r="AB1091">
        <f t="shared" ca="1" si="163"/>
        <v>1</v>
      </c>
      <c r="AC1091" s="24">
        <f t="shared" ca="1" si="164"/>
        <v>0</v>
      </c>
      <c r="AD1091" s="24">
        <f t="shared" ca="1" si="165"/>
        <v>0.18926717757213105</v>
      </c>
    </row>
    <row r="1092" spans="3:30" x14ac:dyDescent="0.25">
      <c r="C1092" s="6">
        <v>1085</v>
      </c>
      <c r="D1092" s="35">
        <v>43550</v>
      </c>
      <c r="E1092" s="37">
        <v>15.263999999999999</v>
      </c>
      <c r="F1092" s="37">
        <v>58.084707885309356</v>
      </c>
      <c r="G1092" s="37">
        <v>44.45</v>
      </c>
      <c r="H1092" s="37">
        <v>2.5153143137815279</v>
      </c>
      <c r="I1092" s="37">
        <v>67.646048605521287</v>
      </c>
      <c r="J1092" s="10">
        <v>0</v>
      </c>
      <c r="K1092" s="38">
        <v>0</v>
      </c>
      <c r="L1092" s="38">
        <v>1</v>
      </c>
      <c r="M1092" s="38">
        <v>0</v>
      </c>
      <c r="N1092" s="38">
        <v>0</v>
      </c>
      <c r="O1092" s="38">
        <v>0</v>
      </c>
      <c r="P1092" s="38">
        <v>0</v>
      </c>
      <c r="Q1092" s="38">
        <v>0</v>
      </c>
      <c r="R1092" s="38">
        <v>0</v>
      </c>
      <c r="S1092" s="38">
        <v>0</v>
      </c>
      <c r="T1092" s="38">
        <v>0</v>
      </c>
      <c r="U1092" s="29" cm="1">
        <f t="array" aca="1" ref="U1092" ca="1">+fair_value_gap(OFFSET(T1091,0,0,-1*$J$5,-1*$AA$1),OFFSET(E1091,0,0,-1*$J$5,1),F1092:T1092,0)</f>
        <v>15.652819244395285</v>
      </c>
      <c r="V1092" s="9" cm="1">
        <f t="array" aca="1" ref="V1092" ca="1">z_score_diff(OFFSET(U1092,0,0,$J$5*-1,1),OFFSET(E1092,0,0,$J$5*-1,1))</f>
        <v>-0.12615722219078718</v>
      </c>
      <c r="W1092" s="9">
        <f t="shared" ca="1" si="161"/>
        <v>0.31944392421623891</v>
      </c>
      <c r="X1092" s="17">
        <f t="shared" ca="1" si="160"/>
        <v>0.18620116323805089</v>
      </c>
      <c r="Y1092" s="13">
        <f t="shared" si="169"/>
        <v>0</v>
      </c>
      <c r="Z1092" s="13">
        <f t="shared" si="169"/>
        <v>0</v>
      </c>
      <c r="AA1092">
        <f t="shared" ca="1" si="162"/>
        <v>0</v>
      </c>
      <c r="AB1092">
        <f t="shared" ca="1" si="163"/>
        <v>1</v>
      </c>
      <c r="AC1092" s="24">
        <f t="shared" ca="1" si="164"/>
        <v>0</v>
      </c>
      <c r="AD1092" s="24">
        <f t="shared" ca="1" si="165"/>
        <v>0.18620116323805089</v>
      </c>
    </row>
    <row r="1093" spans="3:30" x14ac:dyDescent="0.25">
      <c r="C1093" s="6">
        <v>1086</v>
      </c>
      <c r="D1093" s="35">
        <v>43551</v>
      </c>
      <c r="E1093" s="37">
        <v>15.67</v>
      </c>
      <c r="F1093" s="37">
        <v>57.976546727065475</v>
      </c>
      <c r="G1093" s="37">
        <v>44.53</v>
      </c>
      <c r="H1093" s="37">
        <v>2.4917132586111195</v>
      </c>
      <c r="I1093" s="37">
        <v>67.02060785196106</v>
      </c>
      <c r="J1093" s="10">
        <v>0</v>
      </c>
      <c r="K1093" s="38">
        <v>0</v>
      </c>
      <c r="L1093" s="38">
        <v>1</v>
      </c>
      <c r="M1093" s="38">
        <v>0</v>
      </c>
      <c r="N1093" s="38">
        <v>0</v>
      </c>
      <c r="O1093" s="38">
        <v>0</v>
      </c>
      <c r="P1093" s="38">
        <v>0</v>
      </c>
      <c r="Q1093" s="38">
        <v>0</v>
      </c>
      <c r="R1093" s="38">
        <v>0</v>
      </c>
      <c r="S1093" s="38">
        <v>0</v>
      </c>
      <c r="T1093" s="38">
        <v>0</v>
      </c>
      <c r="U1093" s="29" cm="1">
        <f t="array" aca="1" ref="U1093" ca="1">+fair_value_gap(OFFSET(T1092,0,0,-1*$J$5,-1*$AA$1),OFFSET(E1092,0,0,-1*$J$5,1),F1093:T1093,0)</f>
        <v>15.652826014128919</v>
      </c>
      <c r="V1093" s="9" cm="1">
        <f t="array" aca="1" ref="V1093" ca="1">z_score_diff(OFFSET(U1093,0,0,$J$5*-1,1),OFFSET(E1093,0,0,$J$5*-1,1))</f>
        <v>-0.25910045497166712</v>
      </c>
      <c r="W1093" s="9">
        <f t="shared" ca="1" si="161"/>
        <v>0.31100559986420517</v>
      </c>
      <c r="X1093" s="17">
        <f t="shared" ca="1" si="160"/>
        <v>0.1469775992439111</v>
      </c>
      <c r="Y1093" s="13">
        <f t="shared" si="169"/>
        <v>0</v>
      </c>
      <c r="Z1093" s="13">
        <f t="shared" si="169"/>
        <v>0</v>
      </c>
      <c r="AA1093">
        <f t="shared" ca="1" si="162"/>
        <v>0</v>
      </c>
      <c r="AB1093">
        <f t="shared" ca="1" si="163"/>
        <v>1</v>
      </c>
      <c r="AC1093" s="24">
        <f t="shared" ca="1" si="164"/>
        <v>0</v>
      </c>
      <c r="AD1093" s="24">
        <f t="shared" ca="1" si="165"/>
        <v>0.1469775992439111</v>
      </c>
    </row>
    <row r="1094" spans="3:30" x14ac:dyDescent="0.25">
      <c r="C1094" s="6">
        <v>1087</v>
      </c>
      <c r="D1094" s="35">
        <v>43552</v>
      </c>
      <c r="E1094" s="37">
        <v>15.263</v>
      </c>
      <c r="F1094" s="37">
        <v>57.931978399434982</v>
      </c>
      <c r="G1094" s="37">
        <v>44.84</v>
      </c>
      <c r="H1094" s="37">
        <v>2.4987168632680721</v>
      </c>
      <c r="I1094" s="37">
        <v>66.284430835640052</v>
      </c>
      <c r="J1094" s="10">
        <v>0</v>
      </c>
      <c r="K1094" s="38">
        <v>0</v>
      </c>
      <c r="L1094" s="38">
        <v>1</v>
      </c>
      <c r="M1094" s="38">
        <v>0</v>
      </c>
      <c r="N1094" s="38">
        <v>0</v>
      </c>
      <c r="O1094" s="38">
        <v>0</v>
      </c>
      <c r="P1094" s="38">
        <v>0</v>
      </c>
      <c r="Q1094" s="38">
        <v>0</v>
      </c>
      <c r="R1094" s="38">
        <v>0</v>
      </c>
      <c r="S1094" s="38">
        <v>0</v>
      </c>
      <c r="T1094" s="38">
        <v>0</v>
      </c>
      <c r="U1094" s="29" cm="1">
        <f t="array" aca="1" ref="U1094" ca="1">+fair_value_gap(OFFSET(T1093,0,0,-1*$J$5,-1*$AA$1),OFFSET(E1093,0,0,-1*$J$5,1),F1094:T1094,0)</f>
        <v>15.752390358556131</v>
      </c>
      <c r="V1094" s="9" cm="1">
        <f t="array" aca="1" ref="V1094" ca="1">z_score_diff(OFFSET(U1094,0,0,$J$5*-1,1),OFFSET(E1094,0,0,$J$5*-1,1))</f>
        <v>-8.7767331119576131E-2</v>
      </c>
      <c r="W1094" s="9">
        <f t="shared" ca="1" si="161"/>
        <v>0.30498389232030132</v>
      </c>
      <c r="X1094" s="17">
        <f t="shared" ca="1" si="160"/>
        <v>0.17158470168184847</v>
      </c>
      <c r="Y1094" s="13">
        <f t="shared" si="169"/>
        <v>0</v>
      </c>
      <c r="Z1094" s="13">
        <f t="shared" si="169"/>
        <v>0</v>
      </c>
      <c r="AA1094">
        <f t="shared" ca="1" si="162"/>
        <v>0</v>
      </c>
      <c r="AB1094">
        <f t="shared" ca="1" si="163"/>
        <v>1</v>
      </c>
      <c r="AC1094" s="24">
        <f t="shared" ca="1" si="164"/>
        <v>0</v>
      </c>
      <c r="AD1094" s="24">
        <f t="shared" ca="1" si="165"/>
        <v>0.17158470168184847</v>
      </c>
    </row>
    <row r="1095" spans="3:30" x14ac:dyDescent="0.25">
      <c r="C1095" s="6">
        <v>1088</v>
      </c>
      <c r="D1095" s="35">
        <v>43553</v>
      </c>
      <c r="E1095" s="37">
        <v>16.417000000000002</v>
      </c>
      <c r="F1095" s="37">
        <v>58.367039252733406</v>
      </c>
      <c r="G1095" s="37">
        <v>49.98</v>
      </c>
      <c r="H1095" s="37">
        <v>2.4685984275738848</v>
      </c>
      <c r="I1095" s="37">
        <v>65.949225677987002</v>
      </c>
      <c r="J1095" s="10">
        <v>0</v>
      </c>
      <c r="K1095" s="38">
        <v>0</v>
      </c>
      <c r="L1095" s="38">
        <v>1</v>
      </c>
      <c r="M1095" s="38">
        <v>0</v>
      </c>
      <c r="N1095" s="38">
        <v>0</v>
      </c>
      <c r="O1095" s="38">
        <v>0</v>
      </c>
      <c r="P1095" s="38">
        <v>0</v>
      </c>
      <c r="Q1095" s="38">
        <v>0</v>
      </c>
      <c r="R1095" s="38">
        <v>0</v>
      </c>
      <c r="S1095" s="38">
        <v>0</v>
      </c>
      <c r="T1095" s="38">
        <v>0</v>
      </c>
      <c r="U1095" s="29" cm="1">
        <f t="array" aca="1" ref="U1095" ca="1">+fair_value_gap(OFFSET(T1094,0,0,-1*$J$5,-1*$AA$1),OFFSET(E1094,0,0,-1*$J$5,1),F1095:T1095,0)</f>
        <v>17.499785195207696</v>
      </c>
      <c r="V1095" s="9" cm="1">
        <f t="array" aca="1" ref="V1095" ca="1">z_score_diff(OFFSET(U1095,0,0,$J$5*-1,1),OFFSET(E1095,0,0,$J$5*-1,1))</f>
        <v>0.14912363248475757</v>
      </c>
      <c r="W1095" s="9">
        <f t="shared" ca="1" si="161"/>
        <v>0.25941647103049181</v>
      </c>
      <c r="X1095" s="17">
        <f t="shared" ref="X1095:X1158" ca="1" si="170">+LN(OFFSET(E1095,$X$3,0,1,1)/E1095)</f>
        <v>0.22283894258176815</v>
      </c>
      <c r="Y1095" s="13">
        <f t="shared" si="169"/>
        <v>0</v>
      </c>
      <c r="Z1095" s="13">
        <f t="shared" si="169"/>
        <v>0</v>
      </c>
      <c r="AA1095">
        <f t="shared" ca="1" si="162"/>
        <v>0</v>
      </c>
      <c r="AB1095">
        <f t="shared" ca="1" si="163"/>
        <v>1</v>
      </c>
      <c r="AC1095" s="24">
        <f t="shared" ca="1" si="164"/>
        <v>0</v>
      </c>
      <c r="AD1095" s="24">
        <f t="shared" ca="1" si="165"/>
        <v>0.22283894258176815</v>
      </c>
    </row>
    <row r="1096" spans="3:30" x14ac:dyDescent="0.25">
      <c r="C1096" s="6">
        <v>1089</v>
      </c>
      <c r="D1096" s="35">
        <v>43556</v>
      </c>
      <c r="E1096" s="37">
        <v>16.279</v>
      </c>
      <c r="F1096" s="37">
        <v>59.367032967032969</v>
      </c>
      <c r="G1096" s="37">
        <v>49.25</v>
      </c>
      <c r="H1096" s="37">
        <v>2.487912087912088</v>
      </c>
      <c r="I1096" s="37">
        <v>65.27472527472527</v>
      </c>
      <c r="J1096" s="10">
        <v>0</v>
      </c>
      <c r="K1096" s="38">
        <v>0</v>
      </c>
      <c r="L1096" s="38">
        <v>0</v>
      </c>
      <c r="M1096" s="38">
        <v>1</v>
      </c>
      <c r="N1096" s="38">
        <v>0</v>
      </c>
      <c r="O1096" s="38">
        <v>0</v>
      </c>
      <c r="P1096" s="38">
        <v>0</v>
      </c>
      <c r="Q1096" s="38">
        <v>0</v>
      </c>
      <c r="R1096" s="38">
        <v>0</v>
      </c>
      <c r="S1096" s="38">
        <v>0</v>
      </c>
      <c r="T1096" s="38">
        <v>0</v>
      </c>
      <c r="U1096" s="29" cm="1">
        <f t="array" aca="1" ref="U1096" ca="1">+fair_value_gap(OFFSET(T1095,0,0,-1*$J$5,-1*$AA$1),OFFSET(E1095,0,0,-1*$J$5,1),F1096:T1096,0)</f>
        <v>20.559326659136801</v>
      </c>
      <c r="V1096" s="9" cm="1">
        <f t="array" aca="1" ref="V1096" ca="1">z_score_diff(OFFSET(U1096,0,0,$J$5*-1,1),OFFSET(E1096,0,0,$J$5*-1,1))</f>
        <v>1.2721524755088836</v>
      </c>
      <c r="W1096" s="9">
        <f t="shared" ref="W1096:W1159" ca="1" si="171">+IF(ISERROR(AVERAGE(OFFSET(V1096,0,0,$W$5*-1,1))),"",AVERAGE(OFFSET(V1096,0,0,$W$5*-1,1)))</f>
        <v>0.27779137696692019</v>
      </c>
      <c r="X1096" s="17">
        <f t="shared" ca="1" si="170"/>
        <v>0.20505601975684906</v>
      </c>
      <c r="Y1096" s="13">
        <f t="shared" si="169"/>
        <v>0</v>
      </c>
      <c r="Z1096" s="13">
        <f t="shared" si="169"/>
        <v>0</v>
      </c>
      <c r="AA1096">
        <f t="shared" ref="AA1096:AA1159" ca="1" si="172">+IF(W1096="","",IF(W1096&lt;Y1096,1,0))</f>
        <v>0</v>
      </c>
      <c r="AB1096">
        <f t="shared" ref="AB1096:AB1159" ca="1" si="173">+IF(W1096="","",IF(W1096&gt;Z1096,1,0))</f>
        <v>1</v>
      </c>
      <c r="AC1096" s="24">
        <f t="shared" ref="AC1096:AC1159" ca="1" si="174">+IF(ISERROR(AA1096*X1096),"",AA1096*X1096)</f>
        <v>0</v>
      </c>
      <c r="AD1096" s="24">
        <f t="shared" ref="AD1096:AD1159" ca="1" si="175">+IF(ISERROR(AB1096*X1096),"",AB1096*X1096)</f>
        <v>0.20505601975684906</v>
      </c>
    </row>
    <row r="1097" spans="3:30" x14ac:dyDescent="0.25">
      <c r="C1097" s="6">
        <v>1090</v>
      </c>
      <c r="D1097" s="35">
        <v>43557</v>
      </c>
      <c r="E1097" s="37">
        <v>16.023</v>
      </c>
      <c r="F1097" s="37">
        <v>59.581260998975047</v>
      </c>
      <c r="G1097" s="37">
        <v>49.09</v>
      </c>
      <c r="H1097" s="37">
        <v>2.4771318013442265</v>
      </c>
      <c r="I1097" s="37">
        <v>64.125892444308491</v>
      </c>
      <c r="J1097" s="10">
        <v>0</v>
      </c>
      <c r="K1097" s="38">
        <v>0</v>
      </c>
      <c r="L1097" s="38">
        <v>0</v>
      </c>
      <c r="M1097" s="38">
        <v>1</v>
      </c>
      <c r="N1097" s="38">
        <v>0</v>
      </c>
      <c r="O1097" s="38">
        <v>0</v>
      </c>
      <c r="P1097" s="38">
        <v>0</v>
      </c>
      <c r="Q1097" s="38">
        <v>0</v>
      </c>
      <c r="R1097" s="38">
        <v>0</v>
      </c>
      <c r="S1097" s="38">
        <v>0</v>
      </c>
      <c r="T1097" s="38">
        <v>0</v>
      </c>
      <c r="U1097" s="29" cm="1">
        <f t="array" aca="1" ref="U1097" ca="1">+fair_value_gap(OFFSET(T1096,0,0,-1*$J$5,-1*$AA$1),OFFSET(E1096,0,0,-1*$J$5,1),F1097:T1097,0)</f>
        <v>19.192683022218333</v>
      </c>
      <c r="V1097" s="9" cm="1">
        <f t="array" aca="1" ref="V1097" ca="1">z_score_diff(OFFSET(U1097,0,0,$J$5*-1,1),OFFSET(E1097,0,0,$J$5*-1,1))</f>
        <v>0.84869346235470466</v>
      </c>
      <c r="W1097" s="9">
        <f t="shared" ca="1" si="171"/>
        <v>0.27763309099889372</v>
      </c>
      <c r="X1097" s="17">
        <f t="shared" ca="1" si="170"/>
        <v>0.20816581296158079</v>
      </c>
      <c r="Y1097" s="13">
        <f t="shared" ref="Y1097:Z1112" si="176">+Y1096</f>
        <v>0</v>
      </c>
      <c r="Z1097" s="13">
        <f t="shared" si="176"/>
        <v>0</v>
      </c>
      <c r="AA1097">
        <f t="shared" ca="1" si="172"/>
        <v>0</v>
      </c>
      <c r="AB1097">
        <f t="shared" ca="1" si="173"/>
        <v>1</v>
      </c>
      <c r="AC1097" s="24">
        <f t="shared" ca="1" si="174"/>
        <v>0</v>
      </c>
      <c r="AD1097" s="24">
        <f t="shared" ca="1" si="175"/>
        <v>0.20816581296158079</v>
      </c>
    </row>
    <row r="1098" spans="3:30" x14ac:dyDescent="0.25">
      <c r="C1098" s="6">
        <v>1091</v>
      </c>
      <c r="D1098" s="35">
        <v>43558</v>
      </c>
      <c r="E1098" s="37">
        <v>16.608000000000001</v>
      </c>
      <c r="F1098" s="37">
        <v>59.382006419392098</v>
      </c>
      <c r="G1098" s="37">
        <v>49.84</v>
      </c>
      <c r="H1098" s="37">
        <v>2.4629289747378862</v>
      </c>
      <c r="I1098" s="37">
        <v>62.186765394182579</v>
      </c>
      <c r="J1098" s="10">
        <v>0</v>
      </c>
      <c r="K1098" s="38">
        <v>0</v>
      </c>
      <c r="L1098" s="38">
        <v>0</v>
      </c>
      <c r="M1098" s="38">
        <v>1</v>
      </c>
      <c r="N1098" s="38">
        <v>0</v>
      </c>
      <c r="O1098" s="38">
        <v>0</v>
      </c>
      <c r="P1098" s="38">
        <v>0</v>
      </c>
      <c r="Q1098" s="38">
        <v>0</v>
      </c>
      <c r="R1098" s="38">
        <v>0</v>
      </c>
      <c r="S1098" s="38">
        <v>0</v>
      </c>
      <c r="T1098" s="38">
        <v>0</v>
      </c>
      <c r="U1098" s="29" cm="1">
        <f t="array" aca="1" ref="U1098" ca="1">+fair_value_gap(OFFSET(T1097,0,0,-1*$J$5,-1*$AA$1),OFFSET(E1097,0,0,-1*$J$5,1),F1098:T1098,0)</f>
        <v>18.409563643531431</v>
      </c>
      <c r="V1098" s="9" cm="1">
        <f t="array" aca="1" ref="V1098" ca="1">z_score_diff(OFFSET(U1098,0,0,$J$5*-1,1),OFFSET(E1098,0,0,$J$5*-1,1))</f>
        <v>0.36610305086486661</v>
      </c>
      <c r="W1098" s="9">
        <f t="shared" ca="1" si="171"/>
        <v>0.25732169114362591</v>
      </c>
      <c r="X1098" s="17">
        <f t="shared" ca="1" si="170"/>
        <v>0.21005245526733005</v>
      </c>
      <c r="Y1098" s="13">
        <f t="shared" si="176"/>
        <v>0</v>
      </c>
      <c r="Z1098" s="13">
        <f t="shared" si="176"/>
        <v>0</v>
      </c>
      <c r="AA1098">
        <f t="shared" ca="1" si="172"/>
        <v>0</v>
      </c>
      <c r="AB1098">
        <f t="shared" ca="1" si="173"/>
        <v>1</v>
      </c>
      <c r="AC1098" s="24">
        <f t="shared" ca="1" si="174"/>
        <v>0</v>
      </c>
      <c r="AD1098" s="24">
        <f t="shared" ca="1" si="175"/>
        <v>0.21005245526733005</v>
      </c>
    </row>
    <row r="1099" spans="3:30" x14ac:dyDescent="0.25">
      <c r="C1099" s="6">
        <v>1092</v>
      </c>
      <c r="D1099" s="35">
        <v>43559</v>
      </c>
      <c r="E1099" s="37">
        <v>17.306000000000001</v>
      </c>
      <c r="F1099" s="37">
        <v>59.520047749455792</v>
      </c>
      <c r="G1099" s="37">
        <v>51.62</v>
      </c>
      <c r="H1099" s="37">
        <v>2.4454041148795729</v>
      </c>
      <c r="I1099" s="37">
        <v>63.943894389438938</v>
      </c>
      <c r="J1099" s="10">
        <v>0</v>
      </c>
      <c r="K1099" s="38">
        <v>0</v>
      </c>
      <c r="L1099" s="38">
        <v>0</v>
      </c>
      <c r="M1099" s="38">
        <v>1</v>
      </c>
      <c r="N1099" s="38">
        <v>0</v>
      </c>
      <c r="O1099" s="38">
        <v>0</v>
      </c>
      <c r="P1099" s="38">
        <v>0</v>
      </c>
      <c r="Q1099" s="38">
        <v>0</v>
      </c>
      <c r="R1099" s="38">
        <v>0</v>
      </c>
      <c r="S1099" s="38">
        <v>0</v>
      </c>
      <c r="T1099" s="38">
        <v>0</v>
      </c>
      <c r="U1099" s="29" cm="1">
        <f t="array" aca="1" ref="U1099" ca="1">+fair_value_gap(OFFSET(T1098,0,0,-1*$J$5,-1*$AA$1),OFFSET(E1098,0,0,-1*$J$5,1),F1099:T1099,0)</f>
        <v>18.769637556699426</v>
      </c>
      <c r="V1099" s="9" cm="1">
        <f t="array" aca="1" ref="V1099" ca="1">z_score_diff(OFFSET(U1099,0,0,$J$5*-1,1),OFFSET(E1099,0,0,$J$5*-1,1))</f>
        <v>0.26160365545518061</v>
      </c>
      <c r="W1099" s="9">
        <f t="shared" ca="1" si="171"/>
        <v>0.23924605087750903</v>
      </c>
      <c r="X1099" s="17">
        <f t="shared" ca="1" si="170"/>
        <v>0.16741849833893338</v>
      </c>
      <c r="Y1099" s="13">
        <f t="shared" si="176"/>
        <v>0</v>
      </c>
      <c r="Z1099" s="13">
        <f t="shared" si="176"/>
        <v>0</v>
      </c>
      <c r="AA1099">
        <f t="shared" ca="1" si="172"/>
        <v>0</v>
      </c>
      <c r="AB1099">
        <f t="shared" ca="1" si="173"/>
        <v>1</v>
      </c>
      <c r="AC1099" s="24">
        <f t="shared" ca="1" si="174"/>
        <v>0</v>
      </c>
      <c r="AD1099" s="24">
        <f t="shared" ca="1" si="175"/>
        <v>0.16741849833893338</v>
      </c>
    </row>
    <row r="1100" spans="3:30" x14ac:dyDescent="0.25">
      <c r="C1100" s="6">
        <v>1093</v>
      </c>
      <c r="D1100" s="35">
        <v>43560</v>
      </c>
      <c r="E1100" s="37">
        <v>18.855</v>
      </c>
      <c r="F1100" s="37">
        <v>60.20103881465927</v>
      </c>
      <c r="G1100" s="37">
        <v>53.34</v>
      </c>
      <c r="H1100" s="37">
        <v>2.4614131355541646</v>
      </c>
      <c r="I1100" s="37">
        <v>65.617201099384374</v>
      </c>
      <c r="J1100" s="10">
        <v>0</v>
      </c>
      <c r="K1100" s="38">
        <v>0</v>
      </c>
      <c r="L1100" s="38">
        <v>0</v>
      </c>
      <c r="M1100" s="38">
        <v>1</v>
      </c>
      <c r="N1100" s="38">
        <v>0</v>
      </c>
      <c r="O1100" s="38">
        <v>0</v>
      </c>
      <c r="P1100" s="38">
        <v>0</v>
      </c>
      <c r="Q1100" s="38">
        <v>0</v>
      </c>
      <c r="R1100" s="38">
        <v>0</v>
      </c>
      <c r="S1100" s="38">
        <v>0</v>
      </c>
      <c r="T1100" s="38">
        <v>0</v>
      </c>
      <c r="U1100" s="29" cm="1">
        <f t="array" aca="1" ref="U1100" ca="1">+fair_value_gap(OFFSET(T1099,0,0,-1*$J$5,-1*$AA$1),OFFSET(E1099,0,0,-1*$J$5,1),F1100:T1100,0)</f>
        <v>19.179938660048283</v>
      </c>
      <c r="V1100" s="9" cm="1">
        <f t="array" aca="1" ref="V1100" ca="1">z_score_diff(OFFSET(U1100,0,0,$J$5*-1,1),OFFSET(E1100,0,0,$J$5*-1,1))</f>
        <v>-9.5532433907120629E-2</v>
      </c>
      <c r="W1100" s="9">
        <f t="shared" ca="1" si="171"/>
        <v>0.20843002844761321</v>
      </c>
      <c r="X1100" s="17">
        <f t="shared" ca="1" si="170"/>
        <v>8.4280700789679544E-2</v>
      </c>
      <c r="Y1100" s="13">
        <f t="shared" si="176"/>
        <v>0</v>
      </c>
      <c r="Z1100" s="13">
        <f t="shared" si="176"/>
        <v>0</v>
      </c>
      <c r="AA1100">
        <f t="shared" ca="1" si="172"/>
        <v>0</v>
      </c>
      <c r="AB1100">
        <f t="shared" ca="1" si="173"/>
        <v>1</v>
      </c>
      <c r="AC1100" s="24">
        <f t="shared" ca="1" si="174"/>
        <v>0</v>
      </c>
      <c r="AD1100" s="24">
        <f t="shared" ca="1" si="175"/>
        <v>8.4280700789679544E-2</v>
      </c>
    </row>
    <row r="1101" spans="3:30" x14ac:dyDescent="0.25">
      <c r="C1101" s="6">
        <v>1094</v>
      </c>
      <c r="D1101" s="35">
        <v>43563</v>
      </c>
      <c r="E1101" s="37">
        <v>18.611000000000001</v>
      </c>
      <c r="F1101" s="37">
        <v>60.477663326428932</v>
      </c>
      <c r="G1101" s="37">
        <v>54.64</v>
      </c>
      <c r="H1101" s="37">
        <v>2.4903081789173149</v>
      </c>
      <c r="I1101" s="37">
        <v>65.603482057885017</v>
      </c>
      <c r="J1101" s="10">
        <v>0</v>
      </c>
      <c r="K1101" s="38">
        <v>0</v>
      </c>
      <c r="L1101" s="38">
        <v>0</v>
      </c>
      <c r="M1101" s="38">
        <v>1</v>
      </c>
      <c r="N1101" s="38">
        <v>0</v>
      </c>
      <c r="O1101" s="38">
        <v>0</v>
      </c>
      <c r="P1101" s="38">
        <v>0</v>
      </c>
      <c r="Q1101" s="38">
        <v>0</v>
      </c>
      <c r="R1101" s="38">
        <v>0</v>
      </c>
      <c r="S1101" s="38">
        <v>0</v>
      </c>
      <c r="T1101" s="38">
        <v>0</v>
      </c>
      <c r="U1101" s="29" cm="1">
        <f t="array" aca="1" ref="U1101" ca="1">+fair_value_gap(OFFSET(T1100,0,0,-1*$J$5,-1*$AA$1),OFFSET(E1100,0,0,-1*$J$5,1),F1101:T1101,0)</f>
        <v>19.380437825316292</v>
      </c>
      <c r="V1101" s="9" cm="1">
        <f t="array" aca="1" ref="V1101" ca="1">z_score_diff(OFFSET(U1101,0,0,$J$5*-1,1),OFFSET(E1101,0,0,$J$5*-1,1))</f>
        <v>5.3105192950045232E-2</v>
      </c>
      <c r="W1101" s="9">
        <f t="shared" ca="1" si="171"/>
        <v>0.18679751768627487</v>
      </c>
      <c r="X1101" s="17">
        <f t="shared" ca="1" si="170"/>
        <v>9.623296159286876E-2</v>
      </c>
      <c r="Y1101" s="13">
        <f t="shared" si="176"/>
        <v>0</v>
      </c>
      <c r="Z1101" s="13">
        <f t="shared" si="176"/>
        <v>0</v>
      </c>
      <c r="AA1101">
        <f t="shared" ca="1" si="172"/>
        <v>0</v>
      </c>
      <c r="AB1101">
        <f t="shared" ca="1" si="173"/>
        <v>1</v>
      </c>
      <c r="AC1101" s="24">
        <f t="shared" ca="1" si="174"/>
        <v>0</v>
      </c>
      <c r="AD1101" s="24">
        <f t="shared" ca="1" si="175"/>
        <v>9.623296159286876E-2</v>
      </c>
    </row>
    <row r="1102" spans="3:30" x14ac:dyDescent="0.25">
      <c r="C1102" s="6">
        <v>1095</v>
      </c>
      <c r="D1102" s="35">
        <v>43564</v>
      </c>
      <c r="E1102" s="37">
        <v>19.446000000000002</v>
      </c>
      <c r="F1102" s="37">
        <v>60.122465536897025</v>
      </c>
      <c r="G1102" s="37">
        <v>55.07</v>
      </c>
      <c r="H1102" s="37">
        <v>2.4837563558284788</v>
      </c>
      <c r="I1102" s="37">
        <v>67.579854384210265</v>
      </c>
      <c r="J1102" s="10">
        <v>0</v>
      </c>
      <c r="K1102" s="38">
        <v>0</v>
      </c>
      <c r="L1102" s="38">
        <v>0</v>
      </c>
      <c r="M1102" s="38">
        <v>1</v>
      </c>
      <c r="N1102" s="38">
        <v>0</v>
      </c>
      <c r="O1102" s="38">
        <v>0</v>
      </c>
      <c r="P1102" s="38">
        <v>0</v>
      </c>
      <c r="Q1102" s="38">
        <v>0</v>
      </c>
      <c r="R1102" s="38">
        <v>0</v>
      </c>
      <c r="S1102" s="38">
        <v>0</v>
      </c>
      <c r="T1102" s="38">
        <v>0</v>
      </c>
      <c r="U1102" s="29" cm="1">
        <f t="array" aca="1" ref="U1102" ca="1">+fair_value_gap(OFFSET(T1101,0,0,-1*$J$5,-1*$AA$1),OFFSET(E1101,0,0,-1*$J$5,1),F1102:T1102,0)</f>
        <v>19.701582671706433</v>
      </c>
      <c r="V1102" s="9" cm="1">
        <f t="array" aca="1" ref="V1102" ca="1">z_score_diff(OFFSET(U1102,0,0,$J$5*-1,1),OFFSET(E1102,0,0,$J$5*-1,1))</f>
        <v>-0.10395465749589849</v>
      </c>
      <c r="W1102" s="9">
        <f t="shared" ca="1" si="171"/>
        <v>0.15510782602988879</v>
      </c>
      <c r="X1102" s="17">
        <f t="shared" ca="1" si="170"/>
        <v>4.4997160232884734E-2</v>
      </c>
      <c r="Y1102" s="13">
        <f t="shared" si="176"/>
        <v>0</v>
      </c>
      <c r="Z1102" s="13">
        <f t="shared" si="176"/>
        <v>0</v>
      </c>
      <c r="AA1102">
        <f t="shared" ca="1" si="172"/>
        <v>0</v>
      </c>
      <c r="AB1102">
        <f t="shared" ca="1" si="173"/>
        <v>1</v>
      </c>
      <c r="AC1102" s="24">
        <f t="shared" ca="1" si="174"/>
        <v>0</v>
      </c>
      <c r="AD1102" s="24">
        <f t="shared" ca="1" si="175"/>
        <v>4.4997160232884734E-2</v>
      </c>
    </row>
    <row r="1103" spans="3:30" x14ac:dyDescent="0.25">
      <c r="C1103" s="6">
        <v>1096</v>
      </c>
      <c r="D1103" s="35">
        <v>43565</v>
      </c>
      <c r="E1103" s="37">
        <v>18.986000000000001</v>
      </c>
      <c r="F1103" s="37">
        <v>61.020508166493578</v>
      </c>
      <c r="G1103" s="37">
        <v>56.66</v>
      </c>
      <c r="H1103" s="37">
        <v>2.4823974264124642</v>
      </c>
      <c r="I1103" s="37">
        <v>65.597483013221691</v>
      </c>
      <c r="J1103" s="10">
        <v>0</v>
      </c>
      <c r="K1103" s="38">
        <v>0</v>
      </c>
      <c r="L1103" s="38">
        <v>0</v>
      </c>
      <c r="M1103" s="38">
        <v>1</v>
      </c>
      <c r="N1103" s="38">
        <v>0</v>
      </c>
      <c r="O1103" s="38">
        <v>0</v>
      </c>
      <c r="P1103" s="38">
        <v>0</v>
      </c>
      <c r="Q1103" s="38">
        <v>0</v>
      </c>
      <c r="R1103" s="38">
        <v>0</v>
      </c>
      <c r="S1103" s="38">
        <v>0</v>
      </c>
      <c r="T1103" s="38">
        <v>0</v>
      </c>
      <c r="U1103" s="29" cm="1">
        <f t="array" aca="1" ref="U1103" ca="1">+fair_value_gap(OFFSET(T1102,0,0,-1*$J$5,-1*$AA$1),OFFSET(E1102,0,0,-1*$J$5,1),F1103:T1103,0)</f>
        <v>19.755438721198544</v>
      </c>
      <c r="V1103" s="9" cm="1">
        <f t="array" aca="1" ref="V1103" ca="1">z_score_diff(OFFSET(U1103,0,0,$J$5*-1,1),OFFSET(E1103,0,0,$J$5*-1,1))</f>
        <v>6.1705216091815229E-2</v>
      </c>
      <c r="W1103" s="9">
        <f t="shared" ca="1" si="171"/>
        <v>0.13837256133845172</v>
      </c>
      <c r="X1103" s="17">
        <f t="shared" ca="1" si="170"/>
        <v>4.882527714543583E-2</v>
      </c>
      <c r="Y1103" s="13">
        <f t="shared" si="176"/>
        <v>0</v>
      </c>
      <c r="Z1103" s="13">
        <f t="shared" si="176"/>
        <v>0</v>
      </c>
      <c r="AA1103">
        <f t="shared" ca="1" si="172"/>
        <v>0</v>
      </c>
      <c r="AB1103">
        <f t="shared" ca="1" si="173"/>
        <v>1</v>
      </c>
      <c r="AC1103" s="24">
        <f t="shared" ca="1" si="174"/>
        <v>0</v>
      </c>
      <c r="AD1103" s="24">
        <f t="shared" ca="1" si="175"/>
        <v>4.882527714543583E-2</v>
      </c>
    </row>
    <row r="1104" spans="3:30" x14ac:dyDescent="0.25">
      <c r="C1104" s="6">
        <v>1097</v>
      </c>
      <c r="D1104" s="35">
        <v>43566</v>
      </c>
      <c r="E1104" s="37">
        <v>19.085000000000001</v>
      </c>
      <c r="F1104" s="37">
        <v>60.455895193450111</v>
      </c>
      <c r="G1104" s="37">
        <v>55.69</v>
      </c>
      <c r="H1104" s="37">
        <v>2.4567316020724737</v>
      </c>
      <c r="I1104" s="37">
        <v>68.286289722847783</v>
      </c>
      <c r="J1104" s="10">
        <v>0</v>
      </c>
      <c r="K1104" s="38">
        <v>0</v>
      </c>
      <c r="L1104" s="38">
        <v>0</v>
      </c>
      <c r="M1104" s="38">
        <v>1</v>
      </c>
      <c r="N1104" s="38">
        <v>0</v>
      </c>
      <c r="O1104" s="38">
        <v>0</v>
      </c>
      <c r="P1104" s="38">
        <v>0</v>
      </c>
      <c r="Q1104" s="38">
        <v>0</v>
      </c>
      <c r="R1104" s="38">
        <v>0</v>
      </c>
      <c r="S1104" s="38">
        <v>0</v>
      </c>
      <c r="T1104" s="38">
        <v>0</v>
      </c>
      <c r="U1104" s="29" cm="1">
        <f t="array" aca="1" ref="U1104" ca="1">+fair_value_gap(OFFSET(T1103,0,0,-1*$J$5,-1*$AA$1),OFFSET(E1103,0,0,-1*$J$5,1),F1104:T1104,0)</f>
        <v>19.893684288832581</v>
      </c>
      <c r="V1104" s="9" cm="1">
        <f t="array" aca="1" ref="V1104" ca="1">z_score_diff(OFFSET(U1104,0,0,$J$5*-1,1),OFFSET(E1104,0,0,$J$5*-1,1))</f>
        <v>7.6211177592223955E-2</v>
      </c>
      <c r="W1104" s="9">
        <f t="shared" ca="1" si="171"/>
        <v>0.12137230533774497</v>
      </c>
      <c r="X1104" s="17">
        <f t="shared" ca="1" si="170"/>
        <v>4.1213848571162309E-2</v>
      </c>
      <c r="Y1104" s="13">
        <f t="shared" si="176"/>
        <v>0</v>
      </c>
      <c r="Z1104" s="13">
        <f t="shared" si="176"/>
        <v>0</v>
      </c>
      <c r="AA1104">
        <f t="shared" ca="1" si="172"/>
        <v>0</v>
      </c>
      <c r="AB1104">
        <f t="shared" ca="1" si="173"/>
        <v>1</v>
      </c>
      <c r="AC1104" s="24">
        <f t="shared" ca="1" si="174"/>
        <v>0</v>
      </c>
      <c r="AD1104" s="24">
        <f t="shared" ca="1" si="175"/>
        <v>4.1213848571162309E-2</v>
      </c>
    </row>
    <row r="1105" spans="3:30" x14ac:dyDescent="0.25">
      <c r="C1105" s="6">
        <v>1098</v>
      </c>
      <c r="D1105" s="35">
        <v>43567</v>
      </c>
      <c r="E1105" s="37">
        <v>19.056000000000001</v>
      </c>
      <c r="F1105" s="37">
        <v>60.70429531254085</v>
      </c>
      <c r="G1105" s="37">
        <v>56.01</v>
      </c>
      <c r="H1105" s="37">
        <v>2.445251975983199</v>
      </c>
      <c r="I1105" s="37">
        <v>67.928507315712892</v>
      </c>
      <c r="J1105" s="10">
        <v>0</v>
      </c>
      <c r="K1105" s="38">
        <v>0</v>
      </c>
      <c r="L1105" s="38">
        <v>0</v>
      </c>
      <c r="M1105" s="38">
        <v>1</v>
      </c>
      <c r="N1105" s="38">
        <v>0</v>
      </c>
      <c r="O1105" s="38">
        <v>0</v>
      </c>
      <c r="P1105" s="38">
        <v>0</v>
      </c>
      <c r="Q1105" s="38">
        <v>0</v>
      </c>
      <c r="R1105" s="38">
        <v>0</v>
      </c>
      <c r="S1105" s="38">
        <v>0</v>
      </c>
      <c r="T1105" s="38">
        <v>0</v>
      </c>
      <c r="U1105" s="29" cm="1">
        <f t="array" aca="1" ref="U1105" ca="1">+fair_value_gap(OFFSET(T1104,0,0,-1*$J$5,-1*$AA$1),OFFSET(E1104,0,0,-1*$J$5,1),F1105:T1105,0)</f>
        <v>19.832420688934008</v>
      </c>
      <c r="V1105" s="9" cm="1">
        <f t="array" aca="1" ref="V1105" ca="1">z_score_diff(OFFSET(U1105,0,0,$J$5*-1,1),OFFSET(E1105,0,0,$J$5*-1,1))</f>
        <v>6.1044381331597286E-2</v>
      </c>
      <c r="W1105" s="9">
        <f t="shared" ca="1" si="171"/>
        <v>0.10764189842315612</v>
      </c>
      <c r="X1105" s="17">
        <f t="shared" ca="1" si="170"/>
        <v>5.4729867905085647E-2</v>
      </c>
      <c r="Y1105" s="13">
        <f t="shared" si="176"/>
        <v>0</v>
      </c>
      <c r="Z1105" s="13">
        <f t="shared" si="176"/>
        <v>0</v>
      </c>
      <c r="AA1105">
        <f t="shared" ca="1" si="172"/>
        <v>0</v>
      </c>
      <c r="AB1105">
        <f t="shared" ca="1" si="173"/>
        <v>1</v>
      </c>
      <c r="AC1105" s="24">
        <f t="shared" ca="1" si="174"/>
        <v>0</v>
      </c>
      <c r="AD1105" s="24">
        <f t="shared" ca="1" si="175"/>
        <v>5.4729867905085647E-2</v>
      </c>
    </row>
    <row r="1106" spans="3:30" x14ac:dyDescent="0.25">
      <c r="C1106" s="6">
        <v>1099</v>
      </c>
      <c r="D1106" s="35">
        <v>43570</v>
      </c>
      <c r="E1106" s="37">
        <v>18.462</v>
      </c>
      <c r="F1106" s="37">
        <v>60.558156396733047</v>
      </c>
      <c r="G1106" s="37">
        <v>55.99</v>
      </c>
      <c r="H1106" s="37">
        <v>2.390430608666553</v>
      </c>
      <c r="I1106" s="37">
        <v>67.102864333694697</v>
      </c>
      <c r="J1106" s="10">
        <v>0</v>
      </c>
      <c r="K1106" s="38">
        <v>0</v>
      </c>
      <c r="L1106" s="38">
        <v>0</v>
      </c>
      <c r="M1106" s="38">
        <v>1</v>
      </c>
      <c r="N1106" s="38">
        <v>0</v>
      </c>
      <c r="O1106" s="38">
        <v>0</v>
      </c>
      <c r="P1106" s="38">
        <v>0</v>
      </c>
      <c r="Q1106" s="38">
        <v>0</v>
      </c>
      <c r="R1106" s="38">
        <v>0</v>
      </c>
      <c r="S1106" s="38">
        <v>0</v>
      </c>
      <c r="T1106" s="38">
        <v>0</v>
      </c>
      <c r="U1106" s="29" cm="1">
        <f t="array" aca="1" ref="U1106" ca="1">+fair_value_gap(OFFSET(T1105,0,0,-1*$J$5,-1*$AA$1),OFFSET(E1105,0,0,-1*$J$5,1),F1106:T1106,0)</f>
        <v>19.716689355380545</v>
      </c>
      <c r="V1106" s="9" cm="1">
        <f t="array" aca="1" ref="V1106" ca="1">z_score_diff(OFFSET(U1106,0,0,$J$5*-1,1),OFFSET(E1106,0,0,$J$5*-1,1))</f>
        <v>0.2075157957158158</v>
      </c>
      <c r="W1106" s="9">
        <f t="shared" ca="1" si="171"/>
        <v>0.10773816984228764</v>
      </c>
      <c r="X1106" s="17">
        <f t="shared" ca="1" si="170"/>
        <v>0.1032946848905244</v>
      </c>
      <c r="Y1106" s="13">
        <f t="shared" si="176"/>
        <v>0</v>
      </c>
      <c r="Z1106" s="13">
        <f t="shared" si="176"/>
        <v>0</v>
      </c>
      <c r="AA1106">
        <f t="shared" ca="1" si="172"/>
        <v>0</v>
      </c>
      <c r="AB1106">
        <f t="shared" ca="1" si="173"/>
        <v>1</v>
      </c>
      <c r="AC1106" s="24">
        <f t="shared" ca="1" si="174"/>
        <v>0</v>
      </c>
      <c r="AD1106" s="24">
        <f t="shared" ca="1" si="175"/>
        <v>0.1032946848905244</v>
      </c>
    </row>
    <row r="1107" spans="3:30" x14ac:dyDescent="0.25">
      <c r="C1107" s="6">
        <v>1100</v>
      </c>
      <c r="D1107" s="35">
        <v>43571</v>
      </c>
      <c r="E1107" s="37">
        <v>18.225000000000001</v>
      </c>
      <c r="F1107" s="37">
        <v>60.921227395615347</v>
      </c>
      <c r="G1107" s="37">
        <v>54.94</v>
      </c>
      <c r="H1107" s="37">
        <v>2.3823943674262984</v>
      </c>
      <c r="I1107" s="37">
        <v>66.58486821781193</v>
      </c>
      <c r="J1107" s="10">
        <v>0</v>
      </c>
      <c r="K1107" s="38">
        <v>0</v>
      </c>
      <c r="L1107" s="38">
        <v>0</v>
      </c>
      <c r="M1107" s="38">
        <v>1</v>
      </c>
      <c r="N1107" s="38">
        <v>0</v>
      </c>
      <c r="O1107" s="38">
        <v>0</v>
      </c>
      <c r="P1107" s="38">
        <v>0</v>
      </c>
      <c r="Q1107" s="38">
        <v>0</v>
      </c>
      <c r="R1107" s="38">
        <v>0</v>
      </c>
      <c r="S1107" s="38">
        <v>0</v>
      </c>
      <c r="T1107" s="38">
        <v>0</v>
      </c>
      <c r="U1107" s="29" cm="1">
        <f t="array" aca="1" ref="U1107" ca="1">+fair_value_gap(OFFSET(T1106,0,0,-1*$J$5,-1*$AA$1),OFFSET(E1106,0,0,-1*$J$5,1),F1107:T1107,0)</f>
        <v>19.227607500587048</v>
      </c>
      <c r="V1107" s="9" cm="1">
        <f t="array" aca="1" ref="V1107" ca="1">z_score_diff(OFFSET(U1107,0,0,$J$5*-1,1),OFFSET(E1107,0,0,$J$5*-1,1))</f>
        <v>0.10485845141347361</v>
      </c>
      <c r="W1107" s="9">
        <f t="shared" ca="1" si="171"/>
        <v>0.10875076955724254</v>
      </c>
      <c r="X1107" s="17">
        <f t="shared" ca="1" si="170"/>
        <v>9.9367283424172906E-2</v>
      </c>
      <c r="Y1107" s="13">
        <f t="shared" si="176"/>
        <v>0</v>
      </c>
      <c r="Z1107" s="13">
        <f t="shared" si="176"/>
        <v>0</v>
      </c>
      <c r="AA1107">
        <f t="shared" ca="1" si="172"/>
        <v>0</v>
      </c>
      <c r="AB1107">
        <f t="shared" ca="1" si="173"/>
        <v>1</v>
      </c>
      <c r="AC1107" s="24">
        <f t="shared" ca="1" si="174"/>
        <v>0</v>
      </c>
      <c r="AD1107" s="24">
        <f t="shared" ca="1" si="175"/>
        <v>9.9367283424172906E-2</v>
      </c>
    </row>
    <row r="1108" spans="3:30" x14ac:dyDescent="0.25">
      <c r="C1108" s="6">
        <v>1101</v>
      </c>
      <c r="D1108" s="35">
        <v>43572</v>
      </c>
      <c r="E1108" s="37">
        <v>18.664999999999999</v>
      </c>
      <c r="F1108" s="37">
        <v>60.717046881823144</v>
      </c>
      <c r="G1108" s="37">
        <v>56.11</v>
      </c>
      <c r="H1108" s="37">
        <v>2.3350698908470315</v>
      </c>
      <c r="I1108" s="37">
        <v>67.550547420920097</v>
      </c>
      <c r="J1108" s="10">
        <v>0</v>
      </c>
      <c r="K1108" s="38">
        <v>0</v>
      </c>
      <c r="L1108" s="38">
        <v>0</v>
      </c>
      <c r="M1108" s="38">
        <v>1</v>
      </c>
      <c r="N1108" s="38">
        <v>0</v>
      </c>
      <c r="O1108" s="38">
        <v>0</v>
      </c>
      <c r="P1108" s="38">
        <v>0</v>
      </c>
      <c r="Q1108" s="38">
        <v>0</v>
      </c>
      <c r="R1108" s="38">
        <v>0</v>
      </c>
      <c r="S1108" s="38">
        <v>0</v>
      </c>
      <c r="T1108" s="38">
        <v>0</v>
      </c>
      <c r="U1108" s="29" cm="1">
        <f t="array" aca="1" ref="U1108" ca="1">+fair_value_gap(OFFSET(T1107,0,0,-1*$J$5,-1*$AA$1),OFFSET(E1107,0,0,-1*$J$5,1),F1108:T1108,0)</f>
        <v>19.589264342448026</v>
      </c>
      <c r="V1108" s="9" cm="1">
        <f t="array" aca="1" ref="V1108" ca="1">z_score_diff(OFFSET(U1108,0,0,$J$5*-1,1),OFFSET(E1108,0,0,$J$5*-1,1))</f>
        <v>8.9397160559351985E-2</v>
      </c>
      <c r="W1108" s="9">
        <f t="shared" ca="1" si="171"/>
        <v>0.12039630161434836</v>
      </c>
      <c r="X1108" s="17">
        <f t="shared" ca="1" si="170"/>
        <v>5.3206812029153686E-2</v>
      </c>
      <c r="Y1108" s="13">
        <f t="shared" si="176"/>
        <v>0</v>
      </c>
      <c r="Z1108" s="13">
        <f t="shared" si="176"/>
        <v>0</v>
      </c>
      <c r="AA1108">
        <f t="shared" ca="1" si="172"/>
        <v>0</v>
      </c>
      <c r="AB1108">
        <f t="shared" ca="1" si="173"/>
        <v>1</v>
      </c>
      <c r="AC1108" s="24">
        <f t="shared" ca="1" si="174"/>
        <v>0</v>
      </c>
      <c r="AD1108" s="24">
        <f t="shared" ca="1" si="175"/>
        <v>5.3206812029153686E-2</v>
      </c>
    </row>
    <row r="1109" spans="3:30" x14ac:dyDescent="0.25">
      <c r="C1109" s="6">
        <v>1102</v>
      </c>
      <c r="D1109" s="35">
        <v>43573</v>
      </c>
      <c r="E1109" s="37">
        <v>18.163</v>
      </c>
      <c r="F1109" s="37">
        <v>61.269073713998175</v>
      </c>
      <c r="G1109" s="37">
        <v>55.44</v>
      </c>
      <c r="H1109" s="37">
        <v>2.3248759978469478</v>
      </c>
      <c r="I1109" s="37">
        <v>66.62540566982203</v>
      </c>
      <c r="J1109" s="10">
        <v>0</v>
      </c>
      <c r="K1109" s="38">
        <v>0</v>
      </c>
      <c r="L1109" s="38">
        <v>0</v>
      </c>
      <c r="M1109" s="38">
        <v>1</v>
      </c>
      <c r="N1109" s="38">
        <v>0</v>
      </c>
      <c r="O1109" s="38">
        <v>0</v>
      </c>
      <c r="P1109" s="38">
        <v>0</v>
      </c>
      <c r="Q1109" s="38">
        <v>0</v>
      </c>
      <c r="R1109" s="38">
        <v>0</v>
      </c>
      <c r="S1109" s="38">
        <v>0</v>
      </c>
      <c r="T1109" s="38">
        <v>0</v>
      </c>
      <c r="U1109" s="29" cm="1">
        <f t="array" aca="1" ref="U1109" ca="1">+fair_value_gap(OFFSET(T1108,0,0,-1*$J$5,-1*$AA$1),OFFSET(E1108,0,0,-1*$J$5,1),F1109:T1109,0)</f>
        <v>19.098695049329553</v>
      </c>
      <c r="V1109" s="9" cm="1">
        <f t="array" aca="1" ref="V1109" ca="1">z_score_diff(OFFSET(U1109,0,0,$J$5*-1,1),OFFSET(E1109,0,0,$J$5*-1,1))</f>
        <v>7.1776471216448146E-2</v>
      </c>
      <c r="W1109" s="9">
        <f t="shared" ca="1" si="171"/>
        <v>0.12912783279541404</v>
      </c>
      <c r="X1109" s="17">
        <f t="shared" ca="1" si="170"/>
        <v>7.8639888667752372E-2</v>
      </c>
      <c r="Y1109" s="13">
        <f t="shared" si="176"/>
        <v>0</v>
      </c>
      <c r="Z1109" s="13">
        <f t="shared" si="176"/>
        <v>0</v>
      </c>
      <c r="AA1109">
        <f t="shared" ca="1" si="172"/>
        <v>0</v>
      </c>
      <c r="AB1109">
        <f t="shared" ca="1" si="173"/>
        <v>1</v>
      </c>
      <c r="AC1109" s="24">
        <f t="shared" ca="1" si="174"/>
        <v>0</v>
      </c>
      <c r="AD1109" s="24">
        <f t="shared" ca="1" si="175"/>
        <v>7.8639888667752372E-2</v>
      </c>
    </row>
    <row r="1110" spans="3:30" x14ac:dyDescent="0.25">
      <c r="C1110" s="6">
        <v>1103</v>
      </c>
      <c r="D1110" s="35">
        <v>43578</v>
      </c>
      <c r="E1110" s="37">
        <v>18.274999999999999</v>
      </c>
      <c r="F1110" s="37">
        <v>63.060218561981451</v>
      </c>
      <c r="G1110" s="37">
        <v>55.36</v>
      </c>
      <c r="H1110" s="37">
        <v>2.2908663544352645</v>
      </c>
      <c r="I1110" s="37">
        <v>67.620901962847967</v>
      </c>
      <c r="J1110" s="10">
        <v>0</v>
      </c>
      <c r="K1110" s="38">
        <v>0</v>
      </c>
      <c r="L1110" s="38">
        <v>0</v>
      </c>
      <c r="M1110" s="38">
        <v>1</v>
      </c>
      <c r="N1110" s="38">
        <v>0</v>
      </c>
      <c r="O1110" s="38">
        <v>0</v>
      </c>
      <c r="P1110" s="38">
        <v>0</v>
      </c>
      <c r="Q1110" s="38">
        <v>0</v>
      </c>
      <c r="R1110" s="38">
        <v>0</v>
      </c>
      <c r="S1110" s="38">
        <v>0</v>
      </c>
      <c r="T1110" s="38">
        <v>0</v>
      </c>
      <c r="U1110" s="29" cm="1">
        <f t="array" aca="1" ref="U1110" ca="1">+fair_value_gap(OFFSET(T1109,0,0,-1*$J$5,-1*$AA$1),OFFSET(E1109,0,0,-1*$J$5,1),F1110:T1110,0)</f>
        <v>18.773966221242436</v>
      </c>
      <c r="V1110" s="9" cm="1">
        <f t="array" aca="1" ref="V1110" ca="1">z_score_diff(OFFSET(U1110,0,0,$J$5*-1,1),OFFSET(E1110,0,0,$J$5*-1,1))</f>
        <v>-8.1107230872146996E-2</v>
      </c>
      <c r="W1110" s="9">
        <f t="shared" ca="1" si="171"/>
        <v>0.13659626380338213</v>
      </c>
      <c r="X1110" s="17">
        <f t="shared" ca="1" si="170"/>
        <v>6.5956803545114559E-2</v>
      </c>
      <c r="Y1110" s="13">
        <f t="shared" si="176"/>
        <v>0</v>
      </c>
      <c r="Z1110" s="13">
        <f t="shared" si="176"/>
        <v>0</v>
      </c>
      <c r="AA1110">
        <f t="shared" ca="1" si="172"/>
        <v>0</v>
      </c>
      <c r="AB1110">
        <f t="shared" ca="1" si="173"/>
        <v>1</v>
      </c>
      <c r="AC1110" s="24">
        <f t="shared" ca="1" si="174"/>
        <v>0</v>
      </c>
      <c r="AD1110" s="24">
        <f t="shared" ca="1" si="175"/>
        <v>6.5956803545114559E-2</v>
      </c>
    </row>
    <row r="1111" spans="3:30" x14ac:dyDescent="0.25">
      <c r="C1111" s="6">
        <v>1104</v>
      </c>
      <c r="D1111" s="35">
        <v>43579</v>
      </c>
      <c r="E1111" s="37">
        <v>18.204000000000001</v>
      </c>
      <c r="F1111" s="37">
        <v>63.445367764173234</v>
      </c>
      <c r="G1111" s="37">
        <v>55.51</v>
      </c>
      <c r="H1111" s="37">
        <v>2.3096727257316614</v>
      </c>
      <c r="I1111" s="37">
        <v>66.747422807841588</v>
      </c>
      <c r="J1111" s="10">
        <v>0</v>
      </c>
      <c r="K1111" s="38">
        <v>0</v>
      </c>
      <c r="L1111" s="38">
        <v>0</v>
      </c>
      <c r="M1111" s="38">
        <v>1</v>
      </c>
      <c r="N1111" s="38">
        <v>0</v>
      </c>
      <c r="O1111" s="38">
        <v>0</v>
      </c>
      <c r="P1111" s="38">
        <v>0</v>
      </c>
      <c r="Q1111" s="38">
        <v>0</v>
      </c>
      <c r="R1111" s="38">
        <v>0</v>
      </c>
      <c r="S1111" s="38">
        <v>0</v>
      </c>
      <c r="T1111" s="38">
        <v>0</v>
      </c>
      <c r="U1111" s="29" cm="1">
        <f t="array" aca="1" ref="U1111" ca="1">+fair_value_gap(OFFSET(T1110,0,0,-1*$J$5,-1*$AA$1),OFFSET(E1110,0,0,-1*$J$5,1),F1111:T1111,0)</f>
        <v>18.783533388634048</v>
      </c>
      <c r="V1111" s="9" cm="1">
        <f t="array" aca="1" ref="V1111" ca="1">z_score_diff(OFFSET(U1111,0,0,$J$5*-1,1),OFFSET(E1111,0,0,$J$5*-1,1))</f>
        <v>-5.520920045719846E-2</v>
      </c>
      <c r="W1111" s="9">
        <f t="shared" ca="1" si="171"/>
        <v>0.14072307962623848</v>
      </c>
      <c r="X1111" s="17">
        <f t="shared" ca="1" si="170"/>
        <v>8.0853696617574924E-2</v>
      </c>
      <c r="Y1111" s="13">
        <f t="shared" si="176"/>
        <v>0</v>
      </c>
      <c r="Z1111" s="13">
        <f t="shared" si="176"/>
        <v>0</v>
      </c>
      <c r="AA1111">
        <f t="shared" ca="1" si="172"/>
        <v>0</v>
      </c>
      <c r="AB1111">
        <f t="shared" ca="1" si="173"/>
        <v>1</v>
      </c>
      <c r="AC1111" s="24">
        <f t="shared" ca="1" si="174"/>
        <v>0</v>
      </c>
      <c r="AD1111" s="24">
        <f t="shared" ca="1" si="175"/>
        <v>8.0853696617574924E-2</v>
      </c>
    </row>
    <row r="1112" spans="3:30" x14ac:dyDescent="0.25">
      <c r="C1112" s="6">
        <v>1105</v>
      </c>
      <c r="D1112" s="35">
        <v>43580</v>
      </c>
      <c r="E1112" s="37">
        <v>18.388000000000002</v>
      </c>
      <c r="F1112" s="37">
        <v>63.277419994142946</v>
      </c>
      <c r="G1112" s="37">
        <v>55.44</v>
      </c>
      <c r="H1112" s="37">
        <v>2.3498997134290223</v>
      </c>
      <c r="I1112" s="37">
        <v>66.887205698506804</v>
      </c>
      <c r="J1112" s="10">
        <v>0</v>
      </c>
      <c r="K1112" s="38">
        <v>0</v>
      </c>
      <c r="L1112" s="38">
        <v>0</v>
      </c>
      <c r="M1112" s="38">
        <v>1</v>
      </c>
      <c r="N1112" s="38">
        <v>0</v>
      </c>
      <c r="O1112" s="38">
        <v>0</v>
      </c>
      <c r="P1112" s="38">
        <v>0</v>
      </c>
      <c r="Q1112" s="38">
        <v>0</v>
      </c>
      <c r="R1112" s="38">
        <v>0</v>
      </c>
      <c r="S1112" s="38">
        <v>0</v>
      </c>
      <c r="T1112" s="38">
        <v>0</v>
      </c>
      <c r="U1112" s="29" cm="1">
        <f t="array" aca="1" ref="U1112" ca="1">+fair_value_gap(OFFSET(T1111,0,0,-1*$J$5,-1*$AA$1),OFFSET(E1111,0,0,-1*$J$5,1),F1112:T1112,0)</f>
        <v>18.704976307502733</v>
      </c>
      <c r="V1112" s="9" cm="1">
        <f t="array" aca="1" ref="V1112" ca="1">z_score_diff(OFFSET(U1112,0,0,$J$5*-1,1),OFFSET(E1112,0,0,$J$5*-1,1))</f>
        <v>-0.14148972382569558</v>
      </c>
      <c r="W1112" s="9">
        <f t="shared" ca="1" si="171"/>
        <v>0.13995645454449304</v>
      </c>
      <c r="X1112" s="17">
        <f t="shared" ca="1" si="170"/>
        <v>6.8463400619051484E-2</v>
      </c>
      <c r="Y1112" s="13">
        <f t="shared" si="176"/>
        <v>0</v>
      </c>
      <c r="Z1112" s="13">
        <f t="shared" si="176"/>
        <v>0</v>
      </c>
      <c r="AA1112">
        <f t="shared" ca="1" si="172"/>
        <v>0</v>
      </c>
      <c r="AB1112">
        <f t="shared" ca="1" si="173"/>
        <v>1</v>
      </c>
      <c r="AC1112" s="24">
        <f t="shared" ca="1" si="174"/>
        <v>0</v>
      </c>
      <c r="AD1112" s="24">
        <f t="shared" ca="1" si="175"/>
        <v>6.8463400619051484E-2</v>
      </c>
    </row>
    <row r="1113" spans="3:30" x14ac:dyDescent="0.25">
      <c r="C1113" s="6">
        <v>1106</v>
      </c>
      <c r="D1113" s="35">
        <v>43581</v>
      </c>
      <c r="E1113" s="37">
        <v>18.151</v>
      </c>
      <c r="F1113" s="37">
        <v>61.437854232596507</v>
      </c>
      <c r="G1113" s="37">
        <v>55.09</v>
      </c>
      <c r="H1113" s="37">
        <v>2.3644211584338821</v>
      </c>
      <c r="I1113" s="37">
        <v>66.728434262114234</v>
      </c>
      <c r="J1113" s="10">
        <v>0</v>
      </c>
      <c r="K1113" s="38">
        <v>0</v>
      </c>
      <c r="L1113" s="38">
        <v>0</v>
      </c>
      <c r="M1113" s="38">
        <v>1</v>
      </c>
      <c r="N1113" s="38">
        <v>0</v>
      </c>
      <c r="O1113" s="38">
        <v>0</v>
      </c>
      <c r="P1113" s="38">
        <v>0</v>
      </c>
      <c r="Q1113" s="38">
        <v>0</v>
      </c>
      <c r="R1113" s="38">
        <v>0</v>
      </c>
      <c r="S1113" s="38">
        <v>0</v>
      </c>
      <c r="T1113" s="38">
        <v>0</v>
      </c>
      <c r="U1113" s="29" cm="1">
        <f t="array" aca="1" ref="U1113" ca="1">+fair_value_gap(OFFSET(T1112,0,0,-1*$J$5,-1*$AA$1),OFFSET(E1112,0,0,-1*$J$5,1),F1113:T1113,0)</f>
        <v>18.494164158608619</v>
      </c>
      <c r="V1113" s="9" cm="1">
        <f t="array" aca="1" ref="V1113" ca="1">z_score_diff(OFFSET(U1113,0,0,$J$5*-1,1),OFFSET(E1113,0,0,$J$5*-1,1))</f>
        <v>-0.14067725645473317</v>
      </c>
      <c r="W1113" s="9">
        <f t="shared" ca="1" si="171"/>
        <v>0.14587761447033976</v>
      </c>
      <c r="X1113" s="17">
        <f t="shared" ca="1" si="170"/>
        <v>6.6444312359510302E-2</v>
      </c>
      <c r="Y1113" s="13">
        <f t="shared" ref="Y1113:Z1128" si="177">+Y1112</f>
        <v>0</v>
      </c>
      <c r="Z1113" s="13">
        <f t="shared" si="177"/>
        <v>0</v>
      </c>
      <c r="AA1113">
        <f t="shared" ca="1" si="172"/>
        <v>0</v>
      </c>
      <c r="AB1113">
        <f t="shared" ca="1" si="173"/>
        <v>1</v>
      </c>
      <c r="AC1113" s="24">
        <f t="shared" ca="1" si="174"/>
        <v>0</v>
      </c>
      <c r="AD1113" s="24">
        <f t="shared" ca="1" si="175"/>
        <v>6.6444312359510302E-2</v>
      </c>
    </row>
    <row r="1114" spans="3:30" x14ac:dyDescent="0.25">
      <c r="C1114" s="6">
        <v>1107</v>
      </c>
      <c r="D1114" s="35">
        <v>43584</v>
      </c>
      <c r="E1114" s="37">
        <v>18.12</v>
      </c>
      <c r="F1114" s="37">
        <v>61.222225939418706</v>
      </c>
      <c r="G1114" s="37">
        <v>54.89</v>
      </c>
      <c r="H1114" s="37">
        <v>2.4298726429795168</v>
      </c>
      <c r="I1114" s="37">
        <v>67.173653137440994</v>
      </c>
      <c r="J1114" s="10">
        <v>0</v>
      </c>
      <c r="K1114" s="38">
        <v>0</v>
      </c>
      <c r="L1114" s="38">
        <v>0</v>
      </c>
      <c r="M1114" s="38">
        <v>1</v>
      </c>
      <c r="N1114" s="38">
        <v>0</v>
      </c>
      <c r="O1114" s="38">
        <v>0</v>
      </c>
      <c r="P1114" s="38">
        <v>0</v>
      </c>
      <c r="Q1114" s="38">
        <v>0</v>
      </c>
      <c r="R1114" s="38">
        <v>0</v>
      </c>
      <c r="S1114" s="38">
        <v>0</v>
      </c>
      <c r="T1114" s="38">
        <v>0</v>
      </c>
      <c r="U1114" s="29" cm="1">
        <f t="array" aca="1" ref="U1114" ca="1">+fair_value_gap(OFFSET(T1113,0,0,-1*$J$5,-1*$AA$1),OFFSET(E1113,0,0,-1*$J$5,1),F1114:T1114,0)</f>
        <v>18.417242787378676</v>
      </c>
      <c r="V1114" s="9" cm="1">
        <f t="array" aca="1" ref="V1114" ca="1">z_score_diff(OFFSET(U1114,0,0,$J$5*-1,1),OFFSET(E1114,0,0,$J$5*-1,1))</f>
        <v>-0.15715249713281221</v>
      </c>
      <c r="W1114" s="9">
        <f t="shared" ca="1" si="171"/>
        <v>0.14240835616967798</v>
      </c>
      <c r="X1114" s="17">
        <f t="shared" ca="1" si="170"/>
        <v>6.0338903818153496E-2</v>
      </c>
      <c r="Y1114" s="13">
        <f t="shared" si="177"/>
        <v>0</v>
      </c>
      <c r="Z1114" s="13">
        <f t="shared" si="177"/>
        <v>0</v>
      </c>
      <c r="AA1114">
        <f t="shared" ca="1" si="172"/>
        <v>0</v>
      </c>
      <c r="AB1114">
        <f t="shared" ca="1" si="173"/>
        <v>1</v>
      </c>
      <c r="AC1114" s="24">
        <f t="shared" ca="1" si="174"/>
        <v>0</v>
      </c>
      <c r="AD1114" s="24">
        <f t="shared" ca="1" si="175"/>
        <v>6.0338903818153496E-2</v>
      </c>
    </row>
    <row r="1115" spans="3:30" x14ac:dyDescent="0.25">
      <c r="C1115" s="6">
        <v>1108</v>
      </c>
      <c r="D1115" s="35">
        <v>43585</v>
      </c>
      <c r="E1115" s="37">
        <v>20.515000000000001</v>
      </c>
      <c r="F1115" s="37">
        <v>61.480357100529126</v>
      </c>
      <c r="G1115" s="37">
        <v>56.19</v>
      </c>
      <c r="H1115" s="37">
        <v>2.4107533999436379</v>
      </c>
      <c r="I1115" s="37">
        <v>67.116568618241487</v>
      </c>
      <c r="J1115" s="10">
        <v>0</v>
      </c>
      <c r="K1115" s="38">
        <v>0</v>
      </c>
      <c r="L1115" s="38">
        <v>0</v>
      </c>
      <c r="M1115" s="38">
        <v>1</v>
      </c>
      <c r="N1115" s="38">
        <v>0</v>
      </c>
      <c r="O1115" s="38">
        <v>0</v>
      </c>
      <c r="P1115" s="38">
        <v>0</v>
      </c>
      <c r="Q1115" s="38">
        <v>0</v>
      </c>
      <c r="R1115" s="38">
        <v>0</v>
      </c>
      <c r="S1115" s="38">
        <v>0</v>
      </c>
      <c r="T1115" s="38">
        <v>0</v>
      </c>
      <c r="U1115" s="29" cm="1">
        <f t="array" aca="1" ref="U1115" ca="1">+fair_value_gap(OFFSET(T1114,0,0,-1*$J$5,-1*$AA$1),OFFSET(E1114,0,0,-1*$J$5,1),F1115:T1115,0)</f>
        <v>18.840018737654141</v>
      </c>
      <c r="V1115" s="9" cm="1">
        <f t="array" aca="1" ref="V1115" ca="1">z_score_diff(OFFSET(U1115,0,0,$J$5*-1,1),OFFSET(E1115,0,0,$J$5*-1,1))</f>
        <v>-0.76048353895667842</v>
      </c>
      <c r="W1115" s="9">
        <f t="shared" ca="1" si="171"/>
        <v>9.6927997597606147E-2</v>
      </c>
      <c r="X1115" s="17">
        <f t="shared" ca="1" si="170"/>
        <v>-3.8914642522657653E-2</v>
      </c>
      <c r="Y1115" s="13">
        <f t="shared" si="177"/>
        <v>0</v>
      </c>
      <c r="Z1115" s="13">
        <f t="shared" si="177"/>
        <v>0</v>
      </c>
      <c r="AA1115">
        <f t="shared" ca="1" si="172"/>
        <v>0</v>
      </c>
      <c r="AB1115">
        <f t="shared" ca="1" si="173"/>
        <v>1</v>
      </c>
      <c r="AC1115" s="24">
        <f t="shared" ca="1" si="174"/>
        <v>0</v>
      </c>
      <c r="AD1115" s="24">
        <f t="shared" ca="1" si="175"/>
        <v>-3.8914642522657653E-2</v>
      </c>
    </row>
    <row r="1116" spans="3:30" x14ac:dyDescent="0.25">
      <c r="C1116" s="6">
        <v>1109</v>
      </c>
      <c r="D1116" s="35">
        <v>43586</v>
      </c>
      <c r="E1116" s="37">
        <v>19.984000000000002</v>
      </c>
      <c r="F1116" s="37">
        <v>61.228348672667558</v>
      </c>
      <c r="G1116" s="37">
        <v>55.97</v>
      </c>
      <c r="H1116" s="37">
        <v>2.4422741204251337</v>
      </c>
      <c r="I1116" s="37">
        <v>66.531522221880223</v>
      </c>
      <c r="J1116" s="10">
        <v>0</v>
      </c>
      <c r="K1116" s="38">
        <v>0</v>
      </c>
      <c r="L1116" s="38">
        <v>0</v>
      </c>
      <c r="M1116" s="38">
        <v>0</v>
      </c>
      <c r="N1116" s="38">
        <v>1</v>
      </c>
      <c r="O1116" s="38">
        <v>0</v>
      </c>
      <c r="P1116" s="38">
        <v>0</v>
      </c>
      <c r="Q1116" s="38">
        <v>0</v>
      </c>
      <c r="R1116" s="38">
        <v>0</v>
      </c>
      <c r="S1116" s="38">
        <v>0</v>
      </c>
      <c r="T1116" s="38">
        <v>0</v>
      </c>
      <c r="U1116" s="29" cm="1">
        <f t="array" aca="1" ref="U1116" ca="1">+fair_value_gap(OFFSET(T1115,0,0,-1*$J$5,-1*$AA$1),OFFSET(E1115,0,0,-1*$J$5,1),F1116:T1116,0)</f>
        <v>23.524209047938513</v>
      </c>
      <c r="V1116" s="9" cm="1">
        <f t="array" aca="1" ref="V1116" ca="1">z_score_diff(OFFSET(U1116,0,0,$J$5*-1,1),OFFSET(E1116,0,0,$J$5*-1,1))</f>
        <v>1.0511734240590049</v>
      </c>
      <c r="W1116" s="9">
        <f t="shared" ca="1" si="171"/>
        <v>8.5879045025112205E-2</v>
      </c>
      <c r="X1116" s="17">
        <f t="shared" ca="1" si="170"/>
        <v>-1.7363650456902122E-2</v>
      </c>
      <c r="Y1116" s="13">
        <f t="shared" si="177"/>
        <v>0</v>
      </c>
      <c r="Z1116" s="13">
        <f t="shared" si="177"/>
        <v>0</v>
      </c>
      <c r="AA1116">
        <f t="shared" ca="1" si="172"/>
        <v>0</v>
      </c>
      <c r="AB1116">
        <f t="shared" ca="1" si="173"/>
        <v>1</v>
      </c>
      <c r="AC1116" s="24">
        <f t="shared" ca="1" si="174"/>
        <v>0</v>
      </c>
      <c r="AD1116" s="24">
        <f t="shared" ca="1" si="175"/>
        <v>-1.7363650456902122E-2</v>
      </c>
    </row>
    <row r="1117" spans="3:30" x14ac:dyDescent="0.25">
      <c r="C1117" s="6">
        <v>1110</v>
      </c>
      <c r="D1117" s="35">
        <v>43587</v>
      </c>
      <c r="E1117" s="37">
        <v>19.731000000000002</v>
      </c>
      <c r="F1117" s="37">
        <v>59.988155710110995</v>
      </c>
      <c r="G1117" s="37">
        <v>54.82</v>
      </c>
      <c r="H1117" s="37">
        <v>2.4234968150845488</v>
      </c>
      <c r="I1117" s="37">
        <v>66.756321360965302</v>
      </c>
      <c r="J1117" s="10">
        <v>0</v>
      </c>
      <c r="K1117" s="38">
        <v>0</v>
      </c>
      <c r="L1117" s="38">
        <v>0</v>
      </c>
      <c r="M1117" s="38">
        <v>0</v>
      </c>
      <c r="N1117" s="38">
        <v>1</v>
      </c>
      <c r="O1117" s="38">
        <v>0</v>
      </c>
      <c r="P1117" s="38">
        <v>0</v>
      </c>
      <c r="Q1117" s="38">
        <v>0</v>
      </c>
      <c r="R1117" s="38">
        <v>0</v>
      </c>
      <c r="S1117" s="38">
        <v>0</v>
      </c>
      <c r="T1117" s="38">
        <v>0</v>
      </c>
      <c r="U1117" s="29" cm="1">
        <f t="array" aca="1" ref="U1117" ca="1">+fair_value_gap(OFFSET(T1116,0,0,-1*$J$5,-1*$AA$1),OFFSET(E1116,0,0,-1*$J$5,1),F1117:T1117,0)</f>
        <v>21.971982038796831</v>
      </c>
      <c r="V1117" s="9" cm="1">
        <f t="array" aca="1" ref="V1117" ca="1">z_score_diff(OFFSET(U1117,0,0,$J$5*-1,1),OFFSET(E1117,0,0,$J$5*-1,1))</f>
        <v>0.58142396232481597</v>
      </c>
      <c r="W1117" s="9">
        <f t="shared" ca="1" si="171"/>
        <v>7.2515570023617776E-2</v>
      </c>
      <c r="X1117" s="17">
        <f t="shared" ca="1" si="170"/>
        <v>-2.0843156295163461E-2</v>
      </c>
      <c r="Y1117" s="13">
        <f t="shared" si="177"/>
        <v>0</v>
      </c>
      <c r="Z1117" s="13">
        <f t="shared" si="177"/>
        <v>0</v>
      </c>
      <c r="AA1117">
        <f t="shared" ca="1" si="172"/>
        <v>0</v>
      </c>
      <c r="AB1117">
        <f t="shared" ca="1" si="173"/>
        <v>1</v>
      </c>
      <c r="AC1117" s="24">
        <f t="shared" ca="1" si="174"/>
        <v>0</v>
      </c>
      <c r="AD1117" s="24">
        <f t="shared" ca="1" si="175"/>
        <v>-2.0843156295163461E-2</v>
      </c>
    </row>
    <row r="1118" spans="3:30" x14ac:dyDescent="0.25">
      <c r="C1118" s="6">
        <v>1111</v>
      </c>
      <c r="D1118" s="35">
        <v>43588</v>
      </c>
      <c r="E1118" s="37">
        <v>20.49</v>
      </c>
      <c r="F1118" s="37">
        <v>59.764055938031063</v>
      </c>
      <c r="G1118" s="37">
        <v>55.11</v>
      </c>
      <c r="H1118" s="37">
        <v>2.3956612596518778</v>
      </c>
      <c r="I1118" s="37">
        <v>67.649957405582384</v>
      </c>
      <c r="J1118" s="10">
        <v>0</v>
      </c>
      <c r="K1118" s="38">
        <v>0</v>
      </c>
      <c r="L1118" s="38">
        <v>0</v>
      </c>
      <c r="M1118" s="38">
        <v>0</v>
      </c>
      <c r="N1118" s="38">
        <v>1</v>
      </c>
      <c r="O1118" s="38">
        <v>0</v>
      </c>
      <c r="P1118" s="38">
        <v>0</v>
      </c>
      <c r="Q1118" s="38">
        <v>0</v>
      </c>
      <c r="R1118" s="38">
        <v>0</v>
      </c>
      <c r="S1118" s="38">
        <v>0</v>
      </c>
      <c r="T1118" s="38">
        <v>0</v>
      </c>
      <c r="U1118" s="29" cm="1">
        <f t="array" aca="1" ref="U1118" ca="1">+fair_value_gap(OFFSET(T1117,0,0,-1*$J$5,-1*$AA$1),OFFSET(E1117,0,0,-1*$J$5,1),F1118:T1118,0)</f>
        <v>21.661427733996362</v>
      </c>
      <c r="V1118" s="9" cm="1">
        <f t="array" aca="1" ref="V1118" ca="1">z_score_diff(OFFSET(U1118,0,0,$J$5*-1,1),OFFSET(E1118,0,0,$J$5*-1,1))</f>
        <v>0.23033181251036669</v>
      </c>
      <c r="W1118" s="9">
        <f t="shared" ca="1" si="171"/>
        <v>6.572700810589277E-2</v>
      </c>
      <c r="X1118" s="17">
        <f t="shared" ca="1" si="170"/>
        <v>-5.4045530707838643E-2</v>
      </c>
      <c r="Y1118" s="13">
        <f t="shared" si="177"/>
        <v>0</v>
      </c>
      <c r="Z1118" s="13">
        <f t="shared" si="177"/>
        <v>0</v>
      </c>
      <c r="AA1118">
        <f t="shared" ca="1" si="172"/>
        <v>0</v>
      </c>
      <c r="AB1118">
        <f t="shared" ca="1" si="173"/>
        <v>1</v>
      </c>
      <c r="AC1118" s="24">
        <f t="shared" ca="1" si="174"/>
        <v>0</v>
      </c>
      <c r="AD1118" s="24">
        <f t="shared" ca="1" si="175"/>
        <v>-5.4045530707838643E-2</v>
      </c>
    </row>
    <row r="1119" spans="3:30" x14ac:dyDescent="0.25">
      <c r="C1119" s="6">
        <v>1112</v>
      </c>
      <c r="D1119" s="35">
        <v>43591</v>
      </c>
      <c r="E1119" s="37">
        <v>20.46</v>
      </c>
      <c r="F1119" s="37">
        <v>60.03051206633517</v>
      </c>
      <c r="G1119" s="37">
        <v>55.55</v>
      </c>
      <c r="H1119" s="37">
        <v>2.3627066928701126</v>
      </c>
      <c r="I1119" s="37">
        <v>67.794821741825714</v>
      </c>
      <c r="J1119" s="10">
        <v>0</v>
      </c>
      <c r="K1119" s="38">
        <v>0</v>
      </c>
      <c r="L1119" s="38">
        <v>0</v>
      </c>
      <c r="M1119" s="38">
        <v>0</v>
      </c>
      <c r="N1119" s="38">
        <v>1</v>
      </c>
      <c r="O1119" s="38">
        <v>0</v>
      </c>
      <c r="P1119" s="38">
        <v>0</v>
      </c>
      <c r="Q1119" s="38">
        <v>0</v>
      </c>
      <c r="R1119" s="38">
        <v>0</v>
      </c>
      <c r="S1119" s="38">
        <v>0</v>
      </c>
      <c r="T1119" s="38">
        <v>0</v>
      </c>
      <c r="U1119" s="29" cm="1">
        <f t="array" aca="1" ref="U1119" ca="1">+fair_value_gap(OFFSET(T1118,0,0,-1*$J$5,-1*$AA$1),OFFSET(E1118,0,0,-1*$J$5,1),F1119:T1119,0)</f>
        <v>21.641495829985452</v>
      </c>
      <c r="V1119" s="9" cm="1">
        <f t="array" aca="1" ref="V1119" ca="1">z_score_diff(OFFSET(U1119,0,0,$J$5*-1,1),OFFSET(E1119,0,0,$J$5*-1,1))</f>
        <v>0.23079034927785635</v>
      </c>
      <c r="W1119" s="9">
        <f t="shared" ca="1" si="171"/>
        <v>6.4186342797026549E-2</v>
      </c>
      <c r="X1119" s="17">
        <f t="shared" ca="1" si="170"/>
        <v>-6.3301098725612487E-2</v>
      </c>
      <c r="Y1119" s="13">
        <f t="shared" si="177"/>
        <v>0</v>
      </c>
      <c r="Z1119" s="13">
        <f t="shared" si="177"/>
        <v>0</v>
      </c>
      <c r="AA1119">
        <f t="shared" ca="1" si="172"/>
        <v>0</v>
      </c>
      <c r="AB1119">
        <f t="shared" ca="1" si="173"/>
        <v>1</v>
      </c>
      <c r="AC1119" s="24">
        <f t="shared" ca="1" si="174"/>
        <v>0</v>
      </c>
      <c r="AD1119" s="24">
        <f t="shared" ca="1" si="175"/>
        <v>-6.3301098725612487E-2</v>
      </c>
    </row>
    <row r="1120" spans="3:30" x14ac:dyDescent="0.25">
      <c r="C1120" s="6">
        <v>1113</v>
      </c>
      <c r="D1120" s="35">
        <v>43592</v>
      </c>
      <c r="E1120" s="37">
        <v>20.513000000000002</v>
      </c>
      <c r="F1120" s="37">
        <v>59.02836721607936</v>
      </c>
      <c r="G1120" s="37">
        <v>56.42</v>
      </c>
      <c r="H1120" s="37">
        <v>2.3757356556493869</v>
      </c>
      <c r="I1120" s="37">
        <v>66.935758383901643</v>
      </c>
      <c r="J1120" s="10">
        <v>0</v>
      </c>
      <c r="K1120" s="38">
        <v>0</v>
      </c>
      <c r="L1120" s="38">
        <v>0</v>
      </c>
      <c r="M1120" s="38">
        <v>0</v>
      </c>
      <c r="N1120" s="38">
        <v>1</v>
      </c>
      <c r="O1120" s="38">
        <v>0</v>
      </c>
      <c r="P1120" s="38">
        <v>0</v>
      </c>
      <c r="Q1120" s="38">
        <v>0</v>
      </c>
      <c r="R1120" s="38">
        <v>0</v>
      </c>
      <c r="S1120" s="38">
        <v>0</v>
      </c>
      <c r="T1120" s="38">
        <v>0</v>
      </c>
      <c r="U1120" s="29" cm="1">
        <f t="array" aca="1" ref="U1120" ca="1">+fair_value_gap(OFFSET(T1119,0,0,-1*$J$5,-1*$AA$1),OFFSET(E1119,0,0,-1*$J$5,1),F1120:T1120,0)</f>
        <v>21.566084194703798</v>
      </c>
      <c r="V1120" s="9" cm="1">
        <f t="array" aca="1" ref="V1120" ca="1">z_score_diff(OFFSET(U1120,0,0,$J$5*-1,1),OFFSET(E1120,0,0,$J$5*-1,1))</f>
        <v>0.18601131725416847</v>
      </c>
      <c r="W1120" s="9">
        <f t="shared" ca="1" si="171"/>
        <v>7.826353035509101E-2</v>
      </c>
      <c r="X1120" s="17">
        <f t="shared" ca="1" si="170"/>
        <v>-6.8234058957285418E-2</v>
      </c>
      <c r="Y1120" s="13">
        <f t="shared" si="177"/>
        <v>0</v>
      </c>
      <c r="Z1120" s="13">
        <f t="shared" si="177"/>
        <v>0</v>
      </c>
      <c r="AA1120">
        <f t="shared" ca="1" si="172"/>
        <v>0</v>
      </c>
      <c r="AB1120">
        <f t="shared" ca="1" si="173"/>
        <v>1</v>
      </c>
      <c r="AC1120" s="24">
        <f t="shared" ca="1" si="174"/>
        <v>0</v>
      </c>
      <c r="AD1120" s="24">
        <f t="shared" ca="1" si="175"/>
        <v>-6.8234058957285418E-2</v>
      </c>
    </row>
    <row r="1121" spans="3:30" x14ac:dyDescent="0.25">
      <c r="C1121" s="6">
        <v>1114</v>
      </c>
      <c r="D1121" s="35">
        <v>43593</v>
      </c>
      <c r="E1121" s="37">
        <v>20.491</v>
      </c>
      <c r="F1121" s="37">
        <v>59.646903700289485</v>
      </c>
      <c r="G1121" s="37">
        <v>56.7</v>
      </c>
      <c r="H1121" s="37">
        <v>2.4347829146497753</v>
      </c>
      <c r="I1121" s="37">
        <v>67.33476593802034</v>
      </c>
      <c r="J1121" s="10">
        <v>0</v>
      </c>
      <c r="K1121" s="38">
        <v>0</v>
      </c>
      <c r="L1121" s="38">
        <v>0</v>
      </c>
      <c r="M1121" s="38">
        <v>0</v>
      </c>
      <c r="N1121" s="38">
        <v>1</v>
      </c>
      <c r="O1121" s="38">
        <v>0</v>
      </c>
      <c r="P1121" s="38">
        <v>0</v>
      </c>
      <c r="Q1121" s="38">
        <v>0</v>
      </c>
      <c r="R1121" s="38">
        <v>0</v>
      </c>
      <c r="S1121" s="38">
        <v>0</v>
      </c>
      <c r="T1121" s="38">
        <v>0</v>
      </c>
      <c r="U1121" s="29" cm="1">
        <f t="array" aca="1" ref="U1121" ca="1">+fair_value_gap(OFFSET(T1120,0,0,-1*$J$5,-1*$AA$1),OFFSET(E1120,0,0,-1*$J$5,1),F1121:T1121,0)</f>
        <v>21.45925529049628</v>
      </c>
      <c r="V1121" s="9" cm="1">
        <f t="array" aca="1" ref="V1121" ca="1">z_score_diff(OFFSET(U1121,0,0,$J$5*-1,1),OFFSET(E1121,0,0,$J$5*-1,1))</f>
        <v>0.15413532395197405</v>
      </c>
      <c r="W1121" s="9">
        <f t="shared" ca="1" si="171"/>
        <v>8.3315036905187462E-2</v>
      </c>
      <c r="X1121" s="17">
        <f t="shared" ca="1" si="170"/>
        <v>-6.7265382393995488E-2</v>
      </c>
      <c r="Y1121" s="13">
        <f t="shared" si="177"/>
        <v>0</v>
      </c>
      <c r="Z1121" s="13">
        <f t="shared" si="177"/>
        <v>0</v>
      </c>
      <c r="AA1121">
        <f t="shared" ca="1" si="172"/>
        <v>0</v>
      </c>
      <c r="AB1121">
        <f t="shared" ca="1" si="173"/>
        <v>1</v>
      </c>
      <c r="AC1121" s="24">
        <f t="shared" ca="1" si="174"/>
        <v>0</v>
      </c>
      <c r="AD1121" s="24">
        <f t="shared" ca="1" si="175"/>
        <v>-6.7265382393995488E-2</v>
      </c>
    </row>
    <row r="1122" spans="3:30" x14ac:dyDescent="0.25">
      <c r="C1122" s="6">
        <v>1115</v>
      </c>
      <c r="D1122" s="35">
        <v>43594</v>
      </c>
      <c r="E1122" s="37">
        <v>20.341000000000001</v>
      </c>
      <c r="F1122" s="37">
        <v>59.213478508659861</v>
      </c>
      <c r="G1122" s="37">
        <v>56.86</v>
      </c>
      <c r="H1122" s="37">
        <v>2.4192960594892168</v>
      </c>
      <c r="I1122" s="37">
        <v>66.212313207073308</v>
      </c>
      <c r="J1122" s="10">
        <v>0</v>
      </c>
      <c r="K1122" s="38">
        <v>0</v>
      </c>
      <c r="L1122" s="38">
        <v>0</v>
      </c>
      <c r="M1122" s="38">
        <v>0</v>
      </c>
      <c r="N1122" s="38">
        <v>1</v>
      </c>
      <c r="O1122" s="38">
        <v>0</v>
      </c>
      <c r="P1122" s="38">
        <v>0</v>
      </c>
      <c r="Q1122" s="38">
        <v>0</v>
      </c>
      <c r="R1122" s="38">
        <v>0</v>
      </c>
      <c r="S1122" s="38">
        <v>0</v>
      </c>
      <c r="T1122" s="38">
        <v>0</v>
      </c>
      <c r="U1122" s="29" cm="1">
        <f t="array" aca="1" ref="U1122" ca="1">+fair_value_gap(OFFSET(T1121,0,0,-1*$J$5,-1*$AA$1),OFFSET(E1121,0,0,-1*$J$5,1),F1122:T1122,0)</f>
        <v>21.242166977160323</v>
      </c>
      <c r="V1122" s="9" cm="1">
        <f t="array" aca="1" ref="V1122" ca="1">z_score_diff(OFFSET(U1122,0,0,$J$5*-1,1),OFFSET(E1122,0,0,$J$5*-1,1))</f>
        <v>0.12383514707774801</v>
      </c>
      <c r="W1122" s="9">
        <f t="shared" ca="1" si="171"/>
        <v>9.4704527133869787E-2</v>
      </c>
      <c r="X1122" s="17">
        <f t="shared" ca="1" si="170"/>
        <v>-6.7410412240127046E-2</v>
      </c>
      <c r="Y1122" s="13">
        <f t="shared" si="177"/>
        <v>0</v>
      </c>
      <c r="Z1122" s="13">
        <f t="shared" si="177"/>
        <v>0</v>
      </c>
      <c r="AA1122">
        <f t="shared" ca="1" si="172"/>
        <v>0</v>
      </c>
      <c r="AB1122">
        <f t="shared" ca="1" si="173"/>
        <v>1</v>
      </c>
      <c r="AC1122" s="24">
        <f t="shared" ca="1" si="174"/>
        <v>0</v>
      </c>
      <c r="AD1122" s="24">
        <f t="shared" ca="1" si="175"/>
        <v>-6.7410412240127046E-2</v>
      </c>
    </row>
    <row r="1123" spans="3:30" x14ac:dyDescent="0.25">
      <c r="C1123" s="6">
        <v>1116</v>
      </c>
      <c r="D1123" s="35">
        <v>43595</v>
      </c>
      <c r="E1123" s="37">
        <v>19.936</v>
      </c>
      <c r="F1123" s="37">
        <v>59.130864855763839</v>
      </c>
      <c r="G1123" s="37">
        <v>55.91</v>
      </c>
      <c r="H1123" s="37">
        <v>2.4290745313727689</v>
      </c>
      <c r="I1123" s="37">
        <v>66.207627118644069</v>
      </c>
      <c r="J1123" s="10">
        <v>0</v>
      </c>
      <c r="K1123" s="38">
        <v>0</v>
      </c>
      <c r="L1123" s="38">
        <v>0</v>
      </c>
      <c r="M1123" s="38">
        <v>0</v>
      </c>
      <c r="N1123" s="38">
        <v>1</v>
      </c>
      <c r="O1123" s="38">
        <v>0</v>
      </c>
      <c r="P1123" s="38">
        <v>0</v>
      </c>
      <c r="Q1123" s="38">
        <v>0</v>
      </c>
      <c r="R1123" s="38">
        <v>0</v>
      </c>
      <c r="S1123" s="38">
        <v>0</v>
      </c>
      <c r="T1123" s="38">
        <v>0</v>
      </c>
      <c r="U1123" s="29" cm="1">
        <f t="array" aca="1" ref="U1123" ca="1">+fair_value_gap(OFFSET(T1122,0,0,-1*$J$5,-1*$AA$1),OFFSET(E1122,0,0,-1*$J$5,1),F1123:T1123,0)</f>
        <v>20.872370131589602</v>
      </c>
      <c r="V1123" s="9" cm="1">
        <f t="array" aca="1" ref="V1123" ca="1">z_score_diff(OFFSET(U1123,0,0,$J$5*-1,1),OFFSET(E1123,0,0,$J$5*-1,1))</f>
        <v>0.12038746709834763</v>
      </c>
      <c r="W1123" s="9">
        <f t="shared" ca="1" si="171"/>
        <v>9.7638639684196393E-2</v>
      </c>
      <c r="X1123" s="17">
        <f t="shared" ca="1" si="170"/>
        <v>-1.3483350337286988E-2</v>
      </c>
      <c r="Y1123" s="13">
        <f t="shared" si="177"/>
        <v>0</v>
      </c>
      <c r="Z1123" s="13">
        <f t="shared" si="177"/>
        <v>0</v>
      </c>
      <c r="AA1123">
        <f t="shared" ca="1" si="172"/>
        <v>0</v>
      </c>
      <c r="AB1123">
        <f t="shared" ca="1" si="173"/>
        <v>1</v>
      </c>
      <c r="AC1123" s="24">
        <f t="shared" ca="1" si="174"/>
        <v>0</v>
      </c>
      <c r="AD1123" s="24">
        <f t="shared" ca="1" si="175"/>
        <v>-1.3483350337286988E-2</v>
      </c>
    </row>
    <row r="1124" spans="3:30" x14ac:dyDescent="0.25">
      <c r="C1124" s="6">
        <v>1117</v>
      </c>
      <c r="D1124" s="35">
        <v>43598</v>
      </c>
      <c r="E1124" s="37">
        <v>19.888000000000002</v>
      </c>
      <c r="F1124" s="37">
        <v>58.956840468073608</v>
      </c>
      <c r="G1124" s="37">
        <v>55.49</v>
      </c>
      <c r="H1124" s="37">
        <v>2.4286672260705622</v>
      </c>
      <c r="I1124" s="37">
        <v>64.820048661117099</v>
      </c>
      <c r="J1124" s="10">
        <v>0</v>
      </c>
      <c r="K1124" s="38">
        <v>0</v>
      </c>
      <c r="L1124" s="38">
        <v>0</v>
      </c>
      <c r="M1124" s="38">
        <v>0</v>
      </c>
      <c r="N1124" s="38">
        <v>1</v>
      </c>
      <c r="O1124" s="38">
        <v>0</v>
      </c>
      <c r="P1124" s="38">
        <v>0</v>
      </c>
      <c r="Q1124" s="38">
        <v>0</v>
      </c>
      <c r="R1124" s="38">
        <v>0</v>
      </c>
      <c r="S1124" s="38">
        <v>0</v>
      </c>
      <c r="T1124" s="38">
        <v>0</v>
      </c>
      <c r="U1124" s="29" cm="1">
        <f t="array" aca="1" ref="U1124" ca="1">+fair_value_gap(OFFSET(T1123,0,0,-1*$J$5,-1*$AA$1),OFFSET(E1123,0,0,-1*$J$5,1),F1124:T1124,0)</f>
        <v>20.471637453325297</v>
      </c>
      <c r="V1124" s="9" cm="1">
        <f t="array" aca="1" ref="V1124" ca="1">z_score_diff(OFFSET(U1124,0,0,$J$5*-1,1),OFFSET(E1124,0,0,$J$5*-1,1))</f>
        <v>-5.9790895479820971E-3</v>
      </c>
      <c r="W1124" s="9">
        <f t="shared" ca="1" si="171"/>
        <v>9.3529126327186102E-2</v>
      </c>
      <c r="X1124" s="17">
        <f t="shared" ca="1" si="170"/>
        <v>9.4583465030860358E-3</v>
      </c>
      <c r="Y1124" s="13">
        <f t="shared" si="177"/>
        <v>0</v>
      </c>
      <c r="Z1124" s="13">
        <f t="shared" si="177"/>
        <v>0</v>
      </c>
      <c r="AA1124">
        <f t="shared" ca="1" si="172"/>
        <v>0</v>
      </c>
      <c r="AB1124">
        <f t="shared" ca="1" si="173"/>
        <v>1</v>
      </c>
      <c r="AC1124" s="24">
        <f t="shared" ca="1" si="174"/>
        <v>0</v>
      </c>
      <c r="AD1124" s="24">
        <f t="shared" ca="1" si="175"/>
        <v>9.4583465030860358E-3</v>
      </c>
    </row>
    <row r="1125" spans="3:30" x14ac:dyDescent="0.25">
      <c r="C1125" s="6">
        <v>1118</v>
      </c>
      <c r="D1125" s="35">
        <v>43599</v>
      </c>
      <c r="E1125" s="37">
        <v>20.128</v>
      </c>
      <c r="F1125" s="37">
        <v>59.789012000854001</v>
      </c>
      <c r="G1125" s="37">
        <v>54.88</v>
      </c>
      <c r="H1125" s="37">
        <v>2.4592129991240315</v>
      </c>
      <c r="I1125" s="37">
        <v>64.884916036194966</v>
      </c>
      <c r="J1125" s="10">
        <v>0</v>
      </c>
      <c r="K1125" s="38">
        <v>0</v>
      </c>
      <c r="L1125" s="38">
        <v>0</v>
      </c>
      <c r="M1125" s="38">
        <v>0</v>
      </c>
      <c r="N1125" s="38">
        <v>1</v>
      </c>
      <c r="O1125" s="38">
        <v>0</v>
      </c>
      <c r="P1125" s="38">
        <v>0</v>
      </c>
      <c r="Q1125" s="38">
        <v>0</v>
      </c>
      <c r="R1125" s="38">
        <v>0</v>
      </c>
      <c r="S1125" s="38">
        <v>0</v>
      </c>
      <c r="T1125" s="38">
        <v>0</v>
      </c>
      <c r="U1125" s="29" cm="1">
        <f t="array" aca="1" ref="U1125" ca="1">+fair_value_gap(OFFSET(T1124,0,0,-1*$J$5,-1*$AA$1),OFFSET(E1124,0,0,-1*$J$5,1),F1125:T1125,0)</f>
        <v>20.227363612855818</v>
      </c>
      <c r="V1125" s="9" cm="1">
        <f t="array" aca="1" ref="V1125" ca="1">z_score_diff(OFFSET(U1125,0,0,$J$5*-1,1),OFFSET(E1125,0,0,$J$5*-1,1))</f>
        <v>-0.16714710915742415</v>
      </c>
      <c r="W1125" s="9">
        <f t="shared" ca="1" si="171"/>
        <v>8.211955180273503E-2</v>
      </c>
      <c r="X1125" s="17">
        <f t="shared" ca="1" si="170"/>
        <v>-3.8489660882272708E-2</v>
      </c>
      <c r="Y1125" s="13">
        <f t="shared" si="177"/>
        <v>0</v>
      </c>
      <c r="Z1125" s="13">
        <f t="shared" si="177"/>
        <v>0</v>
      </c>
      <c r="AA1125">
        <f t="shared" ca="1" si="172"/>
        <v>0</v>
      </c>
      <c r="AB1125">
        <f t="shared" ca="1" si="173"/>
        <v>1</v>
      </c>
      <c r="AC1125" s="24">
        <f t="shared" ca="1" si="174"/>
        <v>0</v>
      </c>
      <c r="AD1125" s="24">
        <f t="shared" ca="1" si="175"/>
        <v>-3.8489660882272708E-2</v>
      </c>
    </row>
    <row r="1126" spans="3:30" x14ac:dyDescent="0.25">
      <c r="C1126" s="6">
        <v>1119</v>
      </c>
      <c r="D1126" s="35">
        <v>43600</v>
      </c>
      <c r="E1126" s="37">
        <v>20.471</v>
      </c>
      <c r="F1126" s="37">
        <v>60.360775431537789</v>
      </c>
      <c r="G1126" s="37">
        <v>55.33</v>
      </c>
      <c r="H1126" s="37">
        <v>2.4170687787516005</v>
      </c>
      <c r="I1126" s="37">
        <v>64.141566900665424</v>
      </c>
      <c r="J1126" s="10">
        <v>0</v>
      </c>
      <c r="K1126" s="38">
        <v>0</v>
      </c>
      <c r="L1126" s="38">
        <v>0</v>
      </c>
      <c r="M1126" s="38">
        <v>0</v>
      </c>
      <c r="N1126" s="38">
        <v>1</v>
      </c>
      <c r="O1126" s="38">
        <v>0</v>
      </c>
      <c r="P1126" s="38">
        <v>0</v>
      </c>
      <c r="Q1126" s="38">
        <v>0</v>
      </c>
      <c r="R1126" s="38">
        <v>0</v>
      </c>
      <c r="S1126" s="38">
        <v>0</v>
      </c>
      <c r="T1126" s="38">
        <v>0</v>
      </c>
      <c r="U1126" s="29" cm="1">
        <f t="array" aca="1" ref="U1126" ca="1">+fair_value_gap(OFFSET(T1125,0,0,-1*$J$5,-1*$AA$1),OFFSET(E1125,0,0,-1*$J$5,1),F1126:T1126,0)</f>
        <v>20.28463456397218</v>
      </c>
      <c r="V1126" s="9" cm="1">
        <f t="array" aca="1" ref="V1126" ca="1">z_score_diff(OFFSET(U1126,0,0,$J$5*-1,1),OFFSET(E1126,0,0,$J$5*-1,1))</f>
        <v>-0.2542950570884942</v>
      </c>
      <c r="W1126" s="9">
        <f t="shared" ca="1" si="171"/>
        <v>5.9029009162519519E-2</v>
      </c>
      <c r="X1126" s="17">
        <f t="shared" ca="1" si="170"/>
        <v>-5.8696922135753761E-2</v>
      </c>
      <c r="Y1126" s="13">
        <f t="shared" si="177"/>
        <v>0</v>
      </c>
      <c r="Z1126" s="13">
        <f t="shared" si="177"/>
        <v>0</v>
      </c>
      <c r="AA1126">
        <f t="shared" ca="1" si="172"/>
        <v>0</v>
      </c>
      <c r="AB1126">
        <f t="shared" ca="1" si="173"/>
        <v>1</v>
      </c>
      <c r="AC1126" s="24">
        <f t="shared" ca="1" si="174"/>
        <v>0</v>
      </c>
      <c r="AD1126" s="24">
        <f t="shared" ca="1" si="175"/>
        <v>-5.8696922135753761E-2</v>
      </c>
    </row>
    <row r="1127" spans="3:30" x14ac:dyDescent="0.25">
      <c r="C1127" s="6">
        <v>1120</v>
      </c>
      <c r="D1127" s="35">
        <v>43601</v>
      </c>
      <c r="E1127" s="37">
        <v>20.129000000000001</v>
      </c>
      <c r="F1127" s="37">
        <v>61.067908642197217</v>
      </c>
      <c r="G1127" s="37">
        <v>55.54</v>
      </c>
      <c r="H1127" s="37">
        <v>2.4546990834967746</v>
      </c>
      <c r="I1127" s="37">
        <v>63.173698595376429</v>
      </c>
      <c r="J1127" s="10">
        <v>0</v>
      </c>
      <c r="K1127" s="38">
        <v>0</v>
      </c>
      <c r="L1127" s="38">
        <v>0</v>
      </c>
      <c r="M1127" s="38">
        <v>0</v>
      </c>
      <c r="N1127" s="38">
        <v>1</v>
      </c>
      <c r="O1127" s="38">
        <v>0</v>
      </c>
      <c r="P1127" s="38">
        <v>0</v>
      </c>
      <c r="Q1127" s="38">
        <v>0</v>
      </c>
      <c r="R1127" s="38">
        <v>0</v>
      </c>
      <c r="S1127" s="38">
        <v>0</v>
      </c>
      <c r="T1127" s="38">
        <v>0</v>
      </c>
      <c r="U1127" s="29" cm="1">
        <f t="array" aca="1" ref="U1127" ca="1">+fair_value_gap(OFFSET(T1126,0,0,-1*$J$5,-1*$AA$1),OFFSET(E1126,0,0,-1*$J$5,1),F1127:T1127,0)</f>
        <v>20.170434973470286</v>
      </c>
      <c r="V1127" s="9" cm="1">
        <f t="array" aca="1" ref="V1127" ca="1">z_score_diff(OFFSET(U1127,0,0,$J$5*-1,1),OFFSET(E1127,0,0,$J$5*-1,1))</f>
        <v>-0.18593500465942947</v>
      </c>
      <c r="W1127" s="9">
        <f t="shared" ca="1" si="171"/>
        <v>4.4489336358874379E-2</v>
      </c>
      <c r="X1127" s="17">
        <f t="shared" ca="1" si="170"/>
        <v>-3.5909593087411956E-2</v>
      </c>
      <c r="Y1127" s="13">
        <f t="shared" si="177"/>
        <v>0</v>
      </c>
      <c r="Z1127" s="13">
        <f t="shared" si="177"/>
        <v>0</v>
      </c>
      <c r="AA1127">
        <f t="shared" ca="1" si="172"/>
        <v>0</v>
      </c>
      <c r="AB1127">
        <f t="shared" ca="1" si="173"/>
        <v>1</v>
      </c>
      <c r="AC1127" s="24">
        <f t="shared" ca="1" si="174"/>
        <v>0</v>
      </c>
      <c r="AD1127" s="24">
        <f t="shared" ca="1" si="175"/>
        <v>-3.5909593087411956E-2</v>
      </c>
    </row>
    <row r="1128" spans="3:30" x14ac:dyDescent="0.25">
      <c r="C1128" s="6">
        <v>1121</v>
      </c>
      <c r="D1128" s="35">
        <v>43602</v>
      </c>
      <c r="E1128" s="37">
        <v>19.684999999999999</v>
      </c>
      <c r="F1128" s="37">
        <v>60.848434329430994</v>
      </c>
      <c r="G1128" s="37">
        <v>54.46</v>
      </c>
      <c r="H1128" s="37">
        <v>2.4556594960114295</v>
      </c>
      <c r="I1128" s="37">
        <v>63.002986350383125</v>
      </c>
      <c r="J1128" s="10">
        <v>0</v>
      </c>
      <c r="K1128" s="38">
        <v>0</v>
      </c>
      <c r="L1128" s="38">
        <v>0</v>
      </c>
      <c r="M1128" s="38">
        <v>0</v>
      </c>
      <c r="N1128" s="38">
        <v>1</v>
      </c>
      <c r="O1128" s="38">
        <v>0</v>
      </c>
      <c r="P1128" s="38">
        <v>0</v>
      </c>
      <c r="Q1128" s="38">
        <v>0</v>
      </c>
      <c r="R1128" s="38">
        <v>0</v>
      </c>
      <c r="S1128" s="38">
        <v>0</v>
      </c>
      <c r="T1128" s="38">
        <v>0</v>
      </c>
      <c r="U1128" s="29" cm="1">
        <f t="array" aca="1" ref="U1128" ca="1">+fair_value_gap(OFFSET(T1127,0,0,-1*$J$5,-1*$AA$1),OFFSET(E1127,0,0,-1*$J$5,1),F1128:T1128,0)</f>
        <v>19.859255659123026</v>
      </c>
      <c r="V1128" s="9" cm="1">
        <f t="array" aca="1" ref="V1128" ca="1">z_score_diff(OFFSET(U1128,0,0,$J$5*-1,1),OFFSET(E1128,0,0,$J$5*-1,1))</f>
        <v>-0.1540151641897155</v>
      </c>
      <c r="W1128" s="9">
        <f t="shared" ca="1" si="171"/>
        <v>3.2318720121421007E-2</v>
      </c>
      <c r="X1128" s="17">
        <f t="shared" ca="1" si="170"/>
        <v>-2.4425947615235498E-2</v>
      </c>
      <c r="Y1128" s="13">
        <f t="shared" si="177"/>
        <v>0</v>
      </c>
      <c r="Z1128" s="13">
        <f t="shared" si="177"/>
        <v>0</v>
      </c>
      <c r="AA1128">
        <f t="shared" ca="1" si="172"/>
        <v>0</v>
      </c>
      <c r="AB1128">
        <f t="shared" ca="1" si="173"/>
        <v>1</v>
      </c>
      <c r="AC1128" s="24">
        <f t="shared" ca="1" si="174"/>
        <v>0</v>
      </c>
      <c r="AD1128" s="24">
        <f t="shared" ca="1" si="175"/>
        <v>-2.4425947615235498E-2</v>
      </c>
    </row>
    <row r="1129" spans="3:30" x14ac:dyDescent="0.25">
      <c r="C1129" s="6">
        <v>1122</v>
      </c>
      <c r="D1129" s="35">
        <v>43605</v>
      </c>
      <c r="E1129" s="37">
        <v>19.649000000000001</v>
      </c>
      <c r="F1129" s="37">
        <v>60.793382745225991</v>
      </c>
      <c r="G1129" s="37">
        <v>54.19</v>
      </c>
      <c r="H1129" s="37">
        <v>2.4797068795992963</v>
      </c>
      <c r="I1129" s="37">
        <v>61.199024695658316</v>
      </c>
      <c r="J1129" s="10">
        <v>0</v>
      </c>
      <c r="K1129" s="38">
        <v>0</v>
      </c>
      <c r="L1129" s="38">
        <v>0</v>
      </c>
      <c r="M1129" s="38">
        <v>0</v>
      </c>
      <c r="N1129" s="38">
        <v>1</v>
      </c>
      <c r="O1129" s="38">
        <v>0</v>
      </c>
      <c r="P1129" s="38">
        <v>0</v>
      </c>
      <c r="Q1129" s="38">
        <v>0</v>
      </c>
      <c r="R1129" s="38">
        <v>0</v>
      </c>
      <c r="S1129" s="38">
        <v>0</v>
      </c>
      <c r="T1129" s="38">
        <v>0</v>
      </c>
      <c r="U1129" s="29" cm="1">
        <f t="array" aca="1" ref="U1129" ca="1">+fair_value_gap(OFFSET(T1128,0,0,-1*$J$5,-1*$AA$1),OFFSET(E1128,0,0,-1*$J$5,1),F1129:T1129,0)</f>
        <v>19.531707937980158</v>
      </c>
      <c r="V1129" s="9" cm="1">
        <f t="array" aca="1" ref="V1129" ca="1">z_score_diff(OFFSET(U1129,0,0,$J$5*-1,1),OFFSET(E1129,0,0,$J$5*-1,1))</f>
        <v>-0.25578300414524591</v>
      </c>
      <c r="W1129" s="9">
        <f t="shared" ca="1" si="171"/>
        <v>1.5940746353336293E-2</v>
      </c>
      <c r="X1129" s="17">
        <f t="shared" ca="1" si="170"/>
        <v>-2.0671242002071995E-2</v>
      </c>
      <c r="Y1129" s="13">
        <f t="shared" ref="Y1129:Z1144" si="178">+Y1128</f>
        <v>0</v>
      </c>
      <c r="Z1129" s="13">
        <f t="shared" si="178"/>
        <v>0</v>
      </c>
      <c r="AA1129">
        <f t="shared" ca="1" si="172"/>
        <v>0</v>
      </c>
      <c r="AB1129">
        <f t="shared" ca="1" si="173"/>
        <v>1</v>
      </c>
      <c r="AC1129" s="24">
        <f t="shared" ca="1" si="174"/>
        <v>0</v>
      </c>
      <c r="AD1129" s="24">
        <f t="shared" ca="1" si="175"/>
        <v>-2.0671242002071995E-2</v>
      </c>
    </row>
    <row r="1130" spans="3:30" x14ac:dyDescent="0.25">
      <c r="C1130" s="6">
        <v>1123</v>
      </c>
      <c r="D1130" s="35">
        <v>43606</v>
      </c>
      <c r="E1130" s="37">
        <v>19.521000000000001</v>
      </c>
      <c r="F1130" s="37">
        <v>60.934613083736124</v>
      </c>
      <c r="G1130" s="37">
        <v>53.89</v>
      </c>
      <c r="H1130" s="37">
        <v>2.433502213798787</v>
      </c>
      <c r="I1130" s="37">
        <v>62.293421426466409</v>
      </c>
      <c r="J1130" s="10">
        <v>0</v>
      </c>
      <c r="K1130" s="38">
        <v>0</v>
      </c>
      <c r="L1130" s="38">
        <v>0</v>
      </c>
      <c r="M1130" s="38">
        <v>0</v>
      </c>
      <c r="N1130" s="38">
        <v>1</v>
      </c>
      <c r="O1130" s="38">
        <v>0</v>
      </c>
      <c r="P1130" s="38">
        <v>0</v>
      </c>
      <c r="Q1130" s="38">
        <v>0</v>
      </c>
      <c r="R1130" s="38">
        <v>0</v>
      </c>
      <c r="S1130" s="38">
        <v>0</v>
      </c>
      <c r="T1130" s="38">
        <v>0</v>
      </c>
      <c r="U1130" s="29" cm="1">
        <f t="array" aca="1" ref="U1130" ca="1">+fair_value_gap(OFFSET(T1129,0,0,-1*$J$5,-1*$AA$1),OFFSET(E1129,0,0,-1*$J$5,1),F1130:T1130,0)</f>
        <v>19.646829691752764</v>
      </c>
      <c r="V1130" s="9" cm="1">
        <f t="array" aca="1" ref="V1130" ca="1">z_score_diff(OFFSET(U1130,0,0,$J$5*-1,1),OFFSET(E1130,0,0,$J$5*-1,1))</f>
        <v>-0.17429211777289422</v>
      </c>
      <c r="W1130" s="9">
        <f t="shared" ca="1" si="171"/>
        <v>1.1281502008298933E-2</v>
      </c>
      <c r="X1130" s="17">
        <f t="shared" ca="1" si="170"/>
        <v>-3.2540549725950239E-2</v>
      </c>
      <c r="Y1130" s="13">
        <f t="shared" si="178"/>
        <v>0</v>
      </c>
      <c r="Z1130" s="13">
        <f t="shared" si="178"/>
        <v>0</v>
      </c>
      <c r="AA1130">
        <f t="shared" ca="1" si="172"/>
        <v>0</v>
      </c>
      <c r="AB1130">
        <f t="shared" ca="1" si="173"/>
        <v>1</v>
      </c>
      <c r="AC1130" s="24">
        <f t="shared" ca="1" si="174"/>
        <v>0</v>
      </c>
      <c r="AD1130" s="24">
        <f t="shared" ca="1" si="175"/>
        <v>-3.2540549725950239E-2</v>
      </c>
    </row>
    <row r="1131" spans="3:30" x14ac:dyDescent="0.25">
      <c r="C1131" s="6">
        <v>1124</v>
      </c>
      <c r="D1131" s="35">
        <v>43607</v>
      </c>
      <c r="E1131" s="37">
        <v>19.736999999999998</v>
      </c>
      <c r="F1131" s="37">
        <v>59.713906550340944</v>
      </c>
      <c r="G1131" s="37">
        <v>54.59</v>
      </c>
      <c r="H1131" s="37">
        <v>2.3698377226247982</v>
      </c>
      <c r="I1131" s="37">
        <v>62.380415463279434</v>
      </c>
      <c r="J1131" s="10">
        <v>0</v>
      </c>
      <c r="K1131" s="38">
        <v>0</v>
      </c>
      <c r="L1131" s="38">
        <v>0</v>
      </c>
      <c r="M1131" s="38">
        <v>0</v>
      </c>
      <c r="N1131" s="38">
        <v>1</v>
      </c>
      <c r="O1131" s="38">
        <v>0</v>
      </c>
      <c r="P1131" s="38">
        <v>0</v>
      </c>
      <c r="Q1131" s="38">
        <v>0</v>
      </c>
      <c r="R1131" s="38">
        <v>0</v>
      </c>
      <c r="S1131" s="38">
        <v>0</v>
      </c>
      <c r="T1131" s="38">
        <v>0</v>
      </c>
      <c r="U1131" s="29" cm="1">
        <f t="array" aca="1" ref="U1131" ca="1">+fair_value_gap(OFFSET(T1130,0,0,-1*$J$5,-1*$AA$1),OFFSET(E1130,0,0,-1*$J$5,1),F1131:T1131,0)</f>
        <v>19.872798160795139</v>
      </c>
      <c r="V1131" s="9" cm="1">
        <f t="array" aca="1" ref="V1131" ca="1">z_score_diff(OFFSET(U1131,0,0,$J$5*-1,1),OFFSET(E1131,0,0,$J$5*-1,1))</f>
        <v>-0.1628664714759237</v>
      </c>
      <c r="W1131" s="9">
        <f t="shared" ca="1" si="171"/>
        <v>5.8986384573626646E-3</v>
      </c>
      <c r="X1131" s="17">
        <f t="shared" ca="1" si="170"/>
        <v>-5.5523528788771766E-2</v>
      </c>
      <c r="Y1131" s="13">
        <f t="shared" si="178"/>
        <v>0</v>
      </c>
      <c r="Z1131" s="13">
        <f t="shared" si="178"/>
        <v>0</v>
      </c>
      <c r="AA1131">
        <f t="shared" ca="1" si="172"/>
        <v>0</v>
      </c>
      <c r="AB1131">
        <f t="shared" ca="1" si="173"/>
        <v>1</v>
      </c>
      <c r="AC1131" s="24">
        <f t="shared" ca="1" si="174"/>
        <v>0</v>
      </c>
      <c r="AD1131" s="24">
        <f t="shared" ca="1" si="175"/>
        <v>-5.5523528788771766E-2</v>
      </c>
    </row>
    <row r="1132" spans="3:30" x14ac:dyDescent="0.25">
      <c r="C1132" s="6">
        <v>1125</v>
      </c>
      <c r="D1132" s="35">
        <v>43608</v>
      </c>
      <c r="E1132" s="37">
        <v>19.690999999999999</v>
      </c>
      <c r="F1132" s="37">
        <v>56.437504734689988</v>
      </c>
      <c r="G1132" s="37">
        <v>54.1</v>
      </c>
      <c r="H1132" s="37">
        <v>2.3871646297956906</v>
      </c>
      <c r="I1132" s="37">
        <v>61.705122626268675</v>
      </c>
      <c r="J1132" s="10">
        <v>0</v>
      </c>
      <c r="K1132" s="38">
        <v>0</v>
      </c>
      <c r="L1132" s="38">
        <v>0</v>
      </c>
      <c r="M1132" s="38">
        <v>0</v>
      </c>
      <c r="N1132" s="38">
        <v>1</v>
      </c>
      <c r="O1132" s="38">
        <v>0</v>
      </c>
      <c r="P1132" s="38">
        <v>0</v>
      </c>
      <c r="Q1132" s="38">
        <v>0</v>
      </c>
      <c r="R1132" s="38">
        <v>0</v>
      </c>
      <c r="S1132" s="38">
        <v>0</v>
      </c>
      <c r="T1132" s="38">
        <v>0</v>
      </c>
      <c r="U1132" s="29" cm="1">
        <f t="array" aca="1" ref="U1132" ca="1">+fair_value_gap(OFFSET(T1131,0,0,-1*$J$5,-1*$AA$1),OFFSET(E1131,0,0,-1*$J$5,1),F1132:T1132,0)</f>
        <v>19.557394807927633</v>
      </c>
      <c r="V1132" s="9" cm="1">
        <f t="array" aca="1" ref="V1132" ca="1">z_score_diff(OFFSET(U1132,0,0,$J$5*-1,1),OFFSET(E1132,0,0,$J$5*-1,1))</f>
        <v>-0.25683660647375406</v>
      </c>
      <c r="W1132" s="9">
        <f t="shared" ca="1" si="171"/>
        <v>1.3129432495975201E-4</v>
      </c>
      <c r="X1132" s="17">
        <f t="shared" ca="1" si="170"/>
        <v>-4.2429349307030656E-2</v>
      </c>
      <c r="Y1132" s="13">
        <f t="shared" si="178"/>
        <v>0</v>
      </c>
      <c r="Z1132" s="13">
        <f t="shared" si="178"/>
        <v>0</v>
      </c>
      <c r="AA1132">
        <f t="shared" ca="1" si="172"/>
        <v>0</v>
      </c>
      <c r="AB1132">
        <f t="shared" ca="1" si="173"/>
        <v>1</v>
      </c>
      <c r="AC1132" s="24">
        <f t="shared" ca="1" si="174"/>
        <v>0</v>
      </c>
      <c r="AD1132" s="24">
        <f t="shared" ca="1" si="175"/>
        <v>-4.2429349307030656E-2</v>
      </c>
    </row>
    <row r="1133" spans="3:30" x14ac:dyDescent="0.25">
      <c r="C1133" s="6">
        <v>1126</v>
      </c>
      <c r="D1133" s="35">
        <v>43609</v>
      </c>
      <c r="E1133" s="37">
        <v>19.398</v>
      </c>
      <c r="F1133" s="37">
        <v>57.182099883578196</v>
      </c>
      <c r="G1133" s="37">
        <v>53.99</v>
      </c>
      <c r="H1133" s="37">
        <v>2.3970229783582067</v>
      </c>
      <c r="I1133" s="37">
        <v>61.112654804070196</v>
      </c>
      <c r="J1133" s="10">
        <v>0</v>
      </c>
      <c r="K1133" s="38">
        <v>0</v>
      </c>
      <c r="L1133" s="38">
        <v>0</v>
      </c>
      <c r="M1133" s="38">
        <v>0</v>
      </c>
      <c r="N1133" s="38">
        <v>1</v>
      </c>
      <c r="O1133" s="38">
        <v>0</v>
      </c>
      <c r="P1133" s="38">
        <v>0</v>
      </c>
      <c r="Q1133" s="38">
        <v>0</v>
      </c>
      <c r="R1133" s="38">
        <v>0</v>
      </c>
      <c r="S1133" s="38">
        <v>0</v>
      </c>
      <c r="T1133" s="38">
        <v>0</v>
      </c>
      <c r="U1133" s="29" cm="1">
        <f t="array" aca="1" ref="U1133" ca="1">+fair_value_gap(OFFSET(T1132,0,0,-1*$J$5,-1*$AA$1),OFFSET(E1132,0,0,-1*$J$5,1),F1133:T1133,0)</f>
        <v>19.482689193822612</v>
      </c>
      <c r="V1133" s="9" cm="1">
        <f t="array" aca="1" ref="V1133" ca="1">z_score_diff(OFFSET(U1133,0,0,$J$5*-1,1),OFFSET(E1133,0,0,$J$5*-1,1))</f>
        <v>-0.18907402409895457</v>
      </c>
      <c r="W1133" s="9">
        <f t="shared" ca="1" si="171"/>
        <v>-2.2885440572513183E-3</v>
      </c>
      <c r="X1133" s="17">
        <f t="shared" ca="1" si="170"/>
        <v>-1.052013951858999E-2</v>
      </c>
      <c r="Y1133" s="13">
        <f t="shared" si="178"/>
        <v>0</v>
      </c>
      <c r="Z1133" s="13">
        <f t="shared" si="178"/>
        <v>0</v>
      </c>
      <c r="AA1133">
        <f t="shared" ca="1" si="172"/>
        <v>1</v>
      </c>
      <c r="AB1133">
        <f t="shared" ca="1" si="173"/>
        <v>0</v>
      </c>
      <c r="AC1133" s="24">
        <f t="shared" ca="1" si="174"/>
        <v>-1.052013951858999E-2</v>
      </c>
      <c r="AD1133" s="24">
        <f t="shared" ca="1" si="175"/>
        <v>0</v>
      </c>
    </row>
    <row r="1134" spans="3:30" x14ac:dyDescent="0.25">
      <c r="C1134" s="6">
        <v>1127</v>
      </c>
      <c r="D1134" s="35">
        <v>43612</v>
      </c>
      <c r="E1134" s="37">
        <v>19.247</v>
      </c>
      <c r="F1134" s="37">
        <v>58.304267699981089</v>
      </c>
      <c r="G1134" s="37">
        <v>53.96</v>
      </c>
      <c r="H1134" s="37">
        <v>2.3979697306902299</v>
      </c>
      <c r="I1134" s="37">
        <v>61.136792473577032</v>
      </c>
      <c r="J1134" s="10">
        <v>0</v>
      </c>
      <c r="K1134" s="38">
        <v>0</v>
      </c>
      <c r="L1134" s="38">
        <v>0</v>
      </c>
      <c r="M1134" s="38">
        <v>0</v>
      </c>
      <c r="N1134" s="38">
        <v>1</v>
      </c>
      <c r="O1134" s="38">
        <v>0</v>
      </c>
      <c r="P1134" s="38">
        <v>0</v>
      </c>
      <c r="Q1134" s="38">
        <v>0</v>
      </c>
      <c r="R1134" s="38">
        <v>0</v>
      </c>
      <c r="S1134" s="38">
        <v>0</v>
      </c>
      <c r="T1134" s="38">
        <v>0</v>
      </c>
      <c r="U1134" s="29" cm="1">
        <f t="array" aca="1" ref="U1134" ca="1">+fair_value_gap(OFFSET(T1133,0,0,-1*$J$5,-1*$AA$1),OFFSET(E1133,0,0,-1*$J$5,1),F1134:T1134,0)</f>
        <v>19.5072437388358</v>
      </c>
      <c r="V1134" s="9" cm="1">
        <f t="array" aca="1" ref="V1134" ca="1">z_score_diff(OFFSET(U1134,0,0,$J$5*-1,1),OFFSET(E1134,0,0,$J$5*-1,1))</f>
        <v>-0.13193161073886317</v>
      </c>
      <c r="W1134" s="9">
        <f t="shared" ca="1" si="171"/>
        <v>-1.0274997375538607E-3</v>
      </c>
      <c r="X1134" s="17">
        <f t="shared" ca="1" si="170"/>
        <v>3.7338631774300928E-3</v>
      </c>
      <c r="Y1134" s="13">
        <f t="shared" si="178"/>
        <v>0</v>
      </c>
      <c r="Z1134" s="13">
        <f t="shared" si="178"/>
        <v>0</v>
      </c>
      <c r="AA1134">
        <f t="shared" ca="1" si="172"/>
        <v>1</v>
      </c>
      <c r="AB1134">
        <f t="shared" ca="1" si="173"/>
        <v>0</v>
      </c>
      <c r="AC1134" s="24">
        <f t="shared" ca="1" si="174"/>
        <v>3.7338631774300928E-3</v>
      </c>
      <c r="AD1134" s="24">
        <f t="shared" ca="1" si="175"/>
        <v>0</v>
      </c>
    </row>
    <row r="1135" spans="3:30" x14ac:dyDescent="0.25">
      <c r="C1135" s="6">
        <v>1128</v>
      </c>
      <c r="D1135" s="35">
        <v>43613</v>
      </c>
      <c r="E1135" s="37">
        <v>19.731999999999999</v>
      </c>
      <c r="F1135" s="37">
        <v>58.493617314110729</v>
      </c>
      <c r="G1135" s="37">
        <v>53.89</v>
      </c>
      <c r="H1135" s="37">
        <v>2.3820930127918398</v>
      </c>
      <c r="I1135" s="37">
        <v>60.566920491911041</v>
      </c>
      <c r="J1135" s="10">
        <v>0</v>
      </c>
      <c r="K1135" s="38">
        <v>0</v>
      </c>
      <c r="L1135" s="38">
        <v>0</v>
      </c>
      <c r="M1135" s="38">
        <v>0</v>
      </c>
      <c r="N1135" s="38">
        <v>1</v>
      </c>
      <c r="O1135" s="38">
        <v>0</v>
      </c>
      <c r="P1135" s="38">
        <v>0</v>
      </c>
      <c r="Q1135" s="38">
        <v>0</v>
      </c>
      <c r="R1135" s="38">
        <v>0</v>
      </c>
      <c r="S1135" s="38">
        <v>0</v>
      </c>
      <c r="T1135" s="38">
        <v>0</v>
      </c>
      <c r="U1135" s="29" cm="1">
        <f t="array" aca="1" ref="U1135" ca="1">+fair_value_gap(OFFSET(T1134,0,0,-1*$J$5,-1*$AA$1),OFFSET(E1134,0,0,-1*$J$5,1),F1135:T1135,0)</f>
        <v>19.467172600810475</v>
      </c>
      <c r="V1135" s="9" cm="1">
        <f t="array" aca="1" ref="V1135" ca="1">z_score_diff(OFFSET(U1135,0,0,$J$5*-1,1),OFFSET(E1135,0,0,$J$5*-1,1))</f>
        <v>-0.29608850352519045</v>
      </c>
      <c r="W1135" s="9">
        <f t="shared" ca="1" si="171"/>
        <v>2.2192252034020477E-2</v>
      </c>
      <c r="X1135" s="17">
        <f t="shared" ca="1" si="170"/>
        <v>-3.6803203871967859E-2</v>
      </c>
      <c r="Y1135" s="13">
        <f t="shared" si="178"/>
        <v>0</v>
      </c>
      <c r="Z1135" s="13">
        <f t="shared" si="178"/>
        <v>0</v>
      </c>
      <c r="AA1135">
        <f t="shared" ca="1" si="172"/>
        <v>0</v>
      </c>
      <c r="AB1135">
        <f t="shared" ca="1" si="173"/>
        <v>1</v>
      </c>
      <c r="AC1135" s="24">
        <f t="shared" ca="1" si="174"/>
        <v>0</v>
      </c>
      <c r="AD1135" s="24">
        <f t="shared" ca="1" si="175"/>
        <v>-3.6803203871967859E-2</v>
      </c>
    </row>
    <row r="1136" spans="3:30" x14ac:dyDescent="0.25">
      <c r="C1136" s="6">
        <v>1129</v>
      </c>
      <c r="D1136" s="35">
        <v>43614</v>
      </c>
      <c r="E1136" s="37">
        <v>19.64</v>
      </c>
      <c r="F1136" s="37">
        <v>58.114739448122343</v>
      </c>
      <c r="G1136" s="37">
        <v>53.91</v>
      </c>
      <c r="H1136" s="37">
        <v>2.4190879666742764</v>
      </c>
      <c r="I1136" s="37">
        <v>59.81358688631348</v>
      </c>
      <c r="J1136" s="10">
        <v>0</v>
      </c>
      <c r="K1136" s="38">
        <v>0</v>
      </c>
      <c r="L1136" s="38">
        <v>0</v>
      </c>
      <c r="M1136" s="38">
        <v>0</v>
      </c>
      <c r="N1136" s="38">
        <v>1</v>
      </c>
      <c r="O1136" s="38">
        <v>0</v>
      </c>
      <c r="P1136" s="38">
        <v>0</v>
      </c>
      <c r="Q1136" s="38">
        <v>0</v>
      </c>
      <c r="R1136" s="38">
        <v>0</v>
      </c>
      <c r="S1136" s="38">
        <v>0</v>
      </c>
      <c r="T1136" s="38">
        <v>0</v>
      </c>
      <c r="U1136" s="29" cm="1">
        <f t="array" aca="1" ref="U1136" ca="1">+fair_value_gap(OFFSET(T1135,0,0,-1*$J$5,-1*$AA$1),OFFSET(E1135,0,0,-1*$J$5,1),F1136:T1136,0)</f>
        <v>19.472186070245819</v>
      </c>
      <c r="V1136" s="9" cm="1">
        <f t="array" aca="1" ref="V1136" ca="1">z_score_diff(OFFSET(U1136,0,0,$J$5*-1,1),OFFSET(E1136,0,0,$J$5*-1,1))</f>
        <v>-0.26350903963682315</v>
      </c>
      <c r="W1136" s="9">
        <f t="shared" ca="1" si="171"/>
        <v>-4.3541871150770871E-2</v>
      </c>
      <c r="X1136" s="17">
        <f t="shared" ca="1" si="170"/>
        <v>-2.9504323073830139E-2</v>
      </c>
      <c r="Y1136" s="13">
        <f t="shared" si="178"/>
        <v>0</v>
      </c>
      <c r="Z1136" s="13">
        <f t="shared" si="178"/>
        <v>0</v>
      </c>
      <c r="AA1136">
        <f t="shared" ca="1" si="172"/>
        <v>1</v>
      </c>
      <c r="AB1136">
        <f t="shared" ca="1" si="173"/>
        <v>0</v>
      </c>
      <c r="AC1136" s="24">
        <f t="shared" ca="1" si="174"/>
        <v>-2.9504323073830139E-2</v>
      </c>
      <c r="AD1136" s="24">
        <f t="shared" ca="1" si="175"/>
        <v>0</v>
      </c>
    </row>
    <row r="1137" spans="3:30" x14ac:dyDescent="0.25">
      <c r="C1137" s="6">
        <v>1130</v>
      </c>
      <c r="D1137" s="35">
        <v>43615</v>
      </c>
      <c r="E1137" s="37">
        <v>19.324000000000002</v>
      </c>
      <c r="F1137" s="37">
        <v>56.126228259051487</v>
      </c>
      <c r="G1137" s="37">
        <v>53.41</v>
      </c>
      <c r="H1137" s="37">
        <v>2.5204588155436554</v>
      </c>
      <c r="I1137" s="37">
        <v>58.940504605058791</v>
      </c>
      <c r="J1137" s="10">
        <v>0</v>
      </c>
      <c r="K1137" s="38">
        <v>0</v>
      </c>
      <c r="L1137" s="38">
        <v>0</v>
      </c>
      <c r="M1137" s="38">
        <v>0</v>
      </c>
      <c r="N1137" s="38">
        <v>1</v>
      </c>
      <c r="O1137" s="38">
        <v>0</v>
      </c>
      <c r="P1137" s="38">
        <v>0</v>
      </c>
      <c r="Q1137" s="38">
        <v>0</v>
      </c>
      <c r="R1137" s="38">
        <v>0</v>
      </c>
      <c r="S1137" s="38">
        <v>0</v>
      </c>
      <c r="T1137" s="38">
        <v>0</v>
      </c>
      <c r="U1137" s="29" cm="1">
        <f t="array" aca="1" ref="U1137" ca="1">+fair_value_gap(OFFSET(T1136,0,0,-1*$J$5,-1*$AA$1),OFFSET(E1136,0,0,-1*$J$5,1),F1137:T1137,0)</f>
        <v>19.249966285204174</v>
      </c>
      <c r="V1137" s="9" cm="1">
        <f t="array" aca="1" ref="V1137" ca="1">z_score_diff(OFFSET(U1137,0,0,$J$5*-1,1),OFFSET(E1137,0,0,$J$5*-1,1))</f>
        <v>-0.23953590259468249</v>
      </c>
      <c r="W1137" s="9">
        <f t="shared" ca="1" si="171"/>
        <v>-8.4589864396745804E-2</v>
      </c>
      <c r="X1137" s="17">
        <f t="shared" ca="1" si="170"/>
        <v>-2.0124558638562027E-2</v>
      </c>
      <c r="Y1137" s="13">
        <f t="shared" si="178"/>
        <v>0</v>
      </c>
      <c r="Z1137" s="13">
        <f t="shared" si="178"/>
        <v>0</v>
      </c>
      <c r="AA1137">
        <f t="shared" ca="1" si="172"/>
        <v>1</v>
      </c>
      <c r="AB1137">
        <f t="shared" ca="1" si="173"/>
        <v>0</v>
      </c>
      <c r="AC1137" s="24">
        <f t="shared" ca="1" si="174"/>
        <v>-2.0124558638562027E-2</v>
      </c>
      <c r="AD1137" s="24">
        <f t="shared" ca="1" si="175"/>
        <v>0</v>
      </c>
    </row>
    <row r="1138" spans="3:30" x14ac:dyDescent="0.25">
      <c r="C1138" s="6">
        <v>1131</v>
      </c>
      <c r="D1138" s="35">
        <v>43616</v>
      </c>
      <c r="E1138" s="37">
        <v>19.411999999999999</v>
      </c>
      <c r="F1138" s="37">
        <v>53.084271170166204</v>
      </c>
      <c r="G1138" s="37">
        <v>52.96</v>
      </c>
      <c r="H1138" s="37">
        <v>2.4419647269800477</v>
      </c>
      <c r="I1138" s="37">
        <v>57.541055366497702</v>
      </c>
      <c r="J1138" s="10">
        <v>0</v>
      </c>
      <c r="K1138" s="38">
        <v>0</v>
      </c>
      <c r="L1138" s="38">
        <v>0</v>
      </c>
      <c r="M1138" s="38">
        <v>0</v>
      </c>
      <c r="N1138" s="38">
        <v>1</v>
      </c>
      <c r="O1138" s="38">
        <v>0</v>
      </c>
      <c r="P1138" s="38">
        <v>0</v>
      </c>
      <c r="Q1138" s="38">
        <v>0</v>
      </c>
      <c r="R1138" s="38">
        <v>0</v>
      </c>
      <c r="S1138" s="38">
        <v>0</v>
      </c>
      <c r="T1138" s="38">
        <v>0</v>
      </c>
      <c r="U1138" s="29" cm="1">
        <f t="array" aca="1" ref="U1138" ca="1">+fair_value_gap(OFFSET(T1137,0,0,-1*$J$5,-1*$AA$1),OFFSET(E1137,0,0,-1*$J$5,1),F1138:T1138,0)</f>
        <v>18.974418881976792</v>
      </c>
      <c r="V1138" s="9" cm="1">
        <f t="array" aca="1" ref="V1138" ca="1">z_score_diff(OFFSET(U1138,0,0,$J$5*-1,1),OFFSET(E1138,0,0,$J$5*-1,1))</f>
        <v>-0.3595548449646907</v>
      </c>
      <c r="W1138" s="9">
        <f t="shared" ca="1" si="171"/>
        <v>-0.11408419727049868</v>
      </c>
      <c r="X1138" s="17">
        <f t="shared" ca="1" si="170"/>
        <v>-3.0599421800394863E-2</v>
      </c>
      <c r="Y1138" s="13">
        <f t="shared" si="178"/>
        <v>0</v>
      </c>
      <c r="Z1138" s="13">
        <f t="shared" si="178"/>
        <v>0</v>
      </c>
      <c r="AA1138">
        <f t="shared" ca="1" si="172"/>
        <v>1</v>
      </c>
      <c r="AB1138">
        <f t="shared" ca="1" si="173"/>
        <v>0</v>
      </c>
      <c r="AC1138" s="24">
        <f t="shared" ca="1" si="174"/>
        <v>-3.0599421800394863E-2</v>
      </c>
      <c r="AD1138" s="24">
        <f t="shared" ca="1" si="175"/>
        <v>0</v>
      </c>
    </row>
    <row r="1139" spans="3:30" x14ac:dyDescent="0.25">
      <c r="C1139" s="6">
        <v>1132</v>
      </c>
      <c r="D1139" s="35">
        <v>43619</v>
      </c>
      <c r="E1139" s="37">
        <v>19.204999999999998</v>
      </c>
      <c r="F1139" s="37">
        <v>52.123348944903441</v>
      </c>
      <c r="G1139" s="37">
        <v>52.03</v>
      </c>
      <c r="H1139" s="37">
        <v>2.3873423494535952</v>
      </c>
      <c r="I1139" s="37">
        <v>56.482309810731643</v>
      </c>
      <c r="J1139" s="10">
        <v>0</v>
      </c>
      <c r="K1139" s="38">
        <v>0</v>
      </c>
      <c r="L1139" s="38">
        <v>0</v>
      </c>
      <c r="M1139" s="38">
        <v>0</v>
      </c>
      <c r="N1139" s="38">
        <v>0</v>
      </c>
      <c r="O1139" s="38">
        <v>1</v>
      </c>
      <c r="P1139" s="38">
        <v>0</v>
      </c>
      <c r="Q1139" s="38">
        <v>0</v>
      </c>
      <c r="R1139" s="38">
        <v>0</v>
      </c>
      <c r="S1139" s="38">
        <v>0</v>
      </c>
      <c r="T1139" s="38">
        <v>0</v>
      </c>
      <c r="U1139" s="29" cm="1">
        <f t="array" aca="1" ref="U1139" ca="1">+fair_value_gap(OFFSET(T1138,0,0,-1*$J$5,-1*$AA$1),OFFSET(E1138,0,0,-1*$J$5,1),F1139:T1139,0)</f>
        <v>21.164795688524645</v>
      </c>
      <c r="V1139" s="9" cm="1">
        <f t="array" aca="1" ref="V1139" ca="1">z_score_diff(OFFSET(U1139,0,0,$J$5*-1,1),OFFSET(E1139,0,0,$J$5*-1,1))</f>
        <v>0.45849507268049478</v>
      </c>
      <c r="W1139" s="9">
        <f t="shared" ca="1" si="171"/>
        <v>-0.10269896110036678</v>
      </c>
      <c r="X1139" s="17">
        <f t="shared" ca="1" si="170"/>
        <v>-2.1792629990852498E-2</v>
      </c>
      <c r="Y1139" s="13">
        <f t="shared" si="178"/>
        <v>0</v>
      </c>
      <c r="Z1139" s="13">
        <f t="shared" si="178"/>
        <v>0</v>
      </c>
      <c r="AA1139">
        <f t="shared" ca="1" si="172"/>
        <v>1</v>
      </c>
      <c r="AB1139">
        <f t="shared" ca="1" si="173"/>
        <v>0</v>
      </c>
      <c r="AC1139" s="24">
        <f t="shared" ca="1" si="174"/>
        <v>-2.1792629990852498E-2</v>
      </c>
      <c r="AD1139" s="24">
        <f t="shared" ca="1" si="175"/>
        <v>0</v>
      </c>
    </row>
    <row r="1140" spans="3:30" x14ac:dyDescent="0.25">
      <c r="C1140" s="6">
        <v>1133</v>
      </c>
      <c r="D1140" s="35">
        <v>43620</v>
      </c>
      <c r="E1140" s="37">
        <v>19.16</v>
      </c>
      <c r="F1140" s="37">
        <v>52.381987185778179</v>
      </c>
      <c r="G1140" s="37">
        <v>51.92</v>
      </c>
      <c r="H1140" s="37">
        <v>2.4017903458718299</v>
      </c>
      <c r="I1140" s="37">
        <v>56.780742215430337</v>
      </c>
      <c r="J1140" s="10">
        <v>0</v>
      </c>
      <c r="K1140" s="38">
        <v>0</v>
      </c>
      <c r="L1140" s="38">
        <v>0</v>
      </c>
      <c r="M1140" s="38">
        <v>0</v>
      </c>
      <c r="N1140" s="38">
        <v>0</v>
      </c>
      <c r="O1140" s="38">
        <v>1</v>
      </c>
      <c r="P1140" s="38">
        <v>0</v>
      </c>
      <c r="Q1140" s="38">
        <v>0</v>
      </c>
      <c r="R1140" s="38">
        <v>0</v>
      </c>
      <c r="S1140" s="38">
        <v>0</v>
      </c>
      <c r="T1140" s="38">
        <v>0</v>
      </c>
      <c r="U1140" s="29" cm="1">
        <f t="array" aca="1" ref="U1140" ca="1">+fair_value_gap(OFFSET(T1139,0,0,-1*$J$5,-1*$AA$1),OFFSET(E1139,0,0,-1*$J$5,1),F1140:T1140,0)</f>
        <v>20.311831703096278</v>
      </c>
      <c r="V1140" s="9" cm="1">
        <f t="array" aca="1" ref="V1140" ca="1">z_score_diff(OFFSET(U1140,0,0,$J$5*-1,1),OFFSET(E1140,0,0,$J$5*-1,1))</f>
        <v>0.17650039609152879</v>
      </c>
      <c r="W1140" s="9">
        <f t="shared" ca="1" si="171"/>
        <v>-0.10317450715849877</v>
      </c>
      <c r="X1140" s="17">
        <f t="shared" ca="1" si="170"/>
        <v>-4.0474107927774686E-2</v>
      </c>
      <c r="Y1140" s="13">
        <f t="shared" si="178"/>
        <v>0</v>
      </c>
      <c r="Z1140" s="13">
        <f t="shared" si="178"/>
        <v>0</v>
      </c>
      <c r="AA1140">
        <f t="shared" ca="1" si="172"/>
        <v>1</v>
      </c>
      <c r="AB1140">
        <f t="shared" ca="1" si="173"/>
        <v>0</v>
      </c>
      <c r="AC1140" s="24">
        <f t="shared" ca="1" si="174"/>
        <v>-4.0474107927774686E-2</v>
      </c>
      <c r="AD1140" s="24">
        <f t="shared" ca="1" si="175"/>
        <v>0</v>
      </c>
    </row>
    <row r="1141" spans="3:30" x14ac:dyDescent="0.25">
      <c r="C1141" s="6">
        <v>1134</v>
      </c>
      <c r="D1141" s="35">
        <v>43621</v>
      </c>
      <c r="E1141" s="37">
        <v>19.158000000000001</v>
      </c>
      <c r="F1141" s="37">
        <v>51.039373607687544</v>
      </c>
      <c r="G1141" s="37">
        <v>52.22</v>
      </c>
      <c r="H1141" s="37">
        <v>2.3823647012816962</v>
      </c>
      <c r="I1141" s="37">
        <v>56.681122549859616</v>
      </c>
      <c r="J1141" s="10">
        <v>0</v>
      </c>
      <c r="K1141" s="38">
        <v>0</v>
      </c>
      <c r="L1141" s="38">
        <v>0</v>
      </c>
      <c r="M1141" s="38">
        <v>0</v>
      </c>
      <c r="N1141" s="38">
        <v>0</v>
      </c>
      <c r="O1141" s="38">
        <v>1</v>
      </c>
      <c r="P1141" s="38">
        <v>0</v>
      </c>
      <c r="Q1141" s="38">
        <v>0</v>
      </c>
      <c r="R1141" s="38">
        <v>0</v>
      </c>
      <c r="S1141" s="38">
        <v>0</v>
      </c>
      <c r="T1141" s="38">
        <v>0</v>
      </c>
      <c r="U1141" s="29" cm="1">
        <f t="array" aca="1" ref="U1141" ca="1">+fair_value_gap(OFFSET(T1140,0,0,-1*$J$5,-1*$AA$1),OFFSET(E1140,0,0,-1*$J$5,1),F1141:T1141,0)</f>
        <v>20.024414314801554</v>
      </c>
      <c r="V1141" s="9" cm="1">
        <f t="array" aca="1" ref="V1141" ca="1">z_score_diff(OFFSET(U1141,0,0,$J$5*-1,1),OFFSET(E1141,0,0,$J$5*-1,1))</f>
        <v>7.6771199556002201E-2</v>
      </c>
      <c r="W1141" s="9">
        <f t="shared" ca="1" si="171"/>
        <v>-0.10704271337829734</v>
      </c>
      <c r="X1141" s="17">
        <f t="shared" ca="1" si="170"/>
        <v>-4.9377558700056536E-2</v>
      </c>
      <c r="Y1141" s="13">
        <f t="shared" si="178"/>
        <v>0</v>
      </c>
      <c r="Z1141" s="13">
        <f t="shared" si="178"/>
        <v>0</v>
      </c>
      <c r="AA1141">
        <f t="shared" ca="1" si="172"/>
        <v>1</v>
      </c>
      <c r="AB1141">
        <f t="shared" ca="1" si="173"/>
        <v>0</v>
      </c>
      <c r="AC1141" s="24">
        <f t="shared" ca="1" si="174"/>
        <v>-4.9377558700056536E-2</v>
      </c>
      <c r="AD1141" s="24">
        <f t="shared" ca="1" si="175"/>
        <v>0</v>
      </c>
    </row>
    <row r="1142" spans="3:30" x14ac:dyDescent="0.25">
      <c r="C1142" s="6">
        <v>1135</v>
      </c>
      <c r="D1142" s="35">
        <v>43622</v>
      </c>
      <c r="E1142" s="37">
        <v>19.015000000000001</v>
      </c>
      <c r="F1142" s="37">
        <v>51.560906758361597</v>
      </c>
      <c r="G1142" s="37">
        <v>51.99</v>
      </c>
      <c r="H1142" s="37">
        <v>2.3270619552917267</v>
      </c>
      <c r="I1142" s="37">
        <v>57.761158266448156</v>
      </c>
      <c r="J1142" s="10">
        <v>0</v>
      </c>
      <c r="K1142" s="38">
        <v>0</v>
      </c>
      <c r="L1142" s="38">
        <v>0</v>
      </c>
      <c r="M1142" s="38">
        <v>0</v>
      </c>
      <c r="N1142" s="38">
        <v>0</v>
      </c>
      <c r="O1142" s="38">
        <v>1</v>
      </c>
      <c r="P1142" s="38">
        <v>0</v>
      </c>
      <c r="Q1142" s="38">
        <v>0</v>
      </c>
      <c r="R1142" s="38">
        <v>0</v>
      </c>
      <c r="S1142" s="38">
        <v>0</v>
      </c>
      <c r="T1142" s="38">
        <v>0</v>
      </c>
      <c r="U1142" s="29" cm="1">
        <f t="array" aca="1" ref="U1142" ca="1">+fair_value_gap(OFFSET(T1141,0,0,-1*$J$5,-1*$AA$1),OFFSET(E1141,0,0,-1*$J$5,1),F1142:T1142,0)</f>
        <v>19.844703175825074</v>
      </c>
      <c r="V1142" s="9" cm="1">
        <f t="array" aca="1" ref="V1142" ca="1">z_score_diff(OFFSET(U1142,0,0,$J$5*-1,1),OFFSET(E1142,0,0,$J$5*-1,1))</f>
        <v>5.872956080349645E-2</v>
      </c>
      <c r="W1142" s="9">
        <f t="shared" ca="1" si="171"/>
        <v>-0.11029799269200993</v>
      </c>
      <c r="X1142" s="17">
        <f t="shared" ca="1" si="170"/>
        <v>-3.7125617787206154E-2</v>
      </c>
      <c r="Y1142" s="13">
        <f t="shared" si="178"/>
        <v>0</v>
      </c>
      <c r="Z1142" s="13">
        <f t="shared" si="178"/>
        <v>0</v>
      </c>
      <c r="AA1142">
        <f t="shared" ca="1" si="172"/>
        <v>1</v>
      </c>
      <c r="AB1142">
        <f t="shared" ca="1" si="173"/>
        <v>0</v>
      </c>
      <c r="AC1142" s="24">
        <f t="shared" ca="1" si="174"/>
        <v>-3.7125617787206154E-2</v>
      </c>
      <c r="AD1142" s="24">
        <f t="shared" ca="1" si="175"/>
        <v>0</v>
      </c>
    </row>
    <row r="1143" spans="3:30" x14ac:dyDescent="0.25">
      <c r="C1143" s="6">
        <v>1136</v>
      </c>
      <c r="D1143" s="35">
        <v>43623</v>
      </c>
      <c r="E1143" s="37">
        <v>19.669</v>
      </c>
      <c r="F1143" s="37">
        <v>52.764201813062229</v>
      </c>
      <c r="G1143" s="37">
        <v>52.27</v>
      </c>
      <c r="H1143" s="37">
        <v>2.3152883012660102</v>
      </c>
      <c r="I1143" s="37">
        <v>58.360932556348111</v>
      </c>
      <c r="J1143" s="10">
        <v>0</v>
      </c>
      <c r="K1143" s="38">
        <v>0</v>
      </c>
      <c r="L1143" s="38">
        <v>0</v>
      </c>
      <c r="M1143" s="38">
        <v>0</v>
      </c>
      <c r="N1143" s="38">
        <v>0</v>
      </c>
      <c r="O1143" s="38">
        <v>1</v>
      </c>
      <c r="P1143" s="38">
        <v>0</v>
      </c>
      <c r="Q1143" s="38">
        <v>0</v>
      </c>
      <c r="R1143" s="38">
        <v>0</v>
      </c>
      <c r="S1143" s="38">
        <v>0</v>
      </c>
      <c r="T1143" s="38">
        <v>0</v>
      </c>
      <c r="U1143" s="29" cm="1">
        <f t="array" aca="1" ref="U1143" ca="1">+fair_value_gap(OFFSET(T1142,0,0,-1*$J$5,-1*$AA$1),OFFSET(E1142,0,0,-1*$J$5,1),F1143:T1143,0)</f>
        <v>19.852860952622869</v>
      </c>
      <c r="V1143" s="9" cm="1">
        <f t="array" aca="1" ref="V1143" ca="1">z_score_diff(OFFSET(U1143,0,0,$J$5*-1,1),OFFSET(E1143,0,0,$J$5*-1,1))</f>
        <v>-0.14199715055132434</v>
      </c>
      <c r="W1143" s="9">
        <f t="shared" ca="1" si="171"/>
        <v>-0.12341722357449351</v>
      </c>
      <c r="X1143" s="17">
        <f t="shared" ca="1" si="170"/>
        <v>-5.8627913023214261E-2</v>
      </c>
      <c r="Y1143" s="13">
        <f t="shared" si="178"/>
        <v>0</v>
      </c>
      <c r="Z1143" s="13">
        <f t="shared" si="178"/>
        <v>0</v>
      </c>
      <c r="AA1143">
        <f t="shared" ca="1" si="172"/>
        <v>1</v>
      </c>
      <c r="AB1143">
        <f t="shared" ca="1" si="173"/>
        <v>0</v>
      </c>
      <c r="AC1143" s="24">
        <f t="shared" ca="1" si="174"/>
        <v>-5.8627913023214261E-2</v>
      </c>
      <c r="AD1143" s="24">
        <f t="shared" ca="1" si="175"/>
        <v>0</v>
      </c>
    </row>
    <row r="1144" spans="3:30" x14ac:dyDescent="0.25">
      <c r="C1144" s="6">
        <v>1137</v>
      </c>
      <c r="D1144" s="35">
        <v>43626</v>
      </c>
      <c r="E1144" s="37">
        <v>20.077000000000002</v>
      </c>
      <c r="F1144" s="37">
        <v>52.406542972580709</v>
      </c>
      <c r="G1144" s="37">
        <v>52.76</v>
      </c>
      <c r="H1144" s="37">
        <v>2.3248211927457212</v>
      </c>
      <c r="I1144" s="37">
        <v>60.016475110814731</v>
      </c>
      <c r="J1144" s="10">
        <v>0</v>
      </c>
      <c r="K1144" s="38">
        <v>0</v>
      </c>
      <c r="L1144" s="38">
        <v>0</v>
      </c>
      <c r="M1144" s="38">
        <v>0</v>
      </c>
      <c r="N1144" s="38">
        <v>0</v>
      </c>
      <c r="O1144" s="38">
        <v>1</v>
      </c>
      <c r="P1144" s="38">
        <v>0</v>
      </c>
      <c r="Q1144" s="38">
        <v>0</v>
      </c>
      <c r="R1144" s="38">
        <v>0</v>
      </c>
      <c r="S1144" s="38">
        <v>0</v>
      </c>
      <c r="T1144" s="38">
        <v>0</v>
      </c>
      <c r="U1144" s="29" cm="1">
        <f t="array" aca="1" ref="U1144" ca="1">+fair_value_gap(OFFSET(T1143,0,0,-1*$J$5,-1*$AA$1),OFFSET(E1143,0,0,-1*$J$5,1),F1144:T1144,0)</f>
        <v>20.056272353968083</v>
      </c>
      <c r="V1144" s="9" cm="1">
        <f t="array" aca="1" ref="V1144" ca="1">z_score_diff(OFFSET(U1144,0,0,$J$5*-1,1),OFFSET(E1144,0,0,$J$5*-1,1))</f>
        <v>-0.19836315630981516</v>
      </c>
      <c r="W1144" s="9">
        <f t="shared" ca="1" si="171"/>
        <v>-0.13303642691258516</v>
      </c>
      <c r="X1144" s="17">
        <f t="shared" ca="1" si="170"/>
        <v>-6.3168073802265259E-2</v>
      </c>
      <c r="Y1144" s="13">
        <f t="shared" si="178"/>
        <v>0</v>
      </c>
      <c r="Z1144" s="13">
        <f t="shared" si="178"/>
        <v>0</v>
      </c>
      <c r="AA1144">
        <f t="shared" ca="1" si="172"/>
        <v>1</v>
      </c>
      <c r="AB1144">
        <f t="shared" ca="1" si="173"/>
        <v>0</v>
      </c>
      <c r="AC1144" s="24">
        <f t="shared" ca="1" si="174"/>
        <v>-6.3168073802265259E-2</v>
      </c>
      <c r="AD1144" s="24">
        <f t="shared" ca="1" si="175"/>
        <v>0</v>
      </c>
    </row>
    <row r="1145" spans="3:30" x14ac:dyDescent="0.25">
      <c r="C1145" s="6">
        <v>1138</v>
      </c>
      <c r="D1145" s="35">
        <v>43627</v>
      </c>
      <c r="E1145" s="37">
        <v>19.367999999999999</v>
      </c>
      <c r="F1145" s="37">
        <v>52.533734386096839</v>
      </c>
      <c r="G1145" s="37">
        <v>52.69</v>
      </c>
      <c r="H1145" s="37">
        <v>2.3403447939730682</v>
      </c>
      <c r="I1145" s="37">
        <v>57.442453106070104</v>
      </c>
      <c r="J1145" s="10">
        <v>0</v>
      </c>
      <c r="K1145" s="38">
        <v>0</v>
      </c>
      <c r="L1145" s="38">
        <v>0</v>
      </c>
      <c r="M1145" s="38">
        <v>0</v>
      </c>
      <c r="N1145" s="38">
        <v>0</v>
      </c>
      <c r="O1145" s="38">
        <v>1</v>
      </c>
      <c r="P1145" s="38">
        <v>0</v>
      </c>
      <c r="Q1145" s="38">
        <v>0</v>
      </c>
      <c r="R1145" s="38">
        <v>0</v>
      </c>
      <c r="S1145" s="38">
        <v>0</v>
      </c>
      <c r="T1145" s="38">
        <v>0</v>
      </c>
      <c r="U1145" s="29" cm="1">
        <f t="array" aca="1" ref="U1145" ca="1">+fair_value_gap(OFFSET(T1144,0,0,-1*$J$5,-1*$AA$1),OFFSET(E1144,0,0,-1*$J$5,1),F1145:T1145,0)</f>
        <v>19.868367596570529</v>
      </c>
      <c r="V1145" s="9" cm="1">
        <f t="array" aca="1" ref="V1145" ca="1">z_score_diff(OFFSET(U1145,0,0,$J$5*-1,1),OFFSET(E1145,0,0,$J$5*-1,1))</f>
        <v>-4.1115517110799638E-2</v>
      </c>
      <c r="W1145" s="9">
        <f t="shared" ca="1" si="171"/>
        <v>-0.12673484731025392</v>
      </c>
      <c r="X1145" s="17">
        <f t="shared" ca="1" si="170"/>
        <v>-2.419578229286104E-2</v>
      </c>
      <c r="Y1145" s="13">
        <f t="shared" ref="Y1145:Z1160" si="179">+Y1144</f>
        <v>0</v>
      </c>
      <c r="Z1145" s="13">
        <f t="shared" si="179"/>
        <v>0</v>
      </c>
      <c r="AA1145">
        <f t="shared" ca="1" si="172"/>
        <v>1</v>
      </c>
      <c r="AB1145">
        <f t="shared" ca="1" si="173"/>
        <v>0</v>
      </c>
      <c r="AC1145" s="24">
        <f t="shared" ca="1" si="174"/>
        <v>-2.419578229286104E-2</v>
      </c>
      <c r="AD1145" s="24">
        <f t="shared" ca="1" si="175"/>
        <v>0</v>
      </c>
    </row>
    <row r="1146" spans="3:30" x14ac:dyDescent="0.25">
      <c r="C1146" s="6">
        <v>1139</v>
      </c>
      <c r="D1146" s="35">
        <v>43628</v>
      </c>
      <c r="E1146" s="37">
        <v>19.303999999999998</v>
      </c>
      <c r="F1146" s="37">
        <v>50.857510742360667</v>
      </c>
      <c r="G1146" s="37">
        <v>51.91</v>
      </c>
      <c r="H1146" s="37">
        <v>2.3349729682983522</v>
      </c>
      <c r="I1146" s="37">
        <v>56.692759312593743</v>
      </c>
      <c r="J1146" s="10">
        <v>0</v>
      </c>
      <c r="K1146" s="38">
        <v>0</v>
      </c>
      <c r="L1146" s="38">
        <v>0</v>
      </c>
      <c r="M1146" s="38">
        <v>0</v>
      </c>
      <c r="N1146" s="38">
        <v>0</v>
      </c>
      <c r="O1146" s="38">
        <v>1</v>
      </c>
      <c r="P1146" s="38">
        <v>0</v>
      </c>
      <c r="Q1146" s="38">
        <v>0</v>
      </c>
      <c r="R1146" s="38">
        <v>0</v>
      </c>
      <c r="S1146" s="38">
        <v>0</v>
      </c>
      <c r="T1146" s="38">
        <v>0</v>
      </c>
      <c r="U1146" s="29" cm="1">
        <f t="array" aca="1" ref="U1146" ca="1">+fair_value_gap(OFFSET(T1145,0,0,-1*$J$5,-1*$AA$1),OFFSET(E1145,0,0,-1*$J$5,1),F1146:T1146,0)</f>
        <v>19.49160613918102</v>
      </c>
      <c r="V1146" s="9" cm="1">
        <f t="array" aca="1" ref="V1146" ca="1">z_score_diff(OFFSET(U1146,0,0,$J$5*-1,1),OFFSET(E1146,0,0,$J$5*-1,1))</f>
        <v>-0.14919938616569539</v>
      </c>
      <c r="W1146" s="9">
        <f t="shared" ca="1" si="171"/>
        <v>-0.12148006376411399</v>
      </c>
      <c r="X1146" s="17">
        <f t="shared" ca="1" si="170"/>
        <v>1.1588211977914658E-2</v>
      </c>
      <c r="Y1146" s="13">
        <f t="shared" si="179"/>
        <v>0</v>
      </c>
      <c r="Z1146" s="13">
        <f t="shared" si="179"/>
        <v>0</v>
      </c>
      <c r="AA1146">
        <f t="shared" ca="1" si="172"/>
        <v>1</v>
      </c>
      <c r="AB1146">
        <f t="shared" ca="1" si="173"/>
        <v>0</v>
      </c>
      <c r="AC1146" s="24">
        <f t="shared" ca="1" si="174"/>
        <v>1.1588211977914658E-2</v>
      </c>
      <c r="AD1146" s="24">
        <f t="shared" ca="1" si="175"/>
        <v>0</v>
      </c>
    </row>
    <row r="1147" spans="3:30" x14ac:dyDescent="0.25">
      <c r="C1147" s="6">
        <v>1140</v>
      </c>
      <c r="D1147" s="35">
        <v>43629</v>
      </c>
      <c r="E1147" s="37">
        <v>19.419</v>
      </c>
      <c r="F1147" s="37">
        <v>51.902902400509234</v>
      </c>
      <c r="G1147" s="37">
        <v>52.61</v>
      </c>
      <c r="H1147" s="37">
        <v>2.3057269816398729</v>
      </c>
      <c r="I1147" s="37">
        <v>56.87809638061195</v>
      </c>
      <c r="J1147" s="10">
        <v>0</v>
      </c>
      <c r="K1147" s="38">
        <v>0</v>
      </c>
      <c r="L1147" s="38">
        <v>0</v>
      </c>
      <c r="M1147" s="38">
        <v>0</v>
      </c>
      <c r="N1147" s="38">
        <v>0</v>
      </c>
      <c r="O1147" s="38">
        <v>1</v>
      </c>
      <c r="P1147" s="38">
        <v>0</v>
      </c>
      <c r="Q1147" s="38">
        <v>0</v>
      </c>
      <c r="R1147" s="38">
        <v>0</v>
      </c>
      <c r="S1147" s="38">
        <v>0</v>
      </c>
      <c r="T1147" s="38">
        <v>0</v>
      </c>
      <c r="U1147" s="29" cm="1">
        <f t="array" aca="1" ref="U1147" ca="1">+fair_value_gap(OFFSET(T1146,0,0,-1*$J$5,-1*$AA$1),OFFSET(E1146,0,0,-1*$J$5,1),F1147:T1147,0)</f>
        <v>19.735018053438036</v>
      </c>
      <c r="V1147" s="9" cm="1">
        <f t="array" aca="1" ref="V1147" ca="1">z_score_diff(OFFSET(U1147,0,0,$J$5*-1,1),OFFSET(E1147,0,0,$J$5*-1,1))</f>
        <v>-0.10086473972820165</v>
      </c>
      <c r="W1147" s="9">
        <f t="shared" ca="1" si="171"/>
        <v>-0.11722655051755257</v>
      </c>
      <c r="X1147" s="17">
        <f t="shared" ca="1" si="170"/>
        <v>5.8407840395688429E-2</v>
      </c>
      <c r="Y1147" s="13">
        <f t="shared" si="179"/>
        <v>0</v>
      </c>
      <c r="Z1147" s="13">
        <f t="shared" si="179"/>
        <v>0</v>
      </c>
      <c r="AA1147">
        <f t="shared" ca="1" si="172"/>
        <v>1</v>
      </c>
      <c r="AB1147">
        <f t="shared" ca="1" si="173"/>
        <v>0</v>
      </c>
      <c r="AC1147" s="24">
        <f t="shared" ca="1" si="174"/>
        <v>5.8407840395688429E-2</v>
      </c>
      <c r="AD1147" s="24">
        <f t="shared" ca="1" si="175"/>
        <v>0</v>
      </c>
    </row>
    <row r="1148" spans="3:30" x14ac:dyDescent="0.25">
      <c r="C1148" s="6">
        <v>1141</v>
      </c>
      <c r="D1148" s="35">
        <v>43630</v>
      </c>
      <c r="E1148" s="37">
        <v>19.21</v>
      </c>
      <c r="F1148" s="37">
        <v>52.543612518581696</v>
      </c>
      <c r="G1148" s="37">
        <v>52.14</v>
      </c>
      <c r="H1148" s="37">
        <v>2.358741734502495</v>
      </c>
      <c r="I1148" s="37">
        <v>56.020116194434252</v>
      </c>
      <c r="J1148" s="10">
        <v>0</v>
      </c>
      <c r="K1148" s="38">
        <v>0</v>
      </c>
      <c r="L1148" s="38">
        <v>0</v>
      </c>
      <c r="M1148" s="38">
        <v>0</v>
      </c>
      <c r="N1148" s="38">
        <v>0</v>
      </c>
      <c r="O1148" s="38">
        <v>1</v>
      </c>
      <c r="P1148" s="38">
        <v>0</v>
      </c>
      <c r="Q1148" s="38">
        <v>0</v>
      </c>
      <c r="R1148" s="38">
        <v>0</v>
      </c>
      <c r="S1148" s="38">
        <v>0</v>
      </c>
      <c r="T1148" s="38">
        <v>0</v>
      </c>
      <c r="U1148" s="29" cm="1">
        <f t="array" aca="1" ref="U1148" ca="1">+fair_value_gap(OFFSET(T1147,0,0,-1*$J$5,-1*$AA$1),OFFSET(E1147,0,0,-1*$J$5,1),F1148:T1148,0)</f>
        <v>19.491879779653509</v>
      </c>
      <c r="V1148" s="9" cm="1">
        <f t="array" aca="1" ref="V1148" ca="1">z_score_diff(OFFSET(U1148,0,0,$J$5*-1,1),OFFSET(E1148,0,0,$J$5*-1,1))</f>
        <v>-0.1182457904900801</v>
      </c>
      <c r="W1148" s="9">
        <f t="shared" ca="1" si="171"/>
        <v>-0.11543808183257084</v>
      </c>
      <c r="X1148" s="17">
        <f t="shared" ca="1" si="170"/>
        <v>9.7295808293333869E-2</v>
      </c>
      <c r="Y1148" s="13">
        <f t="shared" si="179"/>
        <v>0</v>
      </c>
      <c r="Z1148" s="13">
        <f t="shared" si="179"/>
        <v>0</v>
      </c>
      <c r="AA1148">
        <f t="shared" ca="1" si="172"/>
        <v>1</v>
      </c>
      <c r="AB1148">
        <f t="shared" ca="1" si="173"/>
        <v>0</v>
      </c>
      <c r="AC1148" s="24">
        <f t="shared" ca="1" si="174"/>
        <v>9.7295808293333869E-2</v>
      </c>
      <c r="AD1148" s="24">
        <f t="shared" ca="1" si="175"/>
        <v>0</v>
      </c>
    </row>
    <row r="1149" spans="3:30" x14ac:dyDescent="0.25">
      <c r="C1149" s="6">
        <v>1142</v>
      </c>
      <c r="D1149" s="35">
        <v>43633</v>
      </c>
      <c r="E1149" s="37">
        <v>19.247</v>
      </c>
      <c r="F1149" s="37">
        <v>51.795567966406296</v>
      </c>
      <c r="G1149" s="37">
        <v>52.35</v>
      </c>
      <c r="H1149" s="37">
        <v>2.3457914672274995</v>
      </c>
      <c r="I1149" s="37">
        <v>56.051051737538643</v>
      </c>
      <c r="J1149" s="10">
        <v>0</v>
      </c>
      <c r="K1149" s="38">
        <v>0</v>
      </c>
      <c r="L1149" s="38">
        <v>0</v>
      </c>
      <c r="M1149" s="38">
        <v>0</v>
      </c>
      <c r="N1149" s="38">
        <v>0</v>
      </c>
      <c r="O1149" s="38">
        <v>1</v>
      </c>
      <c r="P1149" s="38">
        <v>0</v>
      </c>
      <c r="Q1149" s="38">
        <v>0</v>
      </c>
      <c r="R1149" s="38">
        <v>0</v>
      </c>
      <c r="S1149" s="38">
        <v>0</v>
      </c>
      <c r="T1149" s="38">
        <v>0</v>
      </c>
      <c r="U1149" s="29" cm="1">
        <f t="array" aca="1" ref="U1149" ca="1">+fair_value_gap(OFFSET(T1148,0,0,-1*$J$5,-1*$AA$1),OFFSET(E1148,0,0,-1*$J$5,1),F1149:T1149,0)</f>
        <v>19.511393708429075</v>
      </c>
      <c r="V1149" s="9" cm="1">
        <f t="array" aca="1" ref="V1149" ca="1">z_score_diff(OFFSET(U1149,0,0,$J$5*-1,1),OFFSET(E1149,0,0,$J$5*-1,1))</f>
        <v>-0.12223149040975645</v>
      </c>
      <c r="W1149" s="9">
        <f t="shared" ca="1" si="171"/>
        <v>-0.10876050614579635</v>
      </c>
      <c r="X1149" s="17">
        <f t="shared" ca="1" si="170"/>
        <v>7.0263257983325986E-2</v>
      </c>
      <c r="Y1149" s="13">
        <f t="shared" si="179"/>
        <v>0</v>
      </c>
      <c r="Z1149" s="13">
        <f t="shared" si="179"/>
        <v>0</v>
      </c>
      <c r="AA1149">
        <f t="shared" ca="1" si="172"/>
        <v>1</v>
      </c>
      <c r="AB1149">
        <f t="shared" ca="1" si="173"/>
        <v>0</v>
      </c>
      <c r="AC1149" s="24">
        <f t="shared" ca="1" si="174"/>
        <v>7.0263257983325986E-2</v>
      </c>
      <c r="AD1149" s="24">
        <f t="shared" ca="1" si="175"/>
        <v>0</v>
      </c>
    </row>
    <row r="1150" spans="3:30" x14ac:dyDescent="0.25">
      <c r="C1150" s="6">
        <v>1143</v>
      </c>
      <c r="D1150" s="35">
        <v>43634</v>
      </c>
      <c r="E1150" s="37">
        <v>18.896000000000001</v>
      </c>
      <c r="F1150" s="37">
        <v>53.119270339112227</v>
      </c>
      <c r="G1150" s="37">
        <v>51.91</v>
      </c>
      <c r="H1150" s="37">
        <v>2.3013357791633959</v>
      </c>
      <c r="I1150" s="37">
        <v>56.035587884682997</v>
      </c>
      <c r="J1150" s="10">
        <v>0</v>
      </c>
      <c r="K1150" s="38">
        <v>0</v>
      </c>
      <c r="L1150" s="38">
        <v>0</v>
      </c>
      <c r="M1150" s="38">
        <v>0</v>
      </c>
      <c r="N1150" s="38">
        <v>0</v>
      </c>
      <c r="O1150" s="38">
        <v>1</v>
      </c>
      <c r="P1150" s="38">
        <v>0</v>
      </c>
      <c r="Q1150" s="38">
        <v>0</v>
      </c>
      <c r="R1150" s="38">
        <v>0</v>
      </c>
      <c r="S1150" s="38">
        <v>0</v>
      </c>
      <c r="T1150" s="38">
        <v>0</v>
      </c>
      <c r="U1150" s="29" cm="1">
        <f t="array" aca="1" ref="U1150" ca="1">+fair_value_gap(OFFSET(T1149,0,0,-1*$J$5,-1*$AA$1),OFFSET(E1149,0,0,-1*$J$5,1),F1150:T1150,0)</f>
        <v>19.416369605366196</v>
      </c>
      <c r="V1150" s="9" cm="1">
        <f t="array" aca="1" ref="V1150" ca="1">z_score_diff(OFFSET(U1150,0,0,$J$5*-1,1),OFFSET(E1150,0,0,$J$5*-1,1))</f>
        <v>-4.5152513330849242E-2</v>
      </c>
      <c r="W1150" s="9">
        <f t="shared" ca="1" si="171"/>
        <v>-0.10230352592369411</v>
      </c>
      <c r="X1150" s="17">
        <f t="shared" ca="1" si="170"/>
        <v>3.4587528589215835E-2</v>
      </c>
      <c r="Y1150" s="13">
        <f t="shared" si="179"/>
        <v>0</v>
      </c>
      <c r="Z1150" s="13">
        <f t="shared" si="179"/>
        <v>0</v>
      </c>
      <c r="AA1150">
        <f t="shared" ca="1" si="172"/>
        <v>1</v>
      </c>
      <c r="AB1150">
        <f t="shared" ca="1" si="173"/>
        <v>0</v>
      </c>
      <c r="AC1150" s="24">
        <f t="shared" ca="1" si="174"/>
        <v>3.4587528589215835E-2</v>
      </c>
      <c r="AD1150" s="24">
        <f t="shared" ca="1" si="175"/>
        <v>0</v>
      </c>
    </row>
    <row r="1151" spans="3:30" x14ac:dyDescent="0.25">
      <c r="C1151" s="6">
        <v>1144</v>
      </c>
      <c r="D1151" s="35">
        <v>43635</v>
      </c>
      <c r="E1151" s="37">
        <v>18.670999999999999</v>
      </c>
      <c r="F1151" s="37">
        <v>52.728787229107063</v>
      </c>
      <c r="G1151" s="37">
        <v>50.92</v>
      </c>
      <c r="H1151" s="37">
        <v>2.250265357336164</v>
      </c>
      <c r="I1151" s="37">
        <v>55.443867258067918</v>
      </c>
      <c r="J1151" s="10">
        <v>0</v>
      </c>
      <c r="K1151" s="38">
        <v>0</v>
      </c>
      <c r="L1151" s="38">
        <v>0</v>
      </c>
      <c r="M1151" s="38">
        <v>0</v>
      </c>
      <c r="N1151" s="38">
        <v>0</v>
      </c>
      <c r="O1151" s="38">
        <v>1</v>
      </c>
      <c r="P1151" s="38">
        <v>0</v>
      </c>
      <c r="Q1151" s="38">
        <v>0</v>
      </c>
      <c r="R1151" s="38">
        <v>0</v>
      </c>
      <c r="S1151" s="38">
        <v>0</v>
      </c>
      <c r="T1151" s="38">
        <v>0</v>
      </c>
      <c r="U1151" s="29" cm="1">
        <f t="array" aca="1" ref="U1151" ca="1">+fair_value_gap(OFFSET(T1150,0,0,-1*$J$5,-1*$AA$1),OFFSET(E1150,0,0,-1*$J$5,1),F1151:T1151,0)</f>
        <v>19.064332497835018</v>
      </c>
      <c r="V1151" s="9" cm="1">
        <f t="array" aca="1" ref="V1151" ca="1">z_score_diff(OFFSET(U1151,0,0,$J$5*-1,1),OFFSET(E1151,0,0,$J$5*-1,1))</f>
        <v>-9.4929664089158816E-2</v>
      </c>
      <c r="W1151" s="9">
        <f t="shared" ca="1" si="171"/>
        <v>-9.8906685554355861E-2</v>
      </c>
      <c r="X1151" s="17">
        <f t="shared" ca="1" si="170"/>
        <v>4.5696815972240727E-2</v>
      </c>
      <c r="Y1151" s="13">
        <f t="shared" si="179"/>
        <v>0</v>
      </c>
      <c r="Z1151" s="13">
        <f t="shared" si="179"/>
        <v>0</v>
      </c>
      <c r="AA1151">
        <f t="shared" ca="1" si="172"/>
        <v>1</v>
      </c>
      <c r="AB1151">
        <f t="shared" ca="1" si="173"/>
        <v>0</v>
      </c>
      <c r="AC1151" s="24">
        <f t="shared" ca="1" si="174"/>
        <v>4.5696815972240727E-2</v>
      </c>
      <c r="AD1151" s="24">
        <f t="shared" ca="1" si="175"/>
        <v>0</v>
      </c>
    </row>
    <row r="1152" spans="3:30" x14ac:dyDescent="0.25">
      <c r="C1152" s="6">
        <v>1145</v>
      </c>
      <c r="D1152" s="35">
        <v>43636</v>
      </c>
      <c r="E1152" s="37">
        <v>18.873000000000001</v>
      </c>
      <c r="F1152" s="37">
        <v>54.708696506979486</v>
      </c>
      <c r="G1152" s="37">
        <v>50.35</v>
      </c>
      <c r="H1152" s="37">
        <v>2.1609105009065686</v>
      </c>
      <c r="I1152" s="37">
        <v>56.928151691897682</v>
      </c>
      <c r="J1152" s="10">
        <v>0</v>
      </c>
      <c r="K1152" s="38">
        <v>0</v>
      </c>
      <c r="L1152" s="38">
        <v>0</v>
      </c>
      <c r="M1152" s="38">
        <v>0</v>
      </c>
      <c r="N1152" s="38">
        <v>0</v>
      </c>
      <c r="O1152" s="38">
        <v>1</v>
      </c>
      <c r="P1152" s="38">
        <v>0</v>
      </c>
      <c r="Q1152" s="38">
        <v>0</v>
      </c>
      <c r="R1152" s="38">
        <v>0</v>
      </c>
      <c r="S1152" s="38">
        <v>0</v>
      </c>
      <c r="T1152" s="38">
        <v>0</v>
      </c>
      <c r="U1152" s="29" cm="1">
        <f t="array" aca="1" ref="U1152" ca="1">+fair_value_gap(OFFSET(T1151,0,0,-1*$J$5,-1*$AA$1),OFFSET(E1151,0,0,-1*$J$5,1),F1152:T1152,0)</f>
        <v>19.032018258345428</v>
      </c>
      <c r="V1152" s="9" cm="1">
        <f t="array" aca="1" ref="V1152" ca="1">z_score_diff(OFFSET(U1152,0,0,$J$5*-1,1),OFFSET(E1152,0,0,$J$5*-1,1))</f>
        <v>-0.16739661924558569</v>
      </c>
      <c r="W1152" s="9">
        <f t="shared" ca="1" si="171"/>
        <v>-9.443468619294744E-2</v>
      </c>
      <c r="X1152" s="17">
        <f t="shared" ca="1" si="170"/>
        <v>3.42194156325853E-2</v>
      </c>
      <c r="Y1152" s="13">
        <f t="shared" si="179"/>
        <v>0</v>
      </c>
      <c r="Z1152" s="13">
        <f t="shared" si="179"/>
        <v>0</v>
      </c>
      <c r="AA1152">
        <f t="shared" ca="1" si="172"/>
        <v>1</v>
      </c>
      <c r="AB1152">
        <f t="shared" ca="1" si="173"/>
        <v>0</v>
      </c>
      <c r="AC1152" s="24">
        <f t="shared" ca="1" si="174"/>
        <v>3.42194156325853E-2</v>
      </c>
      <c r="AD1152" s="24">
        <f t="shared" ca="1" si="175"/>
        <v>0</v>
      </c>
    </row>
    <row r="1153" spans="3:30" x14ac:dyDescent="0.25">
      <c r="C1153" s="6">
        <v>1146</v>
      </c>
      <c r="D1153" s="35">
        <v>43637</v>
      </c>
      <c r="E1153" s="37">
        <v>19.195</v>
      </c>
      <c r="F1153" s="37">
        <v>54.836133870295789</v>
      </c>
      <c r="G1153" s="37">
        <v>51.02</v>
      </c>
      <c r="H1153" s="37">
        <v>2.1516108873767532</v>
      </c>
      <c r="I1153" s="37">
        <v>56.67615608943202</v>
      </c>
      <c r="J1153" s="10">
        <v>0</v>
      </c>
      <c r="K1153" s="38">
        <v>0</v>
      </c>
      <c r="L1153" s="38">
        <v>0</v>
      </c>
      <c r="M1153" s="38">
        <v>0</v>
      </c>
      <c r="N1153" s="38">
        <v>0</v>
      </c>
      <c r="O1153" s="38">
        <v>1</v>
      </c>
      <c r="P1153" s="38">
        <v>0</v>
      </c>
      <c r="Q1153" s="38">
        <v>0</v>
      </c>
      <c r="R1153" s="38">
        <v>0</v>
      </c>
      <c r="S1153" s="38">
        <v>0</v>
      </c>
      <c r="T1153" s="38">
        <v>0</v>
      </c>
      <c r="U1153" s="29" cm="1">
        <f t="array" aca="1" ref="U1153" ca="1">+fair_value_gap(OFFSET(T1152,0,0,-1*$J$5,-1*$AA$1),OFFSET(E1152,0,0,-1*$J$5,1),F1153:T1153,0)</f>
        <v>19.156630557978552</v>
      </c>
      <c r="V1153" s="9" cm="1">
        <f t="array" aca="1" ref="V1153" ca="1">z_score_diff(OFFSET(U1153,0,0,$J$5*-1,1),OFFSET(E1153,0,0,$J$5*-1,1))</f>
        <v>-0.22387185701164414</v>
      </c>
      <c r="W1153" s="9">
        <f t="shared" ca="1" si="171"/>
        <v>-9.6174577838581923E-2</v>
      </c>
      <c r="X1153" s="17">
        <f t="shared" ca="1" si="170"/>
        <v>3.6672736612529795E-2</v>
      </c>
      <c r="Y1153" s="13">
        <f t="shared" si="179"/>
        <v>0</v>
      </c>
      <c r="Z1153" s="13">
        <f t="shared" si="179"/>
        <v>0</v>
      </c>
      <c r="AA1153">
        <f t="shared" ca="1" si="172"/>
        <v>1</v>
      </c>
      <c r="AB1153">
        <f t="shared" ca="1" si="173"/>
        <v>0</v>
      </c>
      <c r="AC1153" s="24">
        <f t="shared" ca="1" si="174"/>
        <v>3.6672736612529795E-2</v>
      </c>
      <c r="AD1153" s="24">
        <f t="shared" ca="1" si="175"/>
        <v>0</v>
      </c>
    </row>
    <row r="1154" spans="3:30" x14ac:dyDescent="0.25">
      <c r="C1154" s="6">
        <v>1147</v>
      </c>
      <c r="D1154" s="35">
        <v>43640</v>
      </c>
      <c r="E1154" s="37">
        <v>19.318999999999999</v>
      </c>
      <c r="F1154" s="37">
        <v>54.675324675324674</v>
      </c>
      <c r="G1154" s="37">
        <v>52.58</v>
      </c>
      <c r="H1154" s="37">
        <v>2.2303030303030305</v>
      </c>
      <c r="I1154" s="37">
        <v>56.53679653679653</v>
      </c>
      <c r="J1154" s="10">
        <v>0</v>
      </c>
      <c r="K1154" s="38">
        <v>0</v>
      </c>
      <c r="L1154" s="38">
        <v>0</v>
      </c>
      <c r="M1154" s="38">
        <v>0</v>
      </c>
      <c r="N1154" s="38">
        <v>0</v>
      </c>
      <c r="O1154" s="38">
        <v>1</v>
      </c>
      <c r="P1154" s="38">
        <v>0</v>
      </c>
      <c r="Q1154" s="38">
        <v>0</v>
      </c>
      <c r="R1154" s="38">
        <v>0</v>
      </c>
      <c r="S1154" s="38">
        <v>0</v>
      </c>
      <c r="T1154" s="38">
        <v>0</v>
      </c>
      <c r="U1154" s="29" cm="1">
        <f t="array" aca="1" ref="U1154" ca="1">+fair_value_gap(OFFSET(T1153,0,0,-1*$J$5,-1*$AA$1),OFFSET(E1153,0,0,-1*$J$5,1),F1154:T1154,0)</f>
        <v>19.499216210593318</v>
      </c>
      <c r="V1154" s="9" cm="1">
        <f t="array" aca="1" ref="V1154" ca="1">z_score_diff(OFFSET(U1154,0,0,$J$5*-1,1),OFFSET(E1154,0,0,$J$5*-1,1))</f>
        <v>-0.14568610972413254</v>
      </c>
      <c r="W1154" s="9">
        <f t="shared" ca="1" si="171"/>
        <v>-9.6862302787845384E-2</v>
      </c>
      <c r="X1154" s="17">
        <f t="shared" ca="1" si="170"/>
        <v>1.5460386526800146E-2</v>
      </c>
      <c r="Y1154" s="13">
        <f t="shared" si="179"/>
        <v>0</v>
      </c>
      <c r="Z1154" s="13">
        <f t="shared" si="179"/>
        <v>0</v>
      </c>
      <c r="AA1154">
        <f t="shared" ca="1" si="172"/>
        <v>1</v>
      </c>
      <c r="AB1154">
        <f t="shared" ca="1" si="173"/>
        <v>0</v>
      </c>
      <c r="AC1154" s="24">
        <f t="shared" ca="1" si="174"/>
        <v>1.5460386526800146E-2</v>
      </c>
      <c r="AD1154" s="24">
        <f t="shared" ca="1" si="175"/>
        <v>0</v>
      </c>
    </row>
    <row r="1155" spans="3:30" x14ac:dyDescent="0.25">
      <c r="C1155" s="6">
        <v>1148</v>
      </c>
      <c r="D1155" s="35">
        <v>43641</v>
      </c>
      <c r="E1155" s="37">
        <v>19.018999999999998</v>
      </c>
      <c r="F1155" s="37">
        <v>54.905139784180967</v>
      </c>
      <c r="G1155" s="37">
        <v>52.3</v>
      </c>
      <c r="H1155" s="37">
        <v>2.2357831186223551</v>
      </c>
      <c r="I1155" s="37">
        <v>55.894577965558874</v>
      </c>
      <c r="J1155" s="10">
        <v>0</v>
      </c>
      <c r="K1155" s="38">
        <v>0</v>
      </c>
      <c r="L1155" s="38">
        <v>0</v>
      </c>
      <c r="M1155" s="38">
        <v>0</v>
      </c>
      <c r="N1155" s="38">
        <v>0</v>
      </c>
      <c r="O1155" s="38">
        <v>1</v>
      </c>
      <c r="P1155" s="38">
        <v>0</v>
      </c>
      <c r="Q1155" s="38">
        <v>0</v>
      </c>
      <c r="R1155" s="38">
        <v>0</v>
      </c>
      <c r="S1155" s="38">
        <v>0</v>
      </c>
      <c r="T1155" s="38">
        <v>0</v>
      </c>
      <c r="U1155" s="29" cm="1">
        <f t="array" aca="1" ref="U1155" ca="1">+fair_value_gap(OFFSET(T1154,0,0,-1*$J$5,-1*$AA$1),OFFSET(E1154,0,0,-1*$J$5,1),F1155:T1155,0)</f>
        <v>19.393944453798269</v>
      </c>
      <c r="V1155" s="9" cm="1">
        <f t="array" aca="1" ref="V1155" ca="1">z_score_diff(OFFSET(U1155,0,0,$J$5*-1,1),OFFSET(E1155,0,0,$J$5*-1,1))</f>
        <v>-8.8208819682541906E-2</v>
      </c>
      <c r="W1155" s="9">
        <f t="shared" ca="1" si="171"/>
        <v>-8.6468318595712967E-2</v>
      </c>
      <c r="X1155" s="17">
        <f t="shared" ca="1" si="170"/>
        <v>4.7188979100988161E-2</v>
      </c>
      <c r="Y1155" s="13">
        <f t="shared" si="179"/>
        <v>0</v>
      </c>
      <c r="Z1155" s="13">
        <f t="shared" si="179"/>
        <v>0</v>
      </c>
      <c r="AA1155">
        <f t="shared" ca="1" si="172"/>
        <v>1</v>
      </c>
      <c r="AB1155">
        <f t="shared" ca="1" si="173"/>
        <v>0</v>
      </c>
      <c r="AC1155" s="24">
        <f t="shared" ca="1" si="174"/>
        <v>4.7188979100988161E-2</v>
      </c>
      <c r="AD1155" s="24">
        <f t="shared" ca="1" si="175"/>
        <v>0</v>
      </c>
    </row>
    <row r="1156" spans="3:30" x14ac:dyDescent="0.25">
      <c r="C1156" s="6">
        <v>1149</v>
      </c>
      <c r="D1156" s="35">
        <v>43642</v>
      </c>
      <c r="E1156" s="37">
        <v>19.068999999999999</v>
      </c>
      <c r="F1156" s="37">
        <v>55.952303523035226</v>
      </c>
      <c r="G1156" s="37">
        <v>52.29</v>
      </c>
      <c r="H1156" s="37">
        <v>2.2209214092140921</v>
      </c>
      <c r="I1156" s="37">
        <v>56.021680216802167</v>
      </c>
      <c r="J1156" s="10">
        <v>0</v>
      </c>
      <c r="K1156" s="38">
        <v>0</v>
      </c>
      <c r="L1156" s="38">
        <v>0</v>
      </c>
      <c r="M1156" s="38">
        <v>0</v>
      </c>
      <c r="N1156" s="38">
        <v>0</v>
      </c>
      <c r="O1156" s="38">
        <v>1</v>
      </c>
      <c r="P1156" s="38">
        <v>0</v>
      </c>
      <c r="Q1156" s="38">
        <v>0</v>
      </c>
      <c r="R1156" s="38">
        <v>0</v>
      </c>
      <c r="S1156" s="38">
        <v>0</v>
      </c>
      <c r="T1156" s="38">
        <v>0</v>
      </c>
      <c r="U1156" s="29" cm="1">
        <f t="array" aca="1" ref="U1156" ca="1">+fair_value_gap(OFFSET(T1155,0,0,-1*$J$5,-1*$AA$1),OFFSET(E1155,0,0,-1*$J$5,1),F1156:T1156,0)</f>
        <v>19.394079657420161</v>
      </c>
      <c r="V1156" s="9" cm="1">
        <f t="array" aca="1" ref="V1156" ca="1">z_score_diff(OFFSET(U1156,0,0,$J$5*-1,1),OFFSET(E1156,0,0,$J$5*-1,1))</f>
        <v>-0.10317835897871264</v>
      </c>
      <c r="W1156" s="9">
        <f t="shared" ca="1" si="171"/>
        <v>-7.8451784562807408E-2</v>
      </c>
      <c r="X1156" s="17">
        <f t="shared" ca="1" si="170"/>
        <v>1.9423128261198939E-2</v>
      </c>
      <c r="Y1156" s="13">
        <f t="shared" si="179"/>
        <v>0</v>
      </c>
      <c r="Z1156" s="13">
        <f t="shared" si="179"/>
        <v>0</v>
      </c>
      <c r="AA1156">
        <f t="shared" ca="1" si="172"/>
        <v>1</v>
      </c>
      <c r="AB1156">
        <f t="shared" ca="1" si="173"/>
        <v>0</v>
      </c>
      <c r="AC1156" s="24">
        <f t="shared" ca="1" si="174"/>
        <v>1.9423128261198939E-2</v>
      </c>
      <c r="AD1156" s="24">
        <f t="shared" ca="1" si="175"/>
        <v>0</v>
      </c>
    </row>
    <row r="1157" spans="3:30" x14ac:dyDescent="0.25">
      <c r="C1157" s="6">
        <v>1150</v>
      </c>
      <c r="D1157" s="35">
        <v>43643</v>
      </c>
      <c r="E1157" s="37">
        <v>18.939</v>
      </c>
      <c r="F1157" s="37">
        <v>55.908810951013642</v>
      </c>
      <c r="G1157" s="37">
        <v>52.04</v>
      </c>
      <c r="H1157" s="37">
        <v>2.3577990405718396</v>
      </c>
      <c r="I1157" s="37">
        <v>55.822063377776999</v>
      </c>
      <c r="J1157" s="10">
        <v>0</v>
      </c>
      <c r="K1157" s="38">
        <v>0</v>
      </c>
      <c r="L1157" s="38">
        <v>0</v>
      </c>
      <c r="M1157" s="38">
        <v>0</v>
      </c>
      <c r="N1157" s="38">
        <v>0</v>
      </c>
      <c r="O1157" s="38">
        <v>1</v>
      </c>
      <c r="P1157" s="38">
        <v>0</v>
      </c>
      <c r="Q1157" s="38">
        <v>0</v>
      </c>
      <c r="R1157" s="38">
        <v>0</v>
      </c>
      <c r="S1157" s="38">
        <v>0</v>
      </c>
      <c r="T1157" s="38">
        <v>0</v>
      </c>
      <c r="U1157" s="29" cm="1">
        <f t="array" aca="1" ref="U1157" ca="1">+fair_value_gap(OFFSET(T1156,0,0,-1*$J$5,-1*$AA$1),OFFSET(E1156,0,0,-1*$J$5,1),F1157:T1157,0)</f>
        <v>19.307221384811214</v>
      </c>
      <c r="V1157" s="9" cm="1">
        <f t="array" aca="1" ref="V1157" ca="1">z_score_diff(OFFSET(U1157,0,0,$J$5*-1,1),OFFSET(E1157,0,0,$J$5*-1,1))</f>
        <v>-9.1989241624188645E-2</v>
      </c>
      <c r="W1157" s="9">
        <f t="shared" ca="1" si="171"/>
        <v>-7.1074451514282738E-2</v>
      </c>
      <c r="X1157" s="17">
        <f t="shared" ca="1" si="170"/>
        <v>2.2450561806503781E-2</v>
      </c>
      <c r="Y1157" s="13">
        <f t="shared" si="179"/>
        <v>0</v>
      </c>
      <c r="Z1157" s="13">
        <f t="shared" si="179"/>
        <v>0</v>
      </c>
      <c r="AA1157">
        <f t="shared" ca="1" si="172"/>
        <v>1</v>
      </c>
      <c r="AB1157">
        <f t="shared" ca="1" si="173"/>
        <v>0</v>
      </c>
      <c r="AC1157" s="24">
        <f t="shared" ca="1" si="174"/>
        <v>2.2450561806503781E-2</v>
      </c>
      <c r="AD1157" s="24">
        <f t="shared" ca="1" si="175"/>
        <v>0</v>
      </c>
    </row>
    <row r="1158" spans="3:30" x14ac:dyDescent="0.25">
      <c r="C1158" s="6">
        <v>1151</v>
      </c>
      <c r="D1158" s="35">
        <v>43644</v>
      </c>
      <c r="E1158" s="37">
        <v>18.827000000000002</v>
      </c>
      <c r="F1158" s="37">
        <v>55.127432315811845</v>
      </c>
      <c r="G1158" s="37">
        <v>54.43</v>
      </c>
      <c r="H1158" s="37">
        <v>2.3478596488184809</v>
      </c>
      <c r="I1158" s="37">
        <v>56.116187395107396</v>
      </c>
      <c r="J1158" s="10">
        <v>0</v>
      </c>
      <c r="K1158" s="38">
        <v>0</v>
      </c>
      <c r="L1158" s="38">
        <v>0</v>
      </c>
      <c r="M1158" s="38">
        <v>0</v>
      </c>
      <c r="N1158" s="38">
        <v>0</v>
      </c>
      <c r="O1158" s="38">
        <v>1</v>
      </c>
      <c r="P1158" s="38">
        <v>0</v>
      </c>
      <c r="Q1158" s="38">
        <v>0</v>
      </c>
      <c r="R1158" s="38">
        <v>0</v>
      </c>
      <c r="S1158" s="38">
        <v>0</v>
      </c>
      <c r="T1158" s="38">
        <v>0</v>
      </c>
      <c r="U1158" s="29" cm="1">
        <f t="array" aca="1" ref="U1158" ca="1">+fair_value_gap(OFFSET(T1157,0,0,-1*$J$5,-1*$AA$1),OFFSET(E1157,0,0,-1*$J$5,1),F1158:T1158,0)</f>
        <v>20.078584207236499</v>
      </c>
      <c r="V1158" s="9" cm="1">
        <f t="array" aca="1" ref="V1158" ca="1">z_score_diff(OFFSET(U1158,0,0,$J$5*-1,1),OFFSET(E1158,0,0,$J$5*-1,1))</f>
        <v>0.20229974198644274</v>
      </c>
      <c r="W1158" s="9">
        <f t="shared" ca="1" si="171"/>
        <v>-4.2981722166726063E-2</v>
      </c>
      <c r="X1158" s="17">
        <f t="shared" ca="1" si="170"/>
        <v>2.0034849176377215E-2</v>
      </c>
      <c r="Y1158" s="13">
        <f t="shared" si="179"/>
        <v>0</v>
      </c>
      <c r="Z1158" s="13">
        <f t="shared" si="179"/>
        <v>0</v>
      </c>
      <c r="AA1158">
        <f t="shared" ca="1" si="172"/>
        <v>1</v>
      </c>
      <c r="AB1158">
        <f t="shared" ca="1" si="173"/>
        <v>0</v>
      </c>
      <c r="AC1158" s="24">
        <f t="shared" ca="1" si="174"/>
        <v>2.0034849176377215E-2</v>
      </c>
      <c r="AD1158" s="24">
        <f t="shared" ca="1" si="175"/>
        <v>0</v>
      </c>
    </row>
    <row r="1159" spans="3:30" x14ac:dyDescent="0.25">
      <c r="C1159" s="6">
        <v>1152</v>
      </c>
      <c r="D1159" s="35">
        <v>43647</v>
      </c>
      <c r="E1159" s="37">
        <v>18.791</v>
      </c>
      <c r="F1159" s="37">
        <v>55.803161946227</v>
      </c>
      <c r="G1159" s="37">
        <v>54.74</v>
      </c>
      <c r="H1159" s="37">
        <v>2.3367792455566248</v>
      </c>
      <c r="I1159" s="37">
        <v>57.436723512279663</v>
      </c>
      <c r="J1159" s="10">
        <v>0</v>
      </c>
      <c r="K1159" s="38">
        <v>0</v>
      </c>
      <c r="L1159" s="38">
        <v>0</v>
      </c>
      <c r="M1159" s="38">
        <v>0</v>
      </c>
      <c r="N1159" s="38">
        <v>0</v>
      </c>
      <c r="O1159" s="38">
        <v>0</v>
      </c>
      <c r="P1159" s="38">
        <v>1</v>
      </c>
      <c r="Q1159" s="38">
        <v>0</v>
      </c>
      <c r="R1159" s="38">
        <v>0</v>
      </c>
      <c r="S1159" s="38">
        <v>0</v>
      </c>
      <c r="T1159" s="38">
        <v>0</v>
      </c>
      <c r="U1159" s="29" cm="1">
        <f t="array" aca="1" ref="U1159" ca="1">+fair_value_gap(OFFSET(T1158,0,0,-1*$J$5,-1*$AA$1),OFFSET(E1158,0,0,-1*$J$5,1),F1159:T1159,0)</f>
        <v>22.608151621592278</v>
      </c>
      <c r="V1159" s="9" cm="1">
        <f t="array" aca="1" ref="V1159" ca="1">z_score_diff(OFFSET(U1159,0,0,$J$5*-1,1),OFFSET(E1159,0,0,$J$5*-1,1))</f>
        <v>1.064879825093098</v>
      </c>
      <c r="W1159" s="9">
        <f t="shared" ca="1" si="171"/>
        <v>-1.2662484546095887E-2</v>
      </c>
      <c r="X1159" s="17">
        <f t="shared" ref="X1159:X1222" ca="1" si="180">+LN(OFFSET(E1159,$X$3,0,1,1)/E1159)</f>
        <v>5.1487679761962482E-3</v>
      </c>
      <c r="Y1159" s="13">
        <f t="shared" si="179"/>
        <v>0</v>
      </c>
      <c r="Z1159" s="13">
        <f t="shared" si="179"/>
        <v>0</v>
      </c>
      <c r="AA1159">
        <f t="shared" ca="1" si="172"/>
        <v>1</v>
      </c>
      <c r="AB1159">
        <f t="shared" ca="1" si="173"/>
        <v>0</v>
      </c>
      <c r="AC1159" s="24">
        <f t="shared" ca="1" si="174"/>
        <v>5.1487679761962482E-3</v>
      </c>
      <c r="AD1159" s="24">
        <f t="shared" ca="1" si="175"/>
        <v>0</v>
      </c>
    </row>
    <row r="1160" spans="3:30" x14ac:dyDescent="0.25">
      <c r="C1160" s="6">
        <v>1153</v>
      </c>
      <c r="D1160" s="35">
        <v>43648</v>
      </c>
      <c r="E1160" s="37">
        <v>18.399999999999999</v>
      </c>
      <c r="F1160" s="37">
        <v>53.663372390090096</v>
      </c>
      <c r="G1160" s="37">
        <v>54.66</v>
      </c>
      <c r="H1160" s="37">
        <v>2.3049746051016888</v>
      </c>
      <c r="I1160" s="37">
        <v>57.296829895669113</v>
      </c>
      <c r="J1160" s="10">
        <v>0</v>
      </c>
      <c r="K1160" s="38">
        <v>0</v>
      </c>
      <c r="L1160" s="38">
        <v>0</v>
      </c>
      <c r="M1160" s="38">
        <v>0</v>
      </c>
      <c r="N1160" s="38">
        <v>0</v>
      </c>
      <c r="O1160" s="38">
        <v>0</v>
      </c>
      <c r="P1160" s="38">
        <v>1</v>
      </c>
      <c r="Q1160" s="38">
        <v>0</v>
      </c>
      <c r="R1160" s="38">
        <v>0</v>
      </c>
      <c r="S1160" s="38">
        <v>0</v>
      </c>
      <c r="T1160" s="38">
        <v>0</v>
      </c>
      <c r="U1160" s="29" cm="1">
        <f t="array" aca="1" ref="U1160" ca="1">+fair_value_gap(OFFSET(T1159,0,0,-1*$J$5,-1*$AA$1),OFFSET(E1159,0,0,-1*$J$5,1),F1160:T1160,0)</f>
        <v>20.913971155213009</v>
      </c>
      <c r="V1160" s="9" cm="1">
        <f t="array" aca="1" ref="V1160" ca="1">z_score_diff(OFFSET(U1160,0,0,$J$5*-1,1),OFFSET(E1160,0,0,$J$5*-1,1))</f>
        <v>0.6085143686738016</v>
      </c>
      <c r="W1160" s="9">
        <f t="shared" ref="W1160:W1223" ca="1" si="181">+IF(ISERROR(AVERAGE(OFFSET(V1160,0,0,$W$5*-1,1))),"",AVERAGE(OFFSET(V1160,0,0,$W$5*-1,1)))</f>
        <v>8.938214083017754E-3</v>
      </c>
      <c r="X1160" s="17">
        <f t="shared" ca="1" si="180"/>
        <v>1.9749343694195766E-2</v>
      </c>
      <c r="Y1160" s="13">
        <f t="shared" si="179"/>
        <v>0</v>
      </c>
      <c r="Z1160" s="13">
        <f t="shared" si="179"/>
        <v>0</v>
      </c>
      <c r="AA1160">
        <f t="shared" ref="AA1160:AA1223" ca="1" si="182">+IF(W1160="","",IF(W1160&lt;Y1160,1,0))</f>
        <v>0</v>
      </c>
      <c r="AB1160">
        <f t="shared" ref="AB1160:AB1223" ca="1" si="183">+IF(W1160="","",IF(W1160&gt;Z1160,1,0))</f>
        <v>1</v>
      </c>
      <c r="AC1160" s="24">
        <f t="shared" ref="AC1160:AC1223" ca="1" si="184">+IF(ISERROR(AA1160*X1160),"",AA1160*X1160)</f>
        <v>0</v>
      </c>
      <c r="AD1160" s="24">
        <f t="shared" ref="AD1160:AD1223" ca="1" si="185">+IF(ISERROR(AB1160*X1160),"",AB1160*X1160)</f>
        <v>1.9749343694195766E-2</v>
      </c>
    </row>
    <row r="1161" spans="3:30" x14ac:dyDescent="0.25">
      <c r="C1161" s="6">
        <v>1154</v>
      </c>
      <c r="D1161" s="35">
        <v>43649</v>
      </c>
      <c r="E1161" s="37">
        <v>18.234999999999999</v>
      </c>
      <c r="F1161" s="37">
        <v>54.815954405992954</v>
      </c>
      <c r="G1161" s="37">
        <v>53.36</v>
      </c>
      <c r="H1161" s="37">
        <v>2.334769800963278</v>
      </c>
      <c r="I1161" s="37">
        <v>58.172568421604709</v>
      </c>
      <c r="J1161" s="10">
        <v>0</v>
      </c>
      <c r="K1161" s="38">
        <v>0</v>
      </c>
      <c r="L1161" s="38">
        <v>0</v>
      </c>
      <c r="M1161" s="38">
        <v>0</v>
      </c>
      <c r="N1161" s="38">
        <v>0</v>
      </c>
      <c r="O1161" s="38">
        <v>0</v>
      </c>
      <c r="P1161" s="38">
        <v>1</v>
      </c>
      <c r="Q1161" s="38">
        <v>0</v>
      </c>
      <c r="R1161" s="38">
        <v>0</v>
      </c>
      <c r="S1161" s="38">
        <v>0</v>
      </c>
      <c r="T1161" s="38">
        <v>0</v>
      </c>
      <c r="U1161" s="29" cm="1">
        <f t="array" aca="1" ref="U1161" ca="1">+fair_value_gap(OFFSET(T1160,0,0,-1*$J$5,-1*$AA$1),OFFSET(E1160,0,0,-1*$J$5,1),F1161:T1161,0)</f>
        <v>19.906997028874091</v>
      </c>
      <c r="V1161" s="9" cm="1">
        <f t="array" aca="1" ref="V1161" ca="1">z_score_diff(OFFSET(U1161,0,0,$J$5*-1,1),OFFSET(E1161,0,0,$J$5*-1,1))</f>
        <v>0.31569720751671482</v>
      </c>
      <c r="W1161" s="9">
        <f t="shared" ca="1" si="181"/>
        <v>2.0884514481053378E-2</v>
      </c>
      <c r="X1161" s="17">
        <f t="shared" ca="1" si="180"/>
        <v>4.2043074856609103E-2</v>
      </c>
      <c r="Y1161" s="13">
        <f t="shared" ref="Y1161:Z1176" si="186">+Y1160</f>
        <v>0</v>
      </c>
      <c r="Z1161" s="13">
        <f t="shared" si="186"/>
        <v>0</v>
      </c>
      <c r="AA1161">
        <f t="shared" ca="1" si="182"/>
        <v>0</v>
      </c>
      <c r="AB1161">
        <f t="shared" ca="1" si="183"/>
        <v>1</v>
      </c>
      <c r="AC1161" s="24">
        <f t="shared" ca="1" si="184"/>
        <v>0</v>
      </c>
      <c r="AD1161" s="24">
        <f t="shared" ca="1" si="185"/>
        <v>4.2043074856609103E-2</v>
      </c>
    </row>
    <row r="1162" spans="3:30" x14ac:dyDescent="0.25">
      <c r="C1162" s="6">
        <v>1155</v>
      </c>
      <c r="D1162" s="35">
        <v>43650</v>
      </c>
      <c r="E1162" s="37">
        <v>18.321999999999999</v>
      </c>
      <c r="F1162" s="37">
        <v>54.243448932693731</v>
      </c>
      <c r="G1162" s="37">
        <v>53.11</v>
      </c>
      <c r="H1162" s="37">
        <v>2.3338313804643191</v>
      </c>
      <c r="I1162" s="37">
        <v>60.901552683775023</v>
      </c>
      <c r="J1162" s="10">
        <v>0</v>
      </c>
      <c r="K1162" s="38">
        <v>0</v>
      </c>
      <c r="L1162" s="38">
        <v>0</v>
      </c>
      <c r="M1162" s="38">
        <v>0</v>
      </c>
      <c r="N1162" s="38">
        <v>0</v>
      </c>
      <c r="O1162" s="38">
        <v>0</v>
      </c>
      <c r="P1162" s="38">
        <v>1</v>
      </c>
      <c r="Q1162" s="38">
        <v>0</v>
      </c>
      <c r="R1162" s="38">
        <v>0</v>
      </c>
      <c r="S1162" s="38">
        <v>0</v>
      </c>
      <c r="T1162" s="38">
        <v>0</v>
      </c>
      <c r="U1162" s="29" cm="1">
        <f t="array" aca="1" ref="U1162" ca="1">+fair_value_gap(OFFSET(T1161,0,0,-1*$J$5,-1*$AA$1),OFFSET(E1161,0,0,-1*$J$5,1),F1162:T1162,0)</f>
        <v>19.827767327558199</v>
      </c>
      <c r="V1162" s="9" cm="1">
        <f t="array" aca="1" ref="V1162" ca="1">z_score_diff(OFFSET(U1162,0,0,$J$5*-1,1),OFFSET(E1162,0,0,$J$5*-1,1))</f>
        <v>0.26009039509248377</v>
      </c>
      <c r="W1162" s="9">
        <f t="shared" ca="1" si="181"/>
        <v>3.0952556195502738E-2</v>
      </c>
      <c r="X1162" s="17">
        <f t="shared" ca="1" si="180"/>
        <v>6.4821610634965554E-2</v>
      </c>
      <c r="Y1162" s="13">
        <f t="shared" si="186"/>
        <v>0</v>
      </c>
      <c r="Z1162" s="13">
        <f t="shared" si="186"/>
        <v>0</v>
      </c>
      <c r="AA1162">
        <f t="shared" ca="1" si="182"/>
        <v>0</v>
      </c>
      <c r="AB1162">
        <f t="shared" ca="1" si="183"/>
        <v>1</v>
      </c>
      <c r="AC1162" s="24">
        <f t="shared" ca="1" si="184"/>
        <v>0</v>
      </c>
      <c r="AD1162" s="24">
        <f t="shared" ca="1" si="185"/>
        <v>6.4821610634965554E-2</v>
      </c>
    </row>
    <row r="1163" spans="3:30" x14ac:dyDescent="0.25">
      <c r="C1163" s="6">
        <v>1156</v>
      </c>
      <c r="D1163" s="35">
        <v>43651</v>
      </c>
      <c r="E1163" s="37">
        <v>18.548999999999999</v>
      </c>
      <c r="F1163" s="37">
        <v>55.170609159743634</v>
      </c>
      <c r="G1163" s="37">
        <v>53.77</v>
      </c>
      <c r="H1163" s="37">
        <v>2.4446120627204562</v>
      </c>
      <c r="I1163" s="37">
        <v>61.159206238678095</v>
      </c>
      <c r="J1163" s="10">
        <v>0</v>
      </c>
      <c r="K1163" s="38">
        <v>0</v>
      </c>
      <c r="L1163" s="38">
        <v>0</v>
      </c>
      <c r="M1163" s="38">
        <v>0</v>
      </c>
      <c r="N1163" s="38">
        <v>0</v>
      </c>
      <c r="O1163" s="38">
        <v>0</v>
      </c>
      <c r="P1163" s="38">
        <v>1</v>
      </c>
      <c r="Q1163" s="38">
        <v>0</v>
      </c>
      <c r="R1163" s="38">
        <v>0</v>
      </c>
      <c r="S1163" s="38">
        <v>0</v>
      </c>
      <c r="T1163" s="38">
        <v>0</v>
      </c>
      <c r="U1163" s="29" cm="1">
        <f t="array" aca="1" ref="U1163" ca="1">+fair_value_gap(OFFSET(T1162,0,0,-1*$J$5,-1*$AA$1),OFFSET(E1162,0,0,-1*$J$5,1),F1163:T1163,0)</f>
        <v>19.685180516980068</v>
      </c>
      <c r="V1163" s="9" cm="1">
        <f t="array" aca="1" ref="V1163" ca="1">z_score_diff(OFFSET(U1163,0,0,$J$5*-1,1),OFFSET(E1163,0,0,$J$5*-1,1))</f>
        <v>0.14050393469700195</v>
      </c>
      <c r="W1163" s="9">
        <f t="shared" ca="1" si="181"/>
        <v>4.5077610457919047E-2</v>
      </c>
      <c r="X1163" s="17">
        <f t="shared" ca="1" si="180"/>
        <v>2.3233314439224353E-2</v>
      </c>
      <c r="Y1163" s="13">
        <f t="shared" si="186"/>
        <v>0</v>
      </c>
      <c r="Z1163" s="13">
        <f t="shared" si="186"/>
        <v>0</v>
      </c>
      <c r="AA1163">
        <f t="shared" ca="1" si="182"/>
        <v>0</v>
      </c>
      <c r="AB1163">
        <f t="shared" ca="1" si="183"/>
        <v>1</v>
      </c>
      <c r="AC1163" s="24">
        <f t="shared" ca="1" si="184"/>
        <v>0</v>
      </c>
      <c r="AD1163" s="24">
        <f t="shared" ca="1" si="185"/>
        <v>2.3233314439224353E-2</v>
      </c>
    </row>
    <row r="1164" spans="3:30" x14ac:dyDescent="0.25">
      <c r="C1164" s="6">
        <v>1157</v>
      </c>
      <c r="D1164" s="35">
        <v>43654</v>
      </c>
      <c r="E1164" s="37">
        <v>18.847999999999999</v>
      </c>
      <c r="F1164" s="37">
        <v>55.24730814344268</v>
      </c>
      <c r="G1164" s="37">
        <v>54.6</v>
      </c>
      <c r="H1164" s="37">
        <v>2.4434281798173361</v>
      </c>
      <c r="I1164" s="37">
        <v>61.503046597343946</v>
      </c>
      <c r="J1164" s="10">
        <v>0</v>
      </c>
      <c r="K1164" s="38">
        <v>0</v>
      </c>
      <c r="L1164" s="38">
        <v>0</v>
      </c>
      <c r="M1164" s="38">
        <v>0</v>
      </c>
      <c r="N1164" s="38">
        <v>0</v>
      </c>
      <c r="O1164" s="38">
        <v>0</v>
      </c>
      <c r="P1164" s="38">
        <v>1</v>
      </c>
      <c r="Q1164" s="38">
        <v>0</v>
      </c>
      <c r="R1164" s="38">
        <v>0</v>
      </c>
      <c r="S1164" s="38">
        <v>0</v>
      </c>
      <c r="T1164" s="38">
        <v>0</v>
      </c>
      <c r="U1164" s="29" cm="1">
        <f t="array" aca="1" ref="U1164" ca="1">+fair_value_gap(OFFSET(T1163,0,0,-1*$J$5,-1*$AA$1),OFFSET(E1163,0,0,-1*$J$5,1),F1164:T1164,0)</f>
        <v>19.771979103577184</v>
      </c>
      <c r="V1164" s="9" cm="1">
        <f t="array" aca="1" ref="V1164" ca="1">z_score_diff(OFFSET(U1164,0,0,$J$5*-1,1),OFFSET(E1164,0,0,$J$5*-1,1))</f>
        <v>7.6987423589993664E-2</v>
      </c>
      <c r="W1164" s="9">
        <f t="shared" ca="1" si="181"/>
        <v>5.8845139452909499E-2</v>
      </c>
      <c r="X1164" s="17">
        <f t="shared" ca="1" si="180"/>
        <v>-1.4482551059908998E-2</v>
      </c>
      <c r="Y1164" s="13">
        <f t="shared" si="186"/>
        <v>0</v>
      </c>
      <c r="Z1164" s="13">
        <f t="shared" si="186"/>
        <v>0</v>
      </c>
      <c r="AA1164">
        <f t="shared" ca="1" si="182"/>
        <v>0</v>
      </c>
      <c r="AB1164">
        <f t="shared" ca="1" si="183"/>
        <v>1</v>
      </c>
      <c r="AC1164" s="24">
        <f t="shared" ca="1" si="184"/>
        <v>0</v>
      </c>
      <c r="AD1164" s="24">
        <f t="shared" ca="1" si="185"/>
        <v>-1.4482551059908998E-2</v>
      </c>
    </row>
    <row r="1165" spans="3:30" x14ac:dyDescent="0.25">
      <c r="C1165" s="6">
        <v>1158</v>
      </c>
      <c r="D1165" s="35">
        <v>43655</v>
      </c>
      <c r="E1165" s="37">
        <v>18.905000000000001</v>
      </c>
      <c r="F1165" s="37">
        <v>55.462780490678959</v>
      </c>
      <c r="G1165" s="37">
        <v>54.94</v>
      </c>
      <c r="H1165" s="37">
        <v>2.4833818313885745</v>
      </c>
      <c r="I1165" s="37">
        <v>60.237838332194528</v>
      </c>
      <c r="J1165" s="10">
        <v>0</v>
      </c>
      <c r="K1165" s="38">
        <v>0</v>
      </c>
      <c r="L1165" s="38">
        <v>0</v>
      </c>
      <c r="M1165" s="38">
        <v>0</v>
      </c>
      <c r="N1165" s="38">
        <v>0</v>
      </c>
      <c r="O1165" s="38">
        <v>0</v>
      </c>
      <c r="P1165" s="38">
        <v>1</v>
      </c>
      <c r="Q1165" s="38">
        <v>0</v>
      </c>
      <c r="R1165" s="38">
        <v>0</v>
      </c>
      <c r="S1165" s="38">
        <v>0</v>
      </c>
      <c r="T1165" s="38">
        <v>0</v>
      </c>
      <c r="U1165" s="29" cm="1">
        <f t="array" aca="1" ref="U1165" ca="1">+fair_value_gap(OFFSET(T1164,0,0,-1*$J$5,-1*$AA$1),OFFSET(E1164,0,0,-1*$J$5,1),F1165:T1165,0)</f>
        <v>19.501968775124883</v>
      </c>
      <c r="V1165" s="9" cm="1">
        <f t="array" aca="1" ref="V1165" ca="1">z_score_diff(OFFSET(U1165,0,0,$J$5*-1,1),OFFSET(E1165,0,0,$J$5*-1,1))</f>
        <v>-3.2009746560499375E-2</v>
      </c>
      <c r="W1165" s="9">
        <f t="shared" ca="1" si="181"/>
        <v>5.9300427980424508E-2</v>
      </c>
      <c r="X1165" s="17">
        <f t="shared" ca="1" si="180"/>
        <v>-2.4253671647322023E-2</v>
      </c>
      <c r="Y1165" s="13">
        <f t="shared" si="186"/>
        <v>0</v>
      </c>
      <c r="Z1165" s="13">
        <f t="shared" si="186"/>
        <v>0</v>
      </c>
      <c r="AA1165">
        <f t="shared" ca="1" si="182"/>
        <v>0</v>
      </c>
      <c r="AB1165">
        <f t="shared" ca="1" si="183"/>
        <v>1</v>
      </c>
      <c r="AC1165" s="24">
        <f t="shared" ca="1" si="184"/>
        <v>0</v>
      </c>
      <c r="AD1165" s="24">
        <f t="shared" ca="1" si="185"/>
        <v>-2.4253671647322023E-2</v>
      </c>
    </row>
    <row r="1166" spans="3:30" x14ac:dyDescent="0.25">
      <c r="C1166" s="6">
        <v>1159</v>
      </c>
      <c r="D1166" s="35">
        <v>43656</v>
      </c>
      <c r="E1166" s="37">
        <v>19.529</v>
      </c>
      <c r="F1166" s="37">
        <v>57.427610985100358</v>
      </c>
      <c r="G1166" s="37">
        <v>55.43</v>
      </c>
      <c r="H1166" s="37">
        <v>2.4793308785329371</v>
      </c>
      <c r="I1166" s="37">
        <v>61.326205476079714</v>
      </c>
      <c r="J1166" s="10">
        <v>0</v>
      </c>
      <c r="K1166" s="38">
        <v>0</v>
      </c>
      <c r="L1166" s="38">
        <v>0</v>
      </c>
      <c r="M1166" s="38">
        <v>0</v>
      </c>
      <c r="N1166" s="38">
        <v>0</v>
      </c>
      <c r="O1166" s="38">
        <v>0</v>
      </c>
      <c r="P1166" s="38">
        <v>1</v>
      </c>
      <c r="Q1166" s="38">
        <v>0</v>
      </c>
      <c r="R1166" s="38">
        <v>0</v>
      </c>
      <c r="S1166" s="38">
        <v>0</v>
      </c>
      <c r="T1166" s="38">
        <v>0</v>
      </c>
      <c r="U1166" s="29" cm="1">
        <f t="array" aca="1" ref="U1166" ca="1">+fair_value_gap(OFFSET(T1165,0,0,-1*$J$5,-1*$AA$1),OFFSET(E1165,0,0,-1*$J$5,1),F1166:T1166,0)</f>
        <v>19.705255185582885</v>
      </c>
      <c r="V1166" s="9" cm="1">
        <f t="array" aca="1" ref="V1166" ca="1">z_score_diff(OFFSET(U1166,0,0,$J$5*-1,1),OFFSET(E1166,0,0,$J$5*-1,1))</f>
        <v>-0.15480137927074544</v>
      </c>
      <c r="W1166" s="9">
        <f t="shared" ca="1" si="181"/>
        <v>5.9020328325171997E-2</v>
      </c>
      <c r="X1166" s="17">
        <f t="shared" ca="1" si="180"/>
        <v>-5.6727774605071148E-2</v>
      </c>
      <c r="Y1166" s="13">
        <f t="shared" si="186"/>
        <v>0</v>
      </c>
      <c r="Z1166" s="13">
        <f t="shared" si="186"/>
        <v>0</v>
      </c>
      <c r="AA1166">
        <f t="shared" ca="1" si="182"/>
        <v>0</v>
      </c>
      <c r="AB1166">
        <f t="shared" ca="1" si="183"/>
        <v>1</v>
      </c>
      <c r="AC1166" s="24">
        <f t="shared" ca="1" si="184"/>
        <v>0</v>
      </c>
      <c r="AD1166" s="24">
        <f t="shared" ca="1" si="185"/>
        <v>-5.6727774605071148E-2</v>
      </c>
    </row>
    <row r="1167" spans="3:30" x14ac:dyDescent="0.25">
      <c r="C1167" s="6">
        <v>1160</v>
      </c>
      <c r="D1167" s="35">
        <v>43657</v>
      </c>
      <c r="E1167" s="37">
        <v>20.587</v>
      </c>
      <c r="F1167" s="37">
        <v>56.982526934686831</v>
      </c>
      <c r="G1167" s="37">
        <v>56.38</v>
      </c>
      <c r="H1167" s="37">
        <v>2.4537427458274554</v>
      </c>
      <c r="I1167" s="37">
        <v>61.562496442423303</v>
      </c>
      <c r="J1167" s="10">
        <v>0</v>
      </c>
      <c r="K1167" s="38">
        <v>0</v>
      </c>
      <c r="L1167" s="38">
        <v>0</v>
      </c>
      <c r="M1167" s="38">
        <v>0</v>
      </c>
      <c r="N1167" s="38">
        <v>0</v>
      </c>
      <c r="O1167" s="38">
        <v>0</v>
      </c>
      <c r="P1167" s="38">
        <v>1</v>
      </c>
      <c r="Q1167" s="38">
        <v>0</v>
      </c>
      <c r="R1167" s="38">
        <v>0</v>
      </c>
      <c r="S1167" s="38">
        <v>0</v>
      </c>
      <c r="T1167" s="38">
        <v>0</v>
      </c>
      <c r="U1167" s="29" cm="1">
        <f t="array" aca="1" ref="U1167" ca="1">+fair_value_gap(OFFSET(T1166,0,0,-1*$J$5,-1*$AA$1),OFFSET(E1166,0,0,-1*$J$5,1),F1167:T1167,0)</f>
        <v>19.987196280509313</v>
      </c>
      <c r="V1167" s="9" cm="1">
        <f t="array" aca="1" ref="V1167" ca="1">z_score_diff(OFFSET(U1167,0,0,$J$5*-1,1),OFFSET(E1167,0,0,$J$5*-1,1))</f>
        <v>-0.38373176150333121</v>
      </c>
      <c r="W1167" s="9">
        <f t="shared" ca="1" si="181"/>
        <v>4.4876977236415511E-2</v>
      </c>
      <c r="X1167" s="17">
        <f t="shared" ca="1" si="180"/>
        <v>-0.11165718267217632</v>
      </c>
      <c r="Y1167" s="13">
        <f t="shared" si="186"/>
        <v>0</v>
      </c>
      <c r="Z1167" s="13">
        <f t="shared" si="186"/>
        <v>0</v>
      </c>
      <c r="AA1167">
        <f t="shared" ca="1" si="182"/>
        <v>0</v>
      </c>
      <c r="AB1167">
        <f t="shared" ca="1" si="183"/>
        <v>1</v>
      </c>
      <c r="AC1167" s="24">
        <f t="shared" ca="1" si="184"/>
        <v>0</v>
      </c>
      <c r="AD1167" s="24">
        <f t="shared" ca="1" si="185"/>
        <v>-0.11165718267217632</v>
      </c>
    </row>
    <row r="1168" spans="3:30" x14ac:dyDescent="0.25">
      <c r="C1168" s="6">
        <v>1161</v>
      </c>
      <c r="D1168" s="35">
        <v>43658</v>
      </c>
      <c r="E1168" s="37">
        <v>21.172999999999998</v>
      </c>
      <c r="F1168" s="37">
        <v>56.932435919302712</v>
      </c>
      <c r="G1168" s="37">
        <v>57.33</v>
      </c>
      <c r="H1168" s="37">
        <v>2.4779473184726468</v>
      </c>
      <c r="I1168" s="37">
        <v>60.877209094845107</v>
      </c>
      <c r="J1168" s="10">
        <v>0</v>
      </c>
      <c r="K1168" s="38">
        <v>0</v>
      </c>
      <c r="L1168" s="38">
        <v>0</v>
      </c>
      <c r="M1168" s="38">
        <v>0</v>
      </c>
      <c r="N1168" s="38">
        <v>0</v>
      </c>
      <c r="O1168" s="38">
        <v>0</v>
      </c>
      <c r="P1168" s="38">
        <v>1</v>
      </c>
      <c r="Q1168" s="38">
        <v>0</v>
      </c>
      <c r="R1168" s="38">
        <v>0</v>
      </c>
      <c r="S1168" s="38">
        <v>0</v>
      </c>
      <c r="T1168" s="38">
        <v>0</v>
      </c>
      <c r="U1168" s="29" cm="1">
        <f t="array" aca="1" ref="U1168" ca="1">+fair_value_gap(OFFSET(T1167,0,0,-1*$J$5,-1*$AA$1),OFFSET(E1167,0,0,-1*$J$5,1),F1168:T1168,0)</f>
        <v>20.149880668756243</v>
      </c>
      <c r="V1168" s="9" cm="1">
        <f t="array" aca="1" ref="V1168" ca="1">z_score_diff(OFFSET(U1168,0,0,$J$5*-1,1),OFFSET(E1168,0,0,$J$5*-1,1))</f>
        <v>-0.50733723942098874</v>
      </c>
      <c r="W1168" s="9">
        <f t="shared" ca="1" si="181"/>
        <v>2.5422404789870089E-2</v>
      </c>
      <c r="X1168" s="17">
        <f t="shared" ca="1" si="180"/>
        <v>-0.14304271614526176</v>
      </c>
      <c r="Y1168" s="13">
        <f t="shared" si="186"/>
        <v>0</v>
      </c>
      <c r="Z1168" s="13">
        <f t="shared" si="186"/>
        <v>0</v>
      </c>
      <c r="AA1168">
        <f t="shared" ca="1" si="182"/>
        <v>0</v>
      </c>
      <c r="AB1168">
        <f t="shared" ca="1" si="183"/>
        <v>1</v>
      </c>
      <c r="AC1168" s="24">
        <f t="shared" ca="1" si="184"/>
        <v>0</v>
      </c>
      <c r="AD1168" s="24">
        <f t="shared" ca="1" si="185"/>
        <v>-0.14304271614526176</v>
      </c>
    </row>
    <row r="1169" spans="3:30" x14ac:dyDescent="0.25">
      <c r="C1169" s="6">
        <v>1162</v>
      </c>
      <c r="D1169" s="35">
        <v>43661</v>
      </c>
      <c r="E1169" s="37">
        <v>20.648</v>
      </c>
      <c r="F1169" s="37">
        <v>56.460177146103952</v>
      </c>
      <c r="G1169" s="37">
        <v>58.46</v>
      </c>
      <c r="H1169" s="37">
        <v>2.4434851048965132</v>
      </c>
      <c r="I1169" s="37">
        <v>60.715045512208235</v>
      </c>
      <c r="J1169" s="10">
        <v>0</v>
      </c>
      <c r="K1169" s="38">
        <v>0</v>
      </c>
      <c r="L1169" s="38">
        <v>0</v>
      </c>
      <c r="M1169" s="38">
        <v>0</v>
      </c>
      <c r="N1169" s="38">
        <v>0</v>
      </c>
      <c r="O1169" s="38">
        <v>0</v>
      </c>
      <c r="P1169" s="38">
        <v>1</v>
      </c>
      <c r="Q1169" s="38">
        <v>0</v>
      </c>
      <c r="R1169" s="38">
        <v>0</v>
      </c>
      <c r="S1169" s="38">
        <v>0</v>
      </c>
      <c r="T1169" s="38">
        <v>0</v>
      </c>
      <c r="U1169" s="29" cm="1">
        <f t="array" aca="1" ref="U1169" ca="1">+fair_value_gap(OFFSET(T1168,0,0,-1*$J$5,-1*$AA$1),OFFSET(E1168,0,0,-1*$J$5,1),F1169:T1169,0)</f>
        <v>20.560696490849793</v>
      </c>
      <c r="V1169" s="9" cm="1">
        <f t="array" aca="1" ref="V1169" ca="1">z_score_diff(OFFSET(U1169,0,0,$J$5*-1,1),OFFSET(E1169,0,0,$J$5*-1,1))</f>
        <v>-0.2061017359927815</v>
      </c>
      <c r="W1169" s="9">
        <f t="shared" ca="1" si="181"/>
        <v>2.1228892510718821E-2</v>
      </c>
      <c r="X1169" s="17">
        <f t="shared" ca="1" si="180"/>
        <v>-0.14248261020434852</v>
      </c>
      <c r="Y1169" s="13">
        <f t="shared" si="186"/>
        <v>0</v>
      </c>
      <c r="Z1169" s="13">
        <f t="shared" si="186"/>
        <v>0</v>
      </c>
      <c r="AA1169">
        <f t="shared" ca="1" si="182"/>
        <v>0</v>
      </c>
      <c r="AB1169">
        <f t="shared" ca="1" si="183"/>
        <v>1</v>
      </c>
      <c r="AC1169" s="24">
        <f t="shared" ca="1" si="184"/>
        <v>0</v>
      </c>
      <c r="AD1169" s="24">
        <f t="shared" ca="1" si="185"/>
        <v>-0.14248261020434852</v>
      </c>
    </row>
    <row r="1170" spans="3:30" x14ac:dyDescent="0.25">
      <c r="C1170" s="6">
        <v>1163</v>
      </c>
      <c r="D1170" s="35">
        <v>43662</v>
      </c>
      <c r="E1170" s="37">
        <v>19.561</v>
      </c>
      <c r="F1170" s="37">
        <v>54.947035453585578</v>
      </c>
      <c r="G1170" s="37">
        <v>56.63</v>
      </c>
      <c r="H1170" s="37">
        <v>2.3851409149692429</v>
      </c>
      <c r="I1170" s="37">
        <v>60.485696627307007</v>
      </c>
      <c r="J1170" s="10">
        <v>0</v>
      </c>
      <c r="K1170" s="38">
        <v>0</v>
      </c>
      <c r="L1170" s="38">
        <v>0</v>
      </c>
      <c r="M1170" s="38">
        <v>0</v>
      </c>
      <c r="N1170" s="38">
        <v>0</v>
      </c>
      <c r="O1170" s="38">
        <v>0</v>
      </c>
      <c r="P1170" s="38">
        <v>1</v>
      </c>
      <c r="Q1170" s="38">
        <v>0</v>
      </c>
      <c r="R1170" s="38">
        <v>0</v>
      </c>
      <c r="S1170" s="38">
        <v>0</v>
      </c>
      <c r="T1170" s="38">
        <v>0</v>
      </c>
      <c r="U1170" s="29" cm="1">
        <f t="array" aca="1" ref="U1170" ca="1">+fair_value_gap(OFFSET(T1169,0,0,-1*$J$5,-1*$AA$1),OFFSET(E1169,0,0,-1*$J$5,1),F1170:T1170,0)</f>
        <v>20.142149603932527</v>
      </c>
      <c r="V1170" s="9" cm="1">
        <f t="array" aca="1" ref="V1170" ca="1">z_score_diff(OFFSET(U1170,0,0,$J$5*-1,1),OFFSET(E1170,0,0,$J$5*-1,1))</f>
        <v>-1.2426072024061818E-2</v>
      </c>
      <c r="W1170" s="9">
        <f t="shared" ca="1" si="181"/>
        <v>2.2865214576058192E-2</v>
      </c>
      <c r="X1170" s="17">
        <f t="shared" ca="1" si="180"/>
        <v>-6.7730222018218308E-2</v>
      </c>
      <c r="Y1170" s="13">
        <f t="shared" si="186"/>
        <v>0</v>
      </c>
      <c r="Z1170" s="13">
        <f t="shared" si="186"/>
        <v>0</v>
      </c>
      <c r="AA1170">
        <f t="shared" ca="1" si="182"/>
        <v>0</v>
      </c>
      <c r="AB1170">
        <f t="shared" ca="1" si="183"/>
        <v>1</v>
      </c>
      <c r="AC1170" s="24">
        <f t="shared" ca="1" si="184"/>
        <v>0</v>
      </c>
      <c r="AD1170" s="24">
        <f t="shared" ca="1" si="185"/>
        <v>-6.7730222018218308E-2</v>
      </c>
    </row>
    <row r="1171" spans="3:30" x14ac:dyDescent="0.25">
      <c r="C1171" s="6">
        <v>1164</v>
      </c>
      <c r="D1171" s="35">
        <v>43663</v>
      </c>
      <c r="E1171" s="37">
        <v>19.544</v>
      </c>
      <c r="F1171" s="37">
        <v>54.387046138124667</v>
      </c>
      <c r="G1171" s="37">
        <v>56.03</v>
      </c>
      <c r="H1171" s="37">
        <v>2.3774030821959902</v>
      </c>
      <c r="I1171" s="37">
        <v>61.498185342625227</v>
      </c>
      <c r="J1171" s="10">
        <v>0</v>
      </c>
      <c r="K1171" s="38">
        <v>0</v>
      </c>
      <c r="L1171" s="38">
        <v>0</v>
      </c>
      <c r="M1171" s="38">
        <v>0</v>
      </c>
      <c r="N1171" s="38">
        <v>0</v>
      </c>
      <c r="O1171" s="38">
        <v>0</v>
      </c>
      <c r="P1171" s="38">
        <v>1</v>
      </c>
      <c r="Q1171" s="38">
        <v>0</v>
      </c>
      <c r="R1171" s="38">
        <v>0</v>
      </c>
      <c r="S1171" s="38">
        <v>0</v>
      </c>
      <c r="T1171" s="38">
        <v>0</v>
      </c>
      <c r="U1171" s="29" cm="1">
        <f t="array" aca="1" ref="U1171" ca="1">+fair_value_gap(OFFSET(T1170,0,0,-1*$J$5,-1*$AA$1),OFFSET(E1170,0,0,-1*$J$5,1),F1171:T1171,0)</f>
        <v>20.067101078744653</v>
      </c>
      <c r="V1171" s="9" cm="1">
        <f t="array" aca="1" ref="V1171" ca="1">z_score_diff(OFFSET(U1171,0,0,$J$5*-1,1),OFFSET(E1171,0,0,$J$5*-1,1))</f>
        <v>-3.2415309549396698E-2</v>
      </c>
      <c r="W1171" s="9">
        <f t="shared" ca="1" si="181"/>
        <v>2.5990932303046298E-2</v>
      </c>
      <c r="X1171" s="17">
        <f t="shared" ca="1" si="180"/>
        <v>-7.2016266651718272E-2</v>
      </c>
      <c r="Y1171" s="13">
        <f t="shared" si="186"/>
        <v>0</v>
      </c>
      <c r="Z1171" s="13">
        <f t="shared" si="186"/>
        <v>0</v>
      </c>
      <c r="AA1171">
        <f t="shared" ca="1" si="182"/>
        <v>0</v>
      </c>
      <c r="AB1171">
        <f t="shared" ca="1" si="183"/>
        <v>1</v>
      </c>
      <c r="AC1171" s="24">
        <f t="shared" ca="1" si="184"/>
        <v>0</v>
      </c>
      <c r="AD1171" s="24">
        <f t="shared" ca="1" si="185"/>
        <v>-7.2016266651718272E-2</v>
      </c>
    </row>
    <row r="1172" spans="3:30" x14ac:dyDescent="0.25">
      <c r="C1172" s="6">
        <v>1165</v>
      </c>
      <c r="D1172" s="35">
        <v>43664</v>
      </c>
      <c r="E1172" s="37">
        <v>19.53</v>
      </c>
      <c r="F1172" s="37">
        <v>53.040146476843681</v>
      </c>
      <c r="G1172" s="37">
        <v>55.43</v>
      </c>
      <c r="H1172" s="37">
        <v>2.354716690770525</v>
      </c>
      <c r="I1172" s="37">
        <v>60.813422147452656</v>
      </c>
      <c r="J1172" s="10">
        <v>0</v>
      </c>
      <c r="K1172" s="38">
        <v>0</v>
      </c>
      <c r="L1172" s="38">
        <v>0</v>
      </c>
      <c r="M1172" s="38">
        <v>0</v>
      </c>
      <c r="N1172" s="38">
        <v>0</v>
      </c>
      <c r="O1172" s="38">
        <v>0</v>
      </c>
      <c r="P1172" s="38">
        <v>1</v>
      </c>
      <c r="Q1172" s="38">
        <v>0</v>
      </c>
      <c r="R1172" s="38">
        <v>0</v>
      </c>
      <c r="S1172" s="38">
        <v>0</v>
      </c>
      <c r="T1172" s="38">
        <v>0</v>
      </c>
      <c r="U1172" s="29" cm="1">
        <f t="array" aca="1" ref="U1172" ca="1">+fair_value_gap(OFFSET(T1171,0,0,-1*$J$5,-1*$AA$1),OFFSET(E1171,0,0,-1*$J$5,1),F1172:T1172,0)</f>
        <v>19.784488819250342</v>
      </c>
      <c r="V1172" s="9" cm="1">
        <f t="array" aca="1" ref="V1172" ca="1">z_score_diff(OFFSET(U1172,0,0,$J$5*-1,1),OFFSET(E1172,0,0,$J$5*-1,1))</f>
        <v>-0.12310768808930445</v>
      </c>
      <c r="W1172" s="9">
        <f t="shared" ca="1" si="181"/>
        <v>2.8205378860860351E-2</v>
      </c>
      <c r="X1172" s="17">
        <f t="shared" ca="1" si="180"/>
        <v>-8.0469492708395762E-2</v>
      </c>
      <c r="Y1172" s="13">
        <f t="shared" si="186"/>
        <v>0</v>
      </c>
      <c r="Z1172" s="13">
        <f t="shared" si="186"/>
        <v>0</v>
      </c>
      <c r="AA1172">
        <f t="shared" ca="1" si="182"/>
        <v>0</v>
      </c>
      <c r="AB1172">
        <f t="shared" ca="1" si="183"/>
        <v>1</v>
      </c>
      <c r="AC1172" s="24">
        <f t="shared" ca="1" si="184"/>
        <v>0</v>
      </c>
      <c r="AD1172" s="24">
        <f t="shared" ca="1" si="185"/>
        <v>-8.0469492708395762E-2</v>
      </c>
    </row>
    <row r="1173" spans="3:30" x14ac:dyDescent="0.25">
      <c r="C1173" s="6">
        <v>1166</v>
      </c>
      <c r="D1173" s="35">
        <v>43665</v>
      </c>
      <c r="E1173" s="37">
        <v>19.911999999999999</v>
      </c>
      <c r="F1173" s="37">
        <v>53.94917253634015</v>
      </c>
      <c r="G1173" s="37">
        <v>56.21</v>
      </c>
      <c r="H1173" s="37">
        <v>2.3311804609483353</v>
      </c>
      <c r="I1173" s="37">
        <v>61.573379921807948</v>
      </c>
      <c r="J1173" s="10">
        <v>0</v>
      </c>
      <c r="K1173" s="38">
        <v>0</v>
      </c>
      <c r="L1173" s="38">
        <v>0</v>
      </c>
      <c r="M1173" s="38">
        <v>0</v>
      </c>
      <c r="N1173" s="38">
        <v>0</v>
      </c>
      <c r="O1173" s="38">
        <v>0</v>
      </c>
      <c r="P1173" s="38">
        <v>1</v>
      </c>
      <c r="Q1173" s="38">
        <v>0</v>
      </c>
      <c r="R1173" s="38">
        <v>0</v>
      </c>
      <c r="S1173" s="38">
        <v>0</v>
      </c>
      <c r="T1173" s="38">
        <v>0</v>
      </c>
      <c r="U1173" s="29" cm="1">
        <f t="array" aca="1" ref="U1173" ca="1">+fair_value_gap(OFFSET(T1172,0,0,-1*$J$5,-1*$AA$1),OFFSET(E1172,0,0,-1*$J$5,1),F1173:T1173,0)</f>
        <v>20.04807030738418</v>
      </c>
      <c r="V1173" s="9" cm="1">
        <f t="array" aca="1" ref="V1173" ca="1">z_score_diff(OFFSET(U1173,0,0,$J$5*-1,1),OFFSET(E1173,0,0,$J$5*-1,1))</f>
        <v>-0.15136132266598368</v>
      </c>
      <c r="W1173" s="9">
        <f t="shared" ca="1" si="181"/>
        <v>3.183090557814338E-2</v>
      </c>
      <c r="X1173" s="17">
        <f t="shared" ca="1" si="180"/>
        <v>-9.928552785006492E-2</v>
      </c>
      <c r="Y1173" s="13">
        <f t="shared" si="186"/>
        <v>0</v>
      </c>
      <c r="Z1173" s="13">
        <f t="shared" si="186"/>
        <v>0</v>
      </c>
      <c r="AA1173">
        <f t="shared" ca="1" si="182"/>
        <v>0</v>
      </c>
      <c r="AB1173">
        <f t="shared" ca="1" si="183"/>
        <v>1</v>
      </c>
      <c r="AC1173" s="24">
        <f t="shared" ca="1" si="184"/>
        <v>0</v>
      </c>
      <c r="AD1173" s="24">
        <f t="shared" ca="1" si="185"/>
        <v>-9.928552785006492E-2</v>
      </c>
    </row>
    <row r="1174" spans="3:30" x14ac:dyDescent="0.25">
      <c r="C1174" s="6">
        <v>1167</v>
      </c>
      <c r="D1174" s="35">
        <v>43668</v>
      </c>
      <c r="E1174" s="37">
        <v>19.62</v>
      </c>
      <c r="F1174" s="37">
        <v>54.474256605750917</v>
      </c>
      <c r="G1174" s="37">
        <v>56.45</v>
      </c>
      <c r="H1174" s="37">
        <v>2.377314232762274</v>
      </c>
      <c r="I1174" s="37">
        <v>62.553959933815015</v>
      </c>
      <c r="J1174" s="10">
        <v>0</v>
      </c>
      <c r="K1174" s="38">
        <v>0</v>
      </c>
      <c r="L1174" s="38">
        <v>0</v>
      </c>
      <c r="M1174" s="38">
        <v>0</v>
      </c>
      <c r="N1174" s="38">
        <v>0</v>
      </c>
      <c r="O1174" s="38">
        <v>0</v>
      </c>
      <c r="P1174" s="38">
        <v>1</v>
      </c>
      <c r="Q1174" s="38">
        <v>0</v>
      </c>
      <c r="R1174" s="38">
        <v>0</v>
      </c>
      <c r="S1174" s="38">
        <v>0</v>
      </c>
      <c r="T1174" s="38">
        <v>0</v>
      </c>
      <c r="U1174" s="29" cm="1">
        <f t="array" aca="1" ref="U1174" ca="1">+fair_value_gap(OFFSET(T1173,0,0,-1*$J$5,-1*$AA$1),OFFSET(E1173,0,0,-1*$J$5,1),F1174:T1174,0)</f>
        <v>20.101716111515579</v>
      </c>
      <c r="V1174" s="9" cm="1">
        <f t="array" aca="1" ref="V1174" ca="1">z_score_diff(OFFSET(U1174,0,0,$J$5*-1,1),OFFSET(E1174,0,0,$J$5*-1,1))</f>
        <v>-4.3168994414797934E-2</v>
      </c>
      <c r="W1174" s="9">
        <f t="shared" ca="1" si="181"/>
        <v>3.6956761343610103E-2</v>
      </c>
      <c r="X1174" s="17">
        <f t="shared" ca="1" si="180"/>
        <v>-9.3146365557145727E-2</v>
      </c>
      <c r="Y1174" s="13">
        <f t="shared" si="186"/>
        <v>0</v>
      </c>
      <c r="Z1174" s="13">
        <f t="shared" si="186"/>
        <v>0</v>
      </c>
      <c r="AA1174">
        <f t="shared" ca="1" si="182"/>
        <v>0</v>
      </c>
      <c r="AB1174">
        <f t="shared" ca="1" si="183"/>
        <v>1</v>
      </c>
      <c r="AC1174" s="24">
        <f t="shared" ca="1" si="184"/>
        <v>0</v>
      </c>
      <c r="AD1174" s="24">
        <f t="shared" ca="1" si="185"/>
        <v>-9.3146365557145727E-2</v>
      </c>
    </row>
    <row r="1175" spans="3:30" x14ac:dyDescent="0.25">
      <c r="C1175" s="6">
        <v>1168</v>
      </c>
      <c r="D1175" s="35">
        <v>43669</v>
      </c>
      <c r="E1175" s="37">
        <v>19.937999999999999</v>
      </c>
      <c r="F1175" s="37">
        <v>55.297641299746445</v>
      </c>
      <c r="G1175" s="37">
        <v>56.91</v>
      </c>
      <c r="H1175" s="37">
        <v>2.3773478519469067</v>
      </c>
      <c r="I1175" s="37">
        <v>62.482711201727248</v>
      </c>
      <c r="J1175" s="10">
        <v>0</v>
      </c>
      <c r="K1175" s="38">
        <v>0</v>
      </c>
      <c r="L1175" s="38">
        <v>0</v>
      </c>
      <c r="M1175" s="38">
        <v>0</v>
      </c>
      <c r="N1175" s="38">
        <v>0</v>
      </c>
      <c r="O1175" s="38">
        <v>0</v>
      </c>
      <c r="P1175" s="38">
        <v>1</v>
      </c>
      <c r="Q1175" s="38">
        <v>0</v>
      </c>
      <c r="R1175" s="38">
        <v>0</v>
      </c>
      <c r="S1175" s="38">
        <v>0</v>
      </c>
      <c r="T1175" s="38">
        <v>0</v>
      </c>
      <c r="U1175" s="29" cm="1">
        <f t="array" aca="1" ref="U1175" ca="1">+fair_value_gap(OFFSET(T1174,0,0,-1*$J$5,-1*$AA$1),OFFSET(E1174,0,0,-1*$J$5,1),F1175:T1175,0)</f>
        <v>20.100071533515504</v>
      </c>
      <c r="V1175" s="9" cm="1">
        <f t="array" aca="1" ref="V1175" ca="1">z_score_diff(OFFSET(U1175,0,0,$J$5*-1,1),OFFSET(E1175,0,0,$J$5*-1,1))</f>
        <v>-0.14146727573495993</v>
      </c>
      <c r="W1175" s="9">
        <f t="shared" ca="1" si="181"/>
        <v>3.4293838540989219E-2</v>
      </c>
      <c r="X1175" s="17">
        <f t="shared" ca="1" si="180"/>
        <v>-0.10225570070434747</v>
      </c>
      <c r="Y1175" s="13">
        <f t="shared" si="186"/>
        <v>0</v>
      </c>
      <c r="Z1175" s="13">
        <f t="shared" si="186"/>
        <v>0</v>
      </c>
      <c r="AA1175">
        <f t="shared" ca="1" si="182"/>
        <v>0</v>
      </c>
      <c r="AB1175">
        <f t="shared" ca="1" si="183"/>
        <v>1</v>
      </c>
      <c r="AC1175" s="24">
        <f t="shared" ca="1" si="184"/>
        <v>0</v>
      </c>
      <c r="AD1175" s="24">
        <f t="shared" ca="1" si="185"/>
        <v>-0.10225570070434747</v>
      </c>
    </row>
    <row r="1176" spans="3:30" x14ac:dyDescent="0.25">
      <c r="C1176" s="6">
        <v>1169</v>
      </c>
      <c r="D1176" s="35">
        <v>43670</v>
      </c>
      <c r="E1176" s="37">
        <v>19.443000000000001</v>
      </c>
      <c r="F1176" s="37">
        <v>54.768494317503368</v>
      </c>
      <c r="G1176" s="37">
        <v>56.01</v>
      </c>
      <c r="H1176" s="37">
        <v>2.3271303060295758</v>
      </c>
      <c r="I1176" s="37">
        <v>61.251909423241408</v>
      </c>
      <c r="J1176" s="10">
        <v>0</v>
      </c>
      <c r="K1176" s="38">
        <v>0</v>
      </c>
      <c r="L1176" s="38">
        <v>0</v>
      </c>
      <c r="M1176" s="38">
        <v>0</v>
      </c>
      <c r="N1176" s="38">
        <v>0</v>
      </c>
      <c r="O1176" s="38">
        <v>0</v>
      </c>
      <c r="P1176" s="38">
        <v>1</v>
      </c>
      <c r="Q1176" s="38">
        <v>0</v>
      </c>
      <c r="R1176" s="38">
        <v>0</v>
      </c>
      <c r="S1176" s="38">
        <v>0</v>
      </c>
      <c r="T1176" s="38">
        <v>0</v>
      </c>
      <c r="U1176" s="29" cm="1">
        <f t="array" aca="1" ref="U1176" ca="1">+fair_value_gap(OFFSET(T1175,0,0,-1*$J$5,-1*$AA$1),OFFSET(E1175,0,0,-1*$J$5,1),F1176:T1176,0)</f>
        <v>19.555007597866336</v>
      </c>
      <c r="V1176" s="9" cm="1">
        <f t="array" aca="1" ref="V1176" ca="1">z_score_diff(OFFSET(U1176,0,0,$J$5*-1,1),OFFSET(E1176,0,0,$J$5*-1,1))</f>
        <v>-0.17208316629514175</v>
      </c>
      <c r="W1176" s="9">
        <f t="shared" ca="1" si="181"/>
        <v>3.0848598175167791E-2</v>
      </c>
      <c r="X1176" s="17">
        <f t="shared" ca="1" si="180"/>
        <v>-6.9919083346929103E-2</v>
      </c>
      <c r="Y1176" s="13">
        <f t="shared" si="186"/>
        <v>0</v>
      </c>
      <c r="Z1176" s="13">
        <f t="shared" si="186"/>
        <v>0</v>
      </c>
      <c r="AA1176">
        <f t="shared" ca="1" si="182"/>
        <v>0</v>
      </c>
      <c r="AB1176">
        <f t="shared" ca="1" si="183"/>
        <v>1</v>
      </c>
      <c r="AC1176" s="24">
        <f t="shared" ca="1" si="184"/>
        <v>0</v>
      </c>
      <c r="AD1176" s="24">
        <f t="shared" ca="1" si="185"/>
        <v>-6.9919083346929103E-2</v>
      </c>
    </row>
    <row r="1177" spans="3:30" x14ac:dyDescent="0.25">
      <c r="C1177" s="6">
        <v>1170</v>
      </c>
      <c r="D1177" s="35">
        <v>43671</v>
      </c>
      <c r="E1177" s="37">
        <v>19.369</v>
      </c>
      <c r="F1177" s="37">
        <v>54.788756548043146</v>
      </c>
      <c r="G1177" s="37">
        <v>55.96</v>
      </c>
      <c r="H1177" s="37">
        <v>2.3425331534739322</v>
      </c>
      <c r="I1177" s="37">
        <v>61.745638026473273</v>
      </c>
      <c r="J1177" s="10">
        <v>0</v>
      </c>
      <c r="K1177" s="38">
        <v>0</v>
      </c>
      <c r="L1177" s="38">
        <v>0</v>
      </c>
      <c r="M1177" s="38">
        <v>0</v>
      </c>
      <c r="N1177" s="38">
        <v>0</v>
      </c>
      <c r="O1177" s="38">
        <v>0</v>
      </c>
      <c r="P1177" s="38">
        <v>1</v>
      </c>
      <c r="Q1177" s="38">
        <v>0</v>
      </c>
      <c r="R1177" s="38">
        <v>0</v>
      </c>
      <c r="S1177" s="38">
        <v>0</v>
      </c>
      <c r="T1177" s="38">
        <v>0</v>
      </c>
      <c r="U1177" s="29" cm="1">
        <f t="array" aca="1" ref="U1177" ca="1">+fair_value_gap(OFFSET(T1176,0,0,-1*$J$5,-1*$AA$1),OFFSET(E1176,0,0,-1*$J$5,1),F1177:T1177,0)</f>
        <v>19.541022056456171</v>
      </c>
      <c r="V1177" s="9" cm="1">
        <f t="array" aca="1" ref="V1177" ca="1">z_score_diff(OFFSET(U1177,0,0,$J$5*-1,1),OFFSET(E1177,0,0,$J$5*-1,1))</f>
        <v>-0.15320356476416697</v>
      </c>
      <c r="W1177" s="9">
        <f t="shared" ca="1" si="181"/>
        <v>2.778788201816889E-2</v>
      </c>
      <c r="X1177" s="17">
        <f t="shared" ca="1" si="180"/>
        <v>-7.2524616498551117E-2</v>
      </c>
      <c r="Y1177" s="13">
        <f t="shared" ref="Y1177:Z1192" si="187">+Y1176</f>
        <v>0</v>
      </c>
      <c r="Z1177" s="13">
        <f t="shared" si="187"/>
        <v>0</v>
      </c>
      <c r="AA1177">
        <f t="shared" ca="1" si="182"/>
        <v>0</v>
      </c>
      <c r="AB1177">
        <f t="shared" ca="1" si="183"/>
        <v>1</v>
      </c>
      <c r="AC1177" s="24">
        <f t="shared" ca="1" si="184"/>
        <v>0</v>
      </c>
      <c r="AD1177" s="24">
        <f t="shared" ca="1" si="185"/>
        <v>-7.2524616498551117E-2</v>
      </c>
    </row>
    <row r="1178" spans="3:30" x14ac:dyDescent="0.25">
      <c r="C1178" s="6">
        <v>1171</v>
      </c>
      <c r="D1178" s="35">
        <v>43672</v>
      </c>
      <c r="E1178" s="37">
        <v>19.207999999999998</v>
      </c>
      <c r="F1178" s="37">
        <v>54.932403830656234</v>
      </c>
      <c r="G1178" s="37">
        <v>55.11</v>
      </c>
      <c r="H1178" s="37">
        <v>2.2936470404868552</v>
      </c>
      <c r="I1178" s="37">
        <v>60.042188936296832</v>
      </c>
      <c r="J1178" s="10">
        <v>0</v>
      </c>
      <c r="K1178" s="38">
        <v>0</v>
      </c>
      <c r="L1178" s="38">
        <v>0</v>
      </c>
      <c r="M1178" s="38">
        <v>0</v>
      </c>
      <c r="N1178" s="38">
        <v>0</v>
      </c>
      <c r="O1178" s="38">
        <v>0</v>
      </c>
      <c r="P1178" s="38">
        <v>1</v>
      </c>
      <c r="Q1178" s="38">
        <v>0</v>
      </c>
      <c r="R1178" s="38">
        <v>0</v>
      </c>
      <c r="S1178" s="38">
        <v>0</v>
      </c>
      <c r="T1178" s="38">
        <v>0</v>
      </c>
      <c r="U1178" s="29" cm="1">
        <f t="array" aca="1" ref="U1178" ca="1">+fair_value_gap(OFFSET(T1177,0,0,-1*$J$5,-1*$AA$1),OFFSET(E1177,0,0,-1*$J$5,1),F1178:T1178,0)</f>
        <v>19.218877938092106</v>
      </c>
      <c r="V1178" s="9" cm="1">
        <f t="array" aca="1" ref="V1178" ca="1">z_score_diff(OFFSET(U1178,0,0,$J$5*-1,1),OFFSET(E1178,0,0,$J$5*-1,1))</f>
        <v>-0.21125398341897172</v>
      </c>
      <c r="W1178" s="9">
        <f t="shared" ca="1" si="181"/>
        <v>7.1101957478981129E-3</v>
      </c>
      <c r="X1178" s="17">
        <f t="shared" ca="1" si="180"/>
        <v>-7.0582013554589068E-2</v>
      </c>
      <c r="Y1178" s="13">
        <f t="shared" si="187"/>
        <v>0</v>
      </c>
      <c r="Z1178" s="13">
        <f t="shared" si="187"/>
        <v>0</v>
      </c>
      <c r="AA1178">
        <f t="shared" ca="1" si="182"/>
        <v>0</v>
      </c>
      <c r="AB1178">
        <f t="shared" ca="1" si="183"/>
        <v>1</v>
      </c>
      <c r="AC1178" s="24">
        <f t="shared" ca="1" si="184"/>
        <v>0</v>
      </c>
      <c r="AD1178" s="24">
        <f t="shared" ca="1" si="185"/>
        <v>-7.0582013554589068E-2</v>
      </c>
    </row>
    <row r="1179" spans="3:30" x14ac:dyDescent="0.25">
      <c r="C1179" s="6">
        <v>1172</v>
      </c>
      <c r="D1179" s="35">
        <v>43675</v>
      </c>
      <c r="E1179" s="37">
        <v>18.888000000000002</v>
      </c>
      <c r="F1179" s="37">
        <v>55.013970048146071</v>
      </c>
      <c r="G1179" s="37">
        <v>55.07</v>
      </c>
      <c r="H1179" s="37">
        <v>2.2583658977026544</v>
      </c>
      <c r="I1179" s="37">
        <v>60.723967582063544</v>
      </c>
      <c r="J1179" s="10">
        <v>0</v>
      </c>
      <c r="K1179" s="38">
        <v>0</v>
      </c>
      <c r="L1179" s="38">
        <v>0</v>
      </c>
      <c r="M1179" s="38">
        <v>0</v>
      </c>
      <c r="N1179" s="38">
        <v>0</v>
      </c>
      <c r="O1179" s="38">
        <v>0</v>
      </c>
      <c r="P1179" s="38">
        <v>1</v>
      </c>
      <c r="Q1179" s="38">
        <v>0</v>
      </c>
      <c r="R1179" s="38">
        <v>0</v>
      </c>
      <c r="S1179" s="38">
        <v>0</v>
      </c>
      <c r="T1179" s="38">
        <v>0</v>
      </c>
      <c r="U1179" s="29" cm="1">
        <f t="array" aca="1" ref="U1179" ca="1">+fair_value_gap(OFFSET(T1178,0,0,-1*$J$5,-1*$AA$1),OFFSET(E1178,0,0,-1*$J$5,1),F1179:T1179,0)</f>
        <v>19.208553962306603</v>
      </c>
      <c r="V1179" s="9" cm="1">
        <f t="array" aca="1" ref="V1179" ca="1">z_score_diff(OFFSET(U1179,0,0,$J$5*-1,1),OFFSET(E1179,0,0,$J$5*-1,1))</f>
        <v>-0.11537759467107978</v>
      </c>
      <c r="W1179" s="9">
        <f t="shared" ca="1" si="181"/>
        <v>-5.190267524031076E-2</v>
      </c>
      <c r="X1179" s="17">
        <f t="shared" ca="1" si="180"/>
        <v>-5.5291557456366984E-2</v>
      </c>
      <c r="Y1179" s="13">
        <f t="shared" si="187"/>
        <v>0</v>
      </c>
      <c r="Z1179" s="13">
        <f t="shared" si="187"/>
        <v>0</v>
      </c>
      <c r="AA1179">
        <f t="shared" ca="1" si="182"/>
        <v>1</v>
      </c>
      <c r="AB1179">
        <f t="shared" ca="1" si="183"/>
        <v>0</v>
      </c>
      <c r="AC1179" s="24">
        <f t="shared" ca="1" si="184"/>
        <v>-5.5291557456366984E-2</v>
      </c>
      <c r="AD1179" s="24">
        <f t="shared" ca="1" si="185"/>
        <v>0</v>
      </c>
    </row>
    <row r="1180" spans="3:30" x14ac:dyDescent="0.25">
      <c r="C1180" s="6">
        <v>1173</v>
      </c>
      <c r="D1180" s="35">
        <v>43676</v>
      </c>
      <c r="E1180" s="37">
        <v>18.766999999999999</v>
      </c>
      <c r="F1180" s="37">
        <v>55.737047605673851</v>
      </c>
      <c r="G1180" s="37">
        <v>54.96</v>
      </c>
      <c r="H1180" s="37">
        <v>2.2512079598615538</v>
      </c>
      <c r="I1180" s="37">
        <v>60.673984638088953</v>
      </c>
      <c r="J1180" s="10">
        <v>0</v>
      </c>
      <c r="K1180" s="38">
        <v>0</v>
      </c>
      <c r="L1180" s="38">
        <v>0</v>
      </c>
      <c r="M1180" s="38">
        <v>0</v>
      </c>
      <c r="N1180" s="38">
        <v>0</v>
      </c>
      <c r="O1180" s="38">
        <v>0</v>
      </c>
      <c r="P1180" s="38">
        <v>1</v>
      </c>
      <c r="Q1180" s="38">
        <v>0</v>
      </c>
      <c r="R1180" s="38">
        <v>0</v>
      </c>
      <c r="S1180" s="38">
        <v>0</v>
      </c>
      <c r="T1180" s="38">
        <v>0</v>
      </c>
      <c r="U1180" s="29" cm="1">
        <f t="array" aca="1" ref="U1180" ca="1">+fair_value_gap(OFFSET(T1179,0,0,-1*$J$5,-1*$AA$1),OFFSET(E1179,0,0,-1*$J$5,1),F1180:T1180,0)</f>
        <v>19.169878624920766</v>
      </c>
      <c r="V1180" s="9" cm="1">
        <f t="array" aca="1" ref="V1180" ca="1">z_score_diff(OFFSET(U1180,0,0,$J$5*-1,1),OFFSET(E1180,0,0,$J$5*-1,1))</f>
        <v>-9.0643650294563782E-2</v>
      </c>
      <c r="W1180" s="9">
        <f t="shared" ca="1" si="181"/>
        <v>-8.6860576188729027E-2</v>
      </c>
      <c r="X1180" s="17">
        <f t="shared" ca="1" si="180"/>
        <v>-5.9948796526499051E-2</v>
      </c>
      <c r="Y1180" s="13">
        <f t="shared" si="187"/>
        <v>0</v>
      </c>
      <c r="Z1180" s="13">
        <f t="shared" si="187"/>
        <v>0</v>
      </c>
      <c r="AA1180">
        <f t="shared" ca="1" si="182"/>
        <v>1</v>
      </c>
      <c r="AB1180">
        <f t="shared" ca="1" si="183"/>
        <v>0</v>
      </c>
      <c r="AC1180" s="24">
        <f t="shared" ca="1" si="184"/>
        <v>-5.9948796526499051E-2</v>
      </c>
      <c r="AD1180" s="24">
        <f t="shared" ca="1" si="185"/>
        <v>0</v>
      </c>
    </row>
    <row r="1181" spans="3:30" x14ac:dyDescent="0.25">
      <c r="C1181" s="6">
        <v>1174</v>
      </c>
      <c r="D1181" s="35">
        <v>43677</v>
      </c>
      <c r="E1181" s="37">
        <v>19.018000000000001</v>
      </c>
      <c r="F1181" s="37">
        <v>56.436812387631235</v>
      </c>
      <c r="G1181" s="37">
        <v>55.06</v>
      </c>
      <c r="H1181" s="37">
        <v>2.3227698162689969</v>
      </c>
      <c r="I1181" s="37">
        <v>60.582391607781943</v>
      </c>
      <c r="J1181" s="10">
        <v>0</v>
      </c>
      <c r="K1181" s="38">
        <v>0</v>
      </c>
      <c r="L1181" s="38">
        <v>0</v>
      </c>
      <c r="M1181" s="38">
        <v>0</v>
      </c>
      <c r="N1181" s="38">
        <v>0</v>
      </c>
      <c r="O1181" s="38">
        <v>0</v>
      </c>
      <c r="P1181" s="38">
        <v>1</v>
      </c>
      <c r="Q1181" s="38">
        <v>0</v>
      </c>
      <c r="R1181" s="38">
        <v>0</v>
      </c>
      <c r="S1181" s="38">
        <v>0</v>
      </c>
      <c r="T1181" s="38">
        <v>0</v>
      </c>
      <c r="U1181" s="29" cm="1">
        <f t="array" aca="1" ref="U1181" ca="1">+fair_value_gap(OFFSET(T1180,0,0,-1*$J$5,-1*$AA$1),OFFSET(E1180,0,0,-1*$J$5,1),F1181:T1181,0)</f>
        <v>19.215134592808148</v>
      </c>
      <c r="V1181" s="9" cm="1">
        <f t="array" aca="1" ref="V1181" ca="1">z_score_diff(OFFSET(U1181,0,0,$J$5*-1,1),OFFSET(E1181,0,0,$J$5*-1,1))</f>
        <v>-0.15241099609422337</v>
      </c>
      <c r="W1181" s="9">
        <f t="shared" ca="1" si="181"/>
        <v>-0.11026598636927594</v>
      </c>
      <c r="X1181" s="17">
        <f t="shared" ca="1" si="180"/>
        <v>-7.1369384247358017E-2</v>
      </c>
      <c r="Y1181" s="13">
        <f t="shared" si="187"/>
        <v>0</v>
      </c>
      <c r="Z1181" s="13">
        <f t="shared" si="187"/>
        <v>0</v>
      </c>
      <c r="AA1181">
        <f t="shared" ca="1" si="182"/>
        <v>1</v>
      </c>
      <c r="AB1181">
        <f t="shared" ca="1" si="183"/>
        <v>0</v>
      </c>
      <c r="AC1181" s="24">
        <f t="shared" ca="1" si="184"/>
        <v>-7.1369384247358017E-2</v>
      </c>
      <c r="AD1181" s="24">
        <f t="shared" ca="1" si="185"/>
        <v>0</v>
      </c>
    </row>
    <row r="1182" spans="3:30" x14ac:dyDescent="0.25">
      <c r="C1182" s="6">
        <v>1175</v>
      </c>
      <c r="D1182" s="35">
        <v>43678</v>
      </c>
      <c r="E1182" s="37">
        <v>19.548999999999999</v>
      </c>
      <c r="F1182" s="37">
        <v>52.285511985283918</v>
      </c>
      <c r="G1182" s="37">
        <v>55.63</v>
      </c>
      <c r="H1182" s="37">
        <v>2.3029464193586264</v>
      </c>
      <c r="I1182" s="37">
        <v>61.331848441397177</v>
      </c>
      <c r="J1182" s="10">
        <v>0</v>
      </c>
      <c r="K1182" s="38">
        <v>0</v>
      </c>
      <c r="L1182" s="38">
        <v>0</v>
      </c>
      <c r="M1182" s="38">
        <v>0</v>
      </c>
      <c r="N1182" s="38">
        <v>0</v>
      </c>
      <c r="O1182" s="38">
        <v>0</v>
      </c>
      <c r="P1182" s="38">
        <v>0</v>
      </c>
      <c r="Q1182" s="38">
        <v>1</v>
      </c>
      <c r="R1182" s="38">
        <v>0</v>
      </c>
      <c r="S1182" s="38">
        <v>0</v>
      </c>
      <c r="T1182" s="38">
        <v>0</v>
      </c>
      <c r="U1182" s="29" cm="1">
        <f t="array" aca="1" ref="U1182" ca="1">+fair_value_gap(OFFSET(T1181,0,0,-1*$J$5,-1*$AA$1),OFFSET(E1181,0,0,-1*$J$5,1),F1182:T1182,0)</f>
        <v>23.170061496919782</v>
      </c>
      <c r="V1182" s="9" cm="1">
        <f t="array" aca="1" ref="V1182" ca="1">z_score_diff(OFFSET(U1182,0,0,$J$5*-1,1),OFFSET(E1182,0,0,$J$5*-1,1))</f>
        <v>1.012025757053542</v>
      </c>
      <c r="W1182" s="9">
        <f t="shared" ca="1" si="181"/>
        <v>-7.2669218271223038E-2</v>
      </c>
      <c r="X1182" s="17">
        <f t="shared" ca="1" si="180"/>
        <v>-8.5055506549936391E-2</v>
      </c>
      <c r="Y1182" s="13">
        <f t="shared" si="187"/>
        <v>0</v>
      </c>
      <c r="Z1182" s="13">
        <f t="shared" si="187"/>
        <v>0</v>
      </c>
      <c r="AA1182">
        <f t="shared" ca="1" si="182"/>
        <v>1</v>
      </c>
      <c r="AB1182">
        <f t="shared" ca="1" si="183"/>
        <v>0</v>
      </c>
      <c r="AC1182" s="24">
        <f t="shared" ca="1" si="184"/>
        <v>-8.5055506549936391E-2</v>
      </c>
      <c r="AD1182" s="24">
        <f t="shared" ca="1" si="185"/>
        <v>0</v>
      </c>
    </row>
    <row r="1183" spans="3:30" x14ac:dyDescent="0.25">
      <c r="C1183" s="6">
        <v>1176</v>
      </c>
      <c r="D1183" s="35">
        <v>43679</v>
      </c>
      <c r="E1183" s="37">
        <v>18.984999999999999</v>
      </c>
      <c r="F1183" s="37">
        <v>53.387827859320325</v>
      </c>
      <c r="G1183" s="37">
        <v>55.85</v>
      </c>
      <c r="H1183" s="37">
        <v>2.2415075714130994</v>
      </c>
      <c r="I1183" s="37">
        <v>60.187807264082437</v>
      </c>
      <c r="J1183" s="10">
        <v>0</v>
      </c>
      <c r="K1183" s="38">
        <v>0</v>
      </c>
      <c r="L1183" s="38">
        <v>0</v>
      </c>
      <c r="M1183" s="38">
        <v>0</v>
      </c>
      <c r="N1183" s="38">
        <v>0</v>
      </c>
      <c r="O1183" s="38">
        <v>0</v>
      </c>
      <c r="P1183" s="38">
        <v>0</v>
      </c>
      <c r="Q1183" s="38">
        <v>1</v>
      </c>
      <c r="R1183" s="38">
        <v>0</v>
      </c>
      <c r="S1183" s="38">
        <v>0</v>
      </c>
      <c r="T1183" s="38">
        <v>0</v>
      </c>
      <c r="U1183" s="29" cm="1">
        <f t="array" aca="1" ref="U1183" ca="1">+fair_value_gap(OFFSET(T1182,0,0,-1*$J$5,-1*$AA$1),OFFSET(E1182,0,0,-1*$J$5,1),F1183:T1183,0)</f>
        <v>22.398691287688209</v>
      </c>
      <c r="V1183" s="9" cm="1">
        <f t="array" aca="1" ref="V1183" ca="1">z_score_diff(OFFSET(U1183,0,0,$J$5*-1,1),OFFSET(E1183,0,0,$J$5*-1,1))</f>
        <v>0.92300790392317889</v>
      </c>
      <c r="W1183" s="9">
        <f t="shared" ca="1" si="181"/>
        <v>-3.3544019809914206E-2</v>
      </c>
      <c r="X1183" s="17">
        <f t="shared" ca="1" si="180"/>
        <v>-6.923745536633033E-2</v>
      </c>
      <c r="Y1183" s="13">
        <f t="shared" si="187"/>
        <v>0</v>
      </c>
      <c r="Z1183" s="13">
        <f t="shared" si="187"/>
        <v>0</v>
      </c>
      <c r="AA1183">
        <f t="shared" ca="1" si="182"/>
        <v>1</v>
      </c>
      <c r="AB1183">
        <f t="shared" ca="1" si="183"/>
        <v>0</v>
      </c>
      <c r="AC1183" s="24">
        <f t="shared" ca="1" si="184"/>
        <v>-6.923745536633033E-2</v>
      </c>
      <c r="AD1183" s="24">
        <f t="shared" ca="1" si="185"/>
        <v>0</v>
      </c>
    </row>
    <row r="1184" spans="3:30" x14ac:dyDescent="0.25">
      <c r="C1184" s="6">
        <v>1177</v>
      </c>
      <c r="D1184" s="35">
        <v>43682</v>
      </c>
      <c r="E1184" s="37">
        <v>18.577000000000002</v>
      </c>
      <c r="F1184" s="37">
        <v>51.493369359023362</v>
      </c>
      <c r="G1184" s="37">
        <v>54.26</v>
      </c>
      <c r="H1184" s="37">
        <v>2.1849674940950394</v>
      </c>
      <c r="I1184" s="37">
        <v>58.565231099282599</v>
      </c>
      <c r="J1184" s="10">
        <v>0</v>
      </c>
      <c r="K1184" s="38">
        <v>0</v>
      </c>
      <c r="L1184" s="38">
        <v>0</v>
      </c>
      <c r="M1184" s="38">
        <v>0</v>
      </c>
      <c r="N1184" s="38">
        <v>0</v>
      </c>
      <c r="O1184" s="38">
        <v>0</v>
      </c>
      <c r="P1184" s="38">
        <v>0</v>
      </c>
      <c r="Q1184" s="38">
        <v>1</v>
      </c>
      <c r="R1184" s="38">
        <v>0</v>
      </c>
      <c r="S1184" s="38">
        <v>0</v>
      </c>
      <c r="T1184" s="38">
        <v>0</v>
      </c>
      <c r="U1184" s="29" cm="1">
        <f t="array" aca="1" ref="U1184" ca="1">+fair_value_gap(OFFSET(T1183,0,0,-1*$J$5,-1*$AA$1),OFFSET(E1183,0,0,-1*$J$5,1),F1184:T1184,0)</f>
        <v>21.16240044111548</v>
      </c>
      <c r="V1184" s="9" cm="1">
        <f t="array" aca="1" ref="V1184" ca="1">z_score_diff(OFFSET(U1184,0,0,$J$5*-1,1),OFFSET(E1184,0,0,$J$5*-1,1))</f>
        <v>0.62965489549280673</v>
      </c>
      <c r="W1184" s="9">
        <f t="shared" ca="1" si="181"/>
        <v>-5.9106462147735291E-3</v>
      </c>
      <c r="X1184" s="17">
        <f t="shared" ca="1" si="180"/>
        <v>-8.2670369691712653E-2</v>
      </c>
      <c r="Y1184" s="13">
        <f t="shared" si="187"/>
        <v>0</v>
      </c>
      <c r="Z1184" s="13">
        <f t="shared" si="187"/>
        <v>0</v>
      </c>
      <c r="AA1184">
        <f t="shared" ca="1" si="182"/>
        <v>1</v>
      </c>
      <c r="AB1184">
        <f t="shared" ca="1" si="183"/>
        <v>0</v>
      </c>
      <c r="AC1184" s="24">
        <f t="shared" ca="1" si="184"/>
        <v>-8.2670369691712653E-2</v>
      </c>
      <c r="AD1184" s="24">
        <f t="shared" ca="1" si="185"/>
        <v>0</v>
      </c>
    </row>
    <row r="1185" spans="3:30" x14ac:dyDescent="0.25">
      <c r="C1185" s="6">
        <v>1178</v>
      </c>
      <c r="D1185" s="35">
        <v>43683</v>
      </c>
      <c r="E1185" s="37">
        <v>18.452000000000002</v>
      </c>
      <c r="F1185" s="37">
        <v>50.860113554713365</v>
      </c>
      <c r="G1185" s="37">
        <v>54.26</v>
      </c>
      <c r="H1185" s="37">
        <v>2.2101607517716504</v>
      </c>
      <c r="I1185" s="37">
        <v>57.323292804914125</v>
      </c>
      <c r="J1185" s="10">
        <v>0</v>
      </c>
      <c r="K1185" s="38">
        <v>0</v>
      </c>
      <c r="L1185" s="38">
        <v>0</v>
      </c>
      <c r="M1185" s="38">
        <v>0</v>
      </c>
      <c r="N1185" s="38">
        <v>0</v>
      </c>
      <c r="O1185" s="38">
        <v>0</v>
      </c>
      <c r="P1185" s="38">
        <v>0</v>
      </c>
      <c r="Q1185" s="38">
        <v>1</v>
      </c>
      <c r="R1185" s="38">
        <v>0</v>
      </c>
      <c r="S1185" s="38">
        <v>0</v>
      </c>
      <c r="T1185" s="38">
        <v>0</v>
      </c>
      <c r="U1185" s="29" cm="1">
        <f t="array" aca="1" ref="U1185" ca="1">+fair_value_gap(OFFSET(T1184,0,0,-1*$J$5,-1*$AA$1),OFFSET(E1184,0,0,-1*$J$5,1),F1185:T1185,0)</f>
        <v>20.580515083442837</v>
      </c>
      <c r="V1185" s="9" cm="1">
        <f t="array" aca="1" ref="V1185" ca="1">z_score_diff(OFFSET(U1185,0,0,$J$5*-1,1),OFFSET(E1185,0,0,$J$5*-1,1))</f>
        <v>0.4697794816011378</v>
      </c>
      <c r="W1185" s="9">
        <f t="shared" ca="1" si="181"/>
        <v>1.9178815193308319E-2</v>
      </c>
      <c r="X1185" s="17">
        <f t="shared" ca="1" si="180"/>
        <v>-7.9433203452474704E-2</v>
      </c>
      <c r="Y1185" s="13">
        <f t="shared" si="187"/>
        <v>0</v>
      </c>
      <c r="Z1185" s="13">
        <f t="shared" si="187"/>
        <v>0</v>
      </c>
      <c r="AA1185">
        <f t="shared" ca="1" si="182"/>
        <v>0</v>
      </c>
      <c r="AB1185">
        <f t="shared" ca="1" si="183"/>
        <v>1</v>
      </c>
      <c r="AC1185" s="24">
        <f t="shared" ca="1" si="184"/>
        <v>0</v>
      </c>
      <c r="AD1185" s="24">
        <f t="shared" ca="1" si="185"/>
        <v>-7.9433203452474704E-2</v>
      </c>
    </row>
    <row r="1186" spans="3:30" x14ac:dyDescent="0.25">
      <c r="C1186" s="6">
        <v>1179</v>
      </c>
      <c r="D1186" s="35">
        <v>43684</v>
      </c>
      <c r="E1186" s="37">
        <v>18.452000000000002</v>
      </c>
      <c r="F1186" s="37">
        <v>48.767078389444109</v>
      </c>
      <c r="G1186" s="37">
        <v>54.15</v>
      </c>
      <c r="H1186" s="37">
        <v>2.1903334575638316</v>
      </c>
      <c r="I1186" s="37">
        <v>56.828844735666578</v>
      </c>
      <c r="J1186" s="10">
        <v>0</v>
      </c>
      <c r="K1186" s="38">
        <v>0</v>
      </c>
      <c r="L1186" s="38">
        <v>0</v>
      </c>
      <c r="M1186" s="38">
        <v>0</v>
      </c>
      <c r="N1186" s="38">
        <v>0</v>
      </c>
      <c r="O1186" s="38">
        <v>0</v>
      </c>
      <c r="P1186" s="38">
        <v>0</v>
      </c>
      <c r="Q1186" s="38">
        <v>1</v>
      </c>
      <c r="R1186" s="38">
        <v>0</v>
      </c>
      <c r="S1186" s="38">
        <v>0</v>
      </c>
      <c r="T1186" s="38">
        <v>0</v>
      </c>
      <c r="U1186" s="29" cm="1">
        <f t="array" aca="1" ref="U1186" ca="1">+fair_value_gap(OFFSET(T1185,0,0,-1*$J$5,-1*$AA$1),OFFSET(E1185,0,0,-1*$J$5,1),F1186:T1186,0)</f>
        <v>20.158873874267382</v>
      </c>
      <c r="V1186" s="9" cm="1">
        <f t="array" aca="1" ref="V1186" ca="1">z_score_diff(OFFSET(U1186,0,0,$J$5*-1,1),OFFSET(E1186,0,0,$J$5*-1,1))</f>
        <v>0.32541702422178803</v>
      </c>
      <c r="W1186" s="9">
        <f t="shared" ca="1" si="181"/>
        <v>4.3189735367934988E-2</v>
      </c>
      <c r="X1186" s="17">
        <f t="shared" ca="1" si="180"/>
        <v>-8.46689715093603E-2</v>
      </c>
      <c r="Y1186" s="13">
        <f t="shared" si="187"/>
        <v>0</v>
      </c>
      <c r="Z1186" s="13">
        <f t="shared" si="187"/>
        <v>0</v>
      </c>
      <c r="AA1186">
        <f t="shared" ca="1" si="182"/>
        <v>0</v>
      </c>
      <c r="AB1186">
        <f t="shared" ca="1" si="183"/>
        <v>1</v>
      </c>
      <c r="AC1186" s="24">
        <f t="shared" ca="1" si="184"/>
        <v>0</v>
      </c>
      <c r="AD1186" s="24">
        <f t="shared" ca="1" si="185"/>
        <v>-8.46689715093603E-2</v>
      </c>
    </row>
    <row r="1187" spans="3:30" x14ac:dyDescent="0.25">
      <c r="C1187" s="6">
        <v>1180</v>
      </c>
      <c r="D1187" s="35">
        <v>43685</v>
      </c>
      <c r="E1187" s="37">
        <v>18.411999999999999</v>
      </c>
      <c r="F1187" s="37">
        <v>49.562831315315194</v>
      </c>
      <c r="G1187" s="37">
        <v>54.47</v>
      </c>
      <c r="H1187" s="37">
        <v>2.2184679521318809</v>
      </c>
      <c r="I1187" s="37">
        <v>57.048838037731599</v>
      </c>
      <c r="J1187" s="10">
        <v>0</v>
      </c>
      <c r="K1187" s="38">
        <v>0</v>
      </c>
      <c r="L1187" s="38">
        <v>0</v>
      </c>
      <c r="M1187" s="38">
        <v>0</v>
      </c>
      <c r="N1187" s="38">
        <v>0</v>
      </c>
      <c r="O1187" s="38">
        <v>0</v>
      </c>
      <c r="P1187" s="38">
        <v>0</v>
      </c>
      <c r="Q1187" s="38">
        <v>1</v>
      </c>
      <c r="R1187" s="38">
        <v>0</v>
      </c>
      <c r="S1187" s="38">
        <v>0</v>
      </c>
      <c r="T1187" s="38">
        <v>0</v>
      </c>
      <c r="U1187" s="29" cm="1">
        <f t="array" aca="1" ref="U1187" ca="1">+fair_value_gap(OFFSET(T1186,0,0,-1*$J$5,-1*$AA$1),OFFSET(E1186,0,0,-1*$J$5,1),F1187:T1187,0)</f>
        <v>19.999902613263608</v>
      </c>
      <c r="V1187" s="9" cm="1">
        <f t="array" aca="1" ref="V1187" ca="1">z_score_diff(OFFSET(U1187,0,0,$J$5*-1,1),OFFSET(E1187,0,0,$J$5*-1,1))</f>
        <v>0.28257925153841446</v>
      </c>
      <c r="W1187" s="9">
        <f t="shared" ca="1" si="181"/>
        <v>7.6505286020022295E-2</v>
      </c>
      <c r="X1187" s="17">
        <f t="shared" ca="1" si="180"/>
        <v>-6.1544961558055958E-2</v>
      </c>
      <c r="Y1187" s="13">
        <f t="shared" si="187"/>
        <v>0</v>
      </c>
      <c r="Z1187" s="13">
        <f t="shared" si="187"/>
        <v>0</v>
      </c>
      <c r="AA1187">
        <f t="shared" ca="1" si="182"/>
        <v>0</v>
      </c>
      <c r="AB1187">
        <f t="shared" ca="1" si="183"/>
        <v>1</v>
      </c>
      <c r="AC1187" s="24">
        <f t="shared" ca="1" si="184"/>
        <v>0</v>
      </c>
      <c r="AD1187" s="24">
        <f t="shared" ca="1" si="185"/>
        <v>-6.1544961558055958E-2</v>
      </c>
    </row>
    <row r="1188" spans="3:30" x14ac:dyDescent="0.25">
      <c r="C1188" s="6">
        <v>1181</v>
      </c>
      <c r="D1188" s="35">
        <v>43686</v>
      </c>
      <c r="E1188" s="37">
        <v>18.350999999999999</v>
      </c>
      <c r="F1188" s="37">
        <v>50.454468981688237</v>
      </c>
      <c r="G1188" s="37">
        <v>54.52</v>
      </c>
      <c r="H1188" s="37">
        <v>2.2073830179488603</v>
      </c>
      <c r="I1188" s="37">
        <v>57.166463633232659</v>
      </c>
      <c r="J1188" s="10">
        <v>0</v>
      </c>
      <c r="K1188" s="38">
        <v>0</v>
      </c>
      <c r="L1188" s="38">
        <v>0</v>
      </c>
      <c r="M1188" s="38">
        <v>0</v>
      </c>
      <c r="N1188" s="38">
        <v>0</v>
      </c>
      <c r="O1188" s="38">
        <v>0</v>
      </c>
      <c r="P1188" s="38">
        <v>0</v>
      </c>
      <c r="Q1188" s="38">
        <v>1</v>
      </c>
      <c r="R1188" s="38">
        <v>0</v>
      </c>
      <c r="S1188" s="38">
        <v>0</v>
      </c>
      <c r="T1188" s="38">
        <v>0</v>
      </c>
      <c r="U1188" s="29" cm="1">
        <f t="array" aca="1" ref="U1188" ca="1">+fair_value_gap(OFFSET(T1187,0,0,-1*$J$5,-1*$AA$1),OFFSET(E1187,0,0,-1*$J$5,1),F1188:T1188,0)</f>
        <v>19.848879725087858</v>
      </c>
      <c r="V1188" s="9" cm="1">
        <f t="array" aca="1" ref="V1188" ca="1">z_score_diff(OFFSET(U1188,0,0,$J$5*-1,1),OFFSET(E1188,0,0,$J$5*-1,1))</f>
        <v>0.24918131361232732</v>
      </c>
      <c r="W1188" s="9">
        <f t="shared" ca="1" si="181"/>
        <v>0.11433121367168811</v>
      </c>
      <c r="X1188" s="17">
        <f t="shared" ca="1" si="180"/>
        <v>-5.0917650447703841E-2</v>
      </c>
      <c r="Y1188" s="13">
        <f t="shared" si="187"/>
        <v>0</v>
      </c>
      <c r="Z1188" s="13">
        <f t="shared" si="187"/>
        <v>0</v>
      </c>
      <c r="AA1188">
        <f t="shared" ca="1" si="182"/>
        <v>0</v>
      </c>
      <c r="AB1188">
        <f t="shared" ca="1" si="183"/>
        <v>1</v>
      </c>
      <c r="AC1188" s="24">
        <f t="shared" ca="1" si="184"/>
        <v>0</v>
      </c>
      <c r="AD1188" s="24">
        <f t="shared" ca="1" si="185"/>
        <v>-5.0917650447703841E-2</v>
      </c>
    </row>
    <row r="1189" spans="3:30" x14ac:dyDescent="0.25">
      <c r="C1189" s="6">
        <v>1182</v>
      </c>
      <c r="D1189" s="35">
        <v>43689</v>
      </c>
      <c r="E1189" s="37">
        <v>17.905999999999999</v>
      </c>
      <c r="F1189" s="37">
        <v>50.479684543752143</v>
      </c>
      <c r="G1189" s="37">
        <v>53.59</v>
      </c>
      <c r="H1189" s="37">
        <v>2.1796246436559996</v>
      </c>
      <c r="I1189" s="37">
        <v>56.997448308679886</v>
      </c>
      <c r="J1189" s="10">
        <v>0</v>
      </c>
      <c r="K1189" s="38">
        <v>0</v>
      </c>
      <c r="L1189" s="38">
        <v>0</v>
      </c>
      <c r="M1189" s="38">
        <v>0</v>
      </c>
      <c r="N1189" s="38">
        <v>0</v>
      </c>
      <c r="O1189" s="38">
        <v>0</v>
      </c>
      <c r="P1189" s="38">
        <v>0</v>
      </c>
      <c r="Q1189" s="38">
        <v>1</v>
      </c>
      <c r="R1189" s="38">
        <v>0</v>
      </c>
      <c r="S1189" s="38">
        <v>0</v>
      </c>
      <c r="T1189" s="38">
        <v>0</v>
      </c>
      <c r="U1189" s="29" cm="1">
        <f t="array" aca="1" ref="U1189" ca="1">+fair_value_gap(OFFSET(T1188,0,0,-1*$J$5,-1*$AA$1),OFFSET(E1188,0,0,-1*$J$5,1),F1189:T1189,0)</f>
        <v>19.509884208067842</v>
      </c>
      <c r="V1189" s="9" cm="1">
        <f t="array" aca="1" ref="V1189" ca="1">z_score_diff(OFFSET(U1189,0,0,$J$5*-1,1),OFFSET(E1189,0,0,$J$5*-1,1))</f>
        <v>0.27155947220331156</v>
      </c>
      <c r="W1189" s="9">
        <f t="shared" ca="1" si="181"/>
        <v>0.13821427408149273</v>
      </c>
      <c r="X1189" s="17">
        <f t="shared" ca="1" si="180"/>
        <v>-2.5051495254256016E-2</v>
      </c>
      <c r="Y1189" s="13">
        <f t="shared" si="187"/>
        <v>0</v>
      </c>
      <c r="Z1189" s="13">
        <f t="shared" si="187"/>
        <v>0</v>
      </c>
      <c r="AA1189">
        <f t="shared" ca="1" si="182"/>
        <v>0</v>
      </c>
      <c r="AB1189">
        <f t="shared" ca="1" si="183"/>
        <v>1</v>
      </c>
      <c r="AC1189" s="24">
        <f t="shared" ca="1" si="184"/>
        <v>0</v>
      </c>
      <c r="AD1189" s="24">
        <f t="shared" ca="1" si="185"/>
        <v>-2.5051495254256016E-2</v>
      </c>
    </row>
    <row r="1190" spans="3:30" x14ac:dyDescent="0.25">
      <c r="C1190" s="6">
        <v>1183</v>
      </c>
      <c r="D1190" s="35">
        <v>43690</v>
      </c>
      <c r="E1190" s="37">
        <v>18.28</v>
      </c>
      <c r="F1190" s="37">
        <v>52.807453591577641</v>
      </c>
      <c r="G1190" s="37">
        <v>53.36</v>
      </c>
      <c r="H1190" s="37">
        <v>2.2092103683723692</v>
      </c>
      <c r="I1190" s="37">
        <v>57.679543576961365</v>
      </c>
      <c r="J1190" s="10">
        <v>0</v>
      </c>
      <c r="K1190" s="38">
        <v>0</v>
      </c>
      <c r="L1190" s="38">
        <v>0</v>
      </c>
      <c r="M1190" s="38">
        <v>0</v>
      </c>
      <c r="N1190" s="38">
        <v>0</v>
      </c>
      <c r="O1190" s="38">
        <v>0</v>
      </c>
      <c r="P1190" s="38">
        <v>0</v>
      </c>
      <c r="Q1190" s="38">
        <v>1</v>
      </c>
      <c r="R1190" s="38">
        <v>0</v>
      </c>
      <c r="S1190" s="38">
        <v>0</v>
      </c>
      <c r="T1190" s="38">
        <v>0</v>
      </c>
      <c r="U1190" s="29" cm="1">
        <f t="array" aca="1" ref="U1190" ca="1">+fair_value_gap(OFFSET(T1189,0,0,-1*$J$5,-1*$AA$1),OFFSET(E1189,0,0,-1*$J$5,1),F1190:T1190,0)</f>
        <v>19.406060912351535</v>
      </c>
      <c r="V1190" s="9" cm="1">
        <f t="array" aca="1" ref="V1190" ca="1">z_score_diff(OFFSET(U1190,0,0,$J$5*-1,1),OFFSET(E1190,0,0,$J$5*-1,1))</f>
        <v>0.11873228801432123</v>
      </c>
      <c r="W1190" s="9">
        <f t="shared" ca="1" si="181"/>
        <v>0.14477219208341191</v>
      </c>
      <c r="X1190" s="17">
        <f t="shared" ca="1" si="180"/>
        <v>5.9568587513087766E-2</v>
      </c>
      <c r="Y1190" s="13">
        <f t="shared" si="187"/>
        <v>0</v>
      </c>
      <c r="Z1190" s="13">
        <f t="shared" si="187"/>
        <v>0</v>
      </c>
      <c r="AA1190">
        <f t="shared" ca="1" si="182"/>
        <v>0</v>
      </c>
      <c r="AB1190">
        <f t="shared" ca="1" si="183"/>
        <v>1</v>
      </c>
      <c r="AC1190" s="24">
        <f t="shared" ca="1" si="184"/>
        <v>0</v>
      </c>
      <c r="AD1190" s="24">
        <f t="shared" ca="1" si="185"/>
        <v>5.9568587513087766E-2</v>
      </c>
    </row>
    <row r="1191" spans="3:30" x14ac:dyDescent="0.25">
      <c r="C1191" s="6">
        <v>1184</v>
      </c>
      <c r="D1191" s="35">
        <v>43691</v>
      </c>
      <c r="E1191" s="37">
        <v>18.186</v>
      </c>
      <c r="F1191" s="37">
        <v>51.401178046985493</v>
      </c>
      <c r="G1191" s="37">
        <v>53.13</v>
      </c>
      <c r="H1191" s="37">
        <v>2.2166979436871932</v>
      </c>
      <c r="I1191" s="37">
        <v>57.56506845372256</v>
      </c>
      <c r="J1191" s="10">
        <v>0</v>
      </c>
      <c r="K1191" s="38">
        <v>0</v>
      </c>
      <c r="L1191" s="38">
        <v>0</v>
      </c>
      <c r="M1191" s="38">
        <v>0</v>
      </c>
      <c r="N1191" s="38">
        <v>0</v>
      </c>
      <c r="O1191" s="38">
        <v>0</v>
      </c>
      <c r="P1191" s="38">
        <v>0</v>
      </c>
      <c r="Q1191" s="38">
        <v>1</v>
      </c>
      <c r="R1191" s="38">
        <v>0</v>
      </c>
      <c r="S1191" s="38">
        <v>0</v>
      </c>
      <c r="T1191" s="38">
        <v>0</v>
      </c>
      <c r="U1191" s="29" cm="1">
        <f t="array" aca="1" ref="U1191" ca="1">+fair_value_gap(OFFSET(T1190,0,0,-1*$J$5,-1*$AA$1),OFFSET(E1190,0,0,-1*$J$5,1),F1191:T1191,0)</f>
        <v>19.187372405203231</v>
      </c>
      <c r="V1191" s="9" cm="1">
        <f t="array" aca="1" ref="V1191" ca="1">z_score_diff(OFFSET(U1191,0,0,$J$5*-1,1),OFFSET(E1191,0,0,$J$5*-1,1))</f>
        <v>7.3376491375105712E-2</v>
      </c>
      <c r="W1191" s="9">
        <f t="shared" ca="1" si="181"/>
        <v>0.15006178212963703</v>
      </c>
      <c r="X1191" s="17">
        <f t="shared" ca="1" si="180"/>
        <v>6.1575127692871733E-2</v>
      </c>
      <c r="Y1191" s="13">
        <f t="shared" si="187"/>
        <v>0</v>
      </c>
      <c r="Z1191" s="13">
        <f t="shared" si="187"/>
        <v>0</v>
      </c>
      <c r="AA1191">
        <f t="shared" ca="1" si="182"/>
        <v>0</v>
      </c>
      <c r="AB1191">
        <f t="shared" ca="1" si="183"/>
        <v>1</v>
      </c>
      <c r="AC1191" s="24">
        <f t="shared" ca="1" si="184"/>
        <v>0</v>
      </c>
      <c r="AD1191" s="24">
        <f t="shared" ca="1" si="185"/>
        <v>6.1575127692871733E-2</v>
      </c>
    </row>
    <row r="1192" spans="3:30" x14ac:dyDescent="0.25">
      <c r="C1192" s="6">
        <v>1185</v>
      </c>
      <c r="D1192" s="35">
        <v>43692</v>
      </c>
      <c r="E1192" s="37">
        <v>18.02</v>
      </c>
      <c r="F1192" s="37">
        <v>50.42799371227342</v>
      </c>
      <c r="G1192" s="37">
        <v>52.72</v>
      </c>
      <c r="H1192" s="37">
        <v>2.2703704658124861</v>
      </c>
      <c r="I1192" s="37">
        <v>56.514896918072061</v>
      </c>
      <c r="J1192" s="10">
        <v>0</v>
      </c>
      <c r="K1192" s="38">
        <v>0</v>
      </c>
      <c r="L1192" s="38">
        <v>0</v>
      </c>
      <c r="M1192" s="38">
        <v>0</v>
      </c>
      <c r="N1192" s="38">
        <v>0</v>
      </c>
      <c r="O1192" s="38">
        <v>0</v>
      </c>
      <c r="P1192" s="38">
        <v>0</v>
      </c>
      <c r="Q1192" s="38">
        <v>1</v>
      </c>
      <c r="R1192" s="38">
        <v>0</v>
      </c>
      <c r="S1192" s="38">
        <v>0</v>
      </c>
      <c r="T1192" s="38">
        <v>0</v>
      </c>
      <c r="U1192" s="29" cm="1">
        <f t="array" aca="1" ref="U1192" ca="1">+fair_value_gap(OFFSET(T1191,0,0,-1*$J$5,-1*$AA$1),OFFSET(E1191,0,0,-1*$J$5,1),F1192:T1192,0)</f>
        <v>18.705442202589289</v>
      </c>
      <c r="V1192" s="9" cm="1">
        <f t="array" aca="1" ref="V1192" ca="1">z_score_diff(OFFSET(U1192,0,0,$J$5*-1,1),OFFSET(E1192,0,0,$J$5*-1,1))</f>
        <v>-3.8879715742387799E-2</v>
      </c>
      <c r="W1192" s="9">
        <f t="shared" ca="1" si="181"/>
        <v>0.15427318074698285</v>
      </c>
      <c r="X1192" s="17">
        <f t="shared" ca="1" si="180"/>
        <v>5.5217327796487713E-2</v>
      </c>
      <c r="Y1192" s="13">
        <f t="shared" si="187"/>
        <v>0</v>
      </c>
      <c r="Z1192" s="13">
        <f t="shared" si="187"/>
        <v>0</v>
      </c>
      <c r="AA1192">
        <f t="shared" ca="1" si="182"/>
        <v>0</v>
      </c>
      <c r="AB1192">
        <f t="shared" ca="1" si="183"/>
        <v>1</v>
      </c>
      <c r="AC1192" s="24">
        <f t="shared" ca="1" si="184"/>
        <v>0</v>
      </c>
      <c r="AD1192" s="24">
        <f t="shared" ca="1" si="185"/>
        <v>5.5217327796487713E-2</v>
      </c>
    </row>
    <row r="1193" spans="3:30" x14ac:dyDescent="0.25">
      <c r="C1193" s="6">
        <v>1186</v>
      </c>
      <c r="D1193" s="35">
        <v>43693</v>
      </c>
      <c r="E1193" s="37">
        <v>18.03</v>
      </c>
      <c r="F1193" s="37">
        <v>50.708576502861092</v>
      </c>
      <c r="G1193" s="37">
        <v>52.88</v>
      </c>
      <c r="H1193" s="37">
        <v>2.2502542547067153</v>
      </c>
      <c r="I1193" s="37">
        <v>55.833710748456461</v>
      </c>
      <c r="J1193" s="10">
        <v>0</v>
      </c>
      <c r="K1193" s="38">
        <v>0</v>
      </c>
      <c r="L1193" s="38">
        <v>0</v>
      </c>
      <c r="M1193" s="38">
        <v>0</v>
      </c>
      <c r="N1193" s="38">
        <v>0</v>
      </c>
      <c r="O1193" s="38">
        <v>0</v>
      </c>
      <c r="P1193" s="38">
        <v>0</v>
      </c>
      <c r="Q1193" s="38">
        <v>1</v>
      </c>
      <c r="R1193" s="38">
        <v>0</v>
      </c>
      <c r="S1193" s="38">
        <v>0</v>
      </c>
      <c r="T1193" s="38">
        <v>0</v>
      </c>
      <c r="U1193" s="29" cm="1">
        <f t="array" aca="1" ref="U1193" ca="1">+fair_value_gap(OFFSET(T1192,0,0,-1*$J$5,-1*$AA$1),OFFSET(E1192,0,0,-1*$J$5,1),F1193:T1193,0)</f>
        <v>18.55633385647554</v>
      </c>
      <c r="V1193" s="9" cm="1">
        <f t="array" aca="1" ref="V1193" ca="1">z_score_diff(OFFSET(U1193,0,0,$J$5*-1,1),OFFSET(E1193,0,0,$J$5*-1,1))</f>
        <v>-9.2598667620037767E-2</v>
      </c>
      <c r="W1193" s="9">
        <f t="shared" ca="1" si="181"/>
        <v>0.15721131349928016</v>
      </c>
      <c r="X1193" s="17">
        <f t="shared" ca="1" si="180"/>
        <v>5.0347200836840598E-2</v>
      </c>
      <c r="Y1193" s="13">
        <f t="shared" ref="Y1193:Z1208" si="188">+Y1192</f>
        <v>0</v>
      </c>
      <c r="Z1193" s="13">
        <f t="shared" si="188"/>
        <v>0</v>
      </c>
      <c r="AA1193">
        <f t="shared" ca="1" si="182"/>
        <v>0</v>
      </c>
      <c r="AB1193">
        <f t="shared" ca="1" si="183"/>
        <v>1</v>
      </c>
      <c r="AC1193" s="24">
        <f t="shared" ca="1" si="184"/>
        <v>0</v>
      </c>
      <c r="AD1193" s="24">
        <f t="shared" ca="1" si="185"/>
        <v>5.0347200836840598E-2</v>
      </c>
    </row>
    <row r="1194" spans="3:30" x14ac:dyDescent="0.25">
      <c r="C1194" s="6">
        <v>1187</v>
      </c>
      <c r="D1194" s="35">
        <v>43696</v>
      </c>
      <c r="E1194" s="37">
        <v>17.875</v>
      </c>
      <c r="F1194" s="37">
        <v>51.613420379953155</v>
      </c>
      <c r="G1194" s="37">
        <v>52.53</v>
      </c>
      <c r="H1194" s="37">
        <v>2.2506835772241867</v>
      </c>
      <c r="I1194" s="37">
        <v>56.200290353322586</v>
      </c>
      <c r="J1194" s="10">
        <v>0</v>
      </c>
      <c r="K1194" s="38">
        <v>0</v>
      </c>
      <c r="L1194" s="38">
        <v>0</v>
      </c>
      <c r="M1194" s="38">
        <v>0</v>
      </c>
      <c r="N1194" s="38">
        <v>0</v>
      </c>
      <c r="O1194" s="38">
        <v>0</v>
      </c>
      <c r="P1194" s="38">
        <v>0</v>
      </c>
      <c r="Q1194" s="38">
        <v>1</v>
      </c>
      <c r="R1194" s="38">
        <v>0</v>
      </c>
      <c r="S1194" s="38">
        <v>0</v>
      </c>
      <c r="T1194" s="38">
        <v>0</v>
      </c>
      <c r="U1194" s="29" cm="1">
        <f t="array" aca="1" ref="U1194" ca="1">+fair_value_gap(OFFSET(T1193,0,0,-1*$J$5,-1*$AA$1),OFFSET(E1193,0,0,-1*$J$5,1),F1194:T1194,0)</f>
        <v>18.464410980466731</v>
      </c>
      <c r="V1194" s="9" cm="1">
        <f t="array" aca="1" ref="V1194" ca="1">z_score_diff(OFFSET(U1194,0,0,$J$5*-1,1),OFFSET(E1194,0,0,$J$5*-1,1))</f>
        <v>-7.4431280943086597E-2</v>
      </c>
      <c r="W1194" s="9">
        <f t="shared" ca="1" si="181"/>
        <v>0.15564819917286574</v>
      </c>
      <c r="X1194" s="17">
        <f t="shared" ca="1" si="180"/>
        <v>0.12064451657763349</v>
      </c>
      <c r="Y1194" s="13">
        <f t="shared" si="188"/>
        <v>0</v>
      </c>
      <c r="Z1194" s="13">
        <f t="shared" si="188"/>
        <v>0</v>
      </c>
      <c r="AA1194">
        <f t="shared" ca="1" si="182"/>
        <v>0</v>
      </c>
      <c r="AB1194">
        <f t="shared" ca="1" si="183"/>
        <v>1</v>
      </c>
      <c r="AC1194" s="24">
        <f t="shared" ca="1" si="184"/>
        <v>0</v>
      </c>
      <c r="AD1194" s="24">
        <f t="shared" ca="1" si="185"/>
        <v>0.12064451657763349</v>
      </c>
    </row>
    <row r="1195" spans="3:30" x14ac:dyDescent="0.25">
      <c r="C1195" s="6">
        <v>1188</v>
      </c>
      <c r="D1195" s="35">
        <v>43697</v>
      </c>
      <c r="E1195" s="37">
        <v>18</v>
      </c>
      <c r="F1195" s="37">
        <v>51.824801945696855</v>
      </c>
      <c r="G1195" s="37">
        <v>52.47</v>
      </c>
      <c r="H1195" s="37">
        <v>2.2516676385668974</v>
      </c>
      <c r="I1195" s="37">
        <v>56.491700920223586</v>
      </c>
      <c r="J1195" s="10">
        <v>0</v>
      </c>
      <c r="K1195" s="38">
        <v>0</v>
      </c>
      <c r="L1195" s="38">
        <v>0</v>
      </c>
      <c r="M1195" s="38">
        <v>0</v>
      </c>
      <c r="N1195" s="38">
        <v>0</v>
      </c>
      <c r="O1195" s="38">
        <v>0</v>
      </c>
      <c r="P1195" s="38">
        <v>0</v>
      </c>
      <c r="Q1195" s="38">
        <v>1</v>
      </c>
      <c r="R1195" s="38">
        <v>0</v>
      </c>
      <c r="S1195" s="38">
        <v>0</v>
      </c>
      <c r="T1195" s="38">
        <v>0</v>
      </c>
      <c r="U1195" s="29" cm="1">
        <f t="array" aca="1" ref="U1195" ca="1">+fair_value_gap(OFFSET(T1194,0,0,-1*$J$5,-1*$AA$1),OFFSET(E1194,0,0,-1*$J$5,1),F1195:T1195,0)</f>
        <v>18.394356662400885</v>
      </c>
      <c r="V1195" s="9" cm="1">
        <f t="array" aca="1" ref="V1195" ca="1">z_score_diff(OFFSET(U1195,0,0,$J$5*-1,1),OFFSET(E1195,0,0,$J$5*-1,1))</f>
        <v>-0.13770677232599637</v>
      </c>
      <c r="W1195" s="9">
        <f t="shared" ca="1" si="181"/>
        <v>0.15583622434331387</v>
      </c>
      <c r="X1195" s="17">
        <f t="shared" ca="1" si="180"/>
        <v>5.8740495022600085E-2</v>
      </c>
      <c r="Y1195" s="13">
        <f t="shared" si="188"/>
        <v>0</v>
      </c>
      <c r="Z1195" s="13">
        <f t="shared" si="188"/>
        <v>0</v>
      </c>
      <c r="AA1195">
        <f t="shared" ca="1" si="182"/>
        <v>0</v>
      </c>
      <c r="AB1195">
        <f t="shared" ca="1" si="183"/>
        <v>1</v>
      </c>
      <c r="AC1195" s="24">
        <f t="shared" ca="1" si="184"/>
        <v>0</v>
      </c>
      <c r="AD1195" s="24">
        <f t="shared" ca="1" si="185"/>
        <v>5.8740495022600085E-2</v>
      </c>
    </row>
    <row r="1196" spans="3:30" x14ac:dyDescent="0.25">
      <c r="C1196" s="6">
        <v>1189</v>
      </c>
      <c r="D1196" s="35">
        <v>43698</v>
      </c>
      <c r="E1196" s="37">
        <v>18.13</v>
      </c>
      <c r="F1196" s="37">
        <v>52.064560054467542</v>
      </c>
      <c r="G1196" s="37">
        <v>52.22</v>
      </c>
      <c r="H1196" s="37">
        <v>2.2294311613066871</v>
      </c>
      <c r="I1196" s="37">
        <v>56.158525460459863</v>
      </c>
      <c r="J1196" s="10">
        <v>0</v>
      </c>
      <c r="K1196" s="38">
        <v>0</v>
      </c>
      <c r="L1196" s="38">
        <v>0</v>
      </c>
      <c r="M1196" s="38">
        <v>0</v>
      </c>
      <c r="N1196" s="38">
        <v>0</v>
      </c>
      <c r="O1196" s="38">
        <v>0</v>
      </c>
      <c r="P1196" s="38">
        <v>0</v>
      </c>
      <c r="Q1196" s="38">
        <v>1</v>
      </c>
      <c r="R1196" s="38">
        <v>0</v>
      </c>
      <c r="S1196" s="38">
        <v>0</v>
      </c>
      <c r="T1196" s="38">
        <v>0</v>
      </c>
      <c r="U1196" s="29" cm="1">
        <f t="array" aca="1" ref="U1196" ca="1">+fair_value_gap(OFFSET(T1195,0,0,-1*$J$5,-1*$AA$1),OFFSET(E1195,0,0,-1*$J$5,1),F1196:T1196,0)</f>
        <v>18.240674836080878</v>
      </c>
      <c r="V1196" s="9" cm="1">
        <f t="array" aca="1" ref="V1196" ca="1">z_score_diff(OFFSET(U1196,0,0,$J$5*-1,1),OFFSET(E1196,0,0,$J$5*-1,1))</f>
        <v>-0.23141619632600519</v>
      </c>
      <c r="W1196" s="9">
        <f t="shared" ca="1" si="181"/>
        <v>0.15286957284177072</v>
      </c>
      <c r="X1196" s="17">
        <f t="shared" ca="1" si="180"/>
        <v>3.2024446282686331E-2</v>
      </c>
      <c r="Y1196" s="13">
        <f t="shared" si="188"/>
        <v>0</v>
      </c>
      <c r="Z1196" s="13">
        <f t="shared" si="188"/>
        <v>0</v>
      </c>
      <c r="AA1196">
        <f t="shared" ca="1" si="182"/>
        <v>0</v>
      </c>
      <c r="AB1196">
        <f t="shared" ca="1" si="183"/>
        <v>1</v>
      </c>
      <c r="AC1196" s="24">
        <f t="shared" ca="1" si="184"/>
        <v>0</v>
      </c>
      <c r="AD1196" s="24">
        <f t="shared" ca="1" si="185"/>
        <v>3.2024446282686331E-2</v>
      </c>
    </row>
    <row r="1197" spans="3:30" x14ac:dyDescent="0.25">
      <c r="C1197" s="6">
        <v>1190</v>
      </c>
      <c r="D1197" s="35">
        <v>43699</v>
      </c>
      <c r="E1197" s="37">
        <v>18.013999999999999</v>
      </c>
      <c r="F1197" s="37">
        <v>51.743079407643229</v>
      </c>
      <c r="G1197" s="37">
        <v>52.24</v>
      </c>
      <c r="H1197" s="37">
        <v>2.2194682891131206</v>
      </c>
      <c r="I1197" s="37">
        <v>55.909590275292409</v>
      </c>
      <c r="J1197" s="10">
        <v>0</v>
      </c>
      <c r="K1197" s="38">
        <v>0</v>
      </c>
      <c r="L1197" s="38">
        <v>0</v>
      </c>
      <c r="M1197" s="38">
        <v>0</v>
      </c>
      <c r="N1197" s="38">
        <v>0</v>
      </c>
      <c r="O1197" s="38">
        <v>0</v>
      </c>
      <c r="P1197" s="38">
        <v>0</v>
      </c>
      <c r="Q1197" s="38">
        <v>1</v>
      </c>
      <c r="R1197" s="38">
        <v>0</v>
      </c>
      <c r="S1197" s="38">
        <v>0</v>
      </c>
      <c r="T1197" s="38">
        <v>0</v>
      </c>
      <c r="U1197" s="29" cm="1">
        <f t="array" aca="1" ref="U1197" ca="1">+fair_value_gap(OFFSET(T1196,0,0,-1*$J$5,-1*$AA$1),OFFSET(E1196,0,0,-1*$J$5,1),F1197:T1197,0)</f>
        <v>18.134070836610348</v>
      </c>
      <c r="V1197" s="9" cm="1">
        <f t="array" aca="1" ref="V1197" ca="1">z_score_diff(OFFSET(U1197,0,0,$J$5*-1,1),OFFSET(E1197,0,0,$J$5*-1,1))</f>
        <v>-0.23057517936613237</v>
      </c>
      <c r="W1197" s="9">
        <f t="shared" ca="1" si="181"/>
        <v>0.14900099211167248</v>
      </c>
      <c r="X1197" s="17">
        <f t="shared" ca="1" si="180"/>
        <v>4.4886112934312522E-2</v>
      </c>
      <c r="Y1197" s="13">
        <f t="shared" si="188"/>
        <v>0</v>
      </c>
      <c r="Z1197" s="13">
        <f t="shared" si="188"/>
        <v>0</v>
      </c>
      <c r="AA1197">
        <f t="shared" ca="1" si="182"/>
        <v>0</v>
      </c>
      <c r="AB1197">
        <f t="shared" ca="1" si="183"/>
        <v>1</v>
      </c>
      <c r="AC1197" s="24">
        <f t="shared" ca="1" si="184"/>
        <v>0</v>
      </c>
      <c r="AD1197" s="24">
        <f t="shared" ca="1" si="185"/>
        <v>4.4886112934312522E-2</v>
      </c>
    </row>
    <row r="1198" spans="3:30" x14ac:dyDescent="0.25">
      <c r="C1198" s="6">
        <v>1191</v>
      </c>
      <c r="D1198" s="35">
        <v>43700</v>
      </c>
      <c r="E1198" s="37">
        <v>17.899000000000001</v>
      </c>
      <c r="F1198" s="37">
        <v>50.742949023302266</v>
      </c>
      <c r="G1198" s="37">
        <v>51.32</v>
      </c>
      <c r="H1198" s="37">
        <v>2.199362857684223</v>
      </c>
      <c r="I1198" s="37">
        <v>54.984071442105581</v>
      </c>
      <c r="J1198" s="10">
        <v>0</v>
      </c>
      <c r="K1198" s="38">
        <v>0</v>
      </c>
      <c r="L1198" s="38">
        <v>0</v>
      </c>
      <c r="M1198" s="38">
        <v>0</v>
      </c>
      <c r="N1198" s="38">
        <v>0</v>
      </c>
      <c r="O1198" s="38">
        <v>0</v>
      </c>
      <c r="P1198" s="38">
        <v>0</v>
      </c>
      <c r="Q1198" s="38">
        <v>1</v>
      </c>
      <c r="R1198" s="38">
        <v>0</v>
      </c>
      <c r="S1198" s="38">
        <v>0</v>
      </c>
      <c r="T1198" s="38">
        <v>0</v>
      </c>
      <c r="U1198" s="29" cm="1">
        <f t="array" aca="1" ref="U1198" ca="1">+fair_value_gap(OFFSET(T1197,0,0,-1*$J$5,-1*$AA$1),OFFSET(E1197,0,0,-1*$J$5,1),F1198:T1198,0)</f>
        <v>17.686323548976276</v>
      </c>
      <c r="V1198" s="9" cm="1">
        <f t="array" aca="1" ref="V1198" ca="1">z_score_diff(OFFSET(U1198,0,0,$J$5*-1,1),OFFSET(E1198,0,0,$J$5*-1,1))</f>
        <v>-0.34778722432996345</v>
      </c>
      <c r="W1198" s="9">
        <f t="shared" ca="1" si="181"/>
        <v>0.14217433006612287</v>
      </c>
      <c r="X1198" s="17">
        <f t="shared" ca="1" si="180"/>
        <v>7.639598342000907E-2</v>
      </c>
      <c r="Y1198" s="13">
        <f t="shared" si="188"/>
        <v>0</v>
      </c>
      <c r="Z1198" s="13">
        <f t="shared" si="188"/>
        <v>0</v>
      </c>
      <c r="AA1198">
        <f t="shared" ca="1" si="182"/>
        <v>0</v>
      </c>
      <c r="AB1198">
        <f t="shared" ca="1" si="183"/>
        <v>1</v>
      </c>
      <c r="AC1198" s="24">
        <f t="shared" ca="1" si="184"/>
        <v>0</v>
      </c>
      <c r="AD1198" s="24">
        <f t="shared" ca="1" si="185"/>
        <v>7.639598342000907E-2</v>
      </c>
    </row>
    <row r="1199" spans="3:30" x14ac:dyDescent="0.25">
      <c r="C1199" s="6">
        <v>1192</v>
      </c>
      <c r="D1199" s="35">
        <v>43703</v>
      </c>
      <c r="E1199" s="37">
        <v>17.872</v>
      </c>
      <c r="F1199" s="37">
        <v>50.335883601823966</v>
      </c>
      <c r="G1199" s="37">
        <v>51.41</v>
      </c>
      <c r="H1199" s="37">
        <v>2.2617377077443854</v>
      </c>
      <c r="I1199" s="37">
        <v>55.188177465982847</v>
      </c>
      <c r="J1199" s="10">
        <v>0</v>
      </c>
      <c r="K1199" s="38">
        <v>0</v>
      </c>
      <c r="L1199" s="38">
        <v>0</v>
      </c>
      <c r="M1199" s="38">
        <v>0</v>
      </c>
      <c r="N1199" s="38">
        <v>0</v>
      </c>
      <c r="O1199" s="38">
        <v>0</v>
      </c>
      <c r="P1199" s="38">
        <v>0</v>
      </c>
      <c r="Q1199" s="38">
        <v>1</v>
      </c>
      <c r="R1199" s="38">
        <v>0</v>
      </c>
      <c r="S1199" s="38">
        <v>0</v>
      </c>
      <c r="T1199" s="38">
        <v>0</v>
      </c>
      <c r="U1199" s="29" cm="1">
        <f t="array" aca="1" ref="U1199" ca="1">+fair_value_gap(OFFSET(T1198,0,0,-1*$J$5,-1*$AA$1),OFFSET(E1198,0,0,-1*$J$5,1),F1199:T1199,0)</f>
        <v>17.57746674833977</v>
      </c>
      <c r="V1199" s="9" cm="1">
        <f t="array" aca="1" ref="V1199" ca="1">z_score_diff(OFFSET(U1199,0,0,$J$5*-1,1),OFFSET(E1199,0,0,$J$5*-1,1))</f>
        <v>-0.37481402086244109</v>
      </c>
      <c r="W1199" s="9">
        <f t="shared" ca="1" si="181"/>
        <v>0.12920250875655478</v>
      </c>
      <c r="X1199" s="17">
        <f t="shared" ca="1" si="180"/>
        <v>5.5079760357195494E-2</v>
      </c>
      <c r="Y1199" s="13">
        <f t="shared" si="188"/>
        <v>0</v>
      </c>
      <c r="Z1199" s="13">
        <f t="shared" si="188"/>
        <v>0</v>
      </c>
      <c r="AA1199">
        <f t="shared" ca="1" si="182"/>
        <v>0</v>
      </c>
      <c r="AB1199">
        <f t="shared" ca="1" si="183"/>
        <v>1</v>
      </c>
      <c r="AC1199" s="24">
        <f t="shared" ca="1" si="184"/>
        <v>0</v>
      </c>
      <c r="AD1199" s="24">
        <f t="shared" ca="1" si="185"/>
        <v>5.5079760357195494E-2</v>
      </c>
    </row>
    <row r="1200" spans="3:30" x14ac:dyDescent="0.25">
      <c r="C1200" s="6">
        <v>1193</v>
      </c>
      <c r="D1200" s="35">
        <v>43704</v>
      </c>
      <c r="E1200" s="37">
        <v>17.675000000000001</v>
      </c>
      <c r="F1200" s="37">
        <v>51.208187616265988</v>
      </c>
      <c r="G1200" s="37">
        <v>50.69</v>
      </c>
      <c r="H1200" s="37">
        <v>2.2347979029197385</v>
      </c>
      <c r="I1200" s="37">
        <v>54.357544533597142</v>
      </c>
      <c r="J1200" s="10">
        <v>0</v>
      </c>
      <c r="K1200" s="38">
        <v>0</v>
      </c>
      <c r="L1200" s="38">
        <v>0</v>
      </c>
      <c r="M1200" s="38">
        <v>0</v>
      </c>
      <c r="N1200" s="38">
        <v>0</v>
      </c>
      <c r="O1200" s="38">
        <v>0</v>
      </c>
      <c r="P1200" s="38">
        <v>0</v>
      </c>
      <c r="Q1200" s="38">
        <v>1</v>
      </c>
      <c r="R1200" s="38">
        <v>0</v>
      </c>
      <c r="S1200" s="38">
        <v>0</v>
      </c>
      <c r="T1200" s="38">
        <v>0</v>
      </c>
      <c r="U1200" s="29" cm="1">
        <f t="array" aca="1" ref="U1200" ca="1">+fair_value_gap(OFFSET(T1199,0,0,-1*$J$5,-1*$AA$1),OFFSET(E1199,0,0,-1*$J$5,1),F1200:T1200,0)</f>
        <v>17.359349173156524</v>
      </c>
      <c r="V1200" s="9" cm="1">
        <f t="array" aca="1" ref="V1200" ca="1">z_score_diff(OFFSET(U1200,0,0,$J$5*-1,1),OFFSET(E1200,0,0,$J$5*-1,1))</f>
        <v>-0.38503034666222369</v>
      </c>
      <c r="W1200" s="9">
        <f t="shared" ca="1" si="181"/>
        <v>0.1144831739381718</v>
      </c>
      <c r="X1200" s="17">
        <f t="shared" ca="1" si="180"/>
        <v>5.9788928683575132E-2</v>
      </c>
      <c r="Y1200" s="13">
        <f t="shared" si="188"/>
        <v>0</v>
      </c>
      <c r="Z1200" s="13">
        <f t="shared" si="188"/>
        <v>0</v>
      </c>
      <c r="AA1200">
        <f t="shared" ca="1" si="182"/>
        <v>0</v>
      </c>
      <c r="AB1200">
        <f t="shared" ca="1" si="183"/>
        <v>1</v>
      </c>
      <c r="AC1200" s="24">
        <f t="shared" ca="1" si="184"/>
        <v>0</v>
      </c>
      <c r="AD1200" s="24">
        <f t="shared" ca="1" si="185"/>
        <v>5.9788928683575132E-2</v>
      </c>
    </row>
    <row r="1201" spans="3:30" x14ac:dyDescent="0.25">
      <c r="C1201" s="6">
        <v>1194</v>
      </c>
      <c r="D1201" s="35">
        <v>43705</v>
      </c>
      <c r="E1201" s="37">
        <v>17.707999999999998</v>
      </c>
      <c r="F1201" s="37">
        <v>51.913162142228529</v>
      </c>
      <c r="G1201" s="37">
        <v>51.42</v>
      </c>
      <c r="H1201" s="37">
        <v>2.2580622174081899</v>
      </c>
      <c r="I1201" s="37">
        <v>54.380551626339248</v>
      </c>
      <c r="J1201" s="10">
        <v>0</v>
      </c>
      <c r="K1201" s="38">
        <v>0</v>
      </c>
      <c r="L1201" s="38">
        <v>0</v>
      </c>
      <c r="M1201" s="38">
        <v>0</v>
      </c>
      <c r="N1201" s="38">
        <v>0</v>
      </c>
      <c r="O1201" s="38">
        <v>0</v>
      </c>
      <c r="P1201" s="38">
        <v>0</v>
      </c>
      <c r="Q1201" s="38">
        <v>1</v>
      </c>
      <c r="R1201" s="38">
        <v>0</v>
      </c>
      <c r="S1201" s="38">
        <v>0</v>
      </c>
      <c r="T1201" s="38">
        <v>0</v>
      </c>
      <c r="U1201" s="29" cm="1">
        <f t="array" aca="1" ref="U1201" ca="1">+fair_value_gap(OFFSET(T1200,0,0,-1*$J$5,-1*$AA$1),OFFSET(E1200,0,0,-1*$J$5,1),F1201:T1201,0)</f>
        <v>17.643069112849723</v>
      </c>
      <c r="V1201" s="9" cm="1">
        <f t="array" aca="1" ref="V1201" ca="1">z_score_diff(OFFSET(U1201,0,0,$J$5*-1,1),OFFSET(E1201,0,0,$J$5*-1,1))</f>
        <v>-0.29444162720477085</v>
      </c>
      <c r="W1201" s="9">
        <f t="shared" ca="1" si="181"/>
        <v>0.10738164238264444</v>
      </c>
      <c r="X1201" s="17">
        <f t="shared" ca="1" si="180"/>
        <v>4.3700161699357393E-2</v>
      </c>
      <c r="Y1201" s="13">
        <f t="shared" si="188"/>
        <v>0</v>
      </c>
      <c r="Z1201" s="13">
        <f t="shared" si="188"/>
        <v>0</v>
      </c>
      <c r="AA1201">
        <f t="shared" ca="1" si="182"/>
        <v>0</v>
      </c>
      <c r="AB1201">
        <f t="shared" ca="1" si="183"/>
        <v>1</v>
      </c>
      <c r="AC1201" s="24">
        <f t="shared" ca="1" si="184"/>
        <v>0</v>
      </c>
      <c r="AD1201" s="24">
        <f t="shared" ca="1" si="185"/>
        <v>4.3700161699357393E-2</v>
      </c>
    </row>
    <row r="1202" spans="3:30" x14ac:dyDescent="0.25">
      <c r="C1202" s="6">
        <v>1195</v>
      </c>
      <c r="D1202" s="35">
        <v>43706</v>
      </c>
      <c r="E1202" s="37">
        <v>17.954999999999998</v>
      </c>
      <c r="F1202" s="37">
        <v>52.446554123987298</v>
      </c>
      <c r="G1202" s="37">
        <v>51.57</v>
      </c>
      <c r="H1202" s="37">
        <v>2.2377672293800637</v>
      </c>
      <c r="I1202" s="37">
        <v>54.918091295192546</v>
      </c>
      <c r="J1202" s="10">
        <v>0</v>
      </c>
      <c r="K1202" s="38">
        <v>0</v>
      </c>
      <c r="L1202" s="38">
        <v>0</v>
      </c>
      <c r="M1202" s="38">
        <v>0</v>
      </c>
      <c r="N1202" s="38">
        <v>0</v>
      </c>
      <c r="O1202" s="38">
        <v>0</v>
      </c>
      <c r="P1202" s="38">
        <v>0</v>
      </c>
      <c r="Q1202" s="38">
        <v>1</v>
      </c>
      <c r="R1202" s="38">
        <v>0</v>
      </c>
      <c r="S1202" s="38">
        <v>0</v>
      </c>
      <c r="T1202" s="38">
        <v>0</v>
      </c>
      <c r="U1202" s="29" cm="1">
        <f t="array" aca="1" ref="U1202" ca="1">+fair_value_gap(OFFSET(T1201,0,0,-1*$J$5,-1*$AA$1),OFFSET(E1201,0,0,-1*$J$5,1),F1202:T1202,0)</f>
        <v>17.707718142497132</v>
      </c>
      <c r="V1202" s="9" cm="1">
        <f t="array" aca="1" ref="V1202" ca="1">z_score_diff(OFFSET(U1202,0,0,$J$5*-1,1),OFFSET(E1202,0,0,$J$5*-1,1))</f>
        <v>-0.35315421606501063</v>
      </c>
      <c r="W1202" s="9">
        <f t="shared" ca="1" si="181"/>
        <v>3.9122643726716817E-2</v>
      </c>
      <c r="X1202" s="17">
        <f t="shared" ca="1" si="180"/>
        <v>3.9263554383688122E-2</v>
      </c>
      <c r="Y1202" s="13">
        <f t="shared" si="188"/>
        <v>0</v>
      </c>
      <c r="Z1202" s="13">
        <f t="shared" si="188"/>
        <v>0</v>
      </c>
      <c r="AA1202">
        <f t="shared" ca="1" si="182"/>
        <v>0</v>
      </c>
      <c r="AB1202">
        <f t="shared" ca="1" si="183"/>
        <v>1</v>
      </c>
      <c r="AC1202" s="24">
        <f t="shared" ca="1" si="184"/>
        <v>0</v>
      </c>
      <c r="AD1202" s="24">
        <f t="shared" ca="1" si="185"/>
        <v>3.9263554383688122E-2</v>
      </c>
    </row>
    <row r="1203" spans="3:30" x14ac:dyDescent="0.25">
      <c r="C1203" s="6">
        <v>1196</v>
      </c>
      <c r="D1203" s="35">
        <v>43707</v>
      </c>
      <c r="E1203" s="37">
        <v>17.715</v>
      </c>
      <c r="F1203" s="37">
        <v>51.533574918471743</v>
      </c>
      <c r="G1203" s="37">
        <v>50.78</v>
      </c>
      <c r="H1203" s="37">
        <v>2.2198664130531376</v>
      </c>
      <c r="I1203" s="37">
        <v>55.474219299103879</v>
      </c>
      <c r="J1203" s="10">
        <v>0</v>
      </c>
      <c r="K1203" s="38">
        <v>0</v>
      </c>
      <c r="L1203" s="38">
        <v>0</v>
      </c>
      <c r="M1203" s="38">
        <v>0</v>
      </c>
      <c r="N1203" s="38">
        <v>0</v>
      </c>
      <c r="O1203" s="38">
        <v>0</v>
      </c>
      <c r="P1203" s="38">
        <v>0</v>
      </c>
      <c r="Q1203" s="38">
        <v>1</v>
      </c>
      <c r="R1203" s="38">
        <v>0</v>
      </c>
      <c r="S1203" s="38">
        <v>0</v>
      </c>
      <c r="T1203" s="38">
        <v>0</v>
      </c>
      <c r="U1203" s="29" cm="1">
        <f t="array" aca="1" ref="U1203" ca="1">+fair_value_gap(OFFSET(T1202,0,0,-1*$J$5,-1*$AA$1),OFFSET(E1202,0,0,-1*$J$5,1),F1203:T1203,0)</f>
        <v>17.440742949323301</v>
      </c>
      <c r="V1203" s="9" cm="1">
        <f t="array" aca="1" ref="V1203" ca="1">z_score_diff(OFFSET(U1203,0,0,$J$5*-1,1),OFFSET(E1203,0,0,$J$5*-1,1))</f>
        <v>-0.36815555692958835</v>
      </c>
      <c r="W1203" s="9">
        <f t="shared" ca="1" si="181"/>
        <v>-2.5435529315921544E-2</v>
      </c>
      <c r="X1203" s="17">
        <f t="shared" ca="1" si="180"/>
        <v>4.5572757798280981E-2</v>
      </c>
      <c r="Y1203" s="13">
        <f t="shared" si="188"/>
        <v>0</v>
      </c>
      <c r="Z1203" s="13">
        <f t="shared" si="188"/>
        <v>0</v>
      </c>
      <c r="AA1203">
        <f t="shared" ca="1" si="182"/>
        <v>1</v>
      </c>
      <c r="AB1203">
        <f t="shared" ca="1" si="183"/>
        <v>0</v>
      </c>
      <c r="AC1203" s="24">
        <f t="shared" ca="1" si="184"/>
        <v>4.5572757798280981E-2</v>
      </c>
      <c r="AD1203" s="24">
        <f t="shared" ca="1" si="185"/>
        <v>0</v>
      </c>
    </row>
    <row r="1204" spans="3:30" x14ac:dyDescent="0.25">
      <c r="C1204" s="6">
        <v>1197</v>
      </c>
      <c r="D1204" s="35">
        <v>43710</v>
      </c>
      <c r="E1204" s="37">
        <v>17.103000000000002</v>
      </c>
      <c r="F1204" s="37">
        <v>50.952263170912687</v>
      </c>
      <c r="G1204" s="37">
        <v>48.88</v>
      </c>
      <c r="H1204" s="37">
        <v>2.2242709059429315</v>
      </c>
      <c r="I1204" s="37">
        <v>56.168911474377708</v>
      </c>
      <c r="J1204" s="10">
        <v>0</v>
      </c>
      <c r="K1204" s="38">
        <v>0</v>
      </c>
      <c r="L1204" s="38">
        <v>0</v>
      </c>
      <c r="M1204" s="38">
        <v>0</v>
      </c>
      <c r="N1204" s="38">
        <v>0</v>
      </c>
      <c r="O1204" s="38">
        <v>0</v>
      </c>
      <c r="P1204" s="38">
        <v>0</v>
      </c>
      <c r="Q1204" s="38">
        <v>0</v>
      </c>
      <c r="R1204" s="38">
        <v>1</v>
      </c>
      <c r="S1204" s="38">
        <v>0</v>
      </c>
      <c r="T1204" s="38">
        <v>0</v>
      </c>
      <c r="U1204" s="29" cm="1">
        <f t="array" aca="1" ref="U1204" ca="1">+fair_value_gap(OFFSET(T1203,0,0,-1*$J$5,-1*$AA$1),OFFSET(E1203,0,0,-1*$J$5,1),F1204:T1204,0)</f>
        <v>21.372446293575567</v>
      </c>
      <c r="V1204" s="9" cm="1">
        <f t="array" aca="1" ref="V1204" ca="1">z_score_diff(OFFSET(U1204,0,0,$J$5*-1,1),OFFSET(E1204,0,0,$J$5*-1,1))</f>
        <v>1.2720079601431509</v>
      </c>
      <c r="W1204" s="9">
        <f t="shared" ca="1" si="181"/>
        <v>6.6821239165956283E-3</v>
      </c>
      <c r="X1204" s="17">
        <f t="shared" ca="1" si="180"/>
        <v>3.6455344236705996E-2</v>
      </c>
      <c r="Y1204" s="13">
        <f t="shared" si="188"/>
        <v>0</v>
      </c>
      <c r="Z1204" s="13">
        <f t="shared" si="188"/>
        <v>0</v>
      </c>
      <c r="AA1204">
        <f t="shared" ca="1" si="182"/>
        <v>0</v>
      </c>
      <c r="AB1204">
        <f t="shared" ca="1" si="183"/>
        <v>1</v>
      </c>
      <c r="AC1204" s="24">
        <f t="shared" ca="1" si="184"/>
        <v>0</v>
      </c>
      <c r="AD1204" s="24">
        <f t="shared" ca="1" si="185"/>
        <v>3.6455344236705996E-2</v>
      </c>
    </row>
    <row r="1205" spans="3:30" x14ac:dyDescent="0.25">
      <c r="C1205" s="6">
        <v>1198</v>
      </c>
      <c r="D1205" s="35">
        <v>43711</v>
      </c>
      <c r="E1205" s="37">
        <v>17.042999999999999</v>
      </c>
      <c r="F1205" s="37">
        <v>50.619077064668744</v>
      </c>
      <c r="G1205" s="37">
        <v>48.93</v>
      </c>
      <c r="H1205" s="37">
        <v>2.273005076288126</v>
      </c>
      <c r="I1205" s="37">
        <v>57.252045614691035</v>
      </c>
      <c r="J1205" s="10">
        <v>0</v>
      </c>
      <c r="K1205" s="38">
        <v>0</v>
      </c>
      <c r="L1205" s="38">
        <v>0</v>
      </c>
      <c r="M1205" s="38">
        <v>0</v>
      </c>
      <c r="N1205" s="38">
        <v>0</v>
      </c>
      <c r="O1205" s="38">
        <v>0</v>
      </c>
      <c r="P1205" s="38">
        <v>0</v>
      </c>
      <c r="Q1205" s="38">
        <v>0</v>
      </c>
      <c r="R1205" s="38">
        <v>1</v>
      </c>
      <c r="S1205" s="38">
        <v>0</v>
      </c>
      <c r="T1205" s="38">
        <v>0</v>
      </c>
      <c r="U1205" s="29" cm="1">
        <f t="array" aca="1" ref="U1205" ca="1">+fair_value_gap(OFFSET(T1204,0,0,-1*$J$5,-1*$AA$1),OFFSET(E1204,0,0,-1*$J$5,1),F1205:T1205,0)</f>
        <v>20.033120462980346</v>
      </c>
      <c r="V1205" s="9" cm="1">
        <f t="array" aca="1" ref="V1205" ca="1">z_score_diff(OFFSET(U1205,0,0,$J$5*-1,1),OFFSET(E1205,0,0,$J$5*-1,1))</f>
        <v>0.81069779655990981</v>
      </c>
      <c r="W1205" s="9">
        <f t="shared" ca="1" si="181"/>
        <v>2.372803966453424E-2</v>
      </c>
      <c r="X1205" s="17">
        <f t="shared" ca="1" si="180"/>
        <v>4.6824013205253499E-2</v>
      </c>
      <c r="Y1205" s="13">
        <f t="shared" si="188"/>
        <v>0</v>
      </c>
      <c r="Z1205" s="13">
        <f t="shared" si="188"/>
        <v>0</v>
      </c>
      <c r="AA1205">
        <f t="shared" ca="1" si="182"/>
        <v>0</v>
      </c>
      <c r="AB1205">
        <f t="shared" ca="1" si="183"/>
        <v>1</v>
      </c>
      <c r="AC1205" s="24">
        <f t="shared" ca="1" si="184"/>
        <v>0</v>
      </c>
      <c r="AD1205" s="24">
        <f t="shared" ca="1" si="185"/>
        <v>4.6824013205253499E-2</v>
      </c>
    </row>
    <row r="1206" spans="3:30" x14ac:dyDescent="0.25">
      <c r="C1206" s="6">
        <v>1199</v>
      </c>
      <c r="D1206" s="35">
        <v>43712</v>
      </c>
      <c r="E1206" s="37">
        <v>16.954000000000001</v>
      </c>
      <c r="F1206" s="37">
        <v>52.37423298619867</v>
      </c>
      <c r="G1206" s="37">
        <v>48.6</v>
      </c>
      <c r="H1206" s="37">
        <v>2.3142310904606824</v>
      </c>
      <c r="I1206" s="37">
        <v>56.827428824874943</v>
      </c>
      <c r="J1206" s="10">
        <v>0</v>
      </c>
      <c r="K1206" s="38">
        <v>0</v>
      </c>
      <c r="L1206" s="38">
        <v>0</v>
      </c>
      <c r="M1206" s="38">
        <v>0</v>
      </c>
      <c r="N1206" s="38">
        <v>0</v>
      </c>
      <c r="O1206" s="38">
        <v>0</v>
      </c>
      <c r="P1206" s="38">
        <v>0</v>
      </c>
      <c r="Q1206" s="38">
        <v>0</v>
      </c>
      <c r="R1206" s="38">
        <v>1</v>
      </c>
      <c r="S1206" s="38">
        <v>0</v>
      </c>
      <c r="T1206" s="38">
        <v>0</v>
      </c>
      <c r="U1206" s="29" cm="1">
        <f t="array" aca="1" ref="U1206" ca="1">+fair_value_gap(OFFSET(T1205,0,0,-1*$J$5,-1*$AA$1),OFFSET(E1205,0,0,-1*$J$5,1),F1206:T1206,0)</f>
        <v>19.109151900926612</v>
      </c>
      <c r="V1206" s="9" cm="1">
        <f t="array" aca="1" ref="V1206" ca="1">z_score_diff(OFFSET(U1206,0,0,$J$5*-1,1),OFFSET(E1206,0,0,$J$5*-1,1))</f>
        <v>0.49838254883109456</v>
      </c>
      <c r="W1206" s="9">
        <f t="shared" ca="1" si="181"/>
        <v>3.237631589499957E-2</v>
      </c>
      <c r="X1206" s="17">
        <f t="shared" ca="1" si="180"/>
        <v>1.4812483584806808E-2</v>
      </c>
      <c r="Y1206" s="13">
        <f t="shared" si="188"/>
        <v>0</v>
      </c>
      <c r="Z1206" s="13">
        <f t="shared" si="188"/>
        <v>0</v>
      </c>
      <c r="AA1206">
        <f t="shared" ca="1" si="182"/>
        <v>0</v>
      </c>
      <c r="AB1206">
        <f t="shared" ca="1" si="183"/>
        <v>1</v>
      </c>
      <c r="AC1206" s="24">
        <f t="shared" ca="1" si="184"/>
        <v>0</v>
      </c>
      <c r="AD1206" s="24">
        <f t="shared" ca="1" si="185"/>
        <v>1.4812483584806808E-2</v>
      </c>
    </row>
    <row r="1207" spans="3:30" x14ac:dyDescent="0.25">
      <c r="C1207" s="6">
        <v>1200</v>
      </c>
      <c r="D1207" s="35">
        <v>43713</v>
      </c>
      <c r="E1207" s="37">
        <v>17.312999999999999</v>
      </c>
      <c r="F1207" s="37">
        <v>52.492922126857295</v>
      </c>
      <c r="G1207" s="37">
        <v>48.2</v>
      </c>
      <c r="H1207" s="37">
        <v>2.3314295113563324</v>
      </c>
      <c r="I1207" s="37">
        <v>56.855412930315467</v>
      </c>
      <c r="J1207" s="10">
        <v>0</v>
      </c>
      <c r="K1207" s="38">
        <v>0</v>
      </c>
      <c r="L1207" s="38">
        <v>0</v>
      </c>
      <c r="M1207" s="38">
        <v>0</v>
      </c>
      <c r="N1207" s="38">
        <v>0</v>
      </c>
      <c r="O1207" s="38">
        <v>0</v>
      </c>
      <c r="P1207" s="38">
        <v>0</v>
      </c>
      <c r="Q1207" s="38">
        <v>0</v>
      </c>
      <c r="R1207" s="38">
        <v>1</v>
      </c>
      <c r="S1207" s="38">
        <v>0</v>
      </c>
      <c r="T1207" s="38">
        <v>0</v>
      </c>
      <c r="U1207" s="29" cm="1">
        <f t="array" aca="1" ref="U1207" ca="1">+fair_value_gap(OFFSET(T1206,0,0,-1*$J$5,-1*$AA$1),OFFSET(E1206,0,0,-1*$J$5,1),F1207:T1207,0)</f>
        <v>18.481967467719571</v>
      </c>
      <c r="V1207" s="9" cm="1">
        <f t="array" aca="1" ref="V1207" ca="1">z_score_diff(OFFSET(U1207,0,0,$J$5*-1,1),OFFSET(E1207,0,0,$J$5*-1,1))</f>
        <v>0.13271968294422398</v>
      </c>
      <c r="W1207" s="9">
        <f t="shared" ca="1" si="181"/>
        <v>2.4883337465290034E-2</v>
      </c>
      <c r="X1207" s="17">
        <f t="shared" ca="1" si="180"/>
        <v>-1.736235644406988E-2</v>
      </c>
      <c r="Y1207" s="13">
        <f t="shared" si="188"/>
        <v>0</v>
      </c>
      <c r="Z1207" s="13">
        <f t="shared" si="188"/>
        <v>0</v>
      </c>
      <c r="AA1207">
        <f t="shared" ca="1" si="182"/>
        <v>0</v>
      </c>
      <c r="AB1207">
        <f t="shared" ca="1" si="183"/>
        <v>1</v>
      </c>
      <c r="AC1207" s="24">
        <f t="shared" ca="1" si="184"/>
        <v>0</v>
      </c>
      <c r="AD1207" s="24">
        <f t="shared" ca="1" si="185"/>
        <v>-1.736235644406988E-2</v>
      </c>
    </row>
    <row r="1208" spans="3:30" x14ac:dyDescent="0.25">
      <c r="C1208" s="6">
        <v>1201</v>
      </c>
      <c r="D1208" s="35">
        <v>43714</v>
      </c>
      <c r="E1208" s="37">
        <v>17.440000000000001</v>
      </c>
      <c r="F1208" s="37">
        <v>52.844873859366615</v>
      </c>
      <c r="G1208" s="37">
        <v>48.52</v>
      </c>
      <c r="H1208" s="37">
        <v>2.3689389872964757</v>
      </c>
      <c r="I1208" s="37">
        <v>57.076400071569154</v>
      </c>
      <c r="J1208" s="10">
        <v>0</v>
      </c>
      <c r="K1208" s="38">
        <v>0</v>
      </c>
      <c r="L1208" s="38">
        <v>0</v>
      </c>
      <c r="M1208" s="38">
        <v>0</v>
      </c>
      <c r="N1208" s="38">
        <v>0</v>
      </c>
      <c r="O1208" s="38">
        <v>0</v>
      </c>
      <c r="P1208" s="38">
        <v>0</v>
      </c>
      <c r="Q1208" s="38">
        <v>0</v>
      </c>
      <c r="R1208" s="38">
        <v>1</v>
      </c>
      <c r="S1208" s="38">
        <v>0</v>
      </c>
      <c r="T1208" s="38">
        <v>0</v>
      </c>
      <c r="U1208" s="29" cm="1">
        <f t="array" aca="1" ref="U1208" ca="1">+fair_value_gap(OFFSET(T1207,0,0,-1*$J$5,-1*$AA$1),OFFSET(E1207,0,0,-1*$J$5,1),F1208:T1208,0)</f>
        <v>18.300826599296229</v>
      </c>
      <c r="V1208" s="9" cm="1">
        <f t="array" aca="1" ref="V1208" ca="1">z_score_diff(OFFSET(U1208,0,0,$J$5*-1,1),OFFSET(E1208,0,0,$J$5*-1,1))</f>
        <v>1.7908374511110936E-2</v>
      </c>
      <c r="W1208" s="9">
        <f t="shared" ca="1" si="181"/>
        <v>1.3319690510229215E-2</v>
      </c>
      <c r="X1208" s="17">
        <f t="shared" ca="1" si="180"/>
        <v>-2.5611899684201096E-2</v>
      </c>
      <c r="Y1208" s="13">
        <f t="shared" si="188"/>
        <v>0</v>
      </c>
      <c r="Z1208" s="13">
        <f t="shared" si="188"/>
        <v>0</v>
      </c>
      <c r="AA1208">
        <f t="shared" ca="1" si="182"/>
        <v>0</v>
      </c>
      <c r="AB1208">
        <f t="shared" ca="1" si="183"/>
        <v>1</v>
      </c>
      <c r="AC1208" s="24">
        <f t="shared" ca="1" si="184"/>
        <v>0</v>
      </c>
      <c r="AD1208" s="24">
        <f t="shared" ca="1" si="185"/>
        <v>-2.5611899684201096E-2</v>
      </c>
    </row>
    <row r="1209" spans="3:30" x14ac:dyDescent="0.25">
      <c r="C1209" s="6">
        <v>1202</v>
      </c>
      <c r="D1209" s="35">
        <v>43717</v>
      </c>
      <c r="E1209" s="37">
        <v>17.463000000000001</v>
      </c>
      <c r="F1209" s="37">
        <v>53.593209502838604</v>
      </c>
      <c r="G1209" s="37">
        <v>49.46</v>
      </c>
      <c r="H1209" s="37">
        <v>2.3974969595988278</v>
      </c>
      <c r="I1209" s="37">
        <v>56.298764730989234</v>
      </c>
      <c r="J1209" s="10">
        <v>0</v>
      </c>
      <c r="K1209" s="38">
        <v>0</v>
      </c>
      <c r="L1209" s="38">
        <v>0</v>
      </c>
      <c r="M1209" s="38">
        <v>0</v>
      </c>
      <c r="N1209" s="38">
        <v>0</v>
      </c>
      <c r="O1209" s="38">
        <v>0</v>
      </c>
      <c r="P1209" s="38">
        <v>0</v>
      </c>
      <c r="Q1209" s="38">
        <v>0</v>
      </c>
      <c r="R1209" s="38">
        <v>1</v>
      </c>
      <c r="S1209" s="38">
        <v>0</v>
      </c>
      <c r="T1209" s="38">
        <v>0</v>
      </c>
      <c r="U1209" s="29" cm="1">
        <f t="array" aca="1" ref="U1209" ca="1">+fair_value_gap(OFFSET(T1208,0,0,-1*$J$5,-1*$AA$1),OFFSET(E1208,0,0,-1*$J$5,1),F1209:T1209,0)</f>
        <v>18.326121649160008</v>
      </c>
      <c r="V1209" s="9" cm="1">
        <f t="array" aca="1" ref="V1209" ca="1">z_score_diff(OFFSET(U1209,0,0,$J$5*-1,1),OFFSET(E1209,0,0,$J$5*-1,1))</f>
        <v>2.0957746025095259E-2</v>
      </c>
      <c r="W1209" s="9">
        <f t="shared" ca="1" si="181"/>
        <v>7.896042013184057E-4</v>
      </c>
      <c r="X1209" s="17">
        <f t="shared" ca="1" si="180"/>
        <v>-3.33626261379995E-2</v>
      </c>
      <c r="Y1209" s="13">
        <f t="shared" ref="Y1209:Z1224" si="189">+Y1208</f>
        <v>0</v>
      </c>
      <c r="Z1209" s="13">
        <f t="shared" si="189"/>
        <v>0</v>
      </c>
      <c r="AA1209">
        <f t="shared" ca="1" si="182"/>
        <v>0</v>
      </c>
      <c r="AB1209">
        <f t="shared" ca="1" si="183"/>
        <v>1</v>
      </c>
      <c r="AC1209" s="24">
        <f t="shared" ca="1" si="184"/>
        <v>0</v>
      </c>
      <c r="AD1209" s="24">
        <f t="shared" ca="1" si="185"/>
        <v>-3.33626261379995E-2</v>
      </c>
    </row>
    <row r="1210" spans="3:30" x14ac:dyDescent="0.25">
      <c r="C1210" s="6">
        <v>1203</v>
      </c>
      <c r="D1210" s="35">
        <v>43718</v>
      </c>
      <c r="E1210" s="37">
        <v>19.402000000000001</v>
      </c>
      <c r="F1210" s="37">
        <v>53.503921924104979</v>
      </c>
      <c r="G1210" s="37">
        <v>52.83</v>
      </c>
      <c r="H1210" s="37">
        <v>2.4041488536085902</v>
      </c>
      <c r="I1210" s="37">
        <v>57.826388659419088</v>
      </c>
      <c r="J1210" s="10">
        <v>0</v>
      </c>
      <c r="K1210" s="38">
        <v>0</v>
      </c>
      <c r="L1210" s="38">
        <v>0</v>
      </c>
      <c r="M1210" s="38">
        <v>0</v>
      </c>
      <c r="N1210" s="38">
        <v>0</v>
      </c>
      <c r="O1210" s="38">
        <v>0</v>
      </c>
      <c r="P1210" s="38">
        <v>0</v>
      </c>
      <c r="Q1210" s="38">
        <v>0</v>
      </c>
      <c r="R1210" s="38">
        <v>1</v>
      </c>
      <c r="S1210" s="38">
        <v>0</v>
      </c>
      <c r="T1210" s="38">
        <v>0</v>
      </c>
      <c r="U1210" s="29" cm="1">
        <f t="array" aca="1" ref="U1210" ca="1">+fair_value_gap(OFFSET(T1209,0,0,-1*$J$5,-1*$AA$1),OFFSET(E1209,0,0,-1*$J$5,1),F1210:T1210,0)</f>
        <v>19.464506123636433</v>
      </c>
      <c r="V1210" s="9" cm="1">
        <f t="array" aca="1" ref="V1210" ca="1">z_score_diff(OFFSET(U1210,0,0,$J$5*-1,1),OFFSET(E1210,0,0,$J$5*-1,1))</f>
        <v>-0.24750091607091054</v>
      </c>
      <c r="W1210" s="9">
        <f t="shared" ca="1" si="181"/>
        <v>-1.7522056002943188E-2</v>
      </c>
      <c r="X1210" s="17">
        <f t="shared" ca="1" si="180"/>
        <v>-0.13445956264938996</v>
      </c>
      <c r="Y1210" s="13">
        <f t="shared" si="189"/>
        <v>0</v>
      </c>
      <c r="Z1210" s="13">
        <f t="shared" si="189"/>
        <v>0</v>
      </c>
      <c r="AA1210">
        <f t="shared" ca="1" si="182"/>
        <v>1</v>
      </c>
      <c r="AB1210">
        <f t="shared" ca="1" si="183"/>
        <v>0</v>
      </c>
      <c r="AC1210" s="24">
        <f t="shared" ca="1" si="184"/>
        <v>-0.13445956264938996</v>
      </c>
      <c r="AD1210" s="24">
        <f t="shared" ca="1" si="185"/>
        <v>0</v>
      </c>
    </row>
    <row r="1211" spans="3:30" x14ac:dyDescent="0.25">
      <c r="C1211" s="6">
        <v>1204</v>
      </c>
      <c r="D1211" s="35">
        <v>43719</v>
      </c>
      <c r="E1211" s="37">
        <v>19.341000000000001</v>
      </c>
      <c r="F1211" s="37">
        <v>52.503268014847855</v>
      </c>
      <c r="G1211" s="37">
        <v>54.2</v>
      </c>
      <c r="H1211" s="37">
        <v>2.394901628049289</v>
      </c>
      <c r="I1211" s="37">
        <v>58.013423275791787</v>
      </c>
      <c r="J1211" s="10">
        <v>0</v>
      </c>
      <c r="K1211" s="38">
        <v>0</v>
      </c>
      <c r="L1211" s="38">
        <v>0</v>
      </c>
      <c r="M1211" s="38">
        <v>0</v>
      </c>
      <c r="N1211" s="38">
        <v>0</v>
      </c>
      <c r="O1211" s="38">
        <v>0</v>
      </c>
      <c r="P1211" s="38">
        <v>0</v>
      </c>
      <c r="Q1211" s="38">
        <v>0</v>
      </c>
      <c r="R1211" s="38">
        <v>1</v>
      </c>
      <c r="S1211" s="38">
        <v>0</v>
      </c>
      <c r="T1211" s="38">
        <v>0</v>
      </c>
      <c r="U1211" s="29" cm="1">
        <f t="array" aca="1" ref="U1211" ca="1">+fair_value_gap(OFFSET(T1210,0,0,-1*$J$5,-1*$AA$1),OFFSET(E1210,0,0,-1*$J$5,1),F1211:T1211,0)</f>
        <v>19.923286544563446</v>
      </c>
      <c r="V1211" s="9" cm="1">
        <f t="array" aca="1" ref="V1211" ca="1">z_score_diff(OFFSET(U1211,0,0,$J$5*-1,1),OFFSET(E1211,0,0,$J$5*-1,1))</f>
        <v>-4.2293007703914365E-2</v>
      </c>
      <c r="W1211" s="9">
        <f t="shared" ca="1" si="181"/>
        <v>-2.3305530956894187E-2</v>
      </c>
      <c r="X1211" s="17">
        <f t="shared" ca="1" si="180"/>
        <v>-0.12960225931275224</v>
      </c>
      <c r="Y1211" s="13">
        <f t="shared" si="189"/>
        <v>0</v>
      </c>
      <c r="Z1211" s="13">
        <f t="shared" si="189"/>
        <v>0</v>
      </c>
      <c r="AA1211">
        <f t="shared" ca="1" si="182"/>
        <v>1</v>
      </c>
      <c r="AB1211">
        <f t="shared" ca="1" si="183"/>
        <v>0</v>
      </c>
      <c r="AC1211" s="24">
        <f t="shared" ca="1" si="184"/>
        <v>-0.12960225931275224</v>
      </c>
      <c r="AD1211" s="24">
        <f t="shared" ca="1" si="185"/>
        <v>0</v>
      </c>
    </row>
    <row r="1212" spans="3:30" x14ac:dyDescent="0.25">
      <c r="C1212" s="6">
        <v>1205</v>
      </c>
      <c r="D1212" s="35">
        <v>43720</v>
      </c>
      <c r="E1212" s="37">
        <v>19.042999999999999</v>
      </c>
      <c r="F1212" s="37">
        <v>51.79018153765201</v>
      </c>
      <c r="G1212" s="37">
        <v>53.12</v>
      </c>
      <c r="H1212" s="37">
        <v>2.3803684264507186</v>
      </c>
      <c r="I1212" s="37">
        <v>57.792384426379371</v>
      </c>
      <c r="J1212" s="10">
        <v>0</v>
      </c>
      <c r="K1212" s="38">
        <v>0</v>
      </c>
      <c r="L1212" s="38">
        <v>0</v>
      </c>
      <c r="M1212" s="38">
        <v>0</v>
      </c>
      <c r="N1212" s="38">
        <v>0</v>
      </c>
      <c r="O1212" s="38">
        <v>0</v>
      </c>
      <c r="P1212" s="38">
        <v>0</v>
      </c>
      <c r="Q1212" s="38">
        <v>0</v>
      </c>
      <c r="R1212" s="38">
        <v>1</v>
      </c>
      <c r="S1212" s="38">
        <v>0</v>
      </c>
      <c r="T1212" s="38">
        <v>0</v>
      </c>
      <c r="U1212" s="29" cm="1">
        <f t="array" aca="1" ref="U1212" ca="1">+fair_value_gap(OFFSET(T1211,0,0,-1*$J$5,-1*$AA$1),OFFSET(E1211,0,0,-1*$J$5,1),F1212:T1212,0)</f>
        <v>19.452250041663302</v>
      </c>
      <c r="V1212" s="9" cm="1">
        <f t="array" aca="1" ref="V1212" ca="1">z_score_diff(OFFSET(U1212,0,0,$J$5*-1,1),OFFSET(E1212,0,0,$J$5*-1,1))</f>
        <v>-0.12203575401727335</v>
      </c>
      <c r="W1212" s="9">
        <f t="shared" ca="1" si="181"/>
        <v>-2.7463332870638468E-2</v>
      </c>
      <c r="X1212" s="17">
        <f t="shared" ca="1" si="180"/>
        <v>-0.10016361278481538</v>
      </c>
      <c r="Y1212" s="13">
        <f t="shared" si="189"/>
        <v>0</v>
      </c>
      <c r="Z1212" s="13">
        <f t="shared" si="189"/>
        <v>0</v>
      </c>
      <c r="AA1212">
        <f t="shared" ca="1" si="182"/>
        <v>1</v>
      </c>
      <c r="AB1212">
        <f t="shared" ca="1" si="183"/>
        <v>0</v>
      </c>
      <c r="AC1212" s="24">
        <f t="shared" ca="1" si="184"/>
        <v>-0.10016361278481538</v>
      </c>
      <c r="AD1212" s="24">
        <f t="shared" ca="1" si="185"/>
        <v>0</v>
      </c>
    </row>
    <row r="1213" spans="3:30" x14ac:dyDescent="0.25">
      <c r="C1213" s="6">
        <v>1206</v>
      </c>
      <c r="D1213" s="35">
        <v>43721</v>
      </c>
      <c r="E1213" s="37">
        <v>18.960999999999999</v>
      </c>
      <c r="F1213" s="37">
        <v>51.393038239164738</v>
      </c>
      <c r="G1213" s="37">
        <v>53.21</v>
      </c>
      <c r="H1213" s="37">
        <v>2.4012523934561192</v>
      </c>
      <c r="I1213" s="37">
        <v>58.182479143853286</v>
      </c>
      <c r="J1213" s="10">
        <v>0</v>
      </c>
      <c r="K1213" s="38">
        <v>0</v>
      </c>
      <c r="L1213" s="38">
        <v>0</v>
      </c>
      <c r="M1213" s="38">
        <v>0</v>
      </c>
      <c r="N1213" s="38">
        <v>0</v>
      </c>
      <c r="O1213" s="38">
        <v>0</v>
      </c>
      <c r="P1213" s="38">
        <v>0</v>
      </c>
      <c r="Q1213" s="38">
        <v>0</v>
      </c>
      <c r="R1213" s="38">
        <v>1</v>
      </c>
      <c r="S1213" s="38">
        <v>0</v>
      </c>
      <c r="T1213" s="38">
        <v>0</v>
      </c>
      <c r="U1213" s="29" cm="1">
        <f t="array" aca="1" ref="U1213" ca="1">+fair_value_gap(OFFSET(T1212,0,0,-1*$J$5,-1*$AA$1),OFFSET(E1212,0,0,-1*$J$5,1),F1213:T1213,0)</f>
        <v>19.363612423498548</v>
      </c>
      <c r="V1213" s="9" cm="1">
        <f t="array" aca="1" ref="V1213" ca="1">z_score_diff(OFFSET(U1213,0,0,$J$5*-1,1),OFFSET(E1213,0,0,$J$5*-1,1))</f>
        <v>-0.12886932770224352</v>
      </c>
      <c r="W1213" s="9">
        <f t="shared" ca="1" si="181"/>
        <v>-2.9276865874748738E-2</v>
      </c>
      <c r="X1213" s="17">
        <f t="shared" ca="1" si="180"/>
        <v>-7.4258089103221639E-2</v>
      </c>
      <c r="Y1213" s="13">
        <f t="shared" si="189"/>
        <v>0</v>
      </c>
      <c r="Z1213" s="13">
        <f t="shared" si="189"/>
        <v>0</v>
      </c>
      <c r="AA1213">
        <f t="shared" ca="1" si="182"/>
        <v>1</v>
      </c>
      <c r="AB1213">
        <f t="shared" ca="1" si="183"/>
        <v>0</v>
      </c>
      <c r="AC1213" s="24">
        <f t="shared" ca="1" si="184"/>
        <v>-7.4258089103221639E-2</v>
      </c>
      <c r="AD1213" s="24">
        <f t="shared" ca="1" si="185"/>
        <v>0</v>
      </c>
    </row>
    <row r="1214" spans="3:30" x14ac:dyDescent="0.25">
      <c r="C1214" s="6">
        <v>1207</v>
      </c>
      <c r="D1214" s="35">
        <v>43724</v>
      </c>
      <c r="E1214" s="37">
        <v>20.167000000000002</v>
      </c>
      <c r="F1214" s="37">
        <v>57.470697299765249</v>
      </c>
      <c r="G1214" s="37">
        <v>54.44</v>
      </c>
      <c r="H1214" s="37">
        <v>2.470334015351233</v>
      </c>
      <c r="I1214" s="37">
        <v>59.919503349841094</v>
      </c>
      <c r="J1214" s="10">
        <v>0</v>
      </c>
      <c r="K1214" s="38">
        <v>0</v>
      </c>
      <c r="L1214" s="38">
        <v>0</v>
      </c>
      <c r="M1214" s="38">
        <v>0</v>
      </c>
      <c r="N1214" s="38">
        <v>0</v>
      </c>
      <c r="O1214" s="38">
        <v>0</v>
      </c>
      <c r="P1214" s="38">
        <v>0</v>
      </c>
      <c r="Q1214" s="38">
        <v>0</v>
      </c>
      <c r="R1214" s="38">
        <v>1</v>
      </c>
      <c r="S1214" s="38">
        <v>0</v>
      </c>
      <c r="T1214" s="38">
        <v>0</v>
      </c>
      <c r="U1214" s="29" cm="1">
        <f t="array" aca="1" ref="U1214" ca="1">+fair_value_gap(OFFSET(T1213,0,0,-1*$J$5,-1*$AA$1),OFFSET(E1213,0,0,-1*$J$5,1),F1214:T1214,0)</f>
        <v>19.862465826977246</v>
      </c>
      <c r="V1214" s="9" cm="1">
        <f t="array" aca="1" ref="V1214" ca="1">z_score_diff(OFFSET(U1214,0,0,$J$5*-1,1),OFFSET(E1214,0,0,$J$5*-1,1))</f>
        <v>-0.40895579041288055</v>
      </c>
      <c r="W1214" s="9">
        <f t="shared" ca="1" si="181"/>
        <v>-4.6003091348238455E-2</v>
      </c>
      <c r="X1214" s="17">
        <f t="shared" ca="1" si="180"/>
        <v>-0.14631382976100449</v>
      </c>
      <c r="Y1214" s="13">
        <f t="shared" si="189"/>
        <v>0</v>
      </c>
      <c r="Z1214" s="13">
        <f t="shared" si="189"/>
        <v>0</v>
      </c>
      <c r="AA1214">
        <f t="shared" ca="1" si="182"/>
        <v>1</v>
      </c>
      <c r="AB1214">
        <f t="shared" ca="1" si="183"/>
        <v>0</v>
      </c>
      <c r="AC1214" s="24">
        <f t="shared" ca="1" si="184"/>
        <v>-0.14631382976100449</v>
      </c>
      <c r="AD1214" s="24">
        <f t="shared" ca="1" si="185"/>
        <v>0</v>
      </c>
    </row>
    <row r="1215" spans="3:30" x14ac:dyDescent="0.25">
      <c r="C1215" s="6">
        <v>1208</v>
      </c>
      <c r="D1215" s="35">
        <v>43725</v>
      </c>
      <c r="E1215" s="37">
        <v>19.088999999999999</v>
      </c>
      <c r="F1215" s="37">
        <v>54.465143555893839</v>
      </c>
      <c r="G1215" s="37">
        <v>54</v>
      </c>
      <c r="H1215" s="37">
        <v>2.4411721191227822</v>
      </c>
      <c r="I1215" s="37">
        <v>58.689734955909167</v>
      </c>
      <c r="J1215" s="10">
        <v>0</v>
      </c>
      <c r="K1215" s="38">
        <v>0</v>
      </c>
      <c r="L1215" s="38">
        <v>0</v>
      </c>
      <c r="M1215" s="38">
        <v>0</v>
      </c>
      <c r="N1215" s="38">
        <v>0</v>
      </c>
      <c r="O1215" s="38">
        <v>0</v>
      </c>
      <c r="P1215" s="38">
        <v>0</v>
      </c>
      <c r="Q1215" s="38">
        <v>0</v>
      </c>
      <c r="R1215" s="38">
        <v>1</v>
      </c>
      <c r="S1215" s="38">
        <v>0</v>
      </c>
      <c r="T1215" s="38">
        <v>0</v>
      </c>
      <c r="U1215" s="29" cm="1">
        <f t="array" aca="1" ref="U1215" ca="1">+fair_value_gap(OFFSET(T1214,0,0,-1*$J$5,-1*$AA$1),OFFSET(E1214,0,0,-1*$J$5,1),F1215:T1215,0)</f>
        <v>19.530519796560576</v>
      </c>
      <c r="V1215" s="9" cm="1">
        <f t="array" aca="1" ref="V1215" ca="1">z_score_diff(OFFSET(U1215,0,0,$J$5*-1,1),OFFSET(E1215,0,0,$J$5*-1,1))</f>
        <v>-0.11336628458962006</v>
      </c>
      <c r="W1215" s="9">
        <f t="shared" ca="1" si="181"/>
        <v>-4.4786066961419631E-2</v>
      </c>
      <c r="X1215" s="17">
        <f t="shared" ca="1" si="180"/>
        <v>-9.5462111299230129E-2</v>
      </c>
      <c r="Y1215" s="13">
        <f t="shared" si="189"/>
        <v>0</v>
      </c>
      <c r="Z1215" s="13">
        <f t="shared" si="189"/>
        <v>0</v>
      </c>
      <c r="AA1215">
        <f t="shared" ca="1" si="182"/>
        <v>1</v>
      </c>
      <c r="AB1215">
        <f t="shared" ca="1" si="183"/>
        <v>0</v>
      </c>
      <c r="AC1215" s="24">
        <f t="shared" ca="1" si="184"/>
        <v>-9.5462111299230129E-2</v>
      </c>
      <c r="AD1215" s="24">
        <f t="shared" ca="1" si="185"/>
        <v>0</v>
      </c>
    </row>
    <row r="1216" spans="3:30" x14ac:dyDescent="0.25">
      <c r="C1216" s="6">
        <v>1209</v>
      </c>
      <c r="D1216" s="35">
        <v>43726</v>
      </c>
      <c r="E1216" s="37">
        <v>18.72</v>
      </c>
      <c r="F1216" s="37">
        <v>53.9487594110713</v>
      </c>
      <c r="G1216" s="37">
        <v>51.95</v>
      </c>
      <c r="H1216" s="37">
        <v>2.4255476711343729</v>
      </c>
      <c r="I1216" s="37">
        <v>58.134439020550971</v>
      </c>
      <c r="J1216" s="10">
        <v>0</v>
      </c>
      <c r="K1216" s="38">
        <v>0</v>
      </c>
      <c r="L1216" s="38">
        <v>0</v>
      </c>
      <c r="M1216" s="38">
        <v>0</v>
      </c>
      <c r="N1216" s="38">
        <v>0</v>
      </c>
      <c r="O1216" s="38">
        <v>0</v>
      </c>
      <c r="P1216" s="38">
        <v>0</v>
      </c>
      <c r="Q1216" s="38">
        <v>0</v>
      </c>
      <c r="R1216" s="38">
        <v>1</v>
      </c>
      <c r="S1216" s="38">
        <v>0</v>
      </c>
      <c r="T1216" s="38">
        <v>0</v>
      </c>
      <c r="U1216" s="29" cm="1">
        <f t="array" aca="1" ref="U1216" ca="1">+fair_value_gap(OFFSET(T1215,0,0,-1*$J$5,-1*$AA$1),OFFSET(E1215,0,0,-1*$J$5,1),F1216:T1216,0)</f>
        <v>18.751460679897082</v>
      </c>
      <c r="V1216" s="9" cm="1">
        <f t="array" aca="1" ref="V1216" ca="1">z_score_diff(OFFSET(U1216,0,0,$J$5*-1,1),OFFSET(E1216,0,0,$J$5*-1,1))</f>
        <v>-0.31315891355173558</v>
      </c>
      <c r="W1216" s="9">
        <f t="shared" ca="1" si="181"/>
        <v>-4.8873202822706151E-2</v>
      </c>
      <c r="X1216" s="17">
        <f t="shared" ca="1" si="180"/>
        <v>-7.9001583165125927E-2</v>
      </c>
      <c r="Y1216" s="13">
        <f t="shared" si="189"/>
        <v>0</v>
      </c>
      <c r="Z1216" s="13">
        <f t="shared" si="189"/>
        <v>0</v>
      </c>
      <c r="AA1216">
        <f t="shared" ca="1" si="182"/>
        <v>1</v>
      </c>
      <c r="AB1216">
        <f t="shared" ca="1" si="183"/>
        <v>0</v>
      </c>
      <c r="AC1216" s="24">
        <f t="shared" ca="1" si="184"/>
        <v>-7.9001583165125927E-2</v>
      </c>
      <c r="AD1216" s="24">
        <f t="shared" ca="1" si="185"/>
        <v>0</v>
      </c>
    </row>
    <row r="1217" spans="3:30" x14ac:dyDescent="0.25">
      <c r="C1217" s="6">
        <v>1210</v>
      </c>
      <c r="D1217" s="35">
        <v>43727</v>
      </c>
      <c r="E1217" s="37">
        <v>18.841000000000001</v>
      </c>
      <c r="F1217" s="37">
        <v>54.353218155637379</v>
      </c>
      <c r="G1217" s="37">
        <v>52.4</v>
      </c>
      <c r="H1217" s="37">
        <v>2.3650487623715915</v>
      </c>
      <c r="I1217" s="37">
        <v>58.008943566861795</v>
      </c>
      <c r="J1217" s="10">
        <v>0</v>
      </c>
      <c r="K1217" s="38">
        <v>0</v>
      </c>
      <c r="L1217" s="38">
        <v>0</v>
      </c>
      <c r="M1217" s="38">
        <v>0</v>
      </c>
      <c r="N1217" s="38">
        <v>0</v>
      </c>
      <c r="O1217" s="38">
        <v>0</v>
      </c>
      <c r="P1217" s="38">
        <v>0</v>
      </c>
      <c r="Q1217" s="38">
        <v>0</v>
      </c>
      <c r="R1217" s="38">
        <v>1</v>
      </c>
      <c r="S1217" s="38">
        <v>0</v>
      </c>
      <c r="T1217" s="38">
        <v>0</v>
      </c>
      <c r="U1217" s="29" cm="1">
        <f t="array" aca="1" ref="U1217" ca="1">+fair_value_gap(OFFSET(T1216,0,0,-1*$J$5,-1*$AA$1),OFFSET(E1216,0,0,-1*$J$5,1),F1217:T1217,0)</f>
        <v>18.917527991382858</v>
      </c>
      <c r="V1217" s="9" cm="1">
        <f t="array" aca="1" ref="V1217" ca="1">z_score_diff(OFFSET(U1217,0,0,$J$5*-1,1),OFFSET(E1217,0,0,$J$5*-1,1))</f>
        <v>-0.29445926705823644</v>
      </c>
      <c r="W1217" s="9">
        <f t="shared" ca="1" si="181"/>
        <v>-5.2067407207311366E-2</v>
      </c>
      <c r="X1217" s="17">
        <f t="shared" ca="1" si="180"/>
        <v>-9.089343137437364E-2</v>
      </c>
      <c r="Y1217" s="13">
        <f t="shared" si="189"/>
        <v>0</v>
      </c>
      <c r="Z1217" s="13">
        <f t="shared" si="189"/>
        <v>0</v>
      </c>
      <c r="AA1217">
        <f t="shared" ca="1" si="182"/>
        <v>1</v>
      </c>
      <c r="AB1217">
        <f t="shared" ca="1" si="183"/>
        <v>0</v>
      </c>
      <c r="AC1217" s="24">
        <f t="shared" ca="1" si="184"/>
        <v>-9.089343137437364E-2</v>
      </c>
      <c r="AD1217" s="24">
        <f t="shared" ca="1" si="185"/>
        <v>0</v>
      </c>
    </row>
    <row r="1218" spans="3:30" x14ac:dyDescent="0.25">
      <c r="C1218" s="6">
        <v>1211</v>
      </c>
      <c r="D1218" s="35">
        <v>43728</v>
      </c>
      <c r="E1218" s="37">
        <v>19.32</v>
      </c>
      <c r="F1218" s="37">
        <v>54.322160340880075</v>
      </c>
      <c r="G1218" s="37">
        <v>52.7</v>
      </c>
      <c r="H1218" s="37">
        <v>2.3711058439783681</v>
      </c>
      <c r="I1218" s="37">
        <v>58.784785852222576</v>
      </c>
      <c r="J1218" s="10">
        <v>0</v>
      </c>
      <c r="K1218" s="38">
        <v>0</v>
      </c>
      <c r="L1218" s="38">
        <v>0</v>
      </c>
      <c r="M1218" s="38">
        <v>0</v>
      </c>
      <c r="N1218" s="38">
        <v>0</v>
      </c>
      <c r="O1218" s="38">
        <v>0</v>
      </c>
      <c r="P1218" s="38">
        <v>0</v>
      </c>
      <c r="Q1218" s="38">
        <v>0</v>
      </c>
      <c r="R1218" s="38">
        <v>1</v>
      </c>
      <c r="S1218" s="38">
        <v>0</v>
      </c>
      <c r="T1218" s="38">
        <v>0</v>
      </c>
      <c r="U1218" s="29" cm="1">
        <f t="array" aca="1" ref="U1218" ca="1">+fair_value_gap(OFFSET(T1217,0,0,-1*$J$5,-1*$AA$1),OFFSET(E1217,0,0,-1*$J$5,1),F1218:T1218,0)</f>
        <v>18.958292749952637</v>
      </c>
      <c r="V1218" s="9" cm="1">
        <f t="array" aca="1" ref="V1218" ca="1">z_score_diff(OFFSET(U1218,0,0,$J$5*-1,1),OFFSET(E1218,0,0,$J$5*-1,1))</f>
        <v>-0.49334881938270259</v>
      </c>
      <c r="W1218" s="9">
        <f t="shared" ca="1" si="181"/>
        <v>-5.9345486959948304E-2</v>
      </c>
      <c r="X1218" s="17">
        <f t="shared" ca="1" si="180"/>
        <v>-0.12481468745359468</v>
      </c>
      <c r="Y1218" s="13">
        <f t="shared" si="189"/>
        <v>0</v>
      </c>
      <c r="Z1218" s="13">
        <f t="shared" si="189"/>
        <v>0</v>
      </c>
      <c r="AA1218">
        <f t="shared" ca="1" si="182"/>
        <v>1</v>
      </c>
      <c r="AB1218">
        <f t="shared" ca="1" si="183"/>
        <v>0</v>
      </c>
      <c r="AC1218" s="24">
        <f t="shared" ca="1" si="184"/>
        <v>-0.12481468745359468</v>
      </c>
      <c r="AD1218" s="24">
        <f t="shared" ca="1" si="185"/>
        <v>0</v>
      </c>
    </row>
    <row r="1219" spans="3:30" x14ac:dyDescent="0.25">
      <c r="C1219" s="6">
        <v>1212</v>
      </c>
      <c r="D1219" s="35">
        <v>43731</v>
      </c>
      <c r="E1219" s="37">
        <v>18.884</v>
      </c>
      <c r="F1219" s="37">
        <v>54.829947244359637</v>
      </c>
      <c r="G1219" s="37">
        <v>52.28</v>
      </c>
      <c r="H1219" s="37">
        <v>2.3814120552250531</v>
      </c>
      <c r="I1219" s="37">
        <v>58.68223145134133</v>
      </c>
      <c r="J1219" s="10">
        <v>0</v>
      </c>
      <c r="K1219" s="38">
        <v>0</v>
      </c>
      <c r="L1219" s="38">
        <v>0</v>
      </c>
      <c r="M1219" s="38">
        <v>0</v>
      </c>
      <c r="N1219" s="38">
        <v>0</v>
      </c>
      <c r="O1219" s="38">
        <v>0</v>
      </c>
      <c r="P1219" s="38">
        <v>0</v>
      </c>
      <c r="Q1219" s="38">
        <v>0</v>
      </c>
      <c r="R1219" s="38">
        <v>1</v>
      </c>
      <c r="S1219" s="38">
        <v>0</v>
      </c>
      <c r="T1219" s="38">
        <v>0</v>
      </c>
      <c r="U1219" s="29" cm="1">
        <f t="array" aca="1" ref="U1219" ca="1">+fair_value_gap(OFFSET(T1218,0,0,-1*$J$5,-1*$AA$1),OFFSET(E1218,0,0,-1*$J$5,1),F1219:T1219,0)</f>
        <v>18.762956139547533</v>
      </c>
      <c r="V1219" s="9" cm="1">
        <f t="array" aca="1" ref="V1219" ca="1">z_score_diff(OFFSET(U1219,0,0,$J$5*-1,1),OFFSET(E1219,0,0,$J$5*-1,1))</f>
        <v>-0.39401187847199814</v>
      </c>
      <c r="W1219" s="9">
        <f t="shared" ca="1" si="181"/>
        <v>-6.0305379840426179E-2</v>
      </c>
      <c r="X1219" s="17">
        <f t="shared" ca="1" si="180"/>
        <v>-0.11580580293874462</v>
      </c>
      <c r="Y1219" s="13">
        <f t="shared" si="189"/>
        <v>0</v>
      </c>
      <c r="Z1219" s="13">
        <f t="shared" si="189"/>
        <v>0</v>
      </c>
      <c r="AA1219">
        <f t="shared" ca="1" si="182"/>
        <v>1</v>
      </c>
      <c r="AB1219">
        <f t="shared" ca="1" si="183"/>
        <v>0</v>
      </c>
      <c r="AC1219" s="24">
        <f t="shared" ca="1" si="184"/>
        <v>-0.11580580293874462</v>
      </c>
      <c r="AD1219" s="24">
        <f t="shared" ca="1" si="185"/>
        <v>0</v>
      </c>
    </row>
    <row r="1220" spans="3:30" x14ac:dyDescent="0.25">
      <c r="C1220" s="6">
        <v>1213</v>
      </c>
      <c r="D1220" s="35">
        <v>43732</v>
      </c>
      <c r="E1220" s="37">
        <v>18.763999999999999</v>
      </c>
      <c r="F1220" s="37">
        <v>53.46740799538432</v>
      </c>
      <c r="G1220" s="37">
        <v>51.83</v>
      </c>
      <c r="H1220" s="37">
        <v>2.3723474593126288</v>
      </c>
      <c r="I1220" s="37">
        <v>57.740858667937658</v>
      </c>
      <c r="J1220" s="10">
        <v>0</v>
      </c>
      <c r="K1220" s="38">
        <v>0</v>
      </c>
      <c r="L1220" s="38">
        <v>0</v>
      </c>
      <c r="M1220" s="38">
        <v>0</v>
      </c>
      <c r="N1220" s="38">
        <v>0</v>
      </c>
      <c r="O1220" s="38">
        <v>0</v>
      </c>
      <c r="P1220" s="38">
        <v>0</v>
      </c>
      <c r="Q1220" s="38">
        <v>0</v>
      </c>
      <c r="R1220" s="38">
        <v>1</v>
      </c>
      <c r="S1220" s="38">
        <v>0</v>
      </c>
      <c r="T1220" s="38">
        <v>0</v>
      </c>
      <c r="U1220" s="29" cm="1">
        <f t="array" aca="1" ref="U1220" ca="1">+fair_value_gap(OFFSET(T1219,0,0,-1*$J$5,-1*$AA$1),OFFSET(E1219,0,0,-1*$J$5,1),F1220:T1220,0)</f>
        <v>18.560630320084282</v>
      </c>
      <c r="V1220" s="9" cm="1">
        <f t="array" aca="1" ref="V1220" ca="1">z_score_diff(OFFSET(U1220,0,0,$J$5*-1,1),OFFSET(E1220,0,0,$J$5*-1,1))</f>
        <v>-0.44245883847877143</v>
      </c>
      <c r="W1220" s="9">
        <f t="shared" ca="1" si="181"/>
        <v>-6.317680443125355E-2</v>
      </c>
      <c r="X1220" s="17">
        <f t="shared" ca="1" si="180"/>
        <v>-0.11659130307591613</v>
      </c>
      <c r="Y1220" s="13">
        <f t="shared" si="189"/>
        <v>0</v>
      </c>
      <c r="Z1220" s="13">
        <f t="shared" si="189"/>
        <v>0</v>
      </c>
      <c r="AA1220">
        <f t="shared" ca="1" si="182"/>
        <v>1</v>
      </c>
      <c r="AB1220">
        <f t="shared" ca="1" si="183"/>
        <v>0</v>
      </c>
      <c r="AC1220" s="24">
        <f t="shared" ca="1" si="184"/>
        <v>-0.11659130307591613</v>
      </c>
      <c r="AD1220" s="24">
        <f t="shared" ca="1" si="185"/>
        <v>0</v>
      </c>
    </row>
    <row r="1221" spans="3:30" x14ac:dyDescent="0.25">
      <c r="C1221" s="6">
        <v>1214</v>
      </c>
      <c r="D1221" s="35">
        <v>43733</v>
      </c>
      <c r="E1221" s="37">
        <v>18.498999999999999</v>
      </c>
      <c r="F1221" s="37">
        <v>53.257526784289432</v>
      </c>
      <c r="G1221" s="37">
        <v>51</v>
      </c>
      <c r="H1221" s="37">
        <v>2.3685038574966706</v>
      </c>
      <c r="I1221" s="37">
        <v>57.341775918076991</v>
      </c>
      <c r="J1221" s="10">
        <v>0</v>
      </c>
      <c r="K1221" s="38">
        <v>0</v>
      </c>
      <c r="L1221" s="38">
        <v>0</v>
      </c>
      <c r="M1221" s="38">
        <v>0</v>
      </c>
      <c r="N1221" s="38">
        <v>0</v>
      </c>
      <c r="O1221" s="38">
        <v>0</v>
      </c>
      <c r="P1221" s="38">
        <v>0</v>
      </c>
      <c r="Q1221" s="38">
        <v>0</v>
      </c>
      <c r="R1221" s="38">
        <v>1</v>
      </c>
      <c r="S1221" s="38">
        <v>0</v>
      </c>
      <c r="T1221" s="38">
        <v>0</v>
      </c>
      <c r="U1221" s="29" cm="1">
        <f t="array" aca="1" ref="U1221" ca="1">+fair_value_gap(OFFSET(T1220,0,0,-1*$J$5,-1*$AA$1),OFFSET(E1220,0,0,-1*$J$5,1),F1221:T1221,0)</f>
        <v>18.293905527598245</v>
      </c>
      <c r="V1221" s="9" cm="1">
        <f t="array" aca="1" ref="V1221" ca="1">z_score_diff(OFFSET(U1221,0,0,$J$5*-1,1),OFFSET(E1221,0,0,$J$5*-1,1))</f>
        <v>-0.45491662699488999</v>
      </c>
      <c r="W1221" s="9">
        <f t="shared" ca="1" si="181"/>
        <v>-7.1200554420759496E-2</v>
      </c>
      <c r="X1221" s="17">
        <f t="shared" ca="1" si="180"/>
        <v>-0.11641902769301765</v>
      </c>
      <c r="Y1221" s="13">
        <f t="shared" si="189"/>
        <v>0</v>
      </c>
      <c r="Z1221" s="13">
        <f t="shared" si="189"/>
        <v>0</v>
      </c>
      <c r="AA1221">
        <f t="shared" ca="1" si="182"/>
        <v>1</v>
      </c>
      <c r="AB1221">
        <f t="shared" ca="1" si="183"/>
        <v>0</v>
      </c>
      <c r="AC1221" s="24">
        <f t="shared" ca="1" si="184"/>
        <v>-0.11641902769301765</v>
      </c>
      <c r="AD1221" s="24">
        <f t="shared" ca="1" si="185"/>
        <v>0</v>
      </c>
    </row>
    <row r="1222" spans="3:30" x14ac:dyDescent="0.25">
      <c r="C1222" s="6">
        <v>1215</v>
      </c>
      <c r="D1222" s="35">
        <v>43734</v>
      </c>
      <c r="E1222" s="37">
        <v>18.673999999999999</v>
      </c>
      <c r="F1222" s="37">
        <v>53.60779269845775</v>
      </c>
      <c r="G1222" s="37">
        <v>51.38</v>
      </c>
      <c r="H1222" s="37">
        <v>2.3310486826727796</v>
      </c>
      <c r="I1222" s="37">
        <v>58.660356535658543</v>
      </c>
      <c r="J1222" s="10">
        <v>0</v>
      </c>
      <c r="K1222" s="38">
        <v>0</v>
      </c>
      <c r="L1222" s="38">
        <v>0</v>
      </c>
      <c r="M1222" s="38">
        <v>0</v>
      </c>
      <c r="N1222" s="38">
        <v>0</v>
      </c>
      <c r="O1222" s="38">
        <v>0</v>
      </c>
      <c r="P1222" s="38">
        <v>0</v>
      </c>
      <c r="Q1222" s="38">
        <v>0</v>
      </c>
      <c r="R1222" s="38">
        <v>1</v>
      </c>
      <c r="S1222" s="38">
        <v>0</v>
      </c>
      <c r="T1222" s="38">
        <v>0</v>
      </c>
      <c r="U1222" s="29" cm="1">
        <f t="array" aca="1" ref="U1222" ca="1">+fair_value_gap(OFFSET(T1221,0,0,-1*$J$5,-1*$AA$1),OFFSET(E1221,0,0,-1*$J$5,1),F1222:T1222,0)</f>
        <v>18.450622017713304</v>
      </c>
      <c r="V1222" s="9" cm="1">
        <f t="array" aca="1" ref="V1222" ca="1">z_score_diff(OFFSET(U1222,0,0,$J$5*-1,1),OFFSET(E1222,0,0,$J$5*-1,1))</f>
        <v>-0.46285705591757315</v>
      </c>
      <c r="W1222" s="9">
        <f t="shared" ca="1" si="181"/>
        <v>-7.6685696413387641E-2</v>
      </c>
      <c r="X1222" s="17">
        <f t="shared" ca="1" si="180"/>
        <v>-0.11971941710533378</v>
      </c>
      <c r="Y1222" s="13">
        <f t="shared" si="189"/>
        <v>0</v>
      </c>
      <c r="Z1222" s="13">
        <f t="shared" si="189"/>
        <v>0</v>
      </c>
      <c r="AA1222">
        <f t="shared" ca="1" si="182"/>
        <v>1</v>
      </c>
      <c r="AB1222">
        <f t="shared" ca="1" si="183"/>
        <v>0</v>
      </c>
      <c r="AC1222" s="24">
        <f t="shared" ca="1" si="184"/>
        <v>-0.11971941710533378</v>
      </c>
      <c r="AD1222" s="24">
        <f t="shared" ca="1" si="185"/>
        <v>0</v>
      </c>
    </row>
    <row r="1223" spans="3:30" x14ac:dyDescent="0.25">
      <c r="C1223" s="6">
        <v>1216</v>
      </c>
      <c r="D1223" s="35">
        <v>43735</v>
      </c>
      <c r="E1223" s="37">
        <v>18.541</v>
      </c>
      <c r="F1223" s="37">
        <v>52.961944091314692</v>
      </c>
      <c r="G1223" s="37">
        <v>50.12</v>
      </c>
      <c r="H1223" s="37">
        <v>2.0859968439373007</v>
      </c>
      <c r="I1223" s="37">
        <v>58.826554595463676</v>
      </c>
      <c r="J1223" s="10">
        <v>0</v>
      </c>
      <c r="K1223" s="38">
        <v>0</v>
      </c>
      <c r="L1223" s="38">
        <v>0</v>
      </c>
      <c r="M1223" s="38">
        <v>0</v>
      </c>
      <c r="N1223" s="38">
        <v>0</v>
      </c>
      <c r="O1223" s="38">
        <v>0</v>
      </c>
      <c r="P1223" s="38">
        <v>0</v>
      </c>
      <c r="Q1223" s="38">
        <v>0</v>
      </c>
      <c r="R1223" s="38">
        <v>1</v>
      </c>
      <c r="S1223" s="38">
        <v>0</v>
      </c>
      <c r="T1223" s="38">
        <v>0</v>
      </c>
      <c r="U1223" s="29" cm="1">
        <f t="array" aca="1" ref="U1223" ca="1">+fair_value_gap(OFFSET(T1222,0,0,-1*$J$5,-1*$AA$1),OFFSET(E1222,0,0,-1*$J$5,1),F1223:T1223,0)</f>
        <v>17.970128943452082</v>
      </c>
      <c r="V1223" s="9" cm="1">
        <f t="array" aca="1" ref="V1223" ca="1">z_score_diff(OFFSET(U1223,0,0,$J$5*-1,1),OFFSET(E1223,0,0,$J$5*-1,1))</f>
        <v>-0.64853558086049035</v>
      </c>
      <c r="W1223" s="9">
        <f t="shared" ca="1" si="181"/>
        <v>-9.0704697609932744E-2</v>
      </c>
      <c r="X1223" s="17">
        <f t="shared" ref="X1223:X1286" ca="1" si="190">+LN(OFFSET(E1223,$X$3,0,1,1)/E1223)</f>
        <v>-0.13244558692325056</v>
      </c>
      <c r="Y1223" s="13">
        <f t="shared" si="189"/>
        <v>0</v>
      </c>
      <c r="Z1223" s="13">
        <f t="shared" si="189"/>
        <v>0</v>
      </c>
      <c r="AA1223">
        <f t="shared" ca="1" si="182"/>
        <v>1</v>
      </c>
      <c r="AB1223">
        <f t="shared" ca="1" si="183"/>
        <v>0</v>
      </c>
      <c r="AC1223" s="24">
        <f t="shared" ca="1" si="184"/>
        <v>-0.13244558692325056</v>
      </c>
      <c r="AD1223" s="24">
        <f t="shared" ca="1" si="185"/>
        <v>0</v>
      </c>
    </row>
    <row r="1224" spans="3:30" x14ac:dyDescent="0.25">
      <c r="C1224" s="6">
        <v>1217</v>
      </c>
      <c r="D1224" s="35">
        <v>43738</v>
      </c>
      <c r="E1224" s="37">
        <v>17.738</v>
      </c>
      <c r="F1224" s="37">
        <v>51.858567214626177</v>
      </c>
      <c r="G1224" s="37">
        <v>49.46</v>
      </c>
      <c r="H1224" s="37">
        <v>2.0685464114251864</v>
      </c>
      <c r="I1224" s="37">
        <v>60.4080760254203</v>
      </c>
      <c r="J1224" s="10">
        <v>0</v>
      </c>
      <c r="K1224" s="38">
        <v>0</v>
      </c>
      <c r="L1224" s="38">
        <v>0</v>
      </c>
      <c r="M1224" s="38">
        <v>0</v>
      </c>
      <c r="N1224" s="38">
        <v>0</v>
      </c>
      <c r="O1224" s="38">
        <v>0</v>
      </c>
      <c r="P1224" s="38">
        <v>0</v>
      </c>
      <c r="Q1224" s="38">
        <v>0</v>
      </c>
      <c r="R1224" s="38">
        <v>1</v>
      </c>
      <c r="S1224" s="38">
        <v>0</v>
      </c>
      <c r="T1224" s="38">
        <v>0</v>
      </c>
      <c r="U1224" s="29" cm="1">
        <f t="array" aca="1" ref="U1224" ca="1">+fair_value_gap(OFFSET(T1223,0,0,-1*$J$5,-1*$AA$1),OFFSET(E1223,0,0,-1*$J$5,1),F1224:T1224,0)</f>
        <v>17.824018658159964</v>
      </c>
      <c r="V1224" s="9" cm="1">
        <f t="array" aca="1" ref="V1224" ca="1">z_score_diff(OFFSET(U1224,0,0,$J$5*-1,1),OFFSET(E1224,0,0,$J$5*-1,1))</f>
        <v>-0.33739931537632428</v>
      </c>
      <c r="W1224" s="9">
        <f t="shared" ref="W1224:W1287" ca="1" si="191">+IF(ISERROR(AVERAGE(OFFSET(V1224,0,0,$W$5*-1,1))),"",AVERAGE(OFFSET(V1224,0,0,$W$5*-1,1)))</f>
        <v>-0.17117506138590649</v>
      </c>
      <c r="X1224" s="17">
        <f t="shared" ca="1" si="190"/>
        <v>-0.10280805753243424</v>
      </c>
      <c r="Y1224" s="13">
        <f t="shared" si="189"/>
        <v>0</v>
      </c>
      <c r="Z1224" s="13">
        <f t="shared" si="189"/>
        <v>0</v>
      </c>
      <c r="AA1224">
        <f t="shared" ref="AA1224:AA1287" ca="1" si="192">+IF(W1224="","",IF(W1224&lt;Y1224,1,0))</f>
        <v>1</v>
      </c>
      <c r="AB1224">
        <f t="shared" ref="AB1224:AB1287" ca="1" si="193">+IF(W1224="","",IF(W1224&gt;Z1224,1,0))</f>
        <v>0</v>
      </c>
      <c r="AC1224" s="24">
        <f t="shared" ref="AC1224:AC1287" ca="1" si="194">+IF(ISERROR(AA1224*X1224),"",AA1224*X1224)</f>
        <v>-0.10280805753243424</v>
      </c>
      <c r="AD1224" s="24">
        <f t="shared" ref="AD1224:AD1287" ca="1" si="195">+IF(ISERROR(AB1224*X1224),"",AB1224*X1224)</f>
        <v>0</v>
      </c>
    </row>
    <row r="1225" spans="3:30" x14ac:dyDescent="0.25">
      <c r="C1225" s="6">
        <v>1218</v>
      </c>
      <c r="D1225" s="35">
        <v>43739</v>
      </c>
      <c r="E1225" s="37">
        <v>17.86</v>
      </c>
      <c r="F1225" s="37">
        <v>51.383870286200306</v>
      </c>
      <c r="G1225" s="37">
        <v>49.31</v>
      </c>
      <c r="H1225" s="37">
        <v>2.0766631814841099</v>
      </c>
      <c r="I1225" s="37">
        <v>60.990694743152879</v>
      </c>
      <c r="J1225" s="10">
        <v>0</v>
      </c>
      <c r="K1225" s="38">
        <v>0</v>
      </c>
      <c r="L1225" s="38">
        <v>0</v>
      </c>
      <c r="M1225" s="38">
        <v>0</v>
      </c>
      <c r="N1225" s="38">
        <v>0</v>
      </c>
      <c r="O1225" s="38">
        <v>0</v>
      </c>
      <c r="P1225" s="38">
        <v>0</v>
      </c>
      <c r="Q1225" s="38">
        <v>0</v>
      </c>
      <c r="R1225" s="38">
        <v>0</v>
      </c>
      <c r="S1225" s="38">
        <v>1</v>
      </c>
      <c r="T1225" s="38">
        <v>0</v>
      </c>
      <c r="U1225" s="29" cm="1">
        <f t="array" aca="1" ref="U1225" ca="1">+fair_value_gap(OFFSET(T1224,0,0,-1*$J$5,-1*$AA$1),OFFSET(E1224,0,0,-1*$J$5,1),F1225:T1225,0)</f>
        <v>19.939706807394455</v>
      </c>
      <c r="V1225" s="9" cm="1">
        <f t="array" aca="1" ref="V1225" ca="1">z_score_diff(OFFSET(U1225,0,0,$J$5*-1,1),OFFSET(E1225,0,0,$J$5*-1,1))</f>
        <v>0.71798949571550008</v>
      </c>
      <c r="W1225" s="9">
        <f t="shared" ca="1" si="191"/>
        <v>-0.17581047642812703</v>
      </c>
      <c r="X1225" s="17">
        <f t="shared" ca="1" si="190"/>
        <v>-0.1155528815226335</v>
      </c>
      <c r="Y1225" s="13">
        <f t="shared" ref="Y1225:Z1240" si="196">+Y1224</f>
        <v>0</v>
      </c>
      <c r="Z1225" s="13">
        <f t="shared" si="196"/>
        <v>0</v>
      </c>
      <c r="AA1225">
        <f t="shared" ca="1" si="192"/>
        <v>1</v>
      </c>
      <c r="AB1225">
        <f t="shared" ca="1" si="193"/>
        <v>0</v>
      </c>
      <c r="AC1225" s="24">
        <f t="shared" ca="1" si="194"/>
        <v>-0.1155528815226335</v>
      </c>
      <c r="AD1225" s="24">
        <f t="shared" ca="1" si="195"/>
        <v>0</v>
      </c>
    </row>
    <row r="1226" spans="3:30" x14ac:dyDescent="0.25">
      <c r="C1226" s="6">
        <v>1219</v>
      </c>
      <c r="D1226" s="35">
        <v>43740</v>
      </c>
      <c r="E1226" s="37">
        <v>17.207000000000001</v>
      </c>
      <c r="F1226" s="37">
        <v>50.450596516828121</v>
      </c>
      <c r="G1226" s="37">
        <v>48.72</v>
      </c>
      <c r="H1226" s="37">
        <v>2.0581969834128238</v>
      </c>
      <c r="I1226" s="37">
        <v>59.809312778385781</v>
      </c>
      <c r="J1226" s="10">
        <v>0</v>
      </c>
      <c r="K1226" s="38">
        <v>0</v>
      </c>
      <c r="L1226" s="38">
        <v>0</v>
      </c>
      <c r="M1226" s="38">
        <v>0</v>
      </c>
      <c r="N1226" s="38">
        <v>0</v>
      </c>
      <c r="O1226" s="38">
        <v>0</v>
      </c>
      <c r="P1226" s="38">
        <v>0</v>
      </c>
      <c r="Q1226" s="38">
        <v>0</v>
      </c>
      <c r="R1226" s="38">
        <v>0</v>
      </c>
      <c r="S1226" s="38">
        <v>1</v>
      </c>
      <c r="T1226" s="38">
        <v>0</v>
      </c>
      <c r="U1226" s="29" cm="1">
        <f t="array" aca="1" ref="U1226" ca="1">+fair_value_gap(OFFSET(T1225,0,0,-1*$J$5,-1*$AA$1),OFFSET(E1225,0,0,-1*$J$5,1),F1226:T1226,0)</f>
        <v>19.203030729509166</v>
      </c>
      <c r="V1226" s="9" cm="1">
        <f t="array" aca="1" ref="V1226" ca="1">z_score_diff(OFFSET(U1226,0,0,$J$5*-1,1),OFFSET(E1226,0,0,$J$5*-1,1))</f>
        <v>0.65522628492061807</v>
      </c>
      <c r="W1226" s="9">
        <f t="shared" ca="1" si="191"/>
        <v>-0.16796828962365085</v>
      </c>
      <c r="X1226" s="17">
        <f t="shared" ca="1" si="190"/>
        <v>-8.758741843826344E-2</v>
      </c>
      <c r="Y1226" s="13">
        <f t="shared" si="196"/>
        <v>0</v>
      </c>
      <c r="Z1226" s="13">
        <f t="shared" si="196"/>
        <v>0</v>
      </c>
      <c r="AA1226">
        <f t="shared" ca="1" si="192"/>
        <v>1</v>
      </c>
      <c r="AB1226">
        <f t="shared" ca="1" si="193"/>
        <v>0</v>
      </c>
      <c r="AC1226" s="24">
        <f t="shared" ca="1" si="194"/>
        <v>-8.758741843826344E-2</v>
      </c>
      <c r="AD1226" s="24">
        <f t="shared" ca="1" si="195"/>
        <v>0</v>
      </c>
    </row>
    <row r="1227" spans="3:30" x14ac:dyDescent="0.25">
      <c r="C1227" s="6">
        <v>1220</v>
      </c>
      <c r="D1227" s="35">
        <v>43741</v>
      </c>
      <c r="E1227" s="37">
        <v>17.015000000000001</v>
      </c>
      <c r="F1227" s="37">
        <v>50.269720193442069</v>
      </c>
      <c r="G1227" s="37">
        <v>47.75</v>
      </c>
      <c r="H1227" s="37">
        <v>2.0713069947136642</v>
      </c>
      <c r="I1227" s="37">
        <v>60.42813015012473</v>
      </c>
      <c r="J1227" s="10">
        <v>0</v>
      </c>
      <c r="K1227" s="38">
        <v>0</v>
      </c>
      <c r="L1227" s="38">
        <v>0</v>
      </c>
      <c r="M1227" s="38">
        <v>0</v>
      </c>
      <c r="N1227" s="38">
        <v>0</v>
      </c>
      <c r="O1227" s="38">
        <v>0</v>
      </c>
      <c r="P1227" s="38">
        <v>0</v>
      </c>
      <c r="Q1227" s="38">
        <v>0</v>
      </c>
      <c r="R1227" s="38">
        <v>0</v>
      </c>
      <c r="S1227" s="38">
        <v>1</v>
      </c>
      <c r="T1227" s="38">
        <v>0</v>
      </c>
      <c r="U1227" s="29" cm="1">
        <f t="array" aca="1" ref="U1227" ca="1">+fair_value_gap(OFFSET(T1226,0,0,-1*$J$5,-1*$AA$1),OFFSET(E1226,0,0,-1*$J$5,1),F1227:T1227,0)</f>
        <v>18.550495502015522</v>
      </c>
      <c r="V1227" s="9" cm="1">
        <f t="array" aca="1" ref="V1227" ca="1">z_score_diff(OFFSET(U1227,0,0,$J$5*-1,1),OFFSET(E1227,0,0,$J$5*-1,1))</f>
        <v>0.40002434601792325</v>
      </c>
      <c r="W1227" s="9">
        <f t="shared" ca="1" si="191"/>
        <v>-0.15460305646996586</v>
      </c>
      <c r="X1227" s="17">
        <f t="shared" ca="1" si="190"/>
        <v>-9.3384324611110708E-2</v>
      </c>
      <c r="Y1227" s="13">
        <f t="shared" si="196"/>
        <v>0</v>
      </c>
      <c r="Z1227" s="13">
        <f t="shared" si="196"/>
        <v>0</v>
      </c>
      <c r="AA1227">
        <f t="shared" ca="1" si="192"/>
        <v>1</v>
      </c>
      <c r="AB1227">
        <f t="shared" ca="1" si="193"/>
        <v>0</v>
      </c>
      <c r="AC1227" s="24">
        <f t="shared" ca="1" si="194"/>
        <v>-9.3384324611110708E-2</v>
      </c>
      <c r="AD1227" s="24">
        <f t="shared" ca="1" si="195"/>
        <v>0</v>
      </c>
    </row>
    <row r="1228" spans="3:30" x14ac:dyDescent="0.25">
      <c r="C1228" s="6">
        <v>1221</v>
      </c>
      <c r="D1228" s="35">
        <v>43742</v>
      </c>
      <c r="E1228" s="37">
        <v>16.998999999999999</v>
      </c>
      <c r="F1228" s="37">
        <v>50.782156784060668</v>
      </c>
      <c r="G1228" s="37">
        <v>48.13</v>
      </c>
      <c r="H1228" s="37">
        <v>2.0829321926842743</v>
      </c>
      <c r="I1228" s="37">
        <v>61.228309162922187</v>
      </c>
      <c r="J1228" s="10">
        <v>0</v>
      </c>
      <c r="K1228" s="38">
        <v>0</v>
      </c>
      <c r="L1228" s="38">
        <v>0</v>
      </c>
      <c r="M1228" s="38">
        <v>0</v>
      </c>
      <c r="N1228" s="38">
        <v>0</v>
      </c>
      <c r="O1228" s="38">
        <v>0</v>
      </c>
      <c r="P1228" s="38">
        <v>0</v>
      </c>
      <c r="Q1228" s="38">
        <v>0</v>
      </c>
      <c r="R1228" s="38">
        <v>0</v>
      </c>
      <c r="S1228" s="38">
        <v>1</v>
      </c>
      <c r="T1228" s="38">
        <v>0</v>
      </c>
      <c r="U1228" s="29" cm="1">
        <f t="array" aca="1" ref="U1228" ca="1">+fair_value_gap(OFFSET(T1227,0,0,-1*$J$5,-1*$AA$1),OFFSET(E1227,0,0,-1*$J$5,1),F1228:T1228,0)</f>
        <v>18.469360067686662</v>
      </c>
      <c r="V1228" s="9" cm="1">
        <f t="array" aca="1" ref="V1228" ca="1">z_score_diff(OFFSET(U1228,0,0,$J$5*-1,1),OFFSET(E1228,0,0,$J$5*-1,1))</f>
        <v>0.36637029058943094</v>
      </c>
      <c r="W1228" s="9">
        <f t="shared" ca="1" si="191"/>
        <v>-0.13717996066604987</v>
      </c>
      <c r="X1228" s="17">
        <f t="shared" ca="1" si="190"/>
        <v>-8.3322783679467521E-2</v>
      </c>
      <c r="Y1228" s="13">
        <f t="shared" si="196"/>
        <v>0</v>
      </c>
      <c r="Z1228" s="13">
        <f t="shared" si="196"/>
        <v>0</v>
      </c>
      <c r="AA1228">
        <f t="shared" ca="1" si="192"/>
        <v>1</v>
      </c>
      <c r="AB1228">
        <f t="shared" ca="1" si="193"/>
        <v>0</v>
      </c>
      <c r="AC1228" s="24">
        <f t="shared" ca="1" si="194"/>
        <v>-8.3322783679467521E-2</v>
      </c>
      <c r="AD1228" s="24">
        <f t="shared" ca="1" si="195"/>
        <v>0</v>
      </c>
    </row>
    <row r="1229" spans="3:30" x14ac:dyDescent="0.25">
      <c r="C1229" s="6">
        <v>1222</v>
      </c>
      <c r="D1229" s="35">
        <v>43745</v>
      </c>
      <c r="E1229" s="37">
        <v>16.89</v>
      </c>
      <c r="F1229" s="37">
        <v>50.898602493977513</v>
      </c>
      <c r="G1229" s="37">
        <v>47.9</v>
      </c>
      <c r="H1229" s="37">
        <v>2.0777144420958629</v>
      </c>
      <c r="I1229" s="37">
        <v>62.025357478511687</v>
      </c>
      <c r="J1229" s="10">
        <v>0</v>
      </c>
      <c r="K1229" s="38">
        <v>0</v>
      </c>
      <c r="L1229" s="38">
        <v>0</v>
      </c>
      <c r="M1229" s="38">
        <v>0</v>
      </c>
      <c r="N1229" s="38">
        <v>0</v>
      </c>
      <c r="O1229" s="38">
        <v>0</v>
      </c>
      <c r="P1229" s="38">
        <v>0</v>
      </c>
      <c r="Q1229" s="38">
        <v>0</v>
      </c>
      <c r="R1229" s="38">
        <v>0</v>
      </c>
      <c r="S1229" s="38">
        <v>1</v>
      </c>
      <c r="T1229" s="38">
        <v>0</v>
      </c>
      <c r="U1229" s="29" cm="1">
        <f t="array" aca="1" ref="U1229" ca="1">+fair_value_gap(OFFSET(T1228,0,0,-1*$J$5,-1*$AA$1),OFFSET(E1228,0,0,-1*$J$5,1),F1229:T1229,0)</f>
        <v>18.262050084849914</v>
      </c>
      <c r="V1229" s="9" cm="1">
        <f t="array" aca="1" ref="V1229" ca="1">z_score_diff(OFFSET(U1229,0,0,$J$5*-1,1),OFFSET(E1229,0,0,$J$5*-1,1))</f>
        <v>0.31142073551905192</v>
      </c>
      <c r="W1229" s="9">
        <f t="shared" ca="1" si="191"/>
        <v>-0.12265681119135204</v>
      </c>
      <c r="X1229" s="17">
        <f t="shared" ca="1" si="190"/>
        <v>-6.1409417550703692E-2</v>
      </c>
      <c r="Y1229" s="13">
        <f t="shared" si="196"/>
        <v>0</v>
      </c>
      <c r="Z1229" s="13">
        <f t="shared" si="196"/>
        <v>0</v>
      </c>
      <c r="AA1229">
        <f t="shared" ca="1" si="192"/>
        <v>1</v>
      </c>
      <c r="AB1229">
        <f t="shared" ca="1" si="193"/>
        <v>0</v>
      </c>
      <c r="AC1229" s="24">
        <f t="shared" ca="1" si="194"/>
        <v>-6.1409417550703692E-2</v>
      </c>
      <c r="AD1229" s="24">
        <f t="shared" ca="1" si="195"/>
        <v>0</v>
      </c>
    </row>
    <row r="1230" spans="3:30" x14ac:dyDescent="0.25">
      <c r="C1230" s="6">
        <v>1223</v>
      </c>
      <c r="D1230" s="35">
        <v>43746</v>
      </c>
      <c r="E1230" s="37">
        <v>16.960999999999999</v>
      </c>
      <c r="F1230" s="37">
        <v>51.001407588352997</v>
      </c>
      <c r="G1230" s="37">
        <v>48.02</v>
      </c>
      <c r="H1230" s="37">
        <v>2.0604352252366795</v>
      </c>
      <c r="I1230" s="37">
        <v>63.165640055942845</v>
      </c>
      <c r="J1230" s="10">
        <v>0</v>
      </c>
      <c r="K1230" s="38">
        <v>0</v>
      </c>
      <c r="L1230" s="38">
        <v>0</v>
      </c>
      <c r="M1230" s="38">
        <v>0</v>
      </c>
      <c r="N1230" s="38">
        <v>0</v>
      </c>
      <c r="O1230" s="38">
        <v>0</v>
      </c>
      <c r="P1230" s="38">
        <v>0</v>
      </c>
      <c r="Q1230" s="38">
        <v>0</v>
      </c>
      <c r="R1230" s="38">
        <v>0</v>
      </c>
      <c r="S1230" s="38">
        <v>1</v>
      </c>
      <c r="T1230" s="38">
        <v>0</v>
      </c>
      <c r="U1230" s="29" cm="1">
        <f t="array" aca="1" ref="U1230" ca="1">+fair_value_gap(OFFSET(T1229,0,0,-1*$J$5,-1*$AA$1),OFFSET(E1229,0,0,-1*$J$5,1),F1230:T1230,0)</f>
        <v>18.234420402632054</v>
      </c>
      <c r="V1230" s="9" cm="1">
        <f t="array" aca="1" ref="V1230" ca="1">z_score_diff(OFFSET(U1230,0,0,$J$5*-1,1),OFFSET(E1230,0,0,$J$5*-1,1))</f>
        <v>0.26104873483431867</v>
      </c>
      <c r="W1230" s="9">
        <f t="shared" ca="1" si="191"/>
        <v>-9.7229328646090588E-2</v>
      </c>
      <c r="X1230" s="17">
        <f t="shared" ca="1" si="190"/>
        <v>-5.4647150810347905E-2</v>
      </c>
      <c r="Y1230" s="13">
        <f t="shared" si="196"/>
        <v>0</v>
      </c>
      <c r="Z1230" s="13">
        <f t="shared" si="196"/>
        <v>0</v>
      </c>
      <c r="AA1230">
        <f t="shared" ca="1" si="192"/>
        <v>1</v>
      </c>
      <c r="AB1230">
        <f t="shared" ca="1" si="193"/>
        <v>0</v>
      </c>
      <c r="AC1230" s="24">
        <f t="shared" ca="1" si="194"/>
        <v>-5.4647150810347905E-2</v>
      </c>
      <c r="AD1230" s="24">
        <f t="shared" ca="1" si="195"/>
        <v>0</v>
      </c>
    </row>
    <row r="1231" spans="3:30" x14ac:dyDescent="0.25">
      <c r="C1231" s="6">
        <v>1224</v>
      </c>
      <c r="D1231" s="35">
        <v>43747</v>
      </c>
      <c r="E1231" s="37">
        <v>16.989999999999998</v>
      </c>
      <c r="F1231" s="37">
        <v>50.941765404977133</v>
      </c>
      <c r="G1231" s="37">
        <v>48.15</v>
      </c>
      <c r="H1231" s="37">
        <v>2.0365901969964346</v>
      </c>
      <c r="I1231" s="37">
        <v>62.889401087621998</v>
      </c>
      <c r="J1231" s="10">
        <v>0</v>
      </c>
      <c r="K1231" s="38">
        <v>0</v>
      </c>
      <c r="L1231" s="38">
        <v>0</v>
      </c>
      <c r="M1231" s="38">
        <v>0</v>
      </c>
      <c r="N1231" s="38">
        <v>0</v>
      </c>
      <c r="O1231" s="38">
        <v>0</v>
      </c>
      <c r="P1231" s="38">
        <v>0</v>
      </c>
      <c r="Q1231" s="38">
        <v>0</v>
      </c>
      <c r="R1231" s="38">
        <v>0</v>
      </c>
      <c r="S1231" s="38">
        <v>1</v>
      </c>
      <c r="T1231" s="38">
        <v>0</v>
      </c>
      <c r="U1231" s="29" cm="1">
        <f t="array" aca="1" ref="U1231" ca="1">+fair_value_gap(OFFSET(T1230,0,0,-1*$J$5,-1*$AA$1),OFFSET(E1230,0,0,-1*$J$5,1),F1231:T1231,0)</f>
        <v>18.115721005114207</v>
      </c>
      <c r="V1231" s="9" cm="1">
        <f t="array" aca="1" ref="V1231" ca="1">z_score_diff(OFFSET(U1231,0,0,$J$5*-1,1),OFFSET(E1231,0,0,$J$5*-1,1))</f>
        <v>0.18053603164609267</v>
      </c>
      <c r="W1231" s="9">
        <f t="shared" ca="1" si="191"/>
        <v>-8.6087876678590219E-2</v>
      </c>
      <c r="X1231" s="17">
        <f t="shared" ca="1" si="190"/>
        <v>-8.0940697561569186E-2</v>
      </c>
      <c r="Y1231" s="13">
        <f t="shared" si="196"/>
        <v>0</v>
      </c>
      <c r="Z1231" s="13">
        <f t="shared" si="196"/>
        <v>0</v>
      </c>
      <c r="AA1231">
        <f t="shared" ca="1" si="192"/>
        <v>1</v>
      </c>
      <c r="AB1231">
        <f t="shared" ca="1" si="193"/>
        <v>0</v>
      </c>
      <c r="AC1231" s="24">
        <f t="shared" ca="1" si="194"/>
        <v>-8.0940697561569186E-2</v>
      </c>
      <c r="AD1231" s="24">
        <f t="shared" ca="1" si="195"/>
        <v>0</v>
      </c>
    </row>
    <row r="1232" spans="3:30" x14ac:dyDescent="0.25">
      <c r="C1232" s="6">
        <v>1225</v>
      </c>
      <c r="D1232" s="35">
        <v>43748</v>
      </c>
      <c r="E1232" s="37">
        <v>17.228000000000002</v>
      </c>
      <c r="F1232" s="37">
        <v>51.452618806367454</v>
      </c>
      <c r="G1232" s="37">
        <v>48.3</v>
      </c>
      <c r="H1232" s="37">
        <v>2.0184360665536443</v>
      </c>
      <c r="I1232" s="37">
        <v>61.791606572796077</v>
      </c>
      <c r="J1232" s="10">
        <v>0</v>
      </c>
      <c r="K1232" s="38">
        <v>0</v>
      </c>
      <c r="L1232" s="38">
        <v>0</v>
      </c>
      <c r="M1232" s="38">
        <v>0</v>
      </c>
      <c r="N1232" s="38">
        <v>0</v>
      </c>
      <c r="O1232" s="38">
        <v>0</v>
      </c>
      <c r="P1232" s="38">
        <v>0</v>
      </c>
      <c r="Q1232" s="38">
        <v>0</v>
      </c>
      <c r="R1232" s="38">
        <v>0</v>
      </c>
      <c r="S1232" s="38">
        <v>1</v>
      </c>
      <c r="T1232" s="38">
        <v>0</v>
      </c>
      <c r="U1232" s="29" cm="1">
        <f t="array" aca="1" ref="U1232" ca="1">+fair_value_gap(OFFSET(T1231,0,0,-1*$J$5,-1*$AA$1),OFFSET(E1231,0,0,-1*$J$5,1),F1232:T1232,0)</f>
        <v>17.948816072499685</v>
      </c>
      <c r="V1232" s="9" cm="1">
        <f t="array" aca="1" ref="V1232" ca="1">z_score_diff(OFFSET(U1232,0,0,$J$5*-1,1),OFFSET(E1232,0,0,$J$5*-1,1))</f>
        <v>-4.0133918550918635E-2</v>
      </c>
      <c r="W1232" s="9">
        <f t="shared" ca="1" si="191"/>
        <v>-8.1992784905272495E-2</v>
      </c>
      <c r="X1232" s="17">
        <f t="shared" ca="1" si="190"/>
        <v>-0.10537341463945196</v>
      </c>
      <c r="Y1232" s="13">
        <f t="shared" si="196"/>
        <v>0</v>
      </c>
      <c r="Z1232" s="13">
        <f t="shared" si="196"/>
        <v>0</v>
      </c>
      <c r="AA1232">
        <f t="shared" ca="1" si="192"/>
        <v>1</v>
      </c>
      <c r="AB1232">
        <f t="shared" ca="1" si="193"/>
        <v>0</v>
      </c>
      <c r="AC1232" s="24">
        <f t="shared" ca="1" si="194"/>
        <v>-0.10537341463945196</v>
      </c>
      <c r="AD1232" s="24">
        <f t="shared" ca="1" si="195"/>
        <v>0</v>
      </c>
    </row>
    <row r="1233" spans="3:30" x14ac:dyDescent="0.25">
      <c r="C1233" s="6">
        <v>1226</v>
      </c>
      <c r="D1233" s="35">
        <v>43749</v>
      </c>
      <c r="E1233" s="37">
        <v>17.603999999999999</v>
      </c>
      <c r="F1233" s="37">
        <v>52.523517492183203</v>
      </c>
      <c r="G1233" s="37">
        <v>49.57</v>
      </c>
      <c r="H1233" s="37">
        <v>2.0075417007742993</v>
      </c>
      <c r="I1233" s="37">
        <v>61.505566812938085</v>
      </c>
      <c r="J1233" s="10">
        <v>0</v>
      </c>
      <c r="K1233" s="38">
        <v>0</v>
      </c>
      <c r="L1233" s="38">
        <v>0</v>
      </c>
      <c r="M1233" s="38">
        <v>0</v>
      </c>
      <c r="N1233" s="38">
        <v>0</v>
      </c>
      <c r="O1233" s="38">
        <v>0</v>
      </c>
      <c r="P1233" s="38">
        <v>0</v>
      </c>
      <c r="Q1233" s="38">
        <v>0</v>
      </c>
      <c r="R1233" s="38">
        <v>0</v>
      </c>
      <c r="S1233" s="38">
        <v>1</v>
      </c>
      <c r="T1233" s="38">
        <v>0</v>
      </c>
      <c r="U1233" s="29" cm="1">
        <f t="array" aca="1" ref="U1233" ca="1">+fair_value_gap(OFFSET(T1232,0,0,-1*$J$5,-1*$AA$1),OFFSET(E1232,0,0,-1*$J$5,1),F1233:T1233,0)</f>
        <v>18.202363210538486</v>
      </c>
      <c r="V1233" s="9" cm="1">
        <f t="array" aca="1" ref="V1233" ca="1">z_score_diff(OFFSET(U1233,0,0,$J$5*-1,1),OFFSET(E1233,0,0,$J$5*-1,1))</f>
        <v>-9.6806218087778451E-2</v>
      </c>
      <c r="W1233" s="9">
        <f t="shared" ca="1" si="191"/>
        <v>-8.0389629424549219E-2</v>
      </c>
      <c r="X1233" s="17">
        <f t="shared" ca="1" si="190"/>
        <v>-0.13837968976487452</v>
      </c>
      <c r="Y1233" s="13">
        <f t="shared" si="196"/>
        <v>0</v>
      </c>
      <c r="Z1233" s="13">
        <f t="shared" si="196"/>
        <v>0</v>
      </c>
      <c r="AA1233">
        <f t="shared" ca="1" si="192"/>
        <v>1</v>
      </c>
      <c r="AB1233">
        <f t="shared" ca="1" si="193"/>
        <v>0</v>
      </c>
      <c r="AC1233" s="24">
        <f t="shared" ca="1" si="194"/>
        <v>-0.13837968976487452</v>
      </c>
      <c r="AD1233" s="24">
        <f t="shared" ca="1" si="195"/>
        <v>0</v>
      </c>
    </row>
    <row r="1234" spans="3:30" x14ac:dyDescent="0.25">
      <c r="C1234" s="6">
        <v>1227</v>
      </c>
      <c r="D1234" s="35">
        <v>43752</v>
      </c>
      <c r="E1234" s="37">
        <v>17.422000000000001</v>
      </c>
      <c r="F1234" s="37">
        <v>51.966908963798836</v>
      </c>
      <c r="G1234" s="37">
        <v>49.67</v>
      </c>
      <c r="H1234" s="37">
        <v>2.0193419436950464</v>
      </c>
      <c r="I1234" s="37">
        <v>62.112914646279052</v>
      </c>
      <c r="J1234" s="10">
        <v>0</v>
      </c>
      <c r="K1234" s="38">
        <v>0</v>
      </c>
      <c r="L1234" s="38">
        <v>0</v>
      </c>
      <c r="M1234" s="38">
        <v>0</v>
      </c>
      <c r="N1234" s="38">
        <v>0</v>
      </c>
      <c r="O1234" s="38">
        <v>0</v>
      </c>
      <c r="P1234" s="38">
        <v>0</v>
      </c>
      <c r="Q1234" s="38">
        <v>0</v>
      </c>
      <c r="R1234" s="38">
        <v>0</v>
      </c>
      <c r="S1234" s="38">
        <v>1</v>
      </c>
      <c r="T1234" s="38">
        <v>0</v>
      </c>
      <c r="U1234" s="29" cm="1">
        <f t="array" aca="1" ref="U1234" ca="1">+fair_value_gap(OFFSET(T1233,0,0,-1*$J$5,-1*$AA$1),OFFSET(E1233,0,0,-1*$J$5,1),F1234:T1234,0)</f>
        <v>18.159737006826781</v>
      </c>
      <c r="V1234" s="9" cm="1">
        <f t="array" aca="1" ref="V1234" ca="1">z_score_diff(OFFSET(U1234,0,0,$J$5*-1,1),OFFSET(E1234,0,0,$J$5*-1,1))</f>
        <v>-2.0818773037128757E-2</v>
      </c>
      <c r="W1234" s="9">
        <f t="shared" ca="1" si="191"/>
        <v>-6.0982778555761605E-2</v>
      </c>
      <c r="X1234" s="17">
        <f t="shared" ca="1" si="190"/>
        <v>-0.13499202555150056</v>
      </c>
      <c r="Y1234" s="13">
        <f t="shared" si="196"/>
        <v>0</v>
      </c>
      <c r="Z1234" s="13">
        <f t="shared" si="196"/>
        <v>0</v>
      </c>
      <c r="AA1234">
        <f t="shared" ca="1" si="192"/>
        <v>1</v>
      </c>
      <c r="AB1234">
        <f t="shared" ca="1" si="193"/>
        <v>0</v>
      </c>
      <c r="AC1234" s="24">
        <f t="shared" ca="1" si="194"/>
        <v>-0.13499202555150056</v>
      </c>
      <c r="AD1234" s="24">
        <f t="shared" ca="1" si="195"/>
        <v>0</v>
      </c>
    </row>
    <row r="1235" spans="3:30" x14ac:dyDescent="0.25">
      <c r="C1235" s="6">
        <v>1228</v>
      </c>
      <c r="D1235" s="35">
        <v>43753</v>
      </c>
      <c r="E1235" s="37">
        <v>17.350999999999999</v>
      </c>
      <c r="F1235" s="37">
        <v>51.331290590995032</v>
      </c>
      <c r="G1235" s="37">
        <v>49.65</v>
      </c>
      <c r="H1235" s="37">
        <v>2.0340841202608568</v>
      </c>
      <c r="I1235" s="37">
        <v>62.160034322370542</v>
      </c>
      <c r="J1235" s="10">
        <v>0</v>
      </c>
      <c r="K1235" s="38">
        <v>0</v>
      </c>
      <c r="L1235" s="38">
        <v>0</v>
      </c>
      <c r="M1235" s="38">
        <v>0</v>
      </c>
      <c r="N1235" s="38">
        <v>0</v>
      </c>
      <c r="O1235" s="38">
        <v>0</v>
      </c>
      <c r="P1235" s="38">
        <v>0</v>
      </c>
      <c r="Q1235" s="38">
        <v>0</v>
      </c>
      <c r="R1235" s="38">
        <v>0</v>
      </c>
      <c r="S1235" s="38">
        <v>1</v>
      </c>
      <c r="T1235" s="38">
        <v>0</v>
      </c>
      <c r="U1235" s="29" cm="1">
        <f t="array" aca="1" ref="U1235" ca="1">+fair_value_gap(OFFSET(T1234,0,0,-1*$J$5,-1*$AA$1),OFFSET(E1234,0,0,-1*$J$5,1),F1235:T1235,0)</f>
        <v>18.032923228812816</v>
      </c>
      <c r="V1235" s="9" cm="1">
        <f t="array" aca="1" ref="V1235" ca="1">z_score_diff(OFFSET(U1235,0,0,$J$5*-1,1),OFFSET(E1235,0,0,$J$5*-1,1))</f>
        <v>-5.2967161774298832E-2</v>
      </c>
      <c r="W1235" s="9">
        <f t="shared" ca="1" si="191"/>
        <v>-5.7962822414995549E-2</v>
      </c>
      <c r="X1235" s="17">
        <f t="shared" ca="1" si="190"/>
        <v>-0.1474015624639527</v>
      </c>
      <c r="Y1235" s="13">
        <f t="shared" si="196"/>
        <v>0</v>
      </c>
      <c r="Z1235" s="13">
        <f t="shared" si="196"/>
        <v>0</v>
      </c>
      <c r="AA1235">
        <f t="shared" ca="1" si="192"/>
        <v>1</v>
      </c>
      <c r="AB1235">
        <f t="shared" ca="1" si="193"/>
        <v>0</v>
      </c>
      <c r="AC1235" s="24">
        <f t="shared" ca="1" si="194"/>
        <v>-0.1474015624639527</v>
      </c>
      <c r="AD1235" s="24">
        <f t="shared" ca="1" si="195"/>
        <v>0</v>
      </c>
    </row>
    <row r="1236" spans="3:30" x14ac:dyDescent="0.25">
      <c r="C1236" s="6">
        <v>1229</v>
      </c>
      <c r="D1236" s="35">
        <v>43754</v>
      </c>
      <c r="E1236" s="37">
        <v>17.297999999999998</v>
      </c>
      <c r="F1236" s="37">
        <v>51.592071902266888</v>
      </c>
      <c r="G1236" s="37">
        <v>50.34</v>
      </c>
      <c r="H1236" s="37">
        <v>2.0053171694238658</v>
      </c>
      <c r="I1236" s="37">
        <v>61.489253659681523</v>
      </c>
      <c r="J1236" s="10">
        <v>0</v>
      </c>
      <c r="K1236" s="38">
        <v>0</v>
      </c>
      <c r="L1236" s="38">
        <v>0</v>
      </c>
      <c r="M1236" s="38">
        <v>0</v>
      </c>
      <c r="N1236" s="38">
        <v>0</v>
      </c>
      <c r="O1236" s="38">
        <v>0</v>
      </c>
      <c r="P1236" s="38">
        <v>0</v>
      </c>
      <c r="Q1236" s="38">
        <v>0</v>
      </c>
      <c r="R1236" s="38">
        <v>0</v>
      </c>
      <c r="S1236" s="38">
        <v>1</v>
      </c>
      <c r="T1236" s="38">
        <v>0</v>
      </c>
      <c r="U1236" s="29" cm="1">
        <f t="array" aca="1" ref="U1236" ca="1">+fair_value_gap(OFFSET(T1235,0,0,-1*$J$5,-1*$AA$1),OFFSET(E1235,0,0,-1*$J$5,1),F1236:T1236,0)</f>
        <v>18.069802406949407</v>
      </c>
      <c r="V1236" s="9" cm="1">
        <f t="array" aca="1" ref="V1236" ca="1">z_score_diff(OFFSET(U1236,0,0,$J$5*-1,1),OFFSET(E1236,0,0,$J$5*-1,1))</f>
        <v>1.908381256758851E-4</v>
      </c>
      <c r="W1236" s="9">
        <f t="shared" ca="1" si="191"/>
        <v>-4.2295334831124978E-2</v>
      </c>
      <c r="X1236" s="17">
        <f t="shared" ca="1" si="190"/>
        <v>-0.1402765851290429</v>
      </c>
      <c r="Y1236" s="13">
        <f t="shared" si="196"/>
        <v>0</v>
      </c>
      <c r="Z1236" s="13">
        <f t="shared" si="196"/>
        <v>0</v>
      </c>
      <c r="AA1236">
        <f t="shared" ca="1" si="192"/>
        <v>1</v>
      </c>
      <c r="AB1236">
        <f t="shared" ca="1" si="193"/>
        <v>0</v>
      </c>
      <c r="AC1236" s="24">
        <f t="shared" ca="1" si="194"/>
        <v>-0.1402765851290429</v>
      </c>
      <c r="AD1236" s="24">
        <f t="shared" ca="1" si="195"/>
        <v>0</v>
      </c>
    </row>
    <row r="1237" spans="3:30" x14ac:dyDescent="0.25">
      <c r="C1237" s="6">
        <v>1230</v>
      </c>
      <c r="D1237" s="35">
        <v>43755</v>
      </c>
      <c r="E1237" s="37">
        <v>17.204000000000001</v>
      </c>
      <c r="F1237" s="37">
        <v>51.370319252679096</v>
      </c>
      <c r="G1237" s="37">
        <v>49.57</v>
      </c>
      <c r="H1237" s="37">
        <v>2.015201493504994</v>
      </c>
      <c r="I1237" s="37">
        <v>60.615910943902975</v>
      </c>
      <c r="J1237" s="10">
        <v>0</v>
      </c>
      <c r="K1237" s="38">
        <v>0</v>
      </c>
      <c r="L1237" s="38">
        <v>0</v>
      </c>
      <c r="M1237" s="38">
        <v>0</v>
      </c>
      <c r="N1237" s="38">
        <v>0</v>
      </c>
      <c r="O1237" s="38">
        <v>0</v>
      </c>
      <c r="P1237" s="38">
        <v>0</v>
      </c>
      <c r="Q1237" s="38">
        <v>0</v>
      </c>
      <c r="R1237" s="38">
        <v>0</v>
      </c>
      <c r="S1237" s="38">
        <v>1</v>
      </c>
      <c r="T1237" s="38">
        <v>0</v>
      </c>
      <c r="U1237" s="29" cm="1">
        <f t="array" aca="1" ref="U1237" ca="1">+fair_value_gap(OFFSET(T1236,0,0,-1*$J$5,-1*$AA$1),OFFSET(E1236,0,0,-1*$J$5,1),F1237:T1237,0)</f>
        <v>17.690667219908313</v>
      </c>
      <c r="V1237" s="9" cm="1">
        <f t="array" aca="1" ref="V1237" ca="1">z_score_diff(OFFSET(U1237,0,0,$J$5*-1,1),OFFSET(E1237,0,0,$J$5*-1,1))</f>
        <v>-0.17117051698609798</v>
      </c>
      <c r="W1237" s="9">
        <f t="shared" ca="1" si="191"/>
        <v>-3.6130897327518043E-2</v>
      </c>
      <c r="X1237" s="17">
        <f t="shared" ca="1" si="190"/>
        <v>-0.11885894555822019</v>
      </c>
      <c r="Y1237" s="13">
        <f t="shared" si="196"/>
        <v>0</v>
      </c>
      <c r="Z1237" s="13">
        <f t="shared" si="196"/>
        <v>0</v>
      </c>
      <c r="AA1237">
        <f t="shared" ca="1" si="192"/>
        <v>1</v>
      </c>
      <c r="AB1237">
        <f t="shared" ca="1" si="193"/>
        <v>0</v>
      </c>
      <c r="AC1237" s="24">
        <f t="shared" ca="1" si="194"/>
        <v>-0.11885894555822019</v>
      </c>
      <c r="AD1237" s="24">
        <f t="shared" ca="1" si="195"/>
        <v>0</v>
      </c>
    </row>
    <row r="1238" spans="3:30" x14ac:dyDescent="0.25">
      <c r="C1238" s="6">
        <v>1231</v>
      </c>
      <c r="D1238" s="35">
        <v>43756</v>
      </c>
      <c r="E1238" s="37">
        <v>17.053000000000001</v>
      </c>
      <c r="F1238" s="37">
        <v>50.886173150997116</v>
      </c>
      <c r="G1238" s="37">
        <v>49.59</v>
      </c>
      <c r="H1238" s="37">
        <v>2.0117377911225214</v>
      </c>
      <c r="I1238" s="37">
        <v>61.528743787410448</v>
      </c>
      <c r="J1238" s="10">
        <v>0</v>
      </c>
      <c r="K1238" s="38">
        <v>0</v>
      </c>
      <c r="L1238" s="38">
        <v>0</v>
      </c>
      <c r="M1238" s="38">
        <v>0</v>
      </c>
      <c r="N1238" s="38">
        <v>0</v>
      </c>
      <c r="O1238" s="38">
        <v>0</v>
      </c>
      <c r="P1238" s="38">
        <v>0</v>
      </c>
      <c r="Q1238" s="38">
        <v>0</v>
      </c>
      <c r="R1238" s="38">
        <v>0</v>
      </c>
      <c r="S1238" s="38">
        <v>1</v>
      </c>
      <c r="T1238" s="38">
        <v>0</v>
      </c>
      <c r="U1238" s="29" cm="1">
        <f t="array" aca="1" ref="U1238" ca="1">+fair_value_gap(OFFSET(T1237,0,0,-1*$J$5,-1*$AA$1),OFFSET(E1237,0,0,-1*$J$5,1),F1238:T1238,0)</f>
        <v>17.710477994958282</v>
      </c>
      <c r="V1238" s="9" cm="1">
        <f t="array" aca="1" ref="V1238" ca="1">z_score_diff(OFFSET(U1238,0,0,$J$5*-1,1),OFFSET(E1238,0,0,$J$5*-1,1))</f>
        <v>-7.1033067866968835E-2</v>
      </c>
      <c r="W1238" s="9">
        <f t="shared" ca="1" si="191"/>
        <v>-1.501510975173136E-2</v>
      </c>
      <c r="X1238" s="17">
        <f t="shared" ca="1" si="190"/>
        <v>-0.10215345608299554</v>
      </c>
      <c r="Y1238" s="13">
        <f t="shared" si="196"/>
        <v>0</v>
      </c>
      <c r="Z1238" s="13">
        <f t="shared" si="196"/>
        <v>0</v>
      </c>
      <c r="AA1238">
        <f t="shared" ca="1" si="192"/>
        <v>1</v>
      </c>
      <c r="AB1238">
        <f t="shared" ca="1" si="193"/>
        <v>0</v>
      </c>
      <c r="AC1238" s="24">
        <f t="shared" ca="1" si="194"/>
        <v>-0.10215345608299554</v>
      </c>
      <c r="AD1238" s="24">
        <f t="shared" ca="1" si="195"/>
        <v>0</v>
      </c>
    </row>
    <row r="1239" spans="3:30" x14ac:dyDescent="0.25">
      <c r="C1239" s="6">
        <v>1232</v>
      </c>
      <c r="D1239" s="35">
        <v>43759</v>
      </c>
      <c r="E1239" s="37">
        <v>16.818999999999999</v>
      </c>
      <c r="F1239" s="37">
        <v>50.778740279593237</v>
      </c>
      <c r="G1239" s="37">
        <v>49.75</v>
      </c>
      <c r="H1239" s="37">
        <v>2.0010191195693112</v>
      </c>
      <c r="I1239" s="37">
        <v>61.324412344639654</v>
      </c>
      <c r="J1239" s="10">
        <v>0</v>
      </c>
      <c r="K1239" s="38">
        <v>0</v>
      </c>
      <c r="L1239" s="38">
        <v>0</v>
      </c>
      <c r="M1239" s="38">
        <v>0</v>
      </c>
      <c r="N1239" s="38">
        <v>0</v>
      </c>
      <c r="O1239" s="38">
        <v>0</v>
      </c>
      <c r="P1239" s="38">
        <v>0</v>
      </c>
      <c r="Q1239" s="38">
        <v>0</v>
      </c>
      <c r="R1239" s="38">
        <v>0</v>
      </c>
      <c r="S1239" s="38">
        <v>1</v>
      </c>
      <c r="T1239" s="38">
        <v>0</v>
      </c>
      <c r="U1239" s="29" cm="1">
        <f t="array" aca="1" ref="U1239" ca="1">+fair_value_gap(OFFSET(T1238,0,0,-1*$J$5,-1*$AA$1),OFFSET(E1238,0,0,-1*$J$5,1),F1239:T1239,0)</f>
        <v>17.65946943020386</v>
      </c>
      <c r="V1239" s="9" cm="1">
        <f t="array" aca="1" ref="V1239" ca="1">z_score_diff(OFFSET(U1239,0,0,$J$5*-1,1),OFFSET(E1239,0,0,$J$5*-1,1))</f>
        <v>3.8222368922067984E-2</v>
      </c>
      <c r="W1239" s="9">
        <f t="shared" ca="1" si="191"/>
        <v>6.5966026179719471E-3</v>
      </c>
      <c r="X1239" s="17">
        <f t="shared" ca="1" si="190"/>
        <v>-0.10894091795918044</v>
      </c>
      <c r="Y1239" s="13">
        <f t="shared" si="196"/>
        <v>0</v>
      </c>
      <c r="Z1239" s="13">
        <f t="shared" si="196"/>
        <v>0</v>
      </c>
      <c r="AA1239">
        <f t="shared" ca="1" si="192"/>
        <v>0</v>
      </c>
      <c r="AB1239">
        <f t="shared" ca="1" si="193"/>
        <v>1</v>
      </c>
      <c r="AC1239" s="24">
        <f t="shared" ca="1" si="194"/>
        <v>0</v>
      </c>
      <c r="AD1239" s="24">
        <f t="shared" ca="1" si="195"/>
        <v>-0.10894091795918044</v>
      </c>
    </row>
    <row r="1240" spans="3:30" x14ac:dyDescent="0.25">
      <c r="C1240" s="6">
        <v>1233</v>
      </c>
      <c r="D1240" s="35">
        <v>43760</v>
      </c>
      <c r="E1240" s="37">
        <v>16.699000000000002</v>
      </c>
      <c r="F1240" s="37">
        <v>51.417739164406242</v>
      </c>
      <c r="G1240" s="37">
        <v>48.76</v>
      </c>
      <c r="H1240" s="37">
        <v>1.9995294180321679</v>
      </c>
      <c r="I1240" s="37">
        <v>61.486417494994512</v>
      </c>
      <c r="J1240" s="10">
        <v>0</v>
      </c>
      <c r="K1240" s="38">
        <v>0</v>
      </c>
      <c r="L1240" s="38">
        <v>0</v>
      </c>
      <c r="M1240" s="38">
        <v>0</v>
      </c>
      <c r="N1240" s="38">
        <v>0</v>
      </c>
      <c r="O1240" s="38">
        <v>0</v>
      </c>
      <c r="P1240" s="38">
        <v>0</v>
      </c>
      <c r="Q1240" s="38">
        <v>0</v>
      </c>
      <c r="R1240" s="38">
        <v>0</v>
      </c>
      <c r="S1240" s="38">
        <v>1</v>
      </c>
      <c r="T1240" s="38">
        <v>0</v>
      </c>
      <c r="U1240" s="29" cm="1">
        <f t="array" aca="1" ref="U1240" ca="1">+fair_value_gap(OFFSET(T1239,0,0,-1*$J$5,-1*$AA$1),OFFSET(E1239,0,0,-1*$J$5,1),F1240:T1240,0)</f>
        <v>17.344320683654484</v>
      </c>
      <c r="V1240" s="9" cm="1">
        <f t="array" aca="1" ref="V1240" ca="1">z_score_diff(OFFSET(U1240,0,0,$J$5*-1,1),OFFSET(E1240,0,0,$J$5*-1,1))</f>
        <v>-8.0274627132730147E-2</v>
      </c>
      <c r="W1240" s="9">
        <f t="shared" ca="1" si="191"/>
        <v>2.4705813185273994E-2</v>
      </c>
      <c r="X1240" s="17">
        <f t="shared" ca="1" si="190"/>
        <v>-0.10025682149903924</v>
      </c>
      <c r="Y1240" s="13">
        <f t="shared" si="196"/>
        <v>0</v>
      </c>
      <c r="Z1240" s="13">
        <f t="shared" si="196"/>
        <v>0</v>
      </c>
      <c r="AA1240">
        <f t="shared" ca="1" si="192"/>
        <v>0</v>
      </c>
      <c r="AB1240">
        <f t="shared" ca="1" si="193"/>
        <v>1</v>
      </c>
      <c r="AC1240" s="24">
        <f t="shared" ca="1" si="194"/>
        <v>0</v>
      </c>
      <c r="AD1240" s="24">
        <f t="shared" ca="1" si="195"/>
        <v>-0.10025682149903924</v>
      </c>
    </row>
    <row r="1241" spans="3:30" x14ac:dyDescent="0.25">
      <c r="C1241" s="6">
        <v>1234</v>
      </c>
      <c r="D1241" s="35">
        <v>43761</v>
      </c>
      <c r="E1241" s="37">
        <v>16.466000000000001</v>
      </c>
      <c r="F1241" s="37">
        <v>52.546619808601733</v>
      </c>
      <c r="G1241" s="37">
        <v>48.22</v>
      </c>
      <c r="H1241" s="37">
        <v>1.9818191181615255</v>
      </c>
      <c r="I1241" s="37">
        <v>60.422397397352952</v>
      </c>
      <c r="J1241" s="10">
        <v>0</v>
      </c>
      <c r="K1241" s="38">
        <v>0</v>
      </c>
      <c r="L1241" s="38">
        <v>0</v>
      </c>
      <c r="M1241" s="38">
        <v>0</v>
      </c>
      <c r="N1241" s="38">
        <v>0</v>
      </c>
      <c r="O1241" s="38">
        <v>0</v>
      </c>
      <c r="P1241" s="38">
        <v>0</v>
      </c>
      <c r="Q1241" s="38">
        <v>0</v>
      </c>
      <c r="R1241" s="38">
        <v>0</v>
      </c>
      <c r="S1241" s="38">
        <v>1</v>
      </c>
      <c r="T1241" s="38">
        <v>0</v>
      </c>
      <c r="U1241" s="29" cm="1">
        <f t="array" aca="1" ref="U1241" ca="1">+fair_value_gap(OFFSET(T1240,0,0,-1*$J$5,-1*$AA$1),OFFSET(E1240,0,0,-1*$J$5,1),F1241:T1241,0)</f>
        <v>17.050708310464842</v>
      </c>
      <c r="V1241" s="9" cm="1">
        <f t="array" aca="1" ref="V1241" ca="1">z_score_diff(OFFSET(U1241,0,0,$J$5*-1,1),OFFSET(E1241,0,0,$J$5*-1,1))</f>
        <v>-0.11868552959765566</v>
      </c>
      <c r="W1241" s="9">
        <f t="shared" ca="1" si="191"/>
        <v>4.1517368055135728E-2</v>
      </c>
      <c r="X1241" s="17">
        <f t="shared" ca="1" si="190"/>
        <v>-7.6652574202187698E-2</v>
      </c>
      <c r="Y1241" s="13">
        <f t="shared" ref="Y1241:Z1256" si="197">+Y1240</f>
        <v>0</v>
      </c>
      <c r="Z1241" s="13">
        <f t="shared" si="197"/>
        <v>0</v>
      </c>
      <c r="AA1241">
        <f t="shared" ca="1" si="192"/>
        <v>0</v>
      </c>
      <c r="AB1241">
        <f t="shared" ca="1" si="193"/>
        <v>1</v>
      </c>
      <c r="AC1241" s="24">
        <f t="shared" ca="1" si="194"/>
        <v>0</v>
      </c>
      <c r="AD1241" s="24">
        <f t="shared" ca="1" si="195"/>
        <v>-7.6652574202187698E-2</v>
      </c>
    </row>
    <row r="1242" spans="3:30" x14ac:dyDescent="0.25">
      <c r="C1242" s="6">
        <v>1235</v>
      </c>
      <c r="D1242" s="35">
        <v>43762</v>
      </c>
      <c r="E1242" s="37">
        <v>16.567</v>
      </c>
      <c r="F1242" s="37">
        <v>53.016975576419455</v>
      </c>
      <c r="G1242" s="37">
        <v>48.35</v>
      </c>
      <c r="H1242" s="37">
        <v>2.0048211811626895</v>
      </c>
      <c r="I1242" s="37">
        <v>60.553964215766101</v>
      </c>
      <c r="J1242" s="10">
        <v>0</v>
      </c>
      <c r="K1242" s="38">
        <v>0</v>
      </c>
      <c r="L1242" s="38">
        <v>0</v>
      </c>
      <c r="M1242" s="38">
        <v>0</v>
      </c>
      <c r="N1242" s="38">
        <v>0</v>
      </c>
      <c r="O1242" s="38">
        <v>0</v>
      </c>
      <c r="P1242" s="38">
        <v>0</v>
      </c>
      <c r="Q1242" s="38">
        <v>0</v>
      </c>
      <c r="R1242" s="38">
        <v>0</v>
      </c>
      <c r="S1242" s="38">
        <v>1</v>
      </c>
      <c r="T1242" s="38">
        <v>0</v>
      </c>
      <c r="U1242" s="29" cm="1">
        <f t="array" aca="1" ref="U1242" ca="1">+fair_value_gap(OFFSET(T1241,0,0,-1*$J$5,-1*$AA$1),OFFSET(E1241,0,0,-1*$J$5,1),F1242:T1242,0)</f>
        <v>16.971712807497838</v>
      </c>
      <c r="V1242" s="9" cm="1">
        <f t="array" aca="1" ref="V1242" ca="1">z_score_diff(OFFSET(U1242,0,0,$J$5*-1,1),OFFSET(E1242,0,0,$J$5*-1,1))</f>
        <v>-0.22877687482171694</v>
      </c>
      <c r="W1242" s="9">
        <f t="shared" ca="1" si="191"/>
        <v>5.3221377109928525E-2</v>
      </c>
      <c r="X1242" s="17">
        <f t="shared" ca="1" si="190"/>
        <v>-7.6753420993331725E-2</v>
      </c>
      <c r="Y1242" s="13">
        <f t="shared" si="197"/>
        <v>0</v>
      </c>
      <c r="Z1242" s="13">
        <f t="shared" si="197"/>
        <v>0</v>
      </c>
      <c r="AA1242">
        <f t="shared" ca="1" si="192"/>
        <v>0</v>
      </c>
      <c r="AB1242">
        <f t="shared" ca="1" si="193"/>
        <v>1</v>
      </c>
      <c r="AC1242" s="24">
        <f t="shared" ca="1" si="194"/>
        <v>0</v>
      </c>
      <c r="AD1242" s="24">
        <f t="shared" ca="1" si="195"/>
        <v>-7.6753420993331725E-2</v>
      </c>
    </row>
    <row r="1243" spans="3:30" x14ac:dyDescent="0.25">
      <c r="C1243" s="6">
        <v>1236</v>
      </c>
      <c r="D1243" s="35">
        <v>43763</v>
      </c>
      <c r="E1243" s="37">
        <v>16.241</v>
      </c>
      <c r="F1243" s="37">
        <v>53.481086316172473</v>
      </c>
      <c r="G1243" s="37">
        <v>48.1</v>
      </c>
      <c r="H1243" s="37">
        <v>1.9922752514645541</v>
      </c>
      <c r="I1243" s="37">
        <v>59.572062129736885</v>
      </c>
      <c r="J1243" s="10">
        <v>0</v>
      </c>
      <c r="K1243" s="38">
        <v>0</v>
      </c>
      <c r="L1243" s="38">
        <v>0</v>
      </c>
      <c r="M1243" s="38">
        <v>0</v>
      </c>
      <c r="N1243" s="38">
        <v>0</v>
      </c>
      <c r="O1243" s="38">
        <v>0</v>
      </c>
      <c r="P1243" s="38">
        <v>0</v>
      </c>
      <c r="Q1243" s="38">
        <v>0</v>
      </c>
      <c r="R1243" s="38">
        <v>0</v>
      </c>
      <c r="S1243" s="38">
        <v>1</v>
      </c>
      <c r="T1243" s="38">
        <v>0</v>
      </c>
      <c r="U1243" s="29" cm="1">
        <f t="array" aca="1" ref="U1243" ca="1">+fair_value_gap(OFFSET(T1242,0,0,-1*$J$5,-1*$AA$1),OFFSET(E1242,0,0,-1*$J$5,1),F1243:T1243,0)</f>
        <v>16.854576897065911</v>
      </c>
      <c r="V1243" s="9" cm="1">
        <f t="array" aca="1" ref="V1243" ca="1">z_score_diff(OFFSET(U1243,0,0,$J$5*-1,1),OFFSET(E1243,0,0,$J$5*-1,1))</f>
        <v>-0.10679883075590424</v>
      </c>
      <c r="W1243" s="9">
        <f t="shared" ca="1" si="191"/>
        <v>8.0308214615157844E-2</v>
      </c>
      <c r="X1243" s="17">
        <f t="shared" ca="1" si="190"/>
        <v>-3.7004096484100399E-2</v>
      </c>
      <c r="Y1243" s="13">
        <f t="shared" si="197"/>
        <v>0</v>
      </c>
      <c r="Z1243" s="13">
        <f t="shared" si="197"/>
        <v>0</v>
      </c>
      <c r="AA1243">
        <f t="shared" ca="1" si="192"/>
        <v>0</v>
      </c>
      <c r="AB1243">
        <f t="shared" ca="1" si="193"/>
        <v>1</v>
      </c>
      <c r="AC1243" s="24">
        <f t="shared" ca="1" si="194"/>
        <v>0</v>
      </c>
      <c r="AD1243" s="24">
        <f t="shared" ca="1" si="195"/>
        <v>-3.7004096484100399E-2</v>
      </c>
    </row>
    <row r="1244" spans="3:30" x14ac:dyDescent="0.25">
      <c r="C1244" s="6">
        <v>1237</v>
      </c>
      <c r="D1244" s="35">
        <v>43766</v>
      </c>
      <c r="E1244" s="37">
        <v>16.004999999999999</v>
      </c>
      <c r="F1244" s="37">
        <v>52.982962132136947</v>
      </c>
      <c r="G1244" s="37">
        <v>47.59</v>
      </c>
      <c r="H1244" s="37">
        <v>2.0251384215492529</v>
      </c>
      <c r="I1244" s="37">
        <v>59.863981911730669</v>
      </c>
      <c r="J1244" s="10">
        <v>0</v>
      </c>
      <c r="K1244" s="38">
        <v>0</v>
      </c>
      <c r="L1244" s="38">
        <v>0</v>
      </c>
      <c r="M1244" s="38">
        <v>0</v>
      </c>
      <c r="N1244" s="38">
        <v>0</v>
      </c>
      <c r="O1244" s="38">
        <v>0</v>
      </c>
      <c r="P1244" s="38">
        <v>0</v>
      </c>
      <c r="Q1244" s="38">
        <v>0</v>
      </c>
      <c r="R1244" s="38">
        <v>0</v>
      </c>
      <c r="S1244" s="38">
        <v>1</v>
      </c>
      <c r="T1244" s="38">
        <v>0</v>
      </c>
      <c r="U1244" s="29" cm="1">
        <f t="array" aca="1" ref="U1244" ca="1">+fair_value_gap(OFFSET(T1243,0,0,-1*$J$5,-1*$AA$1),OFFSET(E1243,0,0,-1*$J$5,1),F1244:T1244,0)</f>
        <v>16.66406880839428</v>
      </c>
      <c r="V1244" s="9" cm="1">
        <f t="array" aca="1" ref="V1244" ca="1">z_score_diff(OFFSET(U1244,0,0,$J$5*-1,1),OFFSET(E1244,0,0,$J$5*-1,1))</f>
        <v>-8.3106481828718159E-2</v>
      </c>
      <c r="W1244" s="9">
        <f t="shared" ca="1" si="191"/>
        <v>9.3022856292538161E-2</v>
      </c>
      <c r="X1244" s="17">
        <f t="shared" ca="1" si="190"/>
        <v>-1.80946209778431E-2</v>
      </c>
      <c r="Y1244" s="13">
        <f t="shared" si="197"/>
        <v>0</v>
      </c>
      <c r="Z1244" s="13">
        <f t="shared" si="197"/>
        <v>0</v>
      </c>
      <c r="AA1244">
        <f t="shared" ca="1" si="192"/>
        <v>0</v>
      </c>
      <c r="AB1244">
        <f t="shared" ca="1" si="193"/>
        <v>1</v>
      </c>
      <c r="AC1244" s="24">
        <f t="shared" ca="1" si="194"/>
        <v>0</v>
      </c>
      <c r="AD1244" s="24">
        <f t="shared" ca="1" si="195"/>
        <v>-1.80946209778431E-2</v>
      </c>
    </row>
    <row r="1245" spans="3:30" x14ac:dyDescent="0.25">
      <c r="C1245" s="6">
        <v>1238</v>
      </c>
      <c r="D1245" s="35">
        <v>43767</v>
      </c>
      <c r="E1245" s="37">
        <v>15.911</v>
      </c>
      <c r="F1245" s="37">
        <v>52.852609330832962</v>
      </c>
      <c r="G1245" s="37">
        <v>47.75</v>
      </c>
      <c r="H1245" s="37">
        <v>2.0566636167936854</v>
      </c>
      <c r="I1245" s="37">
        <v>59.574778350703376</v>
      </c>
      <c r="J1245" s="10">
        <v>0</v>
      </c>
      <c r="K1245" s="38">
        <v>0</v>
      </c>
      <c r="L1245" s="38">
        <v>0</v>
      </c>
      <c r="M1245" s="38">
        <v>0</v>
      </c>
      <c r="N1245" s="38">
        <v>0</v>
      </c>
      <c r="O1245" s="38">
        <v>0</v>
      </c>
      <c r="P1245" s="38">
        <v>0</v>
      </c>
      <c r="Q1245" s="38">
        <v>0</v>
      </c>
      <c r="R1245" s="38">
        <v>0</v>
      </c>
      <c r="S1245" s="38">
        <v>1</v>
      </c>
      <c r="T1245" s="38">
        <v>0</v>
      </c>
      <c r="U1245" s="29" cm="1">
        <f t="array" aca="1" ref="U1245" ca="1">+fair_value_gap(OFFSET(T1244,0,0,-1*$J$5,-1*$AA$1),OFFSET(E1244,0,0,-1*$J$5,1),F1245:T1245,0)</f>
        <v>16.676189619025934</v>
      </c>
      <c r="V1245" s="9" cm="1">
        <f t="array" aca="1" ref="V1245" ca="1">z_score_diff(OFFSET(U1245,0,0,$J$5*-1,1),OFFSET(E1245,0,0,$J$5*-1,1))</f>
        <v>-1.9489194471406845E-2</v>
      </c>
      <c r="W1245" s="9">
        <f t="shared" ca="1" si="191"/>
        <v>5.6148921783192821E-2</v>
      </c>
      <c r="X1245" s="17">
        <f t="shared" ca="1" si="190"/>
        <v>-3.3812699290857409E-2</v>
      </c>
      <c r="Y1245" s="13">
        <f t="shared" si="197"/>
        <v>0</v>
      </c>
      <c r="Z1245" s="13">
        <f t="shared" si="197"/>
        <v>0</v>
      </c>
      <c r="AA1245">
        <f t="shared" ca="1" si="192"/>
        <v>0</v>
      </c>
      <c r="AB1245">
        <f t="shared" ca="1" si="193"/>
        <v>1</v>
      </c>
      <c r="AC1245" s="24">
        <f t="shared" ca="1" si="194"/>
        <v>0</v>
      </c>
      <c r="AD1245" s="24">
        <f t="shared" ca="1" si="195"/>
        <v>-3.3812699290857409E-2</v>
      </c>
    </row>
    <row r="1246" spans="3:30" x14ac:dyDescent="0.25">
      <c r="C1246" s="6">
        <v>1239</v>
      </c>
      <c r="D1246" s="35">
        <v>43768</v>
      </c>
      <c r="E1246" s="37">
        <v>15.763999999999999</v>
      </c>
      <c r="F1246" s="37">
        <v>51.680021845869589</v>
      </c>
      <c r="G1246" s="37">
        <v>47.55</v>
      </c>
      <c r="H1246" s="37">
        <v>2.0631225053240443</v>
      </c>
      <c r="I1246" s="37">
        <v>59.49098414578571</v>
      </c>
      <c r="J1246" s="10">
        <v>0</v>
      </c>
      <c r="K1246" s="38">
        <v>0</v>
      </c>
      <c r="L1246" s="38">
        <v>0</v>
      </c>
      <c r="M1246" s="38">
        <v>0</v>
      </c>
      <c r="N1246" s="38">
        <v>0</v>
      </c>
      <c r="O1246" s="38">
        <v>0</v>
      </c>
      <c r="P1246" s="38">
        <v>0</v>
      </c>
      <c r="Q1246" s="38">
        <v>0</v>
      </c>
      <c r="R1246" s="38">
        <v>0</v>
      </c>
      <c r="S1246" s="38">
        <v>1</v>
      </c>
      <c r="T1246" s="38">
        <v>0</v>
      </c>
      <c r="U1246" s="29" cm="1">
        <f t="array" aca="1" ref="U1246" ca="1">+fair_value_gap(OFFSET(T1245,0,0,-1*$J$5,-1*$AA$1),OFFSET(E1245,0,0,-1*$J$5,1),F1246:T1246,0)</f>
        <v>16.545713417545517</v>
      </c>
      <c r="V1246" s="9" cm="1">
        <f t="array" aca="1" ref="V1246" ca="1">z_score_diff(OFFSET(U1246,0,0,$J$5*-1,1),OFFSET(E1246,0,0,$J$5*-1,1))</f>
        <v>-1.2480629117721076E-2</v>
      </c>
      <c r="W1246" s="9">
        <f t="shared" ca="1" si="191"/>
        <v>2.2763576081275837E-2</v>
      </c>
      <c r="X1246" s="17">
        <f t="shared" ca="1" si="190"/>
        <v>-1.4247166399282269E-2</v>
      </c>
      <c r="Y1246" s="13">
        <f t="shared" si="197"/>
        <v>0</v>
      </c>
      <c r="Z1246" s="13">
        <f t="shared" si="197"/>
        <v>0</v>
      </c>
      <c r="AA1246">
        <f t="shared" ca="1" si="192"/>
        <v>0</v>
      </c>
      <c r="AB1246">
        <f t="shared" ca="1" si="193"/>
        <v>1</v>
      </c>
      <c r="AC1246" s="24">
        <f t="shared" ca="1" si="194"/>
        <v>0</v>
      </c>
      <c r="AD1246" s="24">
        <f t="shared" ca="1" si="195"/>
        <v>-1.4247166399282269E-2</v>
      </c>
    </row>
    <row r="1247" spans="3:30" x14ac:dyDescent="0.25">
      <c r="C1247" s="6">
        <v>1240</v>
      </c>
      <c r="D1247" s="35">
        <v>43769</v>
      </c>
      <c r="E1247" s="37">
        <v>15.497999999999999</v>
      </c>
      <c r="F1247" s="37">
        <v>51.036416849994765</v>
      </c>
      <c r="G1247" s="37">
        <v>46.18</v>
      </c>
      <c r="H1247" s="37">
        <v>2.0581201793276809</v>
      </c>
      <c r="I1247" s="37">
        <v>59.47453231390498</v>
      </c>
      <c r="J1247" s="10">
        <v>0</v>
      </c>
      <c r="K1247" s="38">
        <v>0</v>
      </c>
      <c r="L1247" s="38">
        <v>0</v>
      </c>
      <c r="M1247" s="38">
        <v>0</v>
      </c>
      <c r="N1247" s="38">
        <v>0</v>
      </c>
      <c r="O1247" s="38">
        <v>0</v>
      </c>
      <c r="P1247" s="38">
        <v>0</v>
      </c>
      <c r="Q1247" s="38">
        <v>0</v>
      </c>
      <c r="R1247" s="38">
        <v>0</v>
      </c>
      <c r="S1247" s="38">
        <v>1</v>
      </c>
      <c r="T1247" s="38">
        <v>0</v>
      </c>
      <c r="U1247" s="29" cm="1">
        <f t="array" aca="1" ref="U1247" ca="1">+fair_value_gap(OFFSET(T1246,0,0,-1*$J$5,-1*$AA$1),OFFSET(E1246,0,0,-1*$J$5,1),F1247:T1247,0)</f>
        <v>16.064808546802041</v>
      </c>
      <c r="V1247" s="9" cm="1">
        <f t="array" aca="1" ref="V1247" ca="1">z_score_diff(OFFSET(U1247,0,0,$J$5*-1,1),OFFSET(E1247,0,0,$J$5*-1,1))</f>
        <v>-0.15011309431912956</v>
      </c>
      <c r="W1247" s="9">
        <f t="shared" ca="1" si="191"/>
        <v>-4.7432959355767964E-3</v>
      </c>
      <c r="X1247" s="17">
        <f t="shared" ca="1" si="190"/>
        <v>-1.5541490432159816E-2</v>
      </c>
      <c r="Y1247" s="13">
        <f t="shared" si="197"/>
        <v>0</v>
      </c>
      <c r="Z1247" s="13">
        <f t="shared" si="197"/>
        <v>0</v>
      </c>
      <c r="AA1247">
        <f t="shared" ca="1" si="192"/>
        <v>1</v>
      </c>
      <c r="AB1247">
        <f t="shared" ca="1" si="193"/>
        <v>0</v>
      </c>
      <c r="AC1247" s="24">
        <f t="shared" ca="1" si="194"/>
        <v>-1.5541490432159816E-2</v>
      </c>
      <c r="AD1247" s="24">
        <f t="shared" ca="1" si="195"/>
        <v>0</v>
      </c>
    </row>
    <row r="1248" spans="3:30" x14ac:dyDescent="0.25">
      <c r="C1248" s="6">
        <v>1241</v>
      </c>
      <c r="D1248" s="35">
        <v>43770</v>
      </c>
      <c r="E1248" s="37">
        <v>15.64</v>
      </c>
      <c r="F1248" s="37">
        <v>52.490139289179062</v>
      </c>
      <c r="G1248" s="37">
        <v>46.91</v>
      </c>
      <c r="H1248" s="37">
        <v>2.0757061826833878</v>
      </c>
      <c r="I1248" s="37">
        <v>60.014020974811807</v>
      </c>
      <c r="J1248" s="10">
        <v>0</v>
      </c>
      <c r="K1248" s="38">
        <v>0</v>
      </c>
      <c r="L1248" s="38">
        <v>0</v>
      </c>
      <c r="M1248" s="38">
        <v>0</v>
      </c>
      <c r="N1248" s="38">
        <v>0</v>
      </c>
      <c r="O1248" s="38">
        <v>0</v>
      </c>
      <c r="P1248" s="38">
        <v>0</v>
      </c>
      <c r="Q1248" s="38">
        <v>0</v>
      </c>
      <c r="R1248" s="38">
        <v>0</v>
      </c>
      <c r="S1248" s="38">
        <v>0</v>
      </c>
      <c r="T1248" s="38">
        <v>1</v>
      </c>
      <c r="U1248" s="29" cm="1">
        <f t="array" aca="1" ref="U1248" ca="1">+fair_value_gap(OFFSET(T1247,0,0,-1*$J$5,-1*$AA$1),OFFSET(E1247,0,0,-1*$J$5,1),F1248:T1248,0)</f>
        <v>18.660348936675604</v>
      </c>
      <c r="V1248" s="9" cm="1">
        <f t="array" aca="1" ref="V1248" ca="1">z_score_diff(OFFSET(U1248,0,0,$J$5*-1,1),OFFSET(E1248,0,0,$J$5*-1,1))</f>
        <v>1.3486145011656339</v>
      </c>
      <c r="W1248" s="9">
        <f t="shared" ca="1" si="191"/>
        <v>4.4368914593233347E-2</v>
      </c>
      <c r="X1248" s="17">
        <f t="shared" ca="1" si="190"/>
        <v>-4.8873287828711268E-2</v>
      </c>
      <c r="Y1248" s="13">
        <f t="shared" si="197"/>
        <v>0</v>
      </c>
      <c r="Z1248" s="13">
        <f t="shared" si="197"/>
        <v>0</v>
      </c>
      <c r="AA1248">
        <f t="shared" ca="1" si="192"/>
        <v>0</v>
      </c>
      <c r="AB1248">
        <f t="shared" ca="1" si="193"/>
        <v>1</v>
      </c>
      <c r="AC1248" s="24">
        <f t="shared" ca="1" si="194"/>
        <v>0</v>
      </c>
      <c r="AD1248" s="24">
        <f t="shared" ca="1" si="195"/>
        <v>-4.8873287828711268E-2</v>
      </c>
    </row>
    <row r="1249" spans="3:30" x14ac:dyDescent="0.25">
      <c r="C1249" s="6">
        <v>1242</v>
      </c>
      <c r="D1249" s="35">
        <v>43773</v>
      </c>
      <c r="E1249" s="37">
        <v>15.884</v>
      </c>
      <c r="F1249" s="37">
        <v>52.915316839009343</v>
      </c>
      <c r="G1249" s="37">
        <v>44.41</v>
      </c>
      <c r="H1249" s="37">
        <v>2.1212317712196458</v>
      </c>
      <c r="I1249" s="37">
        <v>60.225927172819091</v>
      </c>
      <c r="J1249" s="10">
        <v>0</v>
      </c>
      <c r="K1249" s="38">
        <v>0</v>
      </c>
      <c r="L1249" s="38">
        <v>0</v>
      </c>
      <c r="M1249" s="38">
        <v>0</v>
      </c>
      <c r="N1249" s="38">
        <v>0</v>
      </c>
      <c r="O1249" s="38">
        <v>0</v>
      </c>
      <c r="P1249" s="38">
        <v>0</v>
      </c>
      <c r="Q1249" s="38">
        <v>0</v>
      </c>
      <c r="R1249" s="38">
        <v>0</v>
      </c>
      <c r="S1249" s="38">
        <v>0</v>
      </c>
      <c r="T1249" s="38">
        <v>1</v>
      </c>
      <c r="U1249" s="29" cm="1">
        <f t="array" aca="1" ref="U1249" ca="1">+fair_value_gap(OFFSET(T1248,0,0,-1*$J$5,-1*$AA$1),OFFSET(E1248,0,0,-1*$J$5,1),F1249:T1249,0)</f>
        <v>17.485349738934655</v>
      </c>
      <c r="V1249" s="9" cm="1">
        <f t="array" aca="1" ref="V1249" ca="1">z_score_diff(OFFSET(U1249,0,0,$J$5*-1,1),OFFSET(E1249,0,0,$J$5*-1,1))</f>
        <v>0.47666192815241826</v>
      </c>
      <c r="W1249" s="9">
        <f t="shared" ca="1" si="191"/>
        <v>5.2630974224901664E-2</v>
      </c>
      <c r="X1249" s="17">
        <f t="shared" ca="1" si="190"/>
        <v>-9.1025742319604072E-2</v>
      </c>
      <c r="Y1249" s="13">
        <f t="shared" si="197"/>
        <v>0</v>
      </c>
      <c r="Z1249" s="13">
        <f t="shared" si="197"/>
        <v>0</v>
      </c>
      <c r="AA1249">
        <f t="shared" ca="1" si="192"/>
        <v>0</v>
      </c>
      <c r="AB1249">
        <f t="shared" ca="1" si="193"/>
        <v>1</v>
      </c>
      <c r="AC1249" s="24">
        <f t="shared" ca="1" si="194"/>
        <v>0</v>
      </c>
      <c r="AD1249" s="24">
        <f t="shared" ca="1" si="195"/>
        <v>-9.1025742319604072E-2</v>
      </c>
    </row>
    <row r="1250" spans="3:30" x14ac:dyDescent="0.25">
      <c r="C1250" s="6">
        <v>1243</v>
      </c>
      <c r="D1250" s="35">
        <v>43774</v>
      </c>
      <c r="E1250" s="37">
        <v>16.059000000000001</v>
      </c>
      <c r="F1250" s="37">
        <v>53.755472862458845</v>
      </c>
      <c r="G1250" s="37">
        <v>44.76</v>
      </c>
      <c r="H1250" s="37">
        <v>2.1364697983701046</v>
      </c>
      <c r="I1250" s="37">
        <v>61.737102614831912</v>
      </c>
      <c r="J1250" s="10">
        <v>0</v>
      </c>
      <c r="K1250" s="38">
        <v>0</v>
      </c>
      <c r="L1250" s="38">
        <v>0</v>
      </c>
      <c r="M1250" s="38">
        <v>0</v>
      </c>
      <c r="N1250" s="38">
        <v>0</v>
      </c>
      <c r="O1250" s="38">
        <v>0</v>
      </c>
      <c r="P1250" s="38">
        <v>0</v>
      </c>
      <c r="Q1250" s="38">
        <v>0</v>
      </c>
      <c r="R1250" s="38">
        <v>0</v>
      </c>
      <c r="S1250" s="38">
        <v>0</v>
      </c>
      <c r="T1250" s="38">
        <v>1</v>
      </c>
      <c r="U1250" s="29" cm="1">
        <f t="array" aca="1" ref="U1250" ca="1">+fair_value_gap(OFFSET(T1249,0,0,-1*$J$5,-1*$AA$1),OFFSET(E1249,0,0,-1*$J$5,1),F1250:T1250,0)</f>
        <v>17.452433829995243</v>
      </c>
      <c r="V1250" s="9" cm="1">
        <f t="array" aca="1" ref="V1250" ca="1">z_score_diff(OFFSET(U1250,0,0,$J$5*-1,1),OFFSET(E1250,0,0,$J$5*-1,1))</f>
        <v>0.35255621423268413</v>
      </c>
      <c r="W1250" s="9">
        <f t="shared" ca="1" si="191"/>
        <v>5.7206348194819935E-2</v>
      </c>
      <c r="X1250" s="17">
        <f t="shared" ca="1" si="190"/>
        <v>-0.10841642872855697</v>
      </c>
      <c r="Y1250" s="13">
        <f t="shared" si="197"/>
        <v>0</v>
      </c>
      <c r="Z1250" s="13">
        <f t="shared" si="197"/>
        <v>0</v>
      </c>
      <c r="AA1250">
        <f t="shared" ca="1" si="192"/>
        <v>0</v>
      </c>
      <c r="AB1250">
        <f t="shared" ca="1" si="193"/>
        <v>1</v>
      </c>
      <c r="AC1250" s="24">
        <f t="shared" ca="1" si="194"/>
        <v>0</v>
      </c>
      <c r="AD1250" s="24">
        <f t="shared" ca="1" si="195"/>
        <v>-0.10841642872855697</v>
      </c>
    </row>
    <row r="1251" spans="3:30" x14ac:dyDescent="0.25">
      <c r="C1251" s="6">
        <v>1244</v>
      </c>
      <c r="D1251" s="35">
        <v>43775</v>
      </c>
      <c r="E1251" s="37">
        <v>15.669</v>
      </c>
      <c r="F1251" s="37">
        <v>52.606143547149451</v>
      </c>
      <c r="G1251" s="37">
        <v>44.38</v>
      </c>
      <c r="H1251" s="37">
        <v>2.1180024851467372</v>
      </c>
      <c r="I1251" s="37">
        <v>61.726685670029326</v>
      </c>
      <c r="J1251" s="10">
        <v>0</v>
      </c>
      <c r="K1251" s="38">
        <v>0</v>
      </c>
      <c r="L1251" s="38">
        <v>0</v>
      </c>
      <c r="M1251" s="38">
        <v>0</v>
      </c>
      <c r="N1251" s="38">
        <v>0</v>
      </c>
      <c r="O1251" s="38">
        <v>0</v>
      </c>
      <c r="P1251" s="38">
        <v>0</v>
      </c>
      <c r="Q1251" s="38">
        <v>0</v>
      </c>
      <c r="R1251" s="38">
        <v>0</v>
      </c>
      <c r="S1251" s="38">
        <v>0</v>
      </c>
      <c r="T1251" s="38">
        <v>1</v>
      </c>
      <c r="U1251" s="29" cm="1">
        <f t="array" aca="1" ref="U1251" ca="1">+fair_value_gap(OFFSET(T1250,0,0,-1*$J$5,-1*$AA$1),OFFSET(E1250,0,0,-1*$J$5,1),F1251:T1251,0)</f>
        <v>17.173708636099487</v>
      </c>
      <c r="V1251" s="9" cm="1">
        <f t="array" aca="1" ref="V1251" ca="1">z_score_diff(OFFSET(U1251,0,0,$J$5*-1,1),OFFSET(E1251,0,0,$J$5*-1,1))</f>
        <v>0.40891882920142675</v>
      </c>
      <c r="W1251" s="9">
        <f t="shared" ca="1" si="191"/>
        <v>6.8625488072586643E-2</v>
      </c>
      <c r="X1251" s="17">
        <f t="shared" ca="1" si="190"/>
        <v>-8.2929419627703616E-2</v>
      </c>
      <c r="Y1251" s="13">
        <f t="shared" si="197"/>
        <v>0</v>
      </c>
      <c r="Z1251" s="13">
        <f t="shared" si="197"/>
        <v>0</v>
      </c>
      <c r="AA1251">
        <f t="shared" ca="1" si="192"/>
        <v>0</v>
      </c>
      <c r="AB1251">
        <f t="shared" ca="1" si="193"/>
        <v>1</v>
      </c>
      <c r="AC1251" s="24">
        <f t="shared" ca="1" si="194"/>
        <v>0</v>
      </c>
      <c r="AD1251" s="24">
        <f t="shared" ca="1" si="195"/>
        <v>-8.2929419627703616E-2</v>
      </c>
    </row>
    <row r="1252" spans="3:30" x14ac:dyDescent="0.25">
      <c r="C1252" s="6">
        <v>1245</v>
      </c>
      <c r="D1252" s="35">
        <v>43776</v>
      </c>
      <c r="E1252" s="37">
        <v>15.505000000000001</v>
      </c>
      <c r="F1252" s="37">
        <v>53.157138691563368</v>
      </c>
      <c r="G1252" s="37">
        <v>43.95</v>
      </c>
      <c r="H1252" s="37">
        <v>2.1234233089983419</v>
      </c>
      <c r="I1252" s="37">
        <v>61.761743675794222</v>
      </c>
      <c r="J1252" s="10">
        <v>0</v>
      </c>
      <c r="K1252" s="38">
        <v>0</v>
      </c>
      <c r="L1252" s="38">
        <v>0</v>
      </c>
      <c r="M1252" s="38">
        <v>0</v>
      </c>
      <c r="N1252" s="38">
        <v>0</v>
      </c>
      <c r="O1252" s="38">
        <v>0</v>
      </c>
      <c r="P1252" s="38">
        <v>0</v>
      </c>
      <c r="Q1252" s="38">
        <v>0</v>
      </c>
      <c r="R1252" s="38">
        <v>0</v>
      </c>
      <c r="S1252" s="38">
        <v>0</v>
      </c>
      <c r="T1252" s="38">
        <v>1</v>
      </c>
      <c r="U1252" s="29" cm="1">
        <f t="array" aca="1" ref="U1252" ca="1">+fair_value_gap(OFFSET(T1251,0,0,-1*$J$5,-1*$AA$1),OFFSET(E1251,0,0,-1*$J$5,1),F1252:T1252,0)</f>
        <v>16.850662295773326</v>
      </c>
      <c r="V1252" s="9" cm="1">
        <f t="array" aca="1" ref="V1252" ca="1">z_score_diff(OFFSET(U1252,0,0,$J$5*-1,1),OFFSET(E1252,0,0,$J$5*-1,1))</f>
        <v>0.30450534260900053</v>
      </c>
      <c r="W1252" s="9">
        <f t="shared" ca="1" si="191"/>
        <v>8.5857451130582602E-2</v>
      </c>
      <c r="X1252" s="17">
        <f t="shared" ca="1" si="190"/>
        <v>-9.6265166455470758E-2</v>
      </c>
      <c r="Y1252" s="13">
        <f t="shared" si="197"/>
        <v>0</v>
      </c>
      <c r="Z1252" s="13">
        <f t="shared" si="197"/>
        <v>0</v>
      </c>
      <c r="AA1252">
        <f t="shared" ca="1" si="192"/>
        <v>0</v>
      </c>
      <c r="AB1252">
        <f t="shared" ca="1" si="193"/>
        <v>1</v>
      </c>
      <c r="AC1252" s="24">
        <f t="shared" ca="1" si="194"/>
        <v>0</v>
      </c>
      <c r="AD1252" s="24">
        <f t="shared" ca="1" si="195"/>
        <v>-9.6265166455470758E-2</v>
      </c>
    </row>
    <row r="1253" spans="3:30" x14ac:dyDescent="0.25">
      <c r="C1253" s="6">
        <v>1246</v>
      </c>
      <c r="D1253" s="35">
        <v>43777</v>
      </c>
      <c r="E1253" s="37">
        <v>15.329000000000001</v>
      </c>
      <c r="F1253" s="37">
        <v>53.548784009441654</v>
      </c>
      <c r="G1253" s="37">
        <v>43.21</v>
      </c>
      <c r="H1253" s="37">
        <v>2.1487671493321421</v>
      </c>
      <c r="I1253" s="37">
        <v>61.431782023894712</v>
      </c>
      <c r="J1253" s="10">
        <v>0</v>
      </c>
      <c r="K1253" s="38">
        <v>0</v>
      </c>
      <c r="L1253" s="38">
        <v>0</v>
      </c>
      <c r="M1253" s="38">
        <v>0</v>
      </c>
      <c r="N1253" s="38">
        <v>0</v>
      </c>
      <c r="O1253" s="38">
        <v>0</v>
      </c>
      <c r="P1253" s="38">
        <v>0</v>
      </c>
      <c r="Q1253" s="38">
        <v>0</v>
      </c>
      <c r="R1253" s="38">
        <v>0</v>
      </c>
      <c r="S1253" s="38">
        <v>0</v>
      </c>
      <c r="T1253" s="38">
        <v>1</v>
      </c>
      <c r="U1253" s="29" cm="1">
        <f t="array" aca="1" ref="U1253" ca="1">+fair_value_gap(OFFSET(T1252,0,0,-1*$J$5,-1*$AA$1),OFFSET(E1252,0,0,-1*$J$5,1),F1253:T1253,0)</f>
        <v>16.411737962695646</v>
      </c>
      <c r="V1253" s="9" cm="1">
        <f t="array" aca="1" ref="V1253" ca="1">z_score_diff(OFFSET(U1253,0,0,$J$5*-1,1),OFFSET(E1253,0,0,$J$5*-1,1))</f>
        <v>0.13409125882848327</v>
      </c>
      <c r="W1253" s="9">
        <f t="shared" ca="1" si="191"/>
        <v>9.7402324976395685E-2</v>
      </c>
      <c r="X1253" s="17">
        <f t="shared" ca="1" si="190"/>
        <v>-0.10500540587806739</v>
      </c>
      <c r="Y1253" s="13">
        <f t="shared" si="197"/>
        <v>0</v>
      </c>
      <c r="Z1253" s="13">
        <f t="shared" si="197"/>
        <v>0</v>
      </c>
      <c r="AA1253">
        <f t="shared" ca="1" si="192"/>
        <v>0</v>
      </c>
      <c r="AB1253">
        <f t="shared" ca="1" si="193"/>
        <v>1</v>
      </c>
      <c r="AC1253" s="24">
        <f t="shared" ca="1" si="194"/>
        <v>0</v>
      </c>
      <c r="AD1253" s="24">
        <f t="shared" ca="1" si="195"/>
        <v>-0.10500540587806739</v>
      </c>
    </row>
    <row r="1254" spans="3:30" x14ac:dyDescent="0.25">
      <c r="C1254" s="6">
        <v>1247</v>
      </c>
      <c r="D1254" s="35">
        <v>43780</v>
      </c>
      <c r="E1254" s="37">
        <v>15.222</v>
      </c>
      <c r="F1254" s="37">
        <v>53.268031833585113</v>
      </c>
      <c r="G1254" s="37">
        <v>43.27</v>
      </c>
      <c r="H1254" s="37">
        <v>2.1101129515238508</v>
      </c>
      <c r="I1254" s="37">
        <v>61.152954964544719</v>
      </c>
      <c r="J1254" s="10">
        <v>0</v>
      </c>
      <c r="K1254" s="38">
        <v>0</v>
      </c>
      <c r="L1254" s="38">
        <v>0</v>
      </c>
      <c r="M1254" s="38">
        <v>0</v>
      </c>
      <c r="N1254" s="38">
        <v>0</v>
      </c>
      <c r="O1254" s="38">
        <v>0</v>
      </c>
      <c r="P1254" s="38">
        <v>0</v>
      </c>
      <c r="Q1254" s="38">
        <v>0</v>
      </c>
      <c r="R1254" s="38">
        <v>0</v>
      </c>
      <c r="S1254" s="38">
        <v>0</v>
      </c>
      <c r="T1254" s="38">
        <v>1</v>
      </c>
      <c r="U1254" s="29" cm="1">
        <f t="array" aca="1" ref="U1254" ca="1">+fair_value_gap(OFFSET(T1253,0,0,-1*$J$5,-1*$AA$1),OFFSET(E1253,0,0,-1*$J$5,1),F1254:T1254,0)</f>
        <v>16.25924823389488</v>
      </c>
      <c r="V1254" s="9" cm="1">
        <f t="array" aca="1" ref="V1254" ca="1">z_score_diff(OFFSET(U1254,0,0,$J$5*-1,1),OFFSET(E1254,0,0,$J$5*-1,1))</f>
        <v>0.10279008234395448</v>
      </c>
      <c r="W1254" s="9">
        <f t="shared" ca="1" si="191"/>
        <v>0.10358276774544986</v>
      </c>
      <c r="X1254" s="17">
        <f t="shared" ca="1" si="190"/>
        <v>-0.11576497083642594</v>
      </c>
      <c r="Y1254" s="13">
        <f t="shared" si="197"/>
        <v>0</v>
      </c>
      <c r="Z1254" s="13">
        <f t="shared" si="197"/>
        <v>0</v>
      </c>
      <c r="AA1254">
        <f t="shared" ca="1" si="192"/>
        <v>0</v>
      </c>
      <c r="AB1254">
        <f t="shared" ca="1" si="193"/>
        <v>1</v>
      </c>
      <c r="AC1254" s="24">
        <f t="shared" ca="1" si="194"/>
        <v>0</v>
      </c>
      <c r="AD1254" s="24">
        <f t="shared" ca="1" si="195"/>
        <v>-0.11576497083642594</v>
      </c>
    </row>
    <row r="1255" spans="3:30" x14ac:dyDescent="0.25">
      <c r="C1255" s="6">
        <v>1248</v>
      </c>
      <c r="D1255" s="35">
        <v>43781</v>
      </c>
      <c r="E1255" s="37">
        <v>14.973000000000001</v>
      </c>
      <c r="F1255" s="37">
        <v>53.45649422346699</v>
      </c>
      <c r="G1255" s="37">
        <v>42.33</v>
      </c>
      <c r="H1255" s="37">
        <v>2.1158179157802137</v>
      </c>
      <c r="I1255" s="37">
        <v>62.163933248951963</v>
      </c>
      <c r="J1255" s="10">
        <v>0</v>
      </c>
      <c r="K1255" s="38">
        <v>0</v>
      </c>
      <c r="L1255" s="38">
        <v>0</v>
      </c>
      <c r="M1255" s="38">
        <v>0</v>
      </c>
      <c r="N1255" s="38">
        <v>0</v>
      </c>
      <c r="O1255" s="38">
        <v>0</v>
      </c>
      <c r="P1255" s="38">
        <v>0</v>
      </c>
      <c r="Q1255" s="38">
        <v>0</v>
      </c>
      <c r="R1255" s="38">
        <v>0</v>
      </c>
      <c r="S1255" s="38">
        <v>0</v>
      </c>
      <c r="T1255" s="38">
        <v>1</v>
      </c>
      <c r="U1255" s="29" cm="1">
        <f t="array" aca="1" ref="U1255" ca="1">+fair_value_gap(OFFSET(T1254,0,0,-1*$J$5,-1*$AA$1),OFFSET(E1254,0,0,-1*$J$5,1),F1255:T1255,0)</f>
        <v>15.90532682625582</v>
      </c>
      <c r="V1255" s="9" cm="1">
        <f t="array" aca="1" ref="V1255" ca="1">z_score_diff(OFFSET(U1255,0,0,$J$5*-1,1),OFFSET(E1255,0,0,$J$5*-1,1))</f>
        <v>3.3041107973446504E-2</v>
      </c>
      <c r="W1255" s="9">
        <f t="shared" ca="1" si="191"/>
        <v>0.10788318123283711</v>
      </c>
      <c r="X1255" s="17">
        <f t="shared" ca="1" si="190"/>
        <v>-0.10890650003779344</v>
      </c>
      <c r="Y1255" s="13">
        <f t="shared" si="197"/>
        <v>0</v>
      </c>
      <c r="Z1255" s="13">
        <f t="shared" si="197"/>
        <v>0</v>
      </c>
      <c r="AA1255">
        <f t="shared" ca="1" si="192"/>
        <v>0</v>
      </c>
      <c r="AB1255">
        <f t="shared" ca="1" si="193"/>
        <v>1</v>
      </c>
      <c r="AC1255" s="24">
        <f t="shared" ca="1" si="194"/>
        <v>0</v>
      </c>
      <c r="AD1255" s="24">
        <f t="shared" ca="1" si="195"/>
        <v>-0.10890650003779344</v>
      </c>
    </row>
    <row r="1256" spans="3:30" x14ac:dyDescent="0.25">
      <c r="C1256" s="6">
        <v>1249</v>
      </c>
      <c r="D1256" s="35">
        <v>43782</v>
      </c>
      <c r="E1256" s="37">
        <v>15.034000000000001</v>
      </c>
      <c r="F1256" s="37">
        <v>53.730458487337593</v>
      </c>
      <c r="G1256" s="37">
        <v>42.28</v>
      </c>
      <c r="H1256" s="37">
        <v>2.1062842720295332</v>
      </c>
      <c r="I1256" s="37">
        <v>62.020865238225689</v>
      </c>
      <c r="J1256" s="10">
        <v>0</v>
      </c>
      <c r="K1256" s="38">
        <v>0</v>
      </c>
      <c r="L1256" s="38">
        <v>0</v>
      </c>
      <c r="M1256" s="38">
        <v>0</v>
      </c>
      <c r="N1256" s="38">
        <v>0</v>
      </c>
      <c r="O1256" s="38">
        <v>0</v>
      </c>
      <c r="P1256" s="38">
        <v>0</v>
      </c>
      <c r="Q1256" s="38">
        <v>0</v>
      </c>
      <c r="R1256" s="38">
        <v>0</v>
      </c>
      <c r="S1256" s="38">
        <v>0</v>
      </c>
      <c r="T1256" s="38">
        <v>1</v>
      </c>
      <c r="U1256" s="29" cm="1">
        <f t="array" aca="1" ref="U1256" ca="1">+fair_value_gap(OFFSET(T1255,0,0,-1*$J$5,-1*$AA$1),OFFSET(E1255,0,0,-1*$J$5,1),F1256:T1256,0)</f>
        <v>15.725494293385179</v>
      </c>
      <c r="V1256" s="9" cm="1">
        <f t="array" aca="1" ref="V1256" ca="1">z_score_diff(OFFSET(U1256,0,0,$J$5*-1,1),OFFSET(E1256,0,0,$J$5*-1,1))</f>
        <v>-0.11000265694087963</v>
      </c>
      <c r="W1256" s="9">
        <f t="shared" ca="1" si="191"/>
        <v>0.10237350647950934</v>
      </c>
      <c r="X1256" s="17">
        <f t="shared" ca="1" si="190"/>
        <v>-0.13808382479560186</v>
      </c>
      <c r="Y1256" s="13">
        <f t="shared" si="197"/>
        <v>0</v>
      </c>
      <c r="Z1256" s="13">
        <f t="shared" si="197"/>
        <v>0</v>
      </c>
      <c r="AA1256">
        <f t="shared" ca="1" si="192"/>
        <v>0</v>
      </c>
      <c r="AB1256">
        <f t="shared" ca="1" si="193"/>
        <v>1</v>
      </c>
      <c r="AC1256" s="24">
        <f t="shared" ca="1" si="194"/>
        <v>0</v>
      </c>
      <c r="AD1256" s="24">
        <f t="shared" ca="1" si="195"/>
        <v>-0.13808382479560186</v>
      </c>
    </row>
    <row r="1257" spans="3:30" x14ac:dyDescent="0.25">
      <c r="C1257" s="6">
        <v>1250</v>
      </c>
      <c r="D1257" s="35">
        <v>43783</v>
      </c>
      <c r="E1257" s="37">
        <v>15.276</v>
      </c>
      <c r="F1257" s="37">
        <v>53.500784929356364</v>
      </c>
      <c r="G1257" s="37">
        <v>42.16</v>
      </c>
      <c r="H1257" s="37">
        <v>2.110787172011662</v>
      </c>
      <c r="I1257" s="37">
        <v>62.256111235703081</v>
      </c>
      <c r="J1257" s="10">
        <v>0</v>
      </c>
      <c r="K1257" s="38">
        <v>0</v>
      </c>
      <c r="L1257" s="38">
        <v>0</v>
      </c>
      <c r="M1257" s="38">
        <v>0</v>
      </c>
      <c r="N1257" s="38">
        <v>0</v>
      </c>
      <c r="O1257" s="38">
        <v>0</v>
      </c>
      <c r="P1257" s="38">
        <v>0</v>
      </c>
      <c r="Q1257" s="38">
        <v>0</v>
      </c>
      <c r="R1257" s="38">
        <v>0</v>
      </c>
      <c r="S1257" s="38">
        <v>0</v>
      </c>
      <c r="T1257" s="38">
        <v>1</v>
      </c>
      <c r="U1257" s="29" cm="1">
        <f t="array" aca="1" ref="U1257" ca="1">+fair_value_gap(OFFSET(T1256,0,0,-1*$J$5,-1*$AA$1),OFFSET(E1256,0,0,-1*$J$5,1),F1257:T1257,0)</f>
        <v>15.614587804446478</v>
      </c>
      <c r="V1257" s="9" cm="1">
        <f t="array" aca="1" ref="V1257" ca="1">z_score_diff(OFFSET(U1257,0,0,$J$5*-1,1),OFFSET(E1257,0,0,$J$5*-1,1))</f>
        <v>-0.31089331151338584</v>
      </c>
      <c r="W1257" s="9">
        <f t="shared" ca="1" si="191"/>
        <v>9.5387366753144937E-2</v>
      </c>
      <c r="X1257" s="17">
        <f t="shared" ca="1" si="190"/>
        <v>-0.11093302354997996</v>
      </c>
      <c r="Y1257" s="13">
        <f t="shared" ref="Y1257:Z1272" si="198">+Y1256</f>
        <v>0</v>
      </c>
      <c r="Z1257" s="13">
        <f t="shared" si="198"/>
        <v>0</v>
      </c>
      <c r="AA1257">
        <f t="shared" ca="1" si="192"/>
        <v>0</v>
      </c>
      <c r="AB1257">
        <f t="shared" ca="1" si="193"/>
        <v>1</v>
      </c>
      <c r="AC1257" s="24">
        <f t="shared" ca="1" si="194"/>
        <v>0</v>
      </c>
      <c r="AD1257" s="24">
        <f t="shared" ca="1" si="195"/>
        <v>-0.11093302354997996</v>
      </c>
    </row>
    <row r="1258" spans="3:30" x14ac:dyDescent="0.25">
      <c r="C1258" s="6">
        <v>1251</v>
      </c>
      <c r="D1258" s="35">
        <v>43784</v>
      </c>
      <c r="E1258" s="37">
        <v>15.397</v>
      </c>
      <c r="F1258" s="37">
        <v>54.074358951426092</v>
      </c>
      <c r="G1258" s="37">
        <v>42.4</v>
      </c>
      <c r="H1258" s="37">
        <v>2.1026929853589604</v>
      </c>
      <c r="I1258" s="37">
        <v>62.740924254755882</v>
      </c>
      <c r="J1258" s="10">
        <v>0</v>
      </c>
      <c r="K1258" s="38">
        <v>0</v>
      </c>
      <c r="L1258" s="38">
        <v>0</v>
      </c>
      <c r="M1258" s="38">
        <v>0</v>
      </c>
      <c r="N1258" s="38">
        <v>0</v>
      </c>
      <c r="O1258" s="38">
        <v>0</v>
      </c>
      <c r="P1258" s="38">
        <v>0</v>
      </c>
      <c r="Q1258" s="38">
        <v>0</v>
      </c>
      <c r="R1258" s="38">
        <v>0</v>
      </c>
      <c r="S1258" s="38">
        <v>0</v>
      </c>
      <c r="T1258" s="38">
        <v>1</v>
      </c>
      <c r="U1258" s="29" cm="1">
        <f t="array" aca="1" ref="U1258" ca="1">+fair_value_gap(OFFSET(T1257,0,0,-1*$J$5,-1*$AA$1),OFFSET(E1257,0,0,-1*$J$5,1),F1258:T1258,0)</f>
        <v>15.618454964000181</v>
      </c>
      <c r="V1258" s="9" cm="1">
        <f t="array" aca="1" ref="V1258" ca="1">z_score_diff(OFFSET(U1258,0,0,$J$5*-1,1),OFFSET(E1258,0,0,$J$5*-1,1))</f>
        <v>-0.36873360666345856</v>
      </c>
      <c r="W1258" s="9">
        <f t="shared" ca="1" si="191"/>
        <v>8.0502339813320459E-2</v>
      </c>
      <c r="X1258" s="17">
        <f t="shared" ca="1" si="190"/>
        <v>-0.17586069104350649</v>
      </c>
      <c r="Y1258" s="13">
        <f t="shared" si="198"/>
        <v>0</v>
      </c>
      <c r="Z1258" s="13">
        <f t="shared" si="198"/>
        <v>0</v>
      </c>
      <c r="AA1258">
        <f t="shared" ca="1" si="192"/>
        <v>0</v>
      </c>
      <c r="AB1258">
        <f t="shared" ca="1" si="193"/>
        <v>1</v>
      </c>
      <c r="AC1258" s="24">
        <f t="shared" ca="1" si="194"/>
        <v>0</v>
      </c>
      <c r="AD1258" s="24">
        <f t="shared" ca="1" si="195"/>
        <v>-0.17586069104350649</v>
      </c>
    </row>
    <row r="1259" spans="3:30" x14ac:dyDescent="0.25">
      <c r="C1259" s="6">
        <v>1252</v>
      </c>
      <c r="D1259" s="35">
        <v>43787</v>
      </c>
      <c r="E1259" s="37">
        <v>15.083</v>
      </c>
      <c r="F1259" s="37">
        <v>53.221070973627803</v>
      </c>
      <c r="G1259" s="37">
        <v>41.83</v>
      </c>
      <c r="H1259" s="37">
        <v>2.0638563584540002</v>
      </c>
      <c r="I1259" s="37">
        <v>63.201137620477162</v>
      </c>
      <c r="J1259" s="10">
        <v>0</v>
      </c>
      <c r="K1259" s="38">
        <v>0</v>
      </c>
      <c r="L1259" s="38">
        <v>0</v>
      </c>
      <c r="M1259" s="38">
        <v>0</v>
      </c>
      <c r="N1259" s="38">
        <v>0</v>
      </c>
      <c r="O1259" s="38">
        <v>0</v>
      </c>
      <c r="P1259" s="38">
        <v>0</v>
      </c>
      <c r="Q1259" s="38">
        <v>0</v>
      </c>
      <c r="R1259" s="38">
        <v>0</v>
      </c>
      <c r="S1259" s="38">
        <v>0</v>
      </c>
      <c r="T1259" s="38">
        <v>1</v>
      </c>
      <c r="U1259" s="29" cm="1">
        <f t="array" aca="1" ref="U1259" ca="1">+fair_value_gap(OFFSET(T1258,0,0,-1*$J$5,-1*$AA$1),OFFSET(E1258,0,0,-1*$J$5,1),F1259:T1259,0)</f>
        <v>15.490637679372341</v>
      </c>
      <c r="V1259" s="9" cm="1">
        <f t="array" aca="1" ref="V1259" ca="1">z_score_diff(OFFSET(U1259,0,0,$J$5*-1,1),OFFSET(E1259,0,0,$J$5*-1,1))</f>
        <v>-0.24913808210234745</v>
      </c>
      <c r="W1259" s="9">
        <f t="shared" ca="1" si="191"/>
        <v>6.6134317262099701E-2</v>
      </c>
      <c r="X1259" s="17">
        <f t="shared" ca="1" si="190"/>
        <v>-0.14662092166190543</v>
      </c>
      <c r="Y1259" s="13">
        <f t="shared" si="198"/>
        <v>0</v>
      </c>
      <c r="Z1259" s="13">
        <f t="shared" si="198"/>
        <v>0</v>
      </c>
      <c r="AA1259">
        <f t="shared" ca="1" si="192"/>
        <v>0</v>
      </c>
      <c r="AB1259">
        <f t="shared" ca="1" si="193"/>
        <v>1</v>
      </c>
      <c r="AC1259" s="24">
        <f t="shared" ca="1" si="194"/>
        <v>0</v>
      </c>
      <c r="AD1259" s="24">
        <f t="shared" ca="1" si="195"/>
        <v>-0.14662092166190543</v>
      </c>
    </row>
    <row r="1260" spans="3:30" x14ac:dyDescent="0.25">
      <c r="C1260" s="6">
        <v>1253</v>
      </c>
      <c r="D1260" s="35">
        <v>43788</v>
      </c>
      <c r="E1260" s="37">
        <v>15.106</v>
      </c>
      <c r="F1260" s="37">
        <v>51.983076273674612</v>
      </c>
      <c r="G1260" s="37">
        <v>41.84</v>
      </c>
      <c r="H1260" s="37">
        <v>2.0364872112708232</v>
      </c>
      <c r="I1260" s="37">
        <v>63.762932184618897</v>
      </c>
      <c r="J1260" s="10">
        <v>0</v>
      </c>
      <c r="K1260" s="38">
        <v>0</v>
      </c>
      <c r="L1260" s="38">
        <v>0</v>
      </c>
      <c r="M1260" s="38">
        <v>0</v>
      </c>
      <c r="N1260" s="38">
        <v>0</v>
      </c>
      <c r="O1260" s="38">
        <v>0</v>
      </c>
      <c r="P1260" s="38">
        <v>0</v>
      </c>
      <c r="Q1260" s="38">
        <v>0</v>
      </c>
      <c r="R1260" s="38">
        <v>0</v>
      </c>
      <c r="S1260" s="38">
        <v>0</v>
      </c>
      <c r="T1260" s="38">
        <v>1</v>
      </c>
      <c r="U1260" s="29" cm="1">
        <f t="array" aca="1" ref="U1260" ca="1">+fair_value_gap(OFFSET(T1259,0,0,-1*$J$5,-1*$AA$1),OFFSET(E1259,0,0,-1*$J$5,1),F1260:T1260,0)</f>
        <v>15.501193597355279</v>
      </c>
      <c r="V1260" s="9" cm="1">
        <f t="array" aca="1" ref="V1260" ca="1">z_score_diff(OFFSET(U1260,0,0,$J$5*-1,1),OFFSET(E1260,0,0,$J$5*-1,1))</f>
        <v>-0.24338510055348372</v>
      </c>
      <c r="W1260" s="9">
        <f t="shared" ca="1" si="191"/>
        <v>5.7978793591062006E-2</v>
      </c>
      <c r="X1260" s="17">
        <f t="shared" ca="1" si="190"/>
        <v>-0.11707991999798356</v>
      </c>
      <c r="Y1260" s="13">
        <f t="shared" si="198"/>
        <v>0</v>
      </c>
      <c r="Z1260" s="13">
        <f t="shared" si="198"/>
        <v>0</v>
      </c>
      <c r="AA1260">
        <f t="shared" ca="1" si="192"/>
        <v>0</v>
      </c>
      <c r="AB1260">
        <f t="shared" ca="1" si="193"/>
        <v>1</v>
      </c>
      <c r="AC1260" s="24">
        <f t="shared" ca="1" si="194"/>
        <v>0</v>
      </c>
      <c r="AD1260" s="24">
        <f t="shared" ca="1" si="195"/>
        <v>-0.11707991999798356</v>
      </c>
    </row>
    <row r="1261" spans="3:30" x14ac:dyDescent="0.25">
      <c r="C1261" s="6">
        <v>1254</v>
      </c>
      <c r="D1261" s="35">
        <v>43789</v>
      </c>
      <c r="E1261" s="37">
        <v>15.250999999999999</v>
      </c>
      <c r="F1261" s="37">
        <v>53.229719003866791</v>
      </c>
      <c r="G1261" s="37">
        <v>42.08</v>
      </c>
      <c r="H1261" s="37">
        <v>2.0400856746701717</v>
      </c>
      <c r="I1261" s="37">
        <v>63.657815581611914</v>
      </c>
      <c r="J1261" s="10">
        <v>0</v>
      </c>
      <c r="K1261" s="38">
        <v>0</v>
      </c>
      <c r="L1261" s="38">
        <v>0</v>
      </c>
      <c r="M1261" s="38">
        <v>0</v>
      </c>
      <c r="N1261" s="38">
        <v>0</v>
      </c>
      <c r="O1261" s="38">
        <v>0</v>
      </c>
      <c r="P1261" s="38">
        <v>0</v>
      </c>
      <c r="Q1261" s="38">
        <v>0</v>
      </c>
      <c r="R1261" s="38">
        <v>0</v>
      </c>
      <c r="S1261" s="38">
        <v>0</v>
      </c>
      <c r="T1261" s="38">
        <v>1</v>
      </c>
      <c r="U1261" s="29" cm="1">
        <f t="array" aca="1" ref="U1261" ca="1">+fair_value_gap(OFFSET(T1260,0,0,-1*$J$5,-1*$AA$1),OFFSET(E1260,0,0,-1*$J$5,1),F1261:T1261,0)</f>
        <v>15.402222737756677</v>
      </c>
      <c r="V1261" s="9" cm="1">
        <f t="array" aca="1" ref="V1261" ca="1">z_score_diff(OFFSET(U1261,0,0,$J$5*-1,1),OFFSET(E1261,0,0,$J$5*-1,1))</f>
        <v>-0.37390365457191921</v>
      </c>
      <c r="W1261" s="9">
        <f t="shared" ca="1" si="191"/>
        <v>4.5217887342348828E-2</v>
      </c>
      <c r="X1261" s="17">
        <f t="shared" ca="1" si="190"/>
        <v>-0.10396995305683766</v>
      </c>
      <c r="Y1261" s="13">
        <f t="shared" si="198"/>
        <v>0</v>
      </c>
      <c r="Z1261" s="13">
        <f t="shared" si="198"/>
        <v>0</v>
      </c>
      <c r="AA1261">
        <f t="shared" ca="1" si="192"/>
        <v>0</v>
      </c>
      <c r="AB1261">
        <f t="shared" ca="1" si="193"/>
        <v>1</v>
      </c>
      <c r="AC1261" s="24">
        <f t="shared" ca="1" si="194"/>
        <v>0</v>
      </c>
      <c r="AD1261" s="24">
        <f t="shared" ca="1" si="195"/>
        <v>-0.10396995305683766</v>
      </c>
    </row>
    <row r="1262" spans="3:30" x14ac:dyDescent="0.25">
      <c r="C1262" s="6">
        <v>1255</v>
      </c>
      <c r="D1262" s="35">
        <v>43790</v>
      </c>
      <c r="E1262" s="37">
        <v>15.343</v>
      </c>
      <c r="F1262" s="37">
        <v>54.424821079182792</v>
      </c>
      <c r="G1262" s="37">
        <v>42.5</v>
      </c>
      <c r="H1262" s="37">
        <v>2.0379141412471138</v>
      </c>
      <c r="I1262" s="37">
        <v>63.774199113149812</v>
      </c>
      <c r="J1262" s="10">
        <v>0</v>
      </c>
      <c r="K1262" s="38">
        <v>0</v>
      </c>
      <c r="L1262" s="38">
        <v>0</v>
      </c>
      <c r="M1262" s="38">
        <v>0</v>
      </c>
      <c r="N1262" s="38">
        <v>0</v>
      </c>
      <c r="O1262" s="38">
        <v>0</v>
      </c>
      <c r="P1262" s="38">
        <v>0</v>
      </c>
      <c r="Q1262" s="38">
        <v>0</v>
      </c>
      <c r="R1262" s="38">
        <v>0</v>
      </c>
      <c r="S1262" s="38">
        <v>0</v>
      </c>
      <c r="T1262" s="38">
        <v>1</v>
      </c>
      <c r="U1262" s="29" cm="1">
        <f t="array" aca="1" ref="U1262" ca="1">+fair_value_gap(OFFSET(T1261,0,0,-1*$J$5,-1*$AA$1),OFFSET(E1261,0,0,-1*$J$5,1),F1262:T1262,0)</f>
        <v>15.425718300032889</v>
      </c>
      <c r="V1262" s="9" cm="1">
        <f t="array" aca="1" ref="V1262" ca="1">z_score_diff(OFFSET(U1262,0,0,$J$5*-1,1),OFFSET(E1262,0,0,$J$5*-1,1))</f>
        <v>-0.39932656475960293</v>
      </c>
      <c r="W1262" s="9">
        <f t="shared" ca="1" si="191"/>
        <v>3.6690402845454537E-2</v>
      </c>
      <c r="X1262" s="17">
        <f t="shared" ca="1" si="190"/>
        <v>-9.9274227796343997E-2</v>
      </c>
      <c r="Y1262" s="13">
        <f t="shared" si="198"/>
        <v>0</v>
      </c>
      <c r="Z1262" s="13">
        <f t="shared" si="198"/>
        <v>0</v>
      </c>
      <c r="AA1262">
        <f t="shared" ca="1" si="192"/>
        <v>0</v>
      </c>
      <c r="AB1262">
        <f t="shared" ca="1" si="193"/>
        <v>1</v>
      </c>
      <c r="AC1262" s="24">
        <f t="shared" ca="1" si="194"/>
        <v>0</v>
      </c>
      <c r="AD1262" s="24">
        <f t="shared" ca="1" si="195"/>
        <v>-9.9274227796343997E-2</v>
      </c>
    </row>
    <row r="1263" spans="3:30" x14ac:dyDescent="0.25">
      <c r="C1263" s="6">
        <v>1256</v>
      </c>
      <c r="D1263" s="35">
        <v>43791</v>
      </c>
      <c r="E1263" s="37">
        <v>15.651</v>
      </c>
      <c r="F1263" s="37">
        <v>54.133205166371951</v>
      </c>
      <c r="G1263" s="37">
        <v>43.24</v>
      </c>
      <c r="H1263" s="37">
        <v>2.0749418047868926</v>
      </c>
      <c r="I1263" s="37">
        <v>64.292708471573121</v>
      </c>
      <c r="J1263" s="10">
        <v>0</v>
      </c>
      <c r="K1263" s="38">
        <v>0</v>
      </c>
      <c r="L1263" s="38">
        <v>0</v>
      </c>
      <c r="M1263" s="38">
        <v>0</v>
      </c>
      <c r="N1263" s="38">
        <v>0</v>
      </c>
      <c r="O1263" s="38">
        <v>0</v>
      </c>
      <c r="P1263" s="38">
        <v>0</v>
      </c>
      <c r="Q1263" s="38">
        <v>0</v>
      </c>
      <c r="R1263" s="38">
        <v>0</v>
      </c>
      <c r="S1263" s="38">
        <v>0</v>
      </c>
      <c r="T1263" s="38">
        <v>1</v>
      </c>
      <c r="U1263" s="29" cm="1">
        <f t="array" aca="1" ref="U1263" ca="1">+fair_value_gap(OFFSET(T1262,0,0,-1*$J$5,-1*$AA$1),OFFSET(E1262,0,0,-1*$J$5,1),F1263:T1263,0)</f>
        <v>15.605427374406107</v>
      </c>
      <c r="V1263" s="9" cm="1">
        <f t="array" aca="1" ref="V1263" ca="1">z_score_diff(OFFSET(U1263,0,0,$J$5*-1,1),OFFSET(E1263,0,0,$J$5*-1,1))</f>
        <v>-0.46074476532067155</v>
      </c>
      <c r="W1263" s="9">
        <f t="shared" ca="1" si="191"/>
        <v>1.8993106117216153E-2</v>
      </c>
      <c r="X1263" s="17">
        <f t="shared" ca="1" si="190"/>
        <v>-0.14282073365881814</v>
      </c>
      <c r="Y1263" s="13">
        <f t="shared" si="198"/>
        <v>0</v>
      </c>
      <c r="Z1263" s="13">
        <f t="shared" si="198"/>
        <v>0</v>
      </c>
      <c r="AA1263">
        <f t="shared" ca="1" si="192"/>
        <v>0</v>
      </c>
      <c r="AB1263">
        <f t="shared" ca="1" si="193"/>
        <v>1</v>
      </c>
      <c r="AC1263" s="24">
        <f t="shared" ca="1" si="194"/>
        <v>0</v>
      </c>
      <c r="AD1263" s="24">
        <f t="shared" ca="1" si="195"/>
        <v>-0.14282073365881814</v>
      </c>
    </row>
    <row r="1264" spans="3:30" x14ac:dyDescent="0.25">
      <c r="C1264" s="6">
        <v>1257</v>
      </c>
      <c r="D1264" s="35">
        <v>43794</v>
      </c>
      <c r="E1264" s="37">
        <v>15.718</v>
      </c>
      <c r="F1264" s="37">
        <v>54.463551522681328</v>
      </c>
      <c r="G1264" s="37">
        <v>43.26</v>
      </c>
      <c r="H1264" s="37">
        <v>2.0566341938101687</v>
      </c>
      <c r="I1264" s="37">
        <v>63.691923199839138</v>
      </c>
      <c r="J1264" s="10">
        <v>0</v>
      </c>
      <c r="K1264" s="38">
        <v>0</v>
      </c>
      <c r="L1264" s="38">
        <v>0</v>
      </c>
      <c r="M1264" s="38">
        <v>0</v>
      </c>
      <c r="N1264" s="38">
        <v>0</v>
      </c>
      <c r="O1264" s="38">
        <v>0</v>
      </c>
      <c r="P1264" s="38">
        <v>0</v>
      </c>
      <c r="Q1264" s="38">
        <v>0</v>
      </c>
      <c r="R1264" s="38">
        <v>0</v>
      </c>
      <c r="S1264" s="38">
        <v>0</v>
      </c>
      <c r="T1264" s="38">
        <v>1</v>
      </c>
      <c r="U1264" s="29" cm="1">
        <f t="array" aca="1" ref="U1264" ca="1">+fair_value_gap(OFFSET(T1263,0,0,-1*$J$5,-1*$AA$1),OFFSET(E1263,0,0,-1*$J$5,1),F1264:T1264,0)</f>
        <v>15.478808283056829</v>
      </c>
      <c r="V1264" s="9" cm="1">
        <f t="array" aca="1" ref="V1264" ca="1">z_score_diff(OFFSET(U1264,0,0,$J$5*-1,1),OFFSET(E1264,0,0,$J$5*-1,1))</f>
        <v>-0.5681057290834497</v>
      </c>
      <c r="W1264" s="9">
        <f t="shared" ca="1" si="191"/>
        <v>-5.256856245520425E-3</v>
      </c>
      <c r="X1264" s="17">
        <f t="shared" ca="1" si="190"/>
        <v>-0.22261881307498932</v>
      </c>
      <c r="Y1264" s="13">
        <f t="shared" si="198"/>
        <v>0</v>
      </c>
      <c r="Z1264" s="13">
        <f t="shared" si="198"/>
        <v>0</v>
      </c>
      <c r="AA1264">
        <f t="shared" ca="1" si="192"/>
        <v>1</v>
      </c>
      <c r="AB1264">
        <f t="shared" ca="1" si="193"/>
        <v>0</v>
      </c>
      <c r="AC1264" s="24">
        <f t="shared" ca="1" si="194"/>
        <v>-0.22261881307498932</v>
      </c>
      <c r="AD1264" s="24">
        <f t="shared" ca="1" si="195"/>
        <v>0</v>
      </c>
    </row>
    <row r="1265" spans="3:30" x14ac:dyDescent="0.25">
      <c r="C1265" s="6">
        <v>1258</v>
      </c>
      <c r="D1265" s="35">
        <v>43795</v>
      </c>
      <c r="E1265" s="37">
        <v>15.382</v>
      </c>
      <c r="F1265" s="37">
        <v>54.8720086418259</v>
      </c>
      <c r="G1265" s="37">
        <v>42.84</v>
      </c>
      <c r="H1265" s="37">
        <v>2.0466066938292524</v>
      </c>
      <c r="I1265" s="37">
        <v>63.513834541306402</v>
      </c>
      <c r="J1265" s="10">
        <v>0</v>
      </c>
      <c r="K1265" s="38">
        <v>0</v>
      </c>
      <c r="L1265" s="38">
        <v>0</v>
      </c>
      <c r="M1265" s="38">
        <v>0</v>
      </c>
      <c r="N1265" s="38">
        <v>0</v>
      </c>
      <c r="O1265" s="38">
        <v>0</v>
      </c>
      <c r="P1265" s="38">
        <v>0</v>
      </c>
      <c r="Q1265" s="38">
        <v>0</v>
      </c>
      <c r="R1265" s="38">
        <v>0</v>
      </c>
      <c r="S1265" s="38">
        <v>0</v>
      </c>
      <c r="T1265" s="38">
        <v>1</v>
      </c>
      <c r="U1265" s="29" cm="1">
        <f t="array" aca="1" ref="U1265" ca="1">+fair_value_gap(OFFSET(T1264,0,0,-1*$J$5,-1*$AA$1),OFFSET(E1264,0,0,-1*$J$5,1),F1265:T1265,0)</f>
        <v>15.365298326653775</v>
      </c>
      <c r="V1265" s="9" cm="1">
        <f t="array" aca="1" ref="V1265" ca="1">z_score_diff(OFFSET(U1265,0,0,$J$5*-1,1),OFFSET(E1265,0,0,$J$5*-1,1))</f>
        <v>-0.42831585483407908</v>
      </c>
      <c r="W1265" s="9">
        <f t="shared" ca="1" si="191"/>
        <v>-2.5698189263654025E-2</v>
      </c>
      <c r="X1265" s="17">
        <f t="shared" ca="1" si="190"/>
        <v>-0.23570422934139032</v>
      </c>
      <c r="Y1265" s="13">
        <f t="shared" si="198"/>
        <v>0</v>
      </c>
      <c r="Z1265" s="13">
        <f t="shared" si="198"/>
        <v>0</v>
      </c>
      <c r="AA1265">
        <f t="shared" ca="1" si="192"/>
        <v>1</v>
      </c>
      <c r="AB1265">
        <f t="shared" ca="1" si="193"/>
        <v>0</v>
      </c>
      <c r="AC1265" s="24">
        <f t="shared" ca="1" si="194"/>
        <v>-0.23570422934139032</v>
      </c>
      <c r="AD1265" s="24">
        <f t="shared" ca="1" si="195"/>
        <v>0</v>
      </c>
    </row>
    <row r="1266" spans="3:30" x14ac:dyDescent="0.25">
      <c r="C1266" s="6">
        <v>1259</v>
      </c>
      <c r="D1266" s="35">
        <v>43796</v>
      </c>
      <c r="E1266" s="37">
        <v>15.541</v>
      </c>
      <c r="F1266" s="37">
        <v>54.790310463448556</v>
      </c>
      <c r="G1266" s="37">
        <v>43.25</v>
      </c>
      <c r="H1266" s="37">
        <v>2.0776643889042652</v>
      </c>
      <c r="I1266" s="37">
        <v>63.623978691358992</v>
      </c>
      <c r="J1266" s="10">
        <v>0</v>
      </c>
      <c r="K1266" s="38">
        <v>0</v>
      </c>
      <c r="L1266" s="38">
        <v>0</v>
      </c>
      <c r="M1266" s="38">
        <v>0</v>
      </c>
      <c r="N1266" s="38">
        <v>0</v>
      </c>
      <c r="O1266" s="38">
        <v>0</v>
      </c>
      <c r="P1266" s="38">
        <v>0</v>
      </c>
      <c r="Q1266" s="38">
        <v>0</v>
      </c>
      <c r="R1266" s="38">
        <v>0</v>
      </c>
      <c r="S1266" s="38">
        <v>0</v>
      </c>
      <c r="T1266" s="38">
        <v>1</v>
      </c>
      <c r="U1266" s="29" cm="1">
        <f t="array" aca="1" ref="U1266" ca="1">+fair_value_gap(OFFSET(T1265,0,0,-1*$J$5,-1*$AA$1),OFFSET(E1265,0,0,-1*$J$5,1),F1266:T1266,0)</f>
        <v>15.499031032800762</v>
      </c>
      <c r="V1266" s="9" cm="1">
        <f t="array" aca="1" ref="V1266" ca="1">z_score_diff(OFFSET(U1266,0,0,$J$5*-1,1),OFFSET(E1266,0,0,$J$5*-1,1))</f>
        <v>-0.43422365964850385</v>
      </c>
      <c r="W1266" s="9">
        <f t="shared" ca="1" si="191"/>
        <v>-4.6785340790193142E-2</v>
      </c>
      <c r="X1266" s="17">
        <f t="shared" ca="1" si="190"/>
        <v>-0.24582335922031151</v>
      </c>
      <c r="Y1266" s="13">
        <f t="shared" si="198"/>
        <v>0</v>
      </c>
      <c r="Z1266" s="13">
        <f t="shared" si="198"/>
        <v>0</v>
      </c>
      <c r="AA1266">
        <f t="shared" ca="1" si="192"/>
        <v>1</v>
      </c>
      <c r="AB1266">
        <f t="shared" ca="1" si="193"/>
        <v>0</v>
      </c>
      <c r="AC1266" s="24">
        <f t="shared" ca="1" si="194"/>
        <v>-0.24582335922031151</v>
      </c>
      <c r="AD1266" s="24">
        <f t="shared" ca="1" si="195"/>
        <v>0</v>
      </c>
    </row>
    <row r="1267" spans="3:30" x14ac:dyDescent="0.25">
      <c r="C1267" s="6">
        <v>1260</v>
      </c>
      <c r="D1267" s="35">
        <v>43797</v>
      </c>
      <c r="E1267" s="37">
        <v>15.259</v>
      </c>
      <c r="F1267" s="37">
        <v>55.039216900836941</v>
      </c>
      <c r="G1267" s="37">
        <v>43.04</v>
      </c>
      <c r="H1267" s="37">
        <v>2.0755287795585549</v>
      </c>
      <c r="I1267" s="37">
        <v>63.738124285751475</v>
      </c>
      <c r="J1267" s="10">
        <v>0</v>
      </c>
      <c r="K1267" s="38">
        <v>0</v>
      </c>
      <c r="L1267" s="38">
        <v>0</v>
      </c>
      <c r="M1267" s="38">
        <v>0</v>
      </c>
      <c r="N1267" s="38">
        <v>0</v>
      </c>
      <c r="O1267" s="38">
        <v>0</v>
      </c>
      <c r="P1267" s="38">
        <v>0</v>
      </c>
      <c r="Q1267" s="38">
        <v>0</v>
      </c>
      <c r="R1267" s="38">
        <v>0</v>
      </c>
      <c r="S1267" s="38">
        <v>0</v>
      </c>
      <c r="T1267" s="38">
        <v>1</v>
      </c>
      <c r="U1267" s="29" cm="1">
        <f t="array" aca="1" ref="U1267" ca="1">+fair_value_gap(OFFSET(T1266,0,0,-1*$J$5,-1*$AA$1),OFFSET(E1266,0,0,-1*$J$5,1),F1267:T1267,0)</f>
        <v>15.44559886397874</v>
      </c>
      <c r="V1267" s="9" cm="1">
        <f t="array" aca="1" ref="V1267" ca="1">z_score_diff(OFFSET(U1267,0,0,$J$5*-1,1),OFFSET(E1267,0,0,$J$5*-1,1))</f>
        <v>-0.29223255071010001</v>
      </c>
      <c r="W1267" s="9">
        <f t="shared" ca="1" si="191"/>
        <v>-5.3891313609741663E-2</v>
      </c>
      <c r="X1267" s="17">
        <f t="shared" ca="1" si="190"/>
        <v>-0.26438478524200804</v>
      </c>
      <c r="Y1267" s="13">
        <f t="shared" si="198"/>
        <v>0</v>
      </c>
      <c r="Z1267" s="13">
        <f t="shared" si="198"/>
        <v>0</v>
      </c>
      <c r="AA1267">
        <f t="shared" ca="1" si="192"/>
        <v>1</v>
      </c>
      <c r="AB1267">
        <f t="shared" ca="1" si="193"/>
        <v>0</v>
      </c>
      <c r="AC1267" s="24">
        <f t="shared" ca="1" si="194"/>
        <v>-0.26438478524200804</v>
      </c>
      <c r="AD1267" s="24">
        <f t="shared" ca="1" si="195"/>
        <v>0</v>
      </c>
    </row>
    <row r="1268" spans="3:30" x14ac:dyDescent="0.25">
      <c r="C1268" s="6">
        <v>1261</v>
      </c>
      <c r="D1268" s="35">
        <v>43798</v>
      </c>
      <c r="E1268" s="37">
        <v>14.894</v>
      </c>
      <c r="F1268" s="37">
        <v>52.538901840969586</v>
      </c>
      <c r="G1268" s="37">
        <v>46.58</v>
      </c>
      <c r="H1268" s="37">
        <v>1.9671813511566723</v>
      </c>
      <c r="I1268" s="37">
        <v>64.810238313301213</v>
      </c>
      <c r="J1268" s="10">
        <v>0</v>
      </c>
      <c r="K1268" s="38">
        <v>0</v>
      </c>
      <c r="L1268" s="38">
        <v>0</v>
      </c>
      <c r="M1268" s="38">
        <v>0</v>
      </c>
      <c r="N1268" s="38">
        <v>0</v>
      </c>
      <c r="O1268" s="38">
        <v>0</v>
      </c>
      <c r="P1268" s="38">
        <v>0</v>
      </c>
      <c r="Q1268" s="38">
        <v>0</v>
      </c>
      <c r="R1268" s="38">
        <v>0</v>
      </c>
      <c r="S1268" s="38">
        <v>0</v>
      </c>
      <c r="T1268" s="38">
        <v>1</v>
      </c>
      <c r="U1268" s="29" cm="1">
        <f t="array" aca="1" ref="U1268" ca="1">+fair_value_gap(OFFSET(T1267,0,0,-1*$J$5,-1*$AA$1),OFFSET(E1267,0,0,-1*$J$5,1),F1268:T1268,0)</f>
        <v>16.471298927861739</v>
      </c>
      <c r="V1268" s="9" cm="1">
        <f t="array" aca="1" ref="V1268" ca="1">z_score_diff(OFFSET(U1268,0,0,$J$5*-1,1),OFFSET(E1268,0,0,$J$5*-1,1))</f>
        <v>0.50640201541036256</v>
      </c>
      <c r="W1268" s="9">
        <f t="shared" ca="1" si="191"/>
        <v>-9.6001937897505246E-2</v>
      </c>
      <c r="X1268" s="17">
        <f t="shared" ca="1" si="190"/>
        <v>-0.2620957360018602</v>
      </c>
      <c r="Y1268" s="13">
        <f t="shared" si="198"/>
        <v>0</v>
      </c>
      <c r="Z1268" s="13">
        <f t="shared" si="198"/>
        <v>0</v>
      </c>
      <c r="AA1268">
        <f t="shared" ca="1" si="192"/>
        <v>1</v>
      </c>
      <c r="AB1268">
        <f t="shared" ca="1" si="193"/>
        <v>0</v>
      </c>
      <c r="AC1268" s="24">
        <f t="shared" ca="1" si="194"/>
        <v>-0.2620957360018602</v>
      </c>
      <c r="AD1268" s="24">
        <f t="shared" ca="1" si="195"/>
        <v>0</v>
      </c>
    </row>
    <row r="1269" spans="3:30" x14ac:dyDescent="0.25">
      <c r="C1269" s="6">
        <v>1262</v>
      </c>
      <c r="D1269" s="35">
        <v>43801</v>
      </c>
      <c r="E1269" s="37">
        <v>14.502000000000001</v>
      </c>
      <c r="F1269" s="37">
        <v>52.289715166871346</v>
      </c>
      <c r="G1269" s="37">
        <v>45.53</v>
      </c>
      <c r="H1269" s="37">
        <v>1.9772522347766293</v>
      </c>
      <c r="I1269" s="37">
        <v>64.213875013043435</v>
      </c>
      <c r="J1269" s="10">
        <v>0</v>
      </c>
      <c r="K1269" s="38">
        <v>0</v>
      </c>
      <c r="L1269" s="38">
        <v>0</v>
      </c>
      <c r="M1269" s="38">
        <v>0</v>
      </c>
      <c r="N1269" s="38">
        <v>0</v>
      </c>
      <c r="O1269" s="38">
        <v>0</v>
      </c>
      <c r="P1269" s="38">
        <v>0</v>
      </c>
      <c r="Q1269" s="38">
        <v>0</v>
      </c>
      <c r="R1269" s="38">
        <v>0</v>
      </c>
      <c r="S1269" s="38">
        <v>0</v>
      </c>
      <c r="T1269" s="38">
        <v>0</v>
      </c>
      <c r="U1269" s="29" cm="1">
        <f t="array" aca="1" ref="U1269" ca="1">+fair_value_gap(OFFSET(T1268,0,0,-1*$J$5,-1*$AA$1),OFFSET(E1268,0,0,-1*$J$5,1),F1269:T1269,0)</f>
        <v>17.537450819547811</v>
      </c>
      <c r="V1269" s="9" cm="1">
        <f t="array" aca="1" ref="V1269" ca="1">z_score_diff(OFFSET(U1269,0,0,$J$5*-1,1),OFFSET(E1269,0,0,$J$5*-1,1))</f>
        <v>1.3314852593859028</v>
      </c>
      <c r="W1269" s="9">
        <f t="shared" ca="1" si="191"/>
        <v>-5.3260771335831028E-2</v>
      </c>
      <c r="X1269" s="17">
        <f t="shared" ca="1" si="190"/>
        <v>-0.23629684094915235</v>
      </c>
      <c r="Y1269" s="13">
        <f t="shared" si="198"/>
        <v>0</v>
      </c>
      <c r="Z1269" s="13">
        <f t="shared" si="198"/>
        <v>0</v>
      </c>
      <c r="AA1269">
        <f t="shared" ca="1" si="192"/>
        <v>1</v>
      </c>
      <c r="AB1269">
        <f t="shared" ca="1" si="193"/>
        <v>0</v>
      </c>
      <c r="AC1269" s="24">
        <f t="shared" ca="1" si="194"/>
        <v>-0.23629684094915235</v>
      </c>
      <c r="AD1269" s="24">
        <f t="shared" ca="1" si="195"/>
        <v>0</v>
      </c>
    </row>
    <row r="1270" spans="3:30" x14ac:dyDescent="0.25">
      <c r="C1270" s="6">
        <v>1263</v>
      </c>
      <c r="D1270" s="35">
        <v>43802</v>
      </c>
      <c r="E1270" s="37">
        <v>14.409000000000001</v>
      </c>
      <c r="F1270" s="37">
        <v>52.20823341326939</v>
      </c>
      <c r="G1270" s="37">
        <v>45.32</v>
      </c>
      <c r="H1270" s="37">
        <v>1.9992934224049335</v>
      </c>
      <c r="I1270" s="37">
        <v>64.635791366906489</v>
      </c>
      <c r="J1270" s="10">
        <v>0</v>
      </c>
      <c r="K1270" s="38">
        <v>0</v>
      </c>
      <c r="L1270" s="38">
        <v>0</v>
      </c>
      <c r="M1270" s="38">
        <v>0</v>
      </c>
      <c r="N1270" s="38">
        <v>0</v>
      </c>
      <c r="O1270" s="38">
        <v>0</v>
      </c>
      <c r="P1270" s="38">
        <v>0</v>
      </c>
      <c r="Q1270" s="38">
        <v>0</v>
      </c>
      <c r="R1270" s="38">
        <v>0</v>
      </c>
      <c r="S1270" s="38">
        <v>0</v>
      </c>
      <c r="T1270" s="38">
        <v>0</v>
      </c>
      <c r="U1270" s="29" cm="1">
        <f t="array" aca="1" ref="U1270" ca="1">+fair_value_gap(OFFSET(T1269,0,0,-1*$J$5,-1*$AA$1),OFFSET(E1269,0,0,-1*$J$5,1),F1270:T1270,0)</f>
        <v>16.675951981355048</v>
      </c>
      <c r="V1270" s="9" cm="1">
        <f t="array" aca="1" ref="V1270" ca="1">z_score_diff(OFFSET(U1270,0,0,$J$5*-1,1),OFFSET(E1270,0,0,$J$5*-1,1))</f>
        <v>0.87009648645365845</v>
      </c>
      <c r="W1270" s="9">
        <f t="shared" ca="1" si="191"/>
        <v>-2.7383757724782298E-2</v>
      </c>
      <c r="X1270" s="17">
        <f t="shared" ca="1" si="190"/>
        <v>-0.13471190732708765</v>
      </c>
      <c r="Y1270" s="13">
        <f t="shared" si="198"/>
        <v>0</v>
      </c>
      <c r="Z1270" s="13">
        <f t="shared" si="198"/>
        <v>0</v>
      </c>
      <c r="AA1270">
        <f t="shared" ca="1" si="192"/>
        <v>1</v>
      </c>
      <c r="AB1270">
        <f t="shared" ca="1" si="193"/>
        <v>0</v>
      </c>
      <c r="AC1270" s="24">
        <f t="shared" ca="1" si="194"/>
        <v>-0.13471190732708765</v>
      </c>
      <c r="AD1270" s="24">
        <f t="shared" ca="1" si="195"/>
        <v>0</v>
      </c>
    </row>
    <row r="1271" spans="3:30" x14ac:dyDescent="0.25">
      <c r="C1271" s="6">
        <v>1264</v>
      </c>
      <c r="D1271" s="35">
        <v>43803</v>
      </c>
      <c r="E1271" s="37">
        <v>14.422000000000001</v>
      </c>
      <c r="F1271" s="37">
        <v>53.829304091401852</v>
      </c>
      <c r="G1271" s="37">
        <v>45.2</v>
      </c>
      <c r="H1271" s="37">
        <v>2.0102340811856187</v>
      </c>
      <c r="I1271" s="37">
        <v>64.241834818182227</v>
      </c>
      <c r="J1271" s="10">
        <v>0</v>
      </c>
      <c r="K1271" s="38">
        <v>0</v>
      </c>
      <c r="L1271" s="38">
        <v>0</v>
      </c>
      <c r="M1271" s="38">
        <v>0</v>
      </c>
      <c r="N1271" s="38">
        <v>0</v>
      </c>
      <c r="O1271" s="38">
        <v>0</v>
      </c>
      <c r="P1271" s="38">
        <v>0</v>
      </c>
      <c r="Q1271" s="38">
        <v>0</v>
      </c>
      <c r="R1271" s="38">
        <v>0</v>
      </c>
      <c r="S1271" s="38">
        <v>0</v>
      </c>
      <c r="T1271" s="38">
        <v>0</v>
      </c>
      <c r="U1271" s="29" cm="1">
        <f t="array" aca="1" ref="U1271" ca="1">+fair_value_gap(OFFSET(T1270,0,0,-1*$J$5,-1*$AA$1),OFFSET(E1270,0,0,-1*$J$5,1),F1271:T1271,0)</f>
        <v>15.967704785598864</v>
      </c>
      <c r="V1271" s="9" cm="1">
        <f t="array" aca="1" ref="V1271" ca="1">z_score_diff(OFFSET(U1271,0,0,$J$5*-1,1),OFFSET(E1271,0,0,$J$5*-1,1))</f>
        <v>0.44435506096637889</v>
      </c>
      <c r="W1271" s="9">
        <f t="shared" ca="1" si="191"/>
        <v>-2.5611946136534725E-2</v>
      </c>
      <c r="X1271" s="17">
        <f t="shared" ca="1" si="190"/>
        <v>-0.17778326414431742</v>
      </c>
      <c r="Y1271" s="13">
        <f t="shared" si="198"/>
        <v>0</v>
      </c>
      <c r="Z1271" s="13">
        <f t="shared" si="198"/>
        <v>0</v>
      </c>
      <c r="AA1271">
        <f t="shared" ca="1" si="192"/>
        <v>1</v>
      </c>
      <c r="AB1271">
        <f t="shared" ca="1" si="193"/>
        <v>0</v>
      </c>
      <c r="AC1271" s="24">
        <f t="shared" ca="1" si="194"/>
        <v>-0.17778326414431742</v>
      </c>
      <c r="AD1271" s="24">
        <f t="shared" ca="1" si="195"/>
        <v>0</v>
      </c>
    </row>
    <row r="1272" spans="3:30" x14ac:dyDescent="0.25">
      <c r="C1272" s="6">
        <v>1265</v>
      </c>
      <c r="D1272" s="35">
        <v>43804</v>
      </c>
      <c r="E1272" s="37">
        <v>14.082000000000001</v>
      </c>
      <c r="F1272" s="37">
        <v>53.838855472623095</v>
      </c>
      <c r="G1272" s="37">
        <v>44.81</v>
      </c>
      <c r="H1272" s="37">
        <v>2.017733267588635</v>
      </c>
      <c r="I1272" s="37">
        <v>64.083279782259254</v>
      </c>
      <c r="J1272" s="10">
        <v>0</v>
      </c>
      <c r="K1272" s="38">
        <v>0</v>
      </c>
      <c r="L1272" s="38">
        <v>0</v>
      </c>
      <c r="M1272" s="38">
        <v>0</v>
      </c>
      <c r="N1272" s="38">
        <v>0</v>
      </c>
      <c r="O1272" s="38">
        <v>0</v>
      </c>
      <c r="P1272" s="38">
        <v>0</v>
      </c>
      <c r="Q1272" s="38">
        <v>0</v>
      </c>
      <c r="R1272" s="38">
        <v>0</v>
      </c>
      <c r="S1272" s="38">
        <v>0</v>
      </c>
      <c r="T1272" s="38">
        <v>0</v>
      </c>
      <c r="U1272" s="29" cm="1">
        <f t="array" aca="1" ref="U1272" ca="1">+fair_value_gap(OFFSET(T1271,0,0,-1*$J$5,-1*$AA$1),OFFSET(E1271,0,0,-1*$J$5,1),F1272:T1272,0)</f>
        <v>15.442465298384402</v>
      </c>
      <c r="V1272" s="9" cm="1">
        <f t="array" aca="1" ref="V1272" ca="1">z_score_diff(OFFSET(U1272,0,0,$J$5*-1,1),OFFSET(E1272,0,0,$J$5*-1,1))</f>
        <v>0.32930467176942635</v>
      </c>
      <c r="W1272" s="9">
        <f t="shared" ca="1" si="191"/>
        <v>-2.4371979678513435E-2</v>
      </c>
      <c r="X1272" s="17">
        <f t="shared" ca="1" si="190"/>
        <v>-0.18317407176459852</v>
      </c>
      <c r="Y1272" s="13">
        <f t="shared" si="198"/>
        <v>0</v>
      </c>
      <c r="Z1272" s="13">
        <f t="shared" si="198"/>
        <v>0</v>
      </c>
      <c r="AA1272">
        <f t="shared" ca="1" si="192"/>
        <v>1</v>
      </c>
      <c r="AB1272">
        <f t="shared" ca="1" si="193"/>
        <v>0</v>
      </c>
      <c r="AC1272" s="24">
        <f t="shared" ca="1" si="194"/>
        <v>-0.18317407176459852</v>
      </c>
      <c r="AD1272" s="24">
        <f t="shared" ca="1" si="195"/>
        <v>0</v>
      </c>
    </row>
    <row r="1273" spans="3:30" x14ac:dyDescent="0.25">
      <c r="C1273" s="6">
        <v>1266</v>
      </c>
      <c r="D1273" s="35">
        <v>43805</v>
      </c>
      <c r="E1273" s="37">
        <v>13.801</v>
      </c>
      <c r="F1273" s="37">
        <v>54.666742952772942</v>
      </c>
      <c r="G1273" s="37">
        <v>44.63</v>
      </c>
      <c r="H1273" s="37">
        <v>1.9944644894135148</v>
      </c>
      <c r="I1273" s="37">
        <v>63.785316593300884</v>
      </c>
      <c r="J1273" s="10">
        <v>0</v>
      </c>
      <c r="K1273" s="38">
        <v>0</v>
      </c>
      <c r="L1273" s="38">
        <v>0</v>
      </c>
      <c r="M1273" s="38">
        <v>0</v>
      </c>
      <c r="N1273" s="38">
        <v>0</v>
      </c>
      <c r="O1273" s="38">
        <v>0</v>
      </c>
      <c r="P1273" s="38">
        <v>0</v>
      </c>
      <c r="Q1273" s="38">
        <v>0</v>
      </c>
      <c r="R1273" s="38">
        <v>0</v>
      </c>
      <c r="S1273" s="38">
        <v>0</v>
      </c>
      <c r="T1273" s="38">
        <v>0</v>
      </c>
      <c r="U1273" s="29" cm="1">
        <f t="array" aca="1" ref="U1273" ca="1">+fair_value_gap(OFFSET(T1272,0,0,-1*$J$5,-1*$AA$1),OFFSET(E1272,0,0,-1*$J$5,1),F1273:T1273,0)</f>
        <v>14.894154367376247</v>
      </c>
      <c r="V1273" s="9" cm="1">
        <f t="array" aca="1" ref="V1273" ca="1">z_score_diff(OFFSET(U1273,0,0,$J$5*-1,1),OFFSET(E1273,0,0,$J$5*-1,1))</f>
        <v>0.17275563629538393</v>
      </c>
      <c r="W1273" s="9">
        <f t="shared" ca="1" si="191"/>
        <v>-2.2438760805168378E-2</v>
      </c>
      <c r="X1273" s="17">
        <f t="shared" ca="1" si="190"/>
        <v>-0.1616540636578282</v>
      </c>
      <c r="Y1273" s="13">
        <f t="shared" ref="Y1273:Z1288" si="199">+Y1272</f>
        <v>0</v>
      </c>
      <c r="Z1273" s="13">
        <f t="shared" si="199"/>
        <v>0</v>
      </c>
      <c r="AA1273">
        <f t="shared" ca="1" si="192"/>
        <v>1</v>
      </c>
      <c r="AB1273">
        <f t="shared" ca="1" si="193"/>
        <v>0</v>
      </c>
      <c r="AC1273" s="24">
        <f t="shared" ca="1" si="194"/>
        <v>-0.1616540636578282</v>
      </c>
      <c r="AD1273" s="24">
        <f t="shared" ca="1" si="195"/>
        <v>0</v>
      </c>
    </row>
    <row r="1274" spans="3:30" x14ac:dyDescent="0.25">
      <c r="C1274" s="6">
        <v>1267</v>
      </c>
      <c r="D1274" s="35">
        <v>43808</v>
      </c>
      <c r="E1274" s="37">
        <v>13.558</v>
      </c>
      <c r="F1274" s="37">
        <v>54.620688669222723</v>
      </c>
      <c r="G1274" s="37">
        <v>44.39</v>
      </c>
      <c r="H1274" s="37">
        <v>1.9809269880527856</v>
      </c>
      <c r="I1274" s="37">
        <v>63.97581071022978</v>
      </c>
      <c r="J1274" s="10">
        <v>0</v>
      </c>
      <c r="K1274" s="38">
        <v>0</v>
      </c>
      <c r="L1274" s="38">
        <v>0</v>
      </c>
      <c r="M1274" s="38">
        <v>0</v>
      </c>
      <c r="N1274" s="38">
        <v>0</v>
      </c>
      <c r="O1274" s="38">
        <v>0</v>
      </c>
      <c r="P1274" s="38">
        <v>0</v>
      </c>
      <c r="Q1274" s="38">
        <v>0</v>
      </c>
      <c r="R1274" s="38">
        <v>0</v>
      </c>
      <c r="S1274" s="38">
        <v>0</v>
      </c>
      <c r="T1274" s="38">
        <v>0</v>
      </c>
      <c r="U1274" s="29" cm="1">
        <f t="array" aca="1" ref="U1274" ca="1">+fair_value_gap(OFFSET(T1273,0,0,-1*$J$5,-1*$AA$1),OFFSET(E1273,0,0,-1*$J$5,1),F1274:T1274,0)</f>
        <v>14.559378072722374</v>
      </c>
      <c r="V1274" s="9" cm="1">
        <f t="array" aca="1" ref="V1274" ca="1">z_score_diff(OFFSET(U1274,0,0,$J$5*-1,1),OFFSET(E1274,0,0,$J$5*-1,1))</f>
        <v>0.11913460643397755</v>
      </c>
      <c r="W1274" s="9">
        <f t="shared" ca="1" si="191"/>
        <v>-2.1621534600667226E-2</v>
      </c>
      <c r="X1274" s="17">
        <f t="shared" ca="1" si="190"/>
        <v>-0.13010230091803776</v>
      </c>
      <c r="Y1274" s="13">
        <f t="shared" si="199"/>
        <v>0</v>
      </c>
      <c r="Z1274" s="13">
        <f t="shared" si="199"/>
        <v>0</v>
      </c>
      <c r="AA1274">
        <f t="shared" ca="1" si="192"/>
        <v>1</v>
      </c>
      <c r="AB1274">
        <f t="shared" ca="1" si="193"/>
        <v>0</v>
      </c>
      <c r="AC1274" s="24">
        <f t="shared" ca="1" si="194"/>
        <v>-0.13010230091803776</v>
      </c>
      <c r="AD1274" s="24">
        <f t="shared" ca="1" si="195"/>
        <v>0</v>
      </c>
    </row>
    <row r="1275" spans="3:30" x14ac:dyDescent="0.25">
      <c r="C1275" s="6">
        <v>1268</v>
      </c>
      <c r="D1275" s="35">
        <v>43809</v>
      </c>
      <c r="E1275" s="37">
        <v>13.428000000000001</v>
      </c>
      <c r="F1275" s="37">
        <v>54.711738972805364</v>
      </c>
      <c r="G1275" s="37">
        <v>43.89</v>
      </c>
      <c r="H1275" s="37">
        <v>1.9926760026402734</v>
      </c>
      <c r="I1275" s="37">
        <v>63.512650419423998</v>
      </c>
      <c r="J1275" s="10">
        <v>0</v>
      </c>
      <c r="K1275" s="38">
        <v>0</v>
      </c>
      <c r="L1275" s="38">
        <v>0</v>
      </c>
      <c r="M1275" s="38">
        <v>0</v>
      </c>
      <c r="N1275" s="38">
        <v>0</v>
      </c>
      <c r="O1275" s="38">
        <v>0</v>
      </c>
      <c r="P1275" s="38">
        <v>0</v>
      </c>
      <c r="Q1275" s="38">
        <v>0</v>
      </c>
      <c r="R1275" s="38">
        <v>0</v>
      </c>
      <c r="S1275" s="38">
        <v>0</v>
      </c>
      <c r="T1275" s="38">
        <v>0</v>
      </c>
      <c r="U1275" s="29" cm="1">
        <f t="array" aca="1" ref="U1275" ca="1">+fair_value_gap(OFFSET(T1274,0,0,-1*$J$5,-1*$AA$1),OFFSET(E1274,0,0,-1*$J$5,1),F1275:T1275,0)</f>
        <v>14.15184723993141</v>
      </c>
      <c r="V1275" s="9" cm="1">
        <f t="array" aca="1" ref="V1275" ca="1">z_score_diff(OFFSET(U1275,0,0,$J$5*-1,1),OFFSET(E1275,0,0,$J$5*-1,1))</f>
        <v>-3.5125532858873321E-2</v>
      </c>
      <c r="W1275" s="9">
        <f t="shared" ca="1" si="191"/>
        <v>-2.5029866642283238E-2</v>
      </c>
      <c r="X1275" s="17">
        <f t="shared" ca="1" si="190"/>
        <v>-0.14134943949443052</v>
      </c>
      <c r="Y1275" s="13">
        <f t="shared" si="199"/>
        <v>0</v>
      </c>
      <c r="Z1275" s="13">
        <f t="shared" si="199"/>
        <v>0</v>
      </c>
      <c r="AA1275">
        <f t="shared" ca="1" si="192"/>
        <v>1</v>
      </c>
      <c r="AB1275">
        <f t="shared" ca="1" si="193"/>
        <v>0</v>
      </c>
      <c r="AC1275" s="24">
        <f t="shared" ca="1" si="194"/>
        <v>-0.14134943949443052</v>
      </c>
      <c r="AD1275" s="24">
        <f t="shared" ca="1" si="195"/>
        <v>0</v>
      </c>
    </row>
    <row r="1276" spans="3:30" x14ac:dyDescent="0.25">
      <c r="C1276" s="6">
        <v>1269</v>
      </c>
      <c r="D1276" s="35">
        <v>43810</v>
      </c>
      <c r="E1276" s="37">
        <v>13.095000000000001</v>
      </c>
      <c r="F1276" s="37">
        <v>53.912302654348927</v>
      </c>
      <c r="G1276" s="37">
        <v>43.84</v>
      </c>
      <c r="H1276" s="37">
        <v>1.9692411455144077</v>
      </c>
      <c r="I1276" s="37">
        <v>62.964244828412454</v>
      </c>
      <c r="J1276" s="10">
        <v>0</v>
      </c>
      <c r="K1276" s="38">
        <v>0</v>
      </c>
      <c r="L1276" s="38">
        <v>0</v>
      </c>
      <c r="M1276" s="38">
        <v>0</v>
      </c>
      <c r="N1276" s="38">
        <v>0</v>
      </c>
      <c r="O1276" s="38">
        <v>0</v>
      </c>
      <c r="P1276" s="38">
        <v>0</v>
      </c>
      <c r="Q1276" s="38">
        <v>0</v>
      </c>
      <c r="R1276" s="38">
        <v>0</v>
      </c>
      <c r="S1276" s="38">
        <v>0</v>
      </c>
      <c r="T1276" s="38">
        <v>0</v>
      </c>
      <c r="U1276" s="29" cm="1">
        <f t="array" aca="1" ref="U1276" ca="1">+fair_value_gap(OFFSET(T1275,0,0,-1*$J$5,-1*$AA$1),OFFSET(E1275,0,0,-1*$J$5,1),F1276:T1276,0)</f>
        <v>14.046723426193742</v>
      </c>
      <c r="V1276" s="9" cm="1">
        <f t="array" aca="1" ref="V1276" ca="1">z_score_diff(OFFSET(U1276,0,0,$J$5*-1,1),OFFSET(E1276,0,0,$J$5*-1,1))</f>
        <v>9.5091029608370903E-2</v>
      </c>
      <c r="W1276" s="9">
        <f t="shared" ca="1" si="191"/>
        <v>-1.477518231482069E-2</v>
      </c>
      <c r="X1276" s="17">
        <f t="shared" ca="1" si="190"/>
        <v>-0.10914348831160055</v>
      </c>
      <c r="Y1276" s="13">
        <f t="shared" si="199"/>
        <v>0</v>
      </c>
      <c r="Z1276" s="13">
        <f t="shared" si="199"/>
        <v>0</v>
      </c>
      <c r="AA1276">
        <f t="shared" ca="1" si="192"/>
        <v>1</v>
      </c>
      <c r="AB1276">
        <f t="shared" ca="1" si="193"/>
        <v>0</v>
      </c>
      <c r="AC1276" s="24">
        <f t="shared" ca="1" si="194"/>
        <v>-0.10914348831160055</v>
      </c>
      <c r="AD1276" s="24">
        <f t="shared" ca="1" si="195"/>
        <v>0</v>
      </c>
    </row>
    <row r="1277" spans="3:30" x14ac:dyDescent="0.25">
      <c r="C1277" s="6">
        <v>1270</v>
      </c>
      <c r="D1277" s="35">
        <v>43811</v>
      </c>
      <c r="E1277" s="37">
        <v>13.672000000000001</v>
      </c>
      <c r="F1277" s="37">
        <v>54.312100032334982</v>
      </c>
      <c r="G1277" s="37">
        <v>43.57</v>
      </c>
      <c r="H1277" s="37">
        <v>2.0102761264830562</v>
      </c>
      <c r="I1277" s="37">
        <v>63.204218470733302</v>
      </c>
      <c r="J1277" s="10">
        <v>0</v>
      </c>
      <c r="K1277" s="38">
        <v>0</v>
      </c>
      <c r="L1277" s="38">
        <v>0</v>
      </c>
      <c r="M1277" s="38">
        <v>0</v>
      </c>
      <c r="N1277" s="38">
        <v>0</v>
      </c>
      <c r="O1277" s="38">
        <v>0</v>
      </c>
      <c r="P1277" s="38">
        <v>0</v>
      </c>
      <c r="Q1277" s="38">
        <v>0</v>
      </c>
      <c r="R1277" s="38">
        <v>0</v>
      </c>
      <c r="S1277" s="38">
        <v>0</v>
      </c>
      <c r="T1277" s="38">
        <v>0</v>
      </c>
      <c r="U1277" s="29" cm="1">
        <f t="array" aca="1" ref="U1277" ca="1">+fair_value_gap(OFFSET(T1276,0,0,-1*$J$5,-1*$AA$1),OFFSET(E1276,0,0,-1*$J$5,1),F1277:T1277,0)</f>
        <v>13.844146453040512</v>
      </c>
      <c r="V1277" s="9" cm="1">
        <f t="array" aca="1" ref="V1277" ca="1">z_score_diff(OFFSET(U1277,0,0,$J$5*-1,1),OFFSET(E1277,0,0,$J$5*-1,1))</f>
        <v>-0.32214423263227054</v>
      </c>
      <c r="W1277" s="9">
        <f t="shared" ca="1" si="191"/>
        <v>-1.5337728370764924E-2</v>
      </c>
      <c r="X1277" s="17">
        <f t="shared" ca="1" si="190"/>
        <v>-0.20903566705676724</v>
      </c>
      <c r="Y1277" s="13">
        <f t="shared" si="199"/>
        <v>0</v>
      </c>
      <c r="Z1277" s="13">
        <f t="shared" si="199"/>
        <v>0</v>
      </c>
      <c r="AA1277">
        <f t="shared" ca="1" si="192"/>
        <v>1</v>
      </c>
      <c r="AB1277">
        <f t="shared" ca="1" si="193"/>
        <v>0</v>
      </c>
      <c r="AC1277" s="24">
        <f t="shared" ca="1" si="194"/>
        <v>-0.20903566705676724</v>
      </c>
      <c r="AD1277" s="24">
        <f t="shared" ca="1" si="195"/>
        <v>0</v>
      </c>
    </row>
    <row r="1278" spans="3:30" x14ac:dyDescent="0.25">
      <c r="C1278" s="6">
        <v>1271</v>
      </c>
      <c r="D1278" s="35">
        <v>43812</v>
      </c>
      <c r="E1278" s="37">
        <v>12.914</v>
      </c>
      <c r="F1278" s="37">
        <v>55.097569909987442</v>
      </c>
      <c r="G1278" s="37">
        <v>44.15</v>
      </c>
      <c r="H1278" s="37">
        <v>1.9880291482771006</v>
      </c>
      <c r="I1278" s="37">
        <v>62.770508885672314</v>
      </c>
      <c r="J1278" s="10">
        <v>0</v>
      </c>
      <c r="K1278" s="38">
        <v>0</v>
      </c>
      <c r="L1278" s="38">
        <v>0</v>
      </c>
      <c r="M1278" s="38">
        <v>0</v>
      </c>
      <c r="N1278" s="38">
        <v>0</v>
      </c>
      <c r="O1278" s="38">
        <v>0</v>
      </c>
      <c r="P1278" s="38">
        <v>0</v>
      </c>
      <c r="Q1278" s="38">
        <v>0</v>
      </c>
      <c r="R1278" s="38">
        <v>0</v>
      </c>
      <c r="S1278" s="38">
        <v>0</v>
      </c>
      <c r="T1278" s="38">
        <v>0</v>
      </c>
      <c r="U1278" s="29" cm="1">
        <f t="array" aca="1" ref="U1278" ca="1">+fair_value_gap(OFFSET(T1277,0,0,-1*$J$5,-1*$AA$1),OFFSET(E1277,0,0,-1*$J$5,1),F1278:T1278,0)</f>
        <v>13.797201902196578</v>
      </c>
      <c r="V1278" s="9" cm="1">
        <f t="array" aca="1" ref="V1278" ca="1">z_score_diff(OFFSET(U1278,0,0,$J$5*-1,1),OFFSET(E1278,0,0,$J$5*-1,1))</f>
        <v>8.173174107563197E-2</v>
      </c>
      <c r="W1278" s="9">
        <f t="shared" ca="1" si="191"/>
        <v>7.1855390161896125E-3</v>
      </c>
      <c r="X1278" s="17">
        <f t="shared" ca="1" si="190"/>
        <v>-0.15978056016302061</v>
      </c>
      <c r="Y1278" s="13">
        <f t="shared" si="199"/>
        <v>0</v>
      </c>
      <c r="Z1278" s="13">
        <f t="shared" si="199"/>
        <v>0</v>
      </c>
      <c r="AA1278">
        <f t="shared" ca="1" si="192"/>
        <v>0</v>
      </c>
      <c r="AB1278">
        <f t="shared" ca="1" si="193"/>
        <v>1</v>
      </c>
      <c r="AC1278" s="24">
        <f t="shared" ca="1" si="194"/>
        <v>0</v>
      </c>
      <c r="AD1278" s="24">
        <f t="shared" ca="1" si="195"/>
        <v>-0.15978056016302061</v>
      </c>
    </row>
    <row r="1279" spans="3:30" x14ac:dyDescent="0.25">
      <c r="C1279" s="6">
        <v>1272</v>
      </c>
      <c r="D1279" s="35">
        <v>43815</v>
      </c>
      <c r="E1279" s="37">
        <v>13.026</v>
      </c>
      <c r="F1279" s="37">
        <v>55.164032944077562</v>
      </c>
      <c r="G1279" s="37">
        <v>43.59</v>
      </c>
      <c r="H1279" s="37">
        <v>2.0091097381948173</v>
      </c>
      <c r="I1279" s="37">
        <v>62.269096521534735</v>
      </c>
      <c r="J1279" s="10">
        <v>0</v>
      </c>
      <c r="K1279" s="38">
        <v>0</v>
      </c>
      <c r="L1279" s="38">
        <v>0</v>
      </c>
      <c r="M1279" s="38">
        <v>0</v>
      </c>
      <c r="N1279" s="38">
        <v>0</v>
      </c>
      <c r="O1279" s="38">
        <v>0</v>
      </c>
      <c r="P1279" s="38">
        <v>0</v>
      </c>
      <c r="Q1279" s="38">
        <v>0</v>
      </c>
      <c r="R1279" s="38">
        <v>0</v>
      </c>
      <c r="S1279" s="38">
        <v>0</v>
      </c>
      <c r="T1279" s="38">
        <v>0</v>
      </c>
      <c r="U1279" s="29" cm="1">
        <f t="array" aca="1" ref="U1279" ca="1">+fair_value_gap(OFFSET(T1278,0,0,-1*$J$5,-1*$AA$1),OFFSET(E1278,0,0,-1*$J$5,1),F1279:T1279,0)</f>
        <v>13.503485194515676</v>
      </c>
      <c r="V1279" s="9" cm="1">
        <f t="array" aca="1" ref="V1279" ca="1">z_score_diff(OFFSET(U1279,0,0,$J$5*-1,1),OFFSET(E1279,0,0,$J$5*-1,1))</f>
        <v>-0.13231215900056625</v>
      </c>
      <c r="W1279" s="9">
        <f t="shared" ca="1" si="191"/>
        <v>1.3026835171278672E-2</v>
      </c>
      <c r="X1279" s="17">
        <f t="shared" ca="1" si="190"/>
        <v>-0.18075668327536726</v>
      </c>
      <c r="Y1279" s="13">
        <f t="shared" si="199"/>
        <v>0</v>
      </c>
      <c r="Z1279" s="13">
        <f t="shared" si="199"/>
        <v>0</v>
      </c>
      <c r="AA1279">
        <f t="shared" ca="1" si="192"/>
        <v>0</v>
      </c>
      <c r="AB1279">
        <f t="shared" ca="1" si="193"/>
        <v>1</v>
      </c>
      <c r="AC1279" s="24">
        <f t="shared" ca="1" si="194"/>
        <v>0</v>
      </c>
      <c r="AD1279" s="24">
        <f t="shared" ca="1" si="195"/>
        <v>-0.18075668327536726</v>
      </c>
    </row>
    <row r="1280" spans="3:30" x14ac:dyDescent="0.25">
      <c r="C1280" s="6">
        <v>1273</v>
      </c>
      <c r="D1280" s="35">
        <v>43816</v>
      </c>
      <c r="E1280" s="37">
        <v>13.436999999999999</v>
      </c>
      <c r="F1280" s="37">
        <v>55.645584522424905</v>
      </c>
      <c r="G1280" s="37">
        <v>43.62</v>
      </c>
      <c r="H1280" s="37">
        <v>2.0070352614110236</v>
      </c>
      <c r="I1280" s="37">
        <v>62.276602082210438</v>
      </c>
      <c r="J1280" s="10">
        <v>0</v>
      </c>
      <c r="K1280" s="38">
        <v>0</v>
      </c>
      <c r="L1280" s="38">
        <v>0</v>
      </c>
      <c r="M1280" s="38">
        <v>0</v>
      </c>
      <c r="N1280" s="38">
        <v>0</v>
      </c>
      <c r="O1280" s="38">
        <v>0</v>
      </c>
      <c r="P1280" s="38">
        <v>0</v>
      </c>
      <c r="Q1280" s="38">
        <v>0</v>
      </c>
      <c r="R1280" s="38">
        <v>0</v>
      </c>
      <c r="S1280" s="38">
        <v>0</v>
      </c>
      <c r="T1280" s="38">
        <v>0</v>
      </c>
      <c r="U1280" s="29" cm="1">
        <f t="array" aca="1" ref="U1280" ca="1">+fair_value_gap(OFFSET(T1279,0,0,-1*$J$5,-1*$AA$1),OFFSET(E1279,0,0,-1*$J$5,1),F1280:T1280,0)</f>
        <v>13.408516360746091</v>
      </c>
      <c r="V1280" s="9" cm="1">
        <f t="array" aca="1" ref="V1280" ca="1">z_score_diff(OFFSET(U1280,0,0,$J$5*-1,1),OFFSET(E1280,0,0,$J$5*-1,1))</f>
        <v>-0.39294558798455537</v>
      </c>
      <c r="W1280" s="9">
        <f t="shared" ca="1" si="191"/>
        <v>5.5488107997250461E-3</v>
      </c>
      <c r="X1280" s="17">
        <f t="shared" ca="1" si="190"/>
        <v>-0.21707803648825061</v>
      </c>
      <c r="Y1280" s="13">
        <f t="shared" si="199"/>
        <v>0</v>
      </c>
      <c r="Z1280" s="13">
        <f t="shared" si="199"/>
        <v>0</v>
      </c>
      <c r="AA1280">
        <f t="shared" ca="1" si="192"/>
        <v>0</v>
      </c>
      <c r="AB1280">
        <f t="shared" ca="1" si="193"/>
        <v>1</v>
      </c>
      <c r="AC1280" s="24">
        <f t="shared" ca="1" si="194"/>
        <v>0</v>
      </c>
      <c r="AD1280" s="24">
        <f t="shared" ca="1" si="195"/>
        <v>-0.21707803648825061</v>
      </c>
    </row>
    <row r="1281" spans="3:30" x14ac:dyDescent="0.25">
      <c r="C1281" s="6">
        <v>1274</v>
      </c>
      <c r="D1281" s="35">
        <v>43817</v>
      </c>
      <c r="E1281" s="37">
        <v>13.744999999999999</v>
      </c>
      <c r="F1281" s="37">
        <v>55.842481888083917</v>
      </c>
      <c r="G1281" s="37">
        <v>43.8</v>
      </c>
      <c r="H1281" s="37">
        <v>1.9920885372683232</v>
      </c>
      <c r="I1281" s="37">
        <v>62.224987777234553</v>
      </c>
      <c r="J1281" s="10">
        <v>0</v>
      </c>
      <c r="K1281" s="38">
        <v>0</v>
      </c>
      <c r="L1281" s="38">
        <v>0</v>
      </c>
      <c r="M1281" s="38">
        <v>0</v>
      </c>
      <c r="N1281" s="38">
        <v>0</v>
      </c>
      <c r="O1281" s="38">
        <v>0</v>
      </c>
      <c r="P1281" s="38">
        <v>0</v>
      </c>
      <c r="Q1281" s="38">
        <v>0</v>
      </c>
      <c r="R1281" s="38">
        <v>0</v>
      </c>
      <c r="S1281" s="38">
        <v>0</v>
      </c>
      <c r="T1281" s="38">
        <v>0</v>
      </c>
      <c r="U1281" s="29" cm="1">
        <f t="array" aca="1" ref="U1281" ca="1">+fair_value_gap(OFFSET(T1280,0,0,-1*$J$5,-1*$AA$1),OFFSET(E1280,0,0,-1*$J$5,1),F1281:T1281,0)</f>
        <v>13.420839712191007</v>
      </c>
      <c r="V1281" s="9" cm="1">
        <f t="array" aca="1" ref="V1281" ca="1">z_score_diff(OFFSET(U1281,0,0,$J$5*-1,1),OFFSET(E1281,0,0,$J$5*-1,1))</f>
        <v>-0.53312827923503781</v>
      </c>
      <c r="W1281" s="9">
        <f t="shared" ca="1" si="191"/>
        <v>-2.4124204334308617E-3</v>
      </c>
      <c r="X1281" s="17">
        <f t="shared" ca="1" si="190"/>
        <v>-0.26502330768647109</v>
      </c>
      <c r="Y1281" s="13">
        <f t="shared" si="199"/>
        <v>0</v>
      </c>
      <c r="Z1281" s="13">
        <f t="shared" si="199"/>
        <v>0</v>
      </c>
      <c r="AA1281">
        <f t="shared" ca="1" si="192"/>
        <v>1</v>
      </c>
      <c r="AB1281">
        <f t="shared" ca="1" si="193"/>
        <v>0</v>
      </c>
      <c r="AC1281" s="24">
        <f t="shared" ca="1" si="194"/>
        <v>-0.26502330768647109</v>
      </c>
      <c r="AD1281" s="24">
        <f t="shared" ca="1" si="195"/>
        <v>0</v>
      </c>
    </row>
    <row r="1282" spans="3:30" x14ac:dyDescent="0.25">
      <c r="C1282" s="6">
        <v>1275</v>
      </c>
      <c r="D1282" s="35">
        <v>43818</v>
      </c>
      <c r="E1282" s="37">
        <v>13.893000000000001</v>
      </c>
      <c r="F1282" s="37">
        <v>56.034976771294311</v>
      </c>
      <c r="G1282" s="37">
        <v>43.86</v>
      </c>
      <c r="H1282" s="37">
        <v>1.9910319160372689</v>
      </c>
      <c r="I1282" s="37">
        <v>62.280828788135892</v>
      </c>
      <c r="J1282" s="10">
        <v>0</v>
      </c>
      <c r="K1282" s="38">
        <v>0</v>
      </c>
      <c r="L1282" s="38">
        <v>0</v>
      </c>
      <c r="M1282" s="38">
        <v>0</v>
      </c>
      <c r="N1282" s="38">
        <v>0</v>
      </c>
      <c r="O1282" s="38">
        <v>0</v>
      </c>
      <c r="P1282" s="38">
        <v>0</v>
      </c>
      <c r="Q1282" s="38">
        <v>0</v>
      </c>
      <c r="R1282" s="38">
        <v>0</v>
      </c>
      <c r="S1282" s="38">
        <v>0</v>
      </c>
      <c r="T1282" s="38">
        <v>0</v>
      </c>
      <c r="U1282" s="29" cm="1">
        <f t="array" aca="1" ref="U1282" ca="1">+fair_value_gap(OFFSET(T1281,0,0,-1*$J$5,-1*$AA$1),OFFSET(E1281,0,0,-1*$J$5,1),F1282:T1282,0)</f>
        <v>13.454308598589851</v>
      </c>
      <c r="V1282" s="9" cm="1">
        <f t="array" aca="1" ref="V1282" ca="1">z_score_diff(OFFSET(U1282,0,0,$J$5*-1,1),OFFSET(E1282,0,0,$J$5*-1,1))</f>
        <v>-0.57411615847013486</v>
      </c>
      <c r="W1282" s="9">
        <f t="shared" ca="1" si="191"/>
        <v>-1.1151900118957447E-2</v>
      </c>
      <c r="X1282" s="17">
        <f t="shared" ca="1" si="190"/>
        <v>-0.25936724845734233</v>
      </c>
      <c r="Y1282" s="13">
        <f t="shared" si="199"/>
        <v>0</v>
      </c>
      <c r="Z1282" s="13">
        <f t="shared" si="199"/>
        <v>0</v>
      </c>
      <c r="AA1282">
        <f t="shared" ca="1" si="192"/>
        <v>1</v>
      </c>
      <c r="AB1282">
        <f t="shared" ca="1" si="193"/>
        <v>0</v>
      </c>
      <c r="AC1282" s="24">
        <f t="shared" ca="1" si="194"/>
        <v>-0.25936724845734233</v>
      </c>
      <c r="AD1282" s="24">
        <f t="shared" ca="1" si="195"/>
        <v>0</v>
      </c>
    </row>
    <row r="1283" spans="3:30" x14ac:dyDescent="0.25">
      <c r="C1283" s="6">
        <v>1276</v>
      </c>
      <c r="D1283" s="35">
        <v>43819</v>
      </c>
      <c r="E1283" s="37">
        <v>13.568</v>
      </c>
      <c r="F1283" s="37">
        <v>56.085509874762593</v>
      </c>
      <c r="G1283" s="37">
        <v>43.94</v>
      </c>
      <c r="H1283" s="37">
        <v>2.0206491781741325</v>
      </c>
      <c r="I1283" s="37">
        <v>62.252773930055547</v>
      </c>
      <c r="J1283" s="10">
        <v>0</v>
      </c>
      <c r="K1283" s="38">
        <v>0</v>
      </c>
      <c r="L1283" s="38">
        <v>0</v>
      </c>
      <c r="M1283" s="38">
        <v>0</v>
      </c>
      <c r="N1283" s="38">
        <v>0</v>
      </c>
      <c r="O1283" s="38">
        <v>0</v>
      </c>
      <c r="P1283" s="38">
        <v>0</v>
      </c>
      <c r="Q1283" s="38">
        <v>0</v>
      </c>
      <c r="R1283" s="38">
        <v>0</v>
      </c>
      <c r="S1283" s="38">
        <v>0</v>
      </c>
      <c r="T1283" s="38">
        <v>0</v>
      </c>
      <c r="U1283" s="29" cm="1">
        <f t="array" aca="1" ref="U1283" ca="1">+fair_value_gap(OFFSET(T1282,0,0,-1*$J$5,-1*$AA$1),OFFSET(E1282,0,0,-1*$J$5,1),F1283:T1283,0)</f>
        <v>13.525177708620308</v>
      </c>
      <c r="V1283" s="9" cm="1">
        <f t="array" aca="1" ref="V1283" ca="1">z_score_diff(OFFSET(U1283,0,0,$J$5*-1,1),OFFSET(E1283,0,0,$J$5*-1,1))</f>
        <v>-0.35376286869822637</v>
      </c>
      <c r="W1283" s="9">
        <f t="shared" ca="1" si="191"/>
        <v>-5.8028052878351891E-3</v>
      </c>
      <c r="X1283" s="17">
        <f t="shared" ca="1" si="190"/>
        <v>-0.2648511395569314</v>
      </c>
      <c r="Y1283" s="13">
        <f t="shared" si="199"/>
        <v>0</v>
      </c>
      <c r="Z1283" s="13">
        <f t="shared" si="199"/>
        <v>0</v>
      </c>
      <c r="AA1283">
        <f t="shared" ca="1" si="192"/>
        <v>1</v>
      </c>
      <c r="AB1283">
        <f t="shared" ca="1" si="193"/>
        <v>0</v>
      </c>
      <c r="AC1283" s="24">
        <f t="shared" ca="1" si="194"/>
        <v>-0.2648511395569314</v>
      </c>
      <c r="AD1283" s="24">
        <f t="shared" ca="1" si="195"/>
        <v>0</v>
      </c>
    </row>
    <row r="1284" spans="3:30" x14ac:dyDescent="0.25">
      <c r="C1284" s="6">
        <v>1277</v>
      </c>
      <c r="D1284" s="35">
        <v>43822</v>
      </c>
      <c r="E1284" s="37">
        <v>12.581</v>
      </c>
      <c r="F1284" s="37">
        <v>56.1664086914911</v>
      </c>
      <c r="G1284" s="37">
        <v>43.04</v>
      </c>
      <c r="H1284" s="37">
        <v>1.9800374442724609</v>
      </c>
      <c r="I1284" s="37">
        <v>63.357633792876669</v>
      </c>
      <c r="J1284" s="10">
        <v>0</v>
      </c>
      <c r="K1284" s="38">
        <v>0</v>
      </c>
      <c r="L1284" s="38">
        <v>0</v>
      </c>
      <c r="M1284" s="38">
        <v>0</v>
      </c>
      <c r="N1284" s="38">
        <v>0</v>
      </c>
      <c r="O1284" s="38">
        <v>0</v>
      </c>
      <c r="P1284" s="38">
        <v>0</v>
      </c>
      <c r="Q1284" s="38">
        <v>0</v>
      </c>
      <c r="R1284" s="38">
        <v>0</v>
      </c>
      <c r="S1284" s="38">
        <v>0</v>
      </c>
      <c r="T1284" s="38">
        <v>0</v>
      </c>
      <c r="U1284" s="29" cm="1">
        <f t="array" aca="1" ref="U1284" ca="1">+fair_value_gap(OFFSET(T1283,0,0,-1*$J$5,-1*$AA$1),OFFSET(E1283,0,0,-1*$J$5,1),F1284:T1284,0)</f>
        <v>13.284032544373352</v>
      </c>
      <c r="V1284" s="9" cm="1">
        <f t="array" aca="1" ref="V1284" ca="1">z_score_diff(OFFSET(U1284,0,0,$J$5*-1,1),OFFSET(E1284,0,0,$J$5*-1,1))</f>
        <v>4.5292483713480713E-2</v>
      </c>
      <c r="W1284" s="9">
        <f t="shared" ca="1" si="191"/>
        <v>2.486710535201133E-2</v>
      </c>
      <c r="X1284" s="17">
        <f t="shared" ca="1" si="190"/>
        <v>-0.19636131259514625</v>
      </c>
      <c r="Y1284" s="13">
        <f t="shared" si="199"/>
        <v>0</v>
      </c>
      <c r="Z1284" s="13">
        <f t="shared" si="199"/>
        <v>0</v>
      </c>
      <c r="AA1284">
        <f t="shared" ca="1" si="192"/>
        <v>0</v>
      </c>
      <c r="AB1284">
        <f t="shared" ca="1" si="193"/>
        <v>1</v>
      </c>
      <c r="AC1284" s="24">
        <f t="shared" ca="1" si="194"/>
        <v>0</v>
      </c>
      <c r="AD1284" s="24">
        <f t="shared" ca="1" si="195"/>
        <v>-0.19636131259514625</v>
      </c>
    </row>
    <row r="1285" spans="3:30" x14ac:dyDescent="0.25">
      <c r="C1285" s="6">
        <v>1278</v>
      </c>
      <c r="D1285" s="35">
        <v>43823</v>
      </c>
      <c r="E1285" s="37">
        <v>12.151999999999999</v>
      </c>
      <c r="F1285" s="37">
        <v>56.811748227307618</v>
      </c>
      <c r="G1285" s="37">
        <v>42.67</v>
      </c>
      <c r="H1285" s="37">
        <v>1.965943264928018</v>
      </c>
      <c r="I1285" s="37">
        <v>63.302481546435047</v>
      </c>
      <c r="J1285" s="10">
        <v>0</v>
      </c>
      <c r="K1285" s="38">
        <v>0</v>
      </c>
      <c r="L1285" s="38">
        <v>0</v>
      </c>
      <c r="M1285" s="38">
        <v>0</v>
      </c>
      <c r="N1285" s="38">
        <v>0</v>
      </c>
      <c r="O1285" s="38">
        <v>0</v>
      </c>
      <c r="P1285" s="38">
        <v>0</v>
      </c>
      <c r="Q1285" s="38">
        <v>0</v>
      </c>
      <c r="R1285" s="38">
        <v>0</v>
      </c>
      <c r="S1285" s="38">
        <v>0</v>
      </c>
      <c r="T1285" s="38">
        <v>0</v>
      </c>
      <c r="U1285" s="29" cm="1">
        <f t="array" aca="1" ref="U1285" ca="1">+fair_value_gap(OFFSET(T1284,0,0,-1*$J$5,-1*$AA$1),OFFSET(E1284,0,0,-1*$J$5,1),F1285:T1285,0)</f>
        <v>13.070102337972454</v>
      </c>
      <c r="V1285" s="9" cm="1">
        <f t="array" aca="1" ref="V1285" ca="1">z_score_diff(OFFSET(U1285,0,0,$J$5*-1,1),OFFSET(E1285,0,0,$J$5*-1,1))</f>
        <v>0.15531674540395723</v>
      </c>
      <c r="W1285" s="9">
        <f t="shared" ca="1" si="191"/>
        <v>5.404873536391315E-2</v>
      </c>
      <c r="X1285" s="17">
        <f t="shared" ca="1" si="190"/>
        <v>-0.1568424714929697</v>
      </c>
      <c r="Y1285" s="13">
        <f t="shared" si="199"/>
        <v>0</v>
      </c>
      <c r="Z1285" s="13">
        <f t="shared" si="199"/>
        <v>0</v>
      </c>
      <c r="AA1285">
        <f t="shared" ca="1" si="192"/>
        <v>0</v>
      </c>
      <c r="AB1285">
        <f t="shared" ca="1" si="193"/>
        <v>1</v>
      </c>
      <c r="AC1285" s="24">
        <f t="shared" ca="1" si="194"/>
        <v>0</v>
      </c>
      <c r="AD1285" s="24">
        <f t="shared" ca="1" si="195"/>
        <v>-0.1568424714929697</v>
      </c>
    </row>
    <row r="1286" spans="3:30" x14ac:dyDescent="0.25">
      <c r="C1286" s="6">
        <v>1279</v>
      </c>
      <c r="D1286" s="35">
        <v>43826</v>
      </c>
      <c r="E1286" s="37">
        <v>12.154</v>
      </c>
      <c r="F1286" s="37">
        <v>56.914914326772305</v>
      </c>
      <c r="G1286" s="37">
        <v>42.67</v>
      </c>
      <c r="H1286" s="37">
        <v>1.9909601560204868</v>
      </c>
      <c r="I1286" s="37">
        <v>63.622237874610228</v>
      </c>
      <c r="J1286" s="10">
        <v>0</v>
      </c>
      <c r="K1286" s="38">
        <v>0</v>
      </c>
      <c r="L1286" s="38">
        <v>0</v>
      </c>
      <c r="M1286" s="38">
        <v>0</v>
      </c>
      <c r="N1286" s="38">
        <v>0</v>
      </c>
      <c r="O1286" s="38">
        <v>0</v>
      </c>
      <c r="P1286" s="38">
        <v>0</v>
      </c>
      <c r="Q1286" s="38">
        <v>0</v>
      </c>
      <c r="R1286" s="38">
        <v>0</v>
      </c>
      <c r="S1286" s="38">
        <v>0</v>
      </c>
      <c r="T1286" s="38">
        <v>0</v>
      </c>
      <c r="U1286" s="29" cm="1">
        <f t="array" aca="1" ref="U1286" ca="1">+fair_value_gap(OFFSET(T1285,0,0,-1*$J$5,-1*$AA$1),OFFSET(E1285,0,0,-1*$J$5,1),F1286:T1286,0)</f>
        <v>13.018439806597611</v>
      </c>
      <c r="V1286" s="9" cm="1">
        <f t="array" aca="1" ref="V1286" ca="1">z_score_diff(OFFSET(U1286,0,0,$J$5*-1,1),OFFSET(E1286,0,0,$J$5*-1,1))</f>
        <v>0.12229864330539986</v>
      </c>
      <c r="W1286" s="9">
        <f t="shared" ca="1" si="191"/>
        <v>8.1874850511608338E-2</v>
      </c>
      <c r="X1286" s="17">
        <f t="shared" ca="1" si="190"/>
        <v>-0.1528761920193295</v>
      </c>
      <c r="Y1286" s="13">
        <f t="shared" si="199"/>
        <v>0</v>
      </c>
      <c r="Z1286" s="13">
        <f t="shared" si="199"/>
        <v>0</v>
      </c>
      <c r="AA1286">
        <f t="shared" ca="1" si="192"/>
        <v>0</v>
      </c>
      <c r="AB1286">
        <f t="shared" ca="1" si="193"/>
        <v>1</v>
      </c>
      <c r="AC1286" s="24">
        <f t="shared" ca="1" si="194"/>
        <v>0</v>
      </c>
      <c r="AD1286" s="24">
        <f t="shared" ca="1" si="195"/>
        <v>-0.1528761920193295</v>
      </c>
    </row>
    <row r="1287" spans="3:30" x14ac:dyDescent="0.25">
      <c r="C1287" s="6">
        <v>1280</v>
      </c>
      <c r="D1287" s="35">
        <v>43829</v>
      </c>
      <c r="E1287" s="37">
        <v>11.714</v>
      </c>
      <c r="F1287" s="37">
        <v>56.630248689482322</v>
      </c>
      <c r="G1287" s="37">
        <v>40.97</v>
      </c>
      <c r="H1287" s="37">
        <v>2.0324055280018354</v>
      </c>
      <c r="I1287" s="37">
        <v>62.392996452335986</v>
      </c>
      <c r="J1287" s="10">
        <v>0</v>
      </c>
      <c r="K1287" s="38">
        <v>0</v>
      </c>
      <c r="L1287" s="38">
        <v>0</v>
      </c>
      <c r="M1287" s="38">
        <v>0</v>
      </c>
      <c r="N1287" s="38">
        <v>0</v>
      </c>
      <c r="O1287" s="38">
        <v>0</v>
      </c>
      <c r="P1287" s="38">
        <v>0</v>
      </c>
      <c r="Q1287" s="38">
        <v>0</v>
      </c>
      <c r="R1287" s="38">
        <v>0</v>
      </c>
      <c r="S1287" s="38">
        <v>0</v>
      </c>
      <c r="T1287" s="38">
        <v>0</v>
      </c>
      <c r="U1287" s="29" cm="1">
        <f t="array" aca="1" ref="U1287" ca="1">+fair_value_gap(OFFSET(T1286,0,0,-1*$J$5,-1*$AA$1),OFFSET(E1286,0,0,-1*$J$5,1),F1287:T1287,0)</f>
        <v>12.415948349226637</v>
      </c>
      <c r="V1287" s="9" cm="1">
        <f t="array" aca="1" ref="V1287" ca="1">z_score_diff(OFFSET(U1287,0,0,$J$5*-1,1),OFFSET(E1287,0,0,$J$5*-1,1))</f>
        <v>4.5773106759614546E-2</v>
      </c>
      <c r="W1287" s="9">
        <f t="shared" ca="1" si="191"/>
        <v>9.8775133385094069E-2</v>
      </c>
      <c r="X1287" s="17">
        <f t="shared" ref="X1287:X1350" ca="1" si="200">+LN(OFFSET(E1287,$X$3,0,1,1)/E1287)</f>
        <v>-7.8926433779037117E-2</v>
      </c>
      <c r="Y1287" s="13">
        <f t="shared" si="199"/>
        <v>0</v>
      </c>
      <c r="Z1287" s="13">
        <f t="shared" si="199"/>
        <v>0</v>
      </c>
      <c r="AA1287">
        <f t="shared" ca="1" si="192"/>
        <v>0</v>
      </c>
      <c r="AB1287">
        <f t="shared" ca="1" si="193"/>
        <v>1</v>
      </c>
      <c r="AC1287" s="24">
        <f t="shared" ca="1" si="194"/>
        <v>0</v>
      </c>
      <c r="AD1287" s="24">
        <f t="shared" ca="1" si="195"/>
        <v>-7.8926433779037117E-2</v>
      </c>
    </row>
    <row r="1288" spans="3:30" x14ac:dyDescent="0.25">
      <c r="C1288" s="6">
        <v>1281</v>
      </c>
      <c r="D1288" s="35">
        <v>43830</v>
      </c>
      <c r="E1288" s="37">
        <v>11.46</v>
      </c>
      <c r="F1288" s="37">
        <v>55.496420908560978</v>
      </c>
      <c r="G1288" s="37">
        <v>39.020000000000003</v>
      </c>
      <c r="H1288" s="37">
        <v>2.0309591189006189</v>
      </c>
      <c r="I1288" s="37">
        <v>62.43678055499948</v>
      </c>
      <c r="J1288" s="10">
        <v>0</v>
      </c>
      <c r="K1288" s="38">
        <v>0</v>
      </c>
      <c r="L1288" s="38">
        <v>0</v>
      </c>
      <c r="M1288" s="38">
        <v>0</v>
      </c>
      <c r="N1288" s="38">
        <v>0</v>
      </c>
      <c r="O1288" s="38">
        <v>0</v>
      </c>
      <c r="P1288" s="38">
        <v>0</v>
      </c>
      <c r="Q1288" s="38">
        <v>0</v>
      </c>
      <c r="R1288" s="38">
        <v>0</v>
      </c>
      <c r="S1288" s="38">
        <v>0</v>
      </c>
      <c r="T1288" s="38">
        <v>0</v>
      </c>
      <c r="U1288" s="29" cm="1">
        <f t="array" aca="1" ref="U1288" ca="1">+fair_value_gap(OFFSET(T1287,0,0,-1*$J$5,-1*$AA$1),OFFSET(E1287,0,0,-1*$J$5,1),F1288:T1288,0)</f>
        <v>11.83837086560872</v>
      </c>
      <c r="V1288" s="9" cm="1">
        <f t="array" aca="1" ref="V1288" ca="1">z_score_diff(OFFSET(U1288,0,0,$J$5*-1,1),OFFSET(E1288,0,0,$J$5*-1,1))</f>
        <v>-0.10285306776221548</v>
      </c>
      <c r="W1288" s="9">
        <f t="shared" ref="W1288:W1351" ca="1" si="201">+IF(ISERROR(AVERAGE(OFFSET(V1288,0,0,$W$5*-1,1))),"",AVERAGE(OFFSET(V1288,0,0,$W$5*-1,1)))</f>
        <v>6.8312379226465159E-2</v>
      </c>
      <c r="X1288" s="17">
        <f t="shared" ca="1" si="200"/>
        <v>-0.11207292959573061</v>
      </c>
      <c r="Y1288" s="13">
        <f t="shared" si="199"/>
        <v>0</v>
      </c>
      <c r="Z1288" s="13">
        <f t="shared" si="199"/>
        <v>0</v>
      </c>
      <c r="AA1288">
        <f t="shared" ref="AA1288:AA1351" ca="1" si="202">+IF(W1288="","",IF(W1288&lt;Y1288,1,0))</f>
        <v>0</v>
      </c>
      <c r="AB1288">
        <f t="shared" ref="AB1288:AB1351" ca="1" si="203">+IF(W1288="","",IF(W1288&gt;Z1288,1,0))</f>
        <v>1</v>
      </c>
      <c r="AC1288" s="24">
        <f t="shared" ref="AC1288:AC1351" ca="1" si="204">+IF(ISERROR(AA1288*X1288),"",AA1288*X1288)</f>
        <v>0</v>
      </c>
      <c r="AD1288" s="24">
        <f t="shared" ref="AD1288:AD1351" ca="1" si="205">+IF(ISERROR(AB1288*X1288),"",AB1288*X1288)</f>
        <v>-0.11207292959573061</v>
      </c>
    </row>
    <row r="1289" spans="3:30" x14ac:dyDescent="0.25">
      <c r="C1289" s="6">
        <v>1282</v>
      </c>
      <c r="D1289" s="35">
        <v>43832</v>
      </c>
      <c r="E1289" s="37">
        <v>11.45</v>
      </c>
      <c r="F1289" s="37">
        <v>56.039199991499821</v>
      </c>
      <c r="G1289" s="37">
        <v>38.21</v>
      </c>
      <c r="H1289" s="37">
        <v>2.0028546433997882</v>
      </c>
      <c r="I1289" s="37">
        <v>63.087264961200219</v>
      </c>
      <c r="J1289" s="10">
        <v>1</v>
      </c>
      <c r="K1289" s="38">
        <v>0</v>
      </c>
      <c r="L1289" s="38">
        <v>0</v>
      </c>
      <c r="M1289" s="38">
        <v>0</v>
      </c>
      <c r="N1289" s="38">
        <v>0</v>
      </c>
      <c r="O1289" s="38">
        <v>0</v>
      </c>
      <c r="P1289" s="38">
        <v>0</v>
      </c>
      <c r="Q1289" s="38">
        <v>0</v>
      </c>
      <c r="R1289" s="38">
        <v>0</v>
      </c>
      <c r="S1289" s="38">
        <v>0</v>
      </c>
      <c r="T1289" s="38">
        <v>0</v>
      </c>
      <c r="U1289" s="29" cm="1">
        <f t="array" aca="1" ref="U1289" ca="1">+fair_value_gap(OFFSET(T1288,0,0,-1*$J$5,-1*$AA$1),OFFSET(E1288,0,0,-1*$J$5,1),F1289:T1289,0)</f>
        <v>14.670243717045615</v>
      </c>
      <c r="V1289" s="9" cm="1">
        <f t="array" aca="1" ref="V1289" ca="1">z_score_diff(OFFSET(U1289,0,0,$J$5*-1,1),OFFSET(E1289,0,0,$J$5*-1,1))</f>
        <v>1.2202150856223377</v>
      </c>
      <c r="W1289" s="9">
        <f t="shared" ca="1" si="201"/>
        <v>6.2748870538286899E-2</v>
      </c>
      <c r="X1289" s="17">
        <f t="shared" ca="1" si="200"/>
        <v>-0.13201040393818725</v>
      </c>
      <c r="Y1289" s="13">
        <f t="shared" ref="Y1289:Z1304" si="206">+Y1288</f>
        <v>0</v>
      </c>
      <c r="Z1289" s="13">
        <f t="shared" si="206"/>
        <v>0</v>
      </c>
      <c r="AA1289">
        <f t="shared" ca="1" si="202"/>
        <v>0</v>
      </c>
      <c r="AB1289">
        <f t="shared" ca="1" si="203"/>
        <v>1</v>
      </c>
      <c r="AC1289" s="24">
        <f t="shared" ca="1" si="204"/>
        <v>0</v>
      </c>
      <c r="AD1289" s="24">
        <f t="shared" ca="1" si="205"/>
        <v>-0.13201040393818725</v>
      </c>
    </row>
    <row r="1290" spans="3:30" x14ac:dyDescent="0.25">
      <c r="C1290" s="6">
        <v>1283</v>
      </c>
      <c r="D1290" s="35">
        <v>43833</v>
      </c>
      <c r="E1290" s="37">
        <v>12.593</v>
      </c>
      <c r="F1290" s="37">
        <v>57.622738560087342</v>
      </c>
      <c r="G1290" s="37">
        <v>38.89</v>
      </c>
      <c r="H1290" s="37">
        <v>2.0170617188981668</v>
      </c>
      <c r="I1290" s="37">
        <v>63.720007727934181</v>
      </c>
      <c r="J1290" s="10">
        <v>1</v>
      </c>
      <c r="K1290" s="38">
        <v>0</v>
      </c>
      <c r="L1290" s="38">
        <v>0</v>
      </c>
      <c r="M1290" s="38">
        <v>0</v>
      </c>
      <c r="N1290" s="38">
        <v>0</v>
      </c>
      <c r="O1290" s="38">
        <v>0</v>
      </c>
      <c r="P1290" s="38">
        <v>0</v>
      </c>
      <c r="Q1290" s="38">
        <v>0</v>
      </c>
      <c r="R1290" s="38">
        <v>0</v>
      </c>
      <c r="S1290" s="38">
        <v>0</v>
      </c>
      <c r="T1290" s="38">
        <v>0</v>
      </c>
      <c r="U1290" s="29" cm="1">
        <f t="array" aca="1" ref="U1290" ca="1">+fair_value_gap(OFFSET(T1289,0,0,-1*$J$5,-1*$AA$1),OFFSET(E1289,0,0,-1*$J$5,1),F1290:T1290,0)</f>
        <v>13.491020581614217</v>
      </c>
      <c r="V1290" s="9" cm="1">
        <f t="array" aca="1" ref="V1290" ca="1">z_score_diff(OFFSET(U1290,0,0,$J$5*-1,1),OFFSET(E1290,0,0,$J$5*-1,1))</f>
        <v>9.6470312121386126E-2</v>
      </c>
      <c r="W1290" s="9">
        <f t="shared" ca="1" si="201"/>
        <v>2.406756182167329E-2</v>
      </c>
      <c r="X1290" s="17">
        <f t="shared" ca="1" si="200"/>
        <v>-0.20840320638853033</v>
      </c>
      <c r="Y1290" s="13">
        <f t="shared" si="206"/>
        <v>0</v>
      </c>
      <c r="Z1290" s="13">
        <f t="shared" si="206"/>
        <v>0</v>
      </c>
      <c r="AA1290">
        <f t="shared" ca="1" si="202"/>
        <v>0</v>
      </c>
      <c r="AB1290">
        <f t="shared" ca="1" si="203"/>
        <v>1</v>
      </c>
      <c r="AC1290" s="24">
        <f t="shared" ca="1" si="204"/>
        <v>0</v>
      </c>
      <c r="AD1290" s="24">
        <f t="shared" ca="1" si="205"/>
        <v>-0.20840320638853033</v>
      </c>
    </row>
    <row r="1291" spans="3:30" x14ac:dyDescent="0.25">
      <c r="C1291" s="6">
        <v>1284</v>
      </c>
      <c r="D1291" s="35">
        <v>43836</v>
      </c>
      <c r="E1291" s="37">
        <v>12.073</v>
      </c>
      <c r="F1291" s="37">
        <v>57.607656516998681</v>
      </c>
      <c r="G1291" s="37">
        <v>38.450000000000003</v>
      </c>
      <c r="H1291" s="37">
        <v>2.0259870612496624</v>
      </c>
      <c r="I1291" s="37">
        <v>63.748349964746239</v>
      </c>
      <c r="J1291" s="10">
        <v>1</v>
      </c>
      <c r="K1291" s="38">
        <v>0</v>
      </c>
      <c r="L1291" s="38">
        <v>0</v>
      </c>
      <c r="M1291" s="38">
        <v>0</v>
      </c>
      <c r="N1291" s="38">
        <v>0</v>
      </c>
      <c r="O1291" s="38">
        <v>0</v>
      </c>
      <c r="P1291" s="38">
        <v>0</v>
      </c>
      <c r="Q1291" s="38">
        <v>0</v>
      </c>
      <c r="R1291" s="38">
        <v>0</v>
      </c>
      <c r="S1291" s="38">
        <v>0</v>
      </c>
      <c r="T1291" s="38">
        <v>0</v>
      </c>
      <c r="U1291" s="29" cm="1">
        <f t="array" aca="1" ref="U1291" ca="1">+fair_value_gap(OFFSET(T1290,0,0,-1*$J$5,-1*$AA$1),OFFSET(E1290,0,0,-1*$J$5,1),F1291:T1291,0)</f>
        <v>13.071362414755317</v>
      </c>
      <c r="V1291" s="9" cm="1">
        <f t="array" aca="1" ref="V1291" ca="1">z_score_diff(OFFSET(U1291,0,0,$J$5*-1,1),OFFSET(E1291,0,0,$J$5*-1,1))</f>
        <v>0.14261411129977386</v>
      </c>
      <c r="W1291" s="9">
        <f t="shared" ca="1" si="201"/>
        <v>8.9805143383430378E-3</v>
      </c>
      <c r="X1291" s="17">
        <f t="shared" ca="1" si="200"/>
        <v>-0.19964965363491538</v>
      </c>
      <c r="Y1291" s="13">
        <f t="shared" si="206"/>
        <v>0</v>
      </c>
      <c r="Z1291" s="13">
        <f t="shared" si="206"/>
        <v>0</v>
      </c>
      <c r="AA1291">
        <f t="shared" ca="1" si="202"/>
        <v>0</v>
      </c>
      <c r="AB1291">
        <f t="shared" ca="1" si="203"/>
        <v>1</v>
      </c>
      <c r="AC1291" s="24">
        <f t="shared" ca="1" si="204"/>
        <v>0</v>
      </c>
      <c r="AD1291" s="24">
        <f t="shared" ca="1" si="205"/>
        <v>-0.19964965363491538</v>
      </c>
    </row>
    <row r="1292" spans="3:30" x14ac:dyDescent="0.25">
      <c r="C1292" s="6">
        <v>1285</v>
      </c>
      <c r="D1292" s="35">
        <v>43837</v>
      </c>
      <c r="E1292" s="37">
        <v>11.725</v>
      </c>
      <c r="F1292" s="37">
        <v>57.549896985152024</v>
      </c>
      <c r="G1292" s="37">
        <v>37.950000000000003</v>
      </c>
      <c r="H1292" s="37">
        <v>2.0354527240816949</v>
      </c>
      <c r="I1292" s="37">
        <v>67.523082956676973</v>
      </c>
      <c r="J1292" s="10">
        <v>1</v>
      </c>
      <c r="K1292" s="38">
        <v>0</v>
      </c>
      <c r="L1292" s="38">
        <v>0</v>
      </c>
      <c r="M1292" s="38">
        <v>0</v>
      </c>
      <c r="N1292" s="38">
        <v>0</v>
      </c>
      <c r="O1292" s="38">
        <v>0</v>
      </c>
      <c r="P1292" s="38">
        <v>0</v>
      </c>
      <c r="Q1292" s="38">
        <v>0</v>
      </c>
      <c r="R1292" s="38">
        <v>0</v>
      </c>
      <c r="S1292" s="38">
        <v>0</v>
      </c>
      <c r="T1292" s="38">
        <v>0</v>
      </c>
      <c r="U1292" s="29" cm="1">
        <f t="array" aca="1" ref="U1292" ca="1">+fair_value_gap(OFFSET(T1291,0,0,-1*$J$5,-1*$AA$1),OFFSET(E1291,0,0,-1*$J$5,1),F1292:T1292,0)</f>
        <v>12.964844877454182</v>
      </c>
      <c r="V1292" s="9" cm="1">
        <f t="array" aca="1" ref="V1292" ca="1">z_score_diff(OFFSET(U1292,0,0,$J$5*-1,1),OFFSET(E1292,0,0,$J$5*-1,1))</f>
        <v>0.24927432986315434</v>
      </c>
      <c r="W1292" s="9">
        <f t="shared" ca="1" si="201"/>
        <v>4.9789972430294375E-3</v>
      </c>
      <c r="X1292" s="17">
        <f t="shared" ca="1" si="200"/>
        <v>-0.15504660343504373</v>
      </c>
      <c r="Y1292" s="13">
        <f t="shared" si="206"/>
        <v>0</v>
      </c>
      <c r="Z1292" s="13">
        <f t="shared" si="206"/>
        <v>0</v>
      </c>
      <c r="AA1292">
        <f t="shared" ca="1" si="202"/>
        <v>0</v>
      </c>
      <c r="AB1292">
        <f t="shared" ca="1" si="203"/>
        <v>1</v>
      </c>
      <c r="AC1292" s="24">
        <f t="shared" ca="1" si="204"/>
        <v>0</v>
      </c>
      <c r="AD1292" s="24">
        <f t="shared" ca="1" si="205"/>
        <v>-0.15504660343504373</v>
      </c>
    </row>
    <row r="1293" spans="3:30" x14ac:dyDescent="0.25">
      <c r="C1293" s="6">
        <v>1286</v>
      </c>
      <c r="D1293" s="35">
        <v>43838</v>
      </c>
      <c r="E1293" s="37">
        <v>11.741</v>
      </c>
      <c r="F1293" s="37">
        <v>55.420232257513121</v>
      </c>
      <c r="G1293" s="37">
        <v>37.880000000000003</v>
      </c>
      <c r="H1293" s="37">
        <v>2.0467648828919303</v>
      </c>
      <c r="I1293" s="37">
        <v>65.391422639587773</v>
      </c>
      <c r="J1293" s="10">
        <v>1</v>
      </c>
      <c r="K1293" s="38">
        <v>0</v>
      </c>
      <c r="L1293" s="38">
        <v>0</v>
      </c>
      <c r="M1293" s="38">
        <v>0</v>
      </c>
      <c r="N1293" s="38">
        <v>0</v>
      </c>
      <c r="O1293" s="38">
        <v>0</v>
      </c>
      <c r="P1293" s="38">
        <v>0</v>
      </c>
      <c r="Q1293" s="38">
        <v>0</v>
      </c>
      <c r="R1293" s="38">
        <v>0</v>
      </c>
      <c r="S1293" s="38">
        <v>0</v>
      </c>
      <c r="T1293" s="38">
        <v>0</v>
      </c>
      <c r="U1293" s="29" cm="1">
        <f t="array" aca="1" ref="U1293" ca="1">+fair_value_gap(OFFSET(T1292,0,0,-1*$J$5,-1*$AA$1),OFFSET(E1292,0,0,-1*$J$5,1),F1293:T1293,0)</f>
        <v>12.907149419784909</v>
      </c>
      <c r="V1293" s="9" cm="1">
        <f t="array" aca="1" ref="V1293" ca="1">z_score_diff(OFFSET(U1293,0,0,$J$5*-1,1),OFFSET(E1293,0,0,$J$5*-1,1))</f>
        <v>0.20844480244775321</v>
      </c>
      <c r="W1293" s="9">
        <f t="shared" ca="1" si="201"/>
        <v>6.7634555506479012E-3</v>
      </c>
      <c r="X1293" s="17">
        <f t="shared" ca="1" si="200"/>
        <v>-0.16410839224814078</v>
      </c>
      <c r="Y1293" s="13">
        <f t="shared" si="206"/>
        <v>0</v>
      </c>
      <c r="Z1293" s="13">
        <f t="shared" si="206"/>
        <v>0</v>
      </c>
      <c r="AA1293">
        <f t="shared" ca="1" si="202"/>
        <v>0</v>
      </c>
      <c r="AB1293">
        <f t="shared" ca="1" si="203"/>
        <v>1</v>
      </c>
      <c r="AC1293" s="24">
        <f t="shared" ca="1" si="204"/>
        <v>0</v>
      </c>
      <c r="AD1293" s="24">
        <f t="shared" ca="1" si="205"/>
        <v>-0.16410839224814078</v>
      </c>
    </row>
    <row r="1294" spans="3:30" x14ac:dyDescent="0.25">
      <c r="C1294" s="6">
        <v>1287</v>
      </c>
      <c r="D1294" s="35">
        <v>43839</v>
      </c>
      <c r="E1294" s="37">
        <v>11.904</v>
      </c>
      <c r="F1294" s="37">
        <v>55.418291420763964</v>
      </c>
      <c r="G1294" s="37">
        <v>38.19</v>
      </c>
      <c r="H1294" s="37">
        <v>2.0565868674147221</v>
      </c>
      <c r="I1294" s="37">
        <v>67.558299650674158</v>
      </c>
      <c r="J1294" s="10">
        <v>1</v>
      </c>
      <c r="K1294" s="38">
        <v>0</v>
      </c>
      <c r="L1294" s="38">
        <v>0</v>
      </c>
      <c r="M1294" s="38">
        <v>0</v>
      </c>
      <c r="N1294" s="38">
        <v>0</v>
      </c>
      <c r="O1294" s="38">
        <v>0</v>
      </c>
      <c r="P1294" s="38">
        <v>0</v>
      </c>
      <c r="Q1294" s="38">
        <v>0</v>
      </c>
      <c r="R1294" s="38">
        <v>0</v>
      </c>
      <c r="S1294" s="38">
        <v>0</v>
      </c>
      <c r="T1294" s="38">
        <v>0</v>
      </c>
      <c r="U1294" s="29" cm="1">
        <f t="array" aca="1" ref="U1294" ca="1">+fair_value_gap(OFFSET(T1293,0,0,-1*$J$5,-1*$AA$1),OFFSET(E1293,0,0,-1*$J$5,1),F1294:T1294,0)</f>
        <v>12.999284565028699</v>
      </c>
      <c r="V1294" s="9" cm="1">
        <f t="array" aca="1" ref="V1294" ca="1">z_score_diff(OFFSET(U1294,0,0,$J$5*-1,1),OFFSET(E1294,0,0,$J$5*-1,1))</f>
        <v>0.17427612852483731</v>
      </c>
      <c r="W1294" s="9">
        <f t="shared" ca="1" si="201"/>
        <v>9.5205316551908899E-3</v>
      </c>
      <c r="X1294" s="17">
        <f t="shared" ca="1" si="200"/>
        <v>-0.18413772115150479</v>
      </c>
      <c r="Y1294" s="13">
        <f t="shared" si="206"/>
        <v>0</v>
      </c>
      <c r="Z1294" s="13">
        <f t="shared" si="206"/>
        <v>0</v>
      </c>
      <c r="AA1294">
        <f t="shared" ca="1" si="202"/>
        <v>0</v>
      </c>
      <c r="AB1294">
        <f t="shared" ca="1" si="203"/>
        <v>1</v>
      </c>
      <c r="AC1294" s="24">
        <f t="shared" ca="1" si="204"/>
        <v>0</v>
      </c>
      <c r="AD1294" s="24">
        <f t="shared" ca="1" si="205"/>
        <v>-0.18413772115150479</v>
      </c>
    </row>
    <row r="1295" spans="3:30" x14ac:dyDescent="0.25">
      <c r="C1295" s="6">
        <v>1288</v>
      </c>
      <c r="D1295" s="35">
        <v>43840</v>
      </c>
      <c r="E1295" s="37">
        <v>11.657999999999999</v>
      </c>
      <c r="F1295" s="37">
        <v>55.015519250095608</v>
      </c>
      <c r="G1295" s="37">
        <v>38.04</v>
      </c>
      <c r="H1295" s="37">
        <v>2.0553001129481241</v>
      </c>
      <c r="I1295" s="37">
        <v>69.725456016933336</v>
      </c>
      <c r="J1295" s="10">
        <v>1</v>
      </c>
      <c r="K1295" s="38">
        <v>0</v>
      </c>
      <c r="L1295" s="38">
        <v>0</v>
      </c>
      <c r="M1295" s="38">
        <v>0</v>
      </c>
      <c r="N1295" s="38">
        <v>0</v>
      </c>
      <c r="O1295" s="38">
        <v>0</v>
      </c>
      <c r="P1295" s="38">
        <v>0</v>
      </c>
      <c r="Q1295" s="38">
        <v>0</v>
      </c>
      <c r="R1295" s="38">
        <v>0</v>
      </c>
      <c r="S1295" s="38">
        <v>0</v>
      </c>
      <c r="T1295" s="38">
        <v>0</v>
      </c>
      <c r="U1295" s="29" cm="1">
        <f t="array" aca="1" ref="U1295" ca="1">+fair_value_gap(OFFSET(T1294,0,0,-1*$J$5,-1*$AA$1),OFFSET(E1294,0,0,-1*$J$5,1),F1295:T1295,0)</f>
        <v>12.988948248255317</v>
      </c>
      <c r="V1295" s="9" cm="1">
        <f t="array" aca="1" ref="V1295" ca="1">z_score_diff(OFFSET(U1295,0,0,$J$5*-1,1),OFFSET(E1295,0,0,$J$5*-1,1))</f>
        <v>0.27645230256269171</v>
      </c>
      <c r="W1295" s="9">
        <f t="shared" ca="1" si="201"/>
        <v>2.5099423426269141E-2</v>
      </c>
      <c r="X1295" s="17">
        <f t="shared" ca="1" si="200"/>
        <v>-0.16913050709454866</v>
      </c>
      <c r="Y1295" s="13">
        <f t="shared" si="206"/>
        <v>0</v>
      </c>
      <c r="Z1295" s="13">
        <f t="shared" si="206"/>
        <v>0</v>
      </c>
      <c r="AA1295">
        <f t="shared" ca="1" si="202"/>
        <v>0</v>
      </c>
      <c r="AB1295">
        <f t="shared" ca="1" si="203"/>
        <v>1</v>
      </c>
      <c r="AC1295" s="24">
        <f t="shared" ca="1" si="204"/>
        <v>0</v>
      </c>
      <c r="AD1295" s="24">
        <f t="shared" ca="1" si="205"/>
        <v>-0.16913050709454866</v>
      </c>
    </row>
    <row r="1296" spans="3:30" x14ac:dyDescent="0.25">
      <c r="C1296" s="6">
        <v>1289</v>
      </c>
      <c r="D1296" s="35">
        <v>43843</v>
      </c>
      <c r="E1296" s="37">
        <v>11.741</v>
      </c>
      <c r="F1296" s="37">
        <v>54.350818548193729</v>
      </c>
      <c r="G1296" s="37">
        <v>37.97</v>
      </c>
      <c r="H1296" s="37">
        <v>2.0568054862355662</v>
      </c>
      <c r="I1296" s="37">
        <v>69.004225509716548</v>
      </c>
      <c r="J1296" s="10">
        <v>1</v>
      </c>
      <c r="K1296" s="38">
        <v>0</v>
      </c>
      <c r="L1296" s="38">
        <v>0</v>
      </c>
      <c r="M1296" s="38">
        <v>0</v>
      </c>
      <c r="N1296" s="38">
        <v>0</v>
      </c>
      <c r="O1296" s="38">
        <v>0</v>
      </c>
      <c r="P1296" s="38">
        <v>0</v>
      </c>
      <c r="Q1296" s="38">
        <v>0</v>
      </c>
      <c r="R1296" s="38">
        <v>0</v>
      </c>
      <c r="S1296" s="38">
        <v>0</v>
      </c>
      <c r="T1296" s="38">
        <v>0</v>
      </c>
      <c r="U1296" s="29" cm="1">
        <f t="array" aca="1" ref="U1296" ca="1">+fair_value_gap(OFFSET(T1295,0,0,-1*$J$5,-1*$AA$1),OFFSET(E1295,0,0,-1*$J$5,1),F1296:T1296,0)</f>
        <v>12.844965831892257</v>
      </c>
      <c r="V1296" s="9" cm="1">
        <f t="array" aca="1" ref="V1296" ca="1">z_score_diff(OFFSET(U1296,0,0,$J$5*-1,1),OFFSET(E1296,0,0,$J$5*-1,1))</f>
        <v>0.17033857288396659</v>
      </c>
      <c r="W1296" s="9">
        <f t="shared" ca="1" si="201"/>
        <v>2.8861800590048926E-2</v>
      </c>
      <c r="X1296" s="17">
        <f t="shared" ca="1" si="200"/>
        <v>-0.20434929643430541</v>
      </c>
      <c r="Y1296" s="13">
        <f t="shared" si="206"/>
        <v>0</v>
      </c>
      <c r="Z1296" s="13">
        <f t="shared" si="206"/>
        <v>0</v>
      </c>
      <c r="AA1296">
        <f t="shared" ca="1" si="202"/>
        <v>0</v>
      </c>
      <c r="AB1296">
        <f t="shared" ca="1" si="203"/>
        <v>1</v>
      </c>
      <c r="AC1296" s="24">
        <f t="shared" ca="1" si="204"/>
        <v>0</v>
      </c>
      <c r="AD1296" s="24">
        <f t="shared" ca="1" si="205"/>
        <v>-0.20434929643430541</v>
      </c>
    </row>
    <row r="1297" spans="3:30" x14ac:dyDescent="0.25">
      <c r="C1297" s="6">
        <v>1290</v>
      </c>
      <c r="D1297" s="35">
        <v>43844</v>
      </c>
      <c r="E1297" s="37">
        <v>11.093</v>
      </c>
      <c r="F1297" s="37">
        <v>54.58361993732926</v>
      </c>
      <c r="G1297" s="37">
        <v>36.89</v>
      </c>
      <c r="H1297" s="37">
        <v>2.049329657692629</v>
      </c>
      <c r="I1297" s="37">
        <v>65.541223874601641</v>
      </c>
      <c r="J1297" s="10">
        <v>1</v>
      </c>
      <c r="K1297" s="38">
        <v>0</v>
      </c>
      <c r="L1297" s="38">
        <v>0</v>
      </c>
      <c r="M1297" s="38">
        <v>0</v>
      </c>
      <c r="N1297" s="38">
        <v>0</v>
      </c>
      <c r="O1297" s="38">
        <v>0</v>
      </c>
      <c r="P1297" s="38">
        <v>0</v>
      </c>
      <c r="Q1297" s="38">
        <v>0</v>
      </c>
      <c r="R1297" s="38">
        <v>0</v>
      </c>
      <c r="S1297" s="38">
        <v>0</v>
      </c>
      <c r="T1297" s="38">
        <v>0</v>
      </c>
      <c r="U1297" s="29" cm="1">
        <f t="array" aca="1" ref="U1297" ca="1">+fair_value_gap(OFFSET(T1296,0,0,-1*$J$5,-1*$AA$1),OFFSET(E1296,0,0,-1*$J$5,1),F1297:T1297,0)</f>
        <v>12.083505774235825</v>
      </c>
      <c r="V1297" s="9" cm="1">
        <f t="array" aca="1" ref="V1297" ca="1">z_score_diff(OFFSET(U1297,0,0,$J$5*-1,1),OFFSET(E1297,0,0,$J$5*-1,1))</f>
        <v>0.12038157190156618</v>
      </c>
      <c r="W1297" s="9">
        <f t="shared" ca="1" si="201"/>
        <v>5.0988090816740758E-2</v>
      </c>
      <c r="X1297" s="17">
        <f t="shared" ca="1" si="200"/>
        <v>-0.1533396863158113</v>
      </c>
      <c r="Y1297" s="13">
        <f t="shared" si="206"/>
        <v>0</v>
      </c>
      <c r="Z1297" s="13">
        <f t="shared" si="206"/>
        <v>0</v>
      </c>
      <c r="AA1297">
        <f t="shared" ca="1" si="202"/>
        <v>0</v>
      </c>
      <c r="AB1297">
        <f t="shared" ca="1" si="203"/>
        <v>1</v>
      </c>
      <c r="AC1297" s="24">
        <f t="shared" ca="1" si="204"/>
        <v>0</v>
      </c>
      <c r="AD1297" s="24">
        <f t="shared" ca="1" si="205"/>
        <v>-0.1533396863158113</v>
      </c>
    </row>
    <row r="1298" spans="3:30" x14ac:dyDescent="0.25">
      <c r="C1298" s="6">
        <v>1291</v>
      </c>
      <c r="D1298" s="35">
        <v>43845</v>
      </c>
      <c r="E1298" s="37">
        <v>11.007</v>
      </c>
      <c r="F1298" s="37">
        <v>54.072465619278752</v>
      </c>
      <c r="G1298" s="37">
        <v>36.65</v>
      </c>
      <c r="H1298" s="37">
        <v>2.0099771504804078</v>
      </c>
      <c r="I1298" s="37">
        <v>64.042519975589343</v>
      </c>
      <c r="J1298" s="10">
        <v>1</v>
      </c>
      <c r="K1298" s="38">
        <v>0</v>
      </c>
      <c r="L1298" s="38">
        <v>0</v>
      </c>
      <c r="M1298" s="38">
        <v>0</v>
      </c>
      <c r="N1298" s="38">
        <v>0</v>
      </c>
      <c r="O1298" s="38">
        <v>0</v>
      </c>
      <c r="P1298" s="38">
        <v>0</v>
      </c>
      <c r="Q1298" s="38">
        <v>0</v>
      </c>
      <c r="R1298" s="38">
        <v>0</v>
      </c>
      <c r="S1298" s="38">
        <v>0</v>
      </c>
      <c r="T1298" s="38">
        <v>0</v>
      </c>
      <c r="U1298" s="29" cm="1">
        <f t="array" aca="1" ref="U1298" ca="1">+fair_value_gap(OFFSET(T1297,0,0,-1*$J$5,-1*$AA$1),OFFSET(E1297,0,0,-1*$J$5,1),F1298:T1298,0)</f>
        <v>11.843241353633424</v>
      </c>
      <c r="V1298" s="9" cm="1">
        <f t="array" aca="1" ref="V1298" ca="1">z_score_diff(OFFSET(U1298,0,0,$J$5*-1,1),OFFSET(E1298,0,0,$J$5*-1,1))</f>
        <v>5.5015394258703054E-2</v>
      </c>
      <c r="W1298" s="9">
        <f t="shared" ca="1" si="201"/>
        <v>4.9652273475894314E-2</v>
      </c>
      <c r="X1298" s="17">
        <f t="shared" ca="1" si="200"/>
        <v>-0.12331753784334087</v>
      </c>
      <c r="Y1298" s="13">
        <f t="shared" si="206"/>
        <v>0</v>
      </c>
      <c r="Z1298" s="13">
        <f t="shared" si="206"/>
        <v>0</v>
      </c>
      <c r="AA1298">
        <f t="shared" ca="1" si="202"/>
        <v>0</v>
      </c>
      <c r="AB1298">
        <f t="shared" ca="1" si="203"/>
        <v>1</v>
      </c>
      <c r="AC1298" s="24">
        <f t="shared" ca="1" si="204"/>
        <v>0</v>
      </c>
      <c r="AD1298" s="24">
        <f t="shared" ca="1" si="205"/>
        <v>-0.12331753784334087</v>
      </c>
    </row>
    <row r="1299" spans="3:30" x14ac:dyDescent="0.25">
      <c r="C1299" s="6">
        <v>1292</v>
      </c>
      <c r="D1299" s="35">
        <v>43846</v>
      </c>
      <c r="E1299" s="37">
        <v>10.872</v>
      </c>
      <c r="F1299" s="37">
        <v>54.538060320408889</v>
      </c>
      <c r="G1299" s="37">
        <v>36.19</v>
      </c>
      <c r="H1299" s="37">
        <v>1.9970058231943926</v>
      </c>
      <c r="I1299" s="37">
        <v>61.623923579231146</v>
      </c>
      <c r="J1299" s="10">
        <v>1</v>
      </c>
      <c r="K1299" s="38">
        <v>0</v>
      </c>
      <c r="L1299" s="38">
        <v>0</v>
      </c>
      <c r="M1299" s="38">
        <v>0</v>
      </c>
      <c r="N1299" s="38">
        <v>0</v>
      </c>
      <c r="O1299" s="38">
        <v>0</v>
      </c>
      <c r="P1299" s="38">
        <v>0</v>
      </c>
      <c r="Q1299" s="38">
        <v>0</v>
      </c>
      <c r="R1299" s="38">
        <v>0</v>
      </c>
      <c r="S1299" s="38">
        <v>0</v>
      </c>
      <c r="T1299" s="38">
        <v>0</v>
      </c>
      <c r="U1299" s="29" cm="1">
        <f t="array" aca="1" ref="U1299" ca="1">+fair_value_gap(OFFSET(T1298,0,0,-1*$J$5,-1*$AA$1),OFFSET(E1298,0,0,-1*$J$5,1),F1299:T1299,0)</f>
        <v>11.377725149091606</v>
      </c>
      <c r="V1299" s="9" cm="1">
        <f t="array" aca="1" ref="V1299" ca="1">z_score_diff(OFFSET(U1299,0,0,$J$5*-1,1),OFFSET(E1299,0,0,$J$5*-1,1))</f>
        <v>-8.1535889570059084E-2</v>
      </c>
      <c r="W1299" s="9">
        <f t="shared" ca="1" si="201"/>
        <v>5.2191086947419675E-2</v>
      </c>
      <c r="X1299" s="17">
        <f t="shared" ca="1" si="200"/>
        <v>-9.3251960906602357E-2</v>
      </c>
      <c r="Y1299" s="13">
        <f t="shared" si="206"/>
        <v>0</v>
      </c>
      <c r="Z1299" s="13">
        <f t="shared" si="206"/>
        <v>0</v>
      </c>
      <c r="AA1299">
        <f t="shared" ca="1" si="202"/>
        <v>0</v>
      </c>
      <c r="AB1299">
        <f t="shared" ca="1" si="203"/>
        <v>1</v>
      </c>
      <c r="AC1299" s="24">
        <f t="shared" ca="1" si="204"/>
        <v>0</v>
      </c>
      <c r="AD1299" s="24">
        <f t="shared" ca="1" si="205"/>
        <v>-9.3251960906602357E-2</v>
      </c>
    </row>
    <row r="1300" spans="3:30" x14ac:dyDescent="0.25">
      <c r="C1300" s="6">
        <v>1293</v>
      </c>
      <c r="D1300" s="35">
        <v>43847</v>
      </c>
      <c r="E1300" s="37">
        <v>10.815</v>
      </c>
      <c r="F1300" s="37">
        <v>54.778420708615009</v>
      </c>
      <c r="G1300" s="37">
        <v>36.58</v>
      </c>
      <c r="H1300" s="37">
        <v>1.9698116774431151</v>
      </c>
      <c r="I1300" s="37">
        <v>59.566962450520634</v>
      </c>
      <c r="J1300" s="10">
        <v>1</v>
      </c>
      <c r="K1300" s="38">
        <v>0</v>
      </c>
      <c r="L1300" s="38">
        <v>0</v>
      </c>
      <c r="M1300" s="38">
        <v>0</v>
      </c>
      <c r="N1300" s="38">
        <v>0</v>
      </c>
      <c r="O1300" s="38">
        <v>0</v>
      </c>
      <c r="P1300" s="38">
        <v>0</v>
      </c>
      <c r="Q1300" s="38">
        <v>0</v>
      </c>
      <c r="R1300" s="38">
        <v>0</v>
      </c>
      <c r="S1300" s="38">
        <v>0</v>
      </c>
      <c r="T1300" s="38">
        <v>0</v>
      </c>
      <c r="U1300" s="29" cm="1">
        <f t="array" aca="1" ref="U1300" ca="1">+fair_value_gap(OFFSET(T1299,0,0,-1*$J$5,-1*$AA$1),OFFSET(E1299,0,0,-1*$J$5,1),F1300:T1300,0)</f>
        <v>11.280295100668834</v>
      </c>
      <c r="V1300" s="9" cm="1">
        <f t="array" aca="1" ref="V1300" ca="1">z_score_diff(OFFSET(U1300,0,0,$J$5*-1,1),OFFSET(E1300,0,0,$J$5*-1,1))</f>
        <v>-9.1323157927238441E-2</v>
      </c>
      <c r="W1300" s="9">
        <f t="shared" ca="1" si="201"/>
        <v>6.7272208450285517E-2</v>
      </c>
      <c r="X1300" s="17">
        <f t="shared" ca="1" si="200"/>
        <v>-7.8148986408310028E-2</v>
      </c>
      <c r="Y1300" s="13">
        <f t="shared" si="206"/>
        <v>0</v>
      </c>
      <c r="Z1300" s="13">
        <f t="shared" si="206"/>
        <v>0</v>
      </c>
      <c r="AA1300">
        <f t="shared" ca="1" si="202"/>
        <v>0</v>
      </c>
      <c r="AB1300">
        <f t="shared" ca="1" si="203"/>
        <v>1</v>
      </c>
      <c r="AC1300" s="24">
        <f t="shared" ca="1" si="204"/>
        <v>0</v>
      </c>
      <c r="AD1300" s="24">
        <f t="shared" ca="1" si="205"/>
        <v>-7.8148986408310028E-2</v>
      </c>
    </row>
    <row r="1301" spans="3:30" x14ac:dyDescent="0.25">
      <c r="C1301" s="6">
        <v>1294</v>
      </c>
      <c r="D1301" s="35">
        <v>43850</v>
      </c>
      <c r="E1301" s="37">
        <v>10.545</v>
      </c>
      <c r="F1301" s="37">
        <v>54.936485259214827</v>
      </c>
      <c r="G1301" s="37">
        <v>35.92</v>
      </c>
      <c r="H1301" s="37">
        <v>1.9687653461649182</v>
      </c>
      <c r="I1301" s="37">
        <v>59.490759102086145</v>
      </c>
      <c r="J1301" s="10">
        <v>1</v>
      </c>
      <c r="K1301" s="38">
        <v>0</v>
      </c>
      <c r="L1301" s="38">
        <v>0</v>
      </c>
      <c r="M1301" s="38">
        <v>0</v>
      </c>
      <c r="N1301" s="38">
        <v>0</v>
      </c>
      <c r="O1301" s="38">
        <v>0</v>
      </c>
      <c r="P1301" s="38">
        <v>0</v>
      </c>
      <c r="Q1301" s="38">
        <v>0</v>
      </c>
      <c r="R1301" s="38">
        <v>0</v>
      </c>
      <c r="S1301" s="38">
        <v>0</v>
      </c>
      <c r="T1301" s="38">
        <v>0</v>
      </c>
      <c r="U1301" s="29" cm="1">
        <f t="array" aca="1" ref="U1301" ca="1">+fair_value_gap(OFFSET(T1300,0,0,-1*$J$5,-1*$AA$1),OFFSET(E1300,0,0,-1*$J$5,1),F1301:T1301,0)</f>
        <v>10.942998333028564</v>
      </c>
      <c r="V1301" s="9" cm="1">
        <f t="array" aca="1" ref="V1301" ca="1">z_score_diff(OFFSET(U1301,0,0,$J$5*-1,1),OFFSET(E1301,0,0,$J$5*-1,1))</f>
        <v>-0.10927300732539091</v>
      </c>
      <c r="W1301" s="9">
        <f t="shared" ca="1" si="201"/>
        <v>8.8464972045767865E-2</v>
      </c>
      <c r="X1301" s="17">
        <f t="shared" ca="1" si="200"/>
        <v>-2.563738763585404E-3</v>
      </c>
      <c r="Y1301" s="13">
        <f t="shared" si="206"/>
        <v>0</v>
      </c>
      <c r="Z1301" s="13">
        <f t="shared" si="206"/>
        <v>0</v>
      </c>
      <c r="AA1301">
        <f t="shared" ca="1" si="202"/>
        <v>0</v>
      </c>
      <c r="AB1301">
        <f t="shared" ca="1" si="203"/>
        <v>1</v>
      </c>
      <c r="AC1301" s="24">
        <f t="shared" ca="1" si="204"/>
        <v>0</v>
      </c>
      <c r="AD1301" s="24">
        <f t="shared" ca="1" si="205"/>
        <v>-2.563738763585404E-3</v>
      </c>
    </row>
    <row r="1302" spans="3:30" x14ac:dyDescent="0.25">
      <c r="C1302" s="6">
        <v>1295</v>
      </c>
      <c r="D1302" s="35">
        <v>43851</v>
      </c>
      <c r="E1302" s="37">
        <v>10.718999999999999</v>
      </c>
      <c r="F1302" s="37">
        <v>54.662895786308852</v>
      </c>
      <c r="G1302" s="37">
        <v>35.950000000000003</v>
      </c>
      <c r="H1302" s="37">
        <v>1.9101233862981433</v>
      </c>
      <c r="I1302" s="37">
        <v>59.819604414428071</v>
      </c>
      <c r="J1302" s="10">
        <v>1</v>
      </c>
      <c r="K1302" s="38">
        <v>0</v>
      </c>
      <c r="L1302" s="38">
        <v>0</v>
      </c>
      <c r="M1302" s="38">
        <v>0</v>
      </c>
      <c r="N1302" s="38">
        <v>0</v>
      </c>
      <c r="O1302" s="38">
        <v>0</v>
      </c>
      <c r="P1302" s="38">
        <v>0</v>
      </c>
      <c r="Q1302" s="38">
        <v>0</v>
      </c>
      <c r="R1302" s="38">
        <v>0</v>
      </c>
      <c r="S1302" s="38">
        <v>0</v>
      </c>
      <c r="T1302" s="38">
        <v>0</v>
      </c>
      <c r="U1302" s="29" cm="1">
        <f t="array" aca="1" ref="U1302" ca="1">+fair_value_gap(OFFSET(T1301,0,0,-1*$J$5,-1*$AA$1),OFFSET(E1301,0,0,-1*$J$5,1),F1302:T1302,0)</f>
        <v>10.888055463166889</v>
      </c>
      <c r="V1302" s="9" cm="1">
        <f t="array" aca="1" ref="V1302" ca="1">z_score_diff(OFFSET(U1302,0,0,$J$5*-1,1),OFFSET(E1302,0,0,$J$5*-1,1))</f>
        <v>-0.19341050281529881</v>
      </c>
      <c r="W1302" s="9">
        <f t="shared" ca="1" si="201"/>
        <v>0.10750025482850967</v>
      </c>
      <c r="X1302" s="17">
        <f t="shared" ca="1" si="200"/>
        <v>-2.6564874488160882E-2</v>
      </c>
      <c r="Y1302" s="13">
        <f t="shared" si="206"/>
        <v>0</v>
      </c>
      <c r="Z1302" s="13">
        <f t="shared" si="206"/>
        <v>0</v>
      </c>
      <c r="AA1302">
        <f t="shared" ca="1" si="202"/>
        <v>0</v>
      </c>
      <c r="AB1302">
        <f t="shared" ca="1" si="203"/>
        <v>1</v>
      </c>
      <c r="AC1302" s="24">
        <f t="shared" ca="1" si="204"/>
        <v>0</v>
      </c>
      <c r="AD1302" s="24">
        <f t="shared" ca="1" si="205"/>
        <v>-2.6564874488160882E-2</v>
      </c>
    </row>
    <row r="1303" spans="3:30" x14ac:dyDescent="0.25">
      <c r="C1303" s="6">
        <v>1296</v>
      </c>
      <c r="D1303" s="35">
        <v>43852</v>
      </c>
      <c r="E1303" s="37">
        <v>10.411</v>
      </c>
      <c r="F1303" s="37">
        <v>53.498683712999487</v>
      </c>
      <c r="G1303" s="37">
        <v>36.21</v>
      </c>
      <c r="H1303" s="37">
        <v>1.9066542053407718</v>
      </c>
      <c r="I1303" s="37">
        <v>59.794744840083609</v>
      </c>
      <c r="J1303" s="10">
        <v>1</v>
      </c>
      <c r="K1303" s="38">
        <v>0</v>
      </c>
      <c r="L1303" s="38">
        <v>0</v>
      </c>
      <c r="M1303" s="38">
        <v>0</v>
      </c>
      <c r="N1303" s="38">
        <v>0</v>
      </c>
      <c r="O1303" s="38">
        <v>0</v>
      </c>
      <c r="P1303" s="38">
        <v>0</v>
      </c>
      <c r="Q1303" s="38">
        <v>0</v>
      </c>
      <c r="R1303" s="38">
        <v>0</v>
      </c>
      <c r="S1303" s="38">
        <v>0</v>
      </c>
      <c r="T1303" s="38">
        <v>0</v>
      </c>
      <c r="U1303" s="29" cm="1">
        <f t="array" aca="1" ref="U1303" ca="1">+fair_value_gap(OFFSET(T1302,0,0,-1*$J$5,-1*$AA$1),OFFSET(E1302,0,0,-1*$J$5,1),F1303:T1303,0)</f>
        <v>11.105621908196181</v>
      </c>
      <c r="V1303" s="9" cm="1">
        <f t="array" aca="1" ref="V1303" ca="1">z_score_diff(OFFSET(U1303,0,0,$J$5*-1,1),OFFSET(E1303,0,0,$J$5*-1,1))</f>
        <v>2.3980886763696585E-2</v>
      </c>
      <c r="W1303" s="9">
        <f t="shared" ca="1" si="201"/>
        <v>0.12638744260160581</v>
      </c>
      <c r="X1303" s="17">
        <f t="shared" ca="1" si="200"/>
        <v>-7.2299924523697261E-3</v>
      </c>
      <c r="Y1303" s="13">
        <f t="shared" si="206"/>
        <v>0</v>
      </c>
      <c r="Z1303" s="13">
        <f t="shared" si="206"/>
        <v>0</v>
      </c>
      <c r="AA1303">
        <f t="shared" ca="1" si="202"/>
        <v>0</v>
      </c>
      <c r="AB1303">
        <f t="shared" ca="1" si="203"/>
        <v>1</v>
      </c>
      <c r="AC1303" s="24">
        <f t="shared" ca="1" si="204"/>
        <v>0</v>
      </c>
      <c r="AD1303" s="24">
        <f t="shared" ca="1" si="205"/>
        <v>-7.2299924523697261E-3</v>
      </c>
    </row>
    <row r="1304" spans="3:30" x14ac:dyDescent="0.25">
      <c r="C1304" s="6">
        <v>1297</v>
      </c>
      <c r="D1304" s="35">
        <v>43853</v>
      </c>
      <c r="E1304" s="37">
        <v>10.337999999999999</v>
      </c>
      <c r="F1304" s="37">
        <v>52.657000509843556</v>
      </c>
      <c r="G1304" s="37">
        <v>35.47</v>
      </c>
      <c r="H1304" s="37">
        <v>1.9150439628261433</v>
      </c>
      <c r="I1304" s="37">
        <v>58.945071065036366</v>
      </c>
      <c r="J1304" s="10">
        <v>1</v>
      </c>
      <c r="K1304" s="38">
        <v>0</v>
      </c>
      <c r="L1304" s="38">
        <v>0</v>
      </c>
      <c r="M1304" s="38">
        <v>0</v>
      </c>
      <c r="N1304" s="38">
        <v>0</v>
      </c>
      <c r="O1304" s="38">
        <v>0</v>
      </c>
      <c r="P1304" s="38">
        <v>0</v>
      </c>
      <c r="Q1304" s="38">
        <v>0</v>
      </c>
      <c r="R1304" s="38">
        <v>0</v>
      </c>
      <c r="S1304" s="38">
        <v>0</v>
      </c>
      <c r="T1304" s="38">
        <v>0</v>
      </c>
      <c r="U1304" s="29" cm="1">
        <f t="array" aca="1" ref="U1304" ca="1">+fair_value_gap(OFFSET(T1303,0,0,-1*$J$5,-1*$AA$1),OFFSET(E1303,0,0,-1*$J$5,1),F1304:T1304,0)</f>
        <v>10.824364928153773</v>
      </c>
      <c r="V1304" s="9" cm="1">
        <f t="array" aca="1" ref="V1304" ca="1">z_score_diff(OFFSET(U1304,0,0,$J$5*-1,1),OFFSET(E1304,0,0,$J$5*-1,1))</f>
        <v>-5.5347737807667219E-2</v>
      </c>
      <c r="W1304" s="9">
        <f t="shared" ca="1" si="201"/>
        <v>0.12135543152554842</v>
      </c>
      <c r="X1304" s="17">
        <f t="shared" ca="1" si="200"/>
        <v>-1.392902274742901E-2</v>
      </c>
      <c r="Y1304" s="13">
        <f t="shared" si="206"/>
        <v>0</v>
      </c>
      <c r="Z1304" s="13">
        <f t="shared" si="206"/>
        <v>0</v>
      </c>
      <c r="AA1304">
        <f t="shared" ca="1" si="202"/>
        <v>0</v>
      </c>
      <c r="AB1304">
        <f t="shared" ca="1" si="203"/>
        <v>1</v>
      </c>
      <c r="AC1304" s="24">
        <f t="shared" ca="1" si="204"/>
        <v>0</v>
      </c>
      <c r="AD1304" s="24">
        <f t="shared" ca="1" si="205"/>
        <v>-1.392902274742901E-2</v>
      </c>
    </row>
    <row r="1305" spans="3:30" x14ac:dyDescent="0.25">
      <c r="C1305" s="6">
        <v>1298</v>
      </c>
      <c r="D1305" s="35">
        <v>43854</v>
      </c>
      <c r="E1305" s="37">
        <v>10.388</v>
      </c>
      <c r="F1305" s="37">
        <v>51.581112218292773</v>
      </c>
      <c r="G1305" s="37">
        <v>35.03</v>
      </c>
      <c r="H1305" s="37">
        <v>1.8933703337300654</v>
      </c>
      <c r="I1305" s="37">
        <v>59.285541951471956</v>
      </c>
      <c r="J1305" s="10">
        <v>1</v>
      </c>
      <c r="K1305" s="38">
        <v>0</v>
      </c>
      <c r="L1305" s="38">
        <v>0</v>
      </c>
      <c r="M1305" s="38">
        <v>0</v>
      </c>
      <c r="N1305" s="38">
        <v>0</v>
      </c>
      <c r="O1305" s="38">
        <v>0</v>
      </c>
      <c r="P1305" s="38">
        <v>0</v>
      </c>
      <c r="Q1305" s="38">
        <v>0</v>
      </c>
      <c r="R1305" s="38">
        <v>0</v>
      </c>
      <c r="S1305" s="38">
        <v>0</v>
      </c>
      <c r="T1305" s="38">
        <v>0</v>
      </c>
      <c r="U1305" s="29" cm="1">
        <f t="array" aca="1" ref="U1305" ca="1">+fair_value_gap(OFFSET(T1304,0,0,-1*$J$5,-1*$AA$1),OFFSET(E1304,0,0,-1*$J$5,1),F1305:T1305,0)</f>
        <v>10.629399477610814</v>
      </c>
      <c r="V1305" s="9" cm="1">
        <f t="array" aca="1" ref="V1305" ca="1">z_score_diff(OFFSET(U1305,0,0,$J$5*-1,1),OFFSET(E1305,0,0,$J$5*-1,1))</f>
        <v>-0.15020278156278977</v>
      </c>
      <c r="W1305" s="9">
        <f t="shared" ca="1" si="201"/>
        <v>0.10607945517721107</v>
      </c>
      <c r="X1305" s="17">
        <f t="shared" ca="1" si="200"/>
        <v>-3.3078659295417208E-2</v>
      </c>
      <c r="Y1305" s="13">
        <f t="shared" ref="Y1305:Z1320" si="207">+Y1304</f>
        <v>0</v>
      </c>
      <c r="Z1305" s="13">
        <f t="shared" si="207"/>
        <v>0</v>
      </c>
      <c r="AA1305">
        <f t="shared" ca="1" si="202"/>
        <v>0</v>
      </c>
      <c r="AB1305">
        <f t="shared" ca="1" si="203"/>
        <v>1</v>
      </c>
      <c r="AC1305" s="24">
        <f t="shared" ca="1" si="204"/>
        <v>0</v>
      </c>
      <c r="AD1305" s="24">
        <f t="shared" ca="1" si="205"/>
        <v>-3.3078659295417208E-2</v>
      </c>
    </row>
    <row r="1306" spans="3:30" x14ac:dyDescent="0.25">
      <c r="C1306" s="6">
        <v>1299</v>
      </c>
      <c r="D1306" s="35">
        <v>43857</v>
      </c>
      <c r="E1306" s="37">
        <v>10.430999999999999</v>
      </c>
      <c r="F1306" s="37">
        <v>50.821153878950149</v>
      </c>
      <c r="G1306" s="37">
        <v>35.26</v>
      </c>
      <c r="H1306" s="37">
        <v>1.8974906269887073</v>
      </c>
      <c r="I1306" s="37">
        <v>60.945890999306172</v>
      </c>
      <c r="J1306" s="10">
        <v>1</v>
      </c>
      <c r="K1306" s="38">
        <v>0</v>
      </c>
      <c r="L1306" s="38">
        <v>0</v>
      </c>
      <c r="M1306" s="38">
        <v>0</v>
      </c>
      <c r="N1306" s="38">
        <v>0</v>
      </c>
      <c r="O1306" s="38">
        <v>0</v>
      </c>
      <c r="P1306" s="38">
        <v>0</v>
      </c>
      <c r="Q1306" s="38">
        <v>0</v>
      </c>
      <c r="R1306" s="38">
        <v>0</v>
      </c>
      <c r="S1306" s="38">
        <v>0</v>
      </c>
      <c r="T1306" s="38">
        <v>0</v>
      </c>
      <c r="U1306" s="29" cm="1">
        <f t="array" aca="1" ref="U1306" ca="1">+fair_value_gap(OFFSET(T1305,0,0,-1*$J$5,-1*$AA$1),OFFSET(E1305,0,0,-1*$J$5,1),F1306:T1306,0)</f>
        <v>10.811545972764723</v>
      </c>
      <c r="V1306" s="9" cm="1">
        <f t="array" aca="1" ref="V1306" ca="1">z_score_diff(OFFSET(U1306,0,0,$J$5*-1,1),OFFSET(E1306,0,0,$J$5*-1,1))</f>
        <v>-9.322980754524357E-2</v>
      </c>
      <c r="W1306" s="9">
        <f t="shared" ca="1" si="201"/>
        <v>9.5303032634678903E-2</v>
      </c>
      <c r="X1306" s="17">
        <f t="shared" ca="1" si="200"/>
        <v>-9.2333118193585556E-2</v>
      </c>
      <c r="Y1306" s="13">
        <f t="shared" si="207"/>
        <v>0</v>
      </c>
      <c r="Z1306" s="13">
        <f t="shared" si="207"/>
        <v>0</v>
      </c>
      <c r="AA1306">
        <f t="shared" ca="1" si="202"/>
        <v>0</v>
      </c>
      <c r="AB1306">
        <f t="shared" ca="1" si="203"/>
        <v>1</v>
      </c>
      <c r="AC1306" s="24">
        <f t="shared" ca="1" si="204"/>
        <v>0</v>
      </c>
      <c r="AD1306" s="24">
        <f t="shared" ca="1" si="205"/>
        <v>-9.2333118193585556E-2</v>
      </c>
    </row>
    <row r="1307" spans="3:30" x14ac:dyDescent="0.25">
      <c r="C1307" s="6">
        <v>1300</v>
      </c>
      <c r="D1307" s="35">
        <v>43858</v>
      </c>
      <c r="E1307" s="37">
        <v>10.824999999999999</v>
      </c>
      <c r="F1307" s="37">
        <v>51.079160582074451</v>
      </c>
      <c r="G1307" s="37">
        <v>35.64</v>
      </c>
      <c r="H1307" s="37">
        <v>1.9198440429635786</v>
      </c>
      <c r="I1307" s="37">
        <v>63.097258635034862</v>
      </c>
      <c r="J1307" s="10">
        <v>1</v>
      </c>
      <c r="K1307" s="38">
        <v>0</v>
      </c>
      <c r="L1307" s="38">
        <v>0</v>
      </c>
      <c r="M1307" s="38">
        <v>0</v>
      </c>
      <c r="N1307" s="38">
        <v>0</v>
      </c>
      <c r="O1307" s="38">
        <v>0</v>
      </c>
      <c r="P1307" s="38">
        <v>0</v>
      </c>
      <c r="Q1307" s="38">
        <v>0</v>
      </c>
      <c r="R1307" s="38">
        <v>0</v>
      </c>
      <c r="S1307" s="38">
        <v>0</v>
      </c>
      <c r="T1307" s="38">
        <v>0</v>
      </c>
      <c r="U1307" s="29" cm="1">
        <f t="array" aca="1" ref="U1307" ca="1">+fair_value_gap(OFFSET(T1306,0,0,-1*$J$5,-1*$AA$1),OFFSET(E1306,0,0,-1*$J$5,1),F1307:T1307,0)</f>
        <v>10.985175104218573</v>
      </c>
      <c r="V1307" s="9" cm="1">
        <f t="array" aca="1" ref="V1307" ca="1">z_score_diff(OFFSET(U1307,0,0,$J$5*-1,1),OFFSET(E1307,0,0,$J$5*-1,1))</f>
        <v>-0.17590924439930911</v>
      </c>
      <c r="W1307" s="9">
        <f t="shared" ca="1" si="201"/>
        <v>8.4218915076732709E-2</v>
      </c>
      <c r="X1307" s="17">
        <f t="shared" ca="1" si="200"/>
        <v>-0.1430653139822872</v>
      </c>
      <c r="Y1307" s="13">
        <f t="shared" si="207"/>
        <v>0</v>
      </c>
      <c r="Z1307" s="13">
        <f t="shared" si="207"/>
        <v>0</v>
      </c>
      <c r="AA1307">
        <f t="shared" ca="1" si="202"/>
        <v>0</v>
      </c>
      <c r="AB1307">
        <f t="shared" ca="1" si="203"/>
        <v>1</v>
      </c>
      <c r="AC1307" s="24">
        <f t="shared" ca="1" si="204"/>
        <v>0</v>
      </c>
      <c r="AD1307" s="24">
        <f t="shared" ca="1" si="205"/>
        <v>-0.1430653139822872</v>
      </c>
    </row>
    <row r="1308" spans="3:30" x14ac:dyDescent="0.25">
      <c r="C1308" s="6">
        <v>1301</v>
      </c>
      <c r="D1308" s="35">
        <v>43859</v>
      </c>
      <c r="E1308" s="37">
        <v>10.244999999999999</v>
      </c>
      <c r="F1308" s="37">
        <v>51.268822461928131</v>
      </c>
      <c r="G1308" s="37">
        <v>34.93</v>
      </c>
      <c r="H1308" s="37">
        <v>1.8947173518538658</v>
      </c>
      <c r="I1308" s="37">
        <v>63.27708803155226</v>
      </c>
      <c r="J1308" s="10">
        <v>1</v>
      </c>
      <c r="K1308" s="38">
        <v>0</v>
      </c>
      <c r="L1308" s="38">
        <v>0</v>
      </c>
      <c r="M1308" s="38">
        <v>0</v>
      </c>
      <c r="N1308" s="38">
        <v>0</v>
      </c>
      <c r="O1308" s="38">
        <v>0</v>
      </c>
      <c r="P1308" s="38">
        <v>0</v>
      </c>
      <c r="Q1308" s="38">
        <v>0</v>
      </c>
      <c r="R1308" s="38">
        <v>0</v>
      </c>
      <c r="S1308" s="38">
        <v>0</v>
      </c>
      <c r="T1308" s="38">
        <v>0</v>
      </c>
      <c r="U1308" s="29" cm="1">
        <f t="array" aca="1" ref="U1308" ca="1">+fair_value_gap(OFFSET(T1307,0,0,-1*$J$5,-1*$AA$1),OFFSET(E1307,0,0,-1*$J$5,1),F1308:T1308,0)</f>
        <v>10.739927873249515</v>
      </c>
      <c r="V1308" s="9" cm="1">
        <f t="array" aca="1" ref="V1308" ca="1">z_score_diff(OFFSET(U1308,0,0,$J$5*-1,1),OFFSET(E1308,0,0,$J$5*-1,1))</f>
        <v>-4.206834741060117E-2</v>
      </c>
      <c r="W1308" s="9">
        <f t="shared" ca="1" si="201"/>
        <v>8.7258151094313424E-2</v>
      </c>
      <c r="X1308" s="17">
        <f t="shared" ca="1" si="200"/>
        <v>-7.6972754235472993E-2</v>
      </c>
      <c r="Y1308" s="13">
        <f t="shared" si="207"/>
        <v>0</v>
      </c>
      <c r="Z1308" s="13">
        <f t="shared" si="207"/>
        <v>0</v>
      </c>
      <c r="AA1308">
        <f t="shared" ca="1" si="202"/>
        <v>0</v>
      </c>
      <c r="AB1308">
        <f t="shared" ca="1" si="203"/>
        <v>1</v>
      </c>
      <c r="AC1308" s="24">
        <f t="shared" ca="1" si="204"/>
        <v>0</v>
      </c>
      <c r="AD1308" s="24">
        <f t="shared" ca="1" si="205"/>
        <v>-7.6972754235472993E-2</v>
      </c>
    </row>
    <row r="1309" spans="3:30" x14ac:dyDescent="0.25">
      <c r="C1309" s="6">
        <v>1302</v>
      </c>
      <c r="D1309" s="35">
        <v>43860</v>
      </c>
      <c r="E1309" s="37">
        <v>10.034000000000001</v>
      </c>
      <c r="F1309" s="37">
        <v>50.281849131140767</v>
      </c>
      <c r="G1309" s="37">
        <v>33.979999999999997</v>
      </c>
      <c r="H1309" s="37">
        <v>1.8855693424177788</v>
      </c>
      <c r="I1309" s="37">
        <v>61.148753757913703</v>
      </c>
      <c r="J1309" s="10">
        <v>1</v>
      </c>
      <c r="K1309" s="38">
        <v>0</v>
      </c>
      <c r="L1309" s="38">
        <v>0</v>
      </c>
      <c r="M1309" s="38">
        <v>0</v>
      </c>
      <c r="N1309" s="38">
        <v>0</v>
      </c>
      <c r="O1309" s="38">
        <v>0</v>
      </c>
      <c r="P1309" s="38">
        <v>0</v>
      </c>
      <c r="Q1309" s="38">
        <v>0</v>
      </c>
      <c r="R1309" s="38">
        <v>0</v>
      </c>
      <c r="S1309" s="38">
        <v>0</v>
      </c>
      <c r="T1309" s="38">
        <v>0</v>
      </c>
      <c r="U1309" s="29" cm="1">
        <f t="array" aca="1" ref="U1309" ca="1">+fair_value_gap(OFFSET(T1308,0,0,-1*$J$5,-1*$AA$1),OFFSET(E1308,0,0,-1*$J$5,1),F1309:T1309,0)</f>
        <v>10.388759038116067</v>
      </c>
      <c r="V1309" s="9" cm="1">
        <f t="array" aca="1" ref="V1309" ca="1">z_score_diff(OFFSET(U1309,0,0,$J$5*-1,1),OFFSET(E1309,0,0,$J$5*-1,1))</f>
        <v>-8.9061677106034853E-2</v>
      </c>
      <c r="W1309" s="9">
        <f t="shared" ca="1" si="201"/>
        <v>2.1794312957894801E-2</v>
      </c>
      <c r="X1309" s="17">
        <f t="shared" ca="1" si="200"/>
        <v>-8.612388066701171E-2</v>
      </c>
      <c r="Y1309" s="13">
        <f t="shared" si="207"/>
        <v>0</v>
      </c>
      <c r="Z1309" s="13">
        <f t="shared" si="207"/>
        <v>0</v>
      </c>
      <c r="AA1309">
        <f t="shared" ca="1" si="202"/>
        <v>0</v>
      </c>
      <c r="AB1309">
        <f t="shared" ca="1" si="203"/>
        <v>1</v>
      </c>
      <c r="AC1309" s="24">
        <f t="shared" ca="1" si="204"/>
        <v>0</v>
      </c>
      <c r="AD1309" s="24">
        <f t="shared" ca="1" si="205"/>
        <v>-8.612388066701171E-2</v>
      </c>
    </row>
    <row r="1310" spans="3:30" x14ac:dyDescent="0.25">
      <c r="C1310" s="6">
        <v>1303</v>
      </c>
      <c r="D1310" s="35">
        <v>43861</v>
      </c>
      <c r="E1310" s="37">
        <v>10.224</v>
      </c>
      <c r="F1310" s="37">
        <v>49.766199660672832</v>
      </c>
      <c r="G1310" s="37">
        <v>33.85</v>
      </c>
      <c r="H1310" s="37">
        <v>1.8866376103660703</v>
      </c>
      <c r="I1310" s="37">
        <v>62.843318983588482</v>
      </c>
      <c r="J1310" s="10">
        <v>1</v>
      </c>
      <c r="K1310" s="38">
        <v>0</v>
      </c>
      <c r="L1310" s="38">
        <v>0</v>
      </c>
      <c r="M1310" s="38">
        <v>0</v>
      </c>
      <c r="N1310" s="38">
        <v>0</v>
      </c>
      <c r="O1310" s="38">
        <v>0</v>
      </c>
      <c r="P1310" s="38">
        <v>0</v>
      </c>
      <c r="Q1310" s="38">
        <v>0</v>
      </c>
      <c r="R1310" s="38">
        <v>0</v>
      </c>
      <c r="S1310" s="38">
        <v>0</v>
      </c>
      <c r="T1310" s="38">
        <v>0</v>
      </c>
      <c r="U1310" s="29" cm="1">
        <f t="array" aca="1" ref="U1310" ca="1">+fair_value_gap(OFFSET(T1309,0,0,-1*$J$5,-1*$AA$1),OFFSET(E1309,0,0,-1*$J$5,1),F1310:T1310,0)</f>
        <v>10.430565960991668</v>
      </c>
      <c r="V1310" s="9" cm="1">
        <f t="array" aca="1" ref="V1310" ca="1">z_score_diff(OFFSET(U1310,0,0,$J$5*-1,1),OFFSET(E1310,0,0,$J$5*-1,1))</f>
        <v>-0.13950081947515836</v>
      </c>
      <c r="W1310" s="9">
        <f t="shared" ca="1" si="201"/>
        <v>9.995756378067577E-3</v>
      </c>
      <c r="X1310" s="17">
        <f t="shared" ca="1" si="200"/>
        <v>-5.5916434793942475E-2</v>
      </c>
      <c r="Y1310" s="13">
        <f t="shared" si="207"/>
        <v>0</v>
      </c>
      <c r="Z1310" s="13">
        <f t="shared" si="207"/>
        <v>0</v>
      </c>
      <c r="AA1310">
        <f t="shared" ca="1" si="202"/>
        <v>0</v>
      </c>
      <c r="AB1310">
        <f t="shared" ca="1" si="203"/>
        <v>1</v>
      </c>
      <c r="AC1310" s="24">
        <f t="shared" ca="1" si="204"/>
        <v>0</v>
      </c>
      <c r="AD1310" s="24">
        <f t="shared" ca="1" si="205"/>
        <v>-5.5916434793942475E-2</v>
      </c>
    </row>
    <row r="1311" spans="3:30" x14ac:dyDescent="0.25">
      <c r="C1311" s="6">
        <v>1304</v>
      </c>
      <c r="D1311" s="35">
        <v>43864</v>
      </c>
      <c r="E1311" s="37">
        <v>9.8879999999999999</v>
      </c>
      <c r="F1311" s="37">
        <v>48.807979603703536</v>
      </c>
      <c r="G1311" s="37">
        <v>32.85</v>
      </c>
      <c r="H1311" s="37">
        <v>1.8678713602003847</v>
      </c>
      <c r="I1311" s="37">
        <v>62.396564834280092</v>
      </c>
      <c r="J1311" s="10">
        <v>0</v>
      </c>
      <c r="K1311" s="38">
        <v>1</v>
      </c>
      <c r="L1311" s="38">
        <v>0</v>
      </c>
      <c r="M1311" s="38">
        <v>0</v>
      </c>
      <c r="N1311" s="38">
        <v>0</v>
      </c>
      <c r="O1311" s="38">
        <v>0</v>
      </c>
      <c r="P1311" s="38">
        <v>0</v>
      </c>
      <c r="Q1311" s="38">
        <v>0</v>
      </c>
      <c r="R1311" s="38">
        <v>0</v>
      </c>
      <c r="S1311" s="38">
        <v>0</v>
      </c>
      <c r="T1311" s="38">
        <v>0</v>
      </c>
      <c r="U1311" s="29" cm="1">
        <f t="array" aca="1" ref="U1311" ca="1">+fair_value_gap(OFFSET(T1310,0,0,-1*$J$5,-1*$AA$1),OFFSET(E1310,0,0,-1*$J$5,1),F1311:T1311,0)</f>
        <v>13.082946548436954</v>
      </c>
      <c r="V1311" s="9" cm="1">
        <f t="array" aca="1" ref="V1311" ca="1">z_score_diff(OFFSET(U1311,0,0,$J$5*-1,1),OFFSET(E1311,0,0,$J$5*-1,1))</f>
        <v>0.92594607660280426</v>
      </c>
      <c r="W1311" s="9">
        <f t="shared" ca="1" si="201"/>
        <v>4.9162354643219094E-2</v>
      </c>
      <c r="X1311" s="17">
        <f t="shared" ca="1" si="200"/>
        <v>-1.6313575491523794E-2</v>
      </c>
      <c r="Y1311" s="13">
        <f t="shared" si="207"/>
        <v>0</v>
      </c>
      <c r="Z1311" s="13">
        <f t="shared" si="207"/>
        <v>0</v>
      </c>
      <c r="AA1311">
        <f t="shared" ca="1" si="202"/>
        <v>0</v>
      </c>
      <c r="AB1311">
        <f t="shared" ca="1" si="203"/>
        <v>1</v>
      </c>
      <c r="AC1311" s="24">
        <f t="shared" ca="1" si="204"/>
        <v>0</v>
      </c>
      <c r="AD1311" s="24">
        <f t="shared" ca="1" si="205"/>
        <v>-1.6313575491523794E-2</v>
      </c>
    </row>
    <row r="1312" spans="3:30" x14ac:dyDescent="0.25">
      <c r="C1312" s="6">
        <v>1305</v>
      </c>
      <c r="D1312" s="35">
        <v>43865</v>
      </c>
      <c r="E1312" s="37">
        <v>10.041</v>
      </c>
      <c r="F1312" s="37">
        <v>48.545950264584384</v>
      </c>
      <c r="G1312" s="37">
        <v>32.799999999999997</v>
      </c>
      <c r="H1312" s="37">
        <v>1.8943668784058301</v>
      </c>
      <c r="I1312" s="37">
        <v>64.130812526646523</v>
      </c>
      <c r="J1312" s="10">
        <v>0</v>
      </c>
      <c r="K1312" s="38">
        <v>1</v>
      </c>
      <c r="L1312" s="38">
        <v>0</v>
      </c>
      <c r="M1312" s="38">
        <v>0</v>
      </c>
      <c r="N1312" s="38">
        <v>0</v>
      </c>
      <c r="O1312" s="38">
        <v>0</v>
      </c>
      <c r="P1312" s="38">
        <v>0</v>
      </c>
      <c r="Q1312" s="38">
        <v>0</v>
      </c>
      <c r="R1312" s="38">
        <v>0</v>
      </c>
      <c r="S1312" s="38">
        <v>0</v>
      </c>
      <c r="T1312" s="38">
        <v>0</v>
      </c>
      <c r="U1312" s="29" cm="1">
        <f t="array" aca="1" ref="U1312" ca="1">+fair_value_gap(OFFSET(T1311,0,0,-1*$J$5,-1*$AA$1),OFFSET(E1311,0,0,-1*$J$5,1),F1312:T1312,0)</f>
        <v>12.467061763902908</v>
      </c>
      <c r="V1312" s="9" cm="1">
        <f t="array" aca="1" ref="V1312" ca="1">z_score_diff(OFFSET(U1312,0,0,$J$5*-1,1),OFFSET(E1312,0,0,$J$5*-1,1))</f>
        <v>0.6237935522784106</v>
      </c>
      <c r="W1312" s="9">
        <f t="shared" ca="1" si="201"/>
        <v>6.788831576398191E-2</v>
      </c>
      <c r="X1312" s="17">
        <f t="shared" ca="1" si="200"/>
        <v>-4.2916379059206996E-3</v>
      </c>
      <c r="Y1312" s="13">
        <f t="shared" si="207"/>
        <v>0</v>
      </c>
      <c r="Z1312" s="13">
        <f t="shared" si="207"/>
        <v>0</v>
      </c>
      <c r="AA1312">
        <f t="shared" ca="1" si="202"/>
        <v>0</v>
      </c>
      <c r="AB1312">
        <f t="shared" ca="1" si="203"/>
        <v>1</v>
      </c>
      <c r="AC1312" s="24">
        <f t="shared" ca="1" si="204"/>
        <v>0</v>
      </c>
      <c r="AD1312" s="24">
        <f t="shared" ca="1" si="205"/>
        <v>-4.2916379059206996E-3</v>
      </c>
    </row>
    <row r="1313" spans="3:30" x14ac:dyDescent="0.25">
      <c r="C1313" s="6">
        <v>1306</v>
      </c>
      <c r="D1313" s="35">
        <v>43866</v>
      </c>
      <c r="E1313" s="37">
        <v>9.9640000000000004</v>
      </c>
      <c r="F1313" s="37">
        <v>49.829105954308332</v>
      </c>
      <c r="G1313" s="37">
        <v>33.479999999999997</v>
      </c>
      <c r="H1313" s="37">
        <v>1.8861305990286024</v>
      </c>
      <c r="I1313" s="37">
        <v>65.20957006655874</v>
      </c>
      <c r="J1313" s="10">
        <v>0</v>
      </c>
      <c r="K1313" s="38">
        <v>1</v>
      </c>
      <c r="L1313" s="38">
        <v>0</v>
      </c>
      <c r="M1313" s="38">
        <v>0</v>
      </c>
      <c r="N1313" s="38">
        <v>0</v>
      </c>
      <c r="O1313" s="38">
        <v>0</v>
      </c>
      <c r="P1313" s="38">
        <v>0</v>
      </c>
      <c r="Q1313" s="38">
        <v>0</v>
      </c>
      <c r="R1313" s="38">
        <v>0</v>
      </c>
      <c r="S1313" s="38">
        <v>0</v>
      </c>
      <c r="T1313" s="38">
        <v>0</v>
      </c>
      <c r="U1313" s="29" cm="1">
        <f t="array" aca="1" ref="U1313" ca="1">+fair_value_gap(OFFSET(T1312,0,0,-1*$J$5,-1*$AA$1),OFFSET(E1312,0,0,-1*$J$5,1),F1313:T1313,0)</f>
        <v>12.131673732931322</v>
      </c>
      <c r="V1313" s="9" cm="1">
        <f t="array" aca="1" ref="V1313" ca="1">z_score_diff(OFFSET(U1313,0,0,$J$5*-1,1),OFFSET(E1313,0,0,$J$5*-1,1))</f>
        <v>0.51248499493749389</v>
      </c>
      <c r="W1313" s="9">
        <f t="shared" ca="1" si="201"/>
        <v>8.3090325388468944E-2</v>
      </c>
      <c r="X1313" s="17">
        <f t="shared" ca="1" si="200"/>
        <v>-7.9601407773538559E-3</v>
      </c>
      <c r="Y1313" s="13">
        <f t="shared" si="207"/>
        <v>0</v>
      </c>
      <c r="Z1313" s="13">
        <f t="shared" si="207"/>
        <v>0</v>
      </c>
      <c r="AA1313">
        <f t="shared" ca="1" si="202"/>
        <v>0</v>
      </c>
      <c r="AB1313">
        <f t="shared" ca="1" si="203"/>
        <v>1</v>
      </c>
      <c r="AC1313" s="24">
        <f t="shared" ca="1" si="204"/>
        <v>0</v>
      </c>
      <c r="AD1313" s="24">
        <f t="shared" ca="1" si="205"/>
        <v>-7.9601407773538559E-3</v>
      </c>
    </row>
    <row r="1314" spans="3:30" x14ac:dyDescent="0.25">
      <c r="C1314" s="6">
        <v>1307</v>
      </c>
      <c r="D1314" s="35">
        <v>43867</v>
      </c>
      <c r="E1314" s="37">
        <v>9.9019999999999992</v>
      </c>
      <c r="F1314" s="37">
        <v>50.179502078800738</v>
      </c>
      <c r="G1314" s="37">
        <v>33.03</v>
      </c>
      <c r="H1314" s="37">
        <v>1.8927672148574568</v>
      </c>
      <c r="I1314" s="37">
        <v>64.954077197154987</v>
      </c>
      <c r="J1314" s="10">
        <v>0</v>
      </c>
      <c r="K1314" s="38">
        <v>1</v>
      </c>
      <c r="L1314" s="38">
        <v>0</v>
      </c>
      <c r="M1314" s="38">
        <v>0</v>
      </c>
      <c r="N1314" s="38">
        <v>0</v>
      </c>
      <c r="O1314" s="38">
        <v>0</v>
      </c>
      <c r="P1314" s="38">
        <v>0</v>
      </c>
      <c r="Q1314" s="38">
        <v>0</v>
      </c>
      <c r="R1314" s="38">
        <v>0</v>
      </c>
      <c r="S1314" s="38">
        <v>0</v>
      </c>
      <c r="T1314" s="38">
        <v>0</v>
      </c>
      <c r="U1314" s="29" cm="1">
        <f t="array" aca="1" ref="U1314" ca="1">+fair_value_gap(OFFSET(T1313,0,0,-1*$J$5,-1*$AA$1),OFFSET(E1313,0,0,-1*$J$5,1),F1314:T1314,0)</f>
        <v>11.524603537783836</v>
      </c>
      <c r="V1314" s="9" cm="1">
        <f t="array" aca="1" ref="V1314" ca="1">z_score_diff(OFFSET(U1314,0,0,$J$5*-1,1),OFFSET(E1314,0,0,$J$5*-1,1))</f>
        <v>0.30568701814046184</v>
      </c>
      <c r="W1314" s="9">
        <f t="shared" ca="1" si="201"/>
        <v>8.9660869869250176E-2</v>
      </c>
      <c r="X1314" s="17">
        <f t="shared" ca="1" si="200"/>
        <v>-4.2505883246872558E-3</v>
      </c>
      <c r="Y1314" s="13">
        <f t="shared" si="207"/>
        <v>0</v>
      </c>
      <c r="Z1314" s="13">
        <f t="shared" si="207"/>
        <v>0</v>
      </c>
      <c r="AA1314">
        <f t="shared" ca="1" si="202"/>
        <v>0</v>
      </c>
      <c r="AB1314">
        <f t="shared" ca="1" si="203"/>
        <v>1</v>
      </c>
      <c r="AC1314" s="24">
        <f t="shared" ca="1" si="204"/>
        <v>0</v>
      </c>
      <c r="AD1314" s="24">
        <f t="shared" ca="1" si="205"/>
        <v>-4.2505883246872558E-3</v>
      </c>
    </row>
    <row r="1315" spans="3:30" x14ac:dyDescent="0.25">
      <c r="C1315" s="6">
        <v>1308</v>
      </c>
      <c r="D1315" s="35">
        <v>43868</v>
      </c>
      <c r="E1315" s="37">
        <v>9.8439999999999994</v>
      </c>
      <c r="F1315" s="37">
        <v>50.096948714356095</v>
      </c>
      <c r="G1315" s="37">
        <v>33.28</v>
      </c>
      <c r="H1315" s="37">
        <v>1.9136636670568721</v>
      </c>
      <c r="I1315" s="37">
        <v>64.316093486583114</v>
      </c>
      <c r="J1315" s="10">
        <v>0</v>
      </c>
      <c r="K1315" s="38">
        <v>1</v>
      </c>
      <c r="L1315" s="38">
        <v>0</v>
      </c>
      <c r="M1315" s="38">
        <v>0</v>
      </c>
      <c r="N1315" s="38">
        <v>0</v>
      </c>
      <c r="O1315" s="38">
        <v>0</v>
      </c>
      <c r="P1315" s="38">
        <v>0</v>
      </c>
      <c r="Q1315" s="38">
        <v>0</v>
      </c>
      <c r="R1315" s="38">
        <v>0</v>
      </c>
      <c r="S1315" s="38">
        <v>0</v>
      </c>
      <c r="T1315" s="38">
        <v>0</v>
      </c>
      <c r="U1315" s="29" cm="1">
        <f t="array" aca="1" ref="U1315" ca="1">+fair_value_gap(OFFSET(T1314,0,0,-1*$J$5,-1*$AA$1),OFFSET(E1314,0,0,-1*$J$5,1),F1315:T1315,0)</f>
        <v>11.437711236668013</v>
      </c>
      <c r="V1315" s="9" cm="1">
        <f t="array" aca="1" ref="V1315" ca="1">z_score_diff(OFFSET(U1315,0,0,$J$5*-1,1),OFFSET(E1315,0,0,$J$5*-1,1))</f>
        <v>0.28478964888957226</v>
      </c>
      <c r="W1315" s="9">
        <f t="shared" ca="1" si="201"/>
        <v>9.0077737185594198E-2</v>
      </c>
      <c r="X1315" s="17">
        <f t="shared" ca="1" si="200"/>
        <v>-2.2186612607983838E-2</v>
      </c>
      <c r="Y1315" s="13">
        <f t="shared" si="207"/>
        <v>0</v>
      </c>
      <c r="Z1315" s="13">
        <f t="shared" si="207"/>
        <v>0</v>
      </c>
      <c r="AA1315">
        <f t="shared" ca="1" si="202"/>
        <v>0</v>
      </c>
      <c r="AB1315">
        <f t="shared" ca="1" si="203"/>
        <v>1</v>
      </c>
      <c r="AC1315" s="24">
        <f t="shared" ca="1" si="204"/>
        <v>0</v>
      </c>
      <c r="AD1315" s="24">
        <f t="shared" ca="1" si="205"/>
        <v>-2.2186612607983838E-2</v>
      </c>
    </row>
    <row r="1316" spans="3:30" x14ac:dyDescent="0.25">
      <c r="C1316" s="6">
        <v>1309</v>
      </c>
      <c r="D1316" s="35">
        <v>43871</v>
      </c>
      <c r="E1316" s="37">
        <v>9.5709999999999997</v>
      </c>
      <c r="F1316" s="37">
        <v>49.427964929811566</v>
      </c>
      <c r="G1316" s="37">
        <v>32.46</v>
      </c>
      <c r="H1316" s="37">
        <v>1.8588759513137718</v>
      </c>
      <c r="I1316" s="37">
        <v>64.697950793286651</v>
      </c>
      <c r="J1316" s="10">
        <v>0</v>
      </c>
      <c r="K1316" s="38">
        <v>1</v>
      </c>
      <c r="L1316" s="38">
        <v>0</v>
      </c>
      <c r="M1316" s="38">
        <v>0</v>
      </c>
      <c r="N1316" s="38">
        <v>0</v>
      </c>
      <c r="O1316" s="38">
        <v>0</v>
      </c>
      <c r="P1316" s="38">
        <v>0</v>
      </c>
      <c r="Q1316" s="38">
        <v>0</v>
      </c>
      <c r="R1316" s="38">
        <v>0</v>
      </c>
      <c r="S1316" s="38">
        <v>0</v>
      </c>
      <c r="T1316" s="38">
        <v>0</v>
      </c>
      <c r="U1316" s="29" cm="1">
        <f t="array" aca="1" ref="U1316" ca="1">+fair_value_gap(OFFSET(T1315,0,0,-1*$J$5,-1*$AA$1),OFFSET(E1315,0,0,-1*$J$5,1),F1316:T1316,0)</f>
        <v>10.827375280157419</v>
      </c>
      <c r="V1316" s="9" cm="1">
        <f t="array" aca="1" ref="V1316" ca="1">z_score_diff(OFFSET(U1316,0,0,$J$5*-1,1),OFFSET(E1316,0,0,$J$5*-1,1))</f>
        <v>0.15985792803778232</v>
      </c>
      <c r="W1316" s="9">
        <f t="shared" ca="1" si="201"/>
        <v>8.955370494328499E-2</v>
      </c>
      <c r="X1316" s="17">
        <f t="shared" ca="1" si="200"/>
        <v>-7.4458946072742289E-3</v>
      </c>
      <c r="Y1316" s="13">
        <f t="shared" si="207"/>
        <v>0</v>
      </c>
      <c r="Z1316" s="13">
        <f t="shared" si="207"/>
        <v>0</v>
      </c>
      <c r="AA1316">
        <f t="shared" ca="1" si="202"/>
        <v>0</v>
      </c>
      <c r="AB1316">
        <f t="shared" ca="1" si="203"/>
        <v>1</v>
      </c>
      <c r="AC1316" s="24">
        <f t="shared" ca="1" si="204"/>
        <v>0</v>
      </c>
      <c r="AD1316" s="24">
        <f t="shared" ca="1" si="205"/>
        <v>-7.4458946072742289E-3</v>
      </c>
    </row>
    <row r="1317" spans="3:30" x14ac:dyDescent="0.25">
      <c r="C1317" s="6">
        <v>1310</v>
      </c>
      <c r="D1317" s="35">
        <v>43872</v>
      </c>
      <c r="E1317" s="37">
        <v>9.516</v>
      </c>
      <c r="F1317" s="37">
        <v>49.771394088321806</v>
      </c>
      <c r="G1317" s="37">
        <v>32.950000000000003</v>
      </c>
      <c r="H1317" s="37">
        <v>1.8737892403904877</v>
      </c>
      <c r="I1317" s="37">
        <v>65.283614492328155</v>
      </c>
      <c r="J1317" s="10">
        <v>0</v>
      </c>
      <c r="K1317" s="38">
        <v>1</v>
      </c>
      <c r="L1317" s="38">
        <v>0</v>
      </c>
      <c r="M1317" s="38">
        <v>0</v>
      </c>
      <c r="N1317" s="38">
        <v>0</v>
      </c>
      <c r="O1317" s="38">
        <v>0</v>
      </c>
      <c r="P1317" s="38">
        <v>0</v>
      </c>
      <c r="Q1317" s="38">
        <v>0</v>
      </c>
      <c r="R1317" s="38">
        <v>0</v>
      </c>
      <c r="S1317" s="38">
        <v>0</v>
      </c>
      <c r="T1317" s="38">
        <v>0</v>
      </c>
      <c r="U1317" s="29" cm="1">
        <f t="array" aca="1" ref="U1317" ca="1">+fair_value_gap(OFFSET(T1316,0,0,-1*$J$5,-1*$AA$1),OFFSET(E1316,0,0,-1*$J$5,1),F1317:T1317,0)</f>
        <v>10.819540552422573</v>
      </c>
      <c r="V1317" s="9" cm="1">
        <f t="array" aca="1" ref="V1317" ca="1">z_score_diff(OFFSET(U1317,0,0,$J$5*-1,1),OFFSET(E1317,0,0,$J$5*-1,1))</f>
        <v>0.16922948490722511</v>
      </c>
      <c r="W1317" s="9">
        <f t="shared" ca="1" si="201"/>
        <v>9.1996100593567928E-2</v>
      </c>
      <c r="X1317" s="17">
        <f t="shared" ca="1" si="200"/>
        <v>2.8080382002971253E-2</v>
      </c>
      <c r="Y1317" s="13">
        <f t="shared" si="207"/>
        <v>0</v>
      </c>
      <c r="Z1317" s="13">
        <f t="shared" si="207"/>
        <v>0</v>
      </c>
      <c r="AA1317">
        <f t="shared" ca="1" si="202"/>
        <v>0</v>
      </c>
      <c r="AB1317">
        <f t="shared" ca="1" si="203"/>
        <v>1</v>
      </c>
      <c r="AC1317" s="24">
        <f t="shared" ca="1" si="204"/>
        <v>0</v>
      </c>
      <c r="AD1317" s="24">
        <f t="shared" ca="1" si="205"/>
        <v>2.8080382002971253E-2</v>
      </c>
    </row>
    <row r="1318" spans="3:30" x14ac:dyDescent="0.25">
      <c r="C1318" s="6">
        <v>1311</v>
      </c>
      <c r="D1318" s="35">
        <v>43873</v>
      </c>
      <c r="E1318" s="37">
        <v>9.73</v>
      </c>
      <c r="F1318" s="37">
        <v>51.208060834703218</v>
      </c>
      <c r="G1318" s="37">
        <v>33.200000000000003</v>
      </c>
      <c r="H1318" s="37">
        <v>1.9249645892029139</v>
      </c>
      <c r="I1318" s="37">
        <v>66.273001098030363</v>
      </c>
      <c r="J1318" s="10">
        <v>0</v>
      </c>
      <c r="K1318" s="38">
        <v>1</v>
      </c>
      <c r="L1318" s="38">
        <v>0</v>
      </c>
      <c r="M1318" s="38">
        <v>0</v>
      </c>
      <c r="N1318" s="38">
        <v>0</v>
      </c>
      <c r="O1318" s="38">
        <v>0</v>
      </c>
      <c r="P1318" s="38">
        <v>0</v>
      </c>
      <c r="Q1318" s="38">
        <v>0</v>
      </c>
      <c r="R1318" s="38">
        <v>0</v>
      </c>
      <c r="S1318" s="38">
        <v>0</v>
      </c>
      <c r="T1318" s="38">
        <v>0</v>
      </c>
      <c r="U1318" s="29" cm="1">
        <f t="array" aca="1" ref="U1318" ca="1">+fair_value_gap(OFFSET(T1317,0,0,-1*$J$5,-1*$AA$1),OFFSET(E1317,0,0,-1*$J$5,1),F1318:T1318,0)</f>
        <v>10.611715747318302</v>
      </c>
      <c r="V1318" s="9" cm="1">
        <f t="array" aca="1" ref="V1318" ca="1">z_score_diff(OFFSET(U1318,0,0,$J$5*-1,1),OFFSET(E1318,0,0,$J$5*-1,1))</f>
        <v>2.3269635360446905E-2</v>
      </c>
      <c r="W1318" s="9">
        <f t="shared" ca="1" si="201"/>
        <v>9.0408812648655121E-2</v>
      </c>
      <c r="X1318" s="17">
        <f t="shared" ca="1" si="200"/>
        <v>2.6871071754449652E-2</v>
      </c>
      <c r="Y1318" s="13">
        <f t="shared" si="207"/>
        <v>0</v>
      </c>
      <c r="Z1318" s="13">
        <f t="shared" si="207"/>
        <v>0</v>
      </c>
      <c r="AA1318">
        <f t="shared" ca="1" si="202"/>
        <v>0</v>
      </c>
      <c r="AB1318">
        <f t="shared" ca="1" si="203"/>
        <v>1</v>
      </c>
      <c r="AC1318" s="24">
        <f t="shared" ca="1" si="204"/>
        <v>0</v>
      </c>
      <c r="AD1318" s="24">
        <f t="shared" ca="1" si="205"/>
        <v>2.6871071754449652E-2</v>
      </c>
    </row>
    <row r="1319" spans="3:30" x14ac:dyDescent="0.25">
      <c r="C1319" s="6">
        <v>1312</v>
      </c>
      <c r="D1319" s="35">
        <v>43874</v>
      </c>
      <c r="E1319" s="37">
        <v>9.9039999999999999</v>
      </c>
      <c r="F1319" s="37">
        <v>51.714821873197373</v>
      </c>
      <c r="G1319" s="37">
        <v>33.5</v>
      </c>
      <c r="H1319" s="37">
        <v>1.9112396223521939</v>
      </c>
      <c r="I1319" s="37">
        <v>66.583061342212304</v>
      </c>
      <c r="J1319" s="10">
        <v>0</v>
      </c>
      <c r="K1319" s="38">
        <v>1</v>
      </c>
      <c r="L1319" s="38">
        <v>0</v>
      </c>
      <c r="M1319" s="38">
        <v>0</v>
      </c>
      <c r="N1319" s="38">
        <v>0</v>
      </c>
      <c r="O1319" s="38">
        <v>0</v>
      </c>
      <c r="P1319" s="38">
        <v>0</v>
      </c>
      <c r="Q1319" s="38">
        <v>0</v>
      </c>
      <c r="R1319" s="38">
        <v>0</v>
      </c>
      <c r="S1319" s="38">
        <v>0</v>
      </c>
      <c r="T1319" s="38">
        <v>0</v>
      </c>
      <c r="U1319" s="29" cm="1">
        <f t="array" aca="1" ref="U1319" ca="1">+fair_value_gap(OFFSET(T1318,0,0,-1*$J$5,-1*$AA$1),OFFSET(E1318,0,0,-1*$J$5,1),F1319:T1319,0)</f>
        <v>10.484939970088707</v>
      </c>
      <c r="V1319" s="9" cm="1">
        <f t="array" aca="1" ref="V1319" ca="1">z_score_diff(OFFSET(U1319,0,0,$J$5*-1,1),OFFSET(E1319,0,0,$J$5*-1,1))</f>
        <v>-7.6442637510500511E-2</v>
      </c>
      <c r="W1319" s="9">
        <f t="shared" ca="1" si="201"/>
        <v>9.0663475251633055E-2</v>
      </c>
      <c r="X1319" s="17">
        <f t="shared" ca="1" si="200"/>
        <v>-5.9750038511512992E-3</v>
      </c>
      <c r="Y1319" s="13">
        <f t="shared" si="207"/>
        <v>0</v>
      </c>
      <c r="Z1319" s="13">
        <f t="shared" si="207"/>
        <v>0</v>
      </c>
      <c r="AA1319">
        <f t="shared" ca="1" si="202"/>
        <v>0</v>
      </c>
      <c r="AB1319">
        <f t="shared" ca="1" si="203"/>
        <v>1</v>
      </c>
      <c r="AC1319" s="24">
        <f t="shared" ca="1" si="204"/>
        <v>0</v>
      </c>
      <c r="AD1319" s="24">
        <f t="shared" ca="1" si="205"/>
        <v>-5.9750038511512992E-3</v>
      </c>
    </row>
    <row r="1320" spans="3:30" x14ac:dyDescent="0.25">
      <c r="C1320" s="6">
        <v>1313</v>
      </c>
      <c r="D1320" s="35">
        <v>43875</v>
      </c>
      <c r="E1320" s="37">
        <v>10.002000000000001</v>
      </c>
      <c r="F1320" s="37">
        <v>52.174484622905823</v>
      </c>
      <c r="G1320" s="37">
        <v>34.07</v>
      </c>
      <c r="H1320" s="37">
        <v>1.8952621185853455</v>
      </c>
      <c r="I1320" s="37">
        <v>67.283631088506723</v>
      </c>
      <c r="J1320" s="10">
        <v>0</v>
      </c>
      <c r="K1320" s="38">
        <v>1</v>
      </c>
      <c r="L1320" s="38">
        <v>0</v>
      </c>
      <c r="M1320" s="38">
        <v>0</v>
      </c>
      <c r="N1320" s="38">
        <v>0</v>
      </c>
      <c r="O1320" s="38">
        <v>0</v>
      </c>
      <c r="P1320" s="38">
        <v>0</v>
      </c>
      <c r="Q1320" s="38">
        <v>0</v>
      </c>
      <c r="R1320" s="38">
        <v>0</v>
      </c>
      <c r="S1320" s="38">
        <v>0</v>
      </c>
      <c r="T1320" s="38">
        <v>0</v>
      </c>
      <c r="U1320" s="29" cm="1">
        <f t="array" aca="1" ref="U1320" ca="1">+fair_value_gap(OFFSET(T1319,0,0,-1*$J$5,-1*$AA$1),OFFSET(E1319,0,0,-1*$J$5,1),F1320:T1320,0)</f>
        <v>10.511652518227681</v>
      </c>
      <c r="V1320" s="9" cm="1">
        <f t="array" aca="1" ref="V1320" ca="1">z_score_diff(OFFSET(U1320,0,0,$J$5*-1,1),OFFSET(E1320,0,0,$J$5*-1,1))</f>
        <v>-9.7353381820124429E-2</v>
      </c>
      <c r="W1320" s="9">
        <f t="shared" ca="1" si="201"/>
        <v>9.036196405698875E-2</v>
      </c>
      <c r="X1320" s="17">
        <f t="shared" ca="1" si="200"/>
        <v>-1.4907608874940793E-2</v>
      </c>
      <c r="Y1320" s="13">
        <f t="shared" si="207"/>
        <v>0</v>
      </c>
      <c r="Z1320" s="13">
        <f t="shared" si="207"/>
        <v>0</v>
      </c>
      <c r="AA1320">
        <f t="shared" ca="1" si="202"/>
        <v>0</v>
      </c>
      <c r="AB1320">
        <f t="shared" ca="1" si="203"/>
        <v>1</v>
      </c>
      <c r="AC1320" s="24">
        <f t="shared" ca="1" si="204"/>
        <v>0</v>
      </c>
      <c r="AD1320" s="24">
        <f t="shared" ca="1" si="205"/>
        <v>-1.4907608874940793E-2</v>
      </c>
    </row>
    <row r="1321" spans="3:30" x14ac:dyDescent="0.25">
      <c r="C1321" s="6">
        <v>1314</v>
      </c>
      <c r="D1321" s="35">
        <v>43878</v>
      </c>
      <c r="E1321" s="37">
        <v>10.518000000000001</v>
      </c>
      <c r="F1321" s="37">
        <v>52.334267210677623</v>
      </c>
      <c r="G1321" s="37">
        <v>34.1</v>
      </c>
      <c r="H1321" s="37">
        <v>1.8957588331768755</v>
      </c>
      <c r="I1321" s="37">
        <v>67.849172112255218</v>
      </c>
      <c r="J1321" s="10">
        <v>0</v>
      </c>
      <c r="K1321" s="38">
        <v>1</v>
      </c>
      <c r="L1321" s="38">
        <v>0</v>
      </c>
      <c r="M1321" s="38">
        <v>0</v>
      </c>
      <c r="N1321" s="38">
        <v>0</v>
      </c>
      <c r="O1321" s="38">
        <v>0</v>
      </c>
      <c r="P1321" s="38">
        <v>0</v>
      </c>
      <c r="Q1321" s="38">
        <v>0</v>
      </c>
      <c r="R1321" s="38">
        <v>0</v>
      </c>
      <c r="S1321" s="38">
        <v>0</v>
      </c>
      <c r="T1321" s="38">
        <v>0</v>
      </c>
      <c r="U1321" s="29" cm="1">
        <f t="array" aca="1" ref="U1321" ca="1">+fair_value_gap(OFFSET(T1320,0,0,-1*$J$5,-1*$AA$1),OFFSET(E1320,0,0,-1*$J$5,1),F1321:T1321,0)</f>
        <v>10.389969029538365</v>
      </c>
      <c r="V1321" s="9" cm="1">
        <f t="array" aca="1" ref="V1321" ca="1">z_score_diff(OFFSET(U1321,0,0,$J$5*-1,1),OFFSET(E1321,0,0,$J$5*-1,1))</f>
        <v>-0.30032831166053864</v>
      </c>
      <c r="W1321" s="9">
        <f t="shared" ca="1" si="201"/>
        <v>8.0809198840231369E-2</v>
      </c>
      <c r="X1321" s="17">
        <f t="shared" ca="1" si="200"/>
        <v>-0.11099636260206924</v>
      </c>
      <c r="Y1321" s="13">
        <f t="shared" ref="Y1321:Z1336" si="208">+Y1320</f>
        <v>0</v>
      </c>
      <c r="Z1321" s="13">
        <f t="shared" si="208"/>
        <v>0</v>
      </c>
      <c r="AA1321">
        <f t="shared" ca="1" si="202"/>
        <v>0</v>
      </c>
      <c r="AB1321">
        <f t="shared" ca="1" si="203"/>
        <v>1</v>
      </c>
      <c r="AC1321" s="24">
        <f t="shared" ca="1" si="204"/>
        <v>0</v>
      </c>
      <c r="AD1321" s="24">
        <f t="shared" ca="1" si="205"/>
        <v>-0.11099636260206924</v>
      </c>
    </row>
    <row r="1322" spans="3:30" x14ac:dyDescent="0.25">
      <c r="C1322" s="6">
        <v>1315</v>
      </c>
      <c r="D1322" s="35">
        <v>43879</v>
      </c>
      <c r="E1322" s="37">
        <v>10.438000000000001</v>
      </c>
      <c r="F1322" s="37">
        <v>52.515328427014687</v>
      </c>
      <c r="G1322" s="37">
        <v>34.21</v>
      </c>
      <c r="H1322" s="37">
        <v>1.9594724638212462</v>
      </c>
      <c r="I1322" s="37">
        <v>67.225119373848642</v>
      </c>
      <c r="J1322" s="10">
        <v>0</v>
      </c>
      <c r="K1322" s="38">
        <v>1</v>
      </c>
      <c r="L1322" s="38">
        <v>0</v>
      </c>
      <c r="M1322" s="38">
        <v>0</v>
      </c>
      <c r="N1322" s="38">
        <v>0</v>
      </c>
      <c r="O1322" s="38">
        <v>0</v>
      </c>
      <c r="P1322" s="38">
        <v>0</v>
      </c>
      <c r="Q1322" s="38">
        <v>0</v>
      </c>
      <c r="R1322" s="38">
        <v>0</v>
      </c>
      <c r="S1322" s="38">
        <v>0</v>
      </c>
      <c r="T1322" s="38">
        <v>0</v>
      </c>
      <c r="U1322" s="29" cm="1">
        <f t="array" aca="1" ref="U1322" ca="1">+fair_value_gap(OFFSET(T1321,0,0,-1*$J$5,-1*$AA$1),OFFSET(E1321,0,0,-1*$J$5,1),F1322:T1322,0)</f>
        <v>10.509469441880837</v>
      </c>
      <c r="V1322" s="9" cm="1">
        <f t="array" aca="1" ref="V1322" ca="1">z_score_diff(OFFSET(U1322,0,0,$J$5*-1,1),OFFSET(E1322,0,0,$J$5*-1,1))</f>
        <v>-0.22787977844242802</v>
      </c>
      <c r="W1322" s="9">
        <f t="shared" ca="1" si="201"/>
        <v>7.9085735058874909E-2</v>
      </c>
      <c r="X1322" s="17">
        <f t="shared" ca="1" si="200"/>
        <v>-0.1337777755870185</v>
      </c>
      <c r="Y1322" s="13">
        <f t="shared" si="208"/>
        <v>0</v>
      </c>
      <c r="Z1322" s="13">
        <f t="shared" si="208"/>
        <v>0</v>
      </c>
      <c r="AA1322">
        <f t="shared" ca="1" si="202"/>
        <v>0</v>
      </c>
      <c r="AB1322">
        <f t="shared" ca="1" si="203"/>
        <v>1</v>
      </c>
      <c r="AC1322" s="24">
        <f t="shared" ca="1" si="204"/>
        <v>0</v>
      </c>
      <c r="AD1322" s="24">
        <f t="shared" ca="1" si="205"/>
        <v>-0.1337777755870185</v>
      </c>
    </row>
    <row r="1323" spans="3:30" x14ac:dyDescent="0.25">
      <c r="C1323" s="6">
        <v>1316</v>
      </c>
      <c r="D1323" s="35">
        <v>43880</v>
      </c>
      <c r="E1323" s="37">
        <v>10.336</v>
      </c>
      <c r="F1323" s="37">
        <v>53.219096263953539</v>
      </c>
      <c r="G1323" s="37">
        <v>34.130000000000003</v>
      </c>
      <c r="H1323" s="37">
        <v>1.9643649910981129</v>
      </c>
      <c r="I1323" s="37">
        <v>67.004434924688667</v>
      </c>
      <c r="J1323" s="10">
        <v>0</v>
      </c>
      <c r="K1323" s="38">
        <v>1</v>
      </c>
      <c r="L1323" s="38">
        <v>0</v>
      </c>
      <c r="M1323" s="38">
        <v>0</v>
      </c>
      <c r="N1323" s="38">
        <v>0</v>
      </c>
      <c r="O1323" s="38">
        <v>0</v>
      </c>
      <c r="P1323" s="38">
        <v>0</v>
      </c>
      <c r="Q1323" s="38">
        <v>0</v>
      </c>
      <c r="R1323" s="38">
        <v>0</v>
      </c>
      <c r="S1323" s="38">
        <v>0</v>
      </c>
      <c r="T1323" s="38">
        <v>0</v>
      </c>
      <c r="U1323" s="29" cm="1">
        <f t="array" aca="1" ref="U1323" ca="1">+fair_value_gap(OFFSET(T1322,0,0,-1*$J$5,-1*$AA$1),OFFSET(E1322,0,0,-1*$J$5,1),F1323:T1323,0)</f>
        <v>10.328538133377048</v>
      </c>
      <c r="V1323" s="9" cm="1">
        <f t="array" aca="1" ref="V1323" ca="1">z_score_diff(OFFSET(U1323,0,0,$J$5*-1,1),OFFSET(E1323,0,0,$J$5*-1,1))</f>
        <v>-0.24566778929762556</v>
      </c>
      <c r="W1323" s="9">
        <f t="shared" ca="1" si="201"/>
        <v>6.5603301255808794E-2</v>
      </c>
      <c r="X1323" s="17">
        <f t="shared" ca="1" si="200"/>
        <v>-0.14185875990438007</v>
      </c>
      <c r="Y1323" s="13">
        <f t="shared" si="208"/>
        <v>0</v>
      </c>
      <c r="Z1323" s="13">
        <f t="shared" si="208"/>
        <v>0</v>
      </c>
      <c r="AA1323">
        <f t="shared" ca="1" si="202"/>
        <v>0</v>
      </c>
      <c r="AB1323">
        <f t="shared" ca="1" si="203"/>
        <v>1</v>
      </c>
      <c r="AC1323" s="24">
        <f t="shared" ca="1" si="204"/>
        <v>0</v>
      </c>
      <c r="AD1323" s="24">
        <f t="shared" ca="1" si="205"/>
        <v>-0.14185875990438007</v>
      </c>
    </row>
    <row r="1324" spans="3:30" x14ac:dyDescent="0.25">
      <c r="C1324" s="6">
        <v>1317</v>
      </c>
      <c r="D1324" s="35">
        <v>43881</v>
      </c>
      <c r="E1324" s="37">
        <v>10.195</v>
      </c>
      <c r="F1324" s="37">
        <v>53.173781418890719</v>
      </c>
      <c r="G1324" s="37">
        <v>34.03</v>
      </c>
      <c r="H1324" s="37">
        <v>1.9433467200177554</v>
      </c>
      <c r="I1324" s="37">
        <v>66.398443855255067</v>
      </c>
      <c r="J1324" s="10">
        <v>0</v>
      </c>
      <c r="K1324" s="38">
        <v>1</v>
      </c>
      <c r="L1324" s="38">
        <v>0</v>
      </c>
      <c r="M1324" s="38">
        <v>0</v>
      </c>
      <c r="N1324" s="38">
        <v>0</v>
      </c>
      <c r="O1324" s="38">
        <v>0</v>
      </c>
      <c r="P1324" s="38">
        <v>0</v>
      </c>
      <c r="Q1324" s="38">
        <v>0</v>
      </c>
      <c r="R1324" s="38">
        <v>0</v>
      </c>
      <c r="S1324" s="38">
        <v>0</v>
      </c>
      <c r="T1324" s="38">
        <v>0</v>
      </c>
      <c r="U1324" s="29" cm="1">
        <f t="array" aca="1" ref="U1324" ca="1">+fair_value_gap(OFFSET(T1323,0,0,-1*$J$5,-1*$AA$1),OFFSET(E1323,0,0,-1*$J$5,1),F1324:T1324,0)</f>
        <v>10.172685650107281</v>
      </c>
      <c r="V1324" s="9" cm="1">
        <f t="array" aca="1" ref="V1324" ca="1">z_score_diff(OFFSET(U1324,0,0,$J$5*-1,1),OFFSET(E1324,0,0,$J$5*-1,1))</f>
        <v>-0.24194556247311816</v>
      </c>
      <c r="W1324" s="9">
        <f t="shared" ca="1" si="201"/>
        <v>5.6273410022536254E-2</v>
      </c>
      <c r="X1324" s="17">
        <f t="shared" ca="1" si="200"/>
        <v>-0.10858077879055501</v>
      </c>
      <c r="Y1324" s="13">
        <f t="shared" si="208"/>
        <v>0</v>
      </c>
      <c r="Z1324" s="13">
        <f t="shared" si="208"/>
        <v>0</v>
      </c>
      <c r="AA1324">
        <f t="shared" ca="1" si="202"/>
        <v>0</v>
      </c>
      <c r="AB1324">
        <f t="shared" ca="1" si="203"/>
        <v>1</v>
      </c>
      <c r="AC1324" s="24">
        <f t="shared" ca="1" si="204"/>
        <v>0</v>
      </c>
      <c r="AD1324" s="24">
        <f t="shared" ca="1" si="205"/>
        <v>-0.10858077879055501</v>
      </c>
    </row>
    <row r="1325" spans="3:30" x14ac:dyDescent="0.25">
      <c r="C1325" s="6">
        <v>1318</v>
      </c>
      <c r="D1325" s="35">
        <v>43882</v>
      </c>
      <c r="E1325" s="37">
        <v>10.050000000000001</v>
      </c>
      <c r="F1325" s="37">
        <v>52.215891364673823</v>
      </c>
      <c r="G1325" s="37">
        <v>33.840000000000003</v>
      </c>
      <c r="H1325" s="37">
        <v>1.9238874019583698</v>
      </c>
      <c r="I1325" s="37">
        <v>66.136480152670373</v>
      </c>
      <c r="J1325" s="10">
        <v>0</v>
      </c>
      <c r="K1325" s="38">
        <v>1</v>
      </c>
      <c r="L1325" s="38">
        <v>0</v>
      </c>
      <c r="M1325" s="38">
        <v>0</v>
      </c>
      <c r="N1325" s="38">
        <v>0</v>
      </c>
      <c r="O1325" s="38">
        <v>0</v>
      </c>
      <c r="P1325" s="38">
        <v>0</v>
      </c>
      <c r="Q1325" s="38">
        <v>0</v>
      </c>
      <c r="R1325" s="38">
        <v>0</v>
      </c>
      <c r="S1325" s="38">
        <v>0</v>
      </c>
      <c r="T1325" s="38">
        <v>0</v>
      </c>
      <c r="U1325" s="29" cm="1">
        <f t="array" aca="1" ref="U1325" ca="1">+fair_value_gap(OFFSET(T1324,0,0,-1*$J$5,-1*$AA$1),OFFSET(E1324,0,0,-1*$J$5,1),F1325:T1325,0)</f>
        <v>10.049330302135935</v>
      </c>
      <c r="V1325" s="9" cm="1">
        <f t="array" aca="1" ref="V1325" ca="1">z_score_diff(OFFSET(U1325,0,0,$J$5*-1,1),OFFSET(E1325,0,0,$J$5*-1,1))</f>
        <v>-0.22994345976505892</v>
      </c>
      <c r="W1325" s="9">
        <f t="shared" ca="1" si="201"/>
        <v>5.2286376112422796E-2</v>
      </c>
      <c r="X1325" s="17">
        <f t="shared" ca="1" si="200"/>
        <v>-0.113464017847123</v>
      </c>
      <c r="Y1325" s="13">
        <f t="shared" si="208"/>
        <v>0</v>
      </c>
      <c r="Z1325" s="13">
        <f t="shared" si="208"/>
        <v>0</v>
      </c>
      <c r="AA1325">
        <f t="shared" ca="1" si="202"/>
        <v>0</v>
      </c>
      <c r="AB1325">
        <f t="shared" ca="1" si="203"/>
        <v>1</v>
      </c>
      <c r="AC1325" s="24">
        <f t="shared" ca="1" si="204"/>
        <v>0</v>
      </c>
      <c r="AD1325" s="24">
        <f t="shared" ca="1" si="205"/>
        <v>-0.113464017847123</v>
      </c>
    </row>
    <row r="1326" spans="3:30" x14ac:dyDescent="0.25">
      <c r="C1326" s="6">
        <v>1319</v>
      </c>
      <c r="D1326" s="35">
        <v>43885</v>
      </c>
      <c r="E1326" s="37">
        <v>9.5109999999999992</v>
      </c>
      <c r="F1326" s="37">
        <v>50.843980909575748</v>
      </c>
      <c r="G1326" s="37">
        <v>32.79</v>
      </c>
      <c r="H1326" s="37">
        <v>1.8734871932791495</v>
      </c>
      <c r="I1326" s="37">
        <v>65.184590909712497</v>
      </c>
      <c r="J1326" s="10">
        <v>0</v>
      </c>
      <c r="K1326" s="38">
        <v>1</v>
      </c>
      <c r="L1326" s="38">
        <v>0</v>
      </c>
      <c r="M1326" s="38">
        <v>0</v>
      </c>
      <c r="N1326" s="38">
        <v>0</v>
      </c>
      <c r="O1326" s="38">
        <v>0</v>
      </c>
      <c r="P1326" s="38">
        <v>0</v>
      </c>
      <c r="Q1326" s="38">
        <v>0</v>
      </c>
      <c r="R1326" s="38">
        <v>0</v>
      </c>
      <c r="S1326" s="38">
        <v>0</v>
      </c>
      <c r="T1326" s="38">
        <v>0</v>
      </c>
      <c r="U1326" s="29" cm="1">
        <f t="array" aca="1" ref="U1326" ca="1">+fair_value_gap(OFFSET(T1325,0,0,-1*$J$5,-1*$AA$1),OFFSET(E1325,0,0,-1*$J$5,1),F1326:T1326,0)</f>
        <v>9.7534739023353367</v>
      </c>
      <c r="V1326" s="9" cm="1">
        <f t="array" aca="1" ref="V1326" ca="1">z_score_diff(OFFSET(U1326,0,0,$J$5*-1,1),OFFSET(E1326,0,0,$J$5*-1,1))</f>
        <v>-0.1483291497427266</v>
      </c>
      <c r="W1326" s="9">
        <f t="shared" ca="1" si="201"/>
        <v>4.953140900254864E-2</v>
      </c>
      <c r="X1326" s="17">
        <f t="shared" ca="1" si="200"/>
        <v>-0.10383129380362943</v>
      </c>
      <c r="Y1326" s="13">
        <f t="shared" si="208"/>
        <v>0</v>
      </c>
      <c r="Z1326" s="13">
        <f t="shared" si="208"/>
        <v>0</v>
      </c>
      <c r="AA1326">
        <f t="shared" ca="1" si="202"/>
        <v>0</v>
      </c>
      <c r="AB1326">
        <f t="shared" ca="1" si="203"/>
        <v>1</v>
      </c>
      <c r="AC1326" s="24">
        <f t="shared" ca="1" si="204"/>
        <v>0</v>
      </c>
      <c r="AD1326" s="24">
        <f t="shared" ca="1" si="205"/>
        <v>-0.10383129380362943</v>
      </c>
    </row>
    <row r="1327" spans="3:30" x14ac:dyDescent="0.25">
      <c r="C1327" s="6">
        <v>1320</v>
      </c>
      <c r="D1327" s="35">
        <v>43886</v>
      </c>
      <c r="E1327" s="37">
        <v>9.3819999999999997</v>
      </c>
      <c r="F1327" s="37">
        <v>49.33609120627834</v>
      </c>
      <c r="G1327" s="37">
        <v>32.75</v>
      </c>
      <c r="H1327" s="37">
        <v>1.8801198474073992</v>
      </c>
      <c r="I1327" s="37">
        <v>65.35394825167954</v>
      </c>
      <c r="J1327" s="10">
        <v>0</v>
      </c>
      <c r="K1327" s="38">
        <v>1</v>
      </c>
      <c r="L1327" s="38">
        <v>0</v>
      </c>
      <c r="M1327" s="38">
        <v>0</v>
      </c>
      <c r="N1327" s="38">
        <v>0</v>
      </c>
      <c r="O1327" s="38">
        <v>0</v>
      </c>
      <c r="P1327" s="38">
        <v>0</v>
      </c>
      <c r="Q1327" s="38">
        <v>0</v>
      </c>
      <c r="R1327" s="38">
        <v>0</v>
      </c>
      <c r="S1327" s="38">
        <v>0</v>
      </c>
      <c r="T1327" s="38">
        <v>0</v>
      </c>
      <c r="U1327" s="29" cm="1">
        <f t="array" aca="1" ref="U1327" ca="1">+fair_value_gap(OFFSET(T1326,0,0,-1*$J$5,-1*$AA$1),OFFSET(E1326,0,0,-1*$J$5,1),F1327:T1327,0)</f>
        <v>9.8392984161083099</v>
      </c>
      <c r="V1327" s="9" cm="1">
        <f t="array" aca="1" ref="V1327" ca="1">z_score_diff(OFFSET(U1327,0,0,$J$5*-1,1),OFFSET(E1327,0,0,$J$5*-1,1))</f>
        <v>-7.9504872721267272E-2</v>
      </c>
      <c r="W1327" s="9">
        <f t="shared" ca="1" si="201"/>
        <v>5.4351627586450735E-2</v>
      </c>
      <c r="X1327" s="17">
        <f t="shared" ca="1" si="200"/>
        <v>-7.6504952450943103E-2</v>
      </c>
      <c r="Y1327" s="13">
        <f t="shared" si="208"/>
        <v>0</v>
      </c>
      <c r="Z1327" s="13">
        <f t="shared" si="208"/>
        <v>0</v>
      </c>
      <c r="AA1327">
        <f t="shared" ca="1" si="202"/>
        <v>0</v>
      </c>
      <c r="AB1327">
        <f t="shared" ca="1" si="203"/>
        <v>1</v>
      </c>
      <c r="AC1327" s="24">
        <f t="shared" ca="1" si="204"/>
        <v>0</v>
      </c>
      <c r="AD1327" s="24">
        <f t="shared" ca="1" si="205"/>
        <v>-7.6504952450943103E-2</v>
      </c>
    </row>
    <row r="1328" spans="3:30" x14ac:dyDescent="0.25">
      <c r="C1328" s="6">
        <v>1321</v>
      </c>
      <c r="D1328" s="35">
        <v>43887</v>
      </c>
      <c r="E1328" s="37">
        <v>9.4860000000000007</v>
      </c>
      <c r="F1328" s="37">
        <v>48.19848939878726</v>
      </c>
      <c r="G1328" s="37">
        <v>32.25</v>
      </c>
      <c r="H1328" s="37">
        <v>1.8675664445408229</v>
      </c>
      <c r="I1328" s="37">
        <v>64.828377553924383</v>
      </c>
      <c r="J1328" s="10">
        <v>0</v>
      </c>
      <c r="K1328" s="38">
        <v>1</v>
      </c>
      <c r="L1328" s="38">
        <v>0</v>
      </c>
      <c r="M1328" s="38">
        <v>0</v>
      </c>
      <c r="N1328" s="38">
        <v>0</v>
      </c>
      <c r="O1328" s="38">
        <v>0</v>
      </c>
      <c r="P1328" s="38">
        <v>0</v>
      </c>
      <c r="Q1328" s="38">
        <v>0</v>
      </c>
      <c r="R1328" s="38">
        <v>0</v>
      </c>
      <c r="S1328" s="38">
        <v>0</v>
      </c>
      <c r="T1328" s="38">
        <v>0</v>
      </c>
      <c r="U1328" s="29" cm="1">
        <f t="array" aca="1" ref="U1328" ca="1">+fair_value_gap(OFFSET(T1327,0,0,-1*$J$5,-1*$AA$1),OFFSET(E1327,0,0,-1*$J$5,1),F1328:T1328,0)</f>
        <v>9.6998241996318786</v>
      </c>
      <c r="V1328" s="9" cm="1">
        <f t="array" aca="1" ref="V1328" ca="1">z_score_diff(OFFSET(U1328,0,0,$J$5*-1,1),OFFSET(E1328,0,0,$J$5*-1,1))</f>
        <v>-0.1512103213372411</v>
      </c>
      <c r="W1328" s="9">
        <f t="shared" ca="1" si="201"/>
        <v>4.8894528890118735E-2</v>
      </c>
      <c r="X1328" s="17">
        <f t="shared" ca="1" si="200"/>
        <v>-9.1679838827217558E-2</v>
      </c>
      <c r="Y1328" s="13">
        <f t="shared" si="208"/>
        <v>0</v>
      </c>
      <c r="Z1328" s="13">
        <f t="shared" si="208"/>
        <v>0</v>
      </c>
      <c r="AA1328">
        <f t="shared" ca="1" si="202"/>
        <v>0</v>
      </c>
      <c r="AB1328">
        <f t="shared" ca="1" si="203"/>
        <v>1</v>
      </c>
      <c r="AC1328" s="24">
        <f t="shared" ca="1" si="204"/>
        <v>0</v>
      </c>
      <c r="AD1328" s="24">
        <f t="shared" ca="1" si="205"/>
        <v>-9.1679838827217558E-2</v>
      </c>
    </row>
    <row r="1329" spans="3:30" x14ac:dyDescent="0.25">
      <c r="C1329" s="6">
        <v>1322</v>
      </c>
      <c r="D1329" s="35">
        <v>43888</v>
      </c>
      <c r="E1329" s="37">
        <v>9.2059999999999995</v>
      </c>
      <c r="F1329" s="37">
        <v>46.804907489145521</v>
      </c>
      <c r="G1329" s="37">
        <v>31.7</v>
      </c>
      <c r="H1329" s="37">
        <v>1.797971427027222</v>
      </c>
      <c r="I1329" s="37">
        <v>64.901724106869409</v>
      </c>
      <c r="J1329" s="10">
        <v>0</v>
      </c>
      <c r="K1329" s="38">
        <v>1</v>
      </c>
      <c r="L1329" s="38">
        <v>0</v>
      </c>
      <c r="M1329" s="38">
        <v>0</v>
      </c>
      <c r="N1329" s="38">
        <v>0</v>
      </c>
      <c r="O1329" s="38">
        <v>0</v>
      </c>
      <c r="P1329" s="38">
        <v>0</v>
      </c>
      <c r="Q1329" s="38">
        <v>0</v>
      </c>
      <c r="R1329" s="38">
        <v>0</v>
      </c>
      <c r="S1329" s="38">
        <v>0</v>
      </c>
      <c r="T1329" s="38">
        <v>0</v>
      </c>
      <c r="U1329" s="29" cm="1">
        <f t="array" aca="1" ref="U1329" ca="1">+fair_value_gap(OFFSET(T1328,0,0,-1*$J$5,-1*$AA$1),OFFSET(E1328,0,0,-1*$J$5,1),F1329:T1329,0)</f>
        <v>9.5697802775112635</v>
      </c>
      <c r="V1329" s="9" cm="1">
        <f t="array" aca="1" ref="V1329" ca="1">z_score_diff(OFFSET(U1329,0,0,$J$5*-1,1),OFFSET(E1329,0,0,$J$5*-1,1))</f>
        <v>-0.10116769501094192</v>
      </c>
      <c r="W1329" s="9">
        <f t="shared" ca="1" si="201"/>
        <v>4.8289227994873382E-2</v>
      </c>
      <c r="X1329" s="17">
        <f t="shared" ca="1" si="200"/>
        <v>-6.7976969825707015E-2</v>
      </c>
      <c r="Y1329" s="13">
        <f t="shared" si="208"/>
        <v>0</v>
      </c>
      <c r="Z1329" s="13">
        <f t="shared" si="208"/>
        <v>0</v>
      </c>
      <c r="AA1329">
        <f t="shared" ca="1" si="202"/>
        <v>0</v>
      </c>
      <c r="AB1329">
        <f t="shared" ca="1" si="203"/>
        <v>1</v>
      </c>
      <c r="AC1329" s="24">
        <f t="shared" ca="1" si="204"/>
        <v>0</v>
      </c>
      <c r="AD1329" s="24">
        <f t="shared" ca="1" si="205"/>
        <v>-6.7976969825707015E-2</v>
      </c>
    </row>
    <row r="1330" spans="3:30" x14ac:dyDescent="0.25">
      <c r="C1330" s="6">
        <v>1323</v>
      </c>
      <c r="D1330" s="35">
        <v>43889</v>
      </c>
      <c r="E1330" s="37">
        <v>9.6679999999999993</v>
      </c>
      <c r="F1330" s="37">
        <v>44.768988427418563</v>
      </c>
      <c r="G1330" s="37">
        <v>35.68</v>
      </c>
      <c r="H1330" s="37">
        <v>1.7296905057413869</v>
      </c>
      <c r="I1330" s="37">
        <v>64.257194021701054</v>
      </c>
      <c r="J1330" s="10">
        <v>0</v>
      </c>
      <c r="K1330" s="38">
        <v>1</v>
      </c>
      <c r="L1330" s="38">
        <v>0</v>
      </c>
      <c r="M1330" s="38">
        <v>0</v>
      </c>
      <c r="N1330" s="38">
        <v>0</v>
      </c>
      <c r="O1330" s="38">
        <v>0</v>
      </c>
      <c r="P1330" s="38">
        <v>0</v>
      </c>
      <c r="Q1330" s="38">
        <v>0</v>
      </c>
      <c r="R1330" s="38">
        <v>0</v>
      </c>
      <c r="S1330" s="38">
        <v>0</v>
      </c>
      <c r="T1330" s="38">
        <v>0</v>
      </c>
      <c r="U1330" s="29" cm="1">
        <f t="array" aca="1" ref="U1330" ca="1">+fair_value_gap(OFFSET(T1329,0,0,-1*$J$5,-1*$AA$1),OFFSET(E1329,0,0,-1*$J$5,1),F1330:T1330,0)</f>
        <v>10.90890692439833</v>
      </c>
      <c r="V1330" s="9" cm="1">
        <f t="array" aca="1" ref="V1330" ca="1">z_score_diff(OFFSET(U1330,0,0,$J$5*-1,1),OFFSET(E1330,0,0,$J$5*-1,1))</f>
        <v>0.16050566189755711</v>
      </c>
      <c r="W1330" s="9">
        <f t="shared" ca="1" si="201"/>
        <v>6.3289552063509155E-2</v>
      </c>
      <c r="X1330" s="17">
        <f t="shared" ca="1" si="200"/>
        <v>-0.16079246430948813</v>
      </c>
      <c r="Y1330" s="13">
        <f t="shared" si="208"/>
        <v>0</v>
      </c>
      <c r="Z1330" s="13">
        <f t="shared" si="208"/>
        <v>0</v>
      </c>
      <c r="AA1330">
        <f t="shared" ca="1" si="202"/>
        <v>0</v>
      </c>
      <c r="AB1330">
        <f t="shared" ca="1" si="203"/>
        <v>1</v>
      </c>
      <c r="AC1330" s="24">
        <f t="shared" ca="1" si="204"/>
        <v>0</v>
      </c>
      <c r="AD1330" s="24">
        <f t="shared" ca="1" si="205"/>
        <v>-0.16079246430948813</v>
      </c>
    </row>
    <row r="1331" spans="3:30" x14ac:dyDescent="0.25">
      <c r="C1331" s="6">
        <v>1324</v>
      </c>
      <c r="D1331" s="35">
        <v>43892</v>
      </c>
      <c r="E1331" s="37">
        <v>9.7279999999999998</v>
      </c>
      <c r="F1331" s="37">
        <v>46.071461956545939</v>
      </c>
      <c r="G1331" s="37">
        <v>35.64</v>
      </c>
      <c r="H1331" s="37">
        <v>1.7573925778207087</v>
      </c>
      <c r="I1331" s="37">
        <v>63.342696004024027</v>
      </c>
      <c r="J1331" s="10">
        <v>0</v>
      </c>
      <c r="K1331" s="38">
        <v>0</v>
      </c>
      <c r="L1331" s="38">
        <v>1</v>
      </c>
      <c r="M1331" s="38">
        <v>0</v>
      </c>
      <c r="N1331" s="38">
        <v>0</v>
      </c>
      <c r="O1331" s="38">
        <v>0</v>
      </c>
      <c r="P1331" s="38">
        <v>0</v>
      </c>
      <c r="Q1331" s="38">
        <v>0</v>
      </c>
      <c r="R1331" s="38">
        <v>0</v>
      </c>
      <c r="S1331" s="38">
        <v>0</v>
      </c>
      <c r="T1331" s="38">
        <v>0</v>
      </c>
      <c r="U1331" s="29" cm="1">
        <f t="array" aca="1" ref="U1331" ca="1">+fair_value_gap(OFFSET(T1330,0,0,-1*$J$5,-1*$AA$1),OFFSET(E1330,0,0,-1*$J$5,1),F1331:T1331,0)</f>
        <v>12.772605366173359</v>
      </c>
      <c r="V1331" s="9" cm="1">
        <f t="array" aca="1" ref="V1331" ca="1">z_score_diff(OFFSET(U1331,0,0,$J$5*-1,1),OFFSET(E1331,0,0,$J$5*-1,1))</f>
        <v>0.69287692103427267</v>
      </c>
      <c r="W1331" s="9">
        <f t="shared" ca="1" si="201"/>
        <v>5.1636094285082576E-2</v>
      </c>
      <c r="X1331" s="17">
        <f t="shared" ca="1" si="200"/>
        <v>-0.20549086474166858</v>
      </c>
      <c r="Y1331" s="13">
        <f t="shared" si="208"/>
        <v>0</v>
      </c>
      <c r="Z1331" s="13">
        <f t="shared" si="208"/>
        <v>0</v>
      </c>
      <c r="AA1331">
        <f t="shared" ca="1" si="202"/>
        <v>0</v>
      </c>
      <c r="AB1331">
        <f t="shared" ca="1" si="203"/>
        <v>1</v>
      </c>
      <c r="AC1331" s="24">
        <f t="shared" ca="1" si="204"/>
        <v>0</v>
      </c>
      <c r="AD1331" s="24">
        <f t="shared" ca="1" si="205"/>
        <v>-0.20549086474166858</v>
      </c>
    </row>
    <row r="1332" spans="3:30" x14ac:dyDescent="0.25">
      <c r="C1332" s="6">
        <v>1325</v>
      </c>
      <c r="D1332" s="35">
        <v>43893</v>
      </c>
      <c r="E1332" s="37">
        <v>9.9979999999999993</v>
      </c>
      <c r="F1332" s="37">
        <v>45.992844571344378</v>
      </c>
      <c r="G1332" s="37">
        <v>36.11</v>
      </c>
      <c r="H1332" s="37">
        <v>1.7875258388013811</v>
      </c>
      <c r="I1332" s="37">
        <v>63.326697417318044</v>
      </c>
      <c r="J1332" s="10">
        <v>0</v>
      </c>
      <c r="K1332" s="38">
        <v>0</v>
      </c>
      <c r="L1332" s="38">
        <v>1</v>
      </c>
      <c r="M1332" s="38">
        <v>0</v>
      </c>
      <c r="N1332" s="38">
        <v>0</v>
      </c>
      <c r="O1332" s="38">
        <v>0</v>
      </c>
      <c r="P1332" s="38">
        <v>0</v>
      </c>
      <c r="Q1332" s="38">
        <v>0</v>
      </c>
      <c r="R1332" s="38">
        <v>0</v>
      </c>
      <c r="S1332" s="38">
        <v>0</v>
      </c>
      <c r="T1332" s="38">
        <v>0</v>
      </c>
      <c r="U1332" s="29" cm="1">
        <f t="array" aca="1" ref="U1332" ca="1">+fair_value_gap(OFFSET(T1331,0,0,-1*$J$5,-1*$AA$1),OFFSET(E1331,0,0,-1*$J$5,1),F1332:T1332,0)</f>
        <v>12.103495359957499</v>
      </c>
      <c r="V1332" s="9" cm="1">
        <f t="array" aca="1" ref="V1332" ca="1">z_score_diff(OFFSET(U1332,0,0,$J$5*-1,1),OFFSET(E1332,0,0,$J$5*-1,1))</f>
        <v>0.40070549004814615</v>
      </c>
      <c r="W1332" s="9">
        <f t="shared" ca="1" si="201"/>
        <v>4.0481691173569354E-2</v>
      </c>
      <c r="X1332" s="17">
        <f t="shared" ca="1" si="200"/>
        <v>-7.032974618785999E-2</v>
      </c>
      <c r="Y1332" s="13">
        <f t="shared" si="208"/>
        <v>0</v>
      </c>
      <c r="Z1332" s="13">
        <f t="shared" si="208"/>
        <v>0</v>
      </c>
      <c r="AA1332">
        <f t="shared" ca="1" si="202"/>
        <v>0</v>
      </c>
      <c r="AB1332">
        <f t="shared" ca="1" si="203"/>
        <v>1</v>
      </c>
      <c r="AC1332" s="24">
        <f t="shared" ca="1" si="204"/>
        <v>0</v>
      </c>
      <c r="AD1332" s="24">
        <f t="shared" ca="1" si="205"/>
        <v>-7.032974618785999E-2</v>
      </c>
    </row>
    <row r="1333" spans="3:30" x14ac:dyDescent="0.25">
      <c r="C1333" s="6">
        <v>1326</v>
      </c>
      <c r="D1333" s="35">
        <v>43894</v>
      </c>
      <c r="E1333" s="37">
        <v>9.8849999999999998</v>
      </c>
      <c r="F1333" s="37">
        <v>45.998873424219951</v>
      </c>
      <c r="G1333" s="37">
        <v>36.119999999999997</v>
      </c>
      <c r="H1333" s="37">
        <v>1.8226641378130168</v>
      </c>
      <c r="I1333" s="37">
        <v>62.077534082482458</v>
      </c>
      <c r="J1333" s="10">
        <v>0</v>
      </c>
      <c r="K1333" s="38">
        <v>0</v>
      </c>
      <c r="L1333" s="38">
        <v>1</v>
      </c>
      <c r="M1333" s="38">
        <v>0</v>
      </c>
      <c r="N1333" s="38">
        <v>0</v>
      </c>
      <c r="O1333" s="38">
        <v>0</v>
      </c>
      <c r="P1333" s="38">
        <v>0</v>
      </c>
      <c r="Q1333" s="38">
        <v>0</v>
      </c>
      <c r="R1333" s="38">
        <v>0</v>
      </c>
      <c r="S1333" s="38">
        <v>0</v>
      </c>
      <c r="T1333" s="38">
        <v>0</v>
      </c>
      <c r="U1333" s="29" cm="1">
        <f t="array" aca="1" ref="U1333" ca="1">+fair_value_gap(OFFSET(T1332,0,0,-1*$J$5,-1*$AA$1),OFFSET(E1332,0,0,-1*$J$5,1),F1333:T1333,0)</f>
        <v>11.768024619041734</v>
      </c>
      <c r="V1333" s="9" cm="1">
        <f t="array" aca="1" ref="V1333" ca="1">z_score_diff(OFFSET(U1333,0,0,$J$5*-1,1),OFFSET(E1333,0,0,$J$5*-1,1))</f>
        <v>0.32693043669335919</v>
      </c>
      <c r="W1333" s="9">
        <f t="shared" ca="1" si="201"/>
        <v>3.120396326136262E-2</v>
      </c>
      <c r="X1333" s="17">
        <f t="shared" ca="1" si="200"/>
        <v>-6.3695848129081287E-2</v>
      </c>
      <c r="Y1333" s="13">
        <f t="shared" si="208"/>
        <v>0</v>
      </c>
      <c r="Z1333" s="13">
        <f t="shared" si="208"/>
        <v>0</v>
      </c>
      <c r="AA1333">
        <f t="shared" ca="1" si="202"/>
        <v>0</v>
      </c>
      <c r="AB1333">
        <f t="shared" ca="1" si="203"/>
        <v>1</v>
      </c>
      <c r="AC1333" s="24">
        <f t="shared" ca="1" si="204"/>
        <v>0</v>
      </c>
      <c r="AD1333" s="24">
        <f t="shared" ca="1" si="205"/>
        <v>-6.3695848129081287E-2</v>
      </c>
    </row>
    <row r="1334" spans="3:30" x14ac:dyDescent="0.25">
      <c r="C1334" s="6">
        <v>1327</v>
      </c>
      <c r="D1334" s="35">
        <v>43895</v>
      </c>
      <c r="E1334" s="37">
        <v>9.86</v>
      </c>
      <c r="F1334" s="37">
        <v>44.85985604184917</v>
      </c>
      <c r="G1334" s="37">
        <v>35.979999999999997</v>
      </c>
      <c r="H1334" s="37">
        <v>1.769643976271567</v>
      </c>
      <c r="I1334" s="37">
        <v>60.682347138383165</v>
      </c>
      <c r="J1334" s="10">
        <v>0</v>
      </c>
      <c r="K1334" s="38">
        <v>0</v>
      </c>
      <c r="L1334" s="38">
        <v>1</v>
      </c>
      <c r="M1334" s="38">
        <v>0</v>
      </c>
      <c r="N1334" s="38">
        <v>0</v>
      </c>
      <c r="O1334" s="38">
        <v>0</v>
      </c>
      <c r="P1334" s="38">
        <v>0</v>
      </c>
      <c r="Q1334" s="38">
        <v>0</v>
      </c>
      <c r="R1334" s="38">
        <v>0</v>
      </c>
      <c r="S1334" s="38">
        <v>0</v>
      </c>
      <c r="T1334" s="38">
        <v>0</v>
      </c>
      <c r="U1334" s="29" cm="1">
        <f t="array" aca="1" ref="U1334" ca="1">+fair_value_gap(OFFSET(T1333,0,0,-1*$J$5,-1*$AA$1),OFFSET(E1333,0,0,-1*$J$5,1),F1334:T1334,0)</f>
        <v>11.420633723727422</v>
      </c>
      <c r="V1334" s="9" cm="1">
        <f t="array" aca="1" ref="V1334" ca="1">z_score_diff(OFFSET(U1334,0,0,$J$5*-1,1),OFFSET(E1334,0,0,$J$5*-1,1))</f>
        <v>0.22581067225574691</v>
      </c>
      <c r="W1334" s="9">
        <f t="shared" ca="1" si="201"/>
        <v>2.7210145967126877E-2</v>
      </c>
      <c r="X1334" s="17">
        <f t="shared" ca="1" si="200"/>
        <v>-3.6457799237650669E-2</v>
      </c>
      <c r="Y1334" s="13">
        <f t="shared" si="208"/>
        <v>0</v>
      </c>
      <c r="Z1334" s="13">
        <f t="shared" si="208"/>
        <v>0</v>
      </c>
      <c r="AA1334">
        <f t="shared" ca="1" si="202"/>
        <v>0</v>
      </c>
      <c r="AB1334">
        <f t="shared" ca="1" si="203"/>
        <v>1</v>
      </c>
      <c r="AC1334" s="24">
        <f t="shared" ca="1" si="204"/>
        <v>0</v>
      </c>
      <c r="AD1334" s="24">
        <f t="shared" ca="1" si="205"/>
        <v>-3.6457799237650669E-2</v>
      </c>
    </row>
    <row r="1335" spans="3:30" x14ac:dyDescent="0.25">
      <c r="C1335" s="6">
        <v>1328</v>
      </c>
      <c r="D1335" s="35">
        <v>43896</v>
      </c>
      <c r="E1335" s="37">
        <v>9.6280000000000001</v>
      </c>
      <c r="F1335" s="37">
        <v>41.158880836955831</v>
      </c>
      <c r="G1335" s="37">
        <v>34.58</v>
      </c>
      <c r="H1335" s="37">
        <v>1.7152462722830437</v>
      </c>
      <c r="I1335" s="37">
        <v>57.467779819319198</v>
      </c>
      <c r="J1335" s="10">
        <v>0</v>
      </c>
      <c r="K1335" s="38">
        <v>0</v>
      </c>
      <c r="L1335" s="38">
        <v>1</v>
      </c>
      <c r="M1335" s="38">
        <v>0</v>
      </c>
      <c r="N1335" s="38">
        <v>0</v>
      </c>
      <c r="O1335" s="38">
        <v>0</v>
      </c>
      <c r="P1335" s="38">
        <v>0</v>
      </c>
      <c r="Q1335" s="38">
        <v>0</v>
      </c>
      <c r="R1335" s="38">
        <v>0</v>
      </c>
      <c r="S1335" s="38">
        <v>0</v>
      </c>
      <c r="T1335" s="38">
        <v>0</v>
      </c>
      <c r="U1335" s="29" cm="1">
        <f t="array" aca="1" ref="U1335" ca="1">+fair_value_gap(OFFSET(T1334,0,0,-1*$J$5,-1*$AA$1),OFFSET(E1334,0,0,-1*$J$5,1),F1335:T1335,0)</f>
        <v>10.940042496850943</v>
      </c>
      <c r="V1335" s="9" cm="1">
        <f t="array" aca="1" ref="V1335" ca="1">z_score_diff(OFFSET(U1335,0,0,$J$5*-1,1),OFFSET(E1335,0,0,$J$5*-1,1))</f>
        <v>0.14853236968736661</v>
      </c>
      <c r="W1335" s="9">
        <f t="shared" ca="1" si="201"/>
        <v>2.0397282007016591E-2</v>
      </c>
      <c r="X1335" s="17">
        <f t="shared" ca="1" si="200"/>
        <v>-3.8503611750115474E-3</v>
      </c>
      <c r="Y1335" s="13">
        <f t="shared" si="208"/>
        <v>0</v>
      </c>
      <c r="Z1335" s="13">
        <f t="shared" si="208"/>
        <v>0</v>
      </c>
      <c r="AA1335">
        <f t="shared" ca="1" si="202"/>
        <v>0</v>
      </c>
      <c r="AB1335">
        <f t="shared" ca="1" si="203"/>
        <v>1</v>
      </c>
      <c r="AC1335" s="24">
        <f t="shared" ca="1" si="204"/>
        <v>0</v>
      </c>
      <c r="AD1335" s="24">
        <f t="shared" ca="1" si="205"/>
        <v>-3.8503611750115474E-3</v>
      </c>
    </row>
    <row r="1336" spans="3:30" x14ac:dyDescent="0.25">
      <c r="C1336" s="6">
        <v>1329</v>
      </c>
      <c r="D1336" s="35">
        <v>43899</v>
      </c>
      <c r="E1336" s="37">
        <v>9.5</v>
      </c>
      <c r="F1336" s="37">
        <v>32.684106290171677</v>
      </c>
      <c r="G1336" s="37">
        <v>33.729999999999997</v>
      </c>
      <c r="H1336" s="37">
        <v>1.7713292867296972</v>
      </c>
      <c r="I1336" s="37">
        <v>55.500493819874649</v>
      </c>
      <c r="J1336" s="10">
        <v>0</v>
      </c>
      <c r="K1336" s="38">
        <v>0</v>
      </c>
      <c r="L1336" s="38">
        <v>1</v>
      </c>
      <c r="M1336" s="38">
        <v>0</v>
      </c>
      <c r="N1336" s="38">
        <v>0</v>
      </c>
      <c r="O1336" s="38">
        <v>0</v>
      </c>
      <c r="P1336" s="38">
        <v>0</v>
      </c>
      <c r="Q1336" s="38">
        <v>0</v>
      </c>
      <c r="R1336" s="38">
        <v>0</v>
      </c>
      <c r="S1336" s="38">
        <v>0</v>
      </c>
      <c r="T1336" s="38">
        <v>0</v>
      </c>
      <c r="U1336" s="29" cm="1">
        <f t="array" aca="1" ref="U1336" ca="1">+fair_value_gap(OFFSET(T1335,0,0,-1*$J$5,-1*$AA$1),OFFSET(E1335,0,0,-1*$J$5,1),F1336:T1336,0)</f>
        <v>11.067073401991761</v>
      </c>
      <c r="V1336" s="9" cm="1">
        <f t="array" aca="1" ref="V1336" ca="1">z_score_diff(OFFSET(U1336,0,0,$J$5*-1,1),OFFSET(E1336,0,0,$J$5*-1,1))</f>
        <v>0.21897082369818999</v>
      </c>
      <c r="W1336" s="9">
        <f t="shared" ca="1" si="201"/>
        <v>2.3352926790036976E-2</v>
      </c>
      <c r="X1336" s="17">
        <f t="shared" ca="1" si="200"/>
        <v>5.8666048716963605E-2</v>
      </c>
      <c r="Y1336" s="13">
        <f t="shared" si="208"/>
        <v>0</v>
      </c>
      <c r="Z1336" s="13">
        <f t="shared" si="208"/>
        <v>0</v>
      </c>
      <c r="AA1336">
        <f t="shared" ca="1" si="202"/>
        <v>0</v>
      </c>
      <c r="AB1336">
        <f t="shared" ca="1" si="203"/>
        <v>1</v>
      </c>
      <c r="AC1336" s="24">
        <f t="shared" ca="1" si="204"/>
        <v>0</v>
      </c>
      <c r="AD1336" s="24">
        <f t="shared" ca="1" si="205"/>
        <v>5.8666048716963605E-2</v>
      </c>
    </row>
    <row r="1337" spans="3:30" x14ac:dyDescent="0.25">
      <c r="C1337" s="6">
        <v>1330</v>
      </c>
      <c r="D1337" s="35">
        <v>43900</v>
      </c>
      <c r="E1337" s="37">
        <v>9.7870000000000008</v>
      </c>
      <c r="F1337" s="37">
        <v>35.750518923665645</v>
      </c>
      <c r="G1337" s="37">
        <v>34.64</v>
      </c>
      <c r="H1337" s="37">
        <v>1.9305104237883934</v>
      </c>
      <c r="I1337" s="37">
        <v>56.665848355502533</v>
      </c>
      <c r="J1337" s="10">
        <v>0</v>
      </c>
      <c r="K1337" s="38">
        <v>0</v>
      </c>
      <c r="L1337" s="38">
        <v>1</v>
      </c>
      <c r="M1337" s="38">
        <v>0</v>
      </c>
      <c r="N1337" s="38">
        <v>0</v>
      </c>
      <c r="O1337" s="38">
        <v>0</v>
      </c>
      <c r="P1337" s="38">
        <v>0</v>
      </c>
      <c r="Q1337" s="38">
        <v>0</v>
      </c>
      <c r="R1337" s="38">
        <v>0</v>
      </c>
      <c r="S1337" s="38">
        <v>0</v>
      </c>
      <c r="T1337" s="38">
        <v>0</v>
      </c>
      <c r="U1337" s="29" cm="1">
        <f t="array" aca="1" ref="U1337" ca="1">+fair_value_gap(OFFSET(T1336,0,0,-1*$J$5,-1*$AA$1),OFFSET(E1336,0,0,-1*$J$5,1),F1337:T1337,0)</f>
        <v>11.222594523048228</v>
      </c>
      <c r="V1337" s="9" cm="1">
        <f t="array" aca="1" ref="V1337" ca="1">z_score_diff(OFFSET(U1337,0,0,$J$5*-1,1),OFFSET(E1337,0,0,$J$5*-1,1))</f>
        <v>0.17706636225031613</v>
      </c>
      <c r="W1337" s="9">
        <f t="shared" ca="1" si="201"/>
        <v>2.3744770657191529E-2</v>
      </c>
      <c r="X1337" s="17">
        <f t="shared" ca="1" si="200"/>
        <v>3.2173278648842979E-2</v>
      </c>
      <c r="Y1337" s="13">
        <f t="shared" ref="Y1337:Z1352" si="209">+Y1336</f>
        <v>0</v>
      </c>
      <c r="Z1337" s="13">
        <f t="shared" si="209"/>
        <v>0</v>
      </c>
      <c r="AA1337">
        <f t="shared" ca="1" si="202"/>
        <v>0</v>
      </c>
      <c r="AB1337">
        <f t="shared" ca="1" si="203"/>
        <v>1</v>
      </c>
      <c r="AC1337" s="24">
        <f t="shared" ca="1" si="204"/>
        <v>0</v>
      </c>
      <c r="AD1337" s="24">
        <f t="shared" ca="1" si="205"/>
        <v>3.2173278648842979E-2</v>
      </c>
    </row>
    <row r="1338" spans="3:30" x14ac:dyDescent="0.25">
      <c r="C1338" s="6">
        <v>1331</v>
      </c>
      <c r="D1338" s="35">
        <v>43901</v>
      </c>
      <c r="E1338" s="37">
        <v>9.9949999999999992</v>
      </c>
      <c r="F1338" s="37">
        <v>35.676206212355517</v>
      </c>
      <c r="G1338" s="37">
        <v>35.29</v>
      </c>
      <c r="H1338" s="37">
        <v>1.8844309812810245</v>
      </c>
      <c r="I1338" s="37">
        <v>58.562995600934883</v>
      </c>
      <c r="J1338" s="10">
        <v>0</v>
      </c>
      <c r="K1338" s="38">
        <v>0</v>
      </c>
      <c r="L1338" s="38">
        <v>1</v>
      </c>
      <c r="M1338" s="38">
        <v>0</v>
      </c>
      <c r="N1338" s="38">
        <v>0</v>
      </c>
      <c r="O1338" s="38">
        <v>0</v>
      </c>
      <c r="P1338" s="38">
        <v>0</v>
      </c>
      <c r="Q1338" s="38">
        <v>0</v>
      </c>
      <c r="R1338" s="38">
        <v>0</v>
      </c>
      <c r="S1338" s="38">
        <v>0</v>
      </c>
      <c r="T1338" s="38">
        <v>0</v>
      </c>
      <c r="U1338" s="29" cm="1">
        <f t="array" aca="1" ref="U1338" ca="1">+fair_value_gap(OFFSET(T1337,0,0,-1*$J$5,-1*$AA$1),OFFSET(E1337,0,0,-1*$J$5,1),F1338:T1338,0)</f>
        <v>10.92405336655853</v>
      </c>
      <c r="V1338" s="9" cm="1">
        <f t="array" aca="1" ref="V1338" ca="1">z_score_diff(OFFSET(U1338,0,0,$J$5*-1,1),OFFSET(E1338,0,0,$J$5*-1,1))</f>
        <v>2.8077964880002249E-2</v>
      </c>
      <c r="W1338" s="9">
        <f t="shared" ca="1" si="201"/>
        <v>2.3985187133169293E-2</v>
      </c>
      <c r="X1338" s="17">
        <f t="shared" ca="1" si="200"/>
        <v>-1.0005503035006613E-4</v>
      </c>
      <c r="Y1338" s="13">
        <f t="shared" si="209"/>
        <v>0</v>
      </c>
      <c r="Z1338" s="13">
        <f t="shared" si="209"/>
        <v>0</v>
      </c>
      <c r="AA1338">
        <f t="shared" ca="1" si="202"/>
        <v>0</v>
      </c>
      <c r="AB1338">
        <f t="shared" ca="1" si="203"/>
        <v>1</v>
      </c>
      <c r="AC1338" s="24">
        <f t="shared" ca="1" si="204"/>
        <v>0</v>
      </c>
      <c r="AD1338" s="24">
        <f t="shared" ca="1" si="205"/>
        <v>-1.0005503035006613E-4</v>
      </c>
    </row>
    <row r="1339" spans="3:30" x14ac:dyDescent="0.25">
      <c r="C1339" s="6">
        <v>1332</v>
      </c>
      <c r="D1339" s="35">
        <v>43902</v>
      </c>
      <c r="E1339" s="37">
        <v>9.8450000000000006</v>
      </c>
      <c r="F1339" s="37">
        <v>35.096034787147076</v>
      </c>
      <c r="G1339" s="37">
        <v>34.520000000000003</v>
      </c>
      <c r="H1339" s="37">
        <v>1.8781793022155595</v>
      </c>
      <c r="I1339" s="37">
        <v>57.827685037497027</v>
      </c>
      <c r="J1339" s="10">
        <v>0</v>
      </c>
      <c r="K1339" s="38">
        <v>0</v>
      </c>
      <c r="L1339" s="38">
        <v>1</v>
      </c>
      <c r="M1339" s="38">
        <v>0</v>
      </c>
      <c r="N1339" s="38">
        <v>0</v>
      </c>
      <c r="O1339" s="38">
        <v>0</v>
      </c>
      <c r="P1339" s="38">
        <v>0</v>
      </c>
      <c r="Q1339" s="38">
        <v>0</v>
      </c>
      <c r="R1339" s="38">
        <v>0</v>
      </c>
      <c r="S1339" s="38">
        <v>0</v>
      </c>
      <c r="T1339" s="38">
        <v>0</v>
      </c>
      <c r="U1339" s="29" cm="1">
        <f t="array" aca="1" ref="U1339" ca="1">+fair_value_gap(OFFSET(T1338,0,0,-1*$J$5,-1*$AA$1),OFFSET(E1338,0,0,-1*$J$5,1),F1339:T1339,0)</f>
        <v>10.523122458009162</v>
      </c>
      <c r="V1339" s="9" cm="1">
        <f t="array" aca="1" ref="V1339" ca="1">z_score_diff(OFFSET(U1339,0,0,$J$5*-1,1),OFFSET(E1339,0,0,$J$5*-1,1))</f>
        <v>-4.4785168142885468E-2</v>
      </c>
      <c r="W1339" s="9">
        <f t="shared" ca="1" si="201"/>
        <v>2.5568060601550046E-2</v>
      </c>
      <c r="X1339" s="17">
        <f t="shared" ca="1" si="200"/>
        <v>2.3688751980715437E-2</v>
      </c>
      <c r="Y1339" s="13">
        <f t="shared" si="209"/>
        <v>0</v>
      </c>
      <c r="Z1339" s="13">
        <f t="shared" si="209"/>
        <v>0</v>
      </c>
      <c r="AA1339">
        <f t="shared" ca="1" si="202"/>
        <v>0</v>
      </c>
      <c r="AB1339">
        <f t="shared" ca="1" si="203"/>
        <v>1</v>
      </c>
      <c r="AC1339" s="24">
        <f t="shared" ca="1" si="204"/>
        <v>0</v>
      </c>
      <c r="AD1339" s="24">
        <f t="shared" ca="1" si="205"/>
        <v>2.3688751980715437E-2</v>
      </c>
    </row>
    <row r="1340" spans="3:30" x14ac:dyDescent="0.25">
      <c r="C1340" s="6">
        <v>1333</v>
      </c>
      <c r="D1340" s="35">
        <v>43903</v>
      </c>
      <c r="E1340" s="37">
        <v>9.8539999999999992</v>
      </c>
      <c r="F1340" s="37">
        <v>35.217471013553094</v>
      </c>
      <c r="G1340" s="37">
        <v>34.51</v>
      </c>
      <c r="H1340" s="37">
        <v>1.891441117157562</v>
      </c>
      <c r="I1340" s="37">
        <v>58.844834756013036</v>
      </c>
      <c r="J1340" s="10">
        <v>0</v>
      </c>
      <c r="K1340" s="38">
        <v>0</v>
      </c>
      <c r="L1340" s="38">
        <v>1</v>
      </c>
      <c r="M1340" s="38">
        <v>0</v>
      </c>
      <c r="N1340" s="38">
        <v>0</v>
      </c>
      <c r="O1340" s="38">
        <v>0</v>
      </c>
      <c r="P1340" s="38">
        <v>0</v>
      </c>
      <c r="Q1340" s="38">
        <v>0</v>
      </c>
      <c r="R1340" s="38">
        <v>0</v>
      </c>
      <c r="S1340" s="38">
        <v>0</v>
      </c>
      <c r="T1340" s="38">
        <v>0</v>
      </c>
      <c r="U1340" s="29" cm="1">
        <f t="array" aca="1" ref="U1340" ca="1">+fair_value_gap(OFFSET(T1339,0,0,-1*$J$5,-1*$AA$1),OFFSET(E1339,0,0,-1*$J$5,1),F1340:T1340,0)</f>
        <v>10.338483288742573</v>
      </c>
      <c r="V1340" s="9" cm="1">
        <f t="array" aca="1" ref="V1340" ca="1">z_score_diff(OFFSET(U1340,0,0,$J$5*-1,1),OFFSET(E1340,0,0,$J$5*-1,1))</f>
        <v>-9.9514996040446224E-2</v>
      </c>
      <c r="W1340" s="9">
        <f t="shared" ca="1" si="201"/>
        <v>2.5459979890533956E-2</v>
      </c>
      <c r="X1340" s="17">
        <f t="shared" ca="1" si="200"/>
        <v>-1.2252552710508739E-2</v>
      </c>
      <c r="Y1340" s="13">
        <f t="shared" si="209"/>
        <v>0</v>
      </c>
      <c r="Z1340" s="13">
        <f t="shared" si="209"/>
        <v>0</v>
      </c>
      <c r="AA1340">
        <f t="shared" ca="1" si="202"/>
        <v>0</v>
      </c>
      <c r="AB1340">
        <f t="shared" ca="1" si="203"/>
        <v>1</v>
      </c>
      <c r="AC1340" s="24">
        <f t="shared" ca="1" si="204"/>
        <v>0</v>
      </c>
      <c r="AD1340" s="24">
        <f t="shared" ca="1" si="205"/>
        <v>-1.2252552710508739E-2</v>
      </c>
    </row>
    <row r="1341" spans="3:30" x14ac:dyDescent="0.25">
      <c r="C1341" s="6">
        <v>1334</v>
      </c>
      <c r="D1341" s="35">
        <v>43906</v>
      </c>
      <c r="E1341" s="37">
        <v>9.4130000000000003</v>
      </c>
      <c r="F1341" s="37">
        <v>32.156483040120101</v>
      </c>
      <c r="G1341" s="37">
        <v>32.28</v>
      </c>
      <c r="H1341" s="37">
        <v>1.8396706181239981</v>
      </c>
      <c r="I1341" s="37">
        <v>58.716672070495534</v>
      </c>
      <c r="J1341" s="10">
        <v>0</v>
      </c>
      <c r="K1341" s="38">
        <v>0</v>
      </c>
      <c r="L1341" s="38">
        <v>1</v>
      </c>
      <c r="M1341" s="38">
        <v>0</v>
      </c>
      <c r="N1341" s="38">
        <v>0</v>
      </c>
      <c r="O1341" s="38">
        <v>0</v>
      </c>
      <c r="P1341" s="38">
        <v>0</v>
      </c>
      <c r="Q1341" s="38">
        <v>0</v>
      </c>
      <c r="R1341" s="38">
        <v>0</v>
      </c>
      <c r="S1341" s="38">
        <v>0</v>
      </c>
      <c r="T1341" s="38">
        <v>0</v>
      </c>
      <c r="U1341" s="29" cm="1">
        <f t="array" aca="1" ref="U1341" ca="1">+fair_value_gap(OFFSET(T1340,0,0,-1*$J$5,-1*$AA$1),OFFSET(E1340,0,0,-1*$J$5,1),F1341:T1341,0)</f>
        <v>9.392424355712965</v>
      </c>
      <c r="V1341" s="9" cm="1">
        <f t="array" aca="1" ref="V1341" ca="1">z_score_diff(OFFSET(U1341,0,0,$J$5*-1,1),OFFSET(E1341,0,0,$J$5*-1,1))</f>
        <v>-0.23941391462172956</v>
      </c>
      <c r="W1341" s="9">
        <f t="shared" ca="1" si="201"/>
        <v>2.8505699742474411E-2</v>
      </c>
      <c r="X1341" s="17">
        <f t="shared" ca="1" si="200"/>
        <v>3.0761095590118399E-3</v>
      </c>
      <c r="Y1341" s="13">
        <f t="shared" si="209"/>
        <v>0</v>
      </c>
      <c r="Z1341" s="13">
        <f t="shared" si="209"/>
        <v>0</v>
      </c>
      <c r="AA1341">
        <f t="shared" ca="1" si="202"/>
        <v>0</v>
      </c>
      <c r="AB1341">
        <f t="shared" ca="1" si="203"/>
        <v>1</v>
      </c>
      <c r="AC1341" s="24">
        <f t="shared" ca="1" si="204"/>
        <v>0</v>
      </c>
      <c r="AD1341" s="24">
        <f t="shared" ca="1" si="205"/>
        <v>3.0761095590118399E-3</v>
      </c>
    </row>
    <row r="1342" spans="3:30" x14ac:dyDescent="0.25">
      <c r="C1342" s="6">
        <v>1335</v>
      </c>
      <c r="D1342" s="35">
        <v>43907</v>
      </c>
      <c r="E1342" s="37">
        <v>9.1310000000000002</v>
      </c>
      <c r="F1342" s="37">
        <v>31.834935318349356</v>
      </c>
      <c r="G1342" s="37">
        <v>31.51</v>
      </c>
      <c r="H1342" s="37">
        <v>1.8392715183927153</v>
      </c>
      <c r="I1342" s="37">
        <v>59.577581845775825</v>
      </c>
      <c r="J1342" s="10">
        <v>0</v>
      </c>
      <c r="K1342" s="38">
        <v>0</v>
      </c>
      <c r="L1342" s="38">
        <v>1</v>
      </c>
      <c r="M1342" s="38">
        <v>0</v>
      </c>
      <c r="N1342" s="38">
        <v>0</v>
      </c>
      <c r="O1342" s="38">
        <v>0</v>
      </c>
      <c r="P1342" s="38">
        <v>0</v>
      </c>
      <c r="Q1342" s="38">
        <v>0</v>
      </c>
      <c r="R1342" s="38">
        <v>0</v>
      </c>
      <c r="S1342" s="38">
        <v>0</v>
      </c>
      <c r="T1342" s="38">
        <v>0</v>
      </c>
      <c r="U1342" s="29" cm="1">
        <f t="array" aca="1" ref="U1342" ca="1">+fair_value_gap(OFFSET(T1341,0,0,-1*$J$5,-1*$AA$1),OFFSET(E1341,0,0,-1*$J$5,1),F1342:T1342,0)</f>
        <v>9.0546753139822336</v>
      </c>
      <c r="V1342" s="9" cm="1">
        <f t="array" aca="1" ref="V1342" ca="1">z_score_diff(OFFSET(U1342,0,0,$J$5*-1,1),OFFSET(E1342,0,0,$J$5*-1,1))</f>
        <v>-0.24895727407109791</v>
      </c>
      <c r="W1342" s="9">
        <f t="shared" ca="1" si="201"/>
        <v>2.7451824961040917E-2</v>
      </c>
      <c r="X1342" s="17">
        <f t="shared" ca="1" si="200"/>
        <v>6.6822079830752765E-2</v>
      </c>
      <c r="Y1342" s="13">
        <f t="shared" si="209"/>
        <v>0</v>
      </c>
      <c r="Z1342" s="13">
        <f t="shared" si="209"/>
        <v>0</v>
      </c>
      <c r="AA1342">
        <f t="shared" ca="1" si="202"/>
        <v>0</v>
      </c>
      <c r="AB1342">
        <f t="shared" ca="1" si="203"/>
        <v>1</v>
      </c>
      <c r="AC1342" s="24">
        <f t="shared" ca="1" si="204"/>
        <v>0</v>
      </c>
      <c r="AD1342" s="24">
        <f t="shared" ca="1" si="205"/>
        <v>6.6822079830752765E-2</v>
      </c>
    </row>
    <row r="1343" spans="3:30" x14ac:dyDescent="0.25">
      <c r="C1343" s="6">
        <v>1336</v>
      </c>
      <c r="D1343" s="35">
        <v>43908</v>
      </c>
      <c r="E1343" s="37">
        <v>8.9689999999999994</v>
      </c>
      <c r="F1343" s="37">
        <v>28.968365889385243</v>
      </c>
      <c r="G1343" s="37">
        <v>29.9</v>
      </c>
      <c r="H1343" s="37">
        <v>1.7650323437627942</v>
      </c>
      <c r="I1343" s="37">
        <v>59.865530010098894</v>
      </c>
      <c r="J1343" s="10">
        <v>0</v>
      </c>
      <c r="K1343" s="38">
        <v>0</v>
      </c>
      <c r="L1343" s="38">
        <v>1</v>
      </c>
      <c r="M1343" s="38">
        <v>0</v>
      </c>
      <c r="N1343" s="38">
        <v>0</v>
      </c>
      <c r="O1343" s="38">
        <v>0</v>
      </c>
      <c r="P1343" s="38">
        <v>0</v>
      </c>
      <c r="Q1343" s="38">
        <v>0</v>
      </c>
      <c r="R1343" s="38">
        <v>0</v>
      </c>
      <c r="S1343" s="38">
        <v>0</v>
      </c>
      <c r="T1343" s="38">
        <v>0</v>
      </c>
      <c r="U1343" s="29" cm="1">
        <f t="array" aca="1" ref="U1343" ca="1">+fair_value_gap(OFFSET(T1342,0,0,-1*$J$5,-1*$AA$1),OFFSET(E1342,0,0,-1*$J$5,1),F1343:T1343,0)</f>
        <v>8.4046997977240281</v>
      </c>
      <c r="V1343" s="9" cm="1">
        <f t="array" aca="1" ref="V1343" ca="1">z_score_diff(OFFSET(U1343,0,0,$J$5*-1,1),OFFSET(E1343,0,0,$J$5*-1,1))</f>
        <v>-0.37562773203471611</v>
      </c>
      <c r="W1343" s="9">
        <f t="shared" ca="1" si="201"/>
        <v>2.0953827824186387E-2</v>
      </c>
      <c r="X1343" s="17">
        <f t="shared" ca="1" si="200"/>
        <v>0.11548856061142027</v>
      </c>
      <c r="Y1343" s="13">
        <f t="shared" si="209"/>
        <v>0</v>
      </c>
      <c r="Z1343" s="13">
        <f t="shared" si="209"/>
        <v>0</v>
      </c>
      <c r="AA1343">
        <f t="shared" ca="1" si="202"/>
        <v>0</v>
      </c>
      <c r="AB1343">
        <f t="shared" ca="1" si="203"/>
        <v>1</v>
      </c>
      <c r="AC1343" s="24">
        <f t="shared" ca="1" si="204"/>
        <v>0</v>
      </c>
      <c r="AD1343" s="24">
        <f t="shared" ca="1" si="205"/>
        <v>0.11548856061142027</v>
      </c>
    </row>
    <row r="1344" spans="3:30" x14ac:dyDescent="0.25">
      <c r="C1344" s="6">
        <v>1337</v>
      </c>
      <c r="D1344" s="35">
        <v>43909</v>
      </c>
      <c r="E1344" s="37">
        <v>9.1460000000000008</v>
      </c>
      <c r="F1344" s="37">
        <v>32.589962068336554</v>
      </c>
      <c r="G1344" s="37">
        <v>29.88</v>
      </c>
      <c r="H1344" s="37">
        <v>1.880762802401718</v>
      </c>
      <c r="I1344" s="37">
        <v>60.443119255809798</v>
      </c>
      <c r="J1344" s="10">
        <v>0</v>
      </c>
      <c r="K1344" s="38">
        <v>0</v>
      </c>
      <c r="L1344" s="38">
        <v>1</v>
      </c>
      <c r="M1344" s="38">
        <v>0</v>
      </c>
      <c r="N1344" s="38">
        <v>0</v>
      </c>
      <c r="O1344" s="38">
        <v>0</v>
      </c>
      <c r="P1344" s="38">
        <v>0</v>
      </c>
      <c r="Q1344" s="38">
        <v>0</v>
      </c>
      <c r="R1344" s="38">
        <v>0</v>
      </c>
      <c r="S1344" s="38">
        <v>0</v>
      </c>
      <c r="T1344" s="38">
        <v>0</v>
      </c>
      <c r="U1344" s="29" cm="1">
        <f t="array" aca="1" ref="U1344" ca="1">+fair_value_gap(OFFSET(T1343,0,0,-1*$J$5,-1*$AA$1),OFFSET(E1343,0,0,-1*$J$5,1),F1344:T1344,0)</f>
        <v>8.5444110633646613</v>
      </c>
      <c r="V1344" s="9" cm="1">
        <f t="array" aca="1" ref="V1344" ca="1">z_score_diff(OFFSET(U1344,0,0,$J$5*-1,1),OFFSET(E1344,0,0,$J$5*-1,1))</f>
        <v>-0.37485840749670341</v>
      </c>
      <c r="W1344" s="9">
        <f t="shared" ca="1" si="201"/>
        <v>1.4308185573007125E-2</v>
      </c>
      <c r="X1344" s="17">
        <f t="shared" ca="1" si="200"/>
        <v>7.7701831386716685E-2</v>
      </c>
      <c r="Y1344" s="13">
        <f t="shared" si="209"/>
        <v>0</v>
      </c>
      <c r="Z1344" s="13">
        <f t="shared" si="209"/>
        <v>0</v>
      </c>
      <c r="AA1344">
        <f t="shared" ca="1" si="202"/>
        <v>0</v>
      </c>
      <c r="AB1344">
        <f t="shared" ca="1" si="203"/>
        <v>1</v>
      </c>
      <c r="AC1344" s="24">
        <f t="shared" ca="1" si="204"/>
        <v>0</v>
      </c>
      <c r="AD1344" s="24">
        <f t="shared" ca="1" si="205"/>
        <v>7.7701831386716685E-2</v>
      </c>
    </row>
    <row r="1345" spans="3:30" x14ac:dyDescent="0.25">
      <c r="C1345" s="6">
        <v>1338</v>
      </c>
      <c r="D1345" s="35">
        <v>43910</v>
      </c>
      <c r="E1345" s="37">
        <v>8.9719999999999995</v>
      </c>
      <c r="F1345" s="37">
        <v>31.481879097314973</v>
      </c>
      <c r="G1345" s="37">
        <v>29.74</v>
      </c>
      <c r="H1345" s="37">
        <v>1.8190149806154534</v>
      </c>
      <c r="I1345" s="37">
        <v>61.253493726396727</v>
      </c>
      <c r="J1345" s="10">
        <v>0</v>
      </c>
      <c r="K1345" s="38">
        <v>0</v>
      </c>
      <c r="L1345" s="38">
        <v>1</v>
      </c>
      <c r="M1345" s="38">
        <v>0</v>
      </c>
      <c r="N1345" s="38">
        <v>0</v>
      </c>
      <c r="O1345" s="38">
        <v>0</v>
      </c>
      <c r="P1345" s="38">
        <v>0</v>
      </c>
      <c r="Q1345" s="38">
        <v>0</v>
      </c>
      <c r="R1345" s="38">
        <v>0</v>
      </c>
      <c r="S1345" s="38">
        <v>0</v>
      </c>
      <c r="T1345" s="38">
        <v>0</v>
      </c>
      <c r="U1345" s="29" cm="1">
        <f t="array" aca="1" ref="U1345" ca="1">+fair_value_gap(OFFSET(T1344,0,0,-1*$J$5,-1*$AA$1),OFFSET(E1344,0,0,-1*$J$5,1),F1345:T1345,0)</f>
        <v>8.5437735474479553</v>
      </c>
      <c r="V1345" s="9" cm="1">
        <f t="array" aca="1" ref="V1345" ca="1">z_score_diff(OFFSET(U1345,0,0,$J$5*-1,1),OFFSET(E1345,0,0,$J$5*-1,1))</f>
        <v>-0.31697244895180243</v>
      </c>
      <c r="W1345" s="9">
        <f t="shared" ca="1" si="201"/>
        <v>9.9567361136699509E-3</v>
      </c>
      <c r="X1345" s="17">
        <f t="shared" ca="1" si="200"/>
        <v>6.6403699914176023E-2</v>
      </c>
      <c r="Y1345" s="13">
        <f t="shared" si="209"/>
        <v>0</v>
      </c>
      <c r="Z1345" s="13">
        <f t="shared" si="209"/>
        <v>0</v>
      </c>
      <c r="AA1345">
        <f t="shared" ca="1" si="202"/>
        <v>0</v>
      </c>
      <c r="AB1345">
        <f t="shared" ca="1" si="203"/>
        <v>1</v>
      </c>
      <c r="AC1345" s="24">
        <f t="shared" ca="1" si="204"/>
        <v>0</v>
      </c>
      <c r="AD1345" s="24">
        <f t="shared" ca="1" si="205"/>
        <v>6.6403699914176023E-2</v>
      </c>
    </row>
    <row r="1346" spans="3:30" x14ac:dyDescent="0.25">
      <c r="C1346" s="6">
        <v>1339</v>
      </c>
      <c r="D1346" s="35">
        <v>43913</v>
      </c>
      <c r="E1346" s="37">
        <v>8.5730000000000004</v>
      </c>
      <c r="F1346" s="37">
        <v>32.267597791758654</v>
      </c>
      <c r="G1346" s="37">
        <v>28.41</v>
      </c>
      <c r="H1346" s="37">
        <v>1.8473037610326375</v>
      </c>
      <c r="I1346" s="37">
        <v>58.457807081825187</v>
      </c>
      <c r="J1346" s="10">
        <v>0</v>
      </c>
      <c r="K1346" s="38">
        <v>0</v>
      </c>
      <c r="L1346" s="38">
        <v>1</v>
      </c>
      <c r="M1346" s="38">
        <v>0</v>
      </c>
      <c r="N1346" s="38">
        <v>0</v>
      </c>
      <c r="O1346" s="38">
        <v>0</v>
      </c>
      <c r="P1346" s="38">
        <v>0</v>
      </c>
      <c r="Q1346" s="38">
        <v>0</v>
      </c>
      <c r="R1346" s="38">
        <v>0</v>
      </c>
      <c r="S1346" s="38">
        <v>0</v>
      </c>
      <c r="T1346" s="38">
        <v>0</v>
      </c>
      <c r="U1346" s="29" cm="1">
        <f t="array" aca="1" ref="U1346" ca="1">+fair_value_gap(OFFSET(T1345,0,0,-1*$J$5,-1*$AA$1),OFFSET(E1345,0,0,-1*$J$5,1),F1346:T1346,0)</f>
        <v>8.2187267493653113</v>
      </c>
      <c r="V1346" s="9" cm="1">
        <f t="array" aca="1" ref="V1346" ca="1">z_score_diff(OFFSET(U1346,0,0,$J$5*-1,1),OFFSET(E1346,0,0,$J$5*-1,1))</f>
        <v>-0.28805841468212412</v>
      </c>
      <c r="W1346" s="9">
        <f t="shared" ca="1" si="201"/>
        <v>2.9702728667000632E-3</v>
      </c>
      <c r="X1346" s="17">
        <f t="shared" ca="1" si="200"/>
        <v>9.856035602568837E-2</v>
      </c>
      <c r="Y1346" s="13">
        <f t="shared" si="209"/>
        <v>0</v>
      </c>
      <c r="Z1346" s="13">
        <f t="shared" si="209"/>
        <v>0</v>
      </c>
      <c r="AA1346">
        <f t="shared" ca="1" si="202"/>
        <v>0</v>
      </c>
      <c r="AB1346">
        <f t="shared" ca="1" si="203"/>
        <v>1</v>
      </c>
      <c r="AC1346" s="24">
        <f t="shared" ca="1" si="204"/>
        <v>0</v>
      </c>
      <c r="AD1346" s="24">
        <f t="shared" ca="1" si="205"/>
        <v>9.856035602568837E-2</v>
      </c>
    </row>
    <row r="1347" spans="3:30" x14ac:dyDescent="0.25">
      <c r="C1347" s="6">
        <v>1340</v>
      </c>
      <c r="D1347" s="35">
        <v>43914</v>
      </c>
      <c r="E1347" s="37">
        <v>8.6910000000000007</v>
      </c>
      <c r="F1347" s="37">
        <v>32.922508599300258</v>
      </c>
      <c r="G1347" s="37">
        <v>29.41</v>
      </c>
      <c r="H1347" s="37">
        <v>1.8756244400777164</v>
      </c>
      <c r="I1347" s="37">
        <v>60.73889464428575</v>
      </c>
      <c r="J1347" s="10">
        <v>0</v>
      </c>
      <c r="K1347" s="38">
        <v>0</v>
      </c>
      <c r="L1347" s="38">
        <v>1</v>
      </c>
      <c r="M1347" s="38">
        <v>0</v>
      </c>
      <c r="N1347" s="38">
        <v>0</v>
      </c>
      <c r="O1347" s="38">
        <v>0</v>
      </c>
      <c r="P1347" s="38">
        <v>0</v>
      </c>
      <c r="Q1347" s="38">
        <v>0</v>
      </c>
      <c r="R1347" s="38">
        <v>0</v>
      </c>
      <c r="S1347" s="38">
        <v>0</v>
      </c>
      <c r="T1347" s="38">
        <v>0</v>
      </c>
      <c r="U1347" s="29" cm="1">
        <f t="array" aca="1" ref="U1347" ca="1">+fair_value_gap(OFFSET(T1346,0,0,-1*$J$5,-1*$AA$1),OFFSET(E1346,0,0,-1*$J$5,1),F1347:T1347,0)</f>
        <v>8.6416690335255986</v>
      </c>
      <c r="V1347" s="9" cm="1">
        <f t="array" aca="1" ref="V1347" ca="1">z_score_diff(OFFSET(U1347,0,0,$J$5*-1,1),OFFSET(E1347,0,0,$J$5*-1,1))</f>
        <v>-0.19904334597220741</v>
      </c>
      <c r="W1347" s="9">
        <f t="shared" ca="1" si="201"/>
        <v>-3.0066507958469214E-3</v>
      </c>
      <c r="X1347" s="17">
        <f t="shared" ca="1" si="200"/>
        <v>6.1470304992751648E-2</v>
      </c>
      <c r="Y1347" s="13">
        <f t="shared" si="209"/>
        <v>0</v>
      </c>
      <c r="Z1347" s="13">
        <f t="shared" si="209"/>
        <v>0</v>
      </c>
      <c r="AA1347">
        <f t="shared" ca="1" si="202"/>
        <v>1</v>
      </c>
      <c r="AB1347">
        <f t="shared" ca="1" si="203"/>
        <v>0</v>
      </c>
      <c r="AC1347" s="24">
        <f t="shared" ca="1" si="204"/>
        <v>6.1470304992751648E-2</v>
      </c>
      <c r="AD1347" s="24">
        <f t="shared" ca="1" si="205"/>
        <v>0</v>
      </c>
    </row>
    <row r="1348" spans="3:30" x14ac:dyDescent="0.25">
      <c r="C1348" s="6">
        <v>1341</v>
      </c>
      <c r="D1348" s="35">
        <v>43915</v>
      </c>
      <c r="E1348" s="37">
        <v>8.6549999999999994</v>
      </c>
      <c r="F1348" s="37">
        <v>33.571577343433127</v>
      </c>
      <c r="G1348" s="37">
        <v>29.29</v>
      </c>
      <c r="H1348" s="37">
        <v>1.8516894496636449</v>
      </c>
      <c r="I1348" s="37">
        <v>61.296675911411228</v>
      </c>
      <c r="J1348" s="10">
        <v>0</v>
      </c>
      <c r="K1348" s="38">
        <v>0</v>
      </c>
      <c r="L1348" s="38">
        <v>1</v>
      </c>
      <c r="M1348" s="38">
        <v>0</v>
      </c>
      <c r="N1348" s="38">
        <v>0</v>
      </c>
      <c r="O1348" s="38">
        <v>0</v>
      </c>
      <c r="P1348" s="38">
        <v>0</v>
      </c>
      <c r="Q1348" s="38">
        <v>0</v>
      </c>
      <c r="R1348" s="38">
        <v>0</v>
      </c>
      <c r="S1348" s="38">
        <v>0</v>
      </c>
      <c r="T1348" s="38">
        <v>0</v>
      </c>
      <c r="U1348" s="29" cm="1">
        <f t="array" aca="1" ref="U1348" ca="1">+fair_value_gap(OFFSET(T1347,0,0,-1*$J$5,-1*$AA$1),OFFSET(E1347,0,0,-1*$J$5,1),F1348:T1348,0)</f>
        <v>8.6188940031949937</v>
      </c>
      <c r="V1348" s="9" cm="1">
        <f t="array" aca="1" ref="V1348" ca="1">z_score_diff(OFFSET(U1348,0,0,$J$5*-1,1),OFFSET(E1348,0,0,$J$5*-1,1))</f>
        <v>-0.18950139048829029</v>
      </c>
      <c r="W1348" s="9">
        <f t="shared" ca="1" si="201"/>
        <v>-4.9212042533993807E-3</v>
      </c>
      <c r="X1348" s="17">
        <f t="shared" ca="1" si="200"/>
        <v>3.8420499720343101E-2</v>
      </c>
      <c r="Y1348" s="13">
        <f t="shared" si="209"/>
        <v>0</v>
      </c>
      <c r="Z1348" s="13">
        <f t="shared" si="209"/>
        <v>0</v>
      </c>
      <c r="AA1348">
        <f t="shared" ca="1" si="202"/>
        <v>1</v>
      </c>
      <c r="AB1348">
        <f t="shared" ca="1" si="203"/>
        <v>0</v>
      </c>
      <c r="AC1348" s="24">
        <f t="shared" ca="1" si="204"/>
        <v>3.8420499720343101E-2</v>
      </c>
      <c r="AD1348" s="24">
        <f t="shared" ca="1" si="205"/>
        <v>0</v>
      </c>
    </row>
    <row r="1349" spans="3:30" x14ac:dyDescent="0.25">
      <c r="C1349" s="6">
        <v>1342</v>
      </c>
      <c r="D1349" s="35">
        <v>43916</v>
      </c>
      <c r="E1349" s="37">
        <v>8.6010000000000009</v>
      </c>
      <c r="F1349" s="37">
        <v>32.220559871658523</v>
      </c>
      <c r="G1349" s="37">
        <v>29.55</v>
      </c>
      <c r="H1349" s="37">
        <v>1.8106602736269084</v>
      </c>
      <c r="I1349" s="37">
        <v>62.954016980009733</v>
      </c>
      <c r="J1349" s="10">
        <v>0</v>
      </c>
      <c r="K1349" s="38">
        <v>0</v>
      </c>
      <c r="L1349" s="38">
        <v>1</v>
      </c>
      <c r="M1349" s="38">
        <v>0</v>
      </c>
      <c r="N1349" s="38">
        <v>0</v>
      </c>
      <c r="O1349" s="38">
        <v>0</v>
      </c>
      <c r="P1349" s="38">
        <v>0</v>
      </c>
      <c r="Q1349" s="38">
        <v>0</v>
      </c>
      <c r="R1349" s="38">
        <v>0</v>
      </c>
      <c r="S1349" s="38">
        <v>0</v>
      </c>
      <c r="T1349" s="38">
        <v>0</v>
      </c>
      <c r="U1349" s="29" cm="1">
        <f t="array" aca="1" ref="U1349" ca="1">+fair_value_gap(OFFSET(T1348,0,0,-1*$J$5,-1*$AA$1),OFFSET(E1348,0,0,-1*$J$5,1),F1349:T1349,0)</f>
        <v>8.7944840704856198</v>
      </c>
      <c r="V1349" s="9" cm="1">
        <f t="array" aca="1" ref="V1349" ca="1">z_score_diff(OFFSET(U1349,0,0,$J$5*-1,1),OFFSET(E1349,0,0,$J$5*-1,1))</f>
        <v>-0.1248010234686745</v>
      </c>
      <c r="W1349" s="9">
        <f t="shared" ca="1" si="201"/>
        <v>-6.1028706762860322E-3</v>
      </c>
      <c r="X1349" s="17">
        <f t="shared" ca="1" si="200"/>
        <v>4.3121406744765736E-2</v>
      </c>
      <c r="Y1349" s="13">
        <f t="shared" si="209"/>
        <v>0</v>
      </c>
      <c r="Z1349" s="13">
        <f t="shared" si="209"/>
        <v>0</v>
      </c>
      <c r="AA1349">
        <f t="shared" ca="1" si="202"/>
        <v>1</v>
      </c>
      <c r="AB1349">
        <f t="shared" ca="1" si="203"/>
        <v>0</v>
      </c>
      <c r="AC1349" s="24">
        <f t="shared" ca="1" si="204"/>
        <v>4.3121406744765736E-2</v>
      </c>
      <c r="AD1349" s="24">
        <f t="shared" ca="1" si="205"/>
        <v>0</v>
      </c>
    </row>
    <row r="1350" spans="3:30" x14ac:dyDescent="0.25">
      <c r="C1350" s="6">
        <v>1343</v>
      </c>
      <c r="D1350" s="35">
        <v>43917</v>
      </c>
      <c r="E1350" s="37">
        <v>8.2319999999999993</v>
      </c>
      <c r="F1350" s="37">
        <v>32.136301444394299</v>
      </c>
      <c r="G1350" s="37">
        <v>28.52</v>
      </c>
      <c r="H1350" s="37">
        <v>1.7669168237953126</v>
      </c>
      <c r="I1350" s="37">
        <v>66.270530039369859</v>
      </c>
      <c r="J1350" s="10">
        <v>0</v>
      </c>
      <c r="K1350" s="38">
        <v>0</v>
      </c>
      <c r="L1350" s="38">
        <v>1</v>
      </c>
      <c r="M1350" s="38">
        <v>0</v>
      </c>
      <c r="N1350" s="38">
        <v>0</v>
      </c>
      <c r="O1350" s="38">
        <v>0</v>
      </c>
      <c r="P1350" s="38">
        <v>0</v>
      </c>
      <c r="Q1350" s="38">
        <v>0</v>
      </c>
      <c r="R1350" s="38">
        <v>0</v>
      </c>
      <c r="S1350" s="38">
        <v>0</v>
      </c>
      <c r="T1350" s="38">
        <v>0</v>
      </c>
      <c r="U1350" s="29" cm="1">
        <f t="array" aca="1" ref="U1350" ca="1">+fair_value_gap(OFFSET(T1349,0,0,-1*$J$5,-1*$AA$1),OFFSET(E1349,0,0,-1*$J$5,1),F1350:T1350,0)</f>
        <v>8.5607297329540692</v>
      </c>
      <c r="V1350" s="9" cm="1">
        <f t="array" aca="1" ref="V1350" ca="1">z_score_diff(OFFSET(U1350,0,0,$J$5*-1,1),OFFSET(E1350,0,0,$J$5*-1,1))</f>
        <v>-8.5705042954577593E-2</v>
      </c>
      <c r="W1350" s="9">
        <f t="shared" ca="1" si="201"/>
        <v>-1.8413405918892754E-2</v>
      </c>
      <c r="X1350" s="17">
        <f t="shared" ca="1" si="200"/>
        <v>9.7604568385846927E-2</v>
      </c>
      <c r="Y1350" s="13">
        <f t="shared" si="209"/>
        <v>0</v>
      </c>
      <c r="Z1350" s="13">
        <f t="shared" si="209"/>
        <v>0</v>
      </c>
      <c r="AA1350">
        <f t="shared" ca="1" si="202"/>
        <v>1</v>
      </c>
      <c r="AB1350">
        <f t="shared" ca="1" si="203"/>
        <v>0</v>
      </c>
      <c r="AC1350" s="24">
        <f t="shared" ca="1" si="204"/>
        <v>9.7604568385846927E-2</v>
      </c>
      <c r="AD1350" s="24">
        <f t="shared" ca="1" si="205"/>
        <v>0</v>
      </c>
    </row>
    <row r="1351" spans="3:30" x14ac:dyDescent="0.25">
      <c r="C1351" s="6">
        <v>1344</v>
      </c>
      <c r="D1351" s="35">
        <v>43920</v>
      </c>
      <c r="E1351" s="37">
        <v>7.9210000000000003</v>
      </c>
      <c r="F1351" s="37">
        <v>32.18651441734491</v>
      </c>
      <c r="G1351" s="37">
        <v>28.23</v>
      </c>
      <c r="H1351" s="37">
        <v>1.8734225053651687</v>
      </c>
      <c r="I1351" s="37">
        <v>64.516999824535361</v>
      </c>
      <c r="J1351" s="10">
        <v>0</v>
      </c>
      <c r="K1351" s="38">
        <v>0</v>
      </c>
      <c r="L1351" s="38">
        <v>1</v>
      </c>
      <c r="M1351" s="38">
        <v>0</v>
      </c>
      <c r="N1351" s="38">
        <v>0</v>
      </c>
      <c r="O1351" s="38">
        <v>0</v>
      </c>
      <c r="P1351" s="38">
        <v>0</v>
      </c>
      <c r="Q1351" s="38">
        <v>0</v>
      </c>
      <c r="R1351" s="38">
        <v>0</v>
      </c>
      <c r="S1351" s="38">
        <v>0</v>
      </c>
      <c r="T1351" s="38">
        <v>0</v>
      </c>
      <c r="U1351" s="29" cm="1">
        <f t="array" aca="1" ref="U1351" ca="1">+fair_value_gap(OFFSET(T1350,0,0,-1*$J$5,-1*$AA$1),OFFSET(E1350,0,0,-1*$J$5,1),F1351:T1351,0)</f>
        <v>8.4564777644822016</v>
      </c>
      <c r="V1351" s="9" cm="1">
        <f t="array" aca="1" ref="V1351" ca="1">z_score_diff(OFFSET(U1351,0,0,$J$5*-1,1),OFFSET(E1351,0,0,$J$5*-1,1))</f>
        <v>-3.003143893986282E-2</v>
      </c>
      <c r="W1351" s="9">
        <f t="shared" ca="1" si="201"/>
        <v>-5.455882391759953E-2</v>
      </c>
      <c r="X1351" s="17">
        <f t="shared" ref="X1351:X1414" ca="1" si="210">+LN(OFFSET(E1351,$X$3,0,1,1)/E1351)</f>
        <v>0.12692903645023576</v>
      </c>
      <c r="Y1351" s="13">
        <f t="shared" si="209"/>
        <v>0</v>
      </c>
      <c r="Z1351" s="13">
        <f t="shared" si="209"/>
        <v>0</v>
      </c>
      <c r="AA1351">
        <f t="shared" ca="1" si="202"/>
        <v>1</v>
      </c>
      <c r="AB1351">
        <f t="shared" ca="1" si="203"/>
        <v>0</v>
      </c>
      <c r="AC1351" s="24">
        <f t="shared" ca="1" si="204"/>
        <v>0.12692903645023576</v>
      </c>
      <c r="AD1351" s="24">
        <f t="shared" ca="1" si="205"/>
        <v>0</v>
      </c>
    </row>
    <row r="1352" spans="3:30" x14ac:dyDescent="0.25">
      <c r="C1352" s="6">
        <v>1345</v>
      </c>
      <c r="D1352" s="35">
        <v>43921</v>
      </c>
      <c r="E1352" s="37">
        <v>9.3190000000000008</v>
      </c>
      <c r="F1352" s="37">
        <v>31.986920422959205</v>
      </c>
      <c r="G1352" s="37">
        <v>31.79</v>
      </c>
      <c r="H1352" s="37">
        <v>1.8656783678649067</v>
      </c>
      <c r="I1352" s="37">
        <v>63.18070221610143</v>
      </c>
      <c r="J1352" s="10">
        <v>0</v>
      </c>
      <c r="K1352" s="38">
        <v>0</v>
      </c>
      <c r="L1352" s="38">
        <v>1</v>
      </c>
      <c r="M1352" s="38">
        <v>0</v>
      </c>
      <c r="N1352" s="38">
        <v>0</v>
      </c>
      <c r="O1352" s="38">
        <v>0</v>
      </c>
      <c r="P1352" s="38">
        <v>0</v>
      </c>
      <c r="Q1352" s="38">
        <v>0</v>
      </c>
      <c r="R1352" s="38">
        <v>0</v>
      </c>
      <c r="S1352" s="38">
        <v>0</v>
      </c>
      <c r="T1352" s="38">
        <v>0</v>
      </c>
      <c r="U1352" s="29" cm="1">
        <f t="array" aca="1" ref="U1352" ca="1">+fair_value_gap(OFFSET(T1351,0,0,-1*$J$5,-1*$AA$1),OFFSET(E1351,0,0,-1*$J$5,1),F1352:T1352,0)</f>
        <v>9.3887027684872102</v>
      </c>
      <c r="V1352" s="9" cm="1">
        <f t="array" aca="1" ref="V1352" ca="1">z_score_diff(OFFSET(U1352,0,0,$J$5*-1,1),OFFSET(E1352,0,0,$J$5*-1,1))</f>
        <v>-0.15063426542555347</v>
      </c>
      <c r="W1352" s="9">
        <f t="shared" ref="W1352:W1415" ca="1" si="211">+IF(ISERROR(AVERAGE(OFFSET(V1352,0,0,$W$5*-1,1))),"",AVERAGE(OFFSET(V1352,0,0,$W$5*-1,1)))</f>
        <v>-8.2125811691284509E-2</v>
      </c>
      <c r="X1352" s="17">
        <f t="shared" ca="1" si="210"/>
        <v>0.20994382197320541</v>
      </c>
      <c r="Y1352" s="13">
        <f t="shared" si="209"/>
        <v>0</v>
      </c>
      <c r="Z1352" s="13">
        <f t="shared" si="209"/>
        <v>0</v>
      </c>
      <c r="AA1352">
        <f t="shared" ref="AA1352:AA1415" ca="1" si="212">+IF(W1352="","",IF(W1352&lt;Y1352,1,0))</f>
        <v>1</v>
      </c>
      <c r="AB1352">
        <f t="shared" ref="AB1352:AB1415" ca="1" si="213">+IF(W1352="","",IF(W1352&gt;Z1352,1,0))</f>
        <v>0</v>
      </c>
      <c r="AC1352" s="24">
        <f t="shared" ref="AC1352:AC1415" ca="1" si="214">+IF(ISERROR(AA1352*X1352),"",AA1352*X1352)</f>
        <v>0.20994382197320541</v>
      </c>
      <c r="AD1352" s="24">
        <f t="shared" ref="AD1352:AD1415" ca="1" si="215">+IF(ISERROR(AB1352*X1352),"",AB1352*X1352)</f>
        <v>0</v>
      </c>
    </row>
    <row r="1353" spans="3:30" x14ac:dyDescent="0.25">
      <c r="C1353" s="6">
        <v>1346</v>
      </c>
      <c r="D1353" s="35">
        <v>43922</v>
      </c>
      <c r="E1353" s="37">
        <v>9.2750000000000004</v>
      </c>
      <c r="F1353" s="37">
        <v>31.578737285952226</v>
      </c>
      <c r="G1353" s="37">
        <v>31.07</v>
      </c>
      <c r="H1353" s="37">
        <v>1.8678718779596561</v>
      </c>
      <c r="I1353" s="37">
        <v>62.549667792772361</v>
      </c>
      <c r="J1353" s="10">
        <v>0</v>
      </c>
      <c r="K1353" s="38">
        <v>0</v>
      </c>
      <c r="L1353" s="38">
        <v>0</v>
      </c>
      <c r="M1353" s="38">
        <v>1</v>
      </c>
      <c r="N1353" s="38">
        <v>0</v>
      </c>
      <c r="O1353" s="38">
        <v>0</v>
      </c>
      <c r="P1353" s="38">
        <v>0</v>
      </c>
      <c r="Q1353" s="38">
        <v>0</v>
      </c>
      <c r="R1353" s="38">
        <v>0</v>
      </c>
      <c r="S1353" s="38">
        <v>0</v>
      </c>
      <c r="T1353" s="38">
        <v>0</v>
      </c>
      <c r="U1353" s="29" cm="1">
        <f t="array" aca="1" ref="U1353" ca="1">+fair_value_gap(OFFSET(T1352,0,0,-1*$J$5,-1*$AA$1),OFFSET(E1352,0,0,-1*$J$5,1),F1353:T1353,0)</f>
        <v>12.322428859069712</v>
      </c>
      <c r="V1353" s="9" cm="1">
        <f t="array" aca="1" ref="V1353" ca="1">z_score_diff(OFFSET(U1353,0,0,$J$5*-1,1),OFFSET(E1353,0,0,$J$5*-1,1))</f>
        <v>0.6103224819093398</v>
      </c>
      <c r="W1353" s="9">
        <f t="shared" ca="1" si="211"/>
        <v>-6.7956209430485484E-2</v>
      </c>
      <c r="X1353" s="17">
        <f t="shared" ca="1" si="210"/>
        <v>0.19615180177600022</v>
      </c>
      <c r="Y1353" s="13">
        <f t="shared" ref="Y1353:Z1368" si="216">+Y1352</f>
        <v>0</v>
      </c>
      <c r="Z1353" s="13">
        <f t="shared" si="216"/>
        <v>0</v>
      </c>
      <c r="AA1353">
        <f t="shared" ca="1" si="212"/>
        <v>1</v>
      </c>
      <c r="AB1353">
        <f t="shared" ca="1" si="213"/>
        <v>0</v>
      </c>
      <c r="AC1353" s="24">
        <f t="shared" ca="1" si="214"/>
        <v>0.19615180177600022</v>
      </c>
      <c r="AD1353" s="24">
        <f t="shared" ca="1" si="215"/>
        <v>0</v>
      </c>
    </row>
    <row r="1354" spans="3:30" x14ac:dyDescent="0.25">
      <c r="C1354" s="6">
        <v>1347</v>
      </c>
      <c r="D1354" s="35">
        <v>43923</v>
      </c>
      <c r="E1354" s="37">
        <v>9.5069999999999997</v>
      </c>
      <c r="F1354" s="37">
        <v>33.396465456705599</v>
      </c>
      <c r="G1354" s="37">
        <v>31.28</v>
      </c>
      <c r="H1354" s="37">
        <v>1.8545443211341046</v>
      </c>
      <c r="I1354" s="37">
        <v>59.266579516223366</v>
      </c>
      <c r="J1354" s="10">
        <v>0</v>
      </c>
      <c r="K1354" s="38">
        <v>0</v>
      </c>
      <c r="L1354" s="38">
        <v>0</v>
      </c>
      <c r="M1354" s="38">
        <v>1</v>
      </c>
      <c r="N1354" s="38">
        <v>0</v>
      </c>
      <c r="O1354" s="38">
        <v>0</v>
      </c>
      <c r="P1354" s="38">
        <v>0</v>
      </c>
      <c r="Q1354" s="38">
        <v>0</v>
      </c>
      <c r="R1354" s="38">
        <v>0</v>
      </c>
      <c r="S1354" s="38">
        <v>0</v>
      </c>
      <c r="T1354" s="38">
        <v>0</v>
      </c>
      <c r="U1354" s="29" cm="1">
        <f t="array" aca="1" ref="U1354" ca="1">+fair_value_gap(OFFSET(T1353,0,0,-1*$J$5,-1*$AA$1),OFFSET(E1353,0,0,-1*$J$5,1),F1354:T1354,0)</f>
        <v>10.976073413647196</v>
      </c>
      <c r="V1354" s="9" cm="1">
        <f t="array" aca="1" ref="V1354" ca="1">z_score_diff(OFFSET(U1354,0,0,$J$5*-1,1),OFFSET(E1354,0,0,$J$5*-1,1))</f>
        <v>0.19916537583214433</v>
      </c>
      <c r="W1354" s="9">
        <f t="shared" ca="1" si="211"/>
        <v>-6.9288474251665594E-2</v>
      </c>
      <c r="X1354" s="17">
        <f t="shared" ca="1" si="210"/>
        <v>0.17401252754407062</v>
      </c>
      <c r="Y1354" s="13">
        <f t="shared" si="216"/>
        <v>0</v>
      </c>
      <c r="Z1354" s="13">
        <f t="shared" si="216"/>
        <v>0</v>
      </c>
      <c r="AA1354">
        <f t="shared" ca="1" si="212"/>
        <v>1</v>
      </c>
      <c r="AB1354">
        <f t="shared" ca="1" si="213"/>
        <v>0</v>
      </c>
      <c r="AC1354" s="24">
        <f t="shared" ca="1" si="214"/>
        <v>0.17401252754407062</v>
      </c>
      <c r="AD1354" s="24">
        <f t="shared" ca="1" si="215"/>
        <v>0</v>
      </c>
    </row>
    <row r="1355" spans="3:30" x14ac:dyDescent="0.25">
      <c r="C1355" s="6">
        <v>1348</v>
      </c>
      <c r="D1355" s="35">
        <v>43924</v>
      </c>
      <c r="E1355" s="37">
        <v>9.5909999999999993</v>
      </c>
      <c r="F1355" s="37">
        <v>34.8337088645942</v>
      </c>
      <c r="G1355" s="37">
        <v>32.130000000000003</v>
      </c>
      <c r="H1355" s="37">
        <v>1.9253842251088151</v>
      </c>
      <c r="I1355" s="37">
        <v>58.102221235947503</v>
      </c>
      <c r="J1355" s="10">
        <v>0</v>
      </c>
      <c r="K1355" s="38">
        <v>0</v>
      </c>
      <c r="L1355" s="38">
        <v>0</v>
      </c>
      <c r="M1355" s="38">
        <v>1</v>
      </c>
      <c r="N1355" s="38">
        <v>0</v>
      </c>
      <c r="O1355" s="38">
        <v>0</v>
      </c>
      <c r="P1355" s="38">
        <v>0</v>
      </c>
      <c r="Q1355" s="38">
        <v>0</v>
      </c>
      <c r="R1355" s="38">
        <v>0</v>
      </c>
      <c r="S1355" s="38">
        <v>0</v>
      </c>
      <c r="T1355" s="38">
        <v>0</v>
      </c>
      <c r="U1355" s="29" cm="1">
        <f t="array" aca="1" ref="U1355" ca="1">+fair_value_gap(OFFSET(T1354,0,0,-1*$J$5,-1*$AA$1),OFFSET(E1354,0,0,-1*$J$5,1),F1355:T1355,0)</f>
        <v>10.865130297725965</v>
      </c>
      <c r="V1355" s="9" cm="1">
        <f t="array" aca="1" ref="V1355" ca="1">z_score_diff(OFFSET(U1355,0,0,$J$5*-1,1),OFFSET(E1355,0,0,$J$5*-1,1))</f>
        <v>0.1464900070862718</v>
      </c>
      <c r="W1355" s="9">
        <f t="shared" ca="1" si="211"/>
        <v>-6.9390592381720365E-2</v>
      </c>
      <c r="X1355" s="17">
        <f t="shared" ca="1" si="210"/>
        <v>0.17777573816567488</v>
      </c>
      <c r="Y1355" s="13">
        <f t="shared" si="216"/>
        <v>0</v>
      </c>
      <c r="Z1355" s="13">
        <f t="shared" si="216"/>
        <v>0</v>
      </c>
      <c r="AA1355">
        <f t="shared" ca="1" si="212"/>
        <v>1</v>
      </c>
      <c r="AB1355">
        <f t="shared" ca="1" si="213"/>
        <v>0</v>
      </c>
      <c r="AC1355" s="24">
        <f t="shared" ca="1" si="214"/>
        <v>0.17777573816567488</v>
      </c>
      <c r="AD1355" s="24">
        <f t="shared" ca="1" si="215"/>
        <v>0</v>
      </c>
    </row>
    <row r="1356" spans="3:30" x14ac:dyDescent="0.25">
      <c r="C1356" s="6">
        <v>1349</v>
      </c>
      <c r="D1356" s="35">
        <v>43927</v>
      </c>
      <c r="E1356" s="37">
        <v>10.074</v>
      </c>
      <c r="F1356" s="37">
        <v>34.939280324575776</v>
      </c>
      <c r="G1356" s="37">
        <v>33.909999999999997</v>
      </c>
      <c r="H1356" s="37">
        <v>1.981121726055761</v>
      </c>
      <c r="I1356" s="37">
        <v>57.894110933597851</v>
      </c>
      <c r="J1356" s="10">
        <v>0</v>
      </c>
      <c r="K1356" s="38">
        <v>0</v>
      </c>
      <c r="L1356" s="38">
        <v>0</v>
      </c>
      <c r="M1356" s="38">
        <v>1</v>
      </c>
      <c r="N1356" s="38">
        <v>0</v>
      </c>
      <c r="O1356" s="38">
        <v>0</v>
      </c>
      <c r="P1356" s="38">
        <v>0</v>
      </c>
      <c r="Q1356" s="38">
        <v>0</v>
      </c>
      <c r="R1356" s="38">
        <v>0</v>
      </c>
      <c r="S1356" s="38">
        <v>0</v>
      </c>
      <c r="T1356" s="38">
        <v>0</v>
      </c>
      <c r="U1356" s="29" cm="1">
        <f t="array" aca="1" ref="U1356" ca="1">+fair_value_gap(OFFSET(T1355,0,0,-1*$J$5,-1*$AA$1),OFFSET(E1355,0,0,-1*$J$5,1),F1356:T1356,0)</f>
        <v>11.236783229120539</v>
      </c>
      <c r="V1356" s="9" cm="1">
        <f t="array" aca="1" ref="V1356" ca="1">z_score_diff(OFFSET(U1356,0,0,$J$5*-1,1),OFFSET(E1356,0,0,$J$5*-1,1))</f>
        <v>0.11564582543877511</v>
      </c>
      <c r="W1356" s="9">
        <f t="shared" ca="1" si="211"/>
        <v>-7.4556842294691075E-2</v>
      </c>
      <c r="X1356" s="17">
        <f t="shared" ca="1" si="210"/>
        <v>0.13776601133682559</v>
      </c>
      <c r="Y1356" s="13">
        <f t="shared" si="216"/>
        <v>0</v>
      </c>
      <c r="Z1356" s="13">
        <f t="shared" si="216"/>
        <v>0</v>
      </c>
      <c r="AA1356">
        <f t="shared" ca="1" si="212"/>
        <v>1</v>
      </c>
      <c r="AB1356">
        <f t="shared" ca="1" si="213"/>
        <v>0</v>
      </c>
      <c r="AC1356" s="24">
        <f t="shared" ca="1" si="214"/>
        <v>0.13776601133682559</v>
      </c>
      <c r="AD1356" s="24">
        <f t="shared" ca="1" si="215"/>
        <v>0</v>
      </c>
    </row>
    <row r="1357" spans="3:30" x14ac:dyDescent="0.25">
      <c r="C1357" s="6">
        <v>1350</v>
      </c>
      <c r="D1357" s="35">
        <v>43928</v>
      </c>
      <c r="E1357" s="37">
        <v>10.106999999999999</v>
      </c>
      <c r="F1357" s="37">
        <v>34.926457156635664</v>
      </c>
      <c r="G1357" s="37">
        <v>35.56</v>
      </c>
      <c r="H1357" s="37">
        <v>2.0166740952367035</v>
      </c>
      <c r="I1357" s="37">
        <v>56.307951979774799</v>
      </c>
      <c r="J1357" s="10">
        <v>0</v>
      </c>
      <c r="K1357" s="38">
        <v>0</v>
      </c>
      <c r="L1357" s="38">
        <v>0</v>
      </c>
      <c r="M1357" s="38">
        <v>1</v>
      </c>
      <c r="N1357" s="38">
        <v>0</v>
      </c>
      <c r="O1357" s="38">
        <v>0</v>
      </c>
      <c r="P1357" s="38">
        <v>0</v>
      </c>
      <c r="Q1357" s="38">
        <v>0</v>
      </c>
      <c r="R1357" s="38">
        <v>0</v>
      </c>
      <c r="S1357" s="38">
        <v>0</v>
      </c>
      <c r="T1357" s="38">
        <v>0</v>
      </c>
      <c r="U1357" s="29" cm="1">
        <f t="array" aca="1" ref="U1357" ca="1">+fair_value_gap(OFFSET(T1356,0,0,-1*$J$5,-1*$AA$1),OFFSET(E1356,0,0,-1*$J$5,1),F1357:T1357,0)</f>
        <v>11.694969410612666</v>
      </c>
      <c r="V1357" s="9" cm="1">
        <f t="array" aca="1" ref="V1357" ca="1">z_score_diff(OFFSET(U1357,0,0,$J$5*-1,1),OFFSET(E1357,0,0,$J$5*-1,1))</f>
        <v>0.22177748510604811</v>
      </c>
      <c r="W1357" s="9">
        <f t="shared" ca="1" si="211"/>
        <v>-7.2321286151904501E-2</v>
      </c>
      <c r="X1357" s="17">
        <f t="shared" ca="1" si="210"/>
        <v>0.14798320318393976</v>
      </c>
      <c r="Y1357" s="13">
        <f t="shared" si="216"/>
        <v>0</v>
      </c>
      <c r="Z1357" s="13">
        <f t="shared" si="216"/>
        <v>0</v>
      </c>
      <c r="AA1357">
        <f t="shared" ca="1" si="212"/>
        <v>1</v>
      </c>
      <c r="AB1357">
        <f t="shared" ca="1" si="213"/>
        <v>0</v>
      </c>
      <c r="AC1357" s="24">
        <f t="shared" ca="1" si="214"/>
        <v>0.14798320318393976</v>
      </c>
      <c r="AD1357" s="24">
        <f t="shared" ca="1" si="215"/>
        <v>0</v>
      </c>
    </row>
    <row r="1358" spans="3:30" x14ac:dyDescent="0.25">
      <c r="C1358" s="6">
        <v>1351</v>
      </c>
      <c r="D1358" s="35">
        <v>43929</v>
      </c>
      <c r="E1358" s="37">
        <v>9.9939999999999998</v>
      </c>
      <c r="F1358" s="37">
        <v>34.999899188559553</v>
      </c>
      <c r="G1358" s="37">
        <v>34.79</v>
      </c>
      <c r="H1358" s="37">
        <v>2.016228808976984</v>
      </c>
      <c r="I1358" s="37">
        <v>54.392354460356366</v>
      </c>
      <c r="J1358" s="10">
        <v>0</v>
      </c>
      <c r="K1358" s="38">
        <v>0</v>
      </c>
      <c r="L1358" s="38">
        <v>0</v>
      </c>
      <c r="M1358" s="38">
        <v>1</v>
      </c>
      <c r="N1358" s="38">
        <v>0</v>
      </c>
      <c r="O1358" s="38">
        <v>0</v>
      </c>
      <c r="P1358" s="38">
        <v>0</v>
      </c>
      <c r="Q1358" s="38">
        <v>0</v>
      </c>
      <c r="R1358" s="38">
        <v>0</v>
      </c>
      <c r="S1358" s="38">
        <v>0</v>
      </c>
      <c r="T1358" s="38">
        <v>0</v>
      </c>
      <c r="U1358" s="29" cm="1">
        <f t="array" aca="1" ref="U1358" ca="1">+fair_value_gap(OFFSET(T1357,0,0,-1*$J$5,-1*$AA$1),OFFSET(E1357,0,0,-1*$J$5,1),F1358:T1358,0)</f>
        <v>11.238540458519738</v>
      </c>
      <c r="V1358" s="9" cm="1">
        <f t="array" aca="1" ref="V1358" ca="1">z_score_diff(OFFSET(U1358,0,0,$J$5*-1,1),OFFSET(E1358,0,0,$J$5*-1,1))</f>
        <v>0.13206182898987584</v>
      </c>
      <c r="W1358" s="9">
        <f t="shared" ca="1" si="211"/>
        <v>-6.7122092946410819E-2</v>
      </c>
      <c r="X1358" s="17">
        <f t="shared" ca="1" si="210"/>
        <v>0.16823102145598334</v>
      </c>
      <c r="Y1358" s="13">
        <f t="shared" si="216"/>
        <v>0</v>
      </c>
      <c r="Z1358" s="13">
        <f t="shared" si="216"/>
        <v>0</v>
      </c>
      <c r="AA1358">
        <f t="shared" ca="1" si="212"/>
        <v>1</v>
      </c>
      <c r="AB1358">
        <f t="shared" ca="1" si="213"/>
        <v>0</v>
      </c>
      <c r="AC1358" s="24">
        <f t="shared" ca="1" si="214"/>
        <v>0.16823102145598334</v>
      </c>
      <c r="AD1358" s="24">
        <f t="shared" ca="1" si="215"/>
        <v>0</v>
      </c>
    </row>
    <row r="1359" spans="3:30" x14ac:dyDescent="0.25">
      <c r="C1359" s="6">
        <v>1352</v>
      </c>
      <c r="D1359" s="35">
        <v>43930</v>
      </c>
      <c r="E1359" s="37">
        <v>10.081</v>
      </c>
      <c r="F1359" s="37">
        <v>34.592059483777234</v>
      </c>
      <c r="G1359" s="37">
        <v>35.020000000000003</v>
      </c>
      <c r="H1359" s="37">
        <v>2.0181735756719505</v>
      </c>
      <c r="I1359" s="37">
        <v>53.435628728887465</v>
      </c>
      <c r="J1359" s="10">
        <v>0</v>
      </c>
      <c r="K1359" s="38">
        <v>0</v>
      </c>
      <c r="L1359" s="38">
        <v>0</v>
      </c>
      <c r="M1359" s="38">
        <v>1</v>
      </c>
      <c r="N1359" s="38">
        <v>0</v>
      </c>
      <c r="O1359" s="38">
        <v>0</v>
      </c>
      <c r="P1359" s="38">
        <v>0</v>
      </c>
      <c r="Q1359" s="38">
        <v>0</v>
      </c>
      <c r="R1359" s="38">
        <v>0</v>
      </c>
      <c r="S1359" s="38">
        <v>0</v>
      </c>
      <c r="T1359" s="38">
        <v>0</v>
      </c>
      <c r="U1359" s="29" cm="1">
        <f t="array" aca="1" ref="U1359" ca="1">+fair_value_gap(OFFSET(T1358,0,0,-1*$J$5,-1*$AA$1),OFFSET(E1358,0,0,-1*$J$5,1),F1359:T1359,0)</f>
        <v>11.179749385294436</v>
      </c>
      <c r="V1359" s="9" cm="1">
        <f t="array" aca="1" ref="V1359" ca="1">z_score_diff(OFFSET(U1359,0,0,$J$5*-1,1),OFFSET(E1359,0,0,$J$5*-1,1))</f>
        <v>9.3490175516201424E-2</v>
      </c>
      <c r="W1359" s="9">
        <f t="shared" ca="1" si="211"/>
        <v>-6.0208325763456472E-2</v>
      </c>
      <c r="X1359" s="17">
        <f t="shared" ca="1" si="210"/>
        <v>0.15761654456317256</v>
      </c>
      <c r="Y1359" s="13">
        <f t="shared" si="216"/>
        <v>0</v>
      </c>
      <c r="Z1359" s="13">
        <f t="shared" si="216"/>
        <v>0</v>
      </c>
      <c r="AA1359">
        <f t="shared" ca="1" si="212"/>
        <v>1</v>
      </c>
      <c r="AB1359">
        <f t="shared" ca="1" si="213"/>
        <v>0</v>
      </c>
      <c r="AC1359" s="24">
        <f t="shared" ca="1" si="214"/>
        <v>0.15761654456317256</v>
      </c>
      <c r="AD1359" s="24">
        <f t="shared" ca="1" si="215"/>
        <v>0</v>
      </c>
    </row>
    <row r="1360" spans="3:30" x14ac:dyDescent="0.25">
      <c r="C1360" s="6">
        <v>1353</v>
      </c>
      <c r="D1360" s="35">
        <v>43935</v>
      </c>
      <c r="E1360" s="37">
        <v>9.734</v>
      </c>
      <c r="F1360" s="37">
        <v>35.441845295258112</v>
      </c>
      <c r="G1360" s="37">
        <v>33.979999999999997</v>
      </c>
      <c r="H1360" s="37">
        <v>1.9840910326333145</v>
      </c>
      <c r="I1360" s="37">
        <v>51.550127742847309</v>
      </c>
      <c r="J1360" s="10">
        <v>0</v>
      </c>
      <c r="K1360" s="38">
        <v>0</v>
      </c>
      <c r="L1360" s="38">
        <v>0</v>
      </c>
      <c r="M1360" s="38">
        <v>1</v>
      </c>
      <c r="N1360" s="38">
        <v>0</v>
      </c>
      <c r="O1360" s="38">
        <v>0</v>
      </c>
      <c r="P1360" s="38">
        <v>0</v>
      </c>
      <c r="Q1360" s="38">
        <v>0</v>
      </c>
      <c r="R1360" s="38">
        <v>0</v>
      </c>
      <c r="S1360" s="38">
        <v>0</v>
      </c>
      <c r="T1360" s="38">
        <v>0</v>
      </c>
      <c r="U1360" s="29" cm="1">
        <f t="array" aca="1" ref="U1360" ca="1">+fair_value_gap(OFFSET(T1359,0,0,-1*$J$5,-1*$AA$1),OFFSET(E1359,0,0,-1*$J$5,1),F1360:T1360,0)</f>
        <v>10.719065102464342</v>
      </c>
      <c r="V1360" s="9" cm="1">
        <f t="array" aca="1" ref="V1360" ca="1">z_score_diff(OFFSET(U1360,0,0,$J$5*-1,1),OFFSET(E1360,0,0,$J$5*-1,1))</f>
        <v>6.3560579585720145E-2</v>
      </c>
      <c r="W1360" s="9">
        <f t="shared" ca="1" si="211"/>
        <v>-5.2054546982148134E-2</v>
      </c>
      <c r="X1360" s="17">
        <f t="shared" ca="1" si="210"/>
        <v>0.16880690581101948</v>
      </c>
      <c r="Y1360" s="13">
        <f t="shared" si="216"/>
        <v>0</v>
      </c>
      <c r="Z1360" s="13">
        <f t="shared" si="216"/>
        <v>0</v>
      </c>
      <c r="AA1360">
        <f t="shared" ca="1" si="212"/>
        <v>1</v>
      </c>
      <c r="AB1360">
        <f t="shared" ca="1" si="213"/>
        <v>0</v>
      </c>
      <c r="AC1360" s="24">
        <f t="shared" ca="1" si="214"/>
        <v>0.16880690581101948</v>
      </c>
      <c r="AD1360" s="24">
        <f t="shared" ca="1" si="215"/>
        <v>0</v>
      </c>
    </row>
    <row r="1361" spans="3:30" x14ac:dyDescent="0.25">
      <c r="C1361" s="6">
        <v>1354</v>
      </c>
      <c r="D1361" s="35">
        <v>43936</v>
      </c>
      <c r="E1361" s="37">
        <v>9.4420000000000002</v>
      </c>
      <c r="F1361" s="37">
        <v>33.557046979865774</v>
      </c>
      <c r="G1361" s="37">
        <v>32.78</v>
      </c>
      <c r="H1361" s="37">
        <v>1.9511821170234704</v>
      </c>
      <c r="I1361" s="37">
        <v>51.882461811405193</v>
      </c>
      <c r="J1361" s="10">
        <v>0</v>
      </c>
      <c r="K1361" s="38">
        <v>0</v>
      </c>
      <c r="L1361" s="38">
        <v>0</v>
      </c>
      <c r="M1361" s="38">
        <v>1</v>
      </c>
      <c r="N1361" s="38">
        <v>0</v>
      </c>
      <c r="O1361" s="38">
        <v>0</v>
      </c>
      <c r="P1361" s="38">
        <v>0</v>
      </c>
      <c r="Q1361" s="38">
        <v>0</v>
      </c>
      <c r="R1361" s="38">
        <v>0</v>
      </c>
      <c r="S1361" s="38">
        <v>0</v>
      </c>
      <c r="T1361" s="38">
        <v>0</v>
      </c>
      <c r="U1361" s="29" cm="1">
        <f t="array" aca="1" ref="U1361" ca="1">+fair_value_gap(OFFSET(T1360,0,0,-1*$J$5,-1*$AA$1),OFFSET(E1360,0,0,-1*$J$5,1),F1361:T1361,0)</f>
        <v>10.183198726682766</v>
      </c>
      <c r="V1361" s="9" cm="1">
        <f t="array" aca="1" ref="V1361" ca="1">z_score_diff(OFFSET(U1361,0,0,$J$5*-1,1),OFFSET(E1361,0,0,$J$5*-1,1))</f>
        <v>1.5714309667045345E-3</v>
      </c>
      <c r="W1361" s="9">
        <f t="shared" ca="1" si="211"/>
        <v>-4.0005279702726451E-2</v>
      </c>
      <c r="X1361" s="17">
        <f t="shared" ca="1" si="210"/>
        <v>0.18016573612900399</v>
      </c>
      <c r="Y1361" s="13">
        <f t="shared" si="216"/>
        <v>0</v>
      </c>
      <c r="Z1361" s="13">
        <f t="shared" si="216"/>
        <v>0</v>
      </c>
      <c r="AA1361">
        <f t="shared" ca="1" si="212"/>
        <v>1</v>
      </c>
      <c r="AB1361">
        <f t="shared" ca="1" si="213"/>
        <v>0</v>
      </c>
      <c r="AC1361" s="24">
        <f t="shared" ca="1" si="214"/>
        <v>0.18016573612900399</v>
      </c>
      <c r="AD1361" s="24">
        <f t="shared" ca="1" si="215"/>
        <v>0</v>
      </c>
    </row>
    <row r="1362" spans="3:30" x14ac:dyDescent="0.25">
      <c r="C1362" s="6">
        <v>1355</v>
      </c>
      <c r="D1362" s="35">
        <v>43937</v>
      </c>
      <c r="E1362" s="37">
        <v>9.7620000000000005</v>
      </c>
      <c r="F1362" s="37">
        <v>33.721468569496906</v>
      </c>
      <c r="G1362" s="37">
        <v>36.18</v>
      </c>
      <c r="H1362" s="37">
        <v>2.0383530034245063</v>
      </c>
      <c r="I1362" s="37">
        <v>53.140478255118389</v>
      </c>
      <c r="J1362" s="10">
        <v>0</v>
      </c>
      <c r="K1362" s="38">
        <v>0</v>
      </c>
      <c r="L1362" s="38">
        <v>0</v>
      </c>
      <c r="M1362" s="38">
        <v>1</v>
      </c>
      <c r="N1362" s="38">
        <v>0</v>
      </c>
      <c r="O1362" s="38">
        <v>0</v>
      </c>
      <c r="P1362" s="38">
        <v>0</v>
      </c>
      <c r="Q1362" s="38">
        <v>0</v>
      </c>
      <c r="R1362" s="38">
        <v>0</v>
      </c>
      <c r="S1362" s="38">
        <v>0</v>
      </c>
      <c r="T1362" s="38">
        <v>0</v>
      </c>
      <c r="U1362" s="29" cm="1">
        <f t="array" aca="1" ref="U1362" ca="1">+fair_value_gap(OFFSET(T1361,0,0,-1*$J$5,-1*$AA$1),OFFSET(E1361,0,0,-1*$J$5,1),F1362:T1362,0)</f>
        <v>11.275274902969253</v>
      </c>
      <c r="V1362" s="9" cm="1">
        <f t="array" aca="1" ref="V1362" ca="1">z_score_diff(OFFSET(U1362,0,0,$J$5*-1,1),OFFSET(E1362,0,0,$J$5*-1,1))</f>
        <v>0.19436897838237521</v>
      </c>
      <c r="W1362" s="9">
        <f t="shared" ca="1" si="211"/>
        <v>-1.7838967080052781E-2</v>
      </c>
      <c r="X1362" s="17">
        <f t="shared" ca="1" si="210"/>
        <v>0.16071439306091492</v>
      </c>
      <c r="Y1362" s="13">
        <f t="shared" si="216"/>
        <v>0</v>
      </c>
      <c r="Z1362" s="13">
        <f t="shared" si="216"/>
        <v>0</v>
      </c>
      <c r="AA1362">
        <f t="shared" ca="1" si="212"/>
        <v>1</v>
      </c>
      <c r="AB1362">
        <f t="shared" ca="1" si="213"/>
        <v>0</v>
      </c>
      <c r="AC1362" s="24">
        <f t="shared" ca="1" si="214"/>
        <v>0.16071439306091492</v>
      </c>
      <c r="AD1362" s="24">
        <f t="shared" ca="1" si="215"/>
        <v>0</v>
      </c>
    </row>
    <row r="1363" spans="3:30" x14ac:dyDescent="0.25">
      <c r="C1363" s="6">
        <v>1356</v>
      </c>
      <c r="D1363" s="35">
        <v>43938</v>
      </c>
      <c r="E1363" s="37">
        <v>10.067</v>
      </c>
      <c r="F1363" s="37">
        <v>33.563650575579537</v>
      </c>
      <c r="G1363" s="37">
        <v>37.090000000000003</v>
      </c>
      <c r="H1363" s="37">
        <v>2.0594004307350411</v>
      </c>
      <c r="I1363" s="37">
        <v>52.720651026817052</v>
      </c>
      <c r="J1363" s="10">
        <v>0</v>
      </c>
      <c r="K1363" s="38">
        <v>0</v>
      </c>
      <c r="L1363" s="38">
        <v>0</v>
      </c>
      <c r="M1363" s="38">
        <v>1</v>
      </c>
      <c r="N1363" s="38">
        <v>0</v>
      </c>
      <c r="O1363" s="38">
        <v>0</v>
      </c>
      <c r="P1363" s="38">
        <v>0</v>
      </c>
      <c r="Q1363" s="38">
        <v>0</v>
      </c>
      <c r="R1363" s="38">
        <v>0</v>
      </c>
      <c r="S1363" s="38">
        <v>0</v>
      </c>
      <c r="T1363" s="38">
        <v>0</v>
      </c>
      <c r="U1363" s="29" cm="1">
        <f t="array" aca="1" ref="U1363" ca="1">+fair_value_gap(OFFSET(T1362,0,0,-1*$J$5,-1*$AA$1),OFFSET(E1362,0,0,-1*$J$5,1),F1363:T1363,0)</f>
        <v>11.407776254925945</v>
      </c>
      <c r="V1363" s="9" cm="1">
        <f t="array" aca="1" ref="V1363" ca="1">z_score_diff(OFFSET(U1363,0,0,$J$5*-1,1),OFFSET(E1363,0,0,$J$5*-1,1))</f>
        <v>0.14882190915971916</v>
      </c>
      <c r="W1363" s="9">
        <f t="shared" ca="1" si="211"/>
        <v>8.3835149796689708E-3</v>
      </c>
      <c r="X1363" s="17">
        <f t="shared" ca="1" si="210"/>
        <v>0.1329973273192416</v>
      </c>
      <c r="Y1363" s="13">
        <f t="shared" si="216"/>
        <v>0</v>
      </c>
      <c r="Z1363" s="13">
        <f t="shared" si="216"/>
        <v>0</v>
      </c>
      <c r="AA1363">
        <f t="shared" ca="1" si="212"/>
        <v>0</v>
      </c>
      <c r="AB1363">
        <f t="shared" ca="1" si="213"/>
        <v>1</v>
      </c>
      <c r="AC1363" s="24">
        <f t="shared" ca="1" si="214"/>
        <v>0</v>
      </c>
      <c r="AD1363" s="24">
        <f t="shared" ca="1" si="215"/>
        <v>0.1329973273192416</v>
      </c>
    </row>
    <row r="1364" spans="3:30" x14ac:dyDescent="0.25">
      <c r="C1364" s="6">
        <v>1357</v>
      </c>
      <c r="D1364" s="35">
        <v>43941</v>
      </c>
      <c r="E1364" s="37">
        <v>9.8849999999999998</v>
      </c>
      <c r="F1364" s="37">
        <v>32.727599328401432</v>
      </c>
      <c r="G1364" s="37">
        <v>36.11</v>
      </c>
      <c r="H1364" s="37">
        <v>2.2123893805309733</v>
      </c>
      <c r="I1364" s="37">
        <v>51.093913821293192</v>
      </c>
      <c r="J1364" s="10">
        <v>0</v>
      </c>
      <c r="K1364" s="38">
        <v>0</v>
      </c>
      <c r="L1364" s="38">
        <v>0</v>
      </c>
      <c r="M1364" s="38">
        <v>1</v>
      </c>
      <c r="N1364" s="38">
        <v>0</v>
      </c>
      <c r="O1364" s="38">
        <v>0</v>
      </c>
      <c r="P1364" s="38">
        <v>0</v>
      </c>
      <c r="Q1364" s="38">
        <v>0</v>
      </c>
      <c r="R1364" s="38">
        <v>0</v>
      </c>
      <c r="S1364" s="38">
        <v>0</v>
      </c>
      <c r="T1364" s="38">
        <v>0</v>
      </c>
      <c r="U1364" s="29" cm="1">
        <f t="array" aca="1" ref="U1364" ca="1">+fair_value_gap(OFFSET(T1363,0,0,-1*$J$5,-1*$AA$1),OFFSET(E1363,0,0,-1*$J$5,1),F1364:T1364,0)</f>
        <v>10.782856868483231</v>
      </c>
      <c r="V1364" s="9" cm="1">
        <f t="array" aca="1" ref="V1364" ca="1">z_score_diff(OFFSET(U1364,0,0,$J$5*-1,1),OFFSET(E1364,0,0,$J$5*-1,1))</f>
        <v>3.6515303342075756E-2</v>
      </c>
      <c r="W1364" s="9">
        <f t="shared" ca="1" si="211"/>
        <v>2.8952200521607928E-2</v>
      </c>
      <c r="X1364" s="17">
        <f t="shared" ca="1" si="210"/>
        <v>0.1501104458195246</v>
      </c>
      <c r="Y1364" s="13">
        <f t="shared" si="216"/>
        <v>0</v>
      </c>
      <c r="Z1364" s="13">
        <f t="shared" si="216"/>
        <v>0</v>
      </c>
      <c r="AA1364">
        <f t="shared" ca="1" si="212"/>
        <v>0</v>
      </c>
      <c r="AB1364">
        <f t="shared" ca="1" si="213"/>
        <v>1</v>
      </c>
      <c r="AC1364" s="24">
        <f t="shared" ca="1" si="214"/>
        <v>0</v>
      </c>
      <c r="AD1364" s="24">
        <f t="shared" ca="1" si="215"/>
        <v>0.1501104458195246</v>
      </c>
    </row>
    <row r="1365" spans="3:30" x14ac:dyDescent="0.25">
      <c r="C1365" s="6">
        <v>1358</v>
      </c>
      <c r="D1365" s="35">
        <v>43942</v>
      </c>
      <c r="E1365" s="37">
        <v>9.5879999999999992</v>
      </c>
      <c r="F1365" s="37">
        <v>27.928094783149259</v>
      </c>
      <c r="G1365" s="37">
        <v>34.950000000000003</v>
      </c>
      <c r="H1365" s="37">
        <v>2.1766676630071022</v>
      </c>
      <c r="I1365" s="37">
        <v>49.007113137207085</v>
      </c>
      <c r="J1365" s="10">
        <v>0</v>
      </c>
      <c r="K1365" s="38">
        <v>0</v>
      </c>
      <c r="L1365" s="38">
        <v>0</v>
      </c>
      <c r="M1365" s="38">
        <v>1</v>
      </c>
      <c r="N1365" s="38">
        <v>0</v>
      </c>
      <c r="O1365" s="38">
        <v>0</v>
      </c>
      <c r="P1365" s="38">
        <v>0</v>
      </c>
      <c r="Q1365" s="38">
        <v>0</v>
      </c>
      <c r="R1365" s="38">
        <v>0</v>
      </c>
      <c r="S1365" s="38">
        <v>0</v>
      </c>
      <c r="T1365" s="38">
        <v>0</v>
      </c>
      <c r="U1365" s="29" cm="1">
        <f t="array" aca="1" ref="U1365" ca="1">+fair_value_gap(OFFSET(T1364,0,0,-1*$J$5,-1*$AA$1),OFFSET(E1364,0,0,-1*$J$5,1),F1365:T1365,0)</f>
        <v>10.239011868957149</v>
      </c>
      <c r="V1365" s="9" cm="1">
        <f t="array" aca="1" ref="V1365" ca="1">z_score_diff(OFFSET(U1365,0,0,$J$5*-1,1),OFFSET(E1365,0,0,$J$5*-1,1))</f>
        <v>-2.4140091701773114E-2</v>
      </c>
      <c r="W1365" s="9">
        <f t="shared" ca="1" si="211"/>
        <v>4.3593818384109397E-2</v>
      </c>
      <c r="X1365" s="17">
        <f t="shared" ca="1" si="210"/>
        <v>0.16499812325920604</v>
      </c>
      <c r="Y1365" s="13">
        <f t="shared" si="216"/>
        <v>0</v>
      </c>
      <c r="Z1365" s="13">
        <f t="shared" si="216"/>
        <v>0</v>
      </c>
      <c r="AA1365">
        <f t="shared" ca="1" si="212"/>
        <v>0</v>
      </c>
      <c r="AB1365">
        <f t="shared" ca="1" si="213"/>
        <v>1</v>
      </c>
      <c r="AC1365" s="24">
        <f t="shared" ca="1" si="214"/>
        <v>0</v>
      </c>
      <c r="AD1365" s="24">
        <f t="shared" ca="1" si="215"/>
        <v>0.16499812325920604</v>
      </c>
    </row>
    <row r="1366" spans="3:30" x14ac:dyDescent="0.25">
      <c r="C1366" s="6">
        <v>1359</v>
      </c>
      <c r="D1366" s="35">
        <v>43943</v>
      </c>
      <c r="E1366" s="37">
        <v>9.4610000000000003</v>
      </c>
      <c r="F1366" s="37">
        <v>29.037340823832157</v>
      </c>
      <c r="G1366" s="37">
        <v>35.880000000000003</v>
      </c>
      <c r="H1366" s="37">
        <v>2.2263495230697301</v>
      </c>
      <c r="I1366" s="37">
        <v>49.147194928451249</v>
      </c>
      <c r="J1366" s="10">
        <v>0</v>
      </c>
      <c r="K1366" s="38">
        <v>0</v>
      </c>
      <c r="L1366" s="38">
        <v>0</v>
      </c>
      <c r="M1366" s="38">
        <v>1</v>
      </c>
      <c r="N1366" s="38">
        <v>0</v>
      </c>
      <c r="O1366" s="38">
        <v>0</v>
      </c>
      <c r="P1366" s="38">
        <v>0</v>
      </c>
      <c r="Q1366" s="38">
        <v>0</v>
      </c>
      <c r="R1366" s="38">
        <v>0</v>
      </c>
      <c r="S1366" s="38">
        <v>0</v>
      </c>
      <c r="T1366" s="38">
        <v>0</v>
      </c>
      <c r="U1366" s="29" cm="1">
        <f t="array" aca="1" ref="U1366" ca="1">+fair_value_gap(OFFSET(T1365,0,0,-1*$J$5,-1*$AA$1),OFFSET(E1365,0,0,-1*$J$5,1),F1366:T1366,0)</f>
        <v>10.22713057818051</v>
      </c>
      <c r="V1366" s="9" cm="1">
        <f t="array" aca="1" ref="V1366" ca="1">z_score_diff(OFFSET(U1366,0,0,$J$5*-1,1),OFFSET(E1366,0,0,$J$5*-1,1))</f>
        <v>1.2868970894250875E-3</v>
      </c>
      <c r="W1366" s="9">
        <f t="shared" ca="1" si="211"/>
        <v>5.8061083972686854E-2</v>
      </c>
      <c r="X1366" s="17">
        <f t="shared" ca="1" si="210"/>
        <v>0.17381207165035972</v>
      </c>
      <c r="Y1366" s="13">
        <f t="shared" si="216"/>
        <v>0</v>
      </c>
      <c r="Z1366" s="13">
        <f t="shared" si="216"/>
        <v>0</v>
      </c>
      <c r="AA1366">
        <f t="shared" ca="1" si="212"/>
        <v>0</v>
      </c>
      <c r="AB1366">
        <f t="shared" ca="1" si="213"/>
        <v>1</v>
      </c>
      <c r="AC1366" s="24">
        <f t="shared" ca="1" si="214"/>
        <v>0</v>
      </c>
      <c r="AD1366" s="24">
        <f t="shared" ca="1" si="215"/>
        <v>0.17381207165035972</v>
      </c>
    </row>
    <row r="1367" spans="3:30" x14ac:dyDescent="0.25">
      <c r="C1367" s="6">
        <v>1360</v>
      </c>
      <c r="D1367" s="35">
        <v>43944</v>
      </c>
      <c r="E1367" s="37">
        <v>9.2420000000000009</v>
      </c>
      <c r="F1367" s="37">
        <v>29.145143554155073</v>
      </c>
      <c r="G1367" s="37">
        <v>35.04</v>
      </c>
      <c r="H1367" s="37">
        <v>2.1835755934834635</v>
      </c>
      <c r="I1367" s="37">
        <v>49.807331565280869</v>
      </c>
      <c r="J1367" s="10">
        <v>0</v>
      </c>
      <c r="K1367" s="38">
        <v>0</v>
      </c>
      <c r="L1367" s="38">
        <v>0</v>
      </c>
      <c r="M1367" s="38">
        <v>1</v>
      </c>
      <c r="N1367" s="38">
        <v>0</v>
      </c>
      <c r="O1367" s="38">
        <v>0</v>
      </c>
      <c r="P1367" s="38">
        <v>0</v>
      </c>
      <c r="Q1367" s="38">
        <v>0</v>
      </c>
      <c r="R1367" s="38">
        <v>0</v>
      </c>
      <c r="S1367" s="38">
        <v>0</v>
      </c>
      <c r="T1367" s="38">
        <v>0</v>
      </c>
      <c r="U1367" s="29" cm="1">
        <f t="array" aca="1" ref="U1367" ca="1">+fair_value_gap(OFFSET(T1366,0,0,-1*$J$5,-1*$AA$1),OFFSET(E1366,0,0,-1*$J$5,1),F1367:T1367,0)</f>
        <v>9.8965507346918429</v>
      </c>
      <c r="V1367" s="9" cm="1">
        <f t="array" aca="1" ref="V1367" ca="1">z_score_diff(OFFSET(U1367,0,0,$J$5*-1,1),OFFSET(E1367,0,0,$J$5*-1,1))</f>
        <v>-2.8016553579333747E-2</v>
      </c>
      <c r="W1367" s="9">
        <f t="shared" ca="1" si="211"/>
        <v>6.6612423592330536E-2</v>
      </c>
      <c r="X1367" s="17">
        <f t="shared" ca="1" si="210"/>
        <v>0.14956479505131265</v>
      </c>
      <c r="Y1367" s="13">
        <f t="shared" si="216"/>
        <v>0</v>
      </c>
      <c r="Z1367" s="13">
        <f t="shared" si="216"/>
        <v>0</v>
      </c>
      <c r="AA1367">
        <f t="shared" ca="1" si="212"/>
        <v>0</v>
      </c>
      <c r="AB1367">
        <f t="shared" ca="1" si="213"/>
        <v>1</v>
      </c>
      <c r="AC1367" s="24">
        <f t="shared" ca="1" si="214"/>
        <v>0</v>
      </c>
      <c r="AD1367" s="24">
        <f t="shared" ca="1" si="215"/>
        <v>0.14956479505131265</v>
      </c>
    </row>
    <row r="1368" spans="3:30" x14ac:dyDescent="0.25">
      <c r="C1368" s="6">
        <v>1361</v>
      </c>
      <c r="D1368" s="35">
        <v>43945</v>
      </c>
      <c r="E1368" s="37">
        <v>8.9939999999999998</v>
      </c>
      <c r="F1368" s="37">
        <v>28.820194011804134</v>
      </c>
      <c r="G1368" s="37">
        <v>34.729999999999997</v>
      </c>
      <c r="H1368" s="37">
        <v>2.1624347358793012</v>
      </c>
      <c r="I1368" s="37">
        <v>49.874026674322607</v>
      </c>
      <c r="J1368" s="10">
        <v>0</v>
      </c>
      <c r="K1368" s="38">
        <v>0</v>
      </c>
      <c r="L1368" s="38">
        <v>0</v>
      </c>
      <c r="M1368" s="38">
        <v>1</v>
      </c>
      <c r="N1368" s="38">
        <v>0</v>
      </c>
      <c r="O1368" s="38">
        <v>0</v>
      </c>
      <c r="P1368" s="38">
        <v>0</v>
      </c>
      <c r="Q1368" s="38">
        <v>0</v>
      </c>
      <c r="R1368" s="38">
        <v>0</v>
      </c>
      <c r="S1368" s="38">
        <v>0</v>
      </c>
      <c r="T1368" s="38">
        <v>0</v>
      </c>
      <c r="U1368" s="29" cm="1">
        <f t="array" aca="1" ref="U1368" ca="1">+fair_value_gap(OFFSET(T1367,0,0,-1*$J$5,-1*$AA$1),OFFSET(E1367,0,0,-1*$J$5,1),F1368:T1368,0)</f>
        <v>9.7455535767729167</v>
      </c>
      <c r="V1368" s="9" cm="1">
        <f t="array" aca="1" ref="V1368" ca="1">z_score_diff(OFFSET(U1368,0,0,$J$5*-1,1),OFFSET(E1368,0,0,$J$5*-1,1))</f>
        <v>-4.3688090436917459E-3</v>
      </c>
      <c r="W1368" s="9">
        <f t="shared" ca="1" si="211"/>
        <v>7.5869052664560468E-2</v>
      </c>
      <c r="X1368" s="17">
        <f t="shared" ca="1" si="210"/>
        <v>0.16796880618571336</v>
      </c>
      <c r="Y1368" s="13">
        <f t="shared" si="216"/>
        <v>0</v>
      </c>
      <c r="Z1368" s="13">
        <f t="shared" si="216"/>
        <v>0</v>
      </c>
      <c r="AA1368">
        <f t="shared" ca="1" si="212"/>
        <v>0</v>
      </c>
      <c r="AB1368">
        <f t="shared" ca="1" si="213"/>
        <v>1</v>
      </c>
      <c r="AC1368" s="24">
        <f t="shared" ca="1" si="214"/>
        <v>0</v>
      </c>
      <c r="AD1368" s="24">
        <f t="shared" ca="1" si="215"/>
        <v>0.16796880618571336</v>
      </c>
    </row>
    <row r="1369" spans="3:30" x14ac:dyDescent="0.25">
      <c r="C1369" s="6">
        <v>1362</v>
      </c>
      <c r="D1369" s="35">
        <v>43948</v>
      </c>
      <c r="E1369" s="37">
        <v>8.98</v>
      </c>
      <c r="F1369" s="37">
        <v>27.943135076268756</v>
      </c>
      <c r="G1369" s="37">
        <v>34.01</v>
      </c>
      <c r="H1369" s="37">
        <v>2.2084090624793049</v>
      </c>
      <c r="I1369" s="37">
        <v>49.668508693828599</v>
      </c>
      <c r="J1369" s="10">
        <v>0</v>
      </c>
      <c r="K1369" s="38">
        <v>0</v>
      </c>
      <c r="L1369" s="38">
        <v>0</v>
      </c>
      <c r="M1369" s="38">
        <v>1</v>
      </c>
      <c r="N1369" s="38">
        <v>0</v>
      </c>
      <c r="O1369" s="38">
        <v>0</v>
      </c>
      <c r="P1369" s="38">
        <v>0</v>
      </c>
      <c r="Q1369" s="38">
        <v>0</v>
      </c>
      <c r="R1369" s="38">
        <v>0</v>
      </c>
      <c r="S1369" s="38">
        <v>0</v>
      </c>
      <c r="T1369" s="38">
        <v>0</v>
      </c>
      <c r="U1369" s="29" cm="1">
        <f t="array" aca="1" ref="U1369" ca="1">+fair_value_gap(OFFSET(T1368,0,0,-1*$J$5,-1*$AA$1),OFFSET(E1368,0,0,-1*$J$5,1),F1369:T1369,0)</f>
        <v>9.4969344017622657</v>
      </c>
      <c r="V1369" s="9" cm="1">
        <f t="array" aca="1" ref="V1369" ca="1">z_score_diff(OFFSET(U1369,0,0,$J$5*-1,1),OFFSET(E1369,0,0,$J$5*-1,1))</f>
        <v>-6.2933716872001666E-2</v>
      </c>
      <c r="W1369" s="9">
        <f t="shared" ca="1" si="211"/>
        <v>7.8962417994394102E-2</v>
      </c>
      <c r="X1369" s="17">
        <f t="shared" ca="1" si="210"/>
        <v>0.20353155172714638</v>
      </c>
      <c r="Y1369" s="13">
        <f t="shared" ref="Y1369:Z1384" si="217">+Y1368</f>
        <v>0</v>
      </c>
      <c r="Z1369" s="13">
        <f t="shared" si="217"/>
        <v>0</v>
      </c>
      <c r="AA1369">
        <f t="shared" ca="1" si="212"/>
        <v>0</v>
      </c>
      <c r="AB1369">
        <f t="shared" ca="1" si="213"/>
        <v>1</v>
      </c>
      <c r="AC1369" s="24">
        <f t="shared" ca="1" si="214"/>
        <v>0</v>
      </c>
      <c r="AD1369" s="24">
        <f t="shared" ca="1" si="215"/>
        <v>0.20353155172714638</v>
      </c>
    </row>
    <row r="1370" spans="3:30" x14ac:dyDescent="0.25">
      <c r="C1370" s="6">
        <v>1363</v>
      </c>
      <c r="D1370" s="35">
        <v>43949</v>
      </c>
      <c r="E1370" s="37">
        <v>9.0760000000000005</v>
      </c>
      <c r="F1370" s="37">
        <v>27.485221860784495</v>
      </c>
      <c r="G1370" s="37">
        <v>34.08</v>
      </c>
      <c r="H1370" s="37">
        <v>2.2201726432756934</v>
      </c>
      <c r="I1370" s="37">
        <v>50.901968148070409</v>
      </c>
      <c r="J1370" s="10">
        <v>0</v>
      </c>
      <c r="K1370" s="38">
        <v>0</v>
      </c>
      <c r="L1370" s="38">
        <v>0</v>
      </c>
      <c r="M1370" s="38">
        <v>1</v>
      </c>
      <c r="N1370" s="38">
        <v>0</v>
      </c>
      <c r="O1370" s="38">
        <v>0</v>
      </c>
      <c r="P1370" s="38">
        <v>0</v>
      </c>
      <c r="Q1370" s="38">
        <v>0</v>
      </c>
      <c r="R1370" s="38">
        <v>0</v>
      </c>
      <c r="S1370" s="38">
        <v>0</v>
      </c>
      <c r="T1370" s="38">
        <v>0</v>
      </c>
      <c r="U1370" s="29" cm="1">
        <f t="array" aca="1" ref="U1370" ca="1">+fair_value_gap(OFFSET(T1369,0,0,-1*$J$5,-1*$AA$1),OFFSET(E1369,0,0,-1*$J$5,1),F1370:T1370,0)</f>
        <v>9.5352609138815065</v>
      </c>
      <c r="V1370" s="9" cm="1">
        <f t="array" aca="1" ref="V1370" ca="1">z_score_diff(OFFSET(U1370,0,0,$J$5*-1,1),OFFSET(E1370,0,0,$J$5*-1,1))</f>
        <v>-7.6584441590728636E-2</v>
      </c>
      <c r="W1370" s="9">
        <f t="shared" ca="1" si="211"/>
        <v>7.941844806258655E-2</v>
      </c>
      <c r="X1370" s="17">
        <f t="shared" ca="1" si="210"/>
        <v>0.18551170305593054</v>
      </c>
      <c r="Y1370" s="13">
        <f t="shared" si="217"/>
        <v>0</v>
      </c>
      <c r="Z1370" s="13">
        <f t="shared" si="217"/>
        <v>0</v>
      </c>
      <c r="AA1370">
        <f t="shared" ca="1" si="212"/>
        <v>0</v>
      </c>
      <c r="AB1370">
        <f t="shared" ca="1" si="213"/>
        <v>1</v>
      </c>
      <c r="AC1370" s="24">
        <f t="shared" ca="1" si="214"/>
        <v>0</v>
      </c>
      <c r="AD1370" s="24">
        <f t="shared" ca="1" si="215"/>
        <v>0.18551170305593054</v>
      </c>
    </row>
    <row r="1371" spans="3:30" x14ac:dyDescent="0.25">
      <c r="C1371" s="6">
        <v>1364</v>
      </c>
      <c r="D1371" s="35">
        <v>43950</v>
      </c>
      <c r="E1371" s="37">
        <v>8.9930000000000003</v>
      </c>
      <c r="F1371" s="37">
        <v>27.973078430869677</v>
      </c>
      <c r="G1371" s="37">
        <v>33.549999999999997</v>
      </c>
      <c r="H1371" s="37">
        <v>2.3759713637745885</v>
      </c>
      <c r="I1371" s="37">
        <v>51.476326385555858</v>
      </c>
      <c r="J1371" s="10">
        <v>0</v>
      </c>
      <c r="K1371" s="38">
        <v>0</v>
      </c>
      <c r="L1371" s="38">
        <v>0</v>
      </c>
      <c r="M1371" s="38">
        <v>1</v>
      </c>
      <c r="N1371" s="38">
        <v>0</v>
      </c>
      <c r="O1371" s="38">
        <v>0</v>
      </c>
      <c r="P1371" s="38">
        <v>0</v>
      </c>
      <c r="Q1371" s="38">
        <v>0</v>
      </c>
      <c r="R1371" s="38">
        <v>0</v>
      </c>
      <c r="S1371" s="38">
        <v>0</v>
      </c>
      <c r="T1371" s="38">
        <v>0</v>
      </c>
      <c r="U1371" s="29" cm="1">
        <f t="array" aca="1" ref="U1371" ca="1">+fair_value_gap(OFFSET(T1370,0,0,-1*$J$5,-1*$AA$1),OFFSET(E1370,0,0,-1*$J$5,1),F1371:T1371,0)</f>
        <v>9.3483577976969379</v>
      </c>
      <c r="V1371" s="9" cm="1">
        <f t="array" aca="1" ref="V1371" ca="1">z_score_diff(OFFSET(U1371,0,0,$J$5*-1,1),OFFSET(E1371,0,0,$J$5*-1,1))</f>
        <v>-0.10155277813102015</v>
      </c>
      <c r="W1371" s="9">
        <f t="shared" ca="1" si="211"/>
        <v>7.5842381103028683E-2</v>
      </c>
      <c r="X1371" s="17">
        <f t="shared" ca="1" si="210"/>
        <v>0.1745446287257276</v>
      </c>
      <c r="Y1371" s="13">
        <f t="shared" si="217"/>
        <v>0</v>
      </c>
      <c r="Z1371" s="13">
        <f t="shared" si="217"/>
        <v>0</v>
      </c>
      <c r="AA1371">
        <f t="shared" ca="1" si="212"/>
        <v>0</v>
      </c>
      <c r="AB1371">
        <f t="shared" ca="1" si="213"/>
        <v>1</v>
      </c>
      <c r="AC1371" s="24">
        <f t="shared" ca="1" si="214"/>
        <v>0</v>
      </c>
      <c r="AD1371" s="24">
        <f t="shared" ca="1" si="215"/>
        <v>0.1745446287257276</v>
      </c>
    </row>
    <row r="1372" spans="3:30" x14ac:dyDescent="0.25">
      <c r="C1372" s="6">
        <v>1365</v>
      </c>
      <c r="D1372" s="35">
        <v>43951</v>
      </c>
      <c r="E1372" s="37">
        <v>11.496</v>
      </c>
      <c r="F1372" s="37">
        <v>29.193442479823787</v>
      </c>
      <c r="G1372" s="37">
        <v>35.56</v>
      </c>
      <c r="H1372" s="37">
        <v>2.4209639838408386</v>
      </c>
      <c r="I1372" s="37">
        <v>53.203002650146153</v>
      </c>
      <c r="J1372" s="10">
        <v>0</v>
      </c>
      <c r="K1372" s="38">
        <v>0</v>
      </c>
      <c r="L1372" s="38">
        <v>0</v>
      </c>
      <c r="M1372" s="38">
        <v>1</v>
      </c>
      <c r="N1372" s="38">
        <v>0</v>
      </c>
      <c r="O1372" s="38">
        <v>0</v>
      </c>
      <c r="P1372" s="38">
        <v>0</v>
      </c>
      <c r="Q1372" s="38">
        <v>0</v>
      </c>
      <c r="R1372" s="38">
        <v>0</v>
      </c>
      <c r="S1372" s="38">
        <v>0</v>
      </c>
      <c r="T1372" s="38">
        <v>0</v>
      </c>
      <c r="U1372" s="29" cm="1">
        <f t="array" aca="1" ref="U1372" ca="1">+fair_value_gap(OFFSET(T1371,0,0,-1*$J$5,-1*$AA$1),OFFSET(E1371,0,0,-1*$J$5,1),F1372:T1372,0)</f>
        <v>9.8910254661379664</v>
      </c>
      <c r="V1372" s="9" cm="1">
        <f t="array" aca="1" ref="V1372" ca="1">z_score_diff(OFFSET(U1372,0,0,$J$5*-1,1),OFFSET(E1372,0,0,$J$5*-1,1))</f>
        <v>-0.58451268332611983</v>
      </c>
      <c r="W1372" s="9">
        <f t="shared" ca="1" si="211"/>
        <v>5.4148460208000369E-2</v>
      </c>
      <c r="X1372" s="17">
        <f t="shared" ca="1" si="210"/>
        <v>-9.186275392445574E-2</v>
      </c>
      <c r="Y1372" s="13">
        <f t="shared" si="217"/>
        <v>0</v>
      </c>
      <c r="Z1372" s="13">
        <f t="shared" si="217"/>
        <v>0</v>
      </c>
      <c r="AA1372">
        <f t="shared" ca="1" si="212"/>
        <v>0</v>
      </c>
      <c r="AB1372">
        <f t="shared" ca="1" si="213"/>
        <v>1</v>
      </c>
      <c r="AC1372" s="24">
        <f t="shared" ca="1" si="214"/>
        <v>0</v>
      </c>
      <c r="AD1372" s="24">
        <f t="shared" ca="1" si="215"/>
        <v>-9.186275392445574E-2</v>
      </c>
    </row>
    <row r="1373" spans="3:30" x14ac:dyDescent="0.25">
      <c r="C1373" s="6">
        <v>1366</v>
      </c>
      <c r="D1373" s="35">
        <v>43952</v>
      </c>
      <c r="E1373" s="37">
        <v>11.285</v>
      </c>
      <c r="F1373" s="37">
        <v>29.188764593248489</v>
      </c>
      <c r="G1373" s="37">
        <v>35.21</v>
      </c>
      <c r="H1373" s="37">
        <v>2.3973245748898617</v>
      </c>
      <c r="I1373" s="37">
        <v>52.427302470160427</v>
      </c>
      <c r="J1373" s="10">
        <v>0</v>
      </c>
      <c r="K1373" s="38">
        <v>0</v>
      </c>
      <c r="L1373" s="38">
        <v>0</v>
      </c>
      <c r="M1373" s="38">
        <v>0</v>
      </c>
      <c r="N1373" s="38">
        <v>1</v>
      </c>
      <c r="O1373" s="38">
        <v>0</v>
      </c>
      <c r="P1373" s="38">
        <v>0</v>
      </c>
      <c r="Q1373" s="38">
        <v>0</v>
      </c>
      <c r="R1373" s="38">
        <v>0</v>
      </c>
      <c r="S1373" s="38">
        <v>0</v>
      </c>
      <c r="T1373" s="38">
        <v>0</v>
      </c>
      <c r="U1373" s="29" cm="1">
        <f t="array" aca="1" ref="U1373" ca="1">+fair_value_gap(OFFSET(T1372,0,0,-1*$J$5,-1*$AA$1),OFFSET(E1372,0,0,-1*$J$5,1),F1373:T1373,0)</f>
        <v>14.919017343396993</v>
      </c>
      <c r="V1373" s="9" cm="1">
        <f t="array" aca="1" ref="V1373" ca="1">z_score_diff(OFFSET(U1373,0,0,$J$5*-1,1),OFFSET(E1373,0,0,$J$5*-1,1))</f>
        <v>0.72490717279253691</v>
      </c>
      <c r="W1373" s="9">
        <f t="shared" ca="1" si="211"/>
        <v>5.9877694752160225E-2</v>
      </c>
      <c r="X1373" s="17">
        <f t="shared" ca="1" si="210"/>
        <v>2.5459579059683712E-2</v>
      </c>
      <c r="Y1373" s="13">
        <f t="shared" si="217"/>
        <v>0</v>
      </c>
      <c r="Z1373" s="13">
        <f t="shared" si="217"/>
        <v>0</v>
      </c>
      <c r="AA1373">
        <f t="shared" ca="1" si="212"/>
        <v>0</v>
      </c>
      <c r="AB1373">
        <f t="shared" ca="1" si="213"/>
        <v>1</v>
      </c>
      <c r="AC1373" s="24">
        <f t="shared" ca="1" si="214"/>
        <v>0</v>
      </c>
      <c r="AD1373" s="24">
        <f t="shared" ca="1" si="215"/>
        <v>2.5459579059683712E-2</v>
      </c>
    </row>
    <row r="1374" spans="3:30" x14ac:dyDescent="0.25">
      <c r="C1374" s="6">
        <v>1367</v>
      </c>
      <c r="D1374" s="35">
        <v>43955</v>
      </c>
      <c r="E1374" s="37">
        <v>11.314</v>
      </c>
      <c r="F1374" s="37">
        <v>29.693517219955872</v>
      </c>
      <c r="G1374" s="37">
        <v>34.4</v>
      </c>
      <c r="H1374" s="37">
        <v>2.4732415727514012</v>
      </c>
      <c r="I1374" s="37">
        <v>52.626048980598718</v>
      </c>
      <c r="J1374" s="10">
        <v>0</v>
      </c>
      <c r="K1374" s="38">
        <v>0</v>
      </c>
      <c r="L1374" s="38">
        <v>0</v>
      </c>
      <c r="M1374" s="38">
        <v>0</v>
      </c>
      <c r="N1374" s="38">
        <v>1</v>
      </c>
      <c r="O1374" s="38">
        <v>0</v>
      </c>
      <c r="P1374" s="38">
        <v>0</v>
      </c>
      <c r="Q1374" s="38">
        <v>0</v>
      </c>
      <c r="R1374" s="38">
        <v>0</v>
      </c>
      <c r="S1374" s="38">
        <v>0</v>
      </c>
      <c r="T1374" s="38">
        <v>0</v>
      </c>
      <c r="U1374" s="29" cm="1">
        <f t="array" aca="1" ref="U1374" ca="1">+fair_value_gap(OFFSET(T1373,0,0,-1*$J$5,-1*$AA$1),OFFSET(E1373,0,0,-1*$J$5,1),F1374:T1374,0)</f>
        <v>13.211442455689426</v>
      </c>
      <c r="V1374" s="9" cm="1">
        <f t="array" aca="1" ref="V1374" ca="1">z_score_diff(OFFSET(U1374,0,0,$J$5*-1,1),OFFSET(E1374,0,0,$J$5*-1,1))</f>
        <v>0.28744575596799249</v>
      </c>
      <c r="W1374" s="9">
        <f t="shared" ca="1" si="211"/>
        <v>6.4291713758952637E-2</v>
      </c>
      <c r="X1374" s="17">
        <f t="shared" ca="1" si="210"/>
        <v>8.4492669530203453E-3</v>
      </c>
      <c r="Y1374" s="13">
        <f t="shared" si="217"/>
        <v>0</v>
      </c>
      <c r="Z1374" s="13">
        <f t="shared" si="217"/>
        <v>0</v>
      </c>
      <c r="AA1374">
        <f t="shared" ca="1" si="212"/>
        <v>0</v>
      </c>
      <c r="AB1374">
        <f t="shared" ca="1" si="213"/>
        <v>1</v>
      </c>
      <c r="AC1374" s="24">
        <f t="shared" ca="1" si="214"/>
        <v>0</v>
      </c>
      <c r="AD1374" s="24">
        <f t="shared" ca="1" si="215"/>
        <v>8.4492669530203453E-3</v>
      </c>
    </row>
    <row r="1375" spans="3:30" x14ac:dyDescent="0.25">
      <c r="C1375" s="6">
        <v>1368</v>
      </c>
      <c r="D1375" s="35">
        <v>43956</v>
      </c>
      <c r="E1375" s="37">
        <v>11.457000000000001</v>
      </c>
      <c r="F1375" s="37">
        <v>32.235921365670947</v>
      </c>
      <c r="G1375" s="37">
        <v>35.130000000000003</v>
      </c>
      <c r="H1375" s="37">
        <v>2.4856946206995416</v>
      </c>
      <c r="I1375" s="37">
        <v>53.757166473539066</v>
      </c>
      <c r="J1375" s="10">
        <v>0</v>
      </c>
      <c r="K1375" s="38">
        <v>0</v>
      </c>
      <c r="L1375" s="38">
        <v>0</v>
      </c>
      <c r="M1375" s="38">
        <v>0</v>
      </c>
      <c r="N1375" s="38">
        <v>1</v>
      </c>
      <c r="O1375" s="38">
        <v>0</v>
      </c>
      <c r="P1375" s="38">
        <v>0</v>
      </c>
      <c r="Q1375" s="38">
        <v>0</v>
      </c>
      <c r="R1375" s="38">
        <v>0</v>
      </c>
      <c r="S1375" s="38">
        <v>0</v>
      </c>
      <c r="T1375" s="38">
        <v>0</v>
      </c>
      <c r="U1375" s="29" cm="1">
        <f t="array" aca="1" ref="U1375" ca="1">+fair_value_gap(OFFSET(T1374,0,0,-1*$J$5,-1*$AA$1),OFFSET(E1374,0,0,-1*$J$5,1),F1375:T1375,0)</f>
        <v>12.887301387603973</v>
      </c>
      <c r="V1375" s="9" cm="1">
        <f t="array" aca="1" ref="V1375" ca="1">z_score_diff(OFFSET(U1375,0,0,$J$5*-1,1),OFFSET(E1375,0,0,$J$5*-1,1))</f>
        <v>0.16923708463562215</v>
      </c>
      <c r="W1375" s="9">
        <f t="shared" ca="1" si="211"/>
        <v>6.5429067636420146E-2</v>
      </c>
      <c r="X1375" s="17">
        <f t="shared" ca="1" si="210"/>
        <v>2.1756879955098587E-2</v>
      </c>
      <c r="Y1375" s="13">
        <f t="shared" si="217"/>
        <v>0</v>
      </c>
      <c r="Z1375" s="13">
        <f t="shared" si="217"/>
        <v>0</v>
      </c>
      <c r="AA1375">
        <f t="shared" ca="1" si="212"/>
        <v>0</v>
      </c>
      <c r="AB1375">
        <f t="shared" ca="1" si="213"/>
        <v>1</v>
      </c>
      <c r="AC1375" s="24">
        <f t="shared" ca="1" si="214"/>
        <v>0</v>
      </c>
      <c r="AD1375" s="24">
        <f t="shared" ca="1" si="215"/>
        <v>2.1756879955098587E-2</v>
      </c>
    </row>
    <row r="1376" spans="3:30" x14ac:dyDescent="0.25">
      <c r="C1376" s="6">
        <v>1369</v>
      </c>
      <c r="D1376" s="35">
        <v>43957</v>
      </c>
      <c r="E1376" s="37">
        <v>11.561999999999999</v>
      </c>
      <c r="F1376" s="37">
        <v>31.174095046844197</v>
      </c>
      <c r="G1376" s="37">
        <v>34.78</v>
      </c>
      <c r="H1376" s="37">
        <v>2.413269939239123</v>
      </c>
      <c r="I1376" s="37">
        <v>54.079395196716106</v>
      </c>
      <c r="J1376" s="10">
        <v>0</v>
      </c>
      <c r="K1376" s="38">
        <v>0</v>
      </c>
      <c r="L1376" s="38">
        <v>0</v>
      </c>
      <c r="M1376" s="38">
        <v>0</v>
      </c>
      <c r="N1376" s="38">
        <v>1</v>
      </c>
      <c r="O1376" s="38">
        <v>0</v>
      </c>
      <c r="P1376" s="38">
        <v>0</v>
      </c>
      <c r="Q1376" s="38">
        <v>0</v>
      </c>
      <c r="R1376" s="38">
        <v>0</v>
      </c>
      <c r="S1376" s="38">
        <v>0</v>
      </c>
      <c r="T1376" s="38">
        <v>0</v>
      </c>
      <c r="U1376" s="29" cm="1">
        <f t="array" aca="1" ref="U1376" ca="1">+fair_value_gap(OFFSET(T1375,0,0,-1*$J$5,-1*$AA$1),OFFSET(E1375,0,0,-1*$J$5,1),F1376:T1376,0)</f>
        <v>12.531428317671093</v>
      </c>
      <c r="V1376" s="9" cm="1">
        <f t="array" aca="1" ref="V1376" ca="1">z_score_diff(OFFSET(U1376,0,0,$J$5*-1,1),OFFSET(E1376,0,0,$J$5*-1,1))</f>
        <v>5.2949785135813943E-2</v>
      </c>
      <c r="W1376" s="9">
        <f t="shared" ca="1" si="211"/>
        <v>6.2294265621272091E-2</v>
      </c>
      <c r="X1376" s="17">
        <f t="shared" ca="1" si="210"/>
        <v>9.7259448946768207E-3</v>
      </c>
      <c r="Y1376" s="13">
        <f t="shared" si="217"/>
        <v>0</v>
      </c>
      <c r="Z1376" s="13">
        <f t="shared" si="217"/>
        <v>0</v>
      </c>
      <c r="AA1376">
        <f t="shared" ca="1" si="212"/>
        <v>0</v>
      </c>
      <c r="AB1376">
        <f t="shared" ca="1" si="213"/>
        <v>1</v>
      </c>
      <c r="AC1376" s="24">
        <f t="shared" ca="1" si="214"/>
        <v>0</v>
      </c>
      <c r="AD1376" s="24">
        <f t="shared" ca="1" si="215"/>
        <v>9.7259448946768207E-3</v>
      </c>
    </row>
    <row r="1377" spans="3:30" x14ac:dyDescent="0.25">
      <c r="C1377" s="6">
        <v>1370</v>
      </c>
      <c r="D1377" s="35">
        <v>43958</v>
      </c>
      <c r="E1377" s="37">
        <v>11.718999999999999</v>
      </c>
      <c r="F1377" s="37">
        <v>30.801463460395887</v>
      </c>
      <c r="G1377" s="37">
        <v>35.1</v>
      </c>
      <c r="H1377" s="37">
        <v>2.3655229626795529</v>
      </c>
      <c r="I1377" s="37">
        <v>53.895663146587012</v>
      </c>
      <c r="J1377" s="10">
        <v>0</v>
      </c>
      <c r="K1377" s="38">
        <v>0</v>
      </c>
      <c r="L1377" s="38">
        <v>0</v>
      </c>
      <c r="M1377" s="38">
        <v>0</v>
      </c>
      <c r="N1377" s="38">
        <v>1</v>
      </c>
      <c r="O1377" s="38">
        <v>0</v>
      </c>
      <c r="P1377" s="38">
        <v>0</v>
      </c>
      <c r="Q1377" s="38">
        <v>0</v>
      </c>
      <c r="R1377" s="38">
        <v>0</v>
      </c>
      <c r="S1377" s="38">
        <v>0</v>
      </c>
      <c r="T1377" s="38">
        <v>0</v>
      </c>
      <c r="U1377" s="29" cm="1">
        <f t="array" aca="1" ref="U1377" ca="1">+fair_value_gap(OFFSET(T1376,0,0,-1*$J$5,-1*$AA$1),OFFSET(E1376,0,0,-1*$J$5,1),F1377:T1377,0)</f>
        <v>12.516745224459164</v>
      </c>
      <c r="V1377" s="9" cm="1">
        <f t="array" aca="1" ref="V1377" ca="1">z_score_diff(OFFSET(U1377,0,0,$J$5*-1,1),OFFSET(E1377,0,0,$J$5*-1,1))</f>
        <v>9.6752155195157785E-3</v>
      </c>
      <c r="W1377" s="9">
        <f t="shared" ca="1" si="211"/>
        <v>5.1689152141945471E-2</v>
      </c>
      <c r="X1377" s="17">
        <f t="shared" ca="1" si="210"/>
        <v>1.3643730265215205E-3</v>
      </c>
      <c r="Y1377" s="13">
        <f t="shared" si="217"/>
        <v>0</v>
      </c>
      <c r="Z1377" s="13">
        <f t="shared" si="217"/>
        <v>0</v>
      </c>
      <c r="AA1377">
        <f t="shared" ca="1" si="212"/>
        <v>0</v>
      </c>
      <c r="AB1377">
        <f t="shared" ca="1" si="213"/>
        <v>1</v>
      </c>
      <c r="AC1377" s="24">
        <f t="shared" ca="1" si="214"/>
        <v>0</v>
      </c>
      <c r="AD1377" s="24">
        <f t="shared" ca="1" si="215"/>
        <v>1.3643730265215205E-3</v>
      </c>
    </row>
    <row r="1378" spans="3:30" x14ac:dyDescent="0.25">
      <c r="C1378" s="6">
        <v>1371</v>
      </c>
      <c r="D1378" s="35">
        <v>43959</v>
      </c>
      <c r="E1378" s="37">
        <v>11.824999999999999</v>
      </c>
      <c r="F1378" s="37">
        <v>32.466965574724107</v>
      </c>
      <c r="G1378" s="37">
        <v>36.299999999999997</v>
      </c>
      <c r="H1378" s="37">
        <v>2.3378420725190527</v>
      </c>
      <c r="I1378" s="37">
        <v>53.805288264933381</v>
      </c>
      <c r="J1378" s="10">
        <v>0</v>
      </c>
      <c r="K1378" s="38">
        <v>0</v>
      </c>
      <c r="L1378" s="38">
        <v>0</v>
      </c>
      <c r="M1378" s="38">
        <v>0</v>
      </c>
      <c r="N1378" s="38">
        <v>1</v>
      </c>
      <c r="O1378" s="38">
        <v>0</v>
      </c>
      <c r="P1378" s="38">
        <v>0</v>
      </c>
      <c r="Q1378" s="38">
        <v>0</v>
      </c>
      <c r="R1378" s="38">
        <v>0</v>
      </c>
      <c r="S1378" s="38">
        <v>0</v>
      </c>
      <c r="T1378" s="38">
        <v>0</v>
      </c>
      <c r="U1378" s="29" cm="1">
        <f t="array" aca="1" ref="U1378" ca="1">+fair_value_gap(OFFSET(T1377,0,0,-1*$J$5,-1*$AA$1),OFFSET(E1377,0,0,-1*$J$5,1),F1378:T1378,0)</f>
        <v>12.868338595303079</v>
      </c>
      <c r="V1378" s="9" cm="1">
        <f t="array" aca="1" ref="V1378" ca="1">z_score_diff(OFFSET(U1378,0,0,$J$5*-1,1),OFFSET(E1378,0,0,$J$5*-1,1))</f>
        <v>7.1467507388869089E-2</v>
      </c>
      <c r="W1378" s="9">
        <f t="shared" ca="1" si="211"/>
        <v>4.8659436061895142E-2</v>
      </c>
      <c r="X1378" s="17">
        <f t="shared" ca="1" si="210"/>
        <v>2.9168734590656935E-2</v>
      </c>
      <c r="Y1378" s="13">
        <f t="shared" si="217"/>
        <v>0</v>
      </c>
      <c r="Z1378" s="13">
        <f t="shared" si="217"/>
        <v>0</v>
      </c>
      <c r="AA1378">
        <f t="shared" ca="1" si="212"/>
        <v>0</v>
      </c>
      <c r="AB1378">
        <f t="shared" ca="1" si="213"/>
        <v>1</v>
      </c>
      <c r="AC1378" s="24">
        <f t="shared" ca="1" si="214"/>
        <v>0</v>
      </c>
      <c r="AD1378" s="24">
        <f t="shared" ca="1" si="215"/>
        <v>2.9168734590656935E-2</v>
      </c>
    </row>
    <row r="1379" spans="3:30" x14ac:dyDescent="0.25">
      <c r="C1379" s="6">
        <v>1372</v>
      </c>
      <c r="D1379" s="35">
        <v>43962</v>
      </c>
      <c r="E1379" s="37">
        <v>11.802</v>
      </c>
      <c r="F1379" s="37">
        <v>31.275925004148004</v>
      </c>
      <c r="G1379" s="37">
        <v>35.950000000000003</v>
      </c>
      <c r="H1379" s="37">
        <v>2.3514554873439892</v>
      </c>
      <c r="I1379" s="37">
        <v>54.753608760577407</v>
      </c>
      <c r="J1379" s="10">
        <v>0</v>
      </c>
      <c r="K1379" s="38">
        <v>0</v>
      </c>
      <c r="L1379" s="38">
        <v>0</v>
      </c>
      <c r="M1379" s="38">
        <v>0</v>
      </c>
      <c r="N1379" s="38">
        <v>1</v>
      </c>
      <c r="O1379" s="38">
        <v>0</v>
      </c>
      <c r="P1379" s="38">
        <v>0</v>
      </c>
      <c r="Q1379" s="38">
        <v>0</v>
      </c>
      <c r="R1379" s="38">
        <v>0</v>
      </c>
      <c r="S1379" s="38">
        <v>0</v>
      </c>
      <c r="T1379" s="38">
        <v>0</v>
      </c>
      <c r="U1379" s="29" cm="1">
        <f t="array" aca="1" ref="U1379" ca="1">+fair_value_gap(OFFSET(T1378,0,0,-1*$J$5,-1*$AA$1),OFFSET(E1378,0,0,-1*$J$5,1),F1379:T1379,0)</f>
        <v>12.590807364586876</v>
      </c>
      <c r="V1379" s="9" cm="1">
        <f t="array" aca="1" ref="V1379" ca="1">z_score_diff(OFFSET(U1379,0,0,$J$5*-1,1),OFFSET(E1379,0,0,$J$5*-1,1))</f>
        <v>6.8028662263578399E-3</v>
      </c>
      <c r="W1379" s="9">
        <f t="shared" ca="1" si="211"/>
        <v>4.4325070597402962E-2</v>
      </c>
      <c r="X1379" s="17">
        <f t="shared" ca="1" si="210"/>
        <v>5.1553040439891607E-3</v>
      </c>
      <c r="Y1379" s="13">
        <f t="shared" si="217"/>
        <v>0</v>
      </c>
      <c r="Z1379" s="13">
        <f t="shared" si="217"/>
        <v>0</v>
      </c>
      <c r="AA1379">
        <f t="shared" ca="1" si="212"/>
        <v>0</v>
      </c>
      <c r="AB1379">
        <f t="shared" ca="1" si="213"/>
        <v>1</v>
      </c>
      <c r="AC1379" s="24">
        <f t="shared" ca="1" si="214"/>
        <v>0</v>
      </c>
      <c r="AD1379" s="24">
        <f t="shared" ca="1" si="215"/>
        <v>5.1553040439891607E-3</v>
      </c>
    </row>
    <row r="1380" spans="3:30" x14ac:dyDescent="0.25">
      <c r="C1380" s="6">
        <v>1373</v>
      </c>
      <c r="D1380" s="35">
        <v>43963</v>
      </c>
      <c r="E1380" s="37">
        <v>11.523999999999999</v>
      </c>
      <c r="F1380" s="37">
        <v>31.038276255351345</v>
      </c>
      <c r="G1380" s="37">
        <v>34.979999999999997</v>
      </c>
      <c r="H1380" s="37">
        <v>2.2792012327154452</v>
      </c>
      <c r="I1380" s="37">
        <v>54.822044155161997</v>
      </c>
      <c r="J1380" s="10">
        <v>0</v>
      </c>
      <c r="K1380" s="38">
        <v>0</v>
      </c>
      <c r="L1380" s="38">
        <v>0</v>
      </c>
      <c r="M1380" s="38">
        <v>0</v>
      </c>
      <c r="N1380" s="38">
        <v>1</v>
      </c>
      <c r="O1380" s="38">
        <v>0</v>
      </c>
      <c r="P1380" s="38">
        <v>0</v>
      </c>
      <c r="Q1380" s="38">
        <v>0</v>
      </c>
      <c r="R1380" s="38">
        <v>0</v>
      </c>
      <c r="S1380" s="38">
        <v>0</v>
      </c>
      <c r="T1380" s="38">
        <v>0</v>
      </c>
      <c r="U1380" s="29" cm="1">
        <f t="array" aca="1" ref="U1380" ca="1">+fair_value_gap(OFFSET(T1379,0,0,-1*$J$5,-1*$AA$1),OFFSET(E1379,0,0,-1*$J$5,1),F1380:T1380,0)</f>
        <v>12.261759106781213</v>
      </c>
      <c r="V1380" s="9" cm="1">
        <f t="array" aca="1" ref="V1380" ca="1">z_score_diff(OFFSET(U1380,0,0,$J$5*-1,1),OFFSET(E1380,0,0,$J$5*-1,1))</f>
        <v>-6.2618132785295932E-3</v>
      </c>
      <c r="W1380" s="9">
        <f t="shared" ca="1" si="211"/>
        <v>4.083395095419047E-2</v>
      </c>
      <c r="X1380" s="17">
        <f t="shared" ca="1" si="210"/>
        <v>7.1765471642035259E-3</v>
      </c>
      <c r="Y1380" s="13">
        <f t="shared" si="217"/>
        <v>0</v>
      </c>
      <c r="Z1380" s="13">
        <f t="shared" si="217"/>
        <v>0</v>
      </c>
      <c r="AA1380">
        <f t="shared" ca="1" si="212"/>
        <v>0</v>
      </c>
      <c r="AB1380">
        <f t="shared" ca="1" si="213"/>
        <v>1</v>
      </c>
      <c r="AC1380" s="24">
        <f t="shared" ca="1" si="214"/>
        <v>0</v>
      </c>
      <c r="AD1380" s="24">
        <f t="shared" ca="1" si="215"/>
        <v>7.1765471642035259E-3</v>
      </c>
    </row>
    <row r="1381" spans="3:30" x14ac:dyDescent="0.25">
      <c r="C1381" s="6">
        <v>1374</v>
      </c>
      <c r="D1381" s="35">
        <v>43964</v>
      </c>
      <c r="E1381" s="37">
        <v>11.305999999999999</v>
      </c>
      <c r="F1381" s="37">
        <v>30.549748105031458</v>
      </c>
      <c r="G1381" s="37">
        <v>34.36</v>
      </c>
      <c r="H1381" s="37">
        <v>2.2140969081849748</v>
      </c>
      <c r="I1381" s="37">
        <v>55.766875120881956</v>
      </c>
      <c r="J1381" s="10">
        <v>0</v>
      </c>
      <c r="K1381" s="38">
        <v>0</v>
      </c>
      <c r="L1381" s="38">
        <v>0</v>
      </c>
      <c r="M1381" s="38">
        <v>0</v>
      </c>
      <c r="N1381" s="38">
        <v>1</v>
      </c>
      <c r="O1381" s="38">
        <v>0</v>
      </c>
      <c r="P1381" s="38">
        <v>0</v>
      </c>
      <c r="Q1381" s="38">
        <v>0</v>
      </c>
      <c r="R1381" s="38">
        <v>0</v>
      </c>
      <c r="S1381" s="38">
        <v>0</v>
      </c>
      <c r="T1381" s="38">
        <v>0</v>
      </c>
      <c r="U1381" s="29" cm="1">
        <f t="array" aca="1" ref="U1381" ca="1">+fair_value_gap(OFFSET(T1380,0,0,-1*$J$5,-1*$AA$1),OFFSET(E1380,0,0,-1*$J$5,1),F1381:T1381,0)</f>
        <v>12.050420737089139</v>
      </c>
      <c r="V1381" s="9" cm="1">
        <f t="array" aca="1" ref="V1381" ca="1">z_score_diff(OFFSET(U1381,0,0,$J$5*-1,1),OFFSET(E1381,0,0,$J$5*-1,1))</f>
        <v>-4.5657570036364836E-3</v>
      </c>
      <c r="W1381" s="9">
        <f t="shared" ca="1" si="211"/>
        <v>4.0527091555673425E-2</v>
      </c>
      <c r="X1381" s="17">
        <f t="shared" ca="1" si="210"/>
        <v>3.4084328767735081E-2</v>
      </c>
      <c r="Y1381" s="13">
        <f t="shared" si="217"/>
        <v>0</v>
      </c>
      <c r="Z1381" s="13">
        <f t="shared" si="217"/>
        <v>0</v>
      </c>
      <c r="AA1381">
        <f t="shared" ca="1" si="212"/>
        <v>0</v>
      </c>
      <c r="AB1381">
        <f t="shared" ca="1" si="213"/>
        <v>1</v>
      </c>
      <c r="AC1381" s="24">
        <f t="shared" ca="1" si="214"/>
        <v>0</v>
      </c>
      <c r="AD1381" s="24">
        <f t="shared" ca="1" si="215"/>
        <v>3.4084328767735081E-2</v>
      </c>
    </row>
    <row r="1382" spans="3:30" x14ac:dyDescent="0.25">
      <c r="C1382" s="6">
        <v>1375</v>
      </c>
      <c r="D1382" s="35">
        <v>43965</v>
      </c>
      <c r="E1382" s="37">
        <v>11.464</v>
      </c>
      <c r="F1382" s="37">
        <v>31.587303489816179</v>
      </c>
      <c r="G1382" s="37">
        <v>34.43</v>
      </c>
      <c r="H1382" s="37">
        <v>2.2413524455266534</v>
      </c>
      <c r="I1382" s="37">
        <v>55.87246326569938</v>
      </c>
      <c r="J1382" s="10">
        <v>0</v>
      </c>
      <c r="K1382" s="38">
        <v>0</v>
      </c>
      <c r="L1382" s="38">
        <v>0</v>
      </c>
      <c r="M1382" s="38">
        <v>0</v>
      </c>
      <c r="N1382" s="38">
        <v>1</v>
      </c>
      <c r="O1382" s="38">
        <v>0</v>
      </c>
      <c r="P1382" s="38">
        <v>0</v>
      </c>
      <c r="Q1382" s="38">
        <v>0</v>
      </c>
      <c r="R1382" s="38">
        <v>0</v>
      </c>
      <c r="S1382" s="38">
        <v>0</v>
      </c>
      <c r="T1382" s="38">
        <v>0</v>
      </c>
      <c r="U1382" s="29" cm="1">
        <f t="array" aca="1" ref="U1382" ca="1">+fair_value_gap(OFFSET(T1381,0,0,-1*$J$5,-1*$AA$1),OFFSET(E1381,0,0,-1*$J$5,1),F1382:T1382,0)</f>
        <v>11.960559350660812</v>
      </c>
      <c r="V1382" s="9" cm="1">
        <f t="array" aca="1" ref="V1382" ca="1">z_score_diff(OFFSET(U1382,0,0,$J$5*-1,1),OFFSET(E1382,0,0,$J$5*-1,1))</f>
        <v>-6.7173890315345708E-2</v>
      </c>
      <c r="W1382" s="9">
        <f t="shared" ca="1" si="211"/>
        <v>2.7449948120787375E-2</v>
      </c>
      <c r="X1382" s="17">
        <f t="shared" ca="1" si="210"/>
        <v>1.1189777162393697E-2</v>
      </c>
      <c r="Y1382" s="13">
        <f t="shared" si="217"/>
        <v>0</v>
      </c>
      <c r="Z1382" s="13">
        <f t="shared" si="217"/>
        <v>0</v>
      </c>
      <c r="AA1382">
        <f t="shared" ca="1" si="212"/>
        <v>0</v>
      </c>
      <c r="AB1382">
        <f t="shared" ca="1" si="213"/>
        <v>1</v>
      </c>
      <c r="AC1382" s="24">
        <f t="shared" ca="1" si="214"/>
        <v>0</v>
      </c>
      <c r="AD1382" s="24">
        <f t="shared" ca="1" si="215"/>
        <v>1.1189777162393697E-2</v>
      </c>
    </row>
    <row r="1383" spans="3:30" x14ac:dyDescent="0.25">
      <c r="C1383" s="6">
        <v>1376</v>
      </c>
      <c r="D1383" s="35">
        <v>43966</v>
      </c>
      <c r="E1383" s="37">
        <v>11.499000000000001</v>
      </c>
      <c r="F1383" s="37">
        <v>32.342992320957443</v>
      </c>
      <c r="G1383" s="37">
        <v>35.01</v>
      </c>
      <c r="H1383" s="37">
        <v>2.2126991613483278</v>
      </c>
      <c r="I1383" s="37">
        <v>55.087181452385508</v>
      </c>
      <c r="J1383" s="10">
        <v>0</v>
      </c>
      <c r="K1383" s="38">
        <v>0</v>
      </c>
      <c r="L1383" s="38">
        <v>0</v>
      </c>
      <c r="M1383" s="38">
        <v>0</v>
      </c>
      <c r="N1383" s="38">
        <v>1</v>
      </c>
      <c r="O1383" s="38">
        <v>0</v>
      </c>
      <c r="P1383" s="38">
        <v>0</v>
      </c>
      <c r="Q1383" s="38">
        <v>0</v>
      </c>
      <c r="R1383" s="38">
        <v>0</v>
      </c>
      <c r="S1383" s="38">
        <v>0</v>
      </c>
      <c r="T1383" s="38">
        <v>0</v>
      </c>
      <c r="U1383" s="29" cm="1">
        <f t="array" aca="1" ref="U1383" ca="1">+fair_value_gap(OFFSET(T1382,0,0,-1*$J$5,-1*$AA$1),OFFSET(E1382,0,0,-1*$J$5,1),F1383:T1383,0)</f>
        <v>12.145894757335075</v>
      </c>
      <c r="V1383" s="9" cm="1">
        <f t="array" aca="1" ref="V1383" ca="1">z_score_diff(OFFSET(U1383,0,0,$J$5*-1,1),OFFSET(E1383,0,0,$J$5*-1,1))</f>
        <v>-2.8871260664764975E-2</v>
      </c>
      <c r="W1383" s="9">
        <f t="shared" ca="1" si="211"/>
        <v>1.8565289629563171E-2</v>
      </c>
      <c r="X1383" s="17">
        <f t="shared" ca="1" si="210"/>
        <v>5.8961412467366074E-3</v>
      </c>
      <c r="Y1383" s="13">
        <f t="shared" si="217"/>
        <v>0</v>
      </c>
      <c r="Z1383" s="13">
        <f t="shared" si="217"/>
        <v>0</v>
      </c>
      <c r="AA1383">
        <f t="shared" ca="1" si="212"/>
        <v>0</v>
      </c>
      <c r="AB1383">
        <f t="shared" ca="1" si="213"/>
        <v>1</v>
      </c>
      <c r="AC1383" s="24">
        <f t="shared" ca="1" si="214"/>
        <v>0</v>
      </c>
      <c r="AD1383" s="24">
        <f t="shared" ca="1" si="215"/>
        <v>5.8961412467366074E-3</v>
      </c>
    </row>
    <row r="1384" spans="3:30" x14ac:dyDescent="0.25">
      <c r="C1384" s="6">
        <v>1377</v>
      </c>
      <c r="D1384" s="35">
        <v>43969</v>
      </c>
      <c r="E1384" s="37">
        <v>11.486000000000001</v>
      </c>
      <c r="F1384" s="37">
        <v>33.85275556504272</v>
      </c>
      <c r="G1384" s="37">
        <v>35.21</v>
      </c>
      <c r="H1384" s="37">
        <v>2.2568503710028485</v>
      </c>
      <c r="I1384" s="37">
        <v>54.231913725189706</v>
      </c>
      <c r="J1384" s="10">
        <v>0</v>
      </c>
      <c r="K1384" s="38">
        <v>0</v>
      </c>
      <c r="L1384" s="38">
        <v>0</v>
      </c>
      <c r="M1384" s="38">
        <v>0</v>
      </c>
      <c r="N1384" s="38">
        <v>1</v>
      </c>
      <c r="O1384" s="38">
        <v>0</v>
      </c>
      <c r="P1384" s="38">
        <v>0</v>
      </c>
      <c r="Q1384" s="38">
        <v>0</v>
      </c>
      <c r="R1384" s="38">
        <v>0</v>
      </c>
      <c r="S1384" s="38">
        <v>0</v>
      </c>
      <c r="T1384" s="38">
        <v>0</v>
      </c>
      <c r="U1384" s="29" cm="1">
        <f t="array" aca="1" ref="U1384" ca="1">+fair_value_gap(OFFSET(T1383,0,0,-1*$J$5,-1*$AA$1),OFFSET(E1383,0,0,-1*$J$5,1),F1384:T1384,0)</f>
        <v>12.112501189276932</v>
      </c>
      <c r="V1384" s="9" cm="1">
        <f t="array" aca="1" ref="V1384" ca="1">z_score_diff(OFFSET(U1384,0,0,$J$5*-1,1),OFFSET(E1384,0,0,$J$5*-1,1))</f>
        <v>-3.3916790918155248E-2</v>
      </c>
      <c r="W1384" s="9">
        <f t="shared" ca="1" si="211"/>
        <v>1.5043684916551619E-2</v>
      </c>
      <c r="X1384" s="17">
        <f t="shared" ca="1" si="210"/>
        <v>-6.6387385681205505E-3</v>
      </c>
      <c r="Y1384" s="13">
        <f t="shared" si="217"/>
        <v>0</v>
      </c>
      <c r="Z1384" s="13">
        <f t="shared" si="217"/>
        <v>0</v>
      </c>
      <c r="AA1384">
        <f t="shared" ca="1" si="212"/>
        <v>0</v>
      </c>
      <c r="AB1384">
        <f t="shared" ca="1" si="213"/>
        <v>1</v>
      </c>
      <c r="AC1384" s="24">
        <f t="shared" ca="1" si="214"/>
        <v>0</v>
      </c>
      <c r="AD1384" s="24">
        <f t="shared" ca="1" si="215"/>
        <v>-6.6387385681205505E-3</v>
      </c>
    </row>
    <row r="1385" spans="3:30" x14ac:dyDescent="0.25">
      <c r="C1385" s="6">
        <v>1378</v>
      </c>
      <c r="D1385" s="35">
        <v>43970</v>
      </c>
      <c r="E1385" s="37">
        <v>11.308</v>
      </c>
      <c r="F1385" s="37">
        <v>33.7534348520403</v>
      </c>
      <c r="G1385" s="37">
        <v>34.99</v>
      </c>
      <c r="H1385" s="37">
        <v>2.2544850298363581</v>
      </c>
      <c r="I1385" s="37">
        <v>54.218905753952875</v>
      </c>
      <c r="J1385" s="10">
        <v>0</v>
      </c>
      <c r="K1385" s="38">
        <v>0</v>
      </c>
      <c r="L1385" s="38">
        <v>0</v>
      </c>
      <c r="M1385" s="38">
        <v>0</v>
      </c>
      <c r="N1385" s="38">
        <v>1</v>
      </c>
      <c r="O1385" s="38">
        <v>0</v>
      </c>
      <c r="P1385" s="38">
        <v>0</v>
      </c>
      <c r="Q1385" s="38">
        <v>0</v>
      </c>
      <c r="R1385" s="38">
        <v>0</v>
      </c>
      <c r="S1385" s="38">
        <v>0</v>
      </c>
      <c r="T1385" s="38">
        <v>0</v>
      </c>
      <c r="U1385" s="29" cm="1">
        <f t="array" aca="1" ref="U1385" ca="1">+fair_value_gap(OFFSET(T1384,0,0,-1*$J$5,-1*$AA$1),OFFSET(E1384,0,0,-1*$J$5,1),F1385:T1385,0)</f>
        <v>11.973863260849528</v>
      </c>
      <c r="V1385" s="9" cm="1">
        <f t="array" aca="1" ref="V1385" ca="1">z_score_diff(OFFSET(U1385,0,0,$J$5*-1,1),OFFSET(E1385,0,0,$J$5*-1,1))</f>
        <v>-2.3631865130869456E-2</v>
      </c>
      <c r="W1385" s="9">
        <f t="shared" ca="1" si="211"/>
        <v>1.5069096245096803E-2</v>
      </c>
      <c r="X1385" s="17">
        <f t="shared" ca="1" si="210"/>
        <v>2.7217311592421224E-2</v>
      </c>
      <c r="Y1385" s="13">
        <f t="shared" ref="Y1385:Z1400" si="218">+Y1384</f>
        <v>0</v>
      </c>
      <c r="Z1385" s="13">
        <f t="shared" si="218"/>
        <v>0</v>
      </c>
      <c r="AA1385">
        <f t="shared" ca="1" si="212"/>
        <v>0</v>
      </c>
      <c r="AB1385">
        <f t="shared" ca="1" si="213"/>
        <v>1</v>
      </c>
      <c r="AC1385" s="24">
        <f t="shared" ca="1" si="214"/>
        <v>0</v>
      </c>
      <c r="AD1385" s="24">
        <f t="shared" ca="1" si="215"/>
        <v>2.7217311592421224E-2</v>
      </c>
    </row>
    <row r="1386" spans="3:30" x14ac:dyDescent="0.25">
      <c r="C1386" s="6">
        <v>1379</v>
      </c>
      <c r="D1386" s="35">
        <v>43971</v>
      </c>
      <c r="E1386" s="37">
        <v>11.257</v>
      </c>
      <c r="F1386" s="37">
        <v>34.372929956534762</v>
      </c>
      <c r="G1386" s="37">
        <v>35.24</v>
      </c>
      <c r="H1386" s="37">
        <v>2.2086513071331995</v>
      </c>
      <c r="I1386" s="37">
        <v>55.125541046976942</v>
      </c>
      <c r="J1386" s="10">
        <v>0</v>
      </c>
      <c r="K1386" s="38">
        <v>0</v>
      </c>
      <c r="L1386" s="38">
        <v>0</v>
      </c>
      <c r="M1386" s="38">
        <v>0</v>
      </c>
      <c r="N1386" s="38">
        <v>1</v>
      </c>
      <c r="O1386" s="38">
        <v>0</v>
      </c>
      <c r="P1386" s="38">
        <v>0</v>
      </c>
      <c r="Q1386" s="38">
        <v>0</v>
      </c>
      <c r="R1386" s="38">
        <v>0</v>
      </c>
      <c r="S1386" s="38">
        <v>0</v>
      </c>
      <c r="T1386" s="38">
        <v>0</v>
      </c>
      <c r="U1386" s="29" cm="1">
        <f t="array" aca="1" ref="U1386" ca="1">+fair_value_gap(OFFSET(T1385,0,0,-1*$J$5,-1*$AA$1),OFFSET(E1385,0,0,-1*$J$5,1),F1386:T1386,0)</f>
        <v>12.016191762402171</v>
      </c>
      <c r="V1386" s="9" cm="1">
        <f t="array" aca="1" ref="V1386" ca="1">z_score_diff(OFFSET(U1386,0,0,$J$5*-1,1),OFFSET(E1386,0,0,$J$5*-1,1))</f>
        <v>1.994641072200487E-4</v>
      </c>
      <c r="W1386" s="9">
        <f t="shared" ca="1" si="211"/>
        <v>1.501472459598655E-2</v>
      </c>
      <c r="X1386" s="17">
        <f t="shared" ca="1" si="210"/>
        <v>3.4916700565028491E-2</v>
      </c>
      <c r="Y1386" s="13">
        <f t="shared" si="218"/>
        <v>0</v>
      </c>
      <c r="Z1386" s="13">
        <f t="shared" si="218"/>
        <v>0</v>
      </c>
      <c r="AA1386">
        <f t="shared" ca="1" si="212"/>
        <v>0</v>
      </c>
      <c r="AB1386">
        <f t="shared" ca="1" si="213"/>
        <v>1</v>
      </c>
      <c r="AC1386" s="24">
        <f t="shared" ca="1" si="214"/>
        <v>0</v>
      </c>
      <c r="AD1386" s="24">
        <f t="shared" ca="1" si="215"/>
        <v>3.4916700565028491E-2</v>
      </c>
    </row>
    <row r="1387" spans="3:30" x14ac:dyDescent="0.25">
      <c r="C1387" s="6">
        <v>1380</v>
      </c>
      <c r="D1387" s="35">
        <v>43972</v>
      </c>
      <c r="E1387" s="37">
        <v>10.733000000000001</v>
      </c>
      <c r="F1387" s="37">
        <v>34.750159279148086</v>
      </c>
      <c r="G1387" s="37">
        <v>34.99</v>
      </c>
      <c r="H1387" s="37">
        <v>2.1734777464275963</v>
      </c>
      <c r="I1387" s="37">
        <v>54.473468644761994</v>
      </c>
      <c r="J1387" s="10">
        <v>0</v>
      </c>
      <c r="K1387" s="38">
        <v>0</v>
      </c>
      <c r="L1387" s="38">
        <v>0</v>
      </c>
      <c r="M1387" s="38">
        <v>0</v>
      </c>
      <c r="N1387" s="38">
        <v>1</v>
      </c>
      <c r="O1387" s="38">
        <v>0</v>
      </c>
      <c r="P1387" s="38">
        <v>0</v>
      </c>
      <c r="Q1387" s="38">
        <v>0</v>
      </c>
      <c r="R1387" s="38">
        <v>0</v>
      </c>
      <c r="S1387" s="38">
        <v>0</v>
      </c>
      <c r="T1387" s="38">
        <v>0</v>
      </c>
      <c r="U1387" s="29" cm="1">
        <f t="array" aca="1" ref="U1387" ca="1">+fair_value_gap(OFFSET(T1386,0,0,-1*$J$5,-1*$AA$1),OFFSET(E1386,0,0,-1*$J$5,1),F1387:T1387,0)</f>
        <v>11.818938183646232</v>
      </c>
      <c r="V1387" s="9" cm="1">
        <f t="array" aca="1" ref="V1387" ca="1">z_score_diff(OFFSET(U1387,0,0,$J$5*-1,1),OFFSET(E1387,0,0,$J$5*-1,1))</f>
        <v>8.3746561069914738E-2</v>
      </c>
      <c r="W1387" s="9">
        <f t="shared" ca="1" si="211"/>
        <v>2.0602880328448973E-2</v>
      </c>
      <c r="X1387" s="17">
        <f t="shared" ca="1" si="210"/>
        <v>0.10657100046506859</v>
      </c>
      <c r="Y1387" s="13">
        <f t="shared" si="218"/>
        <v>0</v>
      </c>
      <c r="Z1387" s="13">
        <f t="shared" si="218"/>
        <v>0</v>
      </c>
      <c r="AA1387">
        <f t="shared" ca="1" si="212"/>
        <v>0</v>
      </c>
      <c r="AB1387">
        <f t="shared" ca="1" si="213"/>
        <v>1</v>
      </c>
      <c r="AC1387" s="24">
        <f t="shared" ca="1" si="214"/>
        <v>0</v>
      </c>
      <c r="AD1387" s="24">
        <f t="shared" ca="1" si="215"/>
        <v>0.10657100046506859</v>
      </c>
    </row>
    <row r="1388" spans="3:30" x14ac:dyDescent="0.25">
      <c r="C1388" s="6">
        <v>1381</v>
      </c>
      <c r="D1388" s="35">
        <v>43973</v>
      </c>
      <c r="E1388" s="37">
        <v>10.638999999999999</v>
      </c>
      <c r="F1388" s="37">
        <v>34.415952333083538</v>
      </c>
      <c r="G1388" s="37">
        <v>34.29</v>
      </c>
      <c r="H1388" s="37">
        <v>2.2005739038254162</v>
      </c>
      <c r="I1388" s="37">
        <v>54.83157567671303</v>
      </c>
      <c r="J1388" s="10">
        <v>0</v>
      </c>
      <c r="K1388" s="38">
        <v>0</v>
      </c>
      <c r="L1388" s="38">
        <v>0</v>
      </c>
      <c r="M1388" s="38">
        <v>0</v>
      </c>
      <c r="N1388" s="38">
        <v>1</v>
      </c>
      <c r="O1388" s="38">
        <v>0</v>
      </c>
      <c r="P1388" s="38">
        <v>0</v>
      </c>
      <c r="Q1388" s="38">
        <v>0</v>
      </c>
      <c r="R1388" s="38">
        <v>0</v>
      </c>
      <c r="S1388" s="38">
        <v>0</v>
      </c>
      <c r="T1388" s="38">
        <v>0</v>
      </c>
      <c r="U1388" s="29" cm="1">
        <f t="array" aca="1" ref="U1388" ca="1">+fair_value_gap(OFFSET(T1387,0,0,-1*$J$5,-1*$AA$1),OFFSET(E1387,0,0,-1*$J$5,1),F1388:T1388,0)</f>
        <v>11.382100944082467</v>
      </c>
      <c r="V1388" s="9" cm="1">
        <f t="array" aca="1" ref="V1388" ca="1">z_score_diff(OFFSET(U1388,0,0,$J$5*-1,1),OFFSET(E1388,0,0,$J$5*-1,1))</f>
        <v>-3.4446927996504284E-3</v>
      </c>
      <c r="W1388" s="9">
        <f t="shared" ca="1" si="211"/>
        <v>2.064908614065104E-2</v>
      </c>
      <c r="X1388" s="17">
        <f t="shared" ca="1" si="210"/>
        <v>0.13148493498587721</v>
      </c>
      <c r="Y1388" s="13">
        <f t="shared" si="218"/>
        <v>0</v>
      </c>
      <c r="Z1388" s="13">
        <f t="shared" si="218"/>
        <v>0</v>
      </c>
      <c r="AA1388">
        <f t="shared" ca="1" si="212"/>
        <v>0</v>
      </c>
      <c r="AB1388">
        <f t="shared" ca="1" si="213"/>
        <v>1</v>
      </c>
      <c r="AC1388" s="24">
        <f t="shared" ca="1" si="214"/>
        <v>0</v>
      </c>
      <c r="AD1388" s="24">
        <f t="shared" ca="1" si="215"/>
        <v>0.13148493498587721</v>
      </c>
    </row>
    <row r="1389" spans="3:30" x14ac:dyDescent="0.25">
      <c r="C1389" s="6">
        <v>1382</v>
      </c>
      <c r="D1389" s="35">
        <v>43976</v>
      </c>
      <c r="E1389" s="37">
        <v>11.007</v>
      </c>
      <c r="F1389" s="37">
        <v>34.884975594233325</v>
      </c>
      <c r="G1389" s="37">
        <v>35.14</v>
      </c>
      <c r="H1389" s="37">
        <v>2.2019140558561952</v>
      </c>
      <c r="I1389" s="37">
        <v>54.864968169174304</v>
      </c>
      <c r="J1389" s="10">
        <v>0</v>
      </c>
      <c r="K1389" s="38">
        <v>0</v>
      </c>
      <c r="L1389" s="38">
        <v>0</v>
      </c>
      <c r="M1389" s="38">
        <v>0</v>
      </c>
      <c r="N1389" s="38">
        <v>1</v>
      </c>
      <c r="O1389" s="38">
        <v>0</v>
      </c>
      <c r="P1389" s="38">
        <v>0</v>
      </c>
      <c r="Q1389" s="38">
        <v>0</v>
      </c>
      <c r="R1389" s="38">
        <v>0</v>
      </c>
      <c r="S1389" s="38">
        <v>0</v>
      </c>
      <c r="T1389" s="38">
        <v>0</v>
      </c>
      <c r="U1389" s="29" cm="1">
        <f t="array" aca="1" ref="U1389" ca="1">+fair_value_gap(OFFSET(T1388,0,0,-1*$J$5,-1*$AA$1),OFFSET(E1388,0,0,-1*$J$5,1),F1389:T1389,0)</f>
        <v>11.340016955133613</v>
      </c>
      <c r="V1389" s="9" cm="1">
        <f t="array" aca="1" ref="V1389" ca="1">z_score_diff(OFFSET(U1389,0,0,$J$5*-1,1),OFFSET(E1389,0,0,$J$5*-1,1))</f>
        <v>-0.10853142615907874</v>
      </c>
      <c r="W1389" s="9">
        <f t="shared" ca="1" si="211"/>
        <v>1.8369200676297187E-2</v>
      </c>
      <c r="X1389" s="17">
        <f t="shared" ca="1" si="210"/>
        <v>9.3929940150855054E-2</v>
      </c>
      <c r="Y1389" s="13">
        <f t="shared" si="218"/>
        <v>0</v>
      </c>
      <c r="Z1389" s="13">
        <f t="shared" si="218"/>
        <v>0</v>
      </c>
      <c r="AA1389">
        <f t="shared" ca="1" si="212"/>
        <v>0</v>
      </c>
      <c r="AB1389">
        <f t="shared" ca="1" si="213"/>
        <v>1</v>
      </c>
      <c r="AC1389" s="24">
        <f t="shared" ca="1" si="214"/>
        <v>0</v>
      </c>
      <c r="AD1389" s="24">
        <f t="shared" ca="1" si="215"/>
        <v>9.3929940150855054E-2</v>
      </c>
    </row>
    <row r="1390" spans="3:30" x14ac:dyDescent="0.25">
      <c r="C1390" s="6">
        <v>1383</v>
      </c>
      <c r="D1390" s="35">
        <v>43977</v>
      </c>
      <c r="E1390" s="37">
        <v>10.926</v>
      </c>
      <c r="F1390" s="37">
        <v>35.081096679001611</v>
      </c>
      <c r="G1390" s="37">
        <v>35.81</v>
      </c>
      <c r="H1390" s="37">
        <v>2.2222867503071639</v>
      </c>
      <c r="I1390" s="37">
        <v>54.490942979152791</v>
      </c>
      <c r="J1390" s="10">
        <v>0</v>
      </c>
      <c r="K1390" s="38">
        <v>0</v>
      </c>
      <c r="L1390" s="38">
        <v>0</v>
      </c>
      <c r="M1390" s="38">
        <v>0</v>
      </c>
      <c r="N1390" s="38">
        <v>1</v>
      </c>
      <c r="O1390" s="38">
        <v>0</v>
      </c>
      <c r="P1390" s="38">
        <v>0</v>
      </c>
      <c r="Q1390" s="38">
        <v>0</v>
      </c>
      <c r="R1390" s="38">
        <v>0</v>
      </c>
      <c r="S1390" s="38">
        <v>0</v>
      </c>
      <c r="T1390" s="38">
        <v>0</v>
      </c>
      <c r="U1390" s="29" cm="1">
        <f t="array" aca="1" ref="U1390" ca="1">+fair_value_gap(OFFSET(T1389,0,0,-1*$J$5,-1*$AA$1),OFFSET(E1389,0,0,-1*$J$5,1),F1390:T1390,0)</f>
        <v>11.475799206724183</v>
      </c>
      <c r="V1390" s="9" cm="1">
        <f t="array" aca="1" ref="V1390" ca="1">z_score_diff(OFFSET(U1390,0,0,$J$5*-1,1),OFFSET(E1390,0,0,$J$5*-1,1))</f>
        <v>-5.2692194536353876E-2</v>
      </c>
      <c r="W1390" s="9">
        <f t="shared" ca="1" si="211"/>
        <v>1.9563813029015924E-2</v>
      </c>
      <c r="X1390" s="17">
        <f t="shared" ca="1" si="210"/>
        <v>0.12234883666638696</v>
      </c>
      <c r="Y1390" s="13">
        <f t="shared" si="218"/>
        <v>0</v>
      </c>
      <c r="Z1390" s="13">
        <f t="shared" si="218"/>
        <v>0</v>
      </c>
      <c r="AA1390">
        <f t="shared" ca="1" si="212"/>
        <v>0</v>
      </c>
      <c r="AB1390">
        <f t="shared" ca="1" si="213"/>
        <v>1</v>
      </c>
      <c r="AC1390" s="24">
        <f t="shared" ca="1" si="214"/>
        <v>0</v>
      </c>
      <c r="AD1390" s="24">
        <f t="shared" ca="1" si="215"/>
        <v>0.12234883666638696</v>
      </c>
    </row>
    <row r="1391" spans="3:30" x14ac:dyDescent="0.25">
      <c r="C1391" s="6">
        <v>1384</v>
      </c>
      <c r="D1391" s="35">
        <v>43978</v>
      </c>
      <c r="E1391" s="37">
        <v>10.708</v>
      </c>
      <c r="F1391" s="37">
        <v>34.020165799636892</v>
      </c>
      <c r="G1391" s="37">
        <v>35.06</v>
      </c>
      <c r="H1391" s="37">
        <v>2.1822890491648899</v>
      </c>
      <c r="I1391" s="37">
        <v>54.69305334836487</v>
      </c>
      <c r="J1391" s="10">
        <v>0</v>
      </c>
      <c r="K1391" s="38">
        <v>0</v>
      </c>
      <c r="L1391" s="38">
        <v>0</v>
      </c>
      <c r="M1391" s="38">
        <v>0</v>
      </c>
      <c r="N1391" s="38">
        <v>1</v>
      </c>
      <c r="O1391" s="38">
        <v>0</v>
      </c>
      <c r="P1391" s="38">
        <v>0</v>
      </c>
      <c r="Q1391" s="38">
        <v>0</v>
      </c>
      <c r="R1391" s="38">
        <v>0</v>
      </c>
      <c r="S1391" s="38">
        <v>0</v>
      </c>
      <c r="T1391" s="38">
        <v>0</v>
      </c>
      <c r="U1391" s="29" cm="1">
        <f t="array" aca="1" ref="U1391" ca="1">+fair_value_gap(OFFSET(T1390,0,0,-1*$J$5,-1*$AA$1),OFFSET(E1390,0,0,-1*$J$5,1),F1391:T1391,0)</f>
        <v>11.276379856632653</v>
      </c>
      <c r="V1391" s="9" cm="1">
        <f t="array" aca="1" ref="V1391" ca="1">z_score_diff(OFFSET(U1391,0,0,$J$5*-1,1),OFFSET(E1391,0,0,$J$5*-1,1))</f>
        <v>-4.7293505597272523E-2</v>
      </c>
      <c r="W1391" s="9">
        <f t="shared" ca="1" si="211"/>
        <v>2.2276776655703306E-2</v>
      </c>
      <c r="X1391" s="17">
        <f t="shared" ca="1" si="210"/>
        <v>0.12921456141906348</v>
      </c>
      <c r="Y1391" s="13">
        <f t="shared" si="218"/>
        <v>0</v>
      </c>
      <c r="Z1391" s="13">
        <f t="shared" si="218"/>
        <v>0</v>
      </c>
      <c r="AA1391">
        <f t="shared" ca="1" si="212"/>
        <v>0</v>
      </c>
      <c r="AB1391">
        <f t="shared" ca="1" si="213"/>
        <v>1</v>
      </c>
      <c r="AC1391" s="24">
        <f t="shared" ca="1" si="214"/>
        <v>0</v>
      </c>
      <c r="AD1391" s="24">
        <f t="shared" ca="1" si="215"/>
        <v>0.12921456141906348</v>
      </c>
    </row>
    <row r="1392" spans="3:30" x14ac:dyDescent="0.25">
      <c r="C1392" s="6">
        <v>1385</v>
      </c>
      <c r="D1392" s="35">
        <v>43979</v>
      </c>
      <c r="E1392" s="37">
        <v>10.487</v>
      </c>
      <c r="F1392" s="37">
        <v>34.238285872140473</v>
      </c>
      <c r="G1392" s="37">
        <v>34.65</v>
      </c>
      <c r="H1392" s="37">
        <v>2.5168064542543207</v>
      </c>
      <c r="I1392" s="37">
        <v>54.439324448475652</v>
      </c>
      <c r="J1392" s="10">
        <v>0</v>
      </c>
      <c r="K1392" s="38">
        <v>0</v>
      </c>
      <c r="L1392" s="38">
        <v>0</v>
      </c>
      <c r="M1392" s="38">
        <v>0</v>
      </c>
      <c r="N1392" s="38">
        <v>1</v>
      </c>
      <c r="O1392" s="38">
        <v>0</v>
      </c>
      <c r="P1392" s="38">
        <v>0</v>
      </c>
      <c r="Q1392" s="38">
        <v>0</v>
      </c>
      <c r="R1392" s="38">
        <v>0</v>
      </c>
      <c r="S1392" s="38">
        <v>0</v>
      </c>
      <c r="T1392" s="38">
        <v>0</v>
      </c>
      <c r="U1392" s="29" cm="1">
        <f t="array" aca="1" ref="U1392" ca="1">+fair_value_gap(OFFSET(T1391,0,0,-1*$J$5,-1*$AA$1),OFFSET(E1391,0,0,-1*$J$5,1),F1392:T1392,0)</f>
        <v>11.188224693507522</v>
      </c>
      <c r="V1392" s="9" cm="1">
        <f t="array" aca="1" ref="V1392" ca="1">z_score_diff(OFFSET(U1392,0,0,$J$5*-1,1),OFFSET(E1392,0,0,$J$5*-1,1))</f>
        <v>-1.277369956116392E-2</v>
      </c>
      <c r="W1392" s="9">
        <f t="shared" ca="1" si="211"/>
        <v>5.0863725843951067E-2</v>
      </c>
      <c r="X1392" s="17">
        <f t="shared" ca="1" si="210"/>
        <v>0.1324341951381843</v>
      </c>
      <c r="Y1392" s="13">
        <f t="shared" si="218"/>
        <v>0</v>
      </c>
      <c r="Z1392" s="13">
        <f t="shared" si="218"/>
        <v>0</v>
      </c>
      <c r="AA1392">
        <f t="shared" ca="1" si="212"/>
        <v>0</v>
      </c>
      <c r="AB1392">
        <f t="shared" ca="1" si="213"/>
        <v>1</v>
      </c>
      <c r="AC1392" s="24">
        <f t="shared" ca="1" si="214"/>
        <v>0</v>
      </c>
      <c r="AD1392" s="24">
        <f t="shared" ca="1" si="215"/>
        <v>0.1324341951381843</v>
      </c>
    </row>
    <row r="1393" spans="3:30" x14ac:dyDescent="0.25">
      <c r="C1393" s="6">
        <v>1386</v>
      </c>
      <c r="D1393" s="35">
        <v>43980</v>
      </c>
      <c r="E1393" s="37">
        <v>11.576000000000001</v>
      </c>
      <c r="F1393" s="37">
        <v>35.376067071802368</v>
      </c>
      <c r="G1393" s="37">
        <v>36.85</v>
      </c>
      <c r="H1393" s="37">
        <v>2.5232713661211994</v>
      </c>
      <c r="I1393" s="37">
        <v>55.204976526664446</v>
      </c>
      <c r="J1393" s="10">
        <v>0</v>
      </c>
      <c r="K1393" s="38">
        <v>0</v>
      </c>
      <c r="L1393" s="38">
        <v>0</v>
      </c>
      <c r="M1393" s="38">
        <v>0</v>
      </c>
      <c r="N1393" s="38">
        <v>1</v>
      </c>
      <c r="O1393" s="38">
        <v>0</v>
      </c>
      <c r="P1393" s="38">
        <v>0</v>
      </c>
      <c r="Q1393" s="38">
        <v>0</v>
      </c>
      <c r="R1393" s="38">
        <v>0</v>
      </c>
      <c r="S1393" s="38">
        <v>0</v>
      </c>
      <c r="T1393" s="38">
        <v>0</v>
      </c>
      <c r="U1393" s="29" cm="1">
        <f t="array" aca="1" ref="U1393" ca="1">+fair_value_gap(OFFSET(T1392,0,0,-1*$J$5,-1*$AA$1),OFFSET(E1392,0,0,-1*$J$5,1),F1393:T1393,0)</f>
        <v>11.724109596142657</v>
      </c>
      <c r="V1393" s="9" cm="1">
        <f t="array" aca="1" ref="V1393" ca="1">z_score_diff(OFFSET(U1393,0,0,$J$5*-1,1),OFFSET(E1393,0,0,$J$5*-1,1))</f>
        <v>-0.1558838034973441</v>
      </c>
      <c r="W1393" s="9">
        <f t="shared" ca="1" si="211"/>
        <v>6.8241770294570512E-3</v>
      </c>
      <c r="X1393" s="17">
        <f t="shared" ca="1" si="210"/>
        <v>3.6389240344033791E-2</v>
      </c>
      <c r="Y1393" s="13">
        <f t="shared" si="218"/>
        <v>0</v>
      </c>
      <c r="Z1393" s="13">
        <f t="shared" si="218"/>
        <v>0</v>
      </c>
      <c r="AA1393">
        <f t="shared" ca="1" si="212"/>
        <v>0</v>
      </c>
      <c r="AB1393">
        <f t="shared" ca="1" si="213"/>
        <v>1</v>
      </c>
      <c r="AC1393" s="24">
        <f t="shared" ca="1" si="214"/>
        <v>0</v>
      </c>
      <c r="AD1393" s="24">
        <f t="shared" ca="1" si="215"/>
        <v>3.6389240344033791E-2</v>
      </c>
    </row>
    <row r="1394" spans="3:30" x14ac:dyDescent="0.25">
      <c r="C1394" s="6">
        <v>1387</v>
      </c>
      <c r="D1394" s="35">
        <v>43983</v>
      </c>
      <c r="E1394" s="37">
        <v>11.41</v>
      </c>
      <c r="F1394" s="37">
        <v>35.522119698182742</v>
      </c>
      <c r="G1394" s="37">
        <v>36.85</v>
      </c>
      <c r="H1394" s="37">
        <v>2.4903948939748362</v>
      </c>
      <c r="I1394" s="37">
        <v>55.729742059853557</v>
      </c>
      <c r="J1394" s="10">
        <v>0</v>
      </c>
      <c r="K1394" s="38">
        <v>0</v>
      </c>
      <c r="L1394" s="38">
        <v>0</v>
      </c>
      <c r="M1394" s="38">
        <v>0</v>
      </c>
      <c r="N1394" s="38">
        <v>0</v>
      </c>
      <c r="O1394" s="38">
        <v>1</v>
      </c>
      <c r="P1394" s="38">
        <v>0</v>
      </c>
      <c r="Q1394" s="38">
        <v>0</v>
      </c>
      <c r="R1394" s="38">
        <v>0</v>
      </c>
      <c r="S1394" s="38">
        <v>0</v>
      </c>
      <c r="T1394" s="38">
        <v>0</v>
      </c>
      <c r="U1394" s="29" cm="1">
        <f t="array" aca="1" ref="U1394" ca="1">+fair_value_gap(OFFSET(T1393,0,0,-1*$J$5,-1*$AA$1),OFFSET(E1393,0,0,-1*$J$5,1),F1394:T1394,0)</f>
        <v>15.627438545311467</v>
      </c>
      <c r="V1394" s="9" cm="1">
        <f t="array" aca="1" ref="V1394" ca="1">z_score_diff(OFFSET(U1394,0,0,$J$5*-1,1),OFFSET(E1394,0,0,$J$5*-1,1))</f>
        <v>0.88968837621868502</v>
      </c>
      <c r="W1394" s="9">
        <f t="shared" ca="1" si="211"/>
        <v>3.6936308041991675E-2</v>
      </c>
      <c r="X1394" s="17">
        <f t="shared" ca="1" si="210"/>
        <v>6.9565304752776877E-2</v>
      </c>
      <c r="Y1394" s="13">
        <f t="shared" si="218"/>
        <v>0</v>
      </c>
      <c r="Z1394" s="13">
        <f t="shared" si="218"/>
        <v>0</v>
      </c>
      <c r="AA1394">
        <f t="shared" ca="1" si="212"/>
        <v>0</v>
      </c>
      <c r="AB1394">
        <f t="shared" ca="1" si="213"/>
        <v>1</v>
      </c>
      <c r="AC1394" s="24">
        <f t="shared" ca="1" si="214"/>
        <v>0</v>
      </c>
      <c r="AD1394" s="24">
        <f t="shared" ca="1" si="215"/>
        <v>6.9565304752776877E-2</v>
      </c>
    </row>
    <row r="1395" spans="3:30" x14ac:dyDescent="0.25">
      <c r="C1395" s="6">
        <v>1388</v>
      </c>
      <c r="D1395" s="35">
        <v>43984</v>
      </c>
      <c r="E1395" s="37">
        <v>11.709</v>
      </c>
      <c r="F1395" s="37">
        <v>36.393737422752501</v>
      </c>
      <c r="G1395" s="37">
        <v>36.520000000000003</v>
      </c>
      <c r="H1395" s="37">
        <v>2.5109894814962819</v>
      </c>
      <c r="I1395" s="37">
        <v>56.107011860076781</v>
      </c>
      <c r="J1395" s="10">
        <v>0</v>
      </c>
      <c r="K1395" s="38">
        <v>0</v>
      </c>
      <c r="L1395" s="38">
        <v>0</v>
      </c>
      <c r="M1395" s="38">
        <v>0</v>
      </c>
      <c r="N1395" s="38">
        <v>0</v>
      </c>
      <c r="O1395" s="38">
        <v>1</v>
      </c>
      <c r="P1395" s="38">
        <v>0</v>
      </c>
      <c r="Q1395" s="38">
        <v>0</v>
      </c>
      <c r="R1395" s="38">
        <v>0</v>
      </c>
      <c r="S1395" s="38">
        <v>0</v>
      </c>
      <c r="T1395" s="38">
        <v>0</v>
      </c>
      <c r="U1395" s="29" cm="1">
        <f t="array" aca="1" ref="U1395" ca="1">+fair_value_gap(OFFSET(T1394,0,0,-1*$J$5,-1*$AA$1),OFFSET(E1394,0,0,-1*$J$5,1),F1395:T1395,0)</f>
        <v>13.854270864630688</v>
      </c>
      <c r="V1395" s="9" cm="1">
        <f t="array" aca="1" ref="V1395" ca="1">z_score_diff(OFFSET(U1395,0,0,$J$5*-1,1),OFFSET(E1395,0,0,$J$5*-1,1))</f>
        <v>0.35350817655590933</v>
      </c>
      <c r="W1395" s="9">
        <f t="shared" ca="1" si="211"/>
        <v>4.6149862638006037E-2</v>
      </c>
      <c r="X1395" s="17">
        <f t="shared" ca="1" si="210"/>
        <v>7.0398209155693336E-2</v>
      </c>
      <c r="Y1395" s="13">
        <f t="shared" si="218"/>
        <v>0</v>
      </c>
      <c r="Z1395" s="13">
        <f t="shared" si="218"/>
        <v>0</v>
      </c>
      <c r="AA1395">
        <f t="shared" ca="1" si="212"/>
        <v>0</v>
      </c>
      <c r="AB1395">
        <f t="shared" ca="1" si="213"/>
        <v>1</v>
      </c>
      <c r="AC1395" s="24">
        <f t="shared" ca="1" si="214"/>
        <v>0</v>
      </c>
      <c r="AD1395" s="24">
        <f t="shared" ca="1" si="215"/>
        <v>7.0398209155693336E-2</v>
      </c>
    </row>
    <row r="1396" spans="3:30" x14ac:dyDescent="0.25">
      <c r="C1396" s="6">
        <v>1389</v>
      </c>
      <c r="D1396" s="35">
        <v>43985</v>
      </c>
      <c r="E1396" s="37">
        <v>11.675000000000001</v>
      </c>
      <c r="F1396" s="37">
        <v>36.572261469061196</v>
      </c>
      <c r="G1396" s="37">
        <v>37.090000000000003</v>
      </c>
      <c r="H1396" s="37">
        <v>2.517944789627486</v>
      </c>
      <c r="I1396" s="37">
        <v>55.722827474678695</v>
      </c>
      <c r="J1396" s="10">
        <v>0</v>
      </c>
      <c r="K1396" s="38">
        <v>0</v>
      </c>
      <c r="L1396" s="38">
        <v>0</v>
      </c>
      <c r="M1396" s="38">
        <v>0</v>
      </c>
      <c r="N1396" s="38">
        <v>0</v>
      </c>
      <c r="O1396" s="38">
        <v>1</v>
      </c>
      <c r="P1396" s="38">
        <v>0</v>
      </c>
      <c r="Q1396" s="38">
        <v>0</v>
      </c>
      <c r="R1396" s="38">
        <v>0</v>
      </c>
      <c r="S1396" s="38">
        <v>0</v>
      </c>
      <c r="T1396" s="38">
        <v>0</v>
      </c>
      <c r="U1396" s="29" cm="1">
        <f t="array" aca="1" ref="U1396" ca="1">+fair_value_gap(OFFSET(T1395,0,0,-1*$J$5,-1*$AA$1),OFFSET(E1395,0,0,-1*$J$5,1),F1396:T1396,0)</f>
        <v>13.413587187167746</v>
      </c>
      <c r="V1396" s="9" cm="1">
        <f t="array" aca="1" ref="V1396" ca="1">z_score_diff(OFFSET(U1396,0,0,$J$5*-1,1),OFFSET(E1396,0,0,$J$5*-1,1))</f>
        <v>0.24744853744103318</v>
      </c>
      <c r="W1396" s="9">
        <f t="shared" ca="1" si="211"/>
        <v>5.5874800253267E-2</v>
      </c>
      <c r="X1396" s="17">
        <f t="shared" ca="1" si="210"/>
        <v>6.427081935575546E-2</v>
      </c>
      <c r="Y1396" s="13">
        <f t="shared" si="218"/>
        <v>0</v>
      </c>
      <c r="Z1396" s="13">
        <f t="shared" si="218"/>
        <v>0</v>
      </c>
      <c r="AA1396">
        <f t="shared" ca="1" si="212"/>
        <v>0</v>
      </c>
      <c r="AB1396">
        <f t="shared" ca="1" si="213"/>
        <v>1</v>
      </c>
      <c r="AC1396" s="24">
        <f t="shared" ca="1" si="214"/>
        <v>0</v>
      </c>
      <c r="AD1396" s="24">
        <f t="shared" ca="1" si="215"/>
        <v>6.427081935575546E-2</v>
      </c>
    </row>
    <row r="1397" spans="3:30" x14ac:dyDescent="0.25">
      <c r="C1397" s="6">
        <v>1390</v>
      </c>
      <c r="D1397" s="35">
        <v>43986</v>
      </c>
      <c r="E1397" s="37">
        <v>11.734999999999999</v>
      </c>
      <c r="F1397" s="37">
        <v>36.522932483093761</v>
      </c>
      <c r="G1397" s="37">
        <v>37.28</v>
      </c>
      <c r="H1397" s="37">
        <v>2.4872846249612324</v>
      </c>
      <c r="I1397" s="37">
        <v>54.692146910574614</v>
      </c>
      <c r="J1397" s="10">
        <v>0</v>
      </c>
      <c r="K1397" s="38">
        <v>0</v>
      </c>
      <c r="L1397" s="38">
        <v>0</v>
      </c>
      <c r="M1397" s="38">
        <v>0</v>
      </c>
      <c r="N1397" s="38">
        <v>0</v>
      </c>
      <c r="O1397" s="38">
        <v>1</v>
      </c>
      <c r="P1397" s="38">
        <v>0</v>
      </c>
      <c r="Q1397" s="38">
        <v>0</v>
      </c>
      <c r="R1397" s="38">
        <v>0</v>
      </c>
      <c r="S1397" s="38">
        <v>0</v>
      </c>
      <c r="T1397" s="38">
        <v>0</v>
      </c>
      <c r="U1397" s="29" cm="1">
        <f t="array" aca="1" ref="U1397" ca="1">+fair_value_gap(OFFSET(T1396,0,0,-1*$J$5,-1*$AA$1),OFFSET(E1396,0,0,-1*$J$5,1),F1397:T1397,0)</f>
        <v>13.114924224564396</v>
      </c>
      <c r="V1397" s="9" cm="1">
        <f t="array" aca="1" ref="V1397" ca="1">z_score_diff(OFFSET(U1397,0,0,$J$5*-1,1),OFFSET(E1397,0,0,$J$5*-1,1))</f>
        <v>0.15375119224135697</v>
      </c>
      <c r="W1397" s="9">
        <f t="shared" ca="1" si="211"/>
        <v>6.3078599089359061E-2</v>
      </c>
      <c r="X1397" s="17">
        <f t="shared" ca="1" si="210"/>
        <v>7.2152198802069287E-2</v>
      </c>
      <c r="Y1397" s="13">
        <f t="shared" si="218"/>
        <v>0</v>
      </c>
      <c r="Z1397" s="13">
        <f t="shared" si="218"/>
        <v>0</v>
      </c>
      <c r="AA1397">
        <f t="shared" ca="1" si="212"/>
        <v>0</v>
      </c>
      <c r="AB1397">
        <f t="shared" ca="1" si="213"/>
        <v>1</v>
      </c>
      <c r="AC1397" s="24">
        <f t="shared" ca="1" si="214"/>
        <v>0</v>
      </c>
      <c r="AD1397" s="24">
        <f t="shared" ca="1" si="215"/>
        <v>7.2152198802069287E-2</v>
      </c>
    </row>
    <row r="1398" spans="3:30" x14ac:dyDescent="0.25">
      <c r="C1398" s="6">
        <v>1391</v>
      </c>
      <c r="D1398" s="35">
        <v>43987</v>
      </c>
      <c r="E1398" s="37">
        <v>12.175000000000001</v>
      </c>
      <c r="F1398" s="37">
        <v>38.254858208112083</v>
      </c>
      <c r="G1398" s="37">
        <v>38.56</v>
      </c>
      <c r="H1398" s="37">
        <v>2.4811815049146988</v>
      </c>
      <c r="I1398" s="37">
        <v>55.387456219636199</v>
      </c>
      <c r="J1398" s="10">
        <v>0</v>
      </c>
      <c r="K1398" s="38">
        <v>0</v>
      </c>
      <c r="L1398" s="38">
        <v>0</v>
      </c>
      <c r="M1398" s="38">
        <v>0</v>
      </c>
      <c r="N1398" s="38">
        <v>0</v>
      </c>
      <c r="O1398" s="38">
        <v>1</v>
      </c>
      <c r="P1398" s="38">
        <v>0</v>
      </c>
      <c r="Q1398" s="38">
        <v>0</v>
      </c>
      <c r="R1398" s="38">
        <v>0</v>
      </c>
      <c r="S1398" s="38">
        <v>0</v>
      </c>
      <c r="T1398" s="38">
        <v>0</v>
      </c>
      <c r="U1398" s="29" cm="1">
        <f t="array" aca="1" ref="U1398" ca="1">+fair_value_gap(OFFSET(T1397,0,0,-1*$J$5,-1*$AA$1),OFFSET(E1397,0,0,-1*$J$5,1),F1398:T1398,0)</f>
        <v>13.349268429566568</v>
      </c>
      <c r="V1398" s="9" cm="1">
        <f t="array" aca="1" ref="V1398" ca="1">z_score_diff(OFFSET(U1398,0,0,$J$5*-1,1),OFFSET(E1398,0,0,$J$5*-1,1))</f>
        <v>9.8860921380485911E-2</v>
      </c>
      <c r="W1398" s="9">
        <f t="shared" ca="1" si="211"/>
        <v>6.4448269788939888E-2</v>
      </c>
      <c r="X1398" s="17">
        <f t="shared" ca="1" si="210"/>
        <v>4.8966153375881456E-2</v>
      </c>
      <c r="Y1398" s="13">
        <f t="shared" si="218"/>
        <v>0</v>
      </c>
      <c r="Z1398" s="13">
        <f t="shared" si="218"/>
        <v>0</v>
      </c>
      <c r="AA1398">
        <f t="shared" ca="1" si="212"/>
        <v>0</v>
      </c>
      <c r="AB1398">
        <f t="shared" ca="1" si="213"/>
        <v>1</v>
      </c>
      <c r="AC1398" s="24">
        <f t="shared" ca="1" si="214"/>
        <v>0</v>
      </c>
      <c r="AD1398" s="24">
        <f t="shared" ca="1" si="215"/>
        <v>4.8966153375881456E-2</v>
      </c>
    </row>
    <row r="1399" spans="3:30" x14ac:dyDescent="0.25">
      <c r="C1399" s="6">
        <v>1392</v>
      </c>
      <c r="D1399" s="35">
        <v>43990</v>
      </c>
      <c r="E1399" s="37">
        <v>11.863</v>
      </c>
      <c r="F1399" s="37">
        <v>37.068526060858353</v>
      </c>
      <c r="G1399" s="37">
        <v>39.64</v>
      </c>
      <c r="H1399" s="37">
        <v>2.4906380584312156</v>
      </c>
      <c r="I1399" s="37">
        <v>54.548854077185091</v>
      </c>
      <c r="J1399" s="10">
        <v>0</v>
      </c>
      <c r="K1399" s="38">
        <v>0</v>
      </c>
      <c r="L1399" s="38">
        <v>0</v>
      </c>
      <c r="M1399" s="38">
        <v>0</v>
      </c>
      <c r="N1399" s="38">
        <v>0</v>
      </c>
      <c r="O1399" s="38">
        <v>1</v>
      </c>
      <c r="P1399" s="38">
        <v>0</v>
      </c>
      <c r="Q1399" s="38">
        <v>0</v>
      </c>
      <c r="R1399" s="38">
        <v>0</v>
      </c>
      <c r="S1399" s="38">
        <v>0</v>
      </c>
      <c r="T1399" s="38">
        <v>0</v>
      </c>
      <c r="U1399" s="29" cm="1">
        <f t="array" aca="1" ref="U1399" ca="1">+fair_value_gap(OFFSET(T1398,0,0,-1*$J$5,-1*$AA$1),OFFSET(E1398,0,0,-1*$J$5,1),F1399:T1399,0)</f>
        <v>13.559341981909899</v>
      </c>
      <c r="V1399" s="9" cm="1">
        <f t="array" aca="1" ref="V1399" ca="1">z_score_diff(OFFSET(U1399,0,0,$J$5*-1,1),OFFSET(E1399,0,0,$J$5*-1,1))</f>
        <v>0.23495874651115428</v>
      </c>
      <c r="W1399" s="9">
        <f t="shared" ca="1" si="211"/>
        <v>7.5856063803179719E-2</v>
      </c>
      <c r="X1399" s="17">
        <f t="shared" ca="1" si="210"/>
        <v>0.10056102019257765</v>
      </c>
      <c r="Y1399" s="13">
        <f t="shared" si="218"/>
        <v>0</v>
      </c>
      <c r="Z1399" s="13">
        <f t="shared" si="218"/>
        <v>0</v>
      </c>
      <c r="AA1399">
        <f t="shared" ca="1" si="212"/>
        <v>0</v>
      </c>
      <c r="AB1399">
        <f t="shared" ca="1" si="213"/>
        <v>1</v>
      </c>
      <c r="AC1399" s="24">
        <f t="shared" ca="1" si="214"/>
        <v>0</v>
      </c>
      <c r="AD1399" s="24">
        <f t="shared" ca="1" si="215"/>
        <v>0.10056102019257765</v>
      </c>
    </row>
    <row r="1400" spans="3:30" x14ac:dyDescent="0.25">
      <c r="C1400" s="6">
        <v>1393</v>
      </c>
      <c r="D1400" s="35">
        <v>43991</v>
      </c>
      <c r="E1400" s="37">
        <v>11.606999999999999</v>
      </c>
      <c r="F1400" s="37">
        <v>37.460650945782625</v>
      </c>
      <c r="G1400" s="37">
        <v>38.340000000000003</v>
      </c>
      <c r="H1400" s="37">
        <v>2.4777607577503584</v>
      </c>
      <c r="I1400" s="37">
        <v>53.182706090671459</v>
      </c>
      <c r="J1400" s="10">
        <v>0</v>
      </c>
      <c r="K1400" s="38">
        <v>0</v>
      </c>
      <c r="L1400" s="38">
        <v>0</v>
      </c>
      <c r="M1400" s="38">
        <v>0</v>
      </c>
      <c r="N1400" s="38">
        <v>0</v>
      </c>
      <c r="O1400" s="38">
        <v>1</v>
      </c>
      <c r="P1400" s="38">
        <v>0</v>
      </c>
      <c r="Q1400" s="38">
        <v>0</v>
      </c>
      <c r="R1400" s="38">
        <v>0</v>
      </c>
      <c r="S1400" s="38">
        <v>0</v>
      </c>
      <c r="T1400" s="38">
        <v>0</v>
      </c>
      <c r="U1400" s="29" cm="1">
        <f t="array" aca="1" ref="U1400" ca="1">+fair_value_gap(OFFSET(T1399,0,0,-1*$J$5,-1*$AA$1),OFFSET(E1399,0,0,-1*$J$5,1),F1400:T1400,0)</f>
        <v>12.86185673441123</v>
      </c>
      <c r="V1400" s="9" cm="1">
        <f t="array" aca="1" ref="V1400" ca="1">z_score_diff(OFFSET(U1400,0,0,$J$5*-1,1),OFFSET(E1400,0,0,$J$5*-1,1))</f>
        <v>0.11968798005045822</v>
      </c>
      <c r="W1400" s="9">
        <f t="shared" ca="1" si="211"/>
        <v>8.2153553469629104E-2</v>
      </c>
      <c r="X1400" s="17">
        <f t="shared" ca="1" si="210"/>
        <v>0.13321903230897633</v>
      </c>
      <c r="Y1400" s="13">
        <f t="shared" si="218"/>
        <v>0</v>
      </c>
      <c r="Z1400" s="13">
        <f t="shared" si="218"/>
        <v>0</v>
      </c>
      <c r="AA1400">
        <f t="shared" ca="1" si="212"/>
        <v>0</v>
      </c>
      <c r="AB1400">
        <f t="shared" ca="1" si="213"/>
        <v>1</v>
      </c>
      <c r="AC1400" s="24">
        <f t="shared" ca="1" si="214"/>
        <v>0</v>
      </c>
      <c r="AD1400" s="24">
        <f t="shared" ca="1" si="215"/>
        <v>0.13321903230897633</v>
      </c>
    </row>
    <row r="1401" spans="3:30" x14ac:dyDescent="0.25">
      <c r="C1401" s="6">
        <v>1394</v>
      </c>
      <c r="D1401" s="35">
        <v>43992</v>
      </c>
      <c r="E1401" s="37">
        <v>11.698</v>
      </c>
      <c r="F1401" s="37">
        <v>37.535611100942425</v>
      </c>
      <c r="G1401" s="37">
        <v>38.049999999999997</v>
      </c>
      <c r="H1401" s="37">
        <v>2.497703286511614</v>
      </c>
      <c r="I1401" s="37">
        <v>52.064677553687055</v>
      </c>
      <c r="J1401" s="10">
        <v>0</v>
      </c>
      <c r="K1401" s="38">
        <v>0</v>
      </c>
      <c r="L1401" s="38">
        <v>0</v>
      </c>
      <c r="M1401" s="38">
        <v>0</v>
      </c>
      <c r="N1401" s="38">
        <v>0</v>
      </c>
      <c r="O1401" s="38">
        <v>1</v>
      </c>
      <c r="P1401" s="38">
        <v>0</v>
      </c>
      <c r="Q1401" s="38">
        <v>0</v>
      </c>
      <c r="R1401" s="38">
        <v>0</v>
      </c>
      <c r="S1401" s="38">
        <v>0</v>
      </c>
      <c r="T1401" s="38">
        <v>0</v>
      </c>
      <c r="U1401" s="29" cm="1">
        <f t="array" aca="1" ref="U1401" ca="1">+fair_value_gap(OFFSET(T1400,0,0,-1*$J$5,-1*$AA$1),OFFSET(E1400,0,0,-1*$J$5,1),F1401:T1401,0)</f>
        <v>12.557975508929076</v>
      </c>
      <c r="V1401" s="9" cm="1">
        <f t="array" aca="1" ref="V1401" ca="1">z_score_diff(OFFSET(U1401,0,0,$J$5*-1,1),OFFSET(E1401,0,0,$J$5*-1,1))</f>
        <v>1.5806872535701233E-2</v>
      </c>
      <c r="W1401" s="9">
        <f t="shared" ca="1" si="211"/>
        <v>8.3172184946595992E-2</v>
      </c>
      <c r="X1401" s="17">
        <f t="shared" ca="1" si="210"/>
        <v>0.12193466103541845</v>
      </c>
      <c r="Y1401" s="13">
        <f t="shared" ref="Y1401:Z1416" si="219">+Y1400</f>
        <v>0</v>
      </c>
      <c r="Z1401" s="13">
        <f t="shared" si="219"/>
        <v>0</v>
      </c>
      <c r="AA1401">
        <f t="shared" ca="1" si="212"/>
        <v>0</v>
      </c>
      <c r="AB1401">
        <f t="shared" ca="1" si="213"/>
        <v>1</v>
      </c>
      <c r="AC1401" s="24">
        <f t="shared" ca="1" si="214"/>
        <v>0</v>
      </c>
      <c r="AD1401" s="24">
        <f t="shared" ca="1" si="215"/>
        <v>0.12193466103541845</v>
      </c>
    </row>
    <row r="1402" spans="3:30" x14ac:dyDescent="0.25">
      <c r="C1402" s="6">
        <v>1395</v>
      </c>
      <c r="D1402" s="35">
        <v>43993</v>
      </c>
      <c r="E1402" s="37">
        <v>11.593</v>
      </c>
      <c r="F1402" s="37">
        <v>35.324007630761422</v>
      </c>
      <c r="G1402" s="37">
        <v>37.76</v>
      </c>
      <c r="H1402" s="37">
        <v>2.5485826319074438</v>
      </c>
      <c r="I1402" s="37">
        <v>52.364513433172654</v>
      </c>
      <c r="J1402" s="10">
        <v>0</v>
      </c>
      <c r="K1402" s="38">
        <v>0</v>
      </c>
      <c r="L1402" s="38">
        <v>0</v>
      </c>
      <c r="M1402" s="38">
        <v>0</v>
      </c>
      <c r="N1402" s="38">
        <v>0</v>
      </c>
      <c r="O1402" s="38">
        <v>1</v>
      </c>
      <c r="P1402" s="38">
        <v>0</v>
      </c>
      <c r="Q1402" s="38">
        <v>0</v>
      </c>
      <c r="R1402" s="38">
        <v>0</v>
      </c>
      <c r="S1402" s="38">
        <v>0</v>
      </c>
      <c r="T1402" s="38">
        <v>0</v>
      </c>
      <c r="U1402" s="29" cm="1">
        <f t="array" aca="1" ref="U1402" ca="1">+fair_value_gap(OFFSET(T1401,0,0,-1*$J$5,-1*$AA$1),OFFSET(E1401,0,0,-1*$J$5,1),F1402:T1402,0)</f>
        <v>12.238357751406976</v>
      </c>
      <c r="V1402" s="9" cm="1">
        <f t="array" aca="1" ref="V1402" ca="1">z_score_diff(OFFSET(U1402,0,0,$J$5*-1,1),OFFSET(E1402,0,0,$J$5*-1,1))</f>
        <v>-4.025012600087774E-2</v>
      </c>
      <c r="W1402" s="9">
        <f t="shared" ca="1" si="211"/>
        <v>8.4518373162319388E-2</v>
      </c>
      <c r="X1402" s="17">
        <f t="shared" ca="1" si="210"/>
        <v>0.12678045820890679</v>
      </c>
      <c r="Y1402" s="13">
        <f t="shared" si="219"/>
        <v>0</v>
      </c>
      <c r="Z1402" s="13">
        <f t="shared" si="219"/>
        <v>0</v>
      </c>
      <c r="AA1402">
        <f t="shared" ca="1" si="212"/>
        <v>0</v>
      </c>
      <c r="AB1402">
        <f t="shared" ca="1" si="213"/>
        <v>1</v>
      </c>
      <c r="AC1402" s="24">
        <f t="shared" ca="1" si="214"/>
        <v>0</v>
      </c>
      <c r="AD1402" s="24">
        <f t="shared" ca="1" si="215"/>
        <v>0.12678045820890679</v>
      </c>
    </row>
    <row r="1403" spans="3:30" x14ac:dyDescent="0.25">
      <c r="C1403" s="6">
        <v>1396</v>
      </c>
      <c r="D1403" s="35">
        <v>43994</v>
      </c>
      <c r="E1403" s="37">
        <v>11.567</v>
      </c>
      <c r="F1403" s="37">
        <v>35.570090332102538</v>
      </c>
      <c r="G1403" s="37">
        <v>37.479999999999997</v>
      </c>
      <c r="H1403" s="37">
        <v>2.5049484012483152</v>
      </c>
      <c r="I1403" s="37">
        <v>53.3551354981538</v>
      </c>
      <c r="J1403" s="10">
        <v>0</v>
      </c>
      <c r="K1403" s="38">
        <v>0</v>
      </c>
      <c r="L1403" s="38">
        <v>0</v>
      </c>
      <c r="M1403" s="38">
        <v>0</v>
      </c>
      <c r="N1403" s="38">
        <v>0</v>
      </c>
      <c r="O1403" s="38">
        <v>1</v>
      </c>
      <c r="P1403" s="38">
        <v>0</v>
      </c>
      <c r="Q1403" s="38">
        <v>0</v>
      </c>
      <c r="R1403" s="38">
        <v>0</v>
      </c>
      <c r="S1403" s="38">
        <v>0</v>
      </c>
      <c r="T1403" s="38">
        <v>0</v>
      </c>
      <c r="U1403" s="29" cm="1">
        <f t="array" aca="1" ref="U1403" ca="1">+fair_value_gap(OFFSET(T1402,0,0,-1*$J$5,-1*$AA$1),OFFSET(E1402,0,0,-1*$J$5,1),F1403:T1403,0)</f>
        <v>12.132573061963726</v>
      </c>
      <c r="V1403" s="9" cm="1">
        <f t="array" aca="1" ref="V1403" ca="1">z_score_diff(OFFSET(U1403,0,0,$J$5*-1,1),OFFSET(E1403,0,0,$J$5*-1,1))</f>
        <v>-6.1073350986680097E-2</v>
      </c>
      <c r="W1403" s="9">
        <f t="shared" ca="1" si="211"/>
        <v>8.2908268646223623E-2</v>
      </c>
      <c r="X1403" s="17">
        <f t="shared" ca="1" si="210"/>
        <v>0.11963525236737724</v>
      </c>
      <c r="Y1403" s="13">
        <f t="shared" si="219"/>
        <v>0</v>
      </c>
      <c r="Z1403" s="13">
        <f t="shared" si="219"/>
        <v>0</v>
      </c>
      <c r="AA1403">
        <f t="shared" ca="1" si="212"/>
        <v>0</v>
      </c>
      <c r="AB1403">
        <f t="shared" ca="1" si="213"/>
        <v>1</v>
      </c>
      <c r="AC1403" s="24">
        <f t="shared" ca="1" si="214"/>
        <v>0</v>
      </c>
      <c r="AD1403" s="24">
        <f t="shared" ca="1" si="215"/>
        <v>0.11963525236737724</v>
      </c>
    </row>
    <row r="1404" spans="3:30" x14ac:dyDescent="0.25">
      <c r="C1404" s="6">
        <v>1397</v>
      </c>
      <c r="D1404" s="35">
        <v>43997</v>
      </c>
      <c r="E1404" s="37">
        <v>11.41</v>
      </c>
      <c r="F1404" s="37">
        <v>36.20278838872084</v>
      </c>
      <c r="G1404" s="37">
        <v>36.53</v>
      </c>
      <c r="H1404" s="37">
        <v>2.4636542827212606</v>
      </c>
      <c r="I1404" s="37">
        <v>53.125568966927567</v>
      </c>
      <c r="J1404" s="10">
        <v>0</v>
      </c>
      <c r="K1404" s="38">
        <v>0</v>
      </c>
      <c r="L1404" s="38">
        <v>0</v>
      </c>
      <c r="M1404" s="38">
        <v>0</v>
      </c>
      <c r="N1404" s="38">
        <v>0</v>
      </c>
      <c r="O1404" s="38">
        <v>1</v>
      </c>
      <c r="P1404" s="38">
        <v>0</v>
      </c>
      <c r="Q1404" s="38">
        <v>0</v>
      </c>
      <c r="R1404" s="38">
        <v>0</v>
      </c>
      <c r="S1404" s="38">
        <v>0</v>
      </c>
      <c r="T1404" s="38">
        <v>0</v>
      </c>
      <c r="U1404" s="29" cm="1">
        <f t="array" aca="1" ref="U1404" ca="1">+fair_value_gap(OFFSET(T1403,0,0,-1*$J$5,-1*$AA$1),OFFSET(E1403,0,0,-1*$J$5,1),F1404:T1404,0)</f>
        <v>11.768072448016675</v>
      </c>
      <c r="V1404" s="9" cm="1">
        <f t="array" aca="1" ref="V1404" ca="1">z_score_diff(OFFSET(U1404,0,0,$J$5*-1,1),OFFSET(E1404,0,0,$J$5*-1,1))</f>
        <v>-0.11477805115882778</v>
      </c>
      <c r="W1404" s="9">
        <f t="shared" ca="1" si="211"/>
        <v>7.8865205634190014E-2</v>
      </c>
      <c r="X1404" s="17">
        <f t="shared" ca="1" si="210"/>
        <v>0.13964761964195857</v>
      </c>
      <c r="Y1404" s="13">
        <f t="shared" si="219"/>
        <v>0</v>
      </c>
      <c r="Z1404" s="13">
        <f t="shared" si="219"/>
        <v>0</v>
      </c>
      <c r="AA1404">
        <f t="shared" ca="1" si="212"/>
        <v>0</v>
      </c>
      <c r="AB1404">
        <f t="shared" ca="1" si="213"/>
        <v>1</v>
      </c>
      <c r="AC1404" s="24">
        <f t="shared" ca="1" si="214"/>
        <v>0</v>
      </c>
      <c r="AD1404" s="24">
        <f t="shared" ca="1" si="215"/>
        <v>0.13964761964195857</v>
      </c>
    </row>
    <row r="1405" spans="3:30" x14ac:dyDescent="0.25">
      <c r="C1405" s="6">
        <v>1398</v>
      </c>
      <c r="D1405" s="35">
        <v>43998</v>
      </c>
      <c r="E1405" s="37">
        <v>11.62</v>
      </c>
      <c r="F1405" s="37">
        <v>37.319668022057598</v>
      </c>
      <c r="G1405" s="37">
        <v>37.49</v>
      </c>
      <c r="H1405" s="37">
        <v>2.4641060122595242</v>
      </c>
      <c r="I1405" s="37">
        <v>52.871740054940638</v>
      </c>
      <c r="J1405" s="10">
        <v>0</v>
      </c>
      <c r="K1405" s="38">
        <v>0</v>
      </c>
      <c r="L1405" s="38">
        <v>0</v>
      </c>
      <c r="M1405" s="38">
        <v>0</v>
      </c>
      <c r="N1405" s="38">
        <v>0</v>
      </c>
      <c r="O1405" s="38">
        <v>1</v>
      </c>
      <c r="P1405" s="38">
        <v>0</v>
      </c>
      <c r="Q1405" s="38">
        <v>0</v>
      </c>
      <c r="R1405" s="38">
        <v>0</v>
      </c>
      <c r="S1405" s="38">
        <v>0</v>
      </c>
      <c r="T1405" s="38">
        <v>0</v>
      </c>
      <c r="U1405" s="29" cm="1">
        <f t="array" aca="1" ref="U1405" ca="1">+fair_value_gap(OFFSET(T1404,0,0,-1*$J$5,-1*$AA$1),OFFSET(E1404,0,0,-1*$J$5,1),F1405:T1405,0)</f>
        <v>12.055459130158729</v>
      </c>
      <c r="V1405" s="9" cm="1">
        <f t="array" aca="1" ref="V1405" ca="1">z_score_diff(OFFSET(U1405,0,0,$J$5*-1,1),OFFSET(E1405,0,0,$J$5*-1,1))</f>
        <v>-9.4886252808461302E-2</v>
      </c>
      <c r="W1405" s="9">
        <f t="shared" ca="1" si="211"/>
        <v>7.5302486250310427E-2</v>
      </c>
      <c r="X1405" s="17">
        <f t="shared" ca="1" si="210"/>
        <v>0.1086768693369603</v>
      </c>
      <c r="Y1405" s="13">
        <f t="shared" si="219"/>
        <v>0</v>
      </c>
      <c r="Z1405" s="13">
        <f t="shared" si="219"/>
        <v>0</v>
      </c>
      <c r="AA1405">
        <f t="shared" ca="1" si="212"/>
        <v>0</v>
      </c>
      <c r="AB1405">
        <f t="shared" ca="1" si="213"/>
        <v>1</v>
      </c>
      <c r="AC1405" s="24">
        <f t="shared" ca="1" si="214"/>
        <v>0</v>
      </c>
      <c r="AD1405" s="24">
        <f t="shared" ca="1" si="215"/>
        <v>0.1086768693369603</v>
      </c>
    </row>
    <row r="1406" spans="3:30" x14ac:dyDescent="0.25">
      <c r="C1406" s="6">
        <v>1399</v>
      </c>
      <c r="D1406" s="35">
        <v>43999</v>
      </c>
      <c r="E1406" s="37">
        <v>11.657</v>
      </c>
      <c r="F1406" s="37">
        <v>36.821061859915247</v>
      </c>
      <c r="G1406" s="37">
        <v>37.14</v>
      </c>
      <c r="H1406" s="37">
        <v>2.4875027119889839</v>
      </c>
      <c r="I1406" s="37">
        <v>52.335852715752559</v>
      </c>
      <c r="J1406" s="10">
        <v>0</v>
      </c>
      <c r="K1406" s="38">
        <v>0</v>
      </c>
      <c r="L1406" s="38">
        <v>0</v>
      </c>
      <c r="M1406" s="38">
        <v>0</v>
      </c>
      <c r="N1406" s="38">
        <v>0</v>
      </c>
      <c r="O1406" s="38">
        <v>1</v>
      </c>
      <c r="P1406" s="38">
        <v>0</v>
      </c>
      <c r="Q1406" s="38">
        <v>0</v>
      </c>
      <c r="R1406" s="38">
        <v>0</v>
      </c>
      <c r="S1406" s="38">
        <v>0</v>
      </c>
      <c r="T1406" s="38">
        <v>0</v>
      </c>
      <c r="U1406" s="29" cm="1">
        <f t="array" aca="1" ref="U1406" ca="1">+fair_value_gap(OFFSET(T1405,0,0,-1*$J$5,-1*$AA$1),OFFSET(E1405,0,0,-1*$J$5,1),F1406:T1406,0)</f>
        <v>11.819483955797185</v>
      </c>
      <c r="V1406" s="9" cm="1">
        <f t="array" aca="1" ref="V1406" ca="1">z_score_diff(OFFSET(U1406,0,0,$J$5*-1,1),OFFSET(E1406,0,0,$J$5*-1,1))</f>
        <v>-0.1666614919023448</v>
      </c>
      <c r="W1406" s="9">
        <f t="shared" ca="1" si="211"/>
        <v>6.6959438449832182E-2</v>
      </c>
      <c r="X1406" s="17">
        <f t="shared" ca="1" si="210"/>
        <v>0.1002345927787554</v>
      </c>
      <c r="Y1406" s="13">
        <f t="shared" si="219"/>
        <v>0</v>
      </c>
      <c r="Z1406" s="13">
        <f t="shared" si="219"/>
        <v>0</v>
      </c>
      <c r="AA1406">
        <f t="shared" ca="1" si="212"/>
        <v>0</v>
      </c>
      <c r="AB1406">
        <f t="shared" ca="1" si="213"/>
        <v>1</v>
      </c>
      <c r="AC1406" s="24">
        <f t="shared" ca="1" si="214"/>
        <v>0</v>
      </c>
      <c r="AD1406" s="24">
        <f t="shared" ca="1" si="215"/>
        <v>0.1002345927787554</v>
      </c>
    </row>
    <row r="1407" spans="3:30" x14ac:dyDescent="0.25">
      <c r="C1407" s="6">
        <v>1400</v>
      </c>
      <c r="D1407" s="35">
        <v>44000</v>
      </c>
      <c r="E1407" s="37">
        <v>11.94</v>
      </c>
      <c r="F1407" s="37">
        <v>37.282824216149727</v>
      </c>
      <c r="G1407" s="37">
        <v>38.43</v>
      </c>
      <c r="H1407" s="37">
        <v>2.4938165613949019</v>
      </c>
      <c r="I1407" s="37">
        <v>53.102473108818742</v>
      </c>
      <c r="J1407" s="10">
        <v>0</v>
      </c>
      <c r="K1407" s="38">
        <v>0</v>
      </c>
      <c r="L1407" s="38">
        <v>0</v>
      </c>
      <c r="M1407" s="38">
        <v>0</v>
      </c>
      <c r="N1407" s="38">
        <v>0</v>
      </c>
      <c r="O1407" s="38">
        <v>1</v>
      </c>
      <c r="P1407" s="38">
        <v>0</v>
      </c>
      <c r="Q1407" s="38">
        <v>0</v>
      </c>
      <c r="R1407" s="38">
        <v>0</v>
      </c>
      <c r="S1407" s="38">
        <v>0</v>
      </c>
      <c r="T1407" s="38">
        <v>0</v>
      </c>
      <c r="U1407" s="29" cm="1">
        <f t="array" aca="1" ref="U1407" ca="1">+fair_value_gap(OFFSET(T1406,0,0,-1*$J$5,-1*$AA$1),OFFSET(E1406,0,0,-1*$J$5,1),F1407:T1407,0)</f>
        <v>12.190760847758284</v>
      </c>
      <c r="V1407" s="9" cm="1">
        <f t="array" aca="1" ref="V1407" ca="1">z_score_diff(OFFSET(U1407,0,0,$J$5*-1,1),OFFSET(E1407,0,0,$J$5*-1,1))</f>
        <v>-0.14421780604603973</v>
      </c>
      <c r="W1407" s="9">
        <f t="shared" ca="1" si="211"/>
        <v>5.5561220094034448E-2</v>
      </c>
      <c r="X1407" s="17">
        <f t="shared" ca="1" si="210"/>
        <v>6.3202830504891311E-2</v>
      </c>
      <c r="Y1407" s="13">
        <f t="shared" si="219"/>
        <v>0</v>
      </c>
      <c r="Z1407" s="13">
        <f t="shared" si="219"/>
        <v>0</v>
      </c>
      <c r="AA1407">
        <f t="shared" ca="1" si="212"/>
        <v>0</v>
      </c>
      <c r="AB1407">
        <f t="shared" ca="1" si="213"/>
        <v>1</v>
      </c>
      <c r="AC1407" s="24">
        <f t="shared" ca="1" si="214"/>
        <v>0</v>
      </c>
      <c r="AD1407" s="24">
        <f t="shared" ca="1" si="215"/>
        <v>6.3202830504891311E-2</v>
      </c>
    </row>
    <row r="1408" spans="3:30" x14ac:dyDescent="0.25">
      <c r="C1408" s="6">
        <v>1401</v>
      </c>
      <c r="D1408" s="35">
        <v>44001</v>
      </c>
      <c r="E1408" s="37">
        <v>12.134</v>
      </c>
      <c r="F1408" s="37">
        <v>37.900695365920392</v>
      </c>
      <c r="G1408" s="37">
        <v>39.14</v>
      </c>
      <c r="H1408" s="37">
        <v>2.5041371732479734</v>
      </c>
      <c r="I1408" s="37">
        <v>53.558236338862343</v>
      </c>
      <c r="J1408" s="10">
        <v>0</v>
      </c>
      <c r="K1408" s="38">
        <v>0</v>
      </c>
      <c r="L1408" s="38">
        <v>0</v>
      </c>
      <c r="M1408" s="38">
        <v>0</v>
      </c>
      <c r="N1408" s="38">
        <v>0</v>
      </c>
      <c r="O1408" s="38">
        <v>1</v>
      </c>
      <c r="P1408" s="38">
        <v>0</v>
      </c>
      <c r="Q1408" s="38">
        <v>0</v>
      </c>
      <c r="R1408" s="38">
        <v>0</v>
      </c>
      <c r="S1408" s="38">
        <v>0</v>
      </c>
      <c r="T1408" s="38">
        <v>0</v>
      </c>
      <c r="U1408" s="29" cm="1">
        <f t="array" aca="1" ref="U1408" ca="1">+fair_value_gap(OFFSET(T1407,0,0,-1*$J$5,-1*$AA$1),OFFSET(E1407,0,0,-1*$J$5,1),F1408:T1408,0)</f>
        <v>12.258732606988556</v>
      </c>
      <c r="V1408" s="9" cm="1">
        <f t="array" aca="1" ref="V1408" ca="1">z_score_diff(OFFSET(U1408,0,0,$J$5*-1,1),OFFSET(E1408,0,0,$J$5*-1,1))</f>
        <v>-0.17809536209987709</v>
      </c>
      <c r="W1408" s="9">
        <f t="shared" ca="1" si="211"/>
        <v>4.682868662902312E-2</v>
      </c>
      <c r="X1408" s="17">
        <f t="shared" ca="1" si="210"/>
        <v>4.7714291489804037E-2</v>
      </c>
      <c r="Y1408" s="13">
        <f t="shared" si="219"/>
        <v>0</v>
      </c>
      <c r="Z1408" s="13">
        <f t="shared" si="219"/>
        <v>0</v>
      </c>
      <c r="AA1408">
        <f t="shared" ca="1" si="212"/>
        <v>0</v>
      </c>
      <c r="AB1408">
        <f t="shared" ca="1" si="213"/>
        <v>1</v>
      </c>
      <c r="AC1408" s="24">
        <f t="shared" ca="1" si="214"/>
        <v>0</v>
      </c>
      <c r="AD1408" s="24">
        <f t="shared" ca="1" si="215"/>
        <v>4.7714291489804037E-2</v>
      </c>
    </row>
    <row r="1409" spans="3:30" x14ac:dyDescent="0.25">
      <c r="C1409" s="6">
        <v>1402</v>
      </c>
      <c r="D1409" s="35">
        <v>44004</v>
      </c>
      <c r="E1409" s="37">
        <v>12.090999999999999</v>
      </c>
      <c r="F1409" s="37">
        <v>38.450144364904958</v>
      </c>
      <c r="G1409" s="37">
        <v>39.29</v>
      </c>
      <c r="H1409" s="37">
        <v>2.4504450330071674</v>
      </c>
      <c r="I1409" s="37">
        <v>53.23594045002941</v>
      </c>
      <c r="J1409" s="10">
        <v>0</v>
      </c>
      <c r="K1409" s="38">
        <v>0</v>
      </c>
      <c r="L1409" s="38">
        <v>0</v>
      </c>
      <c r="M1409" s="38">
        <v>0</v>
      </c>
      <c r="N1409" s="38">
        <v>0</v>
      </c>
      <c r="O1409" s="38">
        <v>1</v>
      </c>
      <c r="P1409" s="38">
        <v>0</v>
      </c>
      <c r="Q1409" s="38">
        <v>0</v>
      </c>
      <c r="R1409" s="38">
        <v>0</v>
      </c>
      <c r="S1409" s="38">
        <v>0</v>
      </c>
      <c r="T1409" s="38">
        <v>0</v>
      </c>
      <c r="U1409" s="29" cm="1">
        <f t="array" aca="1" ref="U1409" ca="1">+fair_value_gap(OFFSET(T1408,0,0,-1*$J$5,-1*$AA$1),OFFSET(E1408,0,0,-1*$J$5,1),F1409:T1409,0)</f>
        <v>12.045003542611175</v>
      </c>
      <c r="V1409" s="9" cm="1">
        <f t="array" aca="1" ref="V1409" ca="1">z_score_diff(OFFSET(U1409,0,0,$J$5*-1,1),OFFSET(E1409,0,0,$J$5*-1,1))</f>
        <v>-0.22344703937947441</v>
      </c>
      <c r="W1409" s="9">
        <f t="shared" ca="1" si="211"/>
        <v>4.108290596800334E-2</v>
      </c>
      <c r="X1409" s="17">
        <f t="shared" ca="1" si="210"/>
        <v>7.9904869313529182E-3</v>
      </c>
      <c r="Y1409" s="13">
        <f t="shared" si="219"/>
        <v>0</v>
      </c>
      <c r="Z1409" s="13">
        <f t="shared" si="219"/>
        <v>0</v>
      </c>
      <c r="AA1409">
        <f t="shared" ca="1" si="212"/>
        <v>0</v>
      </c>
      <c r="AB1409">
        <f t="shared" ca="1" si="213"/>
        <v>1</v>
      </c>
      <c r="AC1409" s="24">
        <f t="shared" ca="1" si="214"/>
        <v>0</v>
      </c>
      <c r="AD1409" s="24">
        <f t="shared" ca="1" si="215"/>
        <v>7.9904869313529182E-3</v>
      </c>
    </row>
    <row r="1410" spans="3:30" x14ac:dyDescent="0.25">
      <c r="C1410" s="6">
        <v>1403</v>
      </c>
      <c r="D1410" s="35">
        <v>44005</v>
      </c>
      <c r="E1410" s="37">
        <v>12.348000000000001</v>
      </c>
      <c r="F1410" s="37">
        <v>38.100689017544639</v>
      </c>
      <c r="G1410" s="37">
        <v>40.57</v>
      </c>
      <c r="H1410" s="37">
        <v>2.3994540691659147</v>
      </c>
      <c r="I1410" s="37">
        <v>53.008122922491033</v>
      </c>
      <c r="J1410" s="10">
        <v>0</v>
      </c>
      <c r="K1410" s="38">
        <v>0</v>
      </c>
      <c r="L1410" s="38">
        <v>0</v>
      </c>
      <c r="M1410" s="38">
        <v>0</v>
      </c>
      <c r="N1410" s="38">
        <v>0</v>
      </c>
      <c r="O1410" s="38">
        <v>1</v>
      </c>
      <c r="P1410" s="38">
        <v>0</v>
      </c>
      <c r="Q1410" s="38">
        <v>0</v>
      </c>
      <c r="R1410" s="38">
        <v>0</v>
      </c>
      <c r="S1410" s="38">
        <v>0</v>
      </c>
      <c r="T1410" s="38">
        <v>0</v>
      </c>
      <c r="U1410" s="29" cm="1">
        <f t="array" aca="1" ref="U1410" ca="1">+fair_value_gap(OFFSET(T1409,0,0,-1*$J$5,-1*$AA$1),OFFSET(E1409,0,0,-1*$J$5,1),F1410:T1410,0)</f>
        <v>12.389504216322241</v>
      </c>
      <c r="V1410" s="9" cm="1">
        <f t="array" aca="1" ref="V1410" ca="1">z_score_diff(OFFSET(U1410,0,0,$J$5*-1,1),OFFSET(E1410,0,0,$J$5*-1,1))</f>
        <v>-0.20009485124229226</v>
      </c>
      <c r="W1410" s="9">
        <f t="shared" ca="1" si="211"/>
        <v>3.371277313270641E-2</v>
      </c>
      <c r="X1410" s="17">
        <f t="shared" ca="1" si="210"/>
        <v>-5.522183920916573E-3</v>
      </c>
      <c r="Y1410" s="13">
        <f t="shared" si="219"/>
        <v>0</v>
      </c>
      <c r="Z1410" s="13">
        <f t="shared" si="219"/>
        <v>0</v>
      </c>
      <c r="AA1410">
        <f t="shared" ca="1" si="212"/>
        <v>0</v>
      </c>
      <c r="AB1410">
        <f t="shared" ca="1" si="213"/>
        <v>1</v>
      </c>
      <c r="AC1410" s="24">
        <f t="shared" ca="1" si="214"/>
        <v>0</v>
      </c>
      <c r="AD1410" s="24">
        <f t="shared" ca="1" si="215"/>
        <v>-5.522183920916573E-3</v>
      </c>
    </row>
    <row r="1411" spans="3:30" x14ac:dyDescent="0.25">
      <c r="C1411" s="6">
        <v>1404</v>
      </c>
      <c r="D1411" s="35">
        <v>44006</v>
      </c>
      <c r="E1411" s="37">
        <v>12.185</v>
      </c>
      <c r="F1411" s="37">
        <v>36.602676880489078</v>
      </c>
      <c r="G1411" s="37">
        <v>40.770000000000003</v>
      </c>
      <c r="H1411" s="37">
        <v>2.3938646267341137</v>
      </c>
      <c r="I1411" s="37">
        <v>52.96591419964389</v>
      </c>
      <c r="J1411" s="10">
        <v>0</v>
      </c>
      <c r="K1411" s="38">
        <v>0</v>
      </c>
      <c r="L1411" s="38">
        <v>0</v>
      </c>
      <c r="M1411" s="38">
        <v>0</v>
      </c>
      <c r="N1411" s="38">
        <v>0</v>
      </c>
      <c r="O1411" s="38">
        <v>1</v>
      </c>
      <c r="P1411" s="38">
        <v>0</v>
      </c>
      <c r="Q1411" s="38">
        <v>0</v>
      </c>
      <c r="R1411" s="38">
        <v>0</v>
      </c>
      <c r="S1411" s="38">
        <v>0</v>
      </c>
      <c r="T1411" s="38">
        <v>0</v>
      </c>
      <c r="U1411" s="29" cm="1">
        <f t="array" aca="1" ref="U1411" ca="1">+fair_value_gap(OFFSET(T1410,0,0,-1*$J$5,-1*$AA$1),OFFSET(E1410,0,0,-1*$J$5,1),F1411:T1411,0)</f>
        <v>12.489846305729662</v>
      </c>
      <c r="V1411" s="9" cm="1">
        <f t="array" aca="1" ref="V1411" ca="1">z_score_diff(OFFSET(U1411,0,0,$J$5*-1,1),OFFSET(E1411,0,0,$J$5*-1,1))</f>
        <v>-0.12808837021265229</v>
      </c>
      <c r="W1411" s="9">
        <f t="shared" ca="1" si="211"/>
        <v>2.9673029901937431E-2</v>
      </c>
      <c r="X1411" s="17">
        <f t="shared" ca="1" si="210"/>
        <v>8.4988662252904693E-3</v>
      </c>
      <c r="Y1411" s="13">
        <f t="shared" si="219"/>
        <v>0</v>
      </c>
      <c r="Z1411" s="13">
        <f t="shared" si="219"/>
        <v>0</v>
      </c>
      <c r="AA1411">
        <f t="shared" ca="1" si="212"/>
        <v>0</v>
      </c>
      <c r="AB1411">
        <f t="shared" ca="1" si="213"/>
        <v>1</v>
      </c>
      <c r="AC1411" s="24">
        <f t="shared" ca="1" si="214"/>
        <v>0</v>
      </c>
      <c r="AD1411" s="24">
        <f t="shared" ca="1" si="215"/>
        <v>8.4988662252904693E-3</v>
      </c>
    </row>
    <row r="1412" spans="3:30" x14ac:dyDescent="0.25">
      <c r="C1412" s="6">
        <v>1405</v>
      </c>
      <c r="D1412" s="35">
        <v>44007</v>
      </c>
      <c r="E1412" s="37">
        <v>11.972</v>
      </c>
      <c r="F1412" s="37">
        <v>37.174787217414782</v>
      </c>
      <c r="G1412" s="37">
        <v>40.24</v>
      </c>
      <c r="H1412" s="37">
        <v>2.3569490032254858</v>
      </c>
      <c r="I1412" s="37">
        <v>52.351975787544234</v>
      </c>
      <c r="J1412" s="10">
        <v>0</v>
      </c>
      <c r="K1412" s="38">
        <v>0</v>
      </c>
      <c r="L1412" s="38">
        <v>0</v>
      </c>
      <c r="M1412" s="38">
        <v>0</v>
      </c>
      <c r="N1412" s="38">
        <v>0</v>
      </c>
      <c r="O1412" s="38">
        <v>1</v>
      </c>
      <c r="P1412" s="38">
        <v>0</v>
      </c>
      <c r="Q1412" s="38">
        <v>0</v>
      </c>
      <c r="R1412" s="38">
        <v>0</v>
      </c>
      <c r="S1412" s="38">
        <v>0</v>
      </c>
      <c r="T1412" s="38">
        <v>0</v>
      </c>
      <c r="U1412" s="29" cm="1">
        <f t="array" aca="1" ref="U1412" ca="1">+fair_value_gap(OFFSET(T1411,0,0,-1*$J$5,-1*$AA$1),OFFSET(E1411,0,0,-1*$J$5,1),F1412:T1412,0)</f>
        <v>12.263420260165804</v>
      </c>
      <c r="V1412" s="9" cm="1">
        <f t="array" aca="1" ref="V1412" ca="1">z_score_diff(OFFSET(U1412,0,0,$J$5*-1,1),OFFSET(E1412,0,0,$J$5*-1,1))</f>
        <v>-0.1307436440268272</v>
      </c>
      <c r="W1412" s="9">
        <f t="shared" ca="1" si="211"/>
        <v>2.3774532678654262E-2</v>
      </c>
      <c r="X1412" s="17">
        <f t="shared" ca="1" si="210"/>
        <v>2.792258167502544E-2</v>
      </c>
      <c r="Y1412" s="13">
        <f t="shared" si="219"/>
        <v>0</v>
      </c>
      <c r="Z1412" s="13">
        <f t="shared" si="219"/>
        <v>0</v>
      </c>
      <c r="AA1412">
        <f t="shared" ca="1" si="212"/>
        <v>0</v>
      </c>
      <c r="AB1412">
        <f t="shared" ca="1" si="213"/>
        <v>1</v>
      </c>
      <c r="AC1412" s="24">
        <f t="shared" ca="1" si="214"/>
        <v>0</v>
      </c>
      <c r="AD1412" s="24">
        <f t="shared" ca="1" si="215"/>
        <v>2.792258167502544E-2</v>
      </c>
    </row>
    <row r="1413" spans="3:30" x14ac:dyDescent="0.25">
      <c r="C1413" s="6">
        <v>1406</v>
      </c>
      <c r="D1413" s="35">
        <v>44008</v>
      </c>
      <c r="E1413" s="37">
        <v>12.005000000000001</v>
      </c>
      <c r="F1413" s="37">
        <v>36.792059165608656</v>
      </c>
      <c r="G1413" s="37">
        <v>40.31</v>
      </c>
      <c r="H1413" s="37">
        <v>2.3758578746903662</v>
      </c>
      <c r="I1413" s="37">
        <v>52.826436301971889</v>
      </c>
      <c r="J1413" s="10">
        <v>0</v>
      </c>
      <c r="K1413" s="38">
        <v>0</v>
      </c>
      <c r="L1413" s="38">
        <v>0</v>
      </c>
      <c r="M1413" s="38">
        <v>0</v>
      </c>
      <c r="N1413" s="38">
        <v>0</v>
      </c>
      <c r="O1413" s="38">
        <v>1</v>
      </c>
      <c r="P1413" s="38">
        <v>0</v>
      </c>
      <c r="Q1413" s="38">
        <v>0</v>
      </c>
      <c r="R1413" s="38">
        <v>0</v>
      </c>
      <c r="S1413" s="38">
        <v>0</v>
      </c>
      <c r="T1413" s="38">
        <v>0</v>
      </c>
      <c r="U1413" s="29" cm="1">
        <f t="array" aca="1" ref="U1413" ca="1">+fair_value_gap(OFFSET(T1412,0,0,-1*$J$5,-1*$AA$1),OFFSET(E1412,0,0,-1*$J$5,1),F1413:T1413,0)</f>
        <v>12.292631124675443</v>
      </c>
      <c r="V1413" s="9" cm="1">
        <f t="array" aca="1" ref="V1413" ca="1">z_score_diff(OFFSET(U1413,0,0,$J$5*-1,1),OFFSET(E1413,0,0,$J$5*-1,1))</f>
        <v>-0.13149139245210917</v>
      </c>
      <c r="W1413" s="9">
        <f t="shared" ca="1" si="211"/>
        <v>2.499415323091601E-2</v>
      </c>
      <c r="X1413" s="17">
        <f t="shared" ca="1" si="210"/>
        <v>1.3815002361508082E-2</v>
      </c>
      <c r="Y1413" s="13">
        <f t="shared" si="219"/>
        <v>0</v>
      </c>
      <c r="Z1413" s="13">
        <f t="shared" si="219"/>
        <v>0</v>
      </c>
      <c r="AA1413">
        <f t="shared" ca="1" si="212"/>
        <v>0</v>
      </c>
      <c r="AB1413">
        <f t="shared" ca="1" si="213"/>
        <v>1</v>
      </c>
      <c r="AC1413" s="24">
        <f t="shared" ca="1" si="214"/>
        <v>0</v>
      </c>
      <c r="AD1413" s="24">
        <f t="shared" ca="1" si="215"/>
        <v>1.3815002361508082E-2</v>
      </c>
    </row>
    <row r="1414" spans="3:30" x14ac:dyDescent="0.25">
      <c r="C1414" s="6">
        <v>1407</v>
      </c>
      <c r="D1414" s="35">
        <v>44011</v>
      </c>
      <c r="E1414" s="37">
        <v>12.231999999999999</v>
      </c>
      <c r="F1414" s="37">
        <v>37.664783427495294</v>
      </c>
      <c r="G1414" s="37">
        <v>40.75</v>
      </c>
      <c r="H1414" s="37">
        <v>2.5337321369225658</v>
      </c>
      <c r="I1414" s="37">
        <v>52.553450758834607</v>
      </c>
      <c r="J1414" s="10">
        <v>0</v>
      </c>
      <c r="K1414" s="38">
        <v>0</v>
      </c>
      <c r="L1414" s="38">
        <v>0</v>
      </c>
      <c r="M1414" s="38">
        <v>0</v>
      </c>
      <c r="N1414" s="38">
        <v>0</v>
      </c>
      <c r="O1414" s="38">
        <v>1</v>
      </c>
      <c r="P1414" s="38">
        <v>0</v>
      </c>
      <c r="Q1414" s="38">
        <v>0</v>
      </c>
      <c r="R1414" s="38">
        <v>0</v>
      </c>
      <c r="S1414" s="38">
        <v>0</v>
      </c>
      <c r="T1414" s="38">
        <v>0</v>
      </c>
      <c r="U1414" s="29" cm="1">
        <f t="array" aca="1" ref="U1414" ca="1">+fair_value_gap(OFFSET(T1413,0,0,-1*$J$5,-1*$AA$1),OFFSET(E1413,0,0,-1*$J$5,1),F1414:T1414,0)</f>
        <v>12.392340973871585</v>
      </c>
      <c r="V1414" s="9" cm="1">
        <f t="array" aca="1" ref="V1414" ca="1">z_score_diff(OFFSET(U1414,0,0,$J$5*-1,1),OFFSET(E1414,0,0,$J$5*-1,1))</f>
        <v>-0.16640292886091568</v>
      </c>
      <c r="W1414" s="9">
        <f t="shared" ca="1" si="211"/>
        <v>-2.7810412023064012E-2</v>
      </c>
      <c r="X1414" s="17">
        <f t="shared" ca="1" si="210"/>
        <v>-3.0209766198185769E-2</v>
      </c>
      <c r="Y1414" s="13">
        <f t="shared" si="219"/>
        <v>0</v>
      </c>
      <c r="Z1414" s="13">
        <f t="shared" si="219"/>
        <v>0</v>
      </c>
      <c r="AA1414">
        <f t="shared" ca="1" si="212"/>
        <v>1</v>
      </c>
      <c r="AB1414">
        <f t="shared" ca="1" si="213"/>
        <v>0</v>
      </c>
      <c r="AC1414" s="24">
        <f t="shared" ca="1" si="214"/>
        <v>-3.0209766198185769E-2</v>
      </c>
      <c r="AD1414" s="24">
        <f t="shared" ca="1" si="215"/>
        <v>0</v>
      </c>
    </row>
    <row r="1415" spans="3:30" x14ac:dyDescent="0.25">
      <c r="C1415" s="6">
        <v>1408</v>
      </c>
      <c r="D1415" s="35">
        <v>44012</v>
      </c>
      <c r="E1415" s="37">
        <v>12.563000000000001</v>
      </c>
      <c r="F1415" s="37">
        <v>37.178575923171955</v>
      </c>
      <c r="G1415" s="37">
        <v>42.17</v>
      </c>
      <c r="H1415" s="37">
        <v>2.5550854442551789</v>
      </c>
      <c r="I1415" s="37">
        <v>52.776738884979494</v>
      </c>
      <c r="J1415" s="10">
        <v>0</v>
      </c>
      <c r="K1415" s="38">
        <v>0</v>
      </c>
      <c r="L1415" s="38">
        <v>0</v>
      </c>
      <c r="M1415" s="38">
        <v>0</v>
      </c>
      <c r="N1415" s="38">
        <v>0</v>
      </c>
      <c r="O1415" s="38">
        <v>1</v>
      </c>
      <c r="P1415" s="38">
        <v>0</v>
      </c>
      <c r="Q1415" s="38">
        <v>0</v>
      </c>
      <c r="R1415" s="38">
        <v>0</v>
      </c>
      <c r="S1415" s="38">
        <v>0</v>
      </c>
      <c r="T1415" s="38">
        <v>0</v>
      </c>
      <c r="U1415" s="29" cm="1">
        <f t="array" aca="1" ref="U1415" ca="1">+fair_value_gap(OFFSET(T1414,0,0,-1*$J$5,-1*$AA$1),OFFSET(E1414,0,0,-1*$J$5,1),F1415:T1415,0)</f>
        <v>12.780970005485949</v>
      </c>
      <c r="V1415" s="9" cm="1">
        <f t="array" aca="1" ref="V1415" ca="1">z_score_diff(OFFSET(U1415,0,0,$J$5*-1,1),OFFSET(E1415,0,0,$J$5*-1,1))</f>
        <v>-0.15134600703814122</v>
      </c>
      <c r="W1415" s="9">
        <f t="shared" ca="1" si="211"/>
        <v>-5.3053121202766548E-2</v>
      </c>
      <c r="X1415" s="17">
        <f t="shared" ref="X1415:X1478" ca="1" si="220">+LN(OFFSET(E1415,$X$3,0,1,1)/E1415)</f>
        <v>-3.7798498044569757E-2</v>
      </c>
      <c r="Y1415" s="13">
        <f t="shared" si="219"/>
        <v>0</v>
      </c>
      <c r="Z1415" s="13">
        <f t="shared" si="219"/>
        <v>0</v>
      </c>
      <c r="AA1415">
        <f t="shared" ca="1" si="212"/>
        <v>1</v>
      </c>
      <c r="AB1415">
        <f t="shared" ca="1" si="213"/>
        <v>0</v>
      </c>
      <c r="AC1415" s="24">
        <f t="shared" ca="1" si="214"/>
        <v>-3.7798498044569757E-2</v>
      </c>
      <c r="AD1415" s="24">
        <f t="shared" ca="1" si="215"/>
        <v>0</v>
      </c>
    </row>
    <row r="1416" spans="3:30" x14ac:dyDescent="0.25">
      <c r="C1416" s="6">
        <v>1409</v>
      </c>
      <c r="D1416" s="35">
        <v>44013</v>
      </c>
      <c r="E1416" s="37">
        <v>12.45</v>
      </c>
      <c r="F1416" s="37">
        <v>37.834727570486436</v>
      </c>
      <c r="G1416" s="37">
        <v>42.22</v>
      </c>
      <c r="H1416" s="37">
        <v>2.5627406718895234</v>
      </c>
      <c r="I1416" s="37">
        <v>51.962997388571679</v>
      </c>
      <c r="J1416" s="10">
        <v>0</v>
      </c>
      <c r="K1416" s="38">
        <v>0</v>
      </c>
      <c r="L1416" s="38">
        <v>0</v>
      </c>
      <c r="M1416" s="38">
        <v>0</v>
      </c>
      <c r="N1416" s="38">
        <v>0</v>
      </c>
      <c r="O1416" s="38">
        <v>0</v>
      </c>
      <c r="P1416" s="38">
        <v>1</v>
      </c>
      <c r="Q1416" s="38">
        <v>0</v>
      </c>
      <c r="R1416" s="38">
        <v>0</v>
      </c>
      <c r="S1416" s="38">
        <v>0</v>
      </c>
      <c r="T1416" s="38">
        <v>0</v>
      </c>
      <c r="U1416" s="29" cm="1">
        <f t="array" aca="1" ref="U1416" ca="1">+fair_value_gap(OFFSET(T1415,0,0,-1*$J$5,-1*$AA$1),OFFSET(E1415,0,0,-1*$J$5,1),F1416:T1416,0)</f>
        <v>16.254595223002458</v>
      </c>
      <c r="V1416" s="9" cm="1">
        <f t="array" aca="1" ref="V1416" ca="1">z_score_diff(OFFSET(U1416,0,0,$J$5*-1,1),OFFSET(E1416,0,0,$J$5*-1,1))</f>
        <v>0.83253074378724545</v>
      </c>
      <c r="W1416" s="9">
        <f t="shared" ref="W1416:W1479" ca="1" si="221">+IF(ISERROR(AVERAGE(OFFSET(V1416,0,0,$W$5*-1,1))),"",AVERAGE(OFFSET(V1416,0,0,$W$5*-1,1)))</f>
        <v>-2.3799010885455933E-2</v>
      </c>
      <c r="X1416" s="17">
        <f t="shared" ca="1" si="220"/>
        <v>-1.8155791304182843E-2</v>
      </c>
      <c r="Y1416" s="13">
        <f t="shared" si="219"/>
        <v>0</v>
      </c>
      <c r="Z1416" s="13">
        <f t="shared" si="219"/>
        <v>0</v>
      </c>
      <c r="AA1416">
        <f t="shared" ref="AA1416:AA1479" ca="1" si="222">+IF(W1416="","",IF(W1416&lt;Y1416,1,0))</f>
        <v>1</v>
      </c>
      <c r="AB1416">
        <f t="shared" ref="AB1416:AB1479" ca="1" si="223">+IF(W1416="","",IF(W1416&gt;Z1416,1,0))</f>
        <v>0</v>
      </c>
      <c r="AC1416" s="24">
        <f t="shared" ref="AC1416:AC1479" ca="1" si="224">+IF(ISERROR(AA1416*X1416),"",AA1416*X1416)</f>
        <v>-1.8155791304182843E-2</v>
      </c>
      <c r="AD1416" s="24">
        <f t="shared" ref="AD1416:AD1479" ca="1" si="225">+IF(ISERROR(AB1416*X1416),"",AB1416*X1416)</f>
        <v>0</v>
      </c>
    </row>
    <row r="1417" spans="3:30" x14ac:dyDescent="0.25">
      <c r="C1417" s="6">
        <v>1410</v>
      </c>
      <c r="D1417" s="35">
        <v>44014</v>
      </c>
      <c r="E1417" s="37">
        <v>12.613</v>
      </c>
      <c r="F1417" s="37">
        <v>38.662694354697209</v>
      </c>
      <c r="G1417" s="37">
        <v>41.82</v>
      </c>
      <c r="H1417" s="37">
        <v>2.5760360414646981</v>
      </c>
      <c r="I1417" s="37">
        <v>53.612033198697709</v>
      </c>
      <c r="J1417" s="10">
        <v>0</v>
      </c>
      <c r="K1417" s="38">
        <v>0</v>
      </c>
      <c r="L1417" s="38">
        <v>0</v>
      </c>
      <c r="M1417" s="38">
        <v>0</v>
      </c>
      <c r="N1417" s="38">
        <v>0</v>
      </c>
      <c r="O1417" s="38">
        <v>0</v>
      </c>
      <c r="P1417" s="38">
        <v>1</v>
      </c>
      <c r="Q1417" s="38">
        <v>0</v>
      </c>
      <c r="R1417" s="38">
        <v>0</v>
      </c>
      <c r="S1417" s="38">
        <v>0</v>
      </c>
      <c r="T1417" s="38">
        <v>0</v>
      </c>
      <c r="U1417" s="29" cm="1">
        <f t="array" aca="1" ref="U1417" ca="1">+fair_value_gap(OFFSET(T1416,0,0,-1*$J$5,-1*$AA$1),OFFSET(E1416,0,0,-1*$J$5,1),F1417:T1417,0)</f>
        <v>15.044882165569081</v>
      </c>
      <c r="V1417" s="9" cm="1">
        <f t="array" aca="1" ref="V1417" ca="1">z_score_diff(OFFSET(U1417,0,0,$J$5*-1,1),OFFSET(E1417,0,0,$J$5*-1,1))</f>
        <v>0.45347455804138759</v>
      </c>
      <c r="W1417" s="9">
        <f t="shared" ca="1" si="221"/>
        <v>-8.8128425954544058E-3</v>
      </c>
      <c r="X1417" s="17">
        <f t="shared" ca="1" si="220"/>
        <v>-4.8072907782938872E-2</v>
      </c>
      <c r="Y1417" s="13">
        <f t="shared" ref="Y1417:Z1432" si="226">+Y1416</f>
        <v>0</v>
      </c>
      <c r="Z1417" s="13">
        <f t="shared" si="226"/>
        <v>0</v>
      </c>
      <c r="AA1417">
        <f t="shared" ca="1" si="222"/>
        <v>1</v>
      </c>
      <c r="AB1417">
        <f t="shared" ca="1" si="223"/>
        <v>0</v>
      </c>
      <c r="AC1417" s="24">
        <f t="shared" ca="1" si="224"/>
        <v>-4.8072907782938872E-2</v>
      </c>
      <c r="AD1417" s="24">
        <f t="shared" ca="1" si="225"/>
        <v>0</v>
      </c>
    </row>
    <row r="1418" spans="3:30" x14ac:dyDescent="0.25">
      <c r="C1418" s="6">
        <v>1411</v>
      </c>
      <c r="D1418" s="35">
        <v>44015</v>
      </c>
      <c r="E1418" s="37">
        <v>12.786</v>
      </c>
      <c r="F1418" s="37">
        <v>38.488264531577109</v>
      </c>
      <c r="G1418" s="37">
        <v>41.95</v>
      </c>
      <c r="H1418" s="37">
        <v>2.5732609244088009</v>
      </c>
      <c r="I1418" s="37">
        <v>53.598537658394527</v>
      </c>
      <c r="J1418" s="10">
        <v>0</v>
      </c>
      <c r="K1418" s="38">
        <v>0</v>
      </c>
      <c r="L1418" s="38">
        <v>0</v>
      </c>
      <c r="M1418" s="38">
        <v>0</v>
      </c>
      <c r="N1418" s="38">
        <v>0</v>
      </c>
      <c r="O1418" s="38">
        <v>0</v>
      </c>
      <c r="P1418" s="38">
        <v>1</v>
      </c>
      <c r="Q1418" s="38">
        <v>0</v>
      </c>
      <c r="R1418" s="38">
        <v>0</v>
      </c>
      <c r="S1418" s="38">
        <v>0</v>
      </c>
      <c r="T1418" s="38">
        <v>0</v>
      </c>
      <c r="U1418" s="29" cm="1">
        <f t="array" aca="1" ref="U1418" ca="1">+fair_value_gap(OFFSET(T1417,0,0,-1*$J$5,-1*$AA$1),OFFSET(E1417,0,0,-1*$J$5,1),F1418:T1418,0)</f>
        <v>14.442411232018401</v>
      </c>
      <c r="V1418" s="9" cm="1">
        <f t="array" aca="1" ref="V1418" ca="1">z_score_diff(OFFSET(U1418,0,0,$J$5*-1,1),OFFSET(E1418,0,0,$J$5*-1,1))</f>
        <v>0.23727357078746444</v>
      </c>
      <c r="W1418" s="9">
        <f t="shared" ca="1" si="221"/>
        <v>-1.892210125105477E-3</v>
      </c>
      <c r="X1418" s="17">
        <f t="shared" ca="1" si="220"/>
        <v>-6.0365582946937238E-2</v>
      </c>
      <c r="Y1418" s="13">
        <f t="shared" si="226"/>
        <v>0</v>
      </c>
      <c r="Z1418" s="13">
        <f t="shared" si="226"/>
        <v>0</v>
      </c>
      <c r="AA1418">
        <f t="shared" ca="1" si="222"/>
        <v>1</v>
      </c>
      <c r="AB1418">
        <f t="shared" ca="1" si="223"/>
        <v>0</v>
      </c>
      <c r="AC1418" s="24">
        <f t="shared" ca="1" si="224"/>
        <v>-6.0365582946937238E-2</v>
      </c>
      <c r="AD1418" s="24">
        <f t="shared" ca="1" si="225"/>
        <v>0</v>
      </c>
    </row>
    <row r="1419" spans="3:30" x14ac:dyDescent="0.25">
      <c r="C1419" s="6">
        <v>1412</v>
      </c>
      <c r="D1419" s="35">
        <v>44018</v>
      </c>
      <c r="E1419" s="37">
        <v>13.118</v>
      </c>
      <c r="F1419" s="37">
        <v>38.612248492053006</v>
      </c>
      <c r="G1419" s="37">
        <v>43.47</v>
      </c>
      <c r="H1419" s="37">
        <v>2.5271870734821467</v>
      </c>
      <c r="I1419" s="37">
        <v>53.097345132743357</v>
      </c>
      <c r="J1419" s="10">
        <v>0</v>
      </c>
      <c r="K1419" s="38">
        <v>0</v>
      </c>
      <c r="L1419" s="38">
        <v>0</v>
      </c>
      <c r="M1419" s="38">
        <v>0</v>
      </c>
      <c r="N1419" s="38">
        <v>0</v>
      </c>
      <c r="O1419" s="38">
        <v>0</v>
      </c>
      <c r="P1419" s="38">
        <v>1</v>
      </c>
      <c r="Q1419" s="38">
        <v>0</v>
      </c>
      <c r="R1419" s="38">
        <v>0</v>
      </c>
      <c r="S1419" s="38">
        <v>0</v>
      </c>
      <c r="T1419" s="38">
        <v>0</v>
      </c>
      <c r="U1419" s="29" cm="1">
        <f t="array" aca="1" ref="U1419" ca="1">+fair_value_gap(OFFSET(T1418,0,0,-1*$J$5,-1*$AA$1),OFFSET(E1418,0,0,-1*$J$5,1),F1419:T1419,0)</f>
        <v>14.613679214201577</v>
      </c>
      <c r="V1419" s="9" cm="1">
        <f t="array" aca="1" ref="V1419" ca="1">z_score_diff(OFFSET(U1419,0,0,$J$5*-1,1),OFFSET(E1419,0,0,$J$5*-1,1))</f>
        <v>0.19050759368624332</v>
      </c>
      <c r="W1419" s="9">
        <f t="shared" ca="1" si="221"/>
        <v>-4.1147677663510322E-3</v>
      </c>
      <c r="X1419" s="17">
        <f t="shared" ca="1" si="220"/>
        <v>-6.5769140314586527E-2</v>
      </c>
      <c r="Y1419" s="13">
        <f t="shared" si="226"/>
        <v>0</v>
      </c>
      <c r="Z1419" s="13">
        <f t="shared" si="226"/>
        <v>0</v>
      </c>
      <c r="AA1419">
        <f t="shared" ca="1" si="222"/>
        <v>1</v>
      </c>
      <c r="AB1419">
        <f t="shared" ca="1" si="223"/>
        <v>0</v>
      </c>
      <c r="AC1419" s="24">
        <f t="shared" ca="1" si="224"/>
        <v>-6.5769140314586527E-2</v>
      </c>
      <c r="AD1419" s="24">
        <f t="shared" ca="1" si="225"/>
        <v>0</v>
      </c>
    </row>
    <row r="1420" spans="3:30" x14ac:dyDescent="0.25">
      <c r="C1420" s="6">
        <v>1413</v>
      </c>
      <c r="D1420" s="35">
        <v>44019</v>
      </c>
      <c r="E1420" s="37">
        <v>13.260999999999999</v>
      </c>
      <c r="F1420" s="37">
        <v>38.857471958844123</v>
      </c>
      <c r="G1420" s="37">
        <v>43.69</v>
      </c>
      <c r="H1420" s="37">
        <v>2.568709444335501</v>
      </c>
      <c r="I1420" s="37">
        <v>53.397003407868311</v>
      </c>
      <c r="J1420" s="10">
        <v>0</v>
      </c>
      <c r="K1420" s="38">
        <v>0</v>
      </c>
      <c r="L1420" s="38">
        <v>0</v>
      </c>
      <c r="M1420" s="38">
        <v>0</v>
      </c>
      <c r="N1420" s="38">
        <v>0</v>
      </c>
      <c r="O1420" s="38">
        <v>0</v>
      </c>
      <c r="P1420" s="38">
        <v>1</v>
      </c>
      <c r="Q1420" s="38">
        <v>0</v>
      </c>
      <c r="R1420" s="38">
        <v>0</v>
      </c>
      <c r="S1420" s="38">
        <v>0</v>
      </c>
      <c r="T1420" s="38">
        <v>0</v>
      </c>
      <c r="U1420" s="29" cm="1">
        <f t="array" aca="1" ref="U1420" ca="1">+fair_value_gap(OFFSET(T1419,0,0,-1*$J$5,-1*$AA$1),OFFSET(E1419,0,0,-1*$J$5,1),F1420:T1420,0)</f>
        <v>14.394207589702901</v>
      </c>
      <c r="V1420" s="9" cm="1">
        <f t="array" aca="1" ref="V1420" ca="1">z_score_diff(OFFSET(U1420,0,0,$J$5*-1,1),OFFSET(E1420,0,0,$J$5*-1,1))</f>
        <v>8.8098795047459419E-2</v>
      </c>
      <c r="W1420" s="9">
        <f t="shared" ca="1" si="221"/>
        <v>-5.6942270165009669E-3</v>
      </c>
      <c r="X1420" s="17">
        <f t="shared" ca="1" si="220"/>
        <v>-5.8299072216642128E-2</v>
      </c>
      <c r="Y1420" s="13">
        <f t="shared" si="226"/>
        <v>0</v>
      </c>
      <c r="Z1420" s="13">
        <f t="shared" si="226"/>
        <v>0</v>
      </c>
      <c r="AA1420">
        <f t="shared" ca="1" si="222"/>
        <v>1</v>
      </c>
      <c r="AB1420">
        <f t="shared" ca="1" si="223"/>
        <v>0</v>
      </c>
      <c r="AC1420" s="24">
        <f t="shared" ca="1" si="224"/>
        <v>-5.8299072216642128E-2</v>
      </c>
      <c r="AD1420" s="24">
        <f t="shared" ca="1" si="225"/>
        <v>0</v>
      </c>
    </row>
    <row r="1421" spans="3:30" x14ac:dyDescent="0.25">
      <c r="C1421" s="6">
        <v>1414</v>
      </c>
      <c r="D1421" s="35">
        <v>44020</v>
      </c>
      <c r="E1421" s="37">
        <v>13.215</v>
      </c>
      <c r="F1421" s="37">
        <v>38.857542554808724</v>
      </c>
      <c r="G1421" s="37">
        <v>43.29</v>
      </c>
      <c r="H1421" s="37">
        <v>2.543930024789038</v>
      </c>
      <c r="I1421" s="37">
        <v>52.416382030627332</v>
      </c>
      <c r="J1421" s="10">
        <v>0</v>
      </c>
      <c r="K1421" s="38">
        <v>0</v>
      </c>
      <c r="L1421" s="38">
        <v>0</v>
      </c>
      <c r="M1421" s="38">
        <v>0</v>
      </c>
      <c r="N1421" s="38">
        <v>0</v>
      </c>
      <c r="O1421" s="38">
        <v>0</v>
      </c>
      <c r="P1421" s="38">
        <v>1</v>
      </c>
      <c r="Q1421" s="38">
        <v>0</v>
      </c>
      <c r="R1421" s="38">
        <v>0</v>
      </c>
      <c r="S1421" s="38">
        <v>0</v>
      </c>
      <c r="T1421" s="38">
        <v>0</v>
      </c>
      <c r="U1421" s="29" cm="1">
        <f t="array" aca="1" ref="U1421" ca="1">+fair_value_gap(OFFSET(T1420,0,0,-1*$J$5,-1*$AA$1),OFFSET(E1420,0,0,-1*$J$5,1),F1421:T1421,0)</f>
        <v>14.099796067388251</v>
      </c>
      <c r="V1421" s="9" cm="1">
        <f t="array" aca="1" ref="V1421" ca="1">z_score_diff(OFFSET(U1421,0,0,$J$5*-1,1),OFFSET(E1421,0,0,$J$5*-1,1))</f>
        <v>1.8090677677035552E-2</v>
      </c>
      <c r="W1421" s="9">
        <f t="shared" ca="1" si="221"/>
        <v>-5.5800367594342612E-3</v>
      </c>
      <c r="X1421" s="17">
        <f t="shared" ca="1" si="220"/>
        <v>-3.9120831648982786E-2</v>
      </c>
      <c r="Y1421" s="13">
        <f t="shared" si="226"/>
        <v>0</v>
      </c>
      <c r="Z1421" s="13">
        <f t="shared" si="226"/>
        <v>0</v>
      </c>
      <c r="AA1421">
        <f t="shared" ca="1" si="222"/>
        <v>1</v>
      </c>
      <c r="AB1421">
        <f t="shared" ca="1" si="223"/>
        <v>0</v>
      </c>
      <c r="AC1421" s="24">
        <f t="shared" ca="1" si="224"/>
        <v>-3.9120831648982786E-2</v>
      </c>
      <c r="AD1421" s="24">
        <f t="shared" ca="1" si="225"/>
        <v>0</v>
      </c>
    </row>
    <row r="1422" spans="3:30" x14ac:dyDescent="0.25">
      <c r="C1422" s="6">
        <v>1415</v>
      </c>
      <c r="D1422" s="35">
        <v>44021</v>
      </c>
      <c r="E1422" s="37">
        <v>13.16</v>
      </c>
      <c r="F1422" s="37">
        <v>38.311775421155929</v>
      </c>
      <c r="G1422" s="37">
        <v>43.2</v>
      </c>
      <c r="H1422" s="37">
        <v>2.5285242244093933</v>
      </c>
      <c r="I1422" s="37">
        <v>52.467980852055298</v>
      </c>
      <c r="J1422" s="10">
        <v>0</v>
      </c>
      <c r="K1422" s="38">
        <v>0</v>
      </c>
      <c r="L1422" s="38">
        <v>0</v>
      </c>
      <c r="M1422" s="38">
        <v>0</v>
      </c>
      <c r="N1422" s="38">
        <v>0</v>
      </c>
      <c r="O1422" s="38">
        <v>0</v>
      </c>
      <c r="P1422" s="38">
        <v>1</v>
      </c>
      <c r="Q1422" s="38">
        <v>0</v>
      </c>
      <c r="R1422" s="38">
        <v>0</v>
      </c>
      <c r="S1422" s="38">
        <v>0</v>
      </c>
      <c r="T1422" s="38">
        <v>0</v>
      </c>
      <c r="U1422" s="29" cm="1">
        <f t="array" aca="1" ref="U1422" ca="1">+fair_value_gap(OFFSET(T1421,0,0,-1*$J$5,-1*$AA$1),OFFSET(E1421,0,0,-1*$J$5,1),F1422:T1422,0)</f>
        <v>13.986393580760303</v>
      </c>
      <c r="V1422" s="9" cm="1">
        <f t="array" aca="1" ref="V1422" ca="1">z_score_diff(OFFSET(U1422,0,0,$J$5*-1,1),OFFSET(E1422,0,0,$J$5*-1,1))</f>
        <v>1.2177485134956256E-3</v>
      </c>
      <c r="W1422" s="9">
        <f t="shared" ca="1" si="221"/>
        <v>-3.506643033715577E-3</v>
      </c>
      <c r="X1422" s="17">
        <f t="shared" ca="1" si="220"/>
        <v>-2.1040475180720476E-2</v>
      </c>
      <c r="Y1422" s="13">
        <f t="shared" si="226"/>
        <v>0</v>
      </c>
      <c r="Z1422" s="13">
        <f t="shared" si="226"/>
        <v>0</v>
      </c>
      <c r="AA1422">
        <f t="shared" ca="1" si="222"/>
        <v>1</v>
      </c>
      <c r="AB1422">
        <f t="shared" ca="1" si="223"/>
        <v>0</v>
      </c>
      <c r="AC1422" s="24">
        <f t="shared" ca="1" si="224"/>
        <v>-2.1040475180720476E-2</v>
      </c>
      <c r="AD1422" s="24">
        <f t="shared" ca="1" si="225"/>
        <v>0</v>
      </c>
    </row>
    <row r="1423" spans="3:30" x14ac:dyDescent="0.25">
      <c r="C1423" s="6">
        <v>1416</v>
      </c>
      <c r="D1423" s="35">
        <v>44022</v>
      </c>
      <c r="E1423" s="37">
        <v>13.037000000000001</v>
      </c>
      <c r="F1423" s="37">
        <v>39.021329545174147</v>
      </c>
      <c r="G1423" s="37">
        <v>42.23</v>
      </c>
      <c r="H1423" s="37">
        <v>2.528279007793691</v>
      </c>
      <c r="I1423" s="37">
        <v>52.081313823843544</v>
      </c>
      <c r="J1423" s="10">
        <v>0</v>
      </c>
      <c r="K1423" s="38">
        <v>0</v>
      </c>
      <c r="L1423" s="38">
        <v>0</v>
      </c>
      <c r="M1423" s="38">
        <v>0</v>
      </c>
      <c r="N1423" s="38">
        <v>0</v>
      </c>
      <c r="O1423" s="38">
        <v>0</v>
      </c>
      <c r="P1423" s="38">
        <v>1</v>
      </c>
      <c r="Q1423" s="38">
        <v>0</v>
      </c>
      <c r="R1423" s="38">
        <v>0</v>
      </c>
      <c r="S1423" s="38">
        <v>0</v>
      </c>
      <c r="T1423" s="38">
        <v>0</v>
      </c>
      <c r="U1423" s="29" cm="1">
        <f t="array" aca="1" ref="U1423" ca="1">+fair_value_gap(OFFSET(T1422,0,0,-1*$J$5,-1*$AA$1),OFFSET(E1422,0,0,-1*$J$5,1),F1423:T1423,0)</f>
        <v>13.51129173457038</v>
      </c>
      <c r="V1423" s="9" cm="1">
        <f t="array" aca="1" ref="V1423" ca="1">z_score_diff(OFFSET(U1423,0,0,$J$5*-1,1),OFFSET(E1423,0,0,$J$5*-1,1))</f>
        <v>-9.8943389950805941E-2</v>
      </c>
      <c r="W1423" s="9">
        <f t="shared" ca="1" si="221"/>
        <v>-5.4001449819218641E-3</v>
      </c>
      <c r="X1423" s="17">
        <f t="shared" ca="1" si="220"/>
        <v>-2.1711328124488775E-2</v>
      </c>
      <c r="Y1423" s="13">
        <f t="shared" si="226"/>
        <v>0</v>
      </c>
      <c r="Z1423" s="13">
        <f t="shared" si="226"/>
        <v>0</v>
      </c>
      <c r="AA1423">
        <f t="shared" ca="1" si="222"/>
        <v>1</v>
      </c>
      <c r="AB1423">
        <f t="shared" ca="1" si="223"/>
        <v>0</v>
      </c>
      <c r="AC1423" s="24">
        <f t="shared" ca="1" si="224"/>
        <v>-2.1711328124488775E-2</v>
      </c>
      <c r="AD1423" s="24">
        <f t="shared" ca="1" si="225"/>
        <v>0</v>
      </c>
    </row>
    <row r="1424" spans="3:30" x14ac:dyDescent="0.25">
      <c r="C1424" s="6">
        <v>1417</v>
      </c>
      <c r="D1424" s="35">
        <v>44025</v>
      </c>
      <c r="E1424" s="37">
        <v>13.12</v>
      </c>
      <c r="F1424" s="37">
        <v>38.489221262551787</v>
      </c>
      <c r="G1424" s="37">
        <v>43.96</v>
      </c>
      <c r="H1424" s="37">
        <v>2.5156239028158134</v>
      </c>
      <c r="I1424" s="37">
        <v>52.138192542658516</v>
      </c>
      <c r="J1424" s="10">
        <v>0</v>
      </c>
      <c r="K1424" s="38">
        <v>0</v>
      </c>
      <c r="L1424" s="38">
        <v>0</v>
      </c>
      <c r="M1424" s="38">
        <v>0</v>
      </c>
      <c r="N1424" s="38">
        <v>0</v>
      </c>
      <c r="O1424" s="38">
        <v>0</v>
      </c>
      <c r="P1424" s="38">
        <v>1</v>
      </c>
      <c r="Q1424" s="38">
        <v>0</v>
      </c>
      <c r="R1424" s="38">
        <v>0</v>
      </c>
      <c r="S1424" s="38">
        <v>0</v>
      </c>
      <c r="T1424" s="38">
        <v>0</v>
      </c>
      <c r="U1424" s="29" cm="1">
        <f t="array" aca="1" ref="U1424" ca="1">+fair_value_gap(OFFSET(T1423,0,0,-1*$J$5,-1*$AA$1),OFFSET(E1423,0,0,-1*$J$5,1),F1424:T1424,0)</f>
        <v>14.065544376828903</v>
      </c>
      <c r="V1424" s="9" cm="1">
        <f t="array" aca="1" ref="V1424" ca="1">z_score_diff(OFFSET(U1424,0,0,$J$5*-1,1),OFFSET(E1424,0,0,$J$5*-1,1))</f>
        <v>3.4676212895849746E-2</v>
      </c>
      <c r="W1424" s="9">
        <f t="shared" ca="1" si="221"/>
        <v>2.0725682208120053E-3</v>
      </c>
      <c r="X1424" s="17">
        <f t="shared" ca="1" si="220"/>
        <v>-3.0333492480457153E-2</v>
      </c>
      <c r="Y1424" s="13">
        <f t="shared" si="226"/>
        <v>0</v>
      </c>
      <c r="Z1424" s="13">
        <f t="shared" si="226"/>
        <v>0</v>
      </c>
      <c r="AA1424">
        <f t="shared" ca="1" si="222"/>
        <v>0</v>
      </c>
      <c r="AB1424">
        <f t="shared" ca="1" si="223"/>
        <v>1</v>
      </c>
      <c r="AC1424" s="24">
        <f t="shared" ca="1" si="224"/>
        <v>0</v>
      </c>
      <c r="AD1424" s="24">
        <f t="shared" ca="1" si="225"/>
        <v>-3.0333492480457153E-2</v>
      </c>
    </row>
    <row r="1425" spans="3:30" x14ac:dyDescent="0.25">
      <c r="C1425" s="6">
        <v>1418</v>
      </c>
      <c r="D1425" s="35">
        <v>44026</v>
      </c>
      <c r="E1425" s="37">
        <v>12.954000000000001</v>
      </c>
      <c r="F1425" s="37">
        <v>38.491120123059709</v>
      </c>
      <c r="G1425" s="37">
        <v>42.72</v>
      </c>
      <c r="H1425" s="37">
        <v>2.5206264858061806</v>
      </c>
      <c r="I1425" s="37">
        <v>52.090616696965455</v>
      </c>
      <c r="J1425" s="10">
        <v>0</v>
      </c>
      <c r="K1425" s="38">
        <v>0</v>
      </c>
      <c r="L1425" s="38">
        <v>0</v>
      </c>
      <c r="M1425" s="38">
        <v>0</v>
      </c>
      <c r="N1425" s="38">
        <v>0</v>
      </c>
      <c r="O1425" s="38">
        <v>0</v>
      </c>
      <c r="P1425" s="38">
        <v>1</v>
      </c>
      <c r="Q1425" s="38">
        <v>0</v>
      </c>
      <c r="R1425" s="38">
        <v>0</v>
      </c>
      <c r="S1425" s="38">
        <v>0</v>
      </c>
      <c r="T1425" s="38">
        <v>0</v>
      </c>
      <c r="U1425" s="29" cm="1">
        <f t="array" aca="1" ref="U1425" ca="1">+fair_value_gap(OFFSET(T1424,0,0,-1*$J$5,-1*$AA$1),OFFSET(E1424,0,0,-1*$J$5,1),F1425:T1425,0)</f>
        <v>13.5251906808321</v>
      </c>
      <c r="V1425" s="9" cm="1">
        <f t="array" aca="1" ref="V1425" ca="1">z_score_diff(OFFSET(U1425,0,0,$J$5*-1,1),OFFSET(E1425,0,0,$J$5*-1,1))</f>
        <v>-7.2541649861406515E-2</v>
      </c>
      <c r="W1425" s="9">
        <f t="shared" ca="1" si="221"/>
        <v>3.1897983681647328E-3</v>
      </c>
      <c r="X1425" s="17">
        <f t="shared" ca="1" si="220"/>
        <v>-6.8941750270177888E-3</v>
      </c>
      <c r="Y1425" s="13">
        <f t="shared" si="226"/>
        <v>0</v>
      </c>
      <c r="Z1425" s="13">
        <f t="shared" si="226"/>
        <v>0</v>
      </c>
      <c r="AA1425">
        <f t="shared" ca="1" si="222"/>
        <v>0</v>
      </c>
      <c r="AB1425">
        <f t="shared" ca="1" si="223"/>
        <v>1</v>
      </c>
      <c r="AC1425" s="24">
        <f t="shared" ca="1" si="224"/>
        <v>0</v>
      </c>
      <c r="AD1425" s="24">
        <f t="shared" ca="1" si="225"/>
        <v>-6.8941750270177888E-3</v>
      </c>
    </row>
    <row r="1426" spans="3:30" x14ac:dyDescent="0.25">
      <c r="C1426" s="6">
        <v>1419</v>
      </c>
      <c r="D1426" s="35">
        <v>44027</v>
      </c>
      <c r="E1426" s="37">
        <v>12.885999999999999</v>
      </c>
      <c r="F1426" s="37">
        <v>38.907517407142997</v>
      </c>
      <c r="G1426" s="37">
        <v>43.38</v>
      </c>
      <c r="H1426" s="37">
        <v>2.5205228863128974</v>
      </c>
      <c r="I1426" s="37">
        <v>50.925384493198607</v>
      </c>
      <c r="J1426" s="10">
        <v>0</v>
      </c>
      <c r="K1426" s="38">
        <v>0</v>
      </c>
      <c r="L1426" s="38">
        <v>0</v>
      </c>
      <c r="M1426" s="38">
        <v>0</v>
      </c>
      <c r="N1426" s="38">
        <v>0</v>
      </c>
      <c r="O1426" s="38">
        <v>0</v>
      </c>
      <c r="P1426" s="38">
        <v>1</v>
      </c>
      <c r="Q1426" s="38">
        <v>0</v>
      </c>
      <c r="R1426" s="38">
        <v>0</v>
      </c>
      <c r="S1426" s="38">
        <v>0</v>
      </c>
      <c r="T1426" s="38">
        <v>0</v>
      </c>
      <c r="U1426" s="29" cm="1">
        <f t="array" aca="1" ref="U1426" ca="1">+fair_value_gap(OFFSET(T1425,0,0,-1*$J$5,-1*$AA$1),OFFSET(E1425,0,0,-1*$J$5,1),F1426:T1426,0)</f>
        <v>13.615566714330019</v>
      </c>
      <c r="V1426" s="9" cm="1">
        <f t="array" aca="1" ref="V1426" ca="1">z_score_diff(OFFSET(U1426,0,0,$J$5*-1,1),OFFSET(E1426,0,0,$J$5*-1,1))</f>
        <v>-2.7075914978405308E-2</v>
      </c>
      <c r="W1426" s="9">
        <f t="shared" ca="1" si="221"/>
        <v>1.0169077214361721E-2</v>
      </c>
      <c r="X1426" s="17">
        <f t="shared" ca="1" si="220"/>
        <v>-8.4947711072645496E-3</v>
      </c>
      <c r="Y1426" s="13">
        <f t="shared" si="226"/>
        <v>0</v>
      </c>
      <c r="Z1426" s="13">
        <f t="shared" si="226"/>
        <v>0</v>
      </c>
      <c r="AA1426">
        <f t="shared" ca="1" si="222"/>
        <v>0</v>
      </c>
      <c r="AB1426">
        <f t="shared" ca="1" si="223"/>
        <v>1</v>
      </c>
      <c r="AC1426" s="24">
        <f t="shared" ca="1" si="224"/>
        <v>0</v>
      </c>
      <c r="AD1426" s="24">
        <f t="shared" ca="1" si="225"/>
        <v>-8.4947711072645496E-3</v>
      </c>
    </row>
    <row r="1427" spans="3:30" x14ac:dyDescent="0.25">
      <c r="C1427" s="6">
        <v>1420</v>
      </c>
      <c r="D1427" s="35">
        <v>44028</v>
      </c>
      <c r="E1427" s="37">
        <v>12.718999999999999</v>
      </c>
      <c r="F1427" s="37">
        <v>38.716823838014058</v>
      </c>
      <c r="G1427" s="37">
        <v>42.79</v>
      </c>
      <c r="H1427" s="37">
        <v>2.5154998538822695</v>
      </c>
      <c r="I1427" s="37">
        <v>50.922466607286289</v>
      </c>
      <c r="J1427" s="10">
        <v>0</v>
      </c>
      <c r="K1427" s="38">
        <v>0</v>
      </c>
      <c r="L1427" s="38">
        <v>0</v>
      </c>
      <c r="M1427" s="38">
        <v>0</v>
      </c>
      <c r="N1427" s="38">
        <v>0</v>
      </c>
      <c r="O1427" s="38">
        <v>0</v>
      </c>
      <c r="P1427" s="38">
        <v>1</v>
      </c>
      <c r="Q1427" s="38">
        <v>0</v>
      </c>
      <c r="R1427" s="38">
        <v>0</v>
      </c>
      <c r="S1427" s="38">
        <v>0</v>
      </c>
      <c r="T1427" s="38">
        <v>0</v>
      </c>
      <c r="U1427" s="29" cm="1">
        <f t="array" aca="1" ref="U1427" ca="1">+fair_value_gap(OFFSET(T1426,0,0,-1*$J$5,-1*$AA$1),OFFSET(E1426,0,0,-1*$J$5,1),F1427:T1427,0)</f>
        <v>13.341290074118323</v>
      </c>
      <c r="V1427" s="9" cm="1">
        <f t="array" aca="1" ref="V1427" ca="1">z_score_diff(OFFSET(U1427,0,0,$J$5*-1,1),OFFSET(E1427,0,0,$J$5*-1,1))</f>
        <v>-5.7558442498350043E-2</v>
      </c>
      <c r="W1427" s="9">
        <f t="shared" ca="1" si="221"/>
        <v>1.4502045391746205E-2</v>
      </c>
      <c r="X1427" s="17">
        <f t="shared" ca="1" si="220"/>
        <v>1.102478034012596E-2</v>
      </c>
      <c r="Y1427" s="13">
        <f t="shared" si="226"/>
        <v>0</v>
      </c>
      <c r="Z1427" s="13">
        <f t="shared" si="226"/>
        <v>0</v>
      </c>
      <c r="AA1427">
        <f t="shared" ca="1" si="222"/>
        <v>0</v>
      </c>
      <c r="AB1427">
        <f t="shared" ca="1" si="223"/>
        <v>1</v>
      </c>
      <c r="AC1427" s="24">
        <f t="shared" ca="1" si="224"/>
        <v>0</v>
      </c>
      <c r="AD1427" s="24">
        <f t="shared" ca="1" si="225"/>
        <v>1.102478034012596E-2</v>
      </c>
    </row>
    <row r="1428" spans="3:30" x14ac:dyDescent="0.25">
      <c r="C1428" s="6">
        <v>1421</v>
      </c>
      <c r="D1428" s="35">
        <v>44029</v>
      </c>
      <c r="E1428" s="37">
        <v>12.727</v>
      </c>
      <c r="F1428" s="37">
        <v>38.509266973183813</v>
      </c>
      <c r="G1428" s="37">
        <v>42.04</v>
      </c>
      <c r="H1428" s="37">
        <v>2.5045402417046909</v>
      </c>
      <c r="I1428" s="37">
        <v>51.24111559228804</v>
      </c>
      <c r="J1428" s="10">
        <v>0</v>
      </c>
      <c r="K1428" s="38">
        <v>0</v>
      </c>
      <c r="L1428" s="38">
        <v>0</v>
      </c>
      <c r="M1428" s="38">
        <v>0</v>
      </c>
      <c r="N1428" s="38">
        <v>0</v>
      </c>
      <c r="O1428" s="38">
        <v>0</v>
      </c>
      <c r="P1428" s="38">
        <v>1</v>
      </c>
      <c r="Q1428" s="38">
        <v>0</v>
      </c>
      <c r="R1428" s="38">
        <v>0</v>
      </c>
      <c r="S1428" s="38">
        <v>0</v>
      </c>
      <c r="T1428" s="38">
        <v>0</v>
      </c>
      <c r="U1428" s="29" cm="1">
        <f t="array" aca="1" ref="U1428" ca="1">+fair_value_gap(OFFSET(T1427,0,0,-1*$J$5,-1*$AA$1),OFFSET(E1427,0,0,-1*$J$5,1),F1428:T1428,0)</f>
        <v>13.047455880920527</v>
      </c>
      <c r="V1428" s="9" cm="1">
        <f t="array" aca="1" ref="V1428" ca="1">z_score_diff(OFFSET(U1428,0,0,$J$5*-1,1),OFFSET(E1428,0,0,$J$5*-1,1))</f>
        <v>-0.14650691251622375</v>
      </c>
      <c r="W1428" s="9">
        <f t="shared" ca="1" si="221"/>
        <v>1.6081467870928855E-2</v>
      </c>
      <c r="X1428" s="17">
        <f t="shared" ca="1" si="220"/>
        <v>3.4443559237780065E-2</v>
      </c>
      <c r="Y1428" s="13">
        <f t="shared" si="226"/>
        <v>0</v>
      </c>
      <c r="Z1428" s="13">
        <f t="shared" si="226"/>
        <v>0</v>
      </c>
      <c r="AA1428">
        <f t="shared" ca="1" si="222"/>
        <v>0</v>
      </c>
      <c r="AB1428">
        <f t="shared" ca="1" si="223"/>
        <v>1</v>
      </c>
      <c r="AC1428" s="24">
        <f t="shared" ca="1" si="224"/>
        <v>0</v>
      </c>
      <c r="AD1428" s="24">
        <f t="shared" ca="1" si="225"/>
        <v>3.4443559237780065E-2</v>
      </c>
    </row>
    <row r="1429" spans="3:30" x14ac:dyDescent="0.25">
      <c r="C1429" s="6">
        <v>1422</v>
      </c>
      <c r="D1429" s="35">
        <v>44032</v>
      </c>
      <c r="E1429" s="37">
        <v>12.188000000000001</v>
      </c>
      <c r="F1429" s="37">
        <v>38.620051098904931</v>
      </c>
      <c r="G1429" s="37">
        <v>40.56</v>
      </c>
      <c r="H1429" s="37">
        <v>2.4600920337224927</v>
      </c>
      <c r="I1429" s="37">
        <v>50.820436777288137</v>
      </c>
      <c r="J1429" s="10">
        <v>0</v>
      </c>
      <c r="K1429" s="38">
        <v>0</v>
      </c>
      <c r="L1429" s="38">
        <v>0</v>
      </c>
      <c r="M1429" s="38">
        <v>0</v>
      </c>
      <c r="N1429" s="38">
        <v>0</v>
      </c>
      <c r="O1429" s="38">
        <v>0</v>
      </c>
      <c r="P1429" s="38">
        <v>1</v>
      </c>
      <c r="Q1429" s="38">
        <v>0</v>
      </c>
      <c r="R1429" s="38">
        <v>0</v>
      </c>
      <c r="S1429" s="38">
        <v>0</v>
      </c>
      <c r="T1429" s="38">
        <v>0</v>
      </c>
      <c r="U1429" s="29" cm="1">
        <f t="array" aca="1" ref="U1429" ca="1">+fair_value_gap(OFFSET(T1428,0,0,-1*$J$5,-1*$AA$1),OFFSET(E1428,0,0,-1*$J$5,1),F1429:T1429,0)</f>
        <v>12.548756756869182</v>
      </c>
      <c r="V1429" s="9" cm="1">
        <f t="array" aca="1" ref="V1429" ca="1">z_score_diff(OFFSET(U1429,0,0,$J$5*-1,1),OFFSET(E1429,0,0,$J$5*-1,1))</f>
        <v>-0.1299675063883734</v>
      </c>
      <c r="W1429" s="9">
        <f t="shared" ca="1" si="221"/>
        <v>2.0755444520483911E-2</v>
      </c>
      <c r="X1429" s="17">
        <f t="shared" ca="1" si="220"/>
        <v>7.482856201404052E-2</v>
      </c>
      <c r="Y1429" s="13">
        <f t="shared" si="226"/>
        <v>0</v>
      </c>
      <c r="Z1429" s="13">
        <f t="shared" si="226"/>
        <v>0</v>
      </c>
      <c r="AA1429">
        <f t="shared" ca="1" si="222"/>
        <v>0</v>
      </c>
      <c r="AB1429">
        <f t="shared" ca="1" si="223"/>
        <v>1</v>
      </c>
      <c r="AC1429" s="24">
        <f t="shared" ca="1" si="224"/>
        <v>0</v>
      </c>
      <c r="AD1429" s="24">
        <f t="shared" ca="1" si="225"/>
        <v>7.482856201404052E-2</v>
      </c>
    </row>
    <row r="1430" spans="3:30" x14ac:dyDescent="0.25">
      <c r="C1430" s="6">
        <v>1423</v>
      </c>
      <c r="D1430" s="35">
        <v>44033</v>
      </c>
      <c r="E1430" s="37">
        <v>12.28</v>
      </c>
      <c r="F1430" s="37">
        <v>39.183639621086598</v>
      </c>
      <c r="G1430" s="37">
        <v>40.4</v>
      </c>
      <c r="H1430" s="37">
        <v>2.4472498026132792</v>
      </c>
      <c r="I1430" s="37">
        <v>51.182333499765896</v>
      </c>
      <c r="J1430" s="10">
        <v>0</v>
      </c>
      <c r="K1430" s="38">
        <v>0</v>
      </c>
      <c r="L1430" s="38">
        <v>0</v>
      </c>
      <c r="M1430" s="38">
        <v>0</v>
      </c>
      <c r="N1430" s="38">
        <v>0</v>
      </c>
      <c r="O1430" s="38">
        <v>0</v>
      </c>
      <c r="P1430" s="38">
        <v>1</v>
      </c>
      <c r="Q1430" s="38">
        <v>0</v>
      </c>
      <c r="R1430" s="38">
        <v>0</v>
      </c>
      <c r="S1430" s="38">
        <v>0</v>
      </c>
      <c r="T1430" s="38">
        <v>0</v>
      </c>
      <c r="U1430" s="29" cm="1">
        <f t="array" aca="1" ref="U1430" ca="1">+fair_value_gap(OFFSET(T1429,0,0,-1*$J$5,-1*$AA$1),OFFSET(E1429,0,0,-1*$J$5,1),F1430:T1430,0)</f>
        <v>12.450768380789327</v>
      </c>
      <c r="V1430" s="9" cm="1">
        <f t="array" aca="1" ref="V1430" ca="1">z_score_diff(OFFSET(U1430,0,0,$J$5*-1,1),OFFSET(E1430,0,0,$J$5*-1,1))</f>
        <v>-0.18705175772889238</v>
      </c>
      <c r="W1430" s="9">
        <f t="shared" ca="1" si="221"/>
        <v>2.1407599196153919E-2</v>
      </c>
      <c r="X1430" s="17">
        <f t="shared" ca="1" si="220"/>
        <v>8.1144580969434194E-2</v>
      </c>
      <c r="Y1430" s="13">
        <f t="shared" si="226"/>
        <v>0</v>
      </c>
      <c r="Z1430" s="13">
        <f t="shared" si="226"/>
        <v>0</v>
      </c>
      <c r="AA1430">
        <f t="shared" ca="1" si="222"/>
        <v>0</v>
      </c>
      <c r="AB1430">
        <f t="shared" ca="1" si="223"/>
        <v>1</v>
      </c>
      <c r="AC1430" s="24">
        <f t="shared" ca="1" si="224"/>
        <v>0</v>
      </c>
      <c r="AD1430" s="24">
        <f t="shared" ca="1" si="225"/>
        <v>8.1144580969434194E-2</v>
      </c>
    </row>
    <row r="1431" spans="3:30" x14ac:dyDescent="0.25">
      <c r="C1431" s="6">
        <v>1424</v>
      </c>
      <c r="D1431" s="35">
        <v>44034</v>
      </c>
      <c r="E1431" s="37">
        <v>12.289</v>
      </c>
      <c r="F1431" s="37">
        <v>39.103385115407924</v>
      </c>
      <c r="G1431" s="37">
        <v>40.56</v>
      </c>
      <c r="H1431" s="37">
        <v>2.4324491819533964</v>
      </c>
      <c r="I1431" s="37">
        <v>51.041838814521014</v>
      </c>
      <c r="J1431" s="10">
        <v>0</v>
      </c>
      <c r="K1431" s="38">
        <v>0</v>
      </c>
      <c r="L1431" s="38">
        <v>0</v>
      </c>
      <c r="M1431" s="38">
        <v>0</v>
      </c>
      <c r="N1431" s="38">
        <v>0</v>
      </c>
      <c r="O1431" s="38">
        <v>0</v>
      </c>
      <c r="P1431" s="38">
        <v>1</v>
      </c>
      <c r="Q1431" s="38">
        <v>0</v>
      </c>
      <c r="R1431" s="38">
        <v>0</v>
      </c>
      <c r="S1431" s="38">
        <v>0</v>
      </c>
      <c r="T1431" s="38">
        <v>0</v>
      </c>
      <c r="U1431" s="29" cm="1">
        <f t="array" aca="1" ref="U1431" ca="1">+fair_value_gap(OFFSET(T1430,0,0,-1*$J$5,-1*$AA$1),OFFSET(E1430,0,0,-1*$J$5,1),F1431:T1431,0)</f>
        <v>12.416037106481568</v>
      </c>
      <c r="V1431" s="9" cm="1">
        <f t="array" aca="1" ref="V1431" ca="1">z_score_diff(OFFSET(U1431,0,0,$J$5*-1,1),OFFSET(E1431,0,0,$J$5*-1,1))</f>
        <v>-0.20053085487417421</v>
      </c>
      <c r="W1431" s="9">
        <f t="shared" ca="1" si="221"/>
        <v>1.7785474963077842E-2</v>
      </c>
      <c r="X1431" s="17">
        <f t="shared" ca="1" si="220"/>
        <v>8.5504831375990256E-2</v>
      </c>
      <c r="Y1431" s="13">
        <f t="shared" si="226"/>
        <v>0</v>
      </c>
      <c r="Z1431" s="13">
        <f t="shared" si="226"/>
        <v>0</v>
      </c>
      <c r="AA1431">
        <f t="shared" ca="1" si="222"/>
        <v>0</v>
      </c>
      <c r="AB1431">
        <f t="shared" ca="1" si="223"/>
        <v>1</v>
      </c>
      <c r="AC1431" s="24">
        <f t="shared" ca="1" si="224"/>
        <v>0</v>
      </c>
      <c r="AD1431" s="24">
        <f t="shared" ca="1" si="225"/>
        <v>8.5504831375990256E-2</v>
      </c>
    </row>
    <row r="1432" spans="3:30" x14ac:dyDescent="0.25">
      <c r="C1432" s="6">
        <v>1425</v>
      </c>
      <c r="D1432" s="35">
        <v>44035</v>
      </c>
      <c r="E1432" s="37">
        <v>12.311</v>
      </c>
      <c r="F1432" s="37">
        <v>38.352549692964864</v>
      </c>
      <c r="G1432" s="37">
        <v>41.44</v>
      </c>
      <c r="H1432" s="37">
        <v>2.4600605222990226</v>
      </c>
      <c r="I1432" s="37">
        <v>50.463881174953769</v>
      </c>
      <c r="J1432" s="10">
        <v>0</v>
      </c>
      <c r="K1432" s="38">
        <v>0</v>
      </c>
      <c r="L1432" s="38">
        <v>0</v>
      </c>
      <c r="M1432" s="38">
        <v>0</v>
      </c>
      <c r="N1432" s="38">
        <v>0</v>
      </c>
      <c r="O1432" s="38">
        <v>0</v>
      </c>
      <c r="P1432" s="38">
        <v>1</v>
      </c>
      <c r="Q1432" s="38">
        <v>0</v>
      </c>
      <c r="R1432" s="38">
        <v>0</v>
      </c>
      <c r="S1432" s="38">
        <v>0</v>
      </c>
      <c r="T1432" s="38">
        <v>0</v>
      </c>
      <c r="U1432" s="29" cm="1">
        <f t="array" aca="1" ref="U1432" ca="1">+fair_value_gap(OFFSET(T1431,0,0,-1*$J$5,-1*$AA$1),OFFSET(E1431,0,0,-1*$J$5,1),F1432:T1432,0)</f>
        <v>12.469298060006057</v>
      </c>
      <c r="V1432" s="9" cm="1">
        <f t="array" aca="1" ref="V1432" ca="1">z_score_diff(OFFSET(U1432,0,0,$J$5*-1,1),OFFSET(E1432,0,0,$J$5*-1,1))</f>
        <v>-0.19233514840637728</v>
      </c>
      <c r="W1432" s="9">
        <f t="shared" ca="1" si="221"/>
        <v>1.4705899744100328E-2</v>
      </c>
      <c r="X1432" s="17">
        <f t="shared" ca="1" si="220"/>
        <v>7.9973973783015004E-2</v>
      </c>
      <c r="Y1432" s="13">
        <f t="shared" si="226"/>
        <v>0</v>
      </c>
      <c r="Z1432" s="13">
        <f t="shared" si="226"/>
        <v>0</v>
      </c>
      <c r="AA1432">
        <f t="shared" ca="1" si="222"/>
        <v>0</v>
      </c>
      <c r="AB1432">
        <f t="shared" ca="1" si="223"/>
        <v>1</v>
      </c>
      <c r="AC1432" s="24">
        <f t="shared" ca="1" si="224"/>
        <v>0</v>
      </c>
      <c r="AD1432" s="24">
        <f t="shared" ca="1" si="225"/>
        <v>7.9973973783015004E-2</v>
      </c>
    </row>
    <row r="1433" spans="3:30" x14ac:dyDescent="0.25">
      <c r="C1433" s="6">
        <v>1426</v>
      </c>
      <c r="D1433" s="35">
        <v>44036</v>
      </c>
      <c r="E1433" s="37">
        <v>12.172000000000001</v>
      </c>
      <c r="F1433" s="37">
        <v>38.517766618903948</v>
      </c>
      <c r="G1433" s="37">
        <v>40.54</v>
      </c>
      <c r="H1433" s="37">
        <v>2.476142139786683</v>
      </c>
      <c r="I1433" s="37">
        <v>50.326008293110974</v>
      </c>
      <c r="J1433" s="10">
        <v>0</v>
      </c>
      <c r="K1433" s="38">
        <v>0</v>
      </c>
      <c r="L1433" s="38">
        <v>0</v>
      </c>
      <c r="M1433" s="38">
        <v>0</v>
      </c>
      <c r="N1433" s="38">
        <v>0</v>
      </c>
      <c r="O1433" s="38">
        <v>0</v>
      </c>
      <c r="P1433" s="38">
        <v>1</v>
      </c>
      <c r="Q1433" s="38">
        <v>0</v>
      </c>
      <c r="R1433" s="38">
        <v>0</v>
      </c>
      <c r="S1433" s="38">
        <v>0</v>
      </c>
      <c r="T1433" s="38">
        <v>0</v>
      </c>
      <c r="U1433" s="29" cm="1">
        <f t="array" aca="1" ref="U1433" ca="1">+fair_value_gap(OFFSET(T1432,0,0,-1*$J$5,-1*$AA$1),OFFSET(E1432,0,0,-1*$J$5,1),F1433:T1433,0)</f>
        <v>12.222459483936884</v>
      </c>
      <c r="V1433" s="9" cm="1">
        <f t="array" aca="1" ref="V1433" ca="1">z_score_diff(OFFSET(U1433,0,0,$J$5*-1,1),OFFSET(E1433,0,0,$J$5*-1,1))</f>
        <v>-0.22431931075965733</v>
      </c>
      <c r="W1433" s="9">
        <f t="shared" ca="1" si="221"/>
        <v>1.0064503828722916E-2</v>
      </c>
      <c r="X1433" s="17">
        <f t="shared" ca="1" si="220"/>
        <v>7.133430608292235E-2</v>
      </c>
      <c r="Y1433" s="13">
        <f t="shared" ref="Y1433:Z1448" si="227">+Y1432</f>
        <v>0</v>
      </c>
      <c r="Z1433" s="13">
        <f t="shared" si="227"/>
        <v>0</v>
      </c>
      <c r="AA1433">
        <f t="shared" ca="1" si="222"/>
        <v>0</v>
      </c>
      <c r="AB1433">
        <f t="shared" ca="1" si="223"/>
        <v>1</v>
      </c>
      <c r="AC1433" s="24">
        <f t="shared" ca="1" si="224"/>
        <v>0</v>
      </c>
      <c r="AD1433" s="24">
        <f t="shared" ca="1" si="225"/>
        <v>7.133430608292235E-2</v>
      </c>
    </row>
    <row r="1434" spans="3:30" x14ac:dyDescent="0.25">
      <c r="C1434" s="6">
        <v>1427</v>
      </c>
      <c r="D1434" s="35">
        <v>44039</v>
      </c>
      <c r="E1434" s="37">
        <v>11.868</v>
      </c>
      <c r="F1434" s="37">
        <v>38.487910761613115</v>
      </c>
      <c r="G1434" s="37">
        <v>39.6</v>
      </c>
      <c r="H1434" s="37">
        <v>2.4477667095251858</v>
      </c>
      <c r="I1434" s="37">
        <v>48.819723846485701</v>
      </c>
      <c r="J1434" s="10">
        <v>0</v>
      </c>
      <c r="K1434" s="38">
        <v>0</v>
      </c>
      <c r="L1434" s="38">
        <v>0</v>
      </c>
      <c r="M1434" s="38">
        <v>0</v>
      </c>
      <c r="N1434" s="38">
        <v>0</v>
      </c>
      <c r="O1434" s="38">
        <v>0</v>
      </c>
      <c r="P1434" s="38">
        <v>1</v>
      </c>
      <c r="Q1434" s="38">
        <v>0</v>
      </c>
      <c r="R1434" s="38">
        <v>0</v>
      </c>
      <c r="S1434" s="38">
        <v>0</v>
      </c>
      <c r="T1434" s="38">
        <v>0</v>
      </c>
      <c r="U1434" s="29" cm="1">
        <f t="array" aca="1" ref="U1434" ca="1">+fair_value_gap(OFFSET(T1433,0,0,-1*$J$5,-1*$AA$1),OFFSET(E1433,0,0,-1*$J$5,1),F1434:T1434,0)</f>
        <v>11.896881280029618</v>
      </c>
      <c r="V1434" s="9" cm="1">
        <f t="array" aca="1" ref="V1434" ca="1">z_score_diff(OFFSET(U1434,0,0,$J$5*-1,1),OFFSET(E1434,0,0,$J$5*-1,1))</f>
        <v>-0.22918228959416903</v>
      </c>
      <c r="W1434" s="9">
        <f t="shared" ca="1" si="221"/>
        <v>6.9255357920602447E-3</v>
      </c>
      <c r="X1434" s="17">
        <f t="shared" ca="1" si="220"/>
        <v>0.12780640788381489</v>
      </c>
      <c r="Y1434" s="13">
        <f t="shared" si="227"/>
        <v>0</v>
      </c>
      <c r="Z1434" s="13">
        <f t="shared" si="227"/>
        <v>0</v>
      </c>
      <c r="AA1434">
        <f t="shared" ca="1" si="222"/>
        <v>0</v>
      </c>
      <c r="AB1434">
        <f t="shared" ca="1" si="223"/>
        <v>1</v>
      </c>
      <c r="AC1434" s="24">
        <f t="shared" ca="1" si="224"/>
        <v>0</v>
      </c>
      <c r="AD1434" s="24">
        <f t="shared" ca="1" si="225"/>
        <v>0.12780640788381489</v>
      </c>
    </row>
    <row r="1435" spans="3:30" x14ac:dyDescent="0.25">
      <c r="C1435" s="6">
        <v>1428</v>
      </c>
      <c r="D1435" s="35">
        <v>44040</v>
      </c>
      <c r="E1435" s="37">
        <v>12.097</v>
      </c>
      <c r="F1435" s="37">
        <v>38.330979080294483</v>
      </c>
      <c r="G1435" s="37">
        <v>39.549999999999997</v>
      </c>
      <c r="H1435" s="37">
        <v>2.5021375257735463</v>
      </c>
      <c r="I1435" s="37">
        <v>48.699891381394096</v>
      </c>
      <c r="J1435" s="10">
        <v>0</v>
      </c>
      <c r="K1435" s="38">
        <v>0</v>
      </c>
      <c r="L1435" s="38">
        <v>0</v>
      </c>
      <c r="M1435" s="38">
        <v>0</v>
      </c>
      <c r="N1435" s="38">
        <v>0</v>
      </c>
      <c r="O1435" s="38">
        <v>0</v>
      </c>
      <c r="P1435" s="38">
        <v>1</v>
      </c>
      <c r="Q1435" s="38">
        <v>0</v>
      </c>
      <c r="R1435" s="38">
        <v>0</v>
      </c>
      <c r="S1435" s="38">
        <v>0</v>
      </c>
      <c r="T1435" s="38">
        <v>0</v>
      </c>
      <c r="U1435" s="29" cm="1">
        <f t="array" aca="1" ref="U1435" ca="1">+fair_value_gap(OFFSET(T1434,0,0,-1*$J$5,-1*$AA$1),OFFSET(E1434,0,0,-1*$J$5,1),F1435:T1435,0)</f>
        <v>11.893745347220289</v>
      </c>
      <c r="V1435" s="9" cm="1">
        <f t="array" aca="1" ref="V1435" ca="1">z_score_diff(OFFSET(U1435,0,0,$J$5*-1,1),OFFSET(E1435,0,0,$J$5*-1,1))</f>
        <v>-0.30226032146285037</v>
      </c>
      <c r="W1435" s="9">
        <f t="shared" ca="1" si="221"/>
        <v>-6.2017992917520195E-4</v>
      </c>
      <c r="X1435" s="17">
        <f t="shared" ca="1" si="220"/>
        <v>0.13532774465563638</v>
      </c>
      <c r="Y1435" s="13">
        <f t="shared" si="227"/>
        <v>0</v>
      </c>
      <c r="Z1435" s="13">
        <f t="shared" si="227"/>
        <v>0</v>
      </c>
      <c r="AA1435">
        <f t="shared" ca="1" si="222"/>
        <v>1</v>
      </c>
      <c r="AB1435">
        <f t="shared" ca="1" si="223"/>
        <v>0</v>
      </c>
      <c r="AC1435" s="24">
        <f t="shared" ca="1" si="224"/>
        <v>0.13532774465563638</v>
      </c>
      <c r="AD1435" s="24">
        <f t="shared" ca="1" si="225"/>
        <v>0</v>
      </c>
    </row>
    <row r="1436" spans="3:30" x14ac:dyDescent="0.25">
      <c r="C1436" s="6">
        <v>1429</v>
      </c>
      <c r="D1436" s="35">
        <v>44041</v>
      </c>
      <c r="E1436" s="37">
        <v>12.226000000000001</v>
      </c>
      <c r="F1436" s="37">
        <v>38.442877501787741</v>
      </c>
      <c r="G1436" s="37">
        <v>40.35</v>
      </c>
      <c r="H1436" s="37">
        <v>2.5442625611341492</v>
      </c>
      <c r="I1436" s="37">
        <v>49.152447817259393</v>
      </c>
      <c r="J1436" s="10">
        <v>0</v>
      </c>
      <c r="K1436" s="38">
        <v>0</v>
      </c>
      <c r="L1436" s="38">
        <v>0</v>
      </c>
      <c r="M1436" s="38">
        <v>0</v>
      </c>
      <c r="N1436" s="38">
        <v>0</v>
      </c>
      <c r="O1436" s="38">
        <v>0</v>
      </c>
      <c r="P1436" s="38">
        <v>1</v>
      </c>
      <c r="Q1436" s="38">
        <v>0</v>
      </c>
      <c r="R1436" s="38">
        <v>0</v>
      </c>
      <c r="S1436" s="38">
        <v>0</v>
      </c>
      <c r="T1436" s="38">
        <v>0</v>
      </c>
      <c r="U1436" s="29" cm="1">
        <f t="array" aca="1" ref="U1436" ca="1">+fair_value_gap(OFFSET(T1435,0,0,-1*$J$5,-1*$AA$1),OFFSET(E1435,0,0,-1*$J$5,1),F1436:T1436,0)</f>
        <v>12.140633884937211</v>
      </c>
      <c r="V1436" s="9" cm="1">
        <f t="array" aca="1" ref="V1436" ca="1">z_score_diff(OFFSET(U1436,0,0,$J$5*-1,1),OFFSET(E1436,0,0,$J$5*-1,1))</f>
        <v>-0.26664577635877429</v>
      </c>
      <c r="W1436" s="9">
        <f t="shared" ca="1" si="221"/>
        <v>-5.5579005936476203E-2</v>
      </c>
      <c r="X1436" s="17">
        <f t="shared" ca="1" si="220"/>
        <v>0.14069323640789697</v>
      </c>
      <c r="Y1436" s="13">
        <f t="shared" si="227"/>
        <v>0</v>
      </c>
      <c r="Z1436" s="13">
        <f t="shared" si="227"/>
        <v>0</v>
      </c>
      <c r="AA1436">
        <f t="shared" ca="1" si="222"/>
        <v>1</v>
      </c>
      <c r="AB1436">
        <f t="shared" ca="1" si="223"/>
        <v>0</v>
      </c>
      <c r="AC1436" s="24">
        <f t="shared" ca="1" si="224"/>
        <v>0.14069323640789697</v>
      </c>
      <c r="AD1436" s="24">
        <f t="shared" ca="1" si="225"/>
        <v>0</v>
      </c>
    </row>
    <row r="1437" spans="3:30" x14ac:dyDescent="0.25">
      <c r="C1437" s="6">
        <v>1430</v>
      </c>
      <c r="D1437" s="35">
        <v>44042</v>
      </c>
      <c r="E1437" s="37">
        <v>12.021000000000001</v>
      </c>
      <c r="F1437" s="37">
        <v>37.500021024905266</v>
      </c>
      <c r="G1437" s="37">
        <v>40.15</v>
      </c>
      <c r="H1437" s="37">
        <v>2.4472989724708301</v>
      </c>
      <c r="I1437" s="37">
        <v>50.081324333552551</v>
      </c>
      <c r="J1437" s="10">
        <v>0</v>
      </c>
      <c r="K1437" s="38">
        <v>0</v>
      </c>
      <c r="L1437" s="38">
        <v>0</v>
      </c>
      <c r="M1437" s="38">
        <v>0</v>
      </c>
      <c r="N1437" s="38">
        <v>0</v>
      </c>
      <c r="O1437" s="38">
        <v>0</v>
      </c>
      <c r="P1437" s="38">
        <v>1</v>
      </c>
      <c r="Q1437" s="38">
        <v>0</v>
      </c>
      <c r="R1437" s="38">
        <v>0</v>
      </c>
      <c r="S1437" s="38">
        <v>0</v>
      </c>
      <c r="T1437" s="38">
        <v>0</v>
      </c>
      <c r="U1437" s="29" cm="1">
        <f t="array" aca="1" ref="U1437" ca="1">+fair_value_gap(OFFSET(T1436,0,0,-1*$J$5,-1*$AA$1),OFFSET(E1436,0,0,-1*$J$5,1),F1437:T1437,0)</f>
        <v>12.141054599390301</v>
      </c>
      <c r="V1437" s="9" cm="1">
        <f t="array" aca="1" ref="V1437" ca="1">z_score_diff(OFFSET(U1437,0,0,$J$5*-1,1),OFFSET(E1437,0,0,$J$5*-1,1))</f>
        <v>-0.20163105637531697</v>
      </c>
      <c r="W1437" s="9">
        <f t="shared" ca="1" si="221"/>
        <v>-8.8334286657311439E-2</v>
      </c>
      <c r="X1437" s="17">
        <f t="shared" ca="1" si="220"/>
        <v>0.12862168062773788</v>
      </c>
      <c r="Y1437" s="13">
        <f t="shared" si="227"/>
        <v>0</v>
      </c>
      <c r="Z1437" s="13">
        <f t="shared" si="227"/>
        <v>0</v>
      </c>
      <c r="AA1437">
        <f t="shared" ca="1" si="222"/>
        <v>1</v>
      </c>
      <c r="AB1437">
        <f t="shared" ca="1" si="223"/>
        <v>0</v>
      </c>
      <c r="AC1437" s="24">
        <f t="shared" ca="1" si="224"/>
        <v>0.12862168062773788</v>
      </c>
      <c r="AD1437" s="24">
        <f t="shared" ca="1" si="225"/>
        <v>0</v>
      </c>
    </row>
    <row r="1438" spans="3:30" x14ac:dyDescent="0.25">
      <c r="C1438" s="6">
        <v>1431</v>
      </c>
      <c r="D1438" s="35">
        <v>44043</v>
      </c>
      <c r="E1438" s="37">
        <v>12.037000000000001</v>
      </c>
      <c r="F1438" s="37">
        <v>37.878499510658507</v>
      </c>
      <c r="G1438" s="37">
        <v>40.700000000000003</v>
      </c>
      <c r="H1438" s="37">
        <v>2.4395174763005611</v>
      </c>
      <c r="I1438" s="37">
        <v>50.456732822929432</v>
      </c>
      <c r="J1438" s="10">
        <v>0</v>
      </c>
      <c r="K1438" s="38">
        <v>0</v>
      </c>
      <c r="L1438" s="38">
        <v>0</v>
      </c>
      <c r="M1438" s="38">
        <v>0</v>
      </c>
      <c r="N1438" s="38">
        <v>0</v>
      </c>
      <c r="O1438" s="38">
        <v>0</v>
      </c>
      <c r="P1438" s="38">
        <v>1</v>
      </c>
      <c r="Q1438" s="38">
        <v>0</v>
      </c>
      <c r="R1438" s="38">
        <v>0</v>
      </c>
      <c r="S1438" s="38">
        <v>0</v>
      </c>
      <c r="T1438" s="38">
        <v>0</v>
      </c>
      <c r="U1438" s="29" cm="1">
        <f t="array" aca="1" ref="U1438" ca="1">+fair_value_gap(OFFSET(T1437,0,0,-1*$J$5,-1*$AA$1),OFFSET(E1437,0,0,-1*$J$5,1),F1438:T1438,0)</f>
        <v>12.282698365058332</v>
      </c>
      <c r="V1438" s="9" cm="1">
        <f t="array" aca="1" ref="V1438" ca="1">z_score_diff(OFFSET(U1438,0,0,$J$5*-1,1),OFFSET(E1438,0,0,$J$5*-1,1))</f>
        <v>-0.1622767898803314</v>
      </c>
      <c r="W1438" s="9">
        <f t="shared" ca="1" si="221"/>
        <v>-0.10831180469070123</v>
      </c>
      <c r="X1438" s="17">
        <f t="shared" ca="1" si="220"/>
        <v>0.15157196525931177</v>
      </c>
      <c r="Y1438" s="13">
        <f t="shared" si="227"/>
        <v>0</v>
      </c>
      <c r="Z1438" s="13">
        <f t="shared" si="227"/>
        <v>0</v>
      </c>
      <c r="AA1438">
        <f t="shared" ca="1" si="222"/>
        <v>1</v>
      </c>
      <c r="AB1438">
        <f t="shared" ca="1" si="223"/>
        <v>0</v>
      </c>
      <c r="AC1438" s="24">
        <f t="shared" ca="1" si="224"/>
        <v>0.15157196525931177</v>
      </c>
      <c r="AD1438" s="24">
        <f t="shared" ca="1" si="225"/>
        <v>0</v>
      </c>
    </row>
    <row r="1439" spans="3:30" x14ac:dyDescent="0.25">
      <c r="C1439" s="6">
        <v>1432</v>
      </c>
      <c r="D1439" s="35">
        <v>44046</v>
      </c>
      <c r="E1439" s="37">
        <v>12.282999999999999</v>
      </c>
      <c r="F1439" s="37">
        <v>38.933678055078111</v>
      </c>
      <c r="G1439" s="37">
        <v>40.630000000000003</v>
      </c>
      <c r="H1439" s="37">
        <v>2.5311973461395429</v>
      </c>
      <c r="I1439" s="37">
        <v>50.784899899955022</v>
      </c>
      <c r="J1439" s="10">
        <v>0</v>
      </c>
      <c r="K1439" s="38">
        <v>0</v>
      </c>
      <c r="L1439" s="38">
        <v>0</v>
      </c>
      <c r="M1439" s="38">
        <v>0</v>
      </c>
      <c r="N1439" s="38">
        <v>0</v>
      </c>
      <c r="O1439" s="38">
        <v>0</v>
      </c>
      <c r="P1439" s="38">
        <v>0</v>
      </c>
      <c r="Q1439" s="38">
        <v>1</v>
      </c>
      <c r="R1439" s="38">
        <v>0</v>
      </c>
      <c r="S1439" s="38">
        <v>0</v>
      </c>
      <c r="T1439" s="38">
        <v>0</v>
      </c>
      <c r="U1439" s="29" cm="1">
        <f t="array" aca="1" ref="U1439" ca="1">+fair_value_gap(OFFSET(T1438,0,0,-1*$J$5,-1*$AA$1),OFFSET(E1438,0,0,-1*$J$5,1),F1439:T1439,0)</f>
        <v>15.135898578610687</v>
      </c>
      <c r="V1439" s="9" cm="1">
        <f t="array" aca="1" ref="V1439" ca="1">z_score_diff(OFFSET(U1439,0,0,$J$5*-1,1),OFFSET(E1439,0,0,$J$5*-1,1))</f>
        <v>0.6629169747660999</v>
      </c>
      <c r="W1439" s="9">
        <f t="shared" ca="1" si="221"/>
        <v>-8.4691335636708415E-2</v>
      </c>
      <c r="X1439" s="17">
        <f t="shared" ca="1" si="220"/>
        <v>0.12719162855314087</v>
      </c>
      <c r="Y1439" s="13">
        <f t="shared" si="227"/>
        <v>0</v>
      </c>
      <c r="Z1439" s="13">
        <f t="shared" si="227"/>
        <v>0</v>
      </c>
      <c r="AA1439">
        <f t="shared" ca="1" si="222"/>
        <v>1</v>
      </c>
      <c r="AB1439">
        <f t="shared" ca="1" si="223"/>
        <v>0</v>
      </c>
      <c r="AC1439" s="24">
        <f t="shared" ca="1" si="224"/>
        <v>0.12719162855314087</v>
      </c>
      <c r="AD1439" s="24">
        <f t="shared" ca="1" si="225"/>
        <v>0</v>
      </c>
    </row>
    <row r="1440" spans="3:30" x14ac:dyDescent="0.25">
      <c r="C1440" s="6">
        <v>1433</v>
      </c>
      <c r="D1440" s="35">
        <v>44047</v>
      </c>
      <c r="E1440" s="37">
        <v>12.51</v>
      </c>
      <c r="F1440" s="37">
        <v>39.06434683939294</v>
      </c>
      <c r="G1440" s="37">
        <v>41.08</v>
      </c>
      <c r="H1440" s="37">
        <v>2.5530707767954235</v>
      </c>
      <c r="I1440" s="37">
        <v>50.52952579074276</v>
      </c>
      <c r="J1440" s="10">
        <v>0</v>
      </c>
      <c r="K1440" s="38">
        <v>0</v>
      </c>
      <c r="L1440" s="38">
        <v>0</v>
      </c>
      <c r="M1440" s="38">
        <v>0</v>
      </c>
      <c r="N1440" s="38">
        <v>0</v>
      </c>
      <c r="O1440" s="38">
        <v>0</v>
      </c>
      <c r="P1440" s="38">
        <v>0</v>
      </c>
      <c r="Q1440" s="38">
        <v>1</v>
      </c>
      <c r="R1440" s="38">
        <v>0</v>
      </c>
      <c r="S1440" s="38">
        <v>0</v>
      </c>
      <c r="T1440" s="38">
        <v>0</v>
      </c>
      <c r="U1440" s="29" cm="1">
        <f t="array" aca="1" ref="U1440" ca="1">+fair_value_gap(OFFSET(T1439,0,0,-1*$J$5,-1*$AA$1),OFFSET(E1439,0,0,-1*$J$5,1),F1440:T1440,0)</f>
        <v>14.421269441426384</v>
      </c>
      <c r="V1440" s="9" cm="1">
        <f t="array" aca="1" ref="V1440" ca="1">z_score_diff(OFFSET(U1440,0,0,$J$5*-1,1),OFFSET(E1440,0,0,$J$5*-1,1))</f>
        <v>0.36362444788098114</v>
      </c>
      <c r="W1440" s="9">
        <f t="shared" ca="1" si="221"/>
        <v>-7.0915052995032327E-2</v>
      </c>
      <c r="X1440" s="17">
        <f t="shared" ca="1" si="220"/>
        <v>0.1228328802747108</v>
      </c>
      <c r="Y1440" s="13">
        <f t="shared" si="227"/>
        <v>0</v>
      </c>
      <c r="Z1440" s="13">
        <f t="shared" si="227"/>
        <v>0</v>
      </c>
      <c r="AA1440">
        <f t="shared" ca="1" si="222"/>
        <v>1</v>
      </c>
      <c r="AB1440">
        <f t="shared" ca="1" si="223"/>
        <v>0</v>
      </c>
      <c r="AC1440" s="24">
        <f t="shared" ca="1" si="224"/>
        <v>0.1228328802747108</v>
      </c>
      <c r="AD1440" s="24">
        <f t="shared" ca="1" si="225"/>
        <v>0</v>
      </c>
    </row>
    <row r="1441" spans="3:30" x14ac:dyDescent="0.25">
      <c r="C1441" s="6">
        <v>1434</v>
      </c>
      <c r="D1441" s="35">
        <v>44048</v>
      </c>
      <c r="E1441" s="37">
        <v>12.708</v>
      </c>
      <c r="F1441" s="37">
        <v>39.434864887102272</v>
      </c>
      <c r="G1441" s="37">
        <v>41.54</v>
      </c>
      <c r="H1441" s="37">
        <v>2.5657429656160216</v>
      </c>
      <c r="I1441" s="37">
        <v>50.332555886348331</v>
      </c>
      <c r="J1441" s="10">
        <v>0</v>
      </c>
      <c r="K1441" s="38">
        <v>0</v>
      </c>
      <c r="L1441" s="38">
        <v>0</v>
      </c>
      <c r="M1441" s="38">
        <v>0</v>
      </c>
      <c r="N1441" s="38">
        <v>0</v>
      </c>
      <c r="O1441" s="38">
        <v>0</v>
      </c>
      <c r="P1441" s="38">
        <v>0</v>
      </c>
      <c r="Q1441" s="38">
        <v>1</v>
      </c>
      <c r="R1441" s="38">
        <v>0</v>
      </c>
      <c r="S1441" s="38">
        <v>0</v>
      </c>
      <c r="T1441" s="38">
        <v>0</v>
      </c>
      <c r="U1441" s="29" cm="1">
        <f t="array" aca="1" ref="U1441" ca="1">+fair_value_gap(OFFSET(T1440,0,0,-1*$J$5,-1*$AA$1),OFFSET(E1440,0,0,-1*$J$5,1),F1441:T1441,0)</f>
        <v>14.104116293491318</v>
      </c>
      <c r="V1441" s="9" cm="1">
        <f t="array" aca="1" ref="V1441" ca="1">z_score_diff(OFFSET(U1441,0,0,$J$5*-1,1),OFFSET(E1441,0,0,$J$5*-1,1))</f>
        <v>0.19854166458789621</v>
      </c>
      <c r="W1441" s="9">
        <f t="shared" ca="1" si="221"/>
        <v>-6.1892503649489283E-2</v>
      </c>
      <c r="X1441" s="17">
        <f t="shared" ca="1" si="220"/>
        <v>9.2674150656937279E-2</v>
      </c>
      <c r="Y1441" s="13">
        <f t="shared" si="227"/>
        <v>0</v>
      </c>
      <c r="Z1441" s="13">
        <f t="shared" si="227"/>
        <v>0</v>
      </c>
      <c r="AA1441">
        <f t="shared" ca="1" si="222"/>
        <v>1</v>
      </c>
      <c r="AB1441">
        <f t="shared" ca="1" si="223"/>
        <v>0</v>
      </c>
      <c r="AC1441" s="24">
        <f t="shared" ca="1" si="224"/>
        <v>9.2674150656937279E-2</v>
      </c>
      <c r="AD1441" s="24">
        <f t="shared" ca="1" si="225"/>
        <v>0</v>
      </c>
    </row>
    <row r="1442" spans="3:30" x14ac:dyDescent="0.25">
      <c r="C1442" s="6">
        <v>1435</v>
      </c>
      <c r="D1442" s="35">
        <v>44049</v>
      </c>
      <c r="E1442" s="37">
        <v>12.885999999999999</v>
      </c>
      <c r="F1442" s="37">
        <v>39.26382015156841</v>
      </c>
      <c r="G1442" s="37">
        <v>42.14</v>
      </c>
      <c r="H1442" s="37">
        <v>2.5613769855285975</v>
      </c>
      <c r="I1442" s="37">
        <v>50.044591282928543</v>
      </c>
      <c r="J1442" s="10">
        <v>0</v>
      </c>
      <c r="K1442" s="38">
        <v>0</v>
      </c>
      <c r="L1442" s="38">
        <v>0</v>
      </c>
      <c r="M1442" s="38">
        <v>0</v>
      </c>
      <c r="N1442" s="38">
        <v>0</v>
      </c>
      <c r="O1442" s="38">
        <v>0</v>
      </c>
      <c r="P1442" s="38">
        <v>0</v>
      </c>
      <c r="Q1442" s="38">
        <v>1</v>
      </c>
      <c r="R1442" s="38">
        <v>0</v>
      </c>
      <c r="S1442" s="38">
        <v>0</v>
      </c>
      <c r="T1442" s="38">
        <v>0</v>
      </c>
      <c r="U1442" s="29" cm="1">
        <f t="array" aca="1" ref="U1442" ca="1">+fair_value_gap(OFFSET(T1441,0,0,-1*$J$5,-1*$AA$1),OFFSET(E1441,0,0,-1*$J$5,1),F1442:T1442,0)</f>
        <v>14.044420701737049</v>
      </c>
      <c r="V1442" s="9" cm="1">
        <f t="array" aca="1" ref="V1442" ca="1">z_score_diff(OFFSET(U1442,0,0,$J$5*-1,1),OFFSET(E1442,0,0,$J$5*-1,1))</f>
        <v>0.12126515246968522</v>
      </c>
      <c r="W1442" s="9">
        <f t="shared" ca="1" si="221"/>
        <v>-5.5890133451679778E-2</v>
      </c>
      <c r="X1442" s="17">
        <f t="shared" ca="1" si="220"/>
        <v>9.3573173372796054E-2</v>
      </c>
      <c r="Y1442" s="13">
        <f t="shared" si="227"/>
        <v>0</v>
      </c>
      <c r="Z1442" s="13">
        <f t="shared" si="227"/>
        <v>0</v>
      </c>
      <c r="AA1442">
        <f t="shared" ca="1" si="222"/>
        <v>1</v>
      </c>
      <c r="AB1442">
        <f t="shared" ca="1" si="223"/>
        <v>0</v>
      </c>
      <c r="AC1442" s="24">
        <f t="shared" ca="1" si="224"/>
        <v>9.3573173372796054E-2</v>
      </c>
      <c r="AD1442" s="24">
        <f t="shared" ca="1" si="225"/>
        <v>0</v>
      </c>
    </row>
    <row r="1443" spans="3:30" x14ac:dyDescent="0.25">
      <c r="C1443" s="6">
        <v>1436</v>
      </c>
      <c r="D1443" s="35">
        <v>44050</v>
      </c>
      <c r="E1443" s="37">
        <v>12.757</v>
      </c>
      <c r="F1443" s="37">
        <v>38.935300804144532</v>
      </c>
      <c r="G1443" s="37">
        <v>42.08</v>
      </c>
      <c r="H1443" s="37">
        <v>2.6182236138754016</v>
      </c>
      <c r="I1443" s="37">
        <v>50.538983895980962</v>
      </c>
      <c r="J1443" s="10">
        <v>0</v>
      </c>
      <c r="K1443" s="38">
        <v>0</v>
      </c>
      <c r="L1443" s="38">
        <v>0</v>
      </c>
      <c r="M1443" s="38">
        <v>0</v>
      </c>
      <c r="N1443" s="38">
        <v>0</v>
      </c>
      <c r="O1443" s="38">
        <v>0</v>
      </c>
      <c r="P1443" s="38">
        <v>0</v>
      </c>
      <c r="Q1443" s="38">
        <v>1</v>
      </c>
      <c r="R1443" s="38">
        <v>0</v>
      </c>
      <c r="S1443" s="38">
        <v>0</v>
      </c>
      <c r="T1443" s="38">
        <v>0</v>
      </c>
      <c r="U1443" s="29" cm="1">
        <f t="array" aca="1" ref="U1443" ca="1">+fair_value_gap(OFFSET(T1442,0,0,-1*$J$5,-1*$AA$1),OFFSET(E1442,0,0,-1*$J$5,1),F1443:T1443,0)</f>
        <v>13.797727415290097</v>
      </c>
      <c r="V1443" s="9" cm="1">
        <f t="array" aca="1" ref="V1443" ca="1">z_score_diff(OFFSET(U1443,0,0,$J$5*-1,1),OFFSET(E1443,0,0,$J$5*-1,1))</f>
        <v>8.3362553928094787E-2</v>
      </c>
      <c r="W1443" s="9">
        <f t="shared" ca="1" si="221"/>
        <v>-4.6774836257734737E-2</v>
      </c>
      <c r="X1443" s="17">
        <f t="shared" ca="1" si="220"/>
        <v>9.7964730570144765E-2</v>
      </c>
      <c r="Y1443" s="13">
        <f t="shared" si="227"/>
        <v>0</v>
      </c>
      <c r="Z1443" s="13">
        <f t="shared" si="227"/>
        <v>0</v>
      </c>
      <c r="AA1443">
        <f t="shared" ca="1" si="222"/>
        <v>1</v>
      </c>
      <c r="AB1443">
        <f t="shared" ca="1" si="223"/>
        <v>0</v>
      </c>
      <c r="AC1443" s="24">
        <f t="shared" ca="1" si="224"/>
        <v>9.7964730570144765E-2</v>
      </c>
      <c r="AD1443" s="24">
        <f t="shared" ca="1" si="225"/>
        <v>0</v>
      </c>
    </row>
    <row r="1444" spans="3:30" x14ac:dyDescent="0.25">
      <c r="C1444" s="6">
        <v>1437</v>
      </c>
      <c r="D1444" s="35">
        <v>44053</v>
      </c>
      <c r="E1444" s="37">
        <v>12.728</v>
      </c>
      <c r="F1444" s="37">
        <v>39.592050031727936</v>
      </c>
      <c r="G1444" s="37">
        <v>42.07</v>
      </c>
      <c r="H1444" s="37">
        <v>2.5747133457530382</v>
      </c>
      <c r="I1444" s="37">
        <v>50.518675367246594</v>
      </c>
      <c r="J1444" s="10">
        <v>0</v>
      </c>
      <c r="K1444" s="38">
        <v>0</v>
      </c>
      <c r="L1444" s="38">
        <v>0</v>
      </c>
      <c r="M1444" s="38">
        <v>0</v>
      </c>
      <c r="N1444" s="38">
        <v>0</v>
      </c>
      <c r="O1444" s="38">
        <v>0</v>
      </c>
      <c r="P1444" s="38">
        <v>0</v>
      </c>
      <c r="Q1444" s="38">
        <v>1</v>
      </c>
      <c r="R1444" s="38">
        <v>0</v>
      </c>
      <c r="S1444" s="38">
        <v>0</v>
      </c>
      <c r="T1444" s="38">
        <v>0</v>
      </c>
      <c r="U1444" s="29" cm="1">
        <f t="array" aca="1" ref="U1444" ca="1">+fair_value_gap(OFFSET(T1443,0,0,-1*$J$5,-1*$AA$1),OFFSET(E1443,0,0,-1*$J$5,1),F1444:T1444,0)</f>
        <v>13.693810769612814</v>
      </c>
      <c r="V1444" s="9" cm="1">
        <f t="array" aca="1" ref="V1444" ca="1">z_score_diff(OFFSET(U1444,0,0,$J$5*-1,1),OFFSET(E1444,0,0,$J$5*-1,1))</f>
        <v>5.8849349485405579E-2</v>
      </c>
      <c r="W1444" s="9">
        <f t="shared" ca="1" si="221"/>
        <v>-4.5566179428256984E-2</v>
      </c>
      <c r="X1444" s="17">
        <f t="shared" ca="1" si="220"/>
        <v>5.9847894020463317E-2</v>
      </c>
      <c r="Y1444" s="13">
        <f t="shared" si="227"/>
        <v>0</v>
      </c>
      <c r="Z1444" s="13">
        <f t="shared" si="227"/>
        <v>0</v>
      </c>
      <c r="AA1444">
        <f t="shared" ca="1" si="222"/>
        <v>1</v>
      </c>
      <c r="AB1444">
        <f t="shared" ca="1" si="223"/>
        <v>0</v>
      </c>
      <c r="AC1444" s="24">
        <f t="shared" ca="1" si="224"/>
        <v>5.9847894020463317E-2</v>
      </c>
      <c r="AD1444" s="24">
        <f t="shared" ca="1" si="225"/>
        <v>0</v>
      </c>
    </row>
    <row r="1445" spans="3:30" x14ac:dyDescent="0.25">
      <c r="C1445" s="6">
        <v>1438</v>
      </c>
      <c r="D1445" s="35">
        <v>44054</v>
      </c>
      <c r="E1445" s="37">
        <v>12.865</v>
      </c>
      <c r="F1445" s="37">
        <v>39.341992869581894</v>
      </c>
      <c r="G1445" s="37">
        <v>41.82</v>
      </c>
      <c r="H1445" s="37">
        <v>2.5956554157162697</v>
      </c>
      <c r="I1445" s="37">
        <v>50.216601506667701</v>
      </c>
      <c r="J1445" s="10">
        <v>0</v>
      </c>
      <c r="K1445" s="38">
        <v>0</v>
      </c>
      <c r="L1445" s="38">
        <v>0</v>
      </c>
      <c r="M1445" s="38">
        <v>0</v>
      </c>
      <c r="N1445" s="38">
        <v>0</v>
      </c>
      <c r="O1445" s="38">
        <v>0</v>
      </c>
      <c r="P1445" s="38">
        <v>0</v>
      </c>
      <c r="Q1445" s="38">
        <v>1</v>
      </c>
      <c r="R1445" s="38">
        <v>0</v>
      </c>
      <c r="S1445" s="38">
        <v>0</v>
      </c>
      <c r="T1445" s="38">
        <v>0</v>
      </c>
      <c r="U1445" s="29" cm="1">
        <f t="array" aca="1" ref="U1445" ca="1">+fair_value_gap(OFFSET(T1444,0,0,-1*$J$5,-1*$AA$1),OFFSET(E1444,0,0,-1*$J$5,1),F1445:T1445,0)</f>
        <v>13.447250210545846</v>
      </c>
      <c r="V1445" s="9" cm="1">
        <f t="array" aca="1" ref="V1445" ca="1">z_score_diff(OFFSET(U1445,0,0,$J$5*-1,1),OFFSET(E1445,0,0,$J$5*-1,1))</f>
        <v>-6.7778811151847904E-2</v>
      </c>
      <c r="W1445" s="9">
        <f t="shared" ca="1" si="221"/>
        <v>-4.5328037492779041E-2</v>
      </c>
      <c r="X1445" s="17">
        <f t="shared" ca="1" si="220"/>
        <v>2.8807630623912325E-2</v>
      </c>
      <c r="Y1445" s="13">
        <f t="shared" si="227"/>
        <v>0</v>
      </c>
      <c r="Z1445" s="13">
        <f t="shared" si="227"/>
        <v>0</v>
      </c>
      <c r="AA1445">
        <f t="shared" ca="1" si="222"/>
        <v>1</v>
      </c>
      <c r="AB1445">
        <f t="shared" ca="1" si="223"/>
        <v>0</v>
      </c>
      <c r="AC1445" s="24">
        <f t="shared" ca="1" si="224"/>
        <v>2.8807630623912325E-2</v>
      </c>
      <c r="AD1445" s="24">
        <f t="shared" ca="1" si="225"/>
        <v>0</v>
      </c>
    </row>
    <row r="1446" spans="3:30" x14ac:dyDescent="0.25">
      <c r="C1446" s="6">
        <v>1439</v>
      </c>
      <c r="D1446" s="35">
        <v>44055</v>
      </c>
      <c r="E1446" s="37">
        <v>12.776999999999999</v>
      </c>
      <c r="F1446" s="37">
        <v>39.959533365956808</v>
      </c>
      <c r="G1446" s="37">
        <v>41.03</v>
      </c>
      <c r="H1446" s="37">
        <v>2.5819876149111263</v>
      </c>
      <c r="I1446" s="37">
        <v>49.99167509721542</v>
      </c>
      <c r="J1446" s="10">
        <v>0</v>
      </c>
      <c r="K1446" s="38">
        <v>0</v>
      </c>
      <c r="L1446" s="38">
        <v>0</v>
      </c>
      <c r="M1446" s="38">
        <v>0</v>
      </c>
      <c r="N1446" s="38">
        <v>0</v>
      </c>
      <c r="O1446" s="38">
        <v>0</v>
      </c>
      <c r="P1446" s="38">
        <v>0</v>
      </c>
      <c r="Q1446" s="38">
        <v>1</v>
      </c>
      <c r="R1446" s="38">
        <v>0</v>
      </c>
      <c r="S1446" s="38">
        <v>0</v>
      </c>
      <c r="T1446" s="38">
        <v>0</v>
      </c>
      <c r="U1446" s="29" cm="1">
        <f t="array" aca="1" ref="U1446" ca="1">+fair_value_gap(OFFSET(T1445,0,0,-1*$J$5,-1*$AA$1),OFFSET(E1445,0,0,-1*$J$5,1),F1446:T1446,0)</f>
        <v>13.100645318719648</v>
      </c>
      <c r="V1446" s="9" cm="1">
        <f t="array" aca="1" ref="V1446" ca="1">z_score_diff(OFFSET(U1446,0,0,$J$5*-1,1),OFFSET(E1446,0,0,$J$5*-1,1))</f>
        <v>-0.15333200466131036</v>
      </c>
      <c r="W1446" s="9">
        <f t="shared" ca="1" si="221"/>
        <v>-5.164084197692427E-2</v>
      </c>
      <c r="X1446" s="17">
        <f t="shared" ca="1" si="220"/>
        <v>3.1433140196063983E-2</v>
      </c>
      <c r="Y1446" s="13">
        <f t="shared" si="227"/>
        <v>0</v>
      </c>
      <c r="Z1446" s="13">
        <f t="shared" si="227"/>
        <v>0</v>
      </c>
      <c r="AA1446">
        <f t="shared" ca="1" si="222"/>
        <v>1</v>
      </c>
      <c r="AB1446">
        <f t="shared" ca="1" si="223"/>
        <v>0</v>
      </c>
      <c r="AC1446" s="24">
        <f t="shared" ca="1" si="224"/>
        <v>3.1433140196063983E-2</v>
      </c>
      <c r="AD1446" s="24">
        <f t="shared" ca="1" si="225"/>
        <v>0</v>
      </c>
    </row>
    <row r="1447" spans="3:30" x14ac:dyDescent="0.25">
      <c r="C1447" s="6">
        <v>1440</v>
      </c>
      <c r="D1447" s="35">
        <v>44056</v>
      </c>
      <c r="E1447" s="37">
        <v>12.86</v>
      </c>
      <c r="F1447" s="37">
        <v>39.499337884551679</v>
      </c>
      <c r="G1447" s="37">
        <v>41.04</v>
      </c>
      <c r="H1447" s="37">
        <v>2.5919860007468292</v>
      </c>
      <c r="I1447" s="37">
        <v>50.027437120105461</v>
      </c>
      <c r="J1447" s="10">
        <v>0</v>
      </c>
      <c r="K1447" s="38">
        <v>0</v>
      </c>
      <c r="L1447" s="38">
        <v>0</v>
      </c>
      <c r="M1447" s="38">
        <v>0</v>
      </c>
      <c r="N1447" s="38">
        <v>0</v>
      </c>
      <c r="O1447" s="38">
        <v>0</v>
      </c>
      <c r="P1447" s="38">
        <v>0</v>
      </c>
      <c r="Q1447" s="38">
        <v>1</v>
      </c>
      <c r="R1447" s="38">
        <v>0</v>
      </c>
      <c r="S1447" s="38">
        <v>0</v>
      </c>
      <c r="T1447" s="38">
        <v>0</v>
      </c>
      <c r="U1447" s="29" cm="1">
        <f t="array" aca="1" ref="U1447" ca="1">+fair_value_gap(OFFSET(T1446,0,0,-1*$J$5,-1*$AA$1),OFFSET(E1446,0,0,-1*$J$5,1),F1447:T1447,0)</f>
        <v>13.052790137796238</v>
      </c>
      <c r="V1447" s="9" cm="1">
        <f t="array" aca="1" ref="V1447" ca="1">z_score_diff(OFFSET(U1447,0,0,$J$5*-1,1),OFFSET(E1447,0,0,$J$5*-1,1))</f>
        <v>-0.19801896285641946</v>
      </c>
      <c r="W1447" s="9">
        <f t="shared" ca="1" si="221"/>
        <v>-5.8663867994827777E-2</v>
      </c>
      <c r="X1447" s="17">
        <f t="shared" ca="1" si="220"/>
        <v>2.3895724207436221E-2</v>
      </c>
      <c r="Y1447" s="13">
        <f t="shared" si="227"/>
        <v>0</v>
      </c>
      <c r="Z1447" s="13">
        <f t="shared" si="227"/>
        <v>0</v>
      </c>
      <c r="AA1447">
        <f t="shared" ca="1" si="222"/>
        <v>1</v>
      </c>
      <c r="AB1447">
        <f t="shared" ca="1" si="223"/>
        <v>0</v>
      </c>
      <c r="AC1447" s="24">
        <f t="shared" ca="1" si="224"/>
        <v>2.3895724207436221E-2</v>
      </c>
      <c r="AD1447" s="24">
        <f t="shared" ca="1" si="225"/>
        <v>0</v>
      </c>
    </row>
    <row r="1448" spans="3:30" x14ac:dyDescent="0.25">
      <c r="C1448" s="6">
        <v>1441</v>
      </c>
      <c r="D1448" s="35">
        <v>44057</v>
      </c>
      <c r="E1448" s="37">
        <v>13.173</v>
      </c>
      <c r="F1448" s="37">
        <v>39.429583121312419</v>
      </c>
      <c r="G1448" s="37">
        <v>40.26</v>
      </c>
      <c r="H1448" s="37">
        <v>2.6544318329962029</v>
      </c>
      <c r="I1448" s="37">
        <v>50.842967143415862</v>
      </c>
      <c r="J1448" s="10">
        <v>0</v>
      </c>
      <c r="K1448" s="38">
        <v>0</v>
      </c>
      <c r="L1448" s="38">
        <v>0</v>
      </c>
      <c r="M1448" s="38">
        <v>0</v>
      </c>
      <c r="N1448" s="38">
        <v>0</v>
      </c>
      <c r="O1448" s="38">
        <v>0</v>
      </c>
      <c r="P1448" s="38">
        <v>0</v>
      </c>
      <c r="Q1448" s="38">
        <v>1</v>
      </c>
      <c r="R1448" s="38">
        <v>0</v>
      </c>
      <c r="S1448" s="38">
        <v>0</v>
      </c>
      <c r="T1448" s="38">
        <v>0</v>
      </c>
      <c r="U1448" s="29" cm="1">
        <f t="array" aca="1" ref="U1448" ca="1">+fair_value_gap(OFFSET(T1447,0,0,-1*$J$5,-1*$AA$1),OFFSET(E1447,0,0,-1*$J$5,1),F1448:T1448,0)</f>
        <v>12.695087203342425</v>
      </c>
      <c r="V1448" s="9" cm="1">
        <f t="array" aca="1" ref="V1448" ca="1">z_score_diff(OFFSET(U1448,0,0,$J$5*-1,1),OFFSET(E1448,0,0,$J$5*-1,1))</f>
        <v>-0.42361412622541422</v>
      </c>
      <c r="W1448" s="9">
        <f t="shared" ca="1" si="221"/>
        <v>-7.251922868028729E-2</v>
      </c>
      <c r="X1448" s="17">
        <f t="shared" ca="1" si="220"/>
        <v>4.1665148718562587E-3</v>
      </c>
      <c r="Y1448" s="13">
        <f t="shared" si="227"/>
        <v>0</v>
      </c>
      <c r="Z1448" s="13">
        <f t="shared" si="227"/>
        <v>0</v>
      </c>
      <c r="AA1448">
        <f t="shared" ca="1" si="222"/>
        <v>1</v>
      </c>
      <c r="AB1448">
        <f t="shared" ca="1" si="223"/>
        <v>0</v>
      </c>
      <c r="AC1448" s="24">
        <f t="shared" ca="1" si="224"/>
        <v>4.1665148718562587E-3</v>
      </c>
      <c r="AD1448" s="24">
        <f t="shared" ca="1" si="225"/>
        <v>0</v>
      </c>
    </row>
    <row r="1449" spans="3:30" x14ac:dyDescent="0.25">
      <c r="C1449" s="6">
        <v>1442</v>
      </c>
      <c r="D1449" s="35">
        <v>44060</v>
      </c>
      <c r="E1449" s="37">
        <v>13.135</v>
      </c>
      <c r="F1449" s="37">
        <v>39.858222205812758</v>
      </c>
      <c r="G1449" s="37">
        <v>41.16</v>
      </c>
      <c r="H1449" s="37">
        <v>2.653298918205893</v>
      </c>
      <c r="I1449" s="37">
        <v>50.68287623644401</v>
      </c>
      <c r="J1449" s="10">
        <v>0</v>
      </c>
      <c r="K1449" s="38">
        <v>0</v>
      </c>
      <c r="L1449" s="38">
        <v>0</v>
      </c>
      <c r="M1449" s="38">
        <v>0</v>
      </c>
      <c r="N1449" s="38">
        <v>0</v>
      </c>
      <c r="O1449" s="38">
        <v>0</v>
      </c>
      <c r="P1449" s="38">
        <v>0</v>
      </c>
      <c r="Q1449" s="38">
        <v>1</v>
      </c>
      <c r="R1449" s="38">
        <v>0</v>
      </c>
      <c r="S1449" s="38">
        <v>0</v>
      </c>
      <c r="T1449" s="38">
        <v>0</v>
      </c>
      <c r="U1449" s="29" cm="1">
        <f t="array" aca="1" ref="U1449" ca="1">+fair_value_gap(OFFSET(T1448,0,0,-1*$J$5,-1*$AA$1),OFFSET(E1448,0,0,-1*$J$5,1),F1449:T1449,0)</f>
        <v>13.020619797849704</v>
      </c>
      <c r="V1449" s="9" cm="1">
        <f t="array" aca="1" ref="V1449" ca="1">z_score_diff(OFFSET(U1449,0,0,$J$5*-1,1),OFFSET(E1449,0,0,$J$5*-1,1))</f>
        <v>-0.3041695242918625</v>
      </c>
      <c r="W1449" s="9">
        <f t="shared" ca="1" si="221"/>
        <v>-8.1229329575461751E-2</v>
      </c>
      <c r="X1449" s="17">
        <f t="shared" ca="1" si="220"/>
        <v>2.9407264969553575E-2</v>
      </c>
      <c r="Y1449" s="13">
        <f t="shared" ref="Y1449:Z1464" si="228">+Y1448</f>
        <v>0</v>
      </c>
      <c r="Z1449" s="13">
        <f t="shared" si="228"/>
        <v>0</v>
      </c>
      <c r="AA1449">
        <f t="shared" ca="1" si="222"/>
        <v>1</v>
      </c>
      <c r="AB1449">
        <f t="shared" ca="1" si="223"/>
        <v>0</v>
      </c>
      <c r="AC1449" s="24">
        <f t="shared" ca="1" si="224"/>
        <v>2.9407264969553575E-2</v>
      </c>
      <c r="AD1449" s="24">
        <f t="shared" ca="1" si="225"/>
        <v>0</v>
      </c>
    </row>
    <row r="1450" spans="3:30" x14ac:dyDescent="0.25">
      <c r="C1450" s="6">
        <v>1443</v>
      </c>
      <c r="D1450" s="35">
        <v>44061</v>
      </c>
      <c r="E1450" s="37">
        <v>13.318</v>
      </c>
      <c r="F1450" s="37">
        <v>39.698140547777584</v>
      </c>
      <c r="G1450" s="37">
        <v>41.67</v>
      </c>
      <c r="H1450" s="37">
        <v>2.673531206361051</v>
      </c>
      <c r="I1450" s="37">
        <v>50.666045652861634</v>
      </c>
      <c r="J1450" s="10">
        <v>0</v>
      </c>
      <c r="K1450" s="38">
        <v>0</v>
      </c>
      <c r="L1450" s="38">
        <v>0</v>
      </c>
      <c r="M1450" s="38">
        <v>0</v>
      </c>
      <c r="N1450" s="38">
        <v>0</v>
      </c>
      <c r="O1450" s="38">
        <v>0</v>
      </c>
      <c r="P1450" s="38">
        <v>0</v>
      </c>
      <c r="Q1450" s="38">
        <v>1</v>
      </c>
      <c r="R1450" s="38">
        <v>0</v>
      </c>
      <c r="S1450" s="38">
        <v>0</v>
      </c>
      <c r="T1450" s="38">
        <v>0</v>
      </c>
      <c r="U1450" s="29" cm="1">
        <f t="array" aca="1" ref="U1450" ca="1">+fair_value_gap(OFFSET(T1449,0,0,-1*$J$5,-1*$AA$1),OFFSET(E1449,0,0,-1*$J$5,1),F1450:T1450,0)</f>
        <v>13.15180881325503</v>
      </c>
      <c r="V1450" s="9" cm="1">
        <f t="array" aca="1" ref="V1450" ca="1">z_score_diff(OFFSET(U1450,0,0,$J$5*-1,1),OFFSET(E1450,0,0,$J$5*-1,1))</f>
        <v>-0.32462365130193771</v>
      </c>
      <c r="W1450" s="9">
        <f t="shared" ca="1" si="221"/>
        <v>-8.8107924254114026E-2</v>
      </c>
      <c r="X1450" s="17">
        <f t="shared" ca="1" si="220"/>
        <v>1.6384042397985413E-2</v>
      </c>
      <c r="Y1450" s="13">
        <f t="shared" si="228"/>
        <v>0</v>
      </c>
      <c r="Z1450" s="13">
        <f t="shared" si="228"/>
        <v>0</v>
      </c>
      <c r="AA1450">
        <f t="shared" ca="1" si="222"/>
        <v>1</v>
      </c>
      <c r="AB1450">
        <f t="shared" ca="1" si="223"/>
        <v>0</v>
      </c>
      <c r="AC1450" s="24">
        <f t="shared" ca="1" si="224"/>
        <v>1.6384042397985413E-2</v>
      </c>
      <c r="AD1450" s="24">
        <f t="shared" ca="1" si="225"/>
        <v>0</v>
      </c>
    </row>
    <row r="1451" spans="3:30" x14ac:dyDescent="0.25">
      <c r="C1451" s="6">
        <v>1444</v>
      </c>
      <c r="D1451" s="35">
        <v>44062</v>
      </c>
      <c r="E1451" s="37">
        <v>13.385999999999999</v>
      </c>
      <c r="F1451" s="37">
        <v>39.938930784016016</v>
      </c>
      <c r="G1451" s="37">
        <v>41.73</v>
      </c>
      <c r="H1451" s="37">
        <v>2.6942795977507012</v>
      </c>
      <c r="I1451" s="37">
        <v>50.596602499127286</v>
      </c>
      <c r="J1451" s="10">
        <v>0</v>
      </c>
      <c r="K1451" s="38">
        <v>0</v>
      </c>
      <c r="L1451" s="38">
        <v>0</v>
      </c>
      <c r="M1451" s="38">
        <v>0</v>
      </c>
      <c r="N1451" s="38">
        <v>0</v>
      </c>
      <c r="O1451" s="38">
        <v>0</v>
      </c>
      <c r="P1451" s="38">
        <v>0</v>
      </c>
      <c r="Q1451" s="38">
        <v>1</v>
      </c>
      <c r="R1451" s="38">
        <v>0</v>
      </c>
      <c r="S1451" s="38">
        <v>0</v>
      </c>
      <c r="T1451" s="38">
        <v>0</v>
      </c>
      <c r="U1451" s="29" cm="1">
        <f t="array" aca="1" ref="U1451" ca="1">+fair_value_gap(OFFSET(T1450,0,0,-1*$J$5,-1*$AA$1),OFFSET(E1450,0,0,-1*$J$5,1),F1451:T1451,0)</f>
        <v>13.122892077467391</v>
      </c>
      <c r="V1451" s="9" cm="1">
        <f t="array" aca="1" ref="V1451" ca="1">z_score_diff(OFFSET(U1451,0,0,$J$5*-1,1),OFFSET(E1451,0,0,$J$5*-1,1))</f>
        <v>-0.3592633130416662</v>
      </c>
      <c r="W1451" s="9">
        <f t="shared" ca="1" si="221"/>
        <v>-9.6044547162488628E-2</v>
      </c>
      <c r="X1451" s="17">
        <f t="shared" ca="1" si="220"/>
        <v>2.9951832414932347E-2</v>
      </c>
      <c r="Y1451" s="13">
        <f t="shared" si="228"/>
        <v>0</v>
      </c>
      <c r="Z1451" s="13">
        <f t="shared" si="228"/>
        <v>0</v>
      </c>
      <c r="AA1451">
        <f t="shared" ca="1" si="222"/>
        <v>1</v>
      </c>
      <c r="AB1451">
        <f t="shared" ca="1" si="223"/>
        <v>0</v>
      </c>
      <c r="AC1451" s="24">
        <f t="shared" ca="1" si="224"/>
        <v>2.9951832414932347E-2</v>
      </c>
      <c r="AD1451" s="24">
        <f t="shared" ca="1" si="225"/>
        <v>0</v>
      </c>
    </row>
    <row r="1452" spans="3:30" x14ac:dyDescent="0.25">
      <c r="C1452" s="6">
        <v>1445</v>
      </c>
      <c r="D1452" s="35">
        <v>44063</v>
      </c>
      <c r="E1452" s="37">
        <v>13.336</v>
      </c>
      <c r="F1452" s="37">
        <v>39.571465882627599</v>
      </c>
      <c r="G1452" s="37">
        <v>41.41</v>
      </c>
      <c r="H1452" s="37">
        <v>2.6848466983607904</v>
      </c>
      <c r="I1452" s="37">
        <v>50.136173879305346</v>
      </c>
      <c r="J1452" s="10">
        <v>0</v>
      </c>
      <c r="K1452" s="38">
        <v>0</v>
      </c>
      <c r="L1452" s="38">
        <v>0</v>
      </c>
      <c r="M1452" s="38">
        <v>0</v>
      </c>
      <c r="N1452" s="38">
        <v>0</v>
      </c>
      <c r="O1452" s="38">
        <v>0</v>
      </c>
      <c r="P1452" s="38">
        <v>0</v>
      </c>
      <c r="Q1452" s="38">
        <v>1</v>
      </c>
      <c r="R1452" s="38">
        <v>0</v>
      </c>
      <c r="S1452" s="38">
        <v>0</v>
      </c>
      <c r="T1452" s="38">
        <v>0</v>
      </c>
      <c r="U1452" s="29" cm="1">
        <f t="array" aca="1" ref="U1452" ca="1">+fair_value_gap(OFFSET(T1451,0,0,-1*$J$5,-1*$AA$1),OFFSET(E1451,0,0,-1*$J$5,1),F1452:T1452,0)</f>
        <v>13.010536154808856</v>
      </c>
      <c r="V1452" s="9" cm="1">
        <f t="array" aca="1" ref="V1452" ca="1">z_score_diff(OFFSET(U1452,0,0,$J$5*-1,1),OFFSET(E1452,0,0,$J$5*-1,1))</f>
        <v>-0.38181226140143831</v>
      </c>
      <c r="W1452" s="9">
        <f t="shared" ca="1" si="221"/>
        <v>-0.10551840281224167</v>
      </c>
      <c r="X1452" s="17">
        <f t="shared" ca="1" si="220"/>
        <v>1.9382034725055931E-2</v>
      </c>
      <c r="Y1452" s="13">
        <f t="shared" si="228"/>
        <v>0</v>
      </c>
      <c r="Z1452" s="13">
        <f t="shared" si="228"/>
        <v>0</v>
      </c>
      <c r="AA1452">
        <f t="shared" ca="1" si="222"/>
        <v>1</v>
      </c>
      <c r="AB1452">
        <f t="shared" ca="1" si="223"/>
        <v>0</v>
      </c>
      <c r="AC1452" s="24">
        <f t="shared" ca="1" si="224"/>
        <v>1.9382034725055931E-2</v>
      </c>
      <c r="AD1452" s="24">
        <f t="shared" ca="1" si="225"/>
        <v>0</v>
      </c>
    </row>
    <row r="1453" spans="3:30" x14ac:dyDescent="0.25">
      <c r="C1453" s="6">
        <v>1446</v>
      </c>
      <c r="D1453" s="35">
        <v>44064</v>
      </c>
      <c r="E1453" s="37">
        <v>13.071999999999999</v>
      </c>
      <c r="F1453" s="37">
        <v>39.238600582794966</v>
      </c>
      <c r="G1453" s="37">
        <v>40.79</v>
      </c>
      <c r="H1453" s="37">
        <v>2.7155442107654104</v>
      </c>
      <c r="I1453" s="37">
        <v>50.198726159827004</v>
      </c>
      <c r="J1453" s="10">
        <v>0</v>
      </c>
      <c r="K1453" s="38">
        <v>0</v>
      </c>
      <c r="L1453" s="38">
        <v>0</v>
      </c>
      <c r="M1453" s="38">
        <v>0</v>
      </c>
      <c r="N1453" s="38">
        <v>0</v>
      </c>
      <c r="O1453" s="38">
        <v>0</v>
      </c>
      <c r="P1453" s="38">
        <v>0</v>
      </c>
      <c r="Q1453" s="38">
        <v>1</v>
      </c>
      <c r="R1453" s="38">
        <v>0</v>
      </c>
      <c r="S1453" s="38">
        <v>0</v>
      </c>
      <c r="T1453" s="38">
        <v>0</v>
      </c>
      <c r="U1453" s="29" cm="1">
        <f t="array" aca="1" ref="U1453" ca="1">+fair_value_gap(OFFSET(T1452,0,0,-1*$J$5,-1*$AA$1),OFFSET(E1452,0,0,-1*$J$5,1),F1453:T1453,0)</f>
        <v>12.8094735070783</v>
      </c>
      <c r="V1453" s="9" cm="1">
        <f t="array" aca="1" ref="V1453" ca="1">z_score_diff(OFFSET(U1453,0,0,$J$5*-1,1),OFFSET(E1453,0,0,$J$5*-1,1))</f>
        <v>-0.35967525173948339</v>
      </c>
      <c r="W1453" s="9">
        <f t="shared" ca="1" si="221"/>
        <v>-0.11228619986123296</v>
      </c>
      <c r="X1453" s="17">
        <f t="shared" ca="1" si="220"/>
        <v>5.3616175803690276E-2</v>
      </c>
      <c r="Y1453" s="13">
        <f t="shared" si="228"/>
        <v>0</v>
      </c>
      <c r="Z1453" s="13">
        <f t="shared" si="228"/>
        <v>0</v>
      </c>
      <c r="AA1453">
        <f t="shared" ca="1" si="222"/>
        <v>1</v>
      </c>
      <c r="AB1453">
        <f t="shared" ca="1" si="223"/>
        <v>0</v>
      </c>
      <c r="AC1453" s="24">
        <f t="shared" ca="1" si="224"/>
        <v>5.3616175803690276E-2</v>
      </c>
      <c r="AD1453" s="24">
        <f t="shared" ca="1" si="225"/>
        <v>0</v>
      </c>
    </row>
    <row r="1454" spans="3:30" x14ac:dyDescent="0.25">
      <c r="C1454" s="6">
        <v>1447</v>
      </c>
      <c r="D1454" s="35">
        <v>44067</v>
      </c>
      <c r="E1454" s="37">
        <v>13.486000000000001</v>
      </c>
      <c r="F1454" s="37">
        <v>39.782543497636617</v>
      </c>
      <c r="G1454" s="37">
        <v>41.86</v>
      </c>
      <c r="H1454" s="37">
        <v>2.7118701343685183</v>
      </c>
      <c r="I1454" s="37">
        <v>50.351233647465328</v>
      </c>
      <c r="J1454" s="10">
        <v>0</v>
      </c>
      <c r="K1454" s="38">
        <v>0</v>
      </c>
      <c r="L1454" s="38">
        <v>0</v>
      </c>
      <c r="M1454" s="38">
        <v>0</v>
      </c>
      <c r="N1454" s="38">
        <v>0</v>
      </c>
      <c r="O1454" s="38">
        <v>0</v>
      </c>
      <c r="P1454" s="38">
        <v>0</v>
      </c>
      <c r="Q1454" s="38">
        <v>1</v>
      </c>
      <c r="R1454" s="38">
        <v>0</v>
      </c>
      <c r="S1454" s="38">
        <v>0</v>
      </c>
      <c r="T1454" s="38">
        <v>0</v>
      </c>
      <c r="U1454" s="29" cm="1">
        <f t="array" aca="1" ref="U1454" ca="1">+fair_value_gap(OFFSET(T1453,0,0,-1*$J$5,-1*$AA$1),OFFSET(E1453,0,0,-1*$J$5,1),F1454:T1454,0)</f>
        <v>13.064476486801579</v>
      </c>
      <c r="V1454" s="9" cm="1">
        <f t="array" aca="1" ref="V1454" ca="1">z_score_diff(OFFSET(U1454,0,0,$J$5*-1,1),OFFSET(E1454,0,0,$J$5*-1,1))</f>
        <v>-0.41510331290696334</v>
      </c>
      <c r="W1454" s="9">
        <f t="shared" ca="1" si="221"/>
        <v>-0.12158225102687267</v>
      </c>
      <c r="X1454" s="17">
        <f t="shared" ca="1" si="220"/>
        <v>1.9260691931087589E-3</v>
      </c>
      <c r="Y1454" s="13">
        <f t="shared" si="228"/>
        <v>0</v>
      </c>
      <c r="Z1454" s="13">
        <f t="shared" si="228"/>
        <v>0</v>
      </c>
      <c r="AA1454">
        <f t="shared" ca="1" si="222"/>
        <v>1</v>
      </c>
      <c r="AB1454">
        <f t="shared" ca="1" si="223"/>
        <v>0</v>
      </c>
      <c r="AC1454" s="24">
        <f t="shared" ca="1" si="224"/>
        <v>1.9260691931087589E-3</v>
      </c>
      <c r="AD1454" s="24">
        <f t="shared" ca="1" si="225"/>
        <v>0</v>
      </c>
    </row>
    <row r="1455" spans="3:30" x14ac:dyDescent="0.25">
      <c r="C1455" s="6">
        <v>1448</v>
      </c>
      <c r="D1455" s="35">
        <v>44068</v>
      </c>
      <c r="E1455" s="37">
        <v>13.85</v>
      </c>
      <c r="F1455" s="37">
        <v>40.046965545974473</v>
      </c>
      <c r="G1455" s="37">
        <v>43.06</v>
      </c>
      <c r="H1455" s="37">
        <v>2.7017814082088707</v>
      </c>
      <c r="I1455" s="37">
        <v>50.374335601651374</v>
      </c>
      <c r="J1455" s="10">
        <v>0</v>
      </c>
      <c r="K1455" s="38">
        <v>0</v>
      </c>
      <c r="L1455" s="38">
        <v>0</v>
      </c>
      <c r="M1455" s="38">
        <v>0</v>
      </c>
      <c r="N1455" s="38">
        <v>0</v>
      </c>
      <c r="O1455" s="38">
        <v>0</v>
      </c>
      <c r="P1455" s="38">
        <v>0</v>
      </c>
      <c r="Q1455" s="38">
        <v>1</v>
      </c>
      <c r="R1455" s="38">
        <v>0</v>
      </c>
      <c r="S1455" s="38">
        <v>0</v>
      </c>
      <c r="T1455" s="38">
        <v>0</v>
      </c>
      <c r="U1455" s="29" cm="1">
        <f t="array" aca="1" ref="U1455" ca="1">+fair_value_gap(OFFSET(T1454,0,0,-1*$J$5,-1*$AA$1),OFFSET(E1454,0,0,-1*$J$5,1),F1455:T1455,0)</f>
        <v>13.3888382228747</v>
      </c>
      <c r="V1455" s="9" cm="1">
        <f t="array" aca="1" ref="V1455" ca="1">z_score_diff(OFFSET(U1455,0,0,$J$5*-1,1),OFFSET(E1455,0,0,$J$5*-1,1))</f>
        <v>-0.42884239830227305</v>
      </c>
      <c r="W1455" s="9">
        <f t="shared" ca="1" si="221"/>
        <v>-0.12791135486884381</v>
      </c>
      <c r="X1455" s="17">
        <f t="shared" ca="1" si="220"/>
        <v>-2.2267757096289052E-2</v>
      </c>
      <c r="Y1455" s="13">
        <f t="shared" si="228"/>
        <v>0</v>
      </c>
      <c r="Z1455" s="13">
        <f t="shared" si="228"/>
        <v>0</v>
      </c>
      <c r="AA1455">
        <f t="shared" ca="1" si="222"/>
        <v>1</v>
      </c>
      <c r="AB1455">
        <f t="shared" ca="1" si="223"/>
        <v>0</v>
      </c>
      <c r="AC1455" s="24">
        <f t="shared" ca="1" si="224"/>
        <v>-2.2267757096289052E-2</v>
      </c>
      <c r="AD1455" s="24">
        <f t="shared" ca="1" si="225"/>
        <v>0</v>
      </c>
    </row>
    <row r="1456" spans="3:30" x14ac:dyDescent="0.25">
      <c r="C1456" s="6">
        <v>1449</v>
      </c>
      <c r="D1456" s="35">
        <v>44069</v>
      </c>
      <c r="E1456" s="37">
        <v>14.073</v>
      </c>
      <c r="F1456" s="37">
        <v>40.031890810176435</v>
      </c>
      <c r="G1456" s="37">
        <v>44.01</v>
      </c>
      <c r="H1456" s="37">
        <v>2.6780535156082284</v>
      </c>
      <c r="I1456" s="37">
        <v>50.302954277771654</v>
      </c>
      <c r="J1456" s="10">
        <v>0</v>
      </c>
      <c r="K1456" s="38">
        <v>0</v>
      </c>
      <c r="L1456" s="38">
        <v>0</v>
      </c>
      <c r="M1456" s="38">
        <v>0</v>
      </c>
      <c r="N1456" s="38">
        <v>0</v>
      </c>
      <c r="O1456" s="38">
        <v>0</v>
      </c>
      <c r="P1456" s="38">
        <v>0</v>
      </c>
      <c r="Q1456" s="38">
        <v>1</v>
      </c>
      <c r="R1456" s="38">
        <v>0</v>
      </c>
      <c r="S1456" s="38">
        <v>0</v>
      </c>
      <c r="T1456" s="38">
        <v>0</v>
      </c>
      <c r="U1456" s="29" cm="1">
        <f t="array" aca="1" ref="U1456" ca="1">+fair_value_gap(OFFSET(T1455,0,0,-1*$J$5,-1*$AA$1),OFFSET(E1455,0,0,-1*$J$5,1),F1456:T1456,0)</f>
        <v>13.647093499616235</v>
      </c>
      <c r="V1456" s="9" cm="1">
        <f t="array" aca="1" ref="V1456" ca="1">z_score_diff(OFFSET(U1456,0,0,$J$5*-1,1),OFFSET(E1456,0,0,$J$5*-1,1))</f>
        <v>-0.41575998837109457</v>
      </c>
      <c r="W1456" s="9">
        <f t="shared" ca="1" si="221"/>
        <v>-0.13536706546945981</v>
      </c>
      <c r="X1456" s="17">
        <f t="shared" ca="1" si="220"/>
        <v>-2.4310748467193555E-2</v>
      </c>
      <c r="Y1456" s="13">
        <f t="shared" si="228"/>
        <v>0</v>
      </c>
      <c r="Z1456" s="13">
        <f t="shared" si="228"/>
        <v>0</v>
      </c>
      <c r="AA1456">
        <f t="shared" ca="1" si="222"/>
        <v>1</v>
      </c>
      <c r="AB1456">
        <f t="shared" ca="1" si="223"/>
        <v>0</v>
      </c>
      <c r="AC1456" s="24">
        <f t="shared" ca="1" si="224"/>
        <v>-2.4310748467193555E-2</v>
      </c>
      <c r="AD1456" s="24">
        <f t="shared" ca="1" si="225"/>
        <v>0</v>
      </c>
    </row>
    <row r="1457" spans="3:30" x14ac:dyDescent="0.25">
      <c r="C1457" s="6">
        <v>1450</v>
      </c>
      <c r="D1457" s="35">
        <v>44070</v>
      </c>
      <c r="E1457" s="37">
        <v>13.670999999999999</v>
      </c>
      <c r="F1457" s="37">
        <v>39.610384138994448</v>
      </c>
      <c r="G1457" s="37">
        <v>43.65</v>
      </c>
      <c r="H1457" s="37">
        <v>2.7519147968082507</v>
      </c>
      <c r="I1457" s="37">
        <v>50.387172335925719</v>
      </c>
      <c r="J1457" s="10">
        <v>0</v>
      </c>
      <c r="K1457" s="38">
        <v>0</v>
      </c>
      <c r="L1457" s="38">
        <v>0</v>
      </c>
      <c r="M1457" s="38">
        <v>0</v>
      </c>
      <c r="N1457" s="38">
        <v>0</v>
      </c>
      <c r="O1457" s="38">
        <v>0</v>
      </c>
      <c r="P1457" s="38">
        <v>0</v>
      </c>
      <c r="Q1457" s="38">
        <v>1</v>
      </c>
      <c r="R1457" s="38">
        <v>0</v>
      </c>
      <c r="S1457" s="38">
        <v>0</v>
      </c>
      <c r="T1457" s="38">
        <v>0</v>
      </c>
      <c r="U1457" s="29" cm="1">
        <f t="array" aca="1" ref="U1457" ca="1">+fair_value_gap(OFFSET(T1456,0,0,-1*$J$5,-1*$AA$1),OFFSET(E1456,0,0,-1*$J$5,1),F1457:T1457,0)</f>
        <v>13.619499627805959</v>
      </c>
      <c r="V1457" s="9" cm="1">
        <f t="array" aca="1" ref="V1457" ca="1">z_score_diff(OFFSET(U1457,0,0,$J$5*-1,1),OFFSET(E1457,0,0,$J$5*-1,1))</f>
        <v>-0.28286537125117023</v>
      </c>
      <c r="W1457" s="9">
        <f t="shared" ca="1" si="221"/>
        <v>-0.1394287812132525</v>
      </c>
      <c r="X1457" s="17">
        <f t="shared" ca="1" si="220"/>
        <v>-2.5634466741985009E-3</v>
      </c>
      <c r="Y1457" s="13">
        <f t="shared" si="228"/>
        <v>0</v>
      </c>
      <c r="Z1457" s="13">
        <f t="shared" si="228"/>
        <v>0</v>
      </c>
      <c r="AA1457">
        <f t="shared" ca="1" si="222"/>
        <v>1</v>
      </c>
      <c r="AB1457">
        <f t="shared" ca="1" si="223"/>
        <v>0</v>
      </c>
      <c r="AC1457" s="24">
        <f t="shared" ca="1" si="224"/>
        <v>-2.5634466741985009E-3</v>
      </c>
      <c r="AD1457" s="24">
        <f t="shared" ca="1" si="225"/>
        <v>0</v>
      </c>
    </row>
    <row r="1458" spans="3:30" x14ac:dyDescent="0.25">
      <c r="C1458" s="6">
        <v>1451</v>
      </c>
      <c r="D1458" s="35">
        <v>44071</v>
      </c>
      <c r="E1458" s="37">
        <v>14.007</v>
      </c>
      <c r="F1458" s="37">
        <v>39.594317228130038</v>
      </c>
      <c r="G1458" s="37">
        <v>45.22</v>
      </c>
      <c r="H1458" s="37">
        <v>2.6323694420899639</v>
      </c>
      <c r="I1458" s="37">
        <v>50.245958359028073</v>
      </c>
      <c r="J1458" s="10">
        <v>0</v>
      </c>
      <c r="K1458" s="38">
        <v>0</v>
      </c>
      <c r="L1458" s="38">
        <v>0</v>
      </c>
      <c r="M1458" s="38">
        <v>0</v>
      </c>
      <c r="N1458" s="38">
        <v>0</v>
      </c>
      <c r="O1458" s="38">
        <v>0</v>
      </c>
      <c r="P1458" s="38">
        <v>0</v>
      </c>
      <c r="Q1458" s="38">
        <v>1</v>
      </c>
      <c r="R1458" s="38">
        <v>0</v>
      </c>
      <c r="S1458" s="38">
        <v>0</v>
      </c>
      <c r="T1458" s="38">
        <v>0</v>
      </c>
      <c r="U1458" s="29" cm="1">
        <f t="array" aca="1" ref="U1458" ca="1">+fair_value_gap(OFFSET(T1457,0,0,-1*$J$5,-1*$AA$1),OFFSET(E1457,0,0,-1*$J$5,1),F1458:T1458,0)</f>
        <v>13.960822090017901</v>
      </c>
      <c r="V1458" s="9" cm="1">
        <f t="array" aca="1" ref="V1458" ca="1">z_score_diff(OFFSET(U1458,0,0,$J$5*-1,1),OFFSET(E1458,0,0,$J$5*-1,1))</f>
        <v>-0.28250600957259986</v>
      </c>
      <c r="W1458" s="9">
        <f t="shared" ca="1" si="221"/>
        <v>-0.14544024219786592</v>
      </c>
      <c r="X1458" s="17">
        <f t="shared" ca="1" si="220"/>
        <v>-2.0921265160639684E-2</v>
      </c>
      <c r="Y1458" s="13">
        <f t="shared" si="228"/>
        <v>0</v>
      </c>
      <c r="Z1458" s="13">
        <f t="shared" si="228"/>
        <v>0</v>
      </c>
      <c r="AA1458">
        <f t="shared" ca="1" si="222"/>
        <v>1</v>
      </c>
      <c r="AB1458">
        <f t="shared" ca="1" si="223"/>
        <v>0</v>
      </c>
      <c r="AC1458" s="24">
        <f t="shared" ca="1" si="224"/>
        <v>-2.0921265160639684E-2</v>
      </c>
      <c r="AD1458" s="24">
        <f t="shared" ca="1" si="225"/>
        <v>0</v>
      </c>
    </row>
    <row r="1459" spans="3:30" x14ac:dyDescent="0.25">
      <c r="C1459" s="6">
        <v>1452</v>
      </c>
      <c r="D1459" s="35">
        <v>44074</v>
      </c>
      <c r="E1459" s="37">
        <v>13.949</v>
      </c>
      <c r="F1459" s="37">
        <v>39.217191802029546</v>
      </c>
      <c r="G1459" s="37">
        <v>43.69</v>
      </c>
      <c r="H1459" s="37">
        <v>2.6431335696324232</v>
      </c>
      <c r="I1459" s="37">
        <v>52.495453593267897</v>
      </c>
      <c r="J1459" s="10">
        <v>0</v>
      </c>
      <c r="K1459" s="38">
        <v>0</v>
      </c>
      <c r="L1459" s="38">
        <v>0</v>
      </c>
      <c r="M1459" s="38">
        <v>0</v>
      </c>
      <c r="N1459" s="38">
        <v>0</v>
      </c>
      <c r="O1459" s="38">
        <v>0</v>
      </c>
      <c r="P1459" s="38">
        <v>0</v>
      </c>
      <c r="Q1459" s="38">
        <v>1</v>
      </c>
      <c r="R1459" s="38">
        <v>0</v>
      </c>
      <c r="S1459" s="38">
        <v>0</v>
      </c>
      <c r="T1459" s="38">
        <v>0</v>
      </c>
      <c r="U1459" s="29" cm="1">
        <f t="array" aca="1" ref="U1459" ca="1">+fair_value_gap(OFFSET(T1458,0,0,-1*$J$5,-1*$AA$1),OFFSET(E1458,0,0,-1*$J$5,1),F1459:T1459,0)</f>
        <v>13.702575286728084</v>
      </c>
      <c r="V1459" s="9" cm="1">
        <f t="array" aca="1" ref="V1459" ca="1">z_score_diff(OFFSET(U1459,0,0,$J$5*-1,1),OFFSET(E1459,0,0,$J$5*-1,1))</f>
        <v>-0.35349986050787402</v>
      </c>
      <c r="W1459" s="9">
        <f t="shared" ca="1" si="221"/>
        <v>-0.19626108396156464</v>
      </c>
      <c r="X1459" s="17">
        <f t="shared" ca="1" si="220"/>
        <v>1.7411518992692977E-2</v>
      </c>
      <c r="Y1459" s="13">
        <f t="shared" si="228"/>
        <v>0</v>
      </c>
      <c r="Z1459" s="13">
        <f t="shared" si="228"/>
        <v>0</v>
      </c>
      <c r="AA1459">
        <f t="shared" ca="1" si="222"/>
        <v>1</v>
      </c>
      <c r="AB1459">
        <f t="shared" ca="1" si="223"/>
        <v>0</v>
      </c>
      <c r="AC1459" s="24">
        <f t="shared" ca="1" si="224"/>
        <v>1.7411518992692977E-2</v>
      </c>
      <c r="AD1459" s="24">
        <f t="shared" ca="1" si="225"/>
        <v>0</v>
      </c>
    </row>
    <row r="1460" spans="3:30" x14ac:dyDescent="0.25">
      <c r="C1460" s="6">
        <v>1453</v>
      </c>
      <c r="D1460" s="35">
        <v>44075</v>
      </c>
      <c r="E1460" s="37">
        <v>14.145</v>
      </c>
      <c r="F1460" s="37">
        <v>39.548881983528545</v>
      </c>
      <c r="G1460" s="37">
        <v>43.92</v>
      </c>
      <c r="H1460" s="37">
        <v>2.6619439796605753</v>
      </c>
      <c r="I1460" s="37">
        <v>51.985216808442004</v>
      </c>
      <c r="J1460" s="10">
        <v>0</v>
      </c>
      <c r="K1460" s="38">
        <v>0</v>
      </c>
      <c r="L1460" s="38">
        <v>0</v>
      </c>
      <c r="M1460" s="38">
        <v>0</v>
      </c>
      <c r="N1460" s="38">
        <v>0</v>
      </c>
      <c r="O1460" s="38">
        <v>0</v>
      </c>
      <c r="P1460" s="38">
        <v>0</v>
      </c>
      <c r="Q1460" s="38">
        <v>0</v>
      </c>
      <c r="R1460" s="38">
        <v>1</v>
      </c>
      <c r="S1460" s="38">
        <v>0</v>
      </c>
      <c r="T1460" s="38">
        <v>0</v>
      </c>
      <c r="U1460" s="29" cm="1">
        <f t="array" aca="1" ref="U1460" ca="1">+fair_value_gap(OFFSET(T1459,0,0,-1*$J$5,-1*$AA$1),OFFSET(E1459,0,0,-1*$J$5,1),F1460:T1460,0)</f>
        <v>17.073719496389064</v>
      </c>
      <c r="V1460" s="9" cm="1">
        <f t="array" aca="1" ref="V1460" ca="1">z_score_diff(OFFSET(U1460,0,0,$J$5*-1,1),OFFSET(E1460,0,0,$J$5*-1,1))</f>
        <v>0.77363738865763332</v>
      </c>
      <c r="W1460" s="9">
        <f t="shared" ca="1" si="221"/>
        <v>-0.17576043692273199</v>
      </c>
      <c r="X1460" s="17">
        <f t="shared" ca="1" si="220"/>
        <v>-5.3874093584542621E-3</v>
      </c>
      <c r="Y1460" s="13">
        <f t="shared" si="228"/>
        <v>0</v>
      </c>
      <c r="Z1460" s="13">
        <f t="shared" si="228"/>
        <v>0</v>
      </c>
      <c r="AA1460">
        <f t="shared" ca="1" si="222"/>
        <v>1</v>
      </c>
      <c r="AB1460">
        <f t="shared" ca="1" si="223"/>
        <v>0</v>
      </c>
      <c r="AC1460" s="24">
        <f t="shared" ca="1" si="224"/>
        <v>-5.3874093584542621E-3</v>
      </c>
      <c r="AD1460" s="24">
        <f t="shared" ca="1" si="225"/>
        <v>0</v>
      </c>
    </row>
    <row r="1461" spans="3:30" x14ac:dyDescent="0.25">
      <c r="C1461" s="6">
        <v>1454</v>
      </c>
      <c r="D1461" s="35">
        <v>44076</v>
      </c>
      <c r="E1461" s="37">
        <v>13.942</v>
      </c>
      <c r="F1461" s="37">
        <v>38.985077285395128</v>
      </c>
      <c r="G1461" s="37">
        <v>43.65</v>
      </c>
      <c r="H1461" s="37">
        <v>2.7020691497808351</v>
      </c>
      <c r="I1461" s="37">
        <v>51.377962844868797</v>
      </c>
      <c r="J1461" s="10">
        <v>0</v>
      </c>
      <c r="K1461" s="38">
        <v>0</v>
      </c>
      <c r="L1461" s="38">
        <v>0</v>
      </c>
      <c r="M1461" s="38">
        <v>0</v>
      </c>
      <c r="N1461" s="38">
        <v>0</v>
      </c>
      <c r="O1461" s="38">
        <v>0</v>
      </c>
      <c r="P1461" s="38">
        <v>0</v>
      </c>
      <c r="Q1461" s="38">
        <v>0</v>
      </c>
      <c r="R1461" s="38">
        <v>1</v>
      </c>
      <c r="S1461" s="38">
        <v>0</v>
      </c>
      <c r="T1461" s="38">
        <v>0</v>
      </c>
      <c r="U1461" s="29" cm="1">
        <f t="array" aca="1" ref="U1461" ca="1">+fair_value_gap(OFFSET(T1460,0,0,-1*$J$5,-1*$AA$1),OFFSET(E1460,0,0,-1*$J$5,1),F1461:T1461,0)</f>
        <v>16.205646747691489</v>
      </c>
      <c r="V1461" s="9" cm="1">
        <f t="array" aca="1" ref="V1461" ca="1">z_score_diff(OFFSET(U1461,0,0,$J$5*-1,1),OFFSET(E1461,0,0,$J$5*-1,1))</f>
        <v>0.53763800034286913</v>
      </c>
      <c r="W1461" s="9">
        <f t="shared" ca="1" si="221"/>
        <v>-0.15880562013498337</v>
      </c>
      <c r="X1461" s="17">
        <f t="shared" ca="1" si="220"/>
        <v>-5.0908314631975829E-2</v>
      </c>
      <c r="Y1461" s="13">
        <f t="shared" si="228"/>
        <v>0</v>
      </c>
      <c r="Z1461" s="13">
        <f t="shared" si="228"/>
        <v>0</v>
      </c>
      <c r="AA1461">
        <f t="shared" ca="1" si="222"/>
        <v>1</v>
      </c>
      <c r="AB1461">
        <f t="shared" ca="1" si="223"/>
        <v>0</v>
      </c>
      <c r="AC1461" s="24">
        <f t="shared" ca="1" si="224"/>
        <v>-5.0908314631975829E-2</v>
      </c>
      <c r="AD1461" s="24">
        <f t="shared" ca="1" si="225"/>
        <v>0</v>
      </c>
    </row>
    <row r="1462" spans="3:30" x14ac:dyDescent="0.25">
      <c r="C1462" s="6">
        <v>1455</v>
      </c>
      <c r="D1462" s="35">
        <v>44077</v>
      </c>
      <c r="E1462" s="37">
        <v>14.15</v>
      </c>
      <c r="F1462" s="37">
        <v>38.901644138617257</v>
      </c>
      <c r="G1462" s="37">
        <v>44.16</v>
      </c>
      <c r="H1462" s="37">
        <v>2.6900877703113815</v>
      </c>
      <c r="I1462" s="37">
        <v>50.549446855429423</v>
      </c>
      <c r="J1462" s="10">
        <v>0</v>
      </c>
      <c r="K1462" s="38">
        <v>0</v>
      </c>
      <c r="L1462" s="38">
        <v>0</v>
      </c>
      <c r="M1462" s="38">
        <v>0</v>
      </c>
      <c r="N1462" s="38">
        <v>0</v>
      </c>
      <c r="O1462" s="38">
        <v>0</v>
      </c>
      <c r="P1462" s="38">
        <v>0</v>
      </c>
      <c r="Q1462" s="38">
        <v>0</v>
      </c>
      <c r="R1462" s="38">
        <v>1</v>
      </c>
      <c r="S1462" s="38">
        <v>0</v>
      </c>
      <c r="T1462" s="38">
        <v>0</v>
      </c>
      <c r="U1462" s="29" cm="1">
        <f t="array" aca="1" ref="U1462" ca="1">+fair_value_gap(OFFSET(T1461,0,0,-1*$J$5,-1*$AA$1),OFFSET(E1461,0,0,-1*$J$5,1),F1462:T1462,0)</f>
        <v>15.811500387220246</v>
      </c>
      <c r="V1462" s="9" cm="1">
        <f t="array" aca="1" ref="V1462" ca="1">z_score_diff(OFFSET(U1462,0,0,$J$5*-1,1),OFFSET(E1462,0,0,$J$5*-1,1))</f>
        <v>0.31786536055081582</v>
      </c>
      <c r="W1462" s="9">
        <f t="shared" ca="1" si="221"/>
        <v>-0.14897560973092683</v>
      </c>
      <c r="X1462" s="17">
        <f t="shared" ca="1" si="220"/>
        <v>-8.0160500240961663E-2</v>
      </c>
      <c r="Y1462" s="13">
        <f t="shared" si="228"/>
        <v>0</v>
      </c>
      <c r="Z1462" s="13">
        <f t="shared" si="228"/>
        <v>0</v>
      </c>
      <c r="AA1462">
        <f t="shared" ca="1" si="222"/>
        <v>1</v>
      </c>
      <c r="AB1462">
        <f t="shared" ca="1" si="223"/>
        <v>0</v>
      </c>
      <c r="AC1462" s="24">
        <f t="shared" ca="1" si="224"/>
        <v>-8.0160500240961663E-2</v>
      </c>
      <c r="AD1462" s="24">
        <f t="shared" ca="1" si="225"/>
        <v>0</v>
      </c>
    </row>
    <row r="1463" spans="3:30" x14ac:dyDescent="0.25">
      <c r="C1463" s="6">
        <v>1456</v>
      </c>
      <c r="D1463" s="35">
        <v>44078</v>
      </c>
      <c r="E1463" s="37">
        <v>14.07</v>
      </c>
      <c r="F1463" s="37">
        <v>37.834691501746214</v>
      </c>
      <c r="G1463" s="37">
        <v>43.04</v>
      </c>
      <c r="H1463" s="37">
        <v>2.7059627070057268</v>
      </c>
      <c r="I1463" s="37">
        <v>50.678972053806355</v>
      </c>
      <c r="J1463" s="10">
        <v>0</v>
      </c>
      <c r="K1463" s="38">
        <v>0</v>
      </c>
      <c r="L1463" s="38">
        <v>0</v>
      </c>
      <c r="M1463" s="38">
        <v>0</v>
      </c>
      <c r="N1463" s="38">
        <v>0</v>
      </c>
      <c r="O1463" s="38">
        <v>0</v>
      </c>
      <c r="P1463" s="38">
        <v>0</v>
      </c>
      <c r="Q1463" s="38">
        <v>0</v>
      </c>
      <c r="R1463" s="38">
        <v>1</v>
      </c>
      <c r="S1463" s="38">
        <v>0</v>
      </c>
      <c r="T1463" s="38">
        <v>0</v>
      </c>
      <c r="U1463" s="29" cm="1">
        <f t="array" aca="1" ref="U1463" ca="1">+fair_value_gap(OFFSET(T1462,0,0,-1*$J$5,-1*$AA$1),OFFSET(E1462,0,0,-1*$J$5,1),F1463:T1463,0)</f>
        <v>15.177706762833704</v>
      </c>
      <c r="V1463" s="9" cm="1">
        <f t="array" aca="1" ref="V1463" ca="1">z_score_diff(OFFSET(U1463,0,0,$J$5*-1,1),OFFSET(E1463,0,0,$J$5*-1,1))</f>
        <v>0.11542881576976638</v>
      </c>
      <c r="W1463" s="9">
        <f t="shared" ca="1" si="221"/>
        <v>-0.14737229663884327</v>
      </c>
      <c r="X1463" s="17">
        <f t="shared" ca="1" si="220"/>
        <v>-9.2960419555734142E-2</v>
      </c>
      <c r="Y1463" s="13">
        <f t="shared" si="228"/>
        <v>0</v>
      </c>
      <c r="Z1463" s="13">
        <f t="shared" si="228"/>
        <v>0</v>
      </c>
      <c r="AA1463">
        <f t="shared" ca="1" si="222"/>
        <v>1</v>
      </c>
      <c r="AB1463">
        <f t="shared" ca="1" si="223"/>
        <v>0</v>
      </c>
      <c r="AC1463" s="24">
        <f t="shared" ca="1" si="224"/>
        <v>-9.2960419555734142E-2</v>
      </c>
      <c r="AD1463" s="24">
        <f t="shared" ca="1" si="225"/>
        <v>0</v>
      </c>
    </row>
    <row r="1464" spans="3:30" x14ac:dyDescent="0.25">
      <c r="C1464" s="6">
        <v>1457</v>
      </c>
      <c r="D1464" s="35">
        <v>44081</v>
      </c>
      <c r="E1464" s="37">
        <v>13.513</v>
      </c>
      <c r="F1464" s="37">
        <v>37.395594131353285</v>
      </c>
      <c r="G1464" s="37">
        <v>42.38</v>
      </c>
      <c r="H1464" s="37">
        <v>2.711939276838673</v>
      </c>
      <c r="I1464" s="37">
        <v>50.622304499273326</v>
      </c>
      <c r="J1464" s="10">
        <v>0</v>
      </c>
      <c r="K1464" s="38">
        <v>0</v>
      </c>
      <c r="L1464" s="38">
        <v>0</v>
      </c>
      <c r="M1464" s="38">
        <v>0</v>
      </c>
      <c r="N1464" s="38">
        <v>0</v>
      </c>
      <c r="O1464" s="38">
        <v>0</v>
      </c>
      <c r="P1464" s="38">
        <v>0</v>
      </c>
      <c r="Q1464" s="38">
        <v>0</v>
      </c>
      <c r="R1464" s="38">
        <v>1</v>
      </c>
      <c r="S1464" s="38">
        <v>0</v>
      </c>
      <c r="T1464" s="38">
        <v>0</v>
      </c>
      <c r="U1464" s="29" cm="1">
        <f t="array" aca="1" ref="U1464" ca="1">+fair_value_gap(OFFSET(T1463,0,0,-1*$J$5,-1*$AA$1),OFFSET(E1463,0,0,-1*$J$5,1),F1464:T1464,0)</f>
        <v>14.779535432162454</v>
      </c>
      <c r="V1464" s="9" cm="1">
        <f t="array" aca="1" ref="V1464" ca="1">z_score_diff(OFFSET(U1464,0,0,$J$5*-1,1),OFFSET(E1464,0,0,$J$5*-1,1))</f>
        <v>0.17596655118095877</v>
      </c>
      <c r="W1464" s="9">
        <f t="shared" ca="1" si="221"/>
        <v>-0.14151643655406559</v>
      </c>
      <c r="X1464" s="17">
        <f t="shared" ca="1" si="220"/>
        <v>-3.1498075037049454E-2</v>
      </c>
      <c r="Y1464" s="13">
        <f t="shared" si="228"/>
        <v>0</v>
      </c>
      <c r="Z1464" s="13">
        <f t="shared" si="228"/>
        <v>0</v>
      </c>
      <c r="AA1464">
        <f t="shared" ca="1" si="222"/>
        <v>1</v>
      </c>
      <c r="AB1464">
        <f t="shared" ca="1" si="223"/>
        <v>0</v>
      </c>
      <c r="AC1464" s="24">
        <f t="shared" ca="1" si="224"/>
        <v>-3.1498075037049454E-2</v>
      </c>
      <c r="AD1464" s="24">
        <f t="shared" ca="1" si="225"/>
        <v>0</v>
      </c>
    </row>
    <row r="1465" spans="3:30" x14ac:dyDescent="0.25">
      <c r="C1465" s="6">
        <v>1458</v>
      </c>
      <c r="D1465" s="35">
        <v>44082</v>
      </c>
      <c r="E1465" s="37">
        <v>13.241</v>
      </c>
      <c r="F1465" s="37">
        <v>35.728262348733871</v>
      </c>
      <c r="G1465" s="37">
        <v>41.79</v>
      </c>
      <c r="H1465" s="37">
        <v>2.6937774332958324</v>
      </c>
      <c r="I1465" s="37">
        <v>50.714353937166607</v>
      </c>
      <c r="J1465" s="10">
        <v>0</v>
      </c>
      <c r="K1465" s="38">
        <v>0</v>
      </c>
      <c r="L1465" s="38">
        <v>0</v>
      </c>
      <c r="M1465" s="38">
        <v>0</v>
      </c>
      <c r="N1465" s="38">
        <v>0</v>
      </c>
      <c r="O1465" s="38">
        <v>0</v>
      </c>
      <c r="P1465" s="38">
        <v>0</v>
      </c>
      <c r="Q1465" s="38">
        <v>0</v>
      </c>
      <c r="R1465" s="38">
        <v>1</v>
      </c>
      <c r="S1465" s="38">
        <v>0</v>
      </c>
      <c r="T1465" s="38">
        <v>0</v>
      </c>
      <c r="U1465" s="29" cm="1">
        <f t="array" aca="1" ref="U1465" ca="1">+fair_value_gap(OFFSET(T1464,0,0,-1*$J$5,-1*$AA$1),OFFSET(E1464,0,0,-1*$J$5,1),F1465:T1465,0)</f>
        <v>14.413529124923267</v>
      </c>
      <c r="V1465" s="9" cm="1">
        <f t="array" aca="1" ref="V1465" ca="1">z_score_diff(OFFSET(U1465,0,0,$J$5*-1,1),OFFSET(E1465,0,0,$J$5*-1,1))</f>
        <v>0.14346739415594517</v>
      </c>
      <c r="W1465" s="9">
        <f t="shared" ca="1" si="221"/>
        <v>-0.13095412628867592</v>
      </c>
      <c r="X1465" s="17">
        <f t="shared" ca="1" si="220"/>
        <v>-1.4146874206527655E-2</v>
      </c>
      <c r="Y1465" s="13">
        <f t="shared" ref="Y1465:Z1480" si="229">+Y1464</f>
        <v>0</v>
      </c>
      <c r="Z1465" s="13">
        <f t="shared" si="229"/>
        <v>0</v>
      </c>
      <c r="AA1465">
        <f t="shared" ca="1" si="222"/>
        <v>1</v>
      </c>
      <c r="AB1465">
        <f t="shared" ca="1" si="223"/>
        <v>0</v>
      </c>
      <c r="AC1465" s="24">
        <f t="shared" ca="1" si="224"/>
        <v>-1.4146874206527655E-2</v>
      </c>
      <c r="AD1465" s="24">
        <f t="shared" ca="1" si="225"/>
        <v>0</v>
      </c>
    </row>
    <row r="1466" spans="3:30" x14ac:dyDescent="0.25">
      <c r="C1466" s="6">
        <v>1459</v>
      </c>
      <c r="D1466" s="35">
        <v>44083</v>
      </c>
      <c r="E1466" s="37">
        <v>13.185</v>
      </c>
      <c r="F1466" s="37">
        <v>36.427168019679783</v>
      </c>
      <c r="G1466" s="37">
        <v>41.56</v>
      </c>
      <c r="H1466" s="37">
        <v>2.7004021498609307</v>
      </c>
      <c r="I1466" s="37">
        <v>50.954167401312155</v>
      </c>
      <c r="J1466" s="10">
        <v>0</v>
      </c>
      <c r="K1466" s="38">
        <v>0</v>
      </c>
      <c r="L1466" s="38">
        <v>0</v>
      </c>
      <c r="M1466" s="38">
        <v>0</v>
      </c>
      <c r="N1466" s="38">
        <v>0</v>
      </c>
      <c r="O1466" s="38">
        <v>0</v>
      </c>
      <c r="P1466" s="38">
        <v>0</v>
      </c>
      <c r="Q1466" s="38">
        <v>0</v>
      </c>
      <c r="R1466" s="38">
        <v>1</v>
      </c>
      <c r="S1466" s="38">
        <v>0</v>
      </c>
      <c r="T1466" s="38">
        <v>0</v>
      </c>
      <c r="U1466" s="29" cm="1">
        <f t="array" aca="1" ref="U1466" ca="1">+fair_value_gap(OFFSET(T1465,0,0,-1*$J$5,-1*$AA$1),OFFSET(E1465,0,0,-1*$J$5,1),F1466:T1466,0)</f>
        <v>14.172461783214928</v>
      </c>
      <c r="V1466" s="9" cm="1">
        <f t="array" aca="1" ref="V1466" ca="1">z_score_diff(OFFSET(U1466,0,0,$J$5*-1,1),OFFSET(E1466,0,0,$J$5*-1,1))</f>
        <v>7.2618826888408816E-2</v>
      </c>
      <c r="W1466" s="9">
        <f t="shared" ca="1" si="221"/>
        <v>-0.11965658471118998</v>
      </c>
      <c r="X1466" s="17">
        <f t="shared" ca="1" si="220"/>
        <v>1.3783971487842548E-2</v>
      </c>
      <c r="Y1466" s="13">
        <f t="shared" si="229"/>
        <v>0</v>
      </c>
      <c r="Z1466" s="13">
        <f t="shared" si="229"/>
        <v>0</v>
      </c>
      <c r="AA1466">
        <f t="shared" ca="1" si="222"/>
        <v>1</v>
      </c>
      <c r="AB1466">
        <f t="shared" ca="1" si="223"/>
        <v>0</v>
      </c>
      <c r="AC1466" s="24">
        <f t="shared" ca="1" si="224"/>
        <v>1.3783971487842548E-2</v>
      </c>
      <c r="AD1466" s="24">
        <f t="shared" ca="1" si="225"/>
        <v>0</v>
      </c>
    </row>
    <row r="1467" spans="3:30" x14ac:dyDescent="0.25">
      <c r="C1467" s="6">
        <v>1460</v>
      </c>
      <c r="D1467" s="35">
        <v>44084</v>
      </c>
      <c r="E1467" s="37">
        <v>13.170999999999999</v>
      </c>
      <c r="F1467" s="37">
        <v>35.852174059649656</v>
      </c>
      <c r="G1467" s="37">
        <v>41.56</v>
      </c>
      <c r="H1467" s="37">
        <v>2.658776322222784</v>
      </c>
      <c r="I1467" s="37">
        <v>51.379967292161922</v>
      </c>
      <c r="J1467" s="10">
        <v>0</v>
      </c>
      <c r="K1467" s="38">
        <v>0</v>
      </c>
      <c r="L1467" s="38">
        <v>0</v>
      </c>
      <c r="M1467" s="38">
        <v>0</v>
      </c>
      <c r="N1467" s="38">
        <v>0</v>
      </c>
      <c r="O1467" s="38">
        <v>0</v>
      </c>
      <c r="P1467" s="38">
        <v>0</v>
      </c>
      <c r="Q1467" s="38">
        <v>0</v>
      </c>
      <c r="R1467" s="38">
        <v>1</v>
      </c>
      <c r="S1467" s="38">
        <v>0</v>
      </c>
      <c r="T1467" s="38">
        <v>0</v>
      </c>
      <c r="U1467" s="29" cm="1">
        <f t="array" aca="1" ref="U1467" ca="1">+fair_value_gap(OFFSET(T1466,0,0,-1*$J$5,-1*$AA$1),OFFSET(E1466,0,0,-1*$J$5,1),F1467:T1467,0)</f>
        <v>14.117892420939267</v>
      </c>
      <c r="V1467" s="9" cm="1">
        <f t="array" aca="1" ref="V1467" ca="1">z_score_diff(OFFSET(U1467,0,0,$J$5*-1,1),OFFSET(E1467,0,0,$J$5*-1,1))</f>
        <v>5.5401433677566669E-2</v>
      </c>
      <c r="W1467" s="9">
        <f t="shared" ca="1" si="221"/>
        <v>-0.10698556488449067</v>
      </c>
      <c r="X1467" s="17">
        <f t="shared" ca="1" si="220"/>
        <v>3.4842571081551671E-2</v>
      </c>
      <c r="Y1467" s="13">
        <f t="shared" si="229"/>
        <v>0</v>
      </c>
      <c r="Z1467" s="13">
        <f t="shared" si="229"/>
        <v>0</v>
      </c>
      <c r="AA1467">
        <f t="shared" ca="1" si="222"/>
        <v>1</v>
      </c>
      <c r="AB1467">
        <f t="shared" ca="1" si="223"/>
        <v>0</v>
      </c>
      <c r="AC1467" s="24">
        <f t="shared" ca="1" si="224"/>
        <v>3.4842571081551671E-2</v>
      </c>
      <c r="AD1467" s="24">
        <f t="shared" ca="1" si="225"/>
        <v>0</v>
      </c>
    </row>
    <row r="1468" spans="3:30" x14ac:dyDescent="0.25">
      <c r="C1468" s="6">
        <v>1461</v>
      </c>
      <c r="D1468" s="35">
        <v>44085</v>
      </c>
      <c r="E1468" s="37">
        <v>13.228</v>
      </c>
      <c r="F1468" s="37">
        <v>35.624971104096701</v>
      </c>
      <c r="G1468" s="37">
        <v>41.59</v>
      </c>
      <c r="H1468" s="37">
        <v>2.6378282049234412</v>
      </c>
      <c r="I1468" s="37">
        <v>50.772728992152921</v>
      </c>
      <c r="J1468" s="10">
        <v>0</v>
      </c>
      <c r="K1468" s="38">
        <v>0</v>
      </c>
      <c r="L1468" s="38">
        <v>0</v>
      </c>
      <c r="M1468" s="38">
        <v>0</v>
      </c>
      <c r="N1468" s="38">
        <v>0</v>
      </c>
      <c r="O1468" s="38">
        <v>0</v>
      </c>
      <c r="P1468" s="38">
        <v>0</v>
      </c>
      <c r="Q1468" s="38">
        <v>0</v>
      </c>
      <c r="R1468" s="38">
        <v>1</v>
      </c>
      <c r="S1468" s="38">
        <v>0</v>
      </c>
      <c r="T1468" s="38">
        <v>0</v>
      </c>
      <c r="U1468" s="29" cm="1">
        <f t="array" aca="1" ref="U1468" ca="1">+fair_value_gap(OFFSET(T1467,0,0,-1*$J$5,-1*$AA$1),OFFSET(E1467,0,0,-1*$J$5,1),F1468:T1468,0)</f>
        <v>14.011180876490144</v>
      </c>
      <c r="V1468" s="9" cm="1">
        <f t="array" aca="1" ref="V1468" ca="1">z_score_diff(OFFSET(U1468,0,0,$J$5*-1,1),OFFSET(E1468,0,0,$J$5*-1,1))</f>
        <v>-1.1863716420430714E-2</v>
      </c>
      <c r="W1468" s="9">
        <f t="shared" ca="1" si="221"/>
        <v>-8.6398044394241508E-2</v>
      </c>
      <c r="X1468" s="17">
        <f t="shared" ca="1" si="220"/>
        <v>2.1908237257074584E-2</v>
      </c>
      <c r="Y1468" s="13">
        <f t="shared" si="229"/>
        <v>0</v>
      </c>
      <c r="Z1468" s="13">
        <f t="shared" si="229"/>
        <v>0</v>
      </c>
      <c r="AA1468">
        <f t="shared" ca="1" si="222"/>
        <v>1</v>
      </c>
      <c r="AB1468">
        <f t="shared" ca="1" si="223"/>
        <v>0</v>
      </c>
      <c r="AC1468" s="24">
        <f t="shared" ca="1" si="224"/>
        <v>2.1908237257074584E-2</v>
      </c>
      <c r="AD1468" s="24">
        <f t="shared" ca="1" si="225"/>
        <v>0</v>
      </c>
    </row>
    <row r="1469" spans="3:30" x14ac:dyDescent="0.25">
      <c r="C1469" s="6">
        <v>1462</v>
      </c>
      <c r="D1469" s="35">
        <v>44088</v>
      </c>
      <c r="E1469" s="37">
        <v>13.526999999999999</v>
      </c>
      <c r="F1469" s="37">
        <v>35.56040359967276</v>
      </c>
      <c r="G1469" s="37">
        <v>42.95</v>
      </c>
      <c r="H1469" s="37">
        <v>2.6288519225524953</v>
      </c>
      <c r="I1469" s="37">
        <v>50.680707348283022</v>
      </c>
      <c r="J1469" s="10">
        <v>0</v>
      </c>
      <c r="K1469" s="38">
        <v>0</v>
      </c>
      <c r="L1469" s="38">
        <v>0</v>
      </c>
      <c r="M1469" s="38">
        <v>0</v>
      </c>
      <c r="N1469" s="38">
        <v>0</v>
      </c>
      <c r="O1469" s="38">
        <v>0</v>
      </c>
      <c r="P1469" s="38">
        <v>0</v>
      </c>
      <c r="Q1469" s="38">
        <v>0</v>
      </c>
      <c r="R1469" s="38">
        <v>1</v>
      </c>
      <c r="S1469" s="38">
        <v>0</v>
      </c>
      <c r="T1469" s="38">
        <v>0</v>
      </c>
      <c r="U1469" s="29" cm="1">
        <f t="array" aca="1" ref="U1469" ca="1">+fair_value_gap(OFFSET(T1468,0,0,-1*$J$5,-1*$AA$1),OFFSET(E1468,0,0,-1*$J$5,1),F1469:T1469,0)</f>
        <v>14.324716189094316</v>
      </c>
      <c r="V1469" s="9" cm="1">
        <f t="array" aca="1" ref="V1469" ca="1">z_score_diff(OFFSET(U1469,0,0,$J$5*-1,1),OFFSET(E1469,0,0,$J$5*-1,1))</f>
        <v>-1.5048252832069009E-2</v>
      </c>
      <c r="W1469" s="9">
        <f t="shared" ca="1" si="221"/>
        <v>-7.1941980821251847E-2</v>
      </c>
      <c r="X1469" s="17">
        <f t="shared" ca="1" si="220"/>
        <v>-1.0702443292819476E-2</v>
      </c>
      <c r="Y1469" s="13">
        <f t="shared" si="229"/>
        <v>0</v>
      </c>
      <c r="Z1469" s="13">
        <f t="shared" si="229"/>
        <v>0</v>
      </c>
      <c r="AA1469">
        <f t="shared" ca="1" si="222"/>
        <v>1</v>
      </c>
      <c r="AB1469">
        <f t="shared" ca="1" si="223"/>
        <v>0</v>
      </c>
      <c r="AC1469" s="24">
        <f t="shared" ca="1" si="224"/>
        <v>-1.0702443292819476E-2</v>
      </c>
      <c r="AD1469" s="24">
        <f t="shared" ca="1" si="225"/>
        <v>0</v>
      </c>
    </row>
    <row r="1470" spans="3:30" x14ac:dyDescent="0.25">
      <c r="C1470" s="6">
        <v>1463</v>
      </c>
      <c r="D1470" s="35">
        <v>44089</v>
      </c>
      <c r="E1470" s="37">
        <v>13.538</v>
      </c>
      <c r="F1470" s="37">
        <v>36.208739855165042</v>
      </c>
      <c r="G1470" s="37">
        <v>43.38</v>
      </c>
      <c r="H1470" s="37">
        <v>2.6332864894668542</v>
      </c>
      <c r="I1470" s="37">
        <v>50.514049797943805</v>
      </c>
      <c r="J1470" s="10">
        <v>0</v>
      </c>
      <c r="K1470" s="38">
        <v>0</v>
      </c>
      <c r="L1470" s="38">
        <v>0</v>
      </c>
      <c r="M1470" s="38">
        <v>0</v>
      </c>
      <c r="N1470" s="38">
        <v>0</v>
      </c>
      <c r="O1470" s="38">
        <v>0</v>
      </c>
      <c r="P1470" s="38">
        <v>0</v>
      </c>
      <c r="Q1470" s="38">
        <v>0</v>
      </c>
      <c r="R1470" s="38">
        <v>1</v>
      </c>
      <c r="S1470" s="38">
        <v>0</v>
      </c>
      <c r="T1470" s="38">
        <v>0</v>
      </c>
      <c r="U1470" s="29" cm="1">
        <f t="array" aca="1" ref="U1470" ca="1">+fair_value_gap(OFFSET(T1469,0,0,-1*$J$5,-1*$AA$1),OFFSET(E1469,0,0,-1*$J$5,1),F1470:T1470,0)</f>
        <v>14.333861649008965</v>
      </c>
      <c r="V1470" s="9" cm="1">
        <f t="array" aca="1" ref="V1470" ca="1">z_score_diff(OFFSET(U1470,0,0,$J$5*-1,1),OFFSET(E1470,0,0,$J$5*-1,1))</f>
        <v>-2.0299400242342891E-2</v>
      </c>
      <c r="W1470" s="9">
        <f t="shared" ca="1" si="221"/>
        <v>-5.6725768268272116E-2</v>
      </c>
      <c r="X1470" s="17">
        <f t="shared" ca="1" si="220"/>
        <v>-1.600868110834092E-2</v>
      </c>
      <c r="Y1470" s="13">
        <f t="shared" si="229"/>
        <v>0</v>
      </c>
      <c r="Z1470" s="13">
        <f t="shared" si="229"/>
        <v>0</v>
      </c>
      <c r="AA1470">
        <f t="shared" ca="1" si="222"/>
        <v>1</v>
      </c>
      <c r="AB1470">
        <f t="shared" ca="1" si="223"/>
        <v>0</v>
      </c>
      <c r="AC1470" s="24">
        <f t="shared" ca="1" si="224"/>
        <v>-1.600868110834092E-2</v>
      </c>
      <c r="AD1470" s="24">
        <f t="shared" ca="1" si="225"/>
        <v>0</v>
      </c>
    </row>
    <row r="1471" spans="3:30" x14ac:dyDescent="0.25">
      <c r="C1471" s="6">
        <v>1464</v>
      </c>
      <c r="D1471" s="35">
        <v>44090</v>
      </c>
      <c r="E1471" s="37">
        <v>13.792999999999999</v>
      </c>
      <c r="F1471" s="37">
        <v>37.471649738684555</v>
      </c>
      <c r="G1471" s="37">
        <v>42.92</v>
      </c>
      <c r="H1471" s="37">
        <v>2.6102046612844365</v>
      </c>
      <c r="I1471" s="37">
        <v>50.906154840678063</v>
      </c>
      <c r="J1471" s="10">
        <v>0</v>
      </c>
      <c r="K1471" s="38">
        <v>0</v>
      </c>
      <c r="L1471" s="38">
        <v>0</v>
      </c>
      <c r="M1471" s="38">
        <v>0</v>
      </c>
      <c r="N1471" s="38">
        <v>0</v>
      </c>
      <c r="O1471" s="38">
        <v>0</v>
      </c>
      <c r="P1471" s="38">
        <v>0</v>
      </c>
      <c r="Q1471" s="38">
        <v>0</v>
      </c>
      <c r="R1471" s="38">
        <v>1</v>
      </c>
      <c r="S1471" s="38">
        <v>0</v>
      </c>
      <c r="T1471" s="38">
        <v>0</v>
      </c>
      <c r="U1471" s="29" cm="1">
        <f t="array" aca="1" ref="U1471" ca="1">+fair_value_gap(OFFSET(T1470,0,0,-1*$J$5,-1*$AA$1),OFFSET(E1470,0,0,-1*$J$5,1),F1471:T1471,0)</f>
        <v>14.138172288809209</v>
      </c>
      <c r="V1471" s="9" cm="1">
        <f t="array" aca="1" ref="V1471" ca="1">z_score_diff(OFFSET(U1471,0,0,$J$5*-1,1),OFFSET(E1471,0,0,$J$5*-1,1))</f>
        <v>-0.20791403085816934</v>
      </c>
      <c r="W1471" s="9">
        <f t="shared" ca="1" si="221"/>
        <v>-4.9158304159097235E-2</v>
      </c>
      <c r="X1471" s="17">
        <f t="shared" ca="1" si="220"/>
        <v>-1.9695332247743225E-2</v>
      </c>
      <c r="Y1471" s="13">
        <f t="shared" si="229"/>
        <v>0</v>
      </c>
      <c r="Z1471" s="13">
        <f t="shared" si="229"/>
        <v>0</v>
      </c>
      <c r="AA1471">
        <f t="shared" ca="1" si="222"/>
        <v>1</v>
      </c>
      <c r="AB1471">
        <f t="shared" ca="1" si="223"/>
        <v>0</v>
      </c>
      <c r="AC1471" s="24">
        <f t="shared" ca="1" si="224"/>
        <v>-1.9695332247743225E-2</v>
      </c>
      <c r="AD1471" s="24">
        <f t="shared" ca="1" si="225"/>
        <v>0</v>
      </c>
    </row>
    <row r="1472" spans="3:30" x14ac:dyDescent="0.25">
      <c r="C1472" s="6">
        <v>1465</v>
      </c>
      <c r="D1472" s="35">
        <v>44091</v>
      </c>
      <c r="E1472" s="37">
        <v>13.597</v>
      </c>
      <c r="F1472" s="37">
        <v>38.043021241527782</v>
      </c>
      <c r="G1472" s="37">
        <v>42.77</v>
      </c>
      <c r="H1472" s="37">
        <v>2.5849745202576564</v>
      </c>
      <c r="I1472" s="37">
        <v>51.379942481373725</v>
      </c>
      <c r="J1472" s="10">
        <v>0</v>
      </c>
      <c r="K1472" s="38">
        <v>0</v>
      </c>
      <c r="L1472" s="38">
        <v>0</v>
      </c>
      <c r="M1472" s="38">
        <v>0</v>
      </c>
      <c r="N1472" s="38">
        <v>0</v>
      </c>
      <c r="O1472" s="38">
        <v>0</v>
      </c>
      <c r="P1472" s="38">
        <v>0</v>
      </c>
      <c r="Q1472" s="38">
        <v>0</v>
      </c>
      <c r="R1472" s="38">
        <v>1</v>
      </c>
      <c r="S1472" s="38">
        <v>0</v>
      </c>
      <c r="T1472" s="38">
        <v>0</v>
      </c>
      <c r="U1472" s="29" cm="1">
        <f t="array" aca="1" ref="U1472" ca="1">+fair_value_gap(OFFSET(T1471,0,0,-1*$J$5,-1*$AA$1),OFFSET(E1471,0,0,-1*$J$5,1),F1472:T1472,0)</f>
        <v>14.059128410745343</v>
      </c>
      <c r="V1472" s="9" cm="1">
        <f t="array" aca="1" ref="V1472" ca="1">z_score_diff(OFFSET(U1472,0,0,$J$5*-1,1),OFFSET(E1472,0,0,$J$5*-1,1))</f>
        <v>-0.16272161122220535</v>
      </c>
      <c r="W1472" s="9">
        <f t="shared" ca="1" si="221"/>
        <v>-3.8203771650135575E-2</v>
      </c>
      <c r="X1472" s="17">
        <f t="shared" ca="1" si="220"/>
        <v>2.4240655348923166E-3</v>
      </c>
      <c r="Y1472" s="13">
        <f t="shared" si="229"/>
        <v>0</v>
      </c>
      <c r="Z1472" s="13">
        <f t="shared" si="229"/>
        <v>0</v>
      </c>
      <c r="AA1472">
        <f t="shared" ca="1" si="222"/>
        <v>1</v>
      </c>
      <c r="AB1472">
        <f t="shared" ca="1" si="223"/>
        <v>0</v>
      </c>
      <c r="AC1472" s="24">
        <f t="shared" ca="1" si="224"/>
        <v>2.4240655348923166E-3</v>
      </c>
      <c r="AD1472" s="24">
        <f t="shared" ca="1" si="225"/>
        <v>0</v>
      </c>
    </row>
    <row r="1473" spans="3:30" x14ac:dyDescent="0.25">
      <c r="C1473" s="6">
        <v>1466</v>
      </c>
      <c r="D1473" s="35">
        <v>44092</v>
      </c>
      <c r="E1473" s="37">
        <v>13.792</v>
      </c>
      <c r="F1473" s="37">
        <v>37.961328579192951</v>
      </c>
      <c r="G1473" s="37">
        <v>42.3</v>
      </c>
      <c r="H1473" s="37">
        <v>2.6216201208502938</v>
      </c>
      <c r="I1473" s="37">
        <v>51.658368234983321</v>
      </c>
      <c r="J1473" s="10">
        <v>0</v>
      </c>
      <c r="K1473" s="38">
        <v>0</v>
      </c>
      <c r="L1473" s="38">
        <v>0</v>
      </c>
      <c r="M1473" s="38">
        <v>0</v>
      </c>
      <c r="N1473" s="38">
        <v>0</v>
      </c>
      <c r="O1473" s="38">
        <v>0</v>
      </c>
      <c r="P1473" s="38">
        <v>0</v>
      </c>
      <c r="Q1473" s="38">
        <v>0</v>
      </c>
      <c r="R1473" s="38">
        <v>1</v>
      </c>
      <c r="S1473" s="38">
        <v>0</v>
      </c>
      <c r="T1473" s="38">
        <v>0</v>
      </c>
      <c r="U1473" s="29" cm="1">
        <f t="array" aca="1" ref="U1473" ca="1">+fair_value_gap(OFFSET(T1472,0,0,-1*$J$5,-1*$AA$1),OFFSET(E1472,0,0,-1*$J$5,1),F1473:T1473,0)</f>
        <v>13.787011768191626</v>
      </c>
      <c r="V1473" s="9" cm="1">
        <f t="array" aca="1" ref="V1473" ca="1">z_score_diff(OFFSET(U1473,0,0,$J$5*-1,1),OFFSET(E1473,0,0,$J$5*-1,1))</f>
        <v>-0.36161913806824619</v>
      </c>
      <c r="W1473" s="9">
        <f t="shared" ca="1" si="221"/>
        <v>-3.8300965966573723E-2</v>
      </c>
      <c r="X1473" s="17">
        <f t="shared" ca="1" si="220"/>
        <v>5.5674197528608298E-3</v>
      </c>
      <c r="Y1473" s="13">
        <f t="shared" si="229"/>
        <v>0</v>
      </c>
      <c r="Z1473" s="13">
        <f t="shared" si="229"/>
        <v>0</v>
      </c>
      <c r="AA1473">
        <f t="shared" ca="1" si="222"/>
        <v>1</v>
      </c>
      <c r="AB1473">
        <f t="shared" ca="1" si="223"/>
        <v>0</v>
      </c>
      <c r="AC1473" s="24">
        <f t="shared" ca="1" si="224"/>
        <v>5.5674197528608298E-3</v>
      </c>
      <c r="AD1473" s="24">
        <f t="shared" ca="1" si="225"/>
        <v>0</v>
      </c>
    </row>
    <row r="1474" spans="3:30" x14ac:dyDescent="0.25">
      <c r="C1474" s="6">
        <v>1467</v>
      </c>
      <c r="D1474" s="35">
        <v>44095</v>
      </c>
      <c r="E1474" s="37">
        <v>13.512</v>
      </c>
      <c r="F1474" s="37">
        <v>36.824763024655589</v>
      </c>
      <c r="G1474" s="37">
        <v>41.58</v>
      </c>
      <c r="H1474" s="37">
        <v>2.654631435133683</v>
      </c>
      <c r="I1474" s="37">
        <v>52.153609934987749</v>
      </c>
      <c r="J1474" s="10">
        <v>0</v>
      </c>
      <c r="K1474" s="38">
        <v>0</v>
      </c>
      <c r="L1474" s="38">
        <v>0</v>
      </c>
      <c r="M1474" s="38">
        <v>0</v>
      </c>
      <c r="N1474" s="38">
        <v>0</v>
      </c>
      <c r="O1474" s="38">
        <v>0</v>
      </c>
      <c r="P1474" s="38">
        <v>0</v>
      </c>
      <c r="Q1474" s="38">
        <v>0</v>
      </c>
      <c r="R1474" s="38">
        <v>1</v>
      </c>
      <c r="S1474" s="38">
        <v>0</v>
      </c>
      <c r="T1474" s="38">
        <v>0</v>
      </c>
      <c r="U1474" s="29" cm="1">
        <f t="array" aca="1" ref="U1474" ca="1">+fair_value_gap(OFFSET(T1473,0,0,-1*$J$5,-1*$AA$1),OFFSET(E1473,0,0,-1*$J$5,1),F1474:T1474,0)</f>
        <v>13.530295949327728</v>
      </c>
      <c r="V1474" s="9" cm="1">
        <f t="array" aca="1" ref="V1474" ca="1">z_score_diff(OFFSET(U1474,0,0,$J$5*-1,1),OFFSET(E1474,0,0,$J$5*-1,1))</f>
        <v>-0.34903594737429178</v>
      </c>
      <c r="W1474" s="9">
        <f t="shared" ca="1" si="221"/>
        <v>-3.4997597689940152E-2</v>
      </c>
      <c r="X1474" s="17">
        <f t="shared" ca="1" si="220"/>
        <v>4.3659882199953641E-2</v>
      </c>
      <c r="Y1474" s="13">
        <f t="shared" si="229"/>
        <v>0</v>
      </c>
      <c r="Z1474" s="13">
        <f t="shared" si="229"/>
        <v>0</v>
      </c>
      <c r="AA1474">
        <f t="shared" ca="1" si="222"/>
        <v>1</v>
      </c>
      <c r="AB1474">
        <f t="shared" ca="1" si="223"/>
        <v>0</v>
      </c>
      <c r="AC1474" s="24">
        <f t="shared" ca="1" si="224"/>
        <v>4.3659882199953641E-2</v>
      </c>
      <c r="AD1474" s="24">
        <f t="shared" ca="1" si="225"/>
        <v>0</v>
      </c>
    </row>
    <row r="1475" spans="3:30" x14ac:dyDescent="0.25">
      <c r="C1475" s="6">
        <v>1468</v>
      </c>
      <c r="D1475" s="35">
        <v>44096</v>
      </c>
      <c r="E1475" s="37">
        <v>13.545</v>
      </c>
      <c r="F1475" s="37">
        <v>37.143000552125685</v>
      </c>
      <c r="G1475" s="37">
        <v>41.32</v>
      </c>
      <c r="H1475" s="37">
        <v>2.6364214088648077</v>
      </c>
      <c r="I1475" s="37">
        <v>53.340955900556125</v>
      </c>
      <c r="J1475" s="10">
        <v>0</v>
      </c>
      <c r="K1475" s="38">
        <v>0</v>
      </c>
      <c r="L1475" s="38">
        <v>0</v>
      </c>
      <c r="M1475" s="38">
        <v>0</v>
      </c>
      <c r="N1475" s="38">
        <v>0</v>
      </c>
      <c r="O1475" s="38">
        <v>0</v>
      </c>
      <c r="P1475" s="38">
        <v>0</v>
      </c>
      <c r="Q1475" s="38">
        <v>0</v>
      </c>
      <c r="R1475" s="38">
        <v>1</v>
      </c>
      <c r="S1475" s="38">
        <v>0</v>
      </c>
      <c r="T1475" s="38">
        <v>0</v>
      </c>
      <c r="U1475" s="29" cm="1">
        <f t="array" aca="1" ref="U1475" ca="1">+fair_value_gap(OFFSET(T1474,0,0,-1*$J$5,-1*$AA$1),OFFSET(E1474,0,0,-1*$J$5,1),F1475:T1475,0)</f>
        <v>13.410894807536147</v>
      </c>
      <c r="V1475" s="9" cm="1">
        <f t="array" aca="1" ref="V1475" ca="1">z_score_diff(OFFSET(U1475,0,0,$J$5*-1,1),OFFSET(E1475,0,0,$J$5*-1,1))</f>
        <v>-0.412630571568327</v>
      </c>
      <c r="W1475" s="9">
        <f t="shared" ca="1" si="221"/>
        <v>-3.4187006353242844E-2</v>
      </c>
      <c r="X1475" s="17">
        <f t="shared" ca="1" si="220"/>
        <v>4.6097093234848181E-2</v>
      </c>
      <c r="Y1475" s="13">
        <f t="shared" si="229"/>
        <v>0</v>
      </c>
      <c r="Z1475" s="13">
        <f t="shared" si="229"/>
        <v>0</v>
      </c>
      <c r="AA1475">
        <f t="shared" ca="1" si="222"/>
        <v>1</v>
      </c>
      <c r="AB1475">
        <f t="shared" ca="1" si="223"/>
        <v>0</v>
      </c>
      <c r="AC1475" s="24">
        <f t="shared" ca="1" si="224"/>
        <v>4.6097093234848181E-2</v>
      </c>
      <c r="AD1475" s="24">
        <f t="shared" ca="1" si="225"/>
        <v>0</v>
      </c>
    </row>
    <row r="1476" spans="3:30" x14ac:dyDescent="0.25">
      <c r="C1476" s="6">
        <v>1469</v>
      </c>
      <c r="D1476" s="35">
        <v>44097</v>
      </c>
      <c r="E1476" s="37">
        <v>13.734999999999999</v>
      </c>
      <c r="F1476" s="37">
        <v>37.345369498775945</v>
      </c>
      <c r="G1476" s="37">
        <v>41.81</v>
      </c>
      <c r="H1476" s="37">
        <v>2.7035245760207194</v>
      </c>
      <c r="I1476" s="37">
        <v>54.241330356181891</v>
      </c>
      <c r="J1476" s="10">
        <v>0</v>
      </c>
      <c r="K1476" s="38">
        <v>0</v>
      </c>
      <c r="L1476" s="38">
        <v>0</v>
      </c>
      <c r="M1476" s="38">
        <v>0</v>
      </c>
      <c r="N1476" s="38">
        <v>0</v>
      </c>
      <c r="O1476" s="38">
        <v>0</v>
      </c>
      <c r="P1476" s="38">
        <v>0</v>
      </c>
      <c r="Q1476" s="38">
        <v>0</v>
      </c>
      <c r="R1476" s="38">
        <v>1</v>
      </c>
      <c r="S1476" s="38">
        <v>0</v>
      </c>
      <c r="T1476" s="38">
        <v>0</v>
      </c>
      <c r="U1476" s="29" cm="1">
        <f t="array" aca="1" ref="U1476" ca="1">+fair_value_gap(OFFSET(T1475,0,0,-1*$J$5,-1*$AA$1),OFFSET(E1475,0,0,-1*$J$5,1),F1476:T1476,0)</f>
        <v>13.610487090333585</v>
      </c>
      <c r="V1476" s="9" cm="1">
        <f t="array" aca="1" ref="V1476" ca="1">z_score_diff(OFFSET(U1476,0,0,$J$5*-1,1),OFFSET(E1476,0,0,$J$5*-1,1))</f>
        <v>-0.41343433717300182</v>
      </c>
      <c r="W1476" s="9">
        <f t="shared" ca="1" si="221"/>
        <v>-3.4070723793338212E-2</v>
      </c>
      <c r="X1476" s="17">
        <f t="shared" ca="1" si="220"/>
        <v>3.0826813735242702E-2</v>
      </c>
      <c r="Y1476" s="13">
        <f t="shared" si="229"/>
        <v>0</v>
      </c>
      <c r="Z1476" s="13">
        <f t="shared" si="229"/>
        <v>0</v>
      </c>
      <c r="AA1476">
        <f t="shared" ca="1" si="222"/>
        <v>1</v>
      </c>
      <c r="AB1476">
        <f t="shared" ca="1" si="223"/>
        <v>0</v>
      </c>
      <c r="AC1476" s="24">
        <f t="shared" ca="1" si="224"/>
        <v>3.0826813735242702E-2</v>
      </c>
      <c r="AD1476" s="24">
        <f t="shared" ca="1" si="225"/>
        <v>0</v>
      </c>
    </row>
    <row r="1477" spans="3:30" x14ac:dyDescent="0.25">
      <c r="C1477" s="6">
        <v>1470</v>
      </c>
      <c r="D1477" s="35">
        <v>44098</v>
      </c>
      <c r="E1477" s="37">
        <v>13.635999999999999</v>
      </c>
      <c r="F1477" s="37">
        <v>37.559470583818545</v>
      </c>
      <c r="G1477" s="37">
        <v>41.56</v>
      </c>
      <c r="H1477" s="37">
        <v>2.7636330127439406</v>
      </c>
      <c r="I1477" s="37">
        <v>55.332386809646351</v>
      </c>
      <c r="J1477" s="10">
        <v>0</v>
      </c>
      <c r="K1477" s="38">
        <v>0</v>
      </c>
      <c r="L1477" s="38">
        <v>0</v>
      </c>
      <c r="M1477" s="38">
        <v>0</v>
      </c>
      <c r="N1477" s="38">
        <v>0</v>
      </c>
      <c r="O1477" s="38">
        <v>0</v>
      </c>
      <c r="P1477" s="38">
        <v>0</v>
      </c>
      <c r="Q1477" s="38">
        <v>0</v>
      </c>
      <c r="R1477" s="38">
        <v>1</v>
      </c>
      <c r="S1477" s="38">
        <v>0</v>
      </c>
      <c r="T1477" s="38">
        <v>0</v>
      </c>
      <c r="U1477" s="29" cm="1">
        <f t="array" aca="1" ref="U1477" ca="1">+fair_value_gap(OFFSET(T1476,0,0,-1*$J$5,-1*$AA$1),OFFSET(E1476,0,0,-1*$J$5,1),F1477:T1477,0)</f>
        <v>13.633580456736825</v>
      </c>
      <c r="V1477" s="9" cm="1">
        <f t="array" aca="1" ref="V1477" ca="1">z_score_diff(OFFSET(U1477,0,0,$J$5*-1,1),OFFSET(E1477,0,0,$J$5*-1,1))</f>
        <v>-0.36012582571464458</v>
      </c>
      <c r="W1477" s="9">
        <f t="shared" ca="1" si="221"/>
        <v>-3.7933746516511921E-2</v>
      </c>
      <c r="X1477" s="17">
        <f t="shared" ca="1" si="220"/>
        <v>5.5833427048853392E-2</v>
      </c>
      <c r="Y1477" s="13">
        <f t="shared" si="229"/>
        <v>0</v>
      </c>
      <c r="Z1477" s="13">
        <f t="shared" si="229"/>
        <v>0</v>
      </c>
      <c r="AA1477">
        <f t="shared" ca="1" si="222"/>
        <v>1</v>
      </c>
      <c r="AB1477">
        <f t="shared" ca="1" si="223"/>
        <v>0</v>
      </c>
      <c r="AC1477" s="24">
        <f t="shared" ca="1" si="224"/>
        <v>5.5833427048853392E-2</v>
      </c>
      <c r="AD1477" s="24">
        <f t="shared" ca="1" si="225"/>
        <v>0</v>
      </c>
    </row>
    <row r="1478" spans="3:30" x14ac:dyDescent="0.25">
      <c r="C1478" s="6">
        <v>1471</v>
      </c>
      <c r="D1478" s="35">
        <v>44099</v>
      </c>
      <c r="E1478" s="37">
        <v>13.717000000000001</v>
      </c>
      <c r="F1478" s="37">
        <v>37.5602132351367</v>
      </c>
      <c r="G1478" s="37">
        <v>40.97</v>
      </c>
      <c r="H1478" s="37">
        <v>2.7403712346656963</v>
      </c>
      <c r="I1478" s="37">
        <v>55.706609004688609</v>
      </c>
      <c r="J1478" s="10">
        <v>0</v>
      </c>
      <c r="K1478" s="38">
        <v>0</v>
      </c>
      <c r="L1478" s="38">
        <v>0</v>
      </c>
      <c r="M1478" s="38">
        <v>0</v>
      </c>
      <c r="N1478" s="38">
        <v>0</v>
      </c>
      <c r="O1478" s="38">
        <v>0</v>
      </c>
      <c r="P1478" s="38">
        <v>0</v>
      </c>
      <c r="Q1478" s="38">
        <v>0</v>
      </c>
      <c r="R1478" s="38">
        <v>1</v>
      </c>
      <c r="S1478" s="38">
        <v>0</v>
      </c>
      <c r="T1478" s="38">
        <v>0</v>
      </c>
      <c r="U1478" s="29" cm="1">
        <f t="array" aca="1" ref="U1478" ca="1">+fair_value_gap(OFFSET(T1477,0,0,-1*$J$5,-1*$AA$1),OFFSET(E1477,0,0,-1*$J$5,1),F1478:T1478,0)</f>
        <v>13.498233299590154</v>
      </c>
      <c r="V1478" s="9" cm="1">
        <f t="array" aca="1" ref="V1478" ca="1">z_score_diff(OFFSET(U1478,0,0,$J$5*-1,1),OFFSET(E1478,0,0,$J$5*-1,1))</f>
        <v>-0.453945508589923</v>
      </c>
      <c r="W1478" s="9">
        <f t="shared" ca="1" si="221"/>
        <v>-4.6505721467378094E-2</v>
      </c>
      <c r="X1478" s="17">
        <f t="shared" ca="1" si="220"/>
        <v>6.3138730193677536E-2</v>
      </c>
      <c r="Y1478" s="13">
        <f t="shared" si="229"/>
        <v>0</v>
      </c>
      <c r="Z1478" s="13">
        <f t="shared" si="229"/>
        <v>0</v>
      </c>
      <c r="AA1478">
        <f t="shared" ca="1" si="222"/>
        <v>1</v>
      </c>
      <c r="AB1478">
        <f t="shared" ca="1" si="223"/>
        <v>0</v>
      </c>
      <c r="AC1478" s="24">
        <f t="shared" ca="1" si="224"/>
        <v>6.3138730193677536E-2</v>
      </c>
      <c r="AD1478" s="24">
        <f t="shared" ca="1" si="225"/>
        <v>0</v>
      </c>
    </row>
    <row r="1479" spans="3:30" x14ac:dyDescent="0.25">
      <c r="C1479" s="6">
        <v>1472</v>
      </c>
      <c r="D1479" s="35">
        <v>44102</v>
      </c>
      <c r="E1479" s="37">
        <v>14.194000000000001</v>
      </c>
      <c r="F1479" s="37">
        <v>37.748737368346902</v>
      </c>
      <c r="G1479" s="37">
        <v>41.25</v>
      </c>
      <c r="H1479" s="37">
        <v>2.7425682973791057</v>
      </c>
      <c r="I1479" s="37">
        <v>56.482220694778277</v>
      </c>
      <c r="J1479" s="10">
        <v>0</v>
      </c>
      <c r="K1479" s="38">
        <v>0</v>
      </c>
      <c r="L1479" s="38">
        <v>0</v>
      </c>
      <c r="M1479" s="38">
        <v>0</v>
      </c>
      <c r="N1479" s="38">
        <v>0</v>
      </c>
      <c r="O1479" s="38">
        <v>0</v>
      </c>
      <c r="P1479" s="38">
        <v>0</v>
      </c>
      <c r="Q1479" s="38">
        <v>0</v>
      </c>
      <c r="R1479" s="38">
        <v>1</v>
      </c>
      <c r="S1479" s="38">
        <v>0</v>
      </c>
      <c r="T1479" s="38">
        <v>0</v>
      </c>
      <c r="U1479" s="29" cm="1">
        <f t="array" aca="1" ref="U1479" ca="1">+fair_value_gap(OFFSET(T1478,0,0,-1*$J$5,-1*$AA$1),OFFSET(E1478,0,0,-1*$J$5,1),F1479:T1479,0)</f>
        <v>13.617782013505856</v>
      </c>
      <c r="V1479" s="9" cm="1">
        <f t="array" aca="1" ref="V1479" ca="1">z_score_diff(OFFSET(U1479,0,0,$J$5*-1,1),OFFSET(E1479,0,0,$J$5*-1,1))</f>
        <v>-0.6184194302954078</v>
      </c>
      <c r="W1479" s="9">
        <f t="shared" ca="1" si="221"/>
        <v>-5.9751699956754792E-2</v>
      </c>
      <c r="X1479" s="17">
        <f t="shared" ref="X1479:X1542" ca="1" si="230">+LN(OFFSET(E1479,$X$3,0,1,1)/E1479)</f>
        <v>2.2519362085321871E-3</v>
      </c>
      <c r="Y1479" s="13">
        <f t="shared" si="229"/>
        <v>0</v>
      </c>
      <c r="Z1479" s="13">
        <f t="shared" si="229"/>
        <v>0</v>
      </c>
      <c r="AA1479">
        <f t="shared" ca="1" si="222"/>
        <v>1</v>
      </c>
      <c r="AB1479">
        <f t="shared" ca="1" si="223"/>
        <v>0</v>
      </c>
      <c r="AC1479" s="24">
        <f t="shared" ca="1" si="224"/>
        <v>2.2519362085321871E-3</v>
      </c>
      <c r="AD1479" s="24">
        <f t="shared" ca="1" si="225"/>
        <v>0</v>
      </c>
    </row>
    <row r="1480" spans="3:30" x14ac:dyDescent="0.25">
      <c r="C1480" s="6">
        <v>1473</v>
      </c>
      <c r="D1480" s="35">
        <v>44103</v>
      </c>
      <c r="E1480" s="37">
        <v>14.069000000000001</v>
      </c>
      <c r="F1480" s="37">
        <v>36.444150357570052</v>
      </c>
      <c r="G1480" s="37">
        <v>42.29</v>
      </c>
      <c r="H1480" s="37">
        <v>2.3719237523222962</v>
      </c>
      <c r="I1480" s="37">
        <v>55.523036333867779</v>
      </c>
      <c r="J1480" s="10">
        <v>0</v>
      </c>
      <c r="K1480" s="38">
        <v>0</v>
      </c>
      <c r="L1480" s="38">
        <v>0</v>
      </c>
      <c r="M1480" s="38">
        <v>0</v>
      </c>
      <c r="N1480" s="38">
        <v>0</v>
      </c>
      <c r="O1480" s="38">
        <v>0</v>
      </c>
      <c r="P1480" s="38">
        <v>0</v>
      </c>
      <c r="Q1480" s="38">
        <v>0</v>
      </c>
      <c r="R1480" s="38">
        <v>1</v>
      </c>
      <c r="S1480" s="38">
        <v>0</v>
      </c>
      <c r="T1480" s="38">
        <v>0</v>
      </c>
      <c r="U1480" s="29" cm="1">
        <f t="array" aca="1" ref="U1480" ca="1">+fair_value_gap(OFFSET(T1479,0,0,-1*$J$5,-1*$AA$1),OFFSET(E1479,0,0,-1*$J$5,1),F1480:T1480,0)</f>
        <v>13.7503246404378</v>
      </c>
      <c r="V1480" s="9" cm="1">
        <f t="array" aca="1" ref="V1480" ca="1">z_score_diff(OFFSET(U1480,0,0,$J$5*-1,1),OFFSET(E1480,0,0,$J$5*-1,1))</f>
        <v>-0.50560981563280927</v>
      </c>
      <c r="W1480" s="9">
        <f t="shared" ref="W1480:W1543" ca="1" si="231">+IF(ISERROR(AVERAGE(OFFSET(V1480,0,0,$W$5*-1,1))),"",AVERAGE(OFFSET(V1480,0,0,$W$5*-1,1)))</f>
        <v>-0.12371406017127691</v>
      </c>
      <c r="X1480" s="17">
        <f t="shared" ca="1" si="230"/>
        <v>6.6591348371832556E-3</v>
      </c>
      <c r="Y1480" s="13">
        <f t="shared" si="229"/>
        <v>0</v>
      </c>
      <c r="Z1480" s="13">
        <f t="shared" si="229"/>
        <v>0</v>
      </c>
      <c r="AA1480">
        <f t="shared" ref="AA1480:AA1543" ca="1" si="232">+IF(W1480="","",IF(W1480&lt;Y1480,1,0))</f>
        <v>1</v>
      </c>
      <c r="AB1480">
        <f t="shared" ref="AB1480:AB1543" ca="1" si="233">+IF(W1480="","",IF(W1480&gt;Z1480,1,0))</f>
        <v>0</v>
      </c>
      <c r="AC1480" s="24">
        <f t="shared" ref="AC1480:AC1543" ca="1" si="234">+IF(ISERROR(AA1480*X1480),"",AA1480*X1480)</f>
        <v>6.6591348371832556E-3</v>
      </c>
      <c r="AD1480" s="24">
        <f t="shared" ref="AD1480:AD1543" ca="1" si="235">+IF(ISERROR(AB1480*X1480),"",AB1480*X1480)</f>
        <v>0</v>
      </c>
    </row>
    <row r="1481" spans="3:30" x14ac:dyDescent="0.25">
      <c r="C1481" s="6">
        <v>1474</v>
      </c>
      <c r="D1481" s="35">
        <v>44104</v>
      </c>
      <c r="E1481" s="37">
        <v>13.25</v>
      </c>
      <c r="F1481" s="37">
        <v>37.19294370510702</v>
      </c>
      <c r="G1481" s="37">
        <v>38.5</v>
      </c>
      <c r="H1481" s="37">
        <v>2.3736200254013022</v>
      </c>
      <c r="I1481" s="37">
        <v>55.390130871927312</v>
      </c>
      <c r="J1481" s="10">
        <v>0</v>
      </c>
      <c r="K1481" s="38">
        <v>0</v>
      </c>
      <c r="L1481" s="38">
        <v>0</v>
      </c>
      <c r="M1481" s="38">
        <v>0</v>
      </c>
      <c r="N1481" s="38">
        <v>0</v>
      </c>
      <c r="O1481" s="38">
        <v>0</v>
      </c>
      <c r="P1481" s="38">
        <v>0</v>
      </c>
      <c r="Q1481" s="38">
        <v>0</v>
      </c>
      <c r="R1481" s="38">
        <v>1</v>
      </c>
      <c r="S1481" s="38">
        <v>0</v>
      </c>
      <c r="T1481" s="38">
        <v>0</v>
      </c>
      <c r="U1481" s="29" cm="1">
        <f t="array" aca="1" ref="U1481" ca="1">+fair_value_gap(OFFSET(T1480,0,0,-1*$J$5,-1*$AA$1),OFFSET(E1480,0,0,-1*$J$5,1),F1481:T1481,0)</f>
        <v>12.836109070089357</v>
      </c>
      <c r="V1481" s="9" cm="1">
        <f t="array" aca="1" ref="V1481" ca="1">z_score_diff(OFFSET(U1481,0,0,$J$5*-1,1),OFFSET(E1481,0,0,$J$5*-1,1))</f>
        <v>-0.53069006833035004</v>
      </c>
      <c r="W1481" s="9">
        <f t="shared" ca="1" si="231"/>
        <v>-0.17713046360493787</v>
      </c>
      <c r="X1481" s="17">
        <f t="shared" ca="1" si="230"/>
        <v>4.5081588798984912E-2</v>
      </c>
      <c r="Y1481" s="13">
        <f t="shared" ref="Y1481:Z1496" si="236">+Y1480</f>
        <v>0</v>
      </c>
      <c r="Z1481" s="13">
        <f t="shared" si="236"/>
        <v>0</v>
      </c>
      <c r="AA1481">
        <f t="shared" ca="1" si="232"/>
        <v>1</v>
      </c>
      <c r="AB1481">
        <f t="shared" ca="1" si="233"/>
        <v>0</v>
      </c>
      <c r="AC1481" s="24">
        <f t="shared" ca="1" si="234"/>
        <v>4.5081588798984912E-2</v>
      </c>
      <c r="AD1481" s="24">
        <f t="shared" ca="1" si="235"/>
        <v>0</v>
      </c>
    </row>
    <row r="1482" spans="3:30" x14ac:dyDescent="0.25">
      <c r="C1482" s="6">
        <v>1475</v>
      </c>
      <c r="D1482" s="35">
        <v>44105</v>
      </c>
      <c r="E1482" s="37">
        <v>13.06</v>
      </c>
      <c r="F1482" s="37">
        <v>36.428482392476198</v>
      </c>
      <c r="G1482" s="37">
        <v>38.21</v>
      </c>
      <c r="H1482" s="37">
        <v>2.3412253232222247</v>
      </c>
      <c r="I1482" s="37">
        <v>55.79595301268467</v>
      </c>
      <c r="J1482" s="10">
        <v>0</v>
      </c>
      <c r="K1482" s="38">
        <v>0</v>
      </c>
      <c r="L1482" s="38">
        <v>0</v>
      </c>
      <c r="M1482" s="38">
        <v>0</v>
      </c>
      <c r="N1482" s="38">
        <v>0</v>
      </c>
      <c r="O1482" s="38">
        <v>0</v>
      </c>
      <c r="P1482" s="38">
        <v>0</v>
      </c>
      <c r="Q1482" s="38">
        <v>0</v>
      </c>
      <c r="R1482" s="38">
        <v>0</v>
      </c>
      <c r="S1482" s="38">
        <v>1</v>
      </c>
      <c r="T1482" s="38">
        <v>0</v>
      </c>
      <c r="U1482" s="29" cm="1">
        <f t="array" aca="1" ref="U1482" ca="1">+fair_value_gap(OFFSET(T1481,0,0,-1*$J$5,-1*$AA$1),OFFSET(E1481,0,0,-1*$J$5,1),F1482:T1482,0)</f>
        <v>14.35304051641112</v>
      </c>
      <c r="V1482" s="9" cm="1">
        <f t="array" aca="1" ref="V1482" ca="1">z_score_diff(OFFSET(U1482,0,0,$J$5*-1,1),OFFSET(E1482,0,0,$J$5*-1,1))</f>
        <v>0.22155873182318231</v>
      </c>
      <c r="W1482" s="9">
        <f t="shared" ca="1" si="231"/>
        <v>-0.18194579504131952</v>
      </c>
      <c r="X1482" s="17">
        <f t="shared" ca="1" si="230"/>
        <v>4.2719121860156188E-2</v>
      </c>
      <c r="Y1482" s="13">
        <f t="shared" si="236"/>
        <v>0</v>
      </c>
      <c r="Z1482" s="13">
        <f t="shared" si="236"/>
        <v>0</v>
      </c>
      <c r="AA1482">
        <f t="shared" ca="1" si="232"/>
        <v>1</v>
      </c>
      <c r="AB1482">
        <f t="shared" ca="1" si="233"/>
        <v>0</v>
      </c>
      <c r="AC1482" s="24">
        <f t="shared" ca="1" si="234"/>
        <v>4.2719121860156188E-2</v>
      </c>
      <c r="AD1482" s="24">
        <f t="shared" ca="1" si="235"/>
        <v>0</v>
      </c>
    </row>
    <row r="1483" spans="3:30" x14ac:dyDescent="0.25">
      <c r="C1483" s="6">
        <v>1476</v>
      </c>
      <c r="D1483" s="35">
        <v>44106</v>
      </c>
      <c r="E1483" s="37">
        <v>12.821</v>
      </c>
      <c r="F1483" s="37">
        <v>35.237376107970583</v>
      </c>
      <c r="G1483" s="37">
        <v>37.46</v>
      </c>
      <c r="H1483" s="37">
        <v>2.3171295823894753</v>
      </c>
      <c r="I1483" s="37">
        <v>55.568593838220984</v>
      </c>
      <c r="J1483" s="10">
        <v>0</v>
      </c>
      <c r="K1483" s="38">
        <v>0</v>
      </c>
      <c r="L1483" s="38">
        <v>0</v>
      </c>
      <c r="M1483" s="38">
        <v>0</v>
      </c>
      <c r="N1483" s="38">
        <v>0</v>
      </c>
      <c r="O1483" s="38">
        <v>0</v>
      </c>
      <c r="P1483" s="38">
        <v>0</v>
      </c>
      <c r="Q1483" s="38">
        <v>0</v>
      </c>
      <c r="R1483" s="38">
        <v>0</v>
      </c>
      <c r="S1483" s="38">
        <v>1</v>
      </c>
      <c r="T1483" s="38">
        <v>0</v>
      </c>
      <c r="U1483" s="29" cm="1">
        <f t="array" aca="1" ref="U1483" ca="1">+fair_value_gap(OFFSET(T1482,0,0,-1*$J$5,-1*$AA$1),OFFSET(E1482,0,0,-1*$J$5,1),F1483:T1483,0)</f>
        <v>13.775750826264597</v>
      </c>
      <c r="V1483" s="9" cm="1">
        <f t="array" aca="1" ref="V1483" ca="1">z_score_diff(OFFSET(U1483,0,0,$J$5*-1,1),OFFSET(E1483,0,0,$J$5*-1,1))</f>
        <v>7.6789346982981177E-2</v>
      </c>
      <c r="W1483" s="9">
        <f t="shared" ca="1" si="231"/>
        <v>-0.18387776848065879</v>
      </c>
      <c r="X1483" s="17">
        <f t="shared" ca="1" si="230"/>
        <v>1.5786136068867012E-2</v>
      </c>
      <c r="Y1483" s="13">
        <f t="shared" si="236"/>
        <v>0</v>
      </c>
      <c r="Z1483" s="13">
        <f t="shared" si="236"/>
        <v>0</v>
      </c>
      <c r="AA1483">
        <f t="shared" ca="1" si="232"/>
        <v>1</v>
      </c>
      <c r="AB1483">
        <f t="shared" ca="1" si="233"/>
        <v>0</v>
      </c>
      <c r="AC1483" s="24">
        <f t="shared" ca="1" si="234"/>
        <v>1.5786136068867012E-2</v>
      </c>
      <c r="AD1483" s="24">
        <f t="shared" ca="1" si="235"/>
        <v>0</v>
      </c>
    </row>
    <row r="1484" spans="3:30" x14ac:dyDescent="0.25">
      <c r="C1484" s="6">
        <v>1477</v>
      </c>
      <c r="D1484" s="35">
        <v>44109</v>
      </c>
      <c r="E1484" s="37">
        <v>13.093999999999999</v>
      </c>
      <c r="F1484" s="37">
        <v>36.655986609067625</v>
      </c>
      <c r="G1484" s="37">
        <v>38.229999999999997</v>
      </c>
      <c r="H1484" s="37">
        <v>2.367929393265646</v>
      </c>
      <c r="I1484" s="37">
        <v>55.922359644599247</v>
      </c>
      <c r="J1484" s="10">
        <v>0</v>
      </c>
      <c r="K1484" s="38">
        <v>0</v>
      </c>
      <c r="L1484" s="38">
        <v>0</v>
      </c>
      <c r="M1484" s="38">
        <v>0</v>
      </c>
      <c r="N1484" s="38">
        <v>0</v>
      </c>
      <c r="O1484" s="38">
        <v>0</v>
      </c>
      <c r="P1484" s="38">
        <v>0</v>
      </c>
      <c r="Q1484" s="38">
        <v>0</v>
      </c>
      <c r="R1484" s="38">
        <v>0</v>
      </c>
      <c r="S1484" s="38">
        <v>1</v>
      </c>
      <c r="T1484" s="38">
        <v>0</v>
      </c>
      <c r="U1484" s="29" cm="1">
        <f t="array" aca="1" ref="U1484" ca="1">+fair_value_gap(OFFSET(T1483,0,0,-1*$J$5,-1*$AA$1),OFFSET(E1483,0,0,-1*$J$5,1),F1484:T1484,0)</f>
        <v>13.718154627041342</v>
      </c>
      <c r="V1484" s="9" cm="1">
        <f t="array" aca="1" ref="V1484" ca="1">z_score_diff(OFFSET(U1484,0,0,$J$5*-1,1),OFFSET(E1484,0,0,$J$5*-1,1))</f>
        <v>-7.9304067743244722E-2</v>
      </c>
      <c r="W1484" s="9">
        <f t="shared" ca="1" si="231"/>
        <v>-0.19664129942686898</v>
      </c>
      <c r="X1484" s="17">
        <f t="shared" ca="1" si="230"/>
        <v>-2.4194416869322246E-2</v>
      </c>
      <c r="Y1484" s="13">
        <f t="shared" si="236"/>
        <v>0</v>
      </c>
      <c r="Z1484" s="13">
        <f t="shared" si="236"/>
        <v>0</v>
      </c>
      <c r="AA1484">
        <f t="shared" ca="1" si="232"/>
        <v>1</v>
      </c>
      <c r="AB1484">
        <f t="shared" ca="1" si="233"/>
        <v>0</v>
      </c>
      <c r="AC1484" s="24">
        <f t="shared" ca="1" si="234"/>
        <v>-2.4194416869322246E-2</v>
      </c>
      <c r="AD1484" s="24">
        <f t="shared" ca="1" si="235"/>
        <v>0</v>
      </c>
    </row>
    <row r="1485" spans="3:30" x14ac:dyDescent="0.25">
      <c r="C1485" s="6">
        <v>1478</v>
      </c>
      <c r="D1485" s="35">
        <v>44110</v>
      </c>
      <c r="E1485" s="37">
        <v>13.055</v>
      </c>
      <c r="F1485" s="37">
        <v>37.781814477794377</v>
      </c>
      <c r="G1485" s="37">
        <v>38.11</v>
      </c>
      <c r="H1485" s="37">
        <v>2.3512834442482684</v>
      </c>
      <c r="I1485" s="37">
        <v>56.235569740594869</v>
      </c>
      <c r="J1485" s="10">
        <v>0</v>
      </c>
      <c r="K1485" s="38">
        <v>0</v>
      </c>
      <c r="L1485" s="38">
        <v>0</v>
      </c>
      <c r="M1485" s="38">
        <v>0</v>
      </c>
      <c r="N1485" s="38">
        <v>0</v>
      </c>
      <c r="O1485" s="38">
        <v>0</v>
      </c>
      <c r="P1485" s="38">
        <v>0</v>
      </c>
      <c r="Q1485" s="38">
        <v>0</v>
      </c>
      <c r="R1485" s="38">
        <v>0</v>
      </c>
      <c r="S1485" s="38">
        <v>1</v>
      </c>
      <c r="T1485" s="38">
        <v>0</v>
      </c>
      <c r="U1485" s="29" cm="1">
        <f t="array" aca="1" ref="U1485" ca="1">+fair_value_gap(OFFSET(T1484,0,0,-1*$J$5,-1*$AA$1),OFFSET(E1484,0,0,-1*$J$5,1),F1485:T1485,0)</f>
        <v>13.555619747035607</v>
      </c>
      <c r="V1485" s="9" cm="1">
        <f t="array" aca="1" ref="V1485" ca="1">z_score_diff(OFFSET(U1485,0,0,$J$5*-1,1),OFFSET(E1485,0,0,$J$5*-1,1))</f>
        <v>-0.13624751526708068</v>
      </c>
      <c r="W1485" s="9">
        <f t="shared" ca="1" si="231"/>
        <v>-0.21062704489802025</v>
      </c>
      <c r="X1485" s="17">
        <f t="shared" ca="1" si="230"/>
        <v>-1.2254016386819574E-2</v>
      </c>
      <c r="Y1485" s="13">
        <f t="shared" si="236"/>
        <v>0</v>
      </c>
      <c r="Z1485" s="13">
        <f t="shared" si="236"/>
        <v>0</v>
      </c>
      <c r="AA1485">
        <f t="shared" ca="1" si="232"/>
        <v>1</v>
      </c>
      <c r="AB1485">
        <f t="shared" ca="1" si="233"/>
        <v>0</v>
      </c>
      <c r="AC1485" s="24">
        <f t="shared" ca="1" si="234"/>
        <v>-1.2254016386819574E-2</v>
      </c>
      <c r="AD1485" s="24">
        <f t="shared" ca="1" si="235"/>
        <v>0</v>
      </c>
    </row>
    <row r="1486" spans="3:30" x14ac:dyDescent="0.25">
      <c r="C1486" s="6">
        <v>1479</v>
      </c>
      <c r="D1486" s="35">
        <v>44111</v>
      </c>
      <c r="E1486" s="37">
        <v>13.368</v>
      </c>
      <c r="F1486" s="37">
        <v>37.148216047318037</v>
      </c>
      <c r="G1486" s="37">
        <v>38.909999999999997</v>
      </c>
      <c r="H1486" s="37">
        <v>2.3743696785201682</v>
      </c>
      <c r="I1486" s="37">
        <v>56.437852736579615</v>
      </c>
      <c r="J1486" s="10">
        <v>0</v>
      </c>
      <c r="K1486" s="38">
        <v>0</v>
      </c>
      <c r="L1486" s="38">
        <v>0</v>
      </c>
      <c r="M1486" s="38">
        <v>0</v>
      </c>
      <c r="N1486" s="38">
        <v>0</v>
      </c>
      <c r="O1486" s="38">
        <v>0</v>
      </c>
      <c r="P1486" s="38">
        <v>0</v>
      </c>
      <c r="Q1486" s="38">
        <v>0</v>
      </c>
      <c r="R1486" s="38">
        <v>0</v>
      </c>
      <c r="S1486" s="38">
        <v>1</v>
      </c>
      <c r="T1486" s="38">
        <v>0</v>
      </c>
      <c r="U1486" s="29" cm="1">
        <f t="array" aca="1" ref="U1486" ca="1">+fair_value_gap(OFFSET(T1485,0,0,-1*$J$5,-1*$AA$1),OFFSET(E1485,0,0,-1*$J$5,1),F1486:T1486,0)</f>
        <v>13.685856319537583</v>
      </c>
      <c r="V1486" s="9" cm="1">
        <f t="array" aca="1" ref="V1486" ca="1">z_score_diff(OFFSET(U1486,0,0,$J$5*-1,1),OFFSET(E1486,0,0,$J$5*-1,1))</f>
        <v>-0.23059660581093389</v>
      </c>
      <c r="W1486" s="9">
        <f t="shared" ca="1" si="231"/>
        <v>-0.22578781653298741</v>
      </c>
      <c r="X1486" s="17">
        <f t="shared" ca="1" si="230"/>
        <v>-2.4382217919188445E-2</v>
      </c>
      <c r="Y1486" s="13">
        <f t="shared" si="236"/>
        <v>0</v>
      </c>
      <c r="Z1486" s="13">
        <f t="shared" si="236"/>
        <v>0</v>
      </c>
      <c r="AA1486">
        <f t="shared" ca="1" si="232"/>
        <v>1</v>
      </c>
      <c r="AB1486">
        <f t="shared" ca="1" si="233"/>
        <v>0</v>
      </c>
      <c r="AC1486" s="24">
        <f t="shared" ca="1" si="234"/>
        <v>-2.4382217919188445E-2</v>
      </c>
      <c r="AD1486" s="24">
        <f t="shared" ca="1" si="235"/>
        <v>0</v>
      </c>
    </row>
    <row r="1487" spans="3:30" x14ac:dyDescent="0.25">
      <c r="C1487" s="6">
        <v>1480</v>
      </c>
      <c r="D1487" s="35">
        <v>44112</v>
      </c>
      <c r="E1487" s="37">
        <v>13.638</v>
      </c>
      <c r="F1487" s="37">
        <v>38.090575441277238</v>
      </c>
      <c r="G1487" s="37">
        <v>38.9</v>
      </c>
      <c r="H1487" s="37">
        <v>2.397072014650091</v>
      </c>
      <c r="I1487" s="37">
        <v>55.945797373723856</v>
      </c>
      <c r="J1487" s="10">
        <v>0</v>
      </c>
      <c r="K1487" s="38">
        <v>0</v>
      </c>
      <c r="L1487" s="38">
        <v>0</v>
      </c>
      <c r="M1487" s="38">
        <v>0</v>
      </c>
      <c r="N1487" s="38">
        <v>0</v>
      </c>
      <c r="O1487" s="38">
        <v>0</v>
      </c>
      <c r="P1487" s="38">
        <v>0</v>
      </c>
      <c r="Q1487" s="38">
        <v>0</v>
      </c>
      <c r="R1487" s="38">
        <v>0</v>
      </c>
      <c r="S1487" s="38">
        <v>1</v>
      </c>
      <c r="T1487" s="38">
        <v>0</v>
      </c>
      <c r="U1487" s="29" cm="1">
        <f t="array" aca="1" ref="U1487" ca="1">+fair_value_gap(OFFSET(T1486,0,0,-1*$J$5,-1*$AA$1),OFFSET(E1486,0,0,-1*$J$5,1),F1487:T1487,0)</f>
        <v>13.587160934157119</v>
      </c>
      <c r="V1487" s="9" cm="1">
        <f t="array" aca="1" ref="V1487" ca="1">z_score_diff(OFFSET(U1487,0,0,$J$5*-1,1),OFFSET(E1487,0,0,$J$5*-1,1))</f>
        <v>-0.41269844707356512</v>
      </c>
      <c r="W1487" s="9">
        <f t="shared" ca="1" si="231"/>
        <v>-0.24919281057054402</v>
      </c>
      <c r="X1487" s="17">
        <f t="shared" ca="1" si="230"/>
        <v>-1.5369003563314951E-2</v>
      </c>
      <c r="Y1487" s="13">
        <f t="shared" si="236"/>
        <v>0</v>
      </c>
      <c r="Z1487" s="13">
        <f t="shared" si="236"/>
        <v>0</v>
      </c>
      <c r="AA1487">
        <f t="shared" ca="1" si="232"/>
        <v>1</v>
      </c>
      <c r="AB1487">
        <f t="shared" ca="1" si="233"/>
        <v>0</v>
      </c>
      <c r="AC1487" s="24">
        <f t="shared" ca="1" si="234"/>
        <v>-1.5369003563314951E-2</v>
      </c>
      <c r="AD1487" s="24">
        <f t="shared" ca="1" si="235"/>
        <v>0</v>
      </c>
    </row>
    <row r="1488" spans="3:30" x14ac:dyDescent="0.25">
      <c r="C1488" s="6">
        <v>1481</v>
      </c>
      <c r="D1488" s="35">
        <v>44113</v>
      </c>
      <c r="E1488" s="37">
        <v>13.521000000000001</v>
      </c>
      <c r="F1488" s="37">
        <v>37.534609588677625</v>
      </c>
      <c r="G1488" s="37">
        <v>38.6</v>
      </c>
      <c r="H1488" s="37">
        <v>2.4074038196687759</v>
      </c>
      <c r="I1488" s="37">
        <v>55.594349929369905</v>
      </c>
      <c r="J1488" s="10">
        <v>0</v>
      </c>
      <c r="K1488" s="38">
        <v>0</v>
      </c>
      <c r="L1488" s="38">
        <v>0</v>
      </c>
      <c r="M1488" s="38">
        <v>0</v>
      </c>
      <c r="N1488" s="38">
        <v>0</v>
      </c>
      <c r="O1488" s="38">
        <v>0</v>
      </c>
      <c r="P1488" s="38">
        <v>0</v>
      </c>
      <c r="Q1488" s="38">
        <v>0</v>
      </c>
      <c r="R1488" s="38">
        <v>0</v>
      </c>
      <c r="S1488" s="38">
        <v>1</v>
      </c>
      <c r="T1488" s="38">
        <v>0</v>
      </c>
      <c r="U1488" s="29" cm="1">
        <f t="array" aca="1" ref="U1488" ca="1">+fair_value_gap(OFFSET(T1487,0,0,-1*$J$5,-1*$AA$1),OFFSET(E1487,0,0,-1*$J$5,1),F1488:T1488,0)</f>
        <v>13.488246123347835</v>
      </c>
      <c r="V1488" s="9" cm="1">
        <f t="array" aca="1" ref="V1488" ca="1">z_score_diff(OFFSET(U1488,0,0,$J$5*-1,1),OFFSET(E1488,0,0,$J$5*-1,1))</f>
        <v>-0.40477906143163372</v>
      </c>
      <c r="W1488" s="9">
        <f t="shared" ca="1" si="231"/>
        <v>-0.26883857782110415</v>
      </c>
      <c r="X1488" s="17">
        <f t="shared" ca="1" si="230"/>
        <v>-3.4154064369611901E-2</v>
      </c>
      <c r="Y1488" s="13">
        <f t="shared" si="236"/>
        <v>0</v>
      </c>
      <c r="Z1488" s="13">
        <f t="shared" si="236"/>
        <v>0</v>
      </c>
      <c r="AA1488">
        <f t="shared" ca="1" si="232"/>
        <v>1</v>
      </c>
      <c r="AB1488">
        <f t="shared" ca="1" si="233"/>
        <v>0</v>
      </c>
      <c r="AC1488" s="24">
        <f t="shared" ca="1" si="234"/>
        <v>-3.4154064369611901E-2</v>
      </c>
      <c r="AD1488" s="24">
        <f t="shared" ca="1" si="235"/>
        <v>0</v>
      </c>
    </row>
    <row r="1489" spans="3:30" x14ac:dyDescent="0.25">
      <c r="C1489" s="6">
        <v>1482</v>
      </c>
      <c r="D1489" s="35">
        <v>44116</v>
      </c>
      <c r="E1489" s="37">
        <v>13.382999999999999</v>
      </c>
      <c r="F1489" s="37">
        <v>36.694695580704305</v>
      </c>
      <c r="G1489" s="37">
        <v>37.31</v>
      </c>
      <c r="H1489" s="37">
        <v>2.4387262649891466</v>
      </c>
      <c r="I1489" s="37">
        <v>54.118985901245502</v>
      </c>
      <c r="J1489" s="10">
        <v>0</v>
      </c>
      <c r="K1489" s="38">
        <v>0</v>
      </c>
      <c r="L1489" s="38">
        <v>0</v>
      </c>
      <c r="M1489" s="38">
        <v>0</v>
      </c>
      <c r="N1489" s="38">
        <v>0</v>
      </c>
      <c r="O1489" s="38">
        <v>0</v>
      </c>
      <c r="P1489" s="38">
        <v>0</v>
      </c>
      <c r="Q1489" s="38">
        <v>0</v>
      </c>
      <c r="R1489" s="38">
        <v>0</v>
      </c>
      <c r="S1489" s="38">
        <v>1</v>
      </c>
      <c r="T1489" s="38">
        <v>0</v>
      </c>
      <c r="U1489" s="29" cm="1">
        <f t="array" aca="1" ref="U1489" ca="1">+fair_value_gap(OFFSET(T1488,0,0,-1*$J$5,-1*$AA$1),OFFSET(E1488,0,0,-1*$J$5,1),F1489:T1489,0)</f>
        <v>13.082350938803025</v>
      </c>
      <c r="V1489" s="9" cm="1">
        <f t="array" aca="1" ref="V1489" ca="1">z_score_diff(OFFSET(U1489,0,0,$J$5*-1,1),OFFSET(E1489,0,0,$J$5*-1,1))</f>
        <v>-0.5306180468298406</v>
      </c>
      <c r="W1489" s="9">
        <f t="shared" ca="1" si="231"/>
        <v>-0.29461706752099276</v>
      </c>
      <c r="X1489" s="17">
        <f t="shared" ca="1" si="230"/>
        <v>-1.0440625129237513E-2</v>
      </c>
      <c r="Y1489" s="13">
        <f t="shared" si="236"/>
        <v>0</v>
      </c>
      <c r="Z1489" s="13">
        <f t="shared" si="236"/>
        <v>0</v>
      </c>
      <c r="AA1489">
        <f t="shared" ca="1" si="232"/>
        <v>1</v>
      </c>
      <c r="AB1489">
        <f t="shared" ca="1" si="233"/>
        <v>0</v>
      </c>
      <c r="AC1489" s="24">
        <f t="shared" ca="1" si="234"/>
        <v>-1.0440625129237513E-2</v>
      </c>
      <c r="AD1489" s="24">
        <f t="shared" ca="1" si="235"/>
        <v>0</v>
      </c>
    </row>
    <row r="1490" spans="3:30" x14ac:dyDescent="0.25">
      <c r="C1490" s="6">
        <v>1483</v>
      </c>
      <c r="D1490" s="35">
        <v>44117</v>
      </c>
      <c r="E1490" s="37">
        <v>13.323</v>
      </c>
      <c r="F1490" s="37">
        <v>37.412975824026724</v>
      </c>
      <c r="G1490" s="37">
        <v>37.21</v>
      </c>
      <c r="H1490" s="37">
        <v>2.4633883673798196</v>
      </c>
      <c r="I1490" s="37">
        <v>54.482858039295493</v>
      </c>
      <c r="J1490" s="10">
        <v>0</v>
      </c>
      <c r="K1490" s="38">
        <v>0</v>
      </c>
      <c r="L1490" s="38">
        <v>0</v>
      </c>
      <c r="M1490" s="38">
        <v>0</v>
      </c>
      <c r="N1490" s="38">
        <v>0</v>
      </c>
      <c r="O1490" s="38">
        <v>0</v>
      </c>
      <c r="P1490" s="38">
        <v>0</v>
      </c>
      <c r="Q1490" s="38">
        <v>0</v>
      </c>
      <c r="R1490" s="38">
        <v>0</v>
      </c>
      <c r="S1490" s="38">
        <v>1</v>
      </c>
      <c r="T1490" s="38">
        <v>0</v>
      </c>
      <c r="U1490" s="29" cm="1">
        <f t="array" aca="1" ref="U1490" ca="1">+fair_value_gap(OFFSET(T1489,0,0,-1*$J$5,-1*$AA$1),OFFSET(E1489,0,0,-1*$J$5,1),F1490:T1490,0)</f>
        <v>13.099347105889683</v>
      </c>
      <c r="V1490" s="9" cm="1">
        <f t="array" aca="1" ref="V1490" ca="1">z_score_diff(OFFSET(U1490,0,0,$J$5*-1,1),OFFSET(E1490,0,0,$J$5*-1,1))</f>
        <v>-0.49609085709010775</v>
      </c>
      <c r="W1490" s="9">
        <f t="shared" ca="1" si="231"/>
        <v>-0.31840664036338101</v>
      </c>
      <c r="X1490" s="17">
        <f t="shared" ca="1" si="230"/>
        <v>3.0018761951495333E-4</v>
      </c>
      <c r="Y1490" s="13">
        <f t="shared" si="236"/>
        <v>0</v>
      </c>
      <c r="Z1490" s="13">
        <f t="shared" si="236"/>
        <v>0</v>
      </c>
      <c r="AA1490">
        <f t="shared" ca="1" si="232"/>
        <v>1</v>
      </c>
      <c r="AB1490">
        <f t="shared" ca="1" si="233"/>
        <v>0</v>
      </c>
      <c r="AC1490" s="24">
        <f t="shared" ca="1" si="234"/>
        <v>3.0018761951495333E-4</v>
      </c>
      <c r="AD1490" s="24">
        <f t="shared" ca="1" si="235"/>
        <v>0</v>
      </c>
    </row>
    <row r="1491" spans="3:30" x14ac:dyDescent="0.25">
      <c r="C1491" s="6">
        <v>1484</v>
      </c>
      <c r="D1491" s="35">
        <v>44118</v>
      </c>
      <c r="E1491" s="37">
        <v>13.523999999999999</v>
      </c>
      <c r="F1491" s="37">
        <v>37.934884241382846</v>
      </c>
      <c r="G1491" s="37">
        <v>37.520000000000003</v>
      </c>
      <c r="H1491" s="37">
        <v>2.456654626402849</v>
      </c>
      <c r="I1491" s="37">
        <v>54.380398303568931</v>
      </c>
      <c r="J1491" s="10">
        <v>0</v>
      </c>
      <c r="K1491" s="38">
        <v>0</v>
      </c>
      <c r="L1491" s="38">
        <v>0</v>
      </c>
      <c r="M1491" s="38">
        <v>0</v>
      </c>
      <c r="N1491" s="38">
        <v>0</v>
      </c>
      <c r="O1491" s="38">
        <v>0</v>
      </c>
      <c r="P1491" s="38">
        <v>0</v>
      </c>
      <c r="Q1491" s="38">
        <v>0</v>
      </c>
      <c r="R1491" s="38">
        <v>0</v>
      </c>
      <c r="S1491" s="38">
        <v>1</v>
      </c>
      <c r="T1491" s="38">
        <v>0</v>
      </c>
      <c r="U1491" s="29" cm="1">
        <f t="array" aca="1" ref="U1491" ca="1">+fair_value_gap(OFFSET(T1490,0,0,-1*$J$5,-1*$AA$1),OFFSET(E1490,0,0,-1*$J$5,1),F1491:T1491,0)</f>
        <v>13.190054747902868</v>
      </c>
      <c r="V1491" s="9" cm="1">
        <f t="array" aca="1" ref="V1491" ca="1">z_score_diff(OFFSET(U1491,0,0,$J$5*-1,1),OFFSET(E1491,0,0,$J$5*-1,1))</f>
        <v>-0.55883360672541427</v>
      </c>
      <c r="W1491" s="9">
        <f t="shared" ca="1" si="231"/>
        <v>-0.33595261915674329</v>
      </c>
      <c r="X1491" s="17">
        <f t="shared" ca="1" si="230"/>
        <v>-1.0181798041878753E-2</v>
      </c>
      <c r="Y1491" s="13">
        <f t="shared" si="236"/>
        <v>0</v>
      </c>
      <c r="Z1491" s="13">
        <f t="shared" si="236"/>
        <v>0</v>
      </c>
      <c r="AA1491">
        <f t="shared" ca="1" si="232"/>
        <v>1</v>
      </c>
      <c r="AB1491">
        <f t="shared" ca="1" si="233"/>
        <v>0</v>
      </c>
      <c r="AC1491" s="24">
        <f t="shared" ca="1" si="234"/>
        <v>-1.0181798041878753E-2</v>
      </c>
      <c r="AD1491" s="24">
        <f t="shared" ca="1" si="235"/>
        <v>0</v>
      </c>
    </row>
    <row r="1492" spans="3:30" x14ac:dyDescent="0.25">
      <c r="C1492" s="6">
        <v>1485</v>
      </c>
      <c r="D1492" s="35">
        <v>44119</v>
      </c>
      <c r="E1492" s="37">
        <v>13.63</v>
      </c>
      <c r="F1492" s="37">
        <v>37.911200858764829</v>
      </c>
      <c r="G1492" s="37">
        <v>37.130000000000003</v>
      </c>
      <c r="H1492" s="37">
        <v>2.4956576917122728</v>
      </c>
      <c r="I1492" s="37">
        <v>54.736050600437878</v>
      </c>
      <c r="J1492" s="10">
        <v>0</v>
      </c>
      <c r="K1492" s="38">
        <v>0</v>
      </c>
      <c r="L1492" s="38">
        <v>0</v>
      </c>
      <c r="M1492" s="38">
        <v>0</v>
      </c>
      <c r="N1492" s="38">
        <v>0</v>
      </c>
      <c r="O1492" s="38">
        <v>0</v>
      </c>
      <c r="P1492" s="38">
        <v>0</v>
      </c>
      <c r="Q1492" s="38">
        <v>0</v>
      </c>
      <c r="R1492" s="38">
        <v>0</v>
      </c>
      <c r="S1492" s="38">
        <v>1</v>
      </c>
      <c r="T1492" s="38">
        <v>0</v>
      </c>
      <c r="U1492" s="29" cm="1">
        <f t="array" aca="1" ref="U1492" ca="1">+fair_value_gap(OFFSET(T1491,0,0,-1*$J$5,-1*$AA$1),OFFSET(E1491,0,0,-1*$J$5,1),F1492:T1492,0)</f>
        <v>13.141591145909299</v>
      </c>
      <c r="V1492" s="9" cm="1">
        <f t="array" aca="1" ref="V1492" ca="1">z_score_diff(OFFSET(U1492,0,0,$J$5*-1,1),OFFSET(E1492,0,0,$J$5*-1,1))</f>
        <v>-0.64180834808726006</v>
      </c>
      <c r="W1492" s="9">
        <f t="shared" ca="1" si="231"/>
        <v>-0.35990695599999595</v>
      </c>
      <c r="X1492" s="17">
        <f t="shared" ca="1" si="230"/>
        <v>-2.8502134006316866E-2</v>
      </c>
      <c r="Y1492" s="13">
        <f t="shared" si="236"/>
        <v>0</v>
      </c>
      <c r="Z1492" s="13">
        <f t="shared" si="236"/>
        <v>0</v>
      </c>
      <c r="AA1492">
        <f t="shared" ca="1" si="232"/>
        <v>1</v>
      </c>
      <c r="AB1492">
        <f t="shared" ca="1" si="233"/>
        <v>0</v>
      </c>
      <c r="AC1492" s="24">
        <f t="shared" ca="1" si="234"/>
        <v>-2.8502134006316866E-2</v>
      </c>
      <c r="AD1492" s="24">
        <f t="shared" ca="1" si="235"/>
        <v>0</v>
      </c>
    </row>
    <row r="1493" spans="3:30" x14ac:dyDescent="0.25">
      <c r="C1493" s="6">
        <v>1486</v>
      </c>
      <c r="D1493" s="35">
        <v>44120</v>
      </c>
      <c r="E1493" s="37">
        <v>13.869</v>
      </c>
      <c r="F1493" s="37">
        <v>37.711313394018205</v>
      </c>
      <c r="G1493" s="37">
        <v>37.4</v>
      </c>
      <c r="H1493" s="37">
        <v>2.505588277790527</v>
      </c>
      <c r="I1493" s="37">
        <v>55.032849724198307</v>
      </c>
      <c r="J1493" s="10">
        <v>0</v>
      </c>
      <c r="K1493" s="38">
        <v>0</v>
      </c>
      <c r="L1493" s="38">
        <v>0</v>
      </c>
      <c r="M1493" s="38">
        <v>0</v>
      </c>
      <c r="N1493" s="38">
        <v>0</v>
      </c>
      <c r="O1493" s="38">
        <v>0</v>
      </c>
      <c r="P1493" s="38">
        <v>0</v>
      </c>
      <c r="Q1493" s="38">
        <v>0</v>
      </c>
      <c r="R1493" s="38">
        <v>0</v>
      </c>
      <c r="S1493" s="38">
        <v>1</v>
      </c>
      <c r="T1493" s="38">
        <v>0</v>
      </c>
      <c r="U1493" s="29" cm="1">
        <f t="array" aca="1" ref="U1493" ca="1">+fair_value_gap(OFFSET(T1492,0,0,-1*$J$5,-1*$AA$1),OFFSET(E1492,0,0,-1*$J$5,1),F1493:T1493,0)</f>
        <v>13.267713472506571</v>
      </c>
      <c r="V1493" s="9" cm="1">
        <f t="array" aca="1" ref="V1493" ca="1">z_score_diff(OFFSET(U1493,0,0,$J$5*-1,1),OFFSET(E1493,0,0,$J$5*-1,1))</f>
        <v>-0.70783771004662865</v>
      </c>
      <c r="W1493" s="9">
        <f t="shared" ca="1" si="231"/>
        <v>-0.37721788459891509</v>
      </c>
      <c r="X1493" s="17">
        <f t="shared" ca="1" si="230"/>
        <v>-4.0539629985767468E-2</v>
      </c>
      <c r="Y1493" s="13">
        <f t="shared" si="236"/>
        <v>0</v>
      </c>
      <c r="Z1493" s="13">
        <f t="shared" si="236"/>
        <v>0</v>
      </c>
      <c r="AA1493">
        <f t="shared" ca="1" si="232"/>
        <v>1</v>
      </c>
      <c r="AB1493">
        <f t="shared" ca="1" si="233"/>
        <v>0</v>
      </c>
      <c r="AC1493" s="24">
        <f t="shared" ca="1" si="234"/>
        <v>-4.0539629985767468E-2</v>
      </c>
      <c r="AD1493" s="24">
        <f t="shared" ca="1" si="235"/>
        <v>0</v>
      </c>
    </row>
    <row r="1494" spans="3:30" x14ac:dyDescent="0.25">
      <c r="C1494" s="6">
        <v>1487</v>
      </c>
      <c r="D1494" s="35">
        <v>44123</v>
      </c>
      <c r="E1494" s="37">
        <v>14.115</v>
      </c>
      <c r="F1494" s="37">
        <v>37.4372695085586</v>
      </c>
      <c r="G1494" s="37">
        <v>38.200000000000003</v>
      </c>
      <c r="H1494" s="37">
        <v>2.5054107561685157</v>
      </c>
      <c r="I1494" s="37">
        <v>55.652282843945919</v>
      </c>
      <c r="J1494" s="10">
        <v>0</v>
      </c>
      <c r="K1494" s="38">
        <v>0</v>
      </c>
      <c r="L1494" s="38">
        <v>0</v>
      </c>
      <c r="M1494" s="38">
        <v>0</v>
      </c>
      <c r="N1494" s="38">
        <v>0</v>
      </c>
      <c r="O1494" s="38">
        <v>0</v>
      </c>
      <c r="P1494" s="38">
        <v>0</v>
      </c>
      <c r="Q1494" s="38">
        <v>0</v>
      </c>
      <c r="R1494" s="38">
        <v>0</v>
      </c>
      <c r="S1494" s="38">
        <v>1</v>
      </c>
      <c r="T1494" s="38">
        <v>0</v>
      </c>
      <c r="U1494" s="29" cm="1">
        <f t="array" aca="1" ref="U1494" ca="1">+fair_value_gap(OFFSET(T1493,0,0,-1*$J$5,-1*$AA$1),OFFSET(E1493,0,0,-1*$J$5,1),F1494:T1494,0)</f>
        <v>13.535349885486267</v>
      </c>
      <c r="V1494" s="9" cm="1">
        <f t="array" aca="1" ref="V1494" ca="1">z_score_diff(OFFSET(U1494,0,0,$J$5*-1,1),OFFSET(E1494,0,0,$J$5*-1,1))</f>
        <v>-0.70695880198215433</v>
      </c>
      <c r="W1494" s="9">
        <f t="shared" ca="1" si="231"/>
        <v>-0.39511402732930823</v>
      </c>
      <c r="X1494" s="17">
        <f t="shared" ca="1" si="230"/>
        <v>-5.3551748213970497E-2</v>
      </c>
      <c r="Y1494" s="13">
        <f t="shared" si="236"/>
        <v>0</v>
      </c>
      <c r="Z1494" s="13">
        <f t="shared" si="236"/>
        <v>0</v>
      </c>
      <c r="AA1494">
        <f t="shared" ca="1" si="232"/>
        <v>1</v>
      </c>
      <c r="AB1494">
        <f t="shared" ca="1" si="233"/>
        <v>0</v>
      </c>
      <c r="AC1494" s="24">
        <f t="shared" ca="1" si="234"/>
        <v>-5.3551748213970497E-2</v>
      </c>
      <c r="AD1494" s="24">
        <f t="shared" ca="1" si="235"/>
        <v>0</v>
      </c>
    </row>
    <row r="1495" spans="3:30" x14ac:dyDescent="0.25">
      <c r="C1495" s="6">
        <v>1488</v>
      </c>
      <c r="D1495" s="35">
        <v>44124</v>
      </c>
      <c r="E1495" s="37">
        <v>14.183999999999999</v>
      </c>
      <c r="F1495" s="37">
        <v>37.69185016941956</v>
      </c>
      <c r="G1495" s="37">
        <v>38.270000000000003</v>
      </c>
      <c r="H1495" s="37">
        <v>2.4962215478764</v>
      </c>
      <c r="I1495" s="37">
        <v>55.434147097626436</v>
      </c>
      <c r="J1495" s="10">
        <v>0</v>
      </c>
      <c r="K1495" s="38">
        <v>0</v>
      </c>
      <c r="L1495" s="38">
        <v>0</v>
      </c>
      <c r="M1495" s="38">
        <v>0</v>
      </c>
      <c r="N1495" s="38">
        <v>0</v>
      </c>
      <c r="O1495" s="38">
        <v>0</v>
      </c>
      <c r="P1495" s="38">
        <v>0</v>
      </c>
      <c r="Q1495" s="38">
        <v>0</v>
      </c>
      <c r="R1495" s="38">
        <v>0</v>
      </c>
      <c r="S1495" s="38">
        <v>1</v>
      </c>
      <c r="T1495" s="38">
        <v>0</v>
      </c>
      <c r="U1495" s="29" cm="1">
        <f t="array" aca="1" ref="U1495" ca="1">+fair_value_gap(OFFSET(T1494,0,0,-1*$J$5,-1*$AA$1),OFFSET(E1494,0,0,-1*$J$5,1),F1495:T1495,0)</f>
        <v>13.573072912980161</v>
      </c>
      <c r="V1495" s="9" cm="1">
        <f t="array" aca="1" ref="V1495" ca="1">z_score_diff(OFFSET(U1495,0,0,$J$5*-1,1),OFFSET(E1495,0,0,$J$5*-1,1))</f>
        <v>-0.72573028249645888</v>
      </c>
      <c r="W1495" s="9">
        <f t="shared" ca="1" si="231"/>
        <v>-0.41076901287571477</v>
      </c>
      <c r="X1495" s="17">
        <f t="shared" ca="1" si="230"/>
        <v>-8.3632995398002535E-2</v>
      </c>
      <c r="Y1495" s="13">
        <f t="shared" si="236"/>
        <v>0</v>
      </c>
      <c r="Z1495" s="13">
        <f t="shared" si="236"/>
        <v>0</v>
      </c>
      <c r="AA1495">
        <f t="shared" ca="1" si="232"/>
        <v>1</v>
      </c>
      <c r="AB1495">
        <f t="shared" ca="1" si="233"/>
        <v>0</v>
      </c>
      <c r="AC1495" s="24">
        <f t="shared" ca="1" si="234"/>
        <v>-8.3632995398002535E-2</v>
      </c>
      <c r="AD1495" s="24">
        <f t="shared" ca="1" si="235"/>
        <v>0</v>
      </c>
    </row>
    <row r="1496" spans="3:30" x14ac:dyDescent="0.25">
      <c r="C1496" s="6">
        <v>1489</v>
      </c>
      <c r="D1496" s="35">
        <v>44125</v>
      </c>
      <c r="E1496" s="37">
        <v>14.164999999999999</v>
      </c>
      <c r="F1496" s="37">
        <v>36.359239361353737</v>
      </c>
      <c r="G1496" s="37">
        <v>37.869999999999997</v>
      </c>
      <c r="H1496" s="37">
        <v>2.5157570698987484</v>
      </c>
      <c r="I1496" s="37">
        <v>54.370917982624825</v>
      </c>
      <c r="J1496" s="10">
        <v>0</v>
      </c>
      <c r="K1496" s="38">
        <v>0</v>
      </c>
      <c r="L1496" s="38">
        <v>0</v>
      </c>
      <c r="M1496" s="38">
        <v>0</v>
      </c>
      <c r="N1496" s="38">
        <v>0</v>
      </c>
      <c r="O1496" s="38">
        <v>0</v>
      </c>
      <c r="P1496" s="38">
        <v>0</v>
      </c>
      <c r="Q1496" s="38">
        <v>0</v>
      </c>
      <c r="R1496" s="38">
        <v>0</v>
      </c>
      <c r="S1496" s="38">
        <v>1</v>
      </c>
      <c r="T1496" s="38">
        <v>0</v>
      </c>
      <c r="U1496" s="29" cm="1">
        <f t="array" aca="1" ref="U1496" ca="1">+fair_value_gap(OFFSET(T1495,0,0,-1*$J$5,-1*$AA$1),OFFSET(E1495,0,0,-1*$J$5,1),F1496:T1496,0)</f>
        <v>13.491274874385153</v>
      </c>
      <c r="V1496" s="9" cm="1">
        <f t="array" aca="1" ref="V1496" ca="1">z_score_diff(OFFSET(U1496,0,0,$J$5*-1,1),OFFSET(E1496,0,0,$J$5*-1,1))</f>
        <v>-0.75713467398004897</v>
      </c>
      <c r="W1496" s="9">
        <f t="shared" ca="1" si="231"/>
        <v>-0.42795402971606711</v>
      </c>
      <c r="X1496" s="17">
        <f t="shared" ca="1" si="230"/>
        <v>-9.0064520078978819E-2</v>
      </c>
      <c r="Y1496" s="13">
        <f t="shared" si="236"/>
        <v>0</v>
      </c>
      <c r="Z1496" s="13">
        <f t="shared" si="236"/>
        <v>0</v>
      </c>
      <c r="AA1496">
        <f t="shared" ca="1" si="232"/>
        <v>1</v>
      </c>
      <c r="AB1496">
        <f t="shared" ca="1" si="233"/>
        <v>0</v>
      </c>
      <c r="AC1496" s="24">
        <f t="shared" ca="1" si="234"/>
        <v>-9.0064520078978819E-2</v>
      </c>
      <c r="AD1496" s="24">
        <f t="shared" ca="1" si="235"/>
        <v>0</v>
      </c>
    </row>
    <row r="1497" spans="3:30" x14ac:dyDescent="0.25">
      <c r="C1497" s="6">
        <v>1490</v>
      </c>
      <c r="D1497" s="35">
        <v>44126</v>
      </c>
      <c r="E1497" s="37">
        <v>14.419</v>
      </c>
      <c r="F1497" s="37">
        <v>36.988033035563795</v>
      </c>
      <c r="G1497" s="37">
        <v>38.15</v>
      </c>
      <c r="H1497" s="37">
        <v>2.4911511882690038</v>
      </c>
      <c r="I1497" s="37">
        <v>55.284004719366244</v>
      </c>
      <c r="J1497" s="10">
        <v>0</v>
      </c>
      <c r="K1497" s="38">
        <v>0</v>
      </c>
      <c r="L1497" s="38">
        <v>0</v>
      </c>
      <c r="M1497" s="38">
        <v>0</v>
      </c>
      <c r="N1497" s="38">
        <v>0</v>
      </c>
      <c r="O1497" s="38">
        <v>0</v>
      </c>
      <c r="P1497" s="38">
        <v>0</v>
      </c>
      <c r="Q1497" s="38">
        <v>0</v>
      </c>
      <c r="R1497" s="38">
        <v>0</v>
      </c>
      <c r="S1497" s="38">
        <v>1</v>
      </c>
      <c r="T1497" s="38">
        <v>0</v>
      </c>
      <c r="U1497" s="29" cm="1">
        <f t="array" aca="1" ref="U1497" ca="1">+fair_value_gap(OFFSET(T1496,0,0,-1*$J$5,-1*$AA$1),OFFSET(E1496,0,0,-1*$J$5,1),F1497:T1497,0)</f>
        <v>13.618411834857607</v>
      </c>
      <c r="V1497" s="9" cm="1">
        <f t="array" aca="1" ref="V1497" ca="1">z_score_diff(OFFSET(U1497,0,0,$J$5*-1,1),OFFSET(E1497,0,0,$J$5*-1,1))</f>
        <v>-0.8282573163309126</v>
      </c>
      <c r="W1497" s="9">
        <f t="shared" ca="1" si="231"/>
        <v>-0.45136060424688046</v>
      </c>
      <c r="X1497" s="17">
        <f t="shared" ca="1" si="230"/>
        <v>-0.15651146414825695</v>
      </c>
      <c r="Y1497" s="13">
        <f t="shared" ref="Y1497:Z1512" si="237">+Y1496</f>
        <v>0</v>
      </c>
      <c r="Z1497" s="13">
        <f t="shared" si="237"/>
        <v>0</v>
      </c>
      <c r="AA1497">
        <f t="shared" ca="1" si="232"/>
        <v>1</v>
      </c>
      <c r="AB1497">
        <f t="shared" ca="1" si="233"/>
        <v>0</v>
      </c>
      <c r="AC1497" s="24">
        <f t="shared" ca="1" si="234"/>
        <v>-0.15651146414825695</v>
      </c>
      <c r="AD1497" s="24">
        <f t="shared" ca="1" si="235"/>
        <v>0</v>
      </c>
    </row>
    <row r="1498" spans="3:30" x14ac:dyDescent="0.25">
      <c r="C1498" s="6">
        <v>1491</v>
      </c>
      <c r="D1498" s="35">
        <v>44127</v>
      </c>
      <c r="E1498" s="37">
        <v>14.611000000000001</v>
      </c>
      <c r="F1498" s="37">
        <v>36.226529172684828</v>
      </c>
      <c r="G1498" s="37">
        <v>39.130000000000003</v>
      </c>
      <c r="H1498" s="37">
        <v>2.4579288569413191</v>
      </c>
      <c r="I1498" s="37">
        <v>53.995498975513087</v>
      </c>
      <c r="J1498" s="10">
        <v>0</v>
      </c>
      <c r="K1498" s="38">
        <v>0</v>
      </c>
      <c r="L1498" s="38">
        <v>0</v>
      </c>
      <c r="M1498" s="38">
        <v>0</v>
      </c>
      <c r="N1498" s="38">
        <v>0</v>
      </c>
      <c r="O1498" s="38">
        <v>0</v>
      </c>
      <c r="P1498" s="38">
        <v>0</v>
      </c>
      <c r="Q1498" s="38">
        <v>0</v>
      </c>
      <c r="R1498" s="38">
        <v>0</v>
      </c>
      <c r="S1498" s="38">
        <v>1</v>
      </c>
      <c r="T1498" s="38">
        <v>0</v>
      </c>
      <c r="U1498" s="29" cm="1">
        <f t="array" aca="1" ref="U1498" ca="1">+fair_value_gap(OFFSET(T1497,0,0,-1*$J$5,-1*$AA$1),OFFSET(E1497,0,0,-1*$J$5,1),F1498:T1498,0)</f>
        <v>13.797949567886793</v>
      </c>
      <c r="V1498" s="9" cm="1">
        <f t="array" aca="1" ref="V1498" ca="1">z_score_diff(OFFSET(U1498,0,0,$J$5*-1,1),OFFSET(E1498,0,0,$J$5*-1,1))</f>
        <v>-0.82789140390340399</v>
      </c>
      <c r="W1498" s="9">
        <f t="shared" ca="1" si="231"/>
        <v>-0.47005789901255468</v>
      </c>
      <c r="X1498" s="17">
        <f t="shared" ca="1" si="230"/>
        <v>-0.17861888623408392</v>
      </c>
      <c r="Y1498" s="13">
        <f t="shared" si="237"/>
        <v>0</v>
      </c>
      <c r="Z1498" s="13">
        <f t="shared" si="237"/>
        <v>0</v>
      </c>
      <c r="AA1498">
        <f t="shared" ca="1" si="232"/>
        <v>1</v>
      </c>
      <c r="AB1498">
        <f t="shared" ca="1" si="233"/>
        <v>0</v>
      </c>
      <c r="AC1498" s="24">
        <f t="shared" ca="1" si="234"/>
        <v>-0.17861888623408392</v>
      </c>
      <c r="AD1498" s="24">
        <f t="shared" ca="1" si="235"/>
        <v>0</v>
      </c>
    </row>
    <row r="1499" spans="3:30" x14ac:dyDescent="0.25">
      <c r="C1499" s="6">
        <v>1492</v>
      </c>
      <c r="D1499" s="35">
        <v>44130</v>
      </c>
      <c r="E1499" s="37">
        <v>14.226000000000001</v>
      </c>
      <c r="F1499" s="37">
        <v>35.49018284866068</v>
      </c>
      <c r="G1499" s="37">
        <v>38.729999999999997</v>
      </c>
      <c r="H1499" s="37">
        <v>2.4913973416098778</v>
      </c>
      <c r="I1499" s="37">
        <v>54.06180419674785</v>
      </c>
      <c r="J1499" s="10">
        <v>0</v>
      </c>
      <c r="K1499" s="38">
        <v>0</v>
      </c>
      <c r="L1499" s="38">
        <v>0</v>
      </c>
      <c r="M1499" s="38">
        <v>0</v>
      </c>
      <c r="N1499" s="38">
        <v>0</v>
      </c>
      <c r="O1499" s="38">
        <v>0</v>
      </c>
      <c r="P1499" s="38">
        <v>0</v>
      </c>
      <c r="Q1499" s="38">
        <v>0</v>
      </c>
      <c r="R1499" s="38">
        <v>0</v>
      </c>
      <c r="S1499" s="38">
        <v>1</v>
      </c>
      <c r="T1499" s="38">
        <v>0</v>
      </c>
      <c r="U1499" s="29" cm="1">
        <f t="array" aca="1" ref="U1499" ca="1">+fair_value_gap(OFFSET(T1498,0,0,-1*$J$5,-1*$AA$1),OFFSET(E1498,0,0,-1*$J$5,1),F1499:T1499,0)</f>
        <v>13.803636698131442</v>
      </c>
      <c r="V1499" s="9" cm="1">
        <f t="array" aca="1" ref="V1499" ca="1">z_score_diff(OFFSET(U1499,0,0,$J$5*-1,1),OFFSET(E1499,0,0,$J$5*-1,1))</f>
        <v>-0.61453635640150073</v>
      </c>
      <c r="W1499" s="9">
        <f t="shared" ca="1" si="231"/>
        <v>-0.46986374531785924</v>
      </c>
      <c r="X1499" s="17">
        <f t="shared" ca="1" si="230"/>
        <v>-0.12367870237862953</v>
      </c>
      <c r="Y1499" s="13">
        <f t="shared" si="237"/>
        <v>0</v>
      </c>
      <c r="Z1499" s="13">
        <f t="shared" si="237"/>
        <v>0</v>
      </c>
      <c r="AA1499">
        <f t="shared" ca="1" si="232"/>
        <v>1</v>
      </c>
      <c r="AB1499">
        <f t="shared" ca="1" si="233"/>
        <v>0</v>
      </c>
      <c r="AC1499" s="24">
        <f t="shared" ca="1" si="234"/>
        <v>-0.12367870237862953</v>
      </c>
      <c r="AD1499" s="24">
        <f t="shared" ca="1" si="235"/>
        <v>0</v>
      </c>
    </row>
    <row r="1500" spans="3:30" x14ac:dyDescent="0.25">
      <c r="C1500" s="6">
        <v>1493</v>
      </c>
      <c r="D1500" s="35">
        <v>44131</v>
      </c>
      <c r="E1500" s="37">
        <v>14.163</v>
      </c>
      <c r="F1500" s="37">
        <v>36.184560690877568</v>
      </c>
      <c r="G1500" s="37">
        <v>37.4</v>
      </c>
      <c r="H1500" s="37">
        <v>2.5117137271533743</v>
      </c>
      <c r="I1500" s="37">
        <v>54.534517688446115</v>
      </c>
      <c r="J1500" s="10">
        <v>0</v>
      </c>
      <c r="K1500" s="38">
        <v>0</v>
      </c>
      <c r="L1500" s="38">
        <v>0</v>
      </c>
      <c r="M1500" s="38">
        <v>0</v>
      </c>
      <c r="N1500" s="38">
        <v>0</v>
      </c>
      <c r="O1500" s="38">
        <v>0</v>
      </c>
      <c r="P1500" s="38">
        <v>0</v>
      </c>
      <c r="Q1500" s="38">
        <v>0</v>
      </c>
      <c r="R1500" s="38">
        <v>0</v>
      </c>
      <c r="S1500" s="38">
        <v>1</v>
      </c>
      <c r="T1500" s="38">
        <v>0</v>
      </c>
      <c r="U1500" s="29" cm="1">
        <f t="array" aca="1" ref="U1500" ca="1">+fair_value_gap(OFFSET(T1499,0,0,-1*$J$5,-1*$AA$1),OFFSET(E1499,0,0,-1*$J$5,1),F1500:T1500,0)</f>
        <v>13.550872230166668</v>
      </c>
      <c r="V1500" s="9" cm="1">
        <f t="array" aca="1" ref="V1500" ca="1">z_score_diff(OFFSET(U1500,0,0,$J$5*-1,1),OFFSET(E1500,0,0,$J$5*-1,1))</f>
        <v>-0.71052393537504044</v>
      </c>
      <c r="W1500" s="9">
        <f t="shared" ca="1" si="231"/>
        <v>-0.48010945130497074</v>
      </c>
      <c r="X1500" s="17">
        <f t="shared" ca="1" si="230"/>
        <v>-0.10017264970482016</v>
      </c>
      <c r="Y1500" s="13">
        <f t="shared" si="237"/>
        <v>0</v>
      </c>
      <c r="Z1500" s="13">
        <f t="shared" si="237"/>
        <v>0</v>
      </c>
      <c r="AA1500">
        <f t="shared" ca="1" si="232"/>
        <v>1</v>
      </c>
      <c r="AB1500">
        <f t="shared" ca="1" si="233"/>
        <v>0</v>
      </c>
      <c r="AC1500" s="24">
        <f t="shared" ca="1" si="234"/>
        <v>-0.10017264970482016</v>
      </c>
      <c r="AD1500" s="24">
        <f t="shared" ca="1" si="235"/>
        <v>0</v>
      </c>
    </row>
    <row r="1501" spans="3:30" x14ac:dyDescent="0.25">
      <c r="C1501" s="6">
        <v>1494</v>
      </c>
      <c r="D1501" s="35">
        <v>44132</v>
      </c>
      <c r="E1501" s="37">
        <v>13.861000000000001</v>
      </c>
      <c r="F1501" s="37">
        <v>34.807751826241059</v>
      </c>
      <c r="G1501" s="37">
        <v>37.06</v>
      </c>
      <c r="H1501" s="37">
        <v>2.5183684025319355</v>
      </c>
      <c r="I1501" s="37">
        <v>54.522251947071865</v>
      </c>
      <c r="J1501" s="10">
        <v>0</v>
      </c>
      <c r="K1501" s="38">
        <v>0</v>
      </c>
      <c r="L1501" s="38">
        <v>0</v>
      </c>
      <c r="M1501" s="38">
        <v>0</v>
      </c>
      <c r="N1501" s="38">
        <v>0</v>
      </c>
      <c r="O1501" s="38">
        <v>0</v>
      </c>
      <c r="P1501" s="38">
        <v>0</v>
      </c>
      <c r="Q1501" s="38">
        <v>0</v>
      </c>
      <c r="R1501" s="38">
        <v>0</v>
      </c>
      <c r="S1501" s="38">
        <v>1</v>
      </c>
      <c r="T1501" s="38">
        <v>0</v>
      </c>
      <c r="U1501" s="29" cm="1">
        <f t="array" aca="1" ref="U1501" ca="1">+fair_value_gap(OFFSET(T1500,0,0,-1*$J$5,-1*$AA$1),OFFSET(E1500,0,0,-1*$J$5,1),F1501:T1501,0)</f>
        <v>13.536043099440347</v>
      </c>
      <c r="V1501" s="9" cm="1">
        <f t="array" aca="1" ref="V1501" ca="1">z_score_diff(OFFSET(U1501,0,0,$J$5*-1,1),OFFSET(E1501,0,0,$J$5*-1,1))</f>
        <v>-0.55134618813963265</v>
      </c>
      <c r="W1501" s="9">
        <f t="shared" ca="1" si="231"/>
        <v>-0.48114225729543492</v>
      </c>
      <c r="X1501" s="17">
        <f t="shared" ca="1" si="230"/>
        <v>-6.9993093268964232E-2</v>
      </c>
      <c r="Y1501" s="13">
        <f t="shared" si="237"/>
        <v>0</v>
      </c>
      <c r="Z1501" s="13">
        <f t="shared" si="237"/>
        <v>0</v>
      </c>
      <c r="AA1501">
        <f t="shared" ca="1" si="232"/>
        <v>1</v>
      </c>
      <c r="AB1501">
        <f t="shared" ca="1" si="233"/>
        <v>0</v>
      </c>
      <c r="AC1501" s="24">
        <f t="shared" ca="1" si="234"/>
        <v>-6.9993093268964232E-2</v>
      </c>
      <c r="AD1501" s="24">
        <f t="shared" ca="1" si="235"/>
        <v>0</v>
      </c>
    </row>
    <row r="1502" spans="3:30" x14ac:dyDescent="0.25">
      <c r="C1502" s="6">
        <v>1495</v>
      </c>
      <c r="D1502" s="35">
        <v>44133</v>
      </c>
      <c r="E1502" s="37">
        <v>13.63</v>
      </c>
      <c r="F1502" s="37">
        <v>34.001329336790633</v>
      </c>
      <c r="G1502" s="37">
        <v>36.21</v>
      </c>
      <c r="H1502" s="37">
        <v>2.497412571362263</v>
      </c>
      <c r="I1502" s="37">
        <v>54.478917895961906</v>
      </c>
      <c r="J1502" s="10">
        <v>0</v>
      </c>
      <c r="K1502" s="38">
        <v>0</v>
      </c>
      <c r="L1502" s="38">
        <v>0</v>
      </c>
      <c r="M1502" s="38">
        <v>0</v>
      </c>
      <c r="N1502" s="38">
        <v>0</v>
      </c>
      <c r="O1502" s="38">
        <v>0</v>
      </c>
      <c r="P1502" s="38">
        <v>0</v>
      </c>
      <c r="Q1502" s="38">
        <v>0</v>
      </c>
      <c r="R1502" s="38">
        <v>0</v>
      </c>
      <c r="S1502" s="38">
        <v>1</v>
      </c>
      <c r="T1502" s="38">
        <v>0</v>
      </c>
      <c r="U1502" s="29" cm="1">
        <f t="array" aca="1" ref="U1502" ca="1">+fair_value_gap(OFFSET(T1501,0,0,-1*$J$5,-1*$AA$1),OFFSET(E1501,0,0,-1*$J$5,1),F1502:T1502,0)</f>
        <v>13.359786223872526</v>
      </c>
      <c r="V1502" s="9" cm="1">
        <f t="array" aca="1" ref="V1502" ca="1">z_score_diff(OFFSET(U1502,0,0,$J$5*-1,1),OFFSET(E1502,0,0,$J$5*-1,1))</f>
        <v>-0.51695732379993542</v>
      </c>
      <c r="W1502" s="9">
        <f t="shared" ca="1" si="231"/>
        <v>-0.51806806007659079</v>
      </c>
      <c r="X1502" s="17">
        <f t="shared" ca="1" si="230"/>
        <v>-6.0720921390727635E-2</v>
      </c>
      <c r="Y1502" s="13">
        <f t="shared" si="237"/>
        <v>0</v>
      </c>
      <c r="Z1502" s="13">
        <f t="shared" si="237"/>
        <v>0</v>
      </c>
      <c r="AA1502">
        <f t="shared" ca="1" si="232"/>
        <v>1</v>
      </c>
      <c r="AB1502">
        <f t="shared" ca="1" si="233"/>
        <v>0</v>
      </c>
      <c r="AC1502" s="24">
        <f t="shared" ca="1" si="234"/>
        <v>-6.0720921390727635E-2</v>
      </c>
      <c r="AD1502" s="24">
        <f t="shared" ca="1" si="235"/>
        <v>0</v>
      </c>
    </row>
    <row r="1503" spans="3:30" x14ac:dyDescent="0.25">
      <c r="C1503" s="6">
        <v>1496</v>
      </c>
      <c r="D1503" s="35">
        <v>44134</v>
      </c>
      <c r="E1503" s="37">
        <v>13.025</v>
      </c>
      <c r="F1503" s="37">
        <v>33.934272332581521</v>
      </c>
      <c r="G1503" s="37">
        <v>36.9</v>
      </c>
      <c r="H1503" s="37">
        <v>2.54357420482313</v>
      </c>
      <c r="I1503" s="37">
        <v>54.547910678223758</v>
      </c>
      <c r="J1503" s="10">
        <v>0</v>
      </c>
      <c r="K1503" s="38">
        <v>0</v>
      </c>
      <c r="L1503" s="38">
        <v>0</v>
      </c>
      <c r="M1503" s="38">
        <v>0</v>
      </c>
      <c r="N1503" s="38">
        <v>0</v>
      </c>
      <c r="O1503" s="38">
        <v>0</v>
      </c>
      <c r="P1503" s="38">
        <v>0</v>
      </c>
      <c r="Q1503" s="38">
        <v>0</v>
      </c>
      <c r="R1503" s="38">
        <v>0</v>
      </c>
      <c r="S1503" s="38">
        <v>1</v>
      </c>
      <c r="T1503" s="38">
        <v>0</v>
      </c>
      <c r="U1503" s="29" cm="1">
        <f t="array" aca="1" ref="U1503" ca="1">+fair_value_gap(OFFSET(T1502,0,0,-1*$J$5,-1*$AA$1),OFFSET(E1502,0,0,-1*$J$5,1),F1503:T1503,0)</f>
        <v>13.568570321670446</v>
      </c>
      <c r="V1503" s="9" cm="1">
        <f t="array" aca="1" ref="V1503" ca="1">z_score_diff(OFFSET(U1503,0,0,$J$5*-1,1),OFFSET(E1503,0,0,$J$5*-1,1))</f>
        <v>-7.0460186824058857E-2</v>
      </c>
      <c r="W1503" s="9">
        <f t="shared" ca="1" si="231"/>
        <v>-0.52543053676694285</v>
      </c>
      <c r="X1503" s="17">
        <f t="shared" ca="1" si="230"/>
        <v>7.9529363125426539E-3</v>
      </c>
      <c r="Y1503" s="13">
        <f t="shared" si="237"/>
        <v>0</v>
      </c>
      <c r="Z1503" s="13">
        <f t="shared" si="237"/>
        <v>0</v>
      </c>
      <c r="AA1503">
        <f t="shared" ca="1" si="232"/>
        <v>1</v>
      </c>
      <c r="AB1503">
        <f t="shared" ca="1" si="233"/>
        <v>0</v>
      </c>
      <c r="AC1503" s="24">
        <f t="shared" ca="1" si="234"/>
        <v>7.9529363125426539E-3</v>
      </c>
      <c r="AD1503" s="24">
        <f t="shared" ca="1" si="235"/>
        <v>0</v>
      </c>
    </row>
    <row r="1504" spans="3:30" x14ac:dyDescent="0.25">
      <c r="C1504" s="6">
        <v>1497</v>
      </c>
      <c r="D1504" s="35">
        <v>44137</v>
      </c>
      <c r="E1504" s="37">
        <v>12.781000000000001</v>
      </c>
      <c r="F1504" s="37">
        <v>35.229642861420373</v>
      </c>
      <c r="G1504" s="37">
        <v>36.1</v>
      </c>
      <c r="H1504" s="37">
        <v>2.5382795135948095</v>
      </c>
      <c r="I1504" s="37">
        <v>54.238935342740447</v>
      </c>
      <c r="J1504" s="10">
        <v>0</v>
      </c>
      <c r="K1504" s="38">
        <v>0</v>
      </c>
      <c r="L1504" s="38">
        <v>0</v>
      </c>
      <c r="M1504" s="38">
        <v>0</v>
      </c>
      <c r="N1504" s="38">
        <v>0</v>
      </c>
      <c r="O1504" s="38">
        <v>0</v>
      </c>
      <c r="P1504" s="38">
        <v>0</v>
      </c>
      <c r="Q1504" s="38">
        <v>0</v>
      </c>
      <c r="R1504" s="38">
        <v>0</v>
      </c>
      <c r="S1504" s="38">
        <v>0</v>
      </c>
      <c r="T1504" s="38">
        <v>1</v>
      </c>
      <c r="U1504" s="29" cm="1">
        <f t="array" aca="1" ref="U1504" ca="1">+fair_value_gap(OFFSET(T1503,0,0,-1*$J$5,-1*$AA$1),OFFSET(E1503,0,0,-1*$J$5,1),F1504:T1504,0)</f>
        <v>13.976134753555677</v>
      </c>
      <c r="V1504" s="9" cm="1">
        <f t="array" aca="1" ref="V1504" ca="1">z_score_diff(OFFSET(U1504,0,0,$J$5*-1,1),OFFSET(E1504,0,0,$J$5*-1,1))</f>
        <v>0.28710718965908516</v>
      </c>
      <c r="W1504" s="9">
        <f t="shared" ca="1" si="231"/>
        <v>-0.50710997389682633</v>
      </c>
      <c r="X1504" s="17">
        <f t="shared" ca="1" si="230"/>
        <v>3.8148837147390167E-2</v>
      </c>
      <c r="Y1504" s="13">
        <f t="shared" si="237"/>
        <v>0</v>
      </c>
      <c r="Z1504" s="13">
        <f t="shared" si="237"/>
        <v>0</v>
      </c>
      <c r="AA1504">
        <f t="shared" ca="1" si="232"/>
        <v>1</v>
      </c>
      <c r="AB1504">
        <f t="shared" ca="1" si="233"/>
        <v>0</v>
      </c>
      <c r="AC1504" s="24">
        <f t="shared" ca="1" si="234"/>
        <v>3.8148837147390167E-2</v>
      </c>
      <c r="AD1504" s="24">
        <f t="shared" ca="1" si="235"/>
        <v>0</v>
      </c>
    </row>
    <row r="1505" spans="3:30" x14ac:dyDescent="0.25">
      <c r="C1505" s="6">
        <v>1498</v>
      </c>
      <c r="D1505" s="35">
        <v>44138</v>
      </c>
      <c r="E1505" s="37">
        <v>12.896000000000001</v>
      </c>
      <c r="F1505" s="37">
        <v>35.486021585841641</v>
      </c>
      <c r="G1505" s="37">
        <v>36.72</v>
      </c>
      <c r="H1505" s="37">
        <v>2.4499215957059617</v>
      </c>
      <c r="I1505" s="37">
        <v>54.08365619121804</v>
      </c>
      <c r="J1505" s="10">
        <v>0</v>
      </c>
      <c r="K1505" s="38">
        <v>0</v>
      </c>
      <c r="L1505" s="38">
        <v>0</v>
      </c>
      <c r="M1505" s="38">
        <v>0</v>
      </c>
      <c r="N1505" s="38">
        <v>0</v>
      </c>
      <c r="O1505" s="38">
        <v>0</v>
      </c>
      <c r="P1505" s="38">
        <v>0</v>
      </c>
      <c r="Q1505" s="38">
        <v>0</v>
      </c>
      <c r="R1505" s="38">
        <v>0</v>
      </c>
      <c r="S1505" s="38">
        <v>0</v>
      </c>
      <c r="T1505" s="38">
        <v>1</v>
      </c>
      <c r="U1505" s="29" cm="1">
        <f t="array" aca="1" ref="U1505" ca="1">+fair_value_gap(OFFSET(T1504,0,0,-1*$J$5,-1*$AA$1),OFFSET(E1504,0,0,-1*$J$5,1),F1505:T1505,0)</f>
        <v>13.696344055371483</v>
      </c>
      <c r="V1505" s="9" cm="1">
        <f t="array" aca="1" ref="V1505" ca="1">z_score_diff(OFFSET(U1505,0,0,$J$5*-1,1),OFFSET(E1505,0,0,$J$5*-1,1))</f>
        <v>7.1434070283332263E-2</v>
      </c>
      <c r="W1505" s="9">
        <f t="shared" ca="1" si="231"/>
        <v>-0.49672589461930566</v>
      </c>
      <c r="X1505" s="17">
        <f t="shared" ca="1" si="230"/>
        <v>2.1859212966055974E-2</v>
      </c>
      <c r="Y1505" s="13">
        <f t="shared" si="237"/>
        <v>0</v>
      </c>
      <c r="Z1505" s="13">
        <f t="shared" si="237"/>
        <v>0</v>
      </c>
      <c r="AA1505">
        <f t="shared" ca="1" si="232"/>
        <v>1</v>
      </c>
      <c r="AB1505">
        <f t="shared" ca="1" si="233"/>
        <v>0</v>
      </c>
      <c r="AC1505" s="24">
        <f t="shared" ca="1" si="234"/>
        <v>2.1859212966055974E-2</v>
      </c>
      <c r="AD1505" s="24">
        <f t="shared" ca="1" si="235"/>
        <v>0</v>
      </c>
    </row>
    <row r="1506" spans="3:30" x14ac:dyDescent="0.25">
      <c r="C1506" s="6">
        <v>1499</v>
      </c>
      <c r="D1506" s="35">
        <v>44139</v>
      </c>
      <c r="E1506" s="37">
        <v>13.045999999999999</v>
      </c>
      <c r="F1506" s="37">
        <v>36.553471560175581</v>
      </c>
      <c r="G1506" s="37">
        <v>36.69</v>
      </c>
      <c r="H1506" s="37">
        <v>2.4368981040117053</v>
      </c>
      <c r="I1506" s="37">
        <v>53.912546966367749</v>
      </c>
      <c r="J1506" s="10">
        <v>0</v>
      </c>
      <c r="K1506" s="38">
        <v>0</v>
      </c>
      <c r="L1506" s="38">
        <v>0</v>
      </c>
      <c r="M1506" s="38">
        <v>0</v>
      </c>
      <c r="N1506" s="38">
        <v>0</v>
      </c>
      <c r="O1506" s="38">
        <v>0</v>
      </c>
      <c r="P1506" s="38">
        <v>0</v>
      </c>
      <c r="Q1506" s="38">
        <v>0</v>
      </c>
      <c r="R1506" s="38">
        <v>0</v>
      </c>
      <c r="S1506" s="38">
        <v>0</v>
      </c>
      <c r="T1506" s="38">
        <v>1</v>
      </c>
      <c r="U1506" s="29" cm="1">
        <f t="array" aca="1" ref="U1506" ca="1">+fair_value_gap(OFFSET(T1505,0,0,-1*$J$5,-1*$AA$1),OFFSET(E1505,0,0,-1*$J$5,1),F1506:T1506,0)</f>
        <v>13.507286439418598</v>
      </c>
      <c r="V1506" s="9" cm="1">
        <f t="array" aca="1" ref="V1506" ca="1">z_score_diff(OFFSET(U1506,0,0,$J$5*-1,1),OFFSET(E1506,0,0,$J$5*-1,1))</f>
        <v>-0.11632082121031273</v>
      </c>
      <c r="W1506" s="9">
        <f t="shared" ca="1" si="231"/>
        <v>-0.49101210538927453</v>
      </c>
      <c r="X1506" s="17">
        <f t="shared" ca="1" si="230"/>
        <v>-2.0717444586441729E-3</v>
      </c>
      <c r="Y1506" s="13">
        <f t="shared" si="237"/>
        <v>0</v>
      </c>
      <c r="Z1506" s="13">
        <f t="shared" si="237"/>
        <v>0</v>
      </c>
      <c r="AA1506">
        <f t="shared" ca="1" si="232"/>
        <v>1</v>
      </c>
      <c r="AB1506">
        <f t="shared" ca="1" si="233"/>
        <v>0</v>
      </c>
      <c r="AC1506" s="24">
        <f t="shared" ca="1" si="234"/>
        <v>-2.0717444586441729E-3</v>
      </c>
      <c r="AD1506" s="24">
        <f t="shared" ca="1" si="235"/>
        <v>0</v>
      </c>
    </row>
    <row r="1507" spans="3:30" x14ac:dyDescent="0.25">
      <c r="C1507" s="6">
        <v>1500</v>
      </c>
      <c r="D1507" s="35">
        <v>44140</v>
      </c>
      <c r="E1507" s="37">
        <v>13.43</v>
      </c>
      <c r="F1507" s="37">
        <v>35.914670448162873</v>
      </c>
      <c r="G1507" s="37">
        <v>37.659999999999997</v>
      </c>
      <c r="H1507" s="37">
        <v>2.3788732477388073</v>
      </c>
      <c r="I1507" s="37">
        <v>54.398305063336963</v>
      </c>
      <c r="J1507" s="10">
        <v>0</v>
      </c>
      <c r="K1507" s="38">
        <v>0</v>
      </c>
      <c r="L1507" s="38">
        <v>0</v>
      </c>
      <c r="M1507" s="38">
        <v>0</v>
      </c>
      <c r="N1507" s="38">
        <v>0</v>
      </c>
      <c r="O1507" s="38">
        <v>0</v>
      </c>
      <c r="P1507" s="38">
        <v>0</v>
      </c>
      <c r="Q1507" s="38">
        <v>0</v>
      </c>
      <c r="R1507" s="38">
        <v>0</v>
      </c>
      <c r="S1507" s="38">
        <v>0</v>
      </c>
      <c r="T1507" s="38">
        <v>1</v>
      </c>
      <c r="U1507" s="29" cm="1">
        <f t="array" aca="1" ref="U1507" ca="1">+fair_value_gap(OFFSET(T1506,0,0,-1*$J$5,-1*$AA$1),OFFSET(E1506,0,0,-1*$J$5,1),F1507:T1507,0)</f>
        <v>13.66195027846816</v>
      </c>
      <c r="V1507" s="9" cm="1">
        <f t="array" aca="1" ref="V1507" ca="1">z_score_diff(OFFSET(U1507,0,0,$J$5*-1,1),OFFSET(E1507,0,0,$J$5*-1,1))</f>
        <v>-0.24880099017748336</v>
      </c>
      <c r="W1507" s="9">
        <f t="shared" ca="1" si="231"/>
        <v>-0.48281723254447051</v>
      </c>
      <c r="X1507" s="17">
        <f t="shared" ca="1" si="230"/>
        <v>-7.6413164442318091E-2</v>
      </c>
      <c r="Y1507" s="13">
        <f t="shared" si="237"/>
        <v>0</v>
      </c>
      <c r="Z1507" s="13">
        <f t="shared" si="237"/>
        <v>0</v>
      </c>
      <c r="AA1507">
        <f t="shared" ca="1" si="232"/>
        <v>1</v>
      </c>
      <c r="AB1507">
        <f t="shared" ca="1" si="233"/>
        <v>0</v>
      </c>
      <c r="AC1507" s="24">
        <f t="shared" ca="1" si="234"/>
        <v>-7.6413164442318091E-2</v>
      </c>
      <c r="AD1507" s="24">
        <f t="shared" ca="1" si="235"/>
        <v>0</v>
      </c>
    </row>
    <row r="1508" spans="3:30" x14ac:dyDescent="0.25">
      <c r="C1508" s="6">
        <v>1501</v>
      </c>
      <c r="D1508" s="35">
        <v>44141</v>
      </c>
      <c r="E1508" s="37">
        <v>13.067</v>
      </c>
      <c r="F1508" s="37">
        <v>34.61713233654325</v>
      </c>
      <c r="G1508" s="37">
        <v>37.659999999999997</v>
      </c>
      <c r="H1508" s="37">
        <v>2.3416238947920873</v>
      </c>
      <c r="I1508" s="37">
        <v>54.118088939788485</v>
      </c>
      <c r="J1508" s="10">
        <v>0</v>
      </c>
      <c r="K1508" s="38">
        <v>0</v>
      </c>
      <c r="L1508" s="38">
        <v>0</v>
      </c>
      <c r="M1508" s="38">
        <v>0</v>
      </c>
      <c r="N1508" s="38">
        <v>0</v>
      </c>
      <c r="O1508" s="38">
        <v>0</v>
      </c>
      <c r="P1508" s="38">
        <v>0</v>
      </c>
      <c r="Q1508" s="38">
        <v>0</v>
      </c>
      <c r="R1508" s="38">
        <v>0</v>
      </c>
      <c r="S1508" s="38">
        <v>0</v>
      </c>
      <c r="T1508" s="38">
        <v>1</v>
      </c>
      <c r="U1508" s="29" cm="1">
        <f t="array" aca="1" ref="U1508" ca="1">+fair_value_gap(OFFSET(T1507,0,0,-1*$J$5,-1*$AA$1),OFFSET(E1507,0,0,-1*$J$5,1),F1508:T1508,0)</f>
        <v>13.597666404877707</v>
      </c>
      <c r="V1508" s="9" cm="1">
        <f t="array" aca="1" ref="V1508" ca="1">z_score_diff(OFFSET(U1508,0,0,$J$5*-1,1),OFFSET(E1508,0,0,$J$5*-1,1))</f>
        <v>-8.1394486229853902E-2</v>
      </c>
      <c r="W1508" s="9">
        <f t="shared" ca="1" si="231"/>
        <v>-0.46664800378438154</v>
      </c>
      <c r="X1508" s="17">
        <f t="shared" ca="1" si="230"/>
        <v>-2.0957345919737622E-2</v>
      </c>
      <c r="Y1508" s="13">
        <f t="shared" si="237"/>
        <v>0</v>
      </c>
      <c r="Z1508" s="13">
        <f t="shared" si="237"/>
        <v>0</v>
      </c>
      <c r="AA1508">
        <f t="shared" ca="1" si="232"/>
        <v>1</v>
      </c>
      <c r="AB1508">
        <f t="shared" ca="1" si="233"/>
        <v>0</v>
      </c>
      <c r="AC1508" s="24">
        <f t="shared" ca="1" si="234"/>
        <v>-2.0957345919737622E-2</v>
      </c>
      <c r="AD1508" s="24">
        <f t="shared" ca="1" si="235"/>
        <v>0</v>
      </c>
    </row>
    <row r="1509" spans="3:30" x14ac:dyDescent="0.25">
      <c r="C1509" s="6">
        <v>1502</v>
      </c>
      <c r="D1509" s="35">
        <v>44144</v>
      </c>
      <c r="E1509" s="37">
        <v>13.244</v>
      </c>
      <c r="F1509" s="37">
        <v>37.050706466051878</v>
      </c>
      <c r="G1509" s="37">
        <v>38.020000000000003</v>
      </c>
      <c r="H1509" s="37">
        <v>2.3391576336083695</v>
      </c>
      <c r="I1509" s="37">
        <v>54.518551474950115</v>
      </c>
      <c r="J1509" s="10">
        <v>0</v>
      </c>
      <c r="K1509" s="38">
        <v>0</v>
      </c>
      <c r="L1509" s="38">
        <v>0</v>
      </c>
      <c r="M1509" s="38">
        <v>0</v>
      </c>
      <c r="N1509" s="38">
        <v>0</v>
      </c>
      <c r="O1509" s="38">
        <v>0</v>
      </c>
      <c r="P1509" s="38">
        <v>0</v>
      </c>
      <c r="Q1509" s="38">
        <v>0</v>
      </c>
      <c r="R1509" s="38">
        <v>0</v>
      </c>
      <c r="S1509" s="38">
        <v>0</v>
      </c>
      <c r="T1509" s="38">
        <v>1</v>
      </c>
      <c r="U1509" s="29" cm="1">
        <f t="array" aca="1" ref="U1509" ca="1">+fair_value_gap(OFFSET(T1508,0,0,-1*$J$5,-1*$AA$1),OFFSET(E1508,0,0,-1*$J$5,1),F1509:T1509,0)</f>
        <v>13.616201608911695</v>
      </c>
      <c r="V1509" s="9" cm="1">
        <f t="array" aca="1" ref="V1509" ca="1">z_score_diff(OFFSET(U1509,0,0,$J$5*-1,1),OFFSET(E1509,0,0,$J$5*-1,1))</f>
        <v>-0.17328108786266538</v>
      </c>
      <c r="W1509" s="9">
        <f t="shared" ca="1" si="231"/>
        <v>-0.44878115583602279</v>
      </c>
      <c r="X1509" s="17">
        <f t="shared" ca="1" si="230"/>
        <v>-4.953039578997169E-2</v>
      </c>
      <c r="Y1509" s="13">
        <f t="shared" si="237"/>
        <v>0</v>
      </c>
      <c r="Z1509" s="13">
        <f t="shared" si="237"/>
        <v>0</v>
      </c>
      <c r="AA1509">
        <f t="shared" ca="1" si="232"/>
        <v>1</v>
      </c>
      <c r="AB1509">
        <f t="shared" ca="1" si="233"/>
        <v>0</v>
      </c>
      <c r="AC1509" s="24">
        <f t="shared" ca="1" si="234"/>
        <v>-4.953039578997169E-2</v>
      </c>
      <c r="AD1509" s="24">
        <f t="shared" ca="1" si="235"/>
        <v>0</v>
      </c>
    </row>
    <row r="1510" spans="3:30" x14ac:dyDescent="0.25">
      <c r="C1510" s="6">
        <v>1503</v>
      </c>
      <c r="D1510" s="35">
        <v>44145</v>
      </c>
      <c r="E1510" s="37">
        <v>13.327</v>
      </c>
      <c r="F1510" s="37">
        <v>37.881152207836017</v>
      </c>
      <c r="G1510" s="37">
        <v>37.72</v>
      </c>
      <c r="H1510" s="37">
        <v>2.3786428240057353</v>
      </c>
      <c r="I1510" s="37">
        <v>55.501665893467163</v>
      </c>
      <c r="J1510" s="10">
        <v>0</v>
      </c>
      <c r="K1510" s="38">
        <v>0</v>
      </c>
      <c r="L1510" s="38">
        <v>0</v>
      </c>
      <c r="M1510" s="38">
        <v>0</v>
      </c>
      <c r="N1510" s="38">
        <v>0</v>
      </c>
      <c r="O1510" s="38">
        <v>0</v>
      </c>
      <c r="P1510" s="38">
        <v>0</v>
      </c>
      <c r="Q1510" s="38">
        <v>0</v>
      </c>
      <c r="R1510" s="38">
        <v>0</v>
      </c>
      <c r="S1510" s="38">
        <v>0</v>
      </c>
      <c r="T1510" s="38">
        <v>1</v>
      </c>
      <c r="U1510" s="29" cm="1">
        <f t="array" aca="1" ref="U1510" ca="1">+fair_value_gap(OFFSET(T1509,0,0,-1*$J$5,-1*$AA$1),OFFSET(E1509,0,0,-1*$J$5,1),F1510:T1510,0)</f>
        <v>13.554303639852122</v>
      </c>
      <c r="V1510" s="9" cm="1">
        <f t="array" aca="1" ref="V1510" ca="1">z_score_diff(OFFSET(U1510,0,0,$J$5*-1,1),OFFSET(E1510,0,0,$J$5*-1,1))</f>
        <v>-0.25686324939341376</v>
      </c>
      <c r="W1510" s="9">
        <f t="shared" ca="1" si="231"/>
        <v>-0.43681977545118816</v>
      </c>
      <c r="X1510" s="17">
        <f t="shared" ca="1" si="230"/>
        <v>-4.7953866556266322E-2</v>
      </c>
      <c r="Y1510" s="13">
        <f t="shared" si="237"/>
        <v>0</v>
      </c>
      <c r="Z1510" s="13">
        <f t="shared" si="237"/>
        <v>0</v>
      </c>
      <c r="AA1510">
        <f t="shared" ca="1" si="232"/>
        <v>1</v>
      </c>
      <c r="AB1510">
        <f t="shared" ca="1" si="233"/>
        <v>0</v>
      </c>
      <c r="AC1510" s="24">
        <f t="shared" ca="1" si="234"/>
        <v>-4.7953866556266322E-2</v>
      </c>
      <c r="AD1510" s="24">
        <f t="shared" ca="1" si="235"/>
        <v>0</v>
      </c>
    </row>
    <row r="1511" spans="3:30" x14ac:dyDescent="0.25">
      <c r="C1511" s="6">
        <v>1504</v>
      </c>
      <c r="D1511" s="35">
        <v>44146</v>
      </c>
      <c r="E1511" s="37">
        <v>13.387</v>
      </c>
      <c r="F1511" s="37">
        <v>38.092146474701188</v>
      </c>
      <c r="G1511" s="37">
        <v>38.549999999999997</v>
      </c>
      <c r="H1511" s="37">
        <v>2.427888252892628</v>
      </c>
      <c r="I1511" s="37">
        <v>56.216771872339748</v>
      </c>
      <c r="J1511" s="10">
        <v>0</v>
      </c>
      <c r="K1511" s="38">
        <v>0</v>
      </c>
      <c r="L1511" s="38">
        <v>0</v>
      </c>
      <c r="M1511" s="38">
        <v>0</v>
      </c>
      <c r="N1511" s="38">
        <v>0</v>
      </c>
      <c r="O1511" s="38">
        <v>0</v>
      </c>
      <c r="P1511" s="38">
        <v>0</v>
      </c>
      <c r="Q1511" s="38">
        <v>0</v>
      </c>
      <c r="R1511" s="38">
        <v>0</v>
      </c>
      <c r="S1511" s="38">
        <v>0</v>
      </c>
      <c r="T1511" s="38">
        <v>1</v>
      </c>
      <c r="U1511" s="29" cm="1">
        <f t="array" aca="1" ref="U1511" ca="1">+fair_value_gap(OFFSET(T1510,0,0,-1*$J$5,-1*$AA$1),OFFSET(E1510,0,0,-1*$J$5,1),F1511:T1511,0)</f>
        <v>13.753085911068288</v>
      </c>
      <c r="V1511" s="9" cm="1">
        <f t="array" aca="1" ref="V1511" ca="1">z_score_diff(OFFSET(U1511,0,0,$J$5*-1,1),OFFSET(E1511,0,0,$J$5*-1,1))</f>
        <v>-0.18251520069318938</v>
      </c>
      <c r="W1511" s="9">
        <f t="shared" ca="1" si="231"/>
        <v>-0.41800385514957678</v>
      </c>
      <c r="X1511" s="17">
        <f t="shared" ca="1" si="230"/>
        <v>-3.7289360621506527E-2</v>
      </c>
      <c r="Y1511" s="13">
        <f t="shared" si="237"/>
        <v>0</v>
      </c>
      <c r="Z1511" s="13">
        <f t="shared" si="237"/>
        <v>0</v>
      </c>
      <c r="AA1511">
        <f t="shared" ca="1" si="232"/>
        <v>1</v>
      </c>
      <c r="AB1511">
        <f t="shared" ca="1" si="233"/>
        <v>0</v>
      </c>
      <c r="AC1511" s="24">
        <f t="shared" ca="1" si="234"/>
        <v>-3.7289360621506527E-2</v>
      </c>
      <c r="AD1511" s="24">
        <f t="shared" ca="1" si="235"/>
        <v>0</v>
      </c>
    </row>
    <row r="1512" spans="3:30" x14ac:dyDescent="0.25">
      <c r="C1512" s="6">
        <v>1505</v>
      </c>
      <c r="D1512" s="35">
        <v>44147</v>
      </c>
      <c r="E1512" s="37">
        <v>13.247</v>
      </c>
      <c r="F1512" s="37">
        <v>37.766783784741143</v>
      </c>
      <c r="G1512" s="37">
        <v>37.57</v>
      </c>
      <c r="H1512" s="37">
        <v>2.4002739314732757</v>
      </c>
      <c r="I1512" s="37">
        <v>56.085107674972889</v>
      </c>
      <c r="J1512" s="10">
        <v>0</v>
      </c>
      <c r="K1512" s="38">
        <v>0</v>
      </c>
      <c r="L1512" s="38">
        <v>0</v>
      </c>
      <c r="M1512" s="38">
        <v>0</v>
      </c>
      <c r="N1512" s="38">
        <v>0</v>
      </c>
      <c r="O1512" s="38">
        <v>0</v>
      </c>
      <c r="P1512" s="38">
        <v>0</v>
      </c>
      <c r="Q1512" s="38">
        <v>0</v>
      </c>
      <c r="R1512" s="38">
        <v>0</v>
      </c>
      <c r="S1512" s="38">
        <v>0</v>
      </c>
      <c r="T1512" s="38">
        <v>1</v>
      </c>
      <c r="U1512" s="29" cm="1">
        <f t="array" aca="1" ref="U1512" ca="1">+fair_value_gap(OFFSET(T1511,0,0,-1*$J$5,-1*$AA$1),OFFSET(E1511,0,0,-1*$J$5,1),F1512:T1512,0)</f>
        <v>13.469904999131138</v>
      </c>
      <c r="V1512" s="9" cm="1">
        <f t="array" aca="1" ref="V1512" ca="1">z_score_diff(OFFSET(U1512,0,0,$J$5*-1,1),OFFSET(E1512,0,0,$J$5*-1,1))</f>
        <v>-0.26449735307688105</v>
      </c>
      <c r="W1512" s="9">
        <f t="shared" ca="1" si="231"/>
        <v>-0.39913830539905792</v>
      </c>
      <c r="X1512" s="17">
        <f t="shared" ca="1" si="230"/>
        <v>1.6545389596703656E-2</v>
      </c>
      <c r="Y1512" s="13">
        <f t="shared" si="237"/>
        <v>0</v>
      </c>
      <c r="Z1512" s="13">
        <f t="shared" si="237"/>
        <v>0</v>
      </c>
      <c r="AA1512">
        <f t="shared" ca="1" si="232"/>
        <v>1</v>
      </c>
      <c r="AB1512">
        <f t="shared" ca="1" si="233"/>
        <v>0</v>
      </c>
      <c r="AC1512" s="24">
        <f t="shared" ca="1" si="234"/>
        <v>1.6545389596703656E-2</v>
      </c>
      <c r="AD1512" s="24">
        <f t="shared" ca="1" si="235"/>
        <v>0</v>
      </c>
    </row>
    <row r="1513" spans="3:30" x14ac:dyDescent="0.25">
      <c r="C1513" s="6">
        <v>1506</v>
      </c>
      <c r="D1513" s="35">
        <v>44148</v>
      </c>
      <c r="E1513" s="37">
        <v>13.318</v>
      </c>
      <c r="F1513" s="37">
        <v>36.984395866835982</v>
      </c>
      <c r="G1513" s="37">
        <v>37.909999999999997</v>
      </c>
      <c r="H1513" s="37">
        <v>2.4058791304501495</v>
      </c>
      <c r="I1513" s="37">
        <v>55.245178353988216</v>
      </c>
      <c r="J1513" s="10">
        <v>0</v>
      </c>
      <c r="K1513" s="38">
        <v>0</v>
      </c>
      <c r="L1513" s="38">
        <v>0</v>
      </c>
      <c r="M1513" s="38">
        <v>0</v>
      </c>
      <c r="N1513" s="38">
        <v>0</v>
      </c>
      <c r="O1513" s="38">
        <v>0</v>
      </c>
      <c r="P1513" s="38">
        <v>0</v>
      </c>
      <c r="Q1513" s="38">
        <v>0</v>
      </c>
      <c r="R1513" s="38">
        <v>0</v>
      </c>
      <c r="S1513" s="38">
        <v>0</v>
      </c>
      <c r="T1513" s="38">
        <v>1</v>
      </c>
      <c r="U1513" s="29" cm="1">
        <f t="array" aca="1" ref="U1513" ca="1">+fair_value_gap(OFFSET(T1512,0,0,-1*$J$5,-1*$AA$1),OFFSET(E1512,0,0,-1*$J$5,1),F1513:T1513,0)</f>
        <v>13.475459211149978</v>
      </c>
      <c r="V1513" s="9" cm="1">
        <f t="array" aca="1" ref="V1513" ca="1">z_score_diff(OFFSET(U1513,0,0,$J$5*-1,1),OFFSET(E1513,0,0,$J$5*-1,1))</f>
        <v>-0.30732915298912566</v>
      </c>
      <c r="W1513" s="9">
        <f t="shared" ca="1" si="231"/>
        <v>-0.37911287754618272</v>
      </c>
      <c r="X1513" s="17">
        <f t="shared" ca="1" si="230"/>
        <v>4.3707151171309237E-2</v>
      </c>
      <c r="Y1513" s="13">
        <f t="shared" ref="Y1513:Z1528" si="238">+Y1512</f>
        <v>0</v>
      </c>
      <c r="Z1513" s="13">
        <f t="shared" si="238"/>
        <v>0</v>
      </c>
      <c r="AA1513">
        <f t="shared" ca="1" si="232"/>
        <v>1</v>
      </c>
      <c r="AB1513">
        <f t="shared" ca="1" si="233"/>
        <v>0</v>
      </c>
      <c r="AC1513" s="24">
        <f t="shared" ca="1" si="234"/>
        <v>4.3707151171309237E-2</v>
      </c>
      <c r="AD1513" s="24">
        <f t="shared" ca="1" si="235"/>
        <v>0</v>
      </c>
    </row>
    <row r="1514" spans="3:30" x14ac:dyDescent="0.25">
      <c r="C1514" s="6">
        <v>1507</v>
      </c>
      <c r="D1514" s="35">
        <v>44151</v>
      </c>
      <c r="E1514" s="37">
        <v>13.379</v>
      </c>
      <c r="F1514" s="37">
        <v>37.657772283509829</v>
      </c>
      <c r="G1514" s="37">
        <v>38.590000000000003</v>
      </c>
      <c r="H1514" s="37">
        <v>2.2925776119039236</v>
      </c>
      <c r="I1514" s="37">
        <v>55.633664922301961</v>
      </c>
      <c r="J1514" s="10">
        <v>0</v>
      </c>
      <c r="K1514" s="38">
        <v>0</v>
      </c>
      <c r="L1514" s="38">
        <v>0</v>
      </c>
      <c r="M1514" s="38">
        <v>0</v>
      </c>
      <c r="N1514" s="38">
        <v>0</v>
      </c>
      <c r="O1514" s="38">
        <v>0</v>
      </c>
      <c r="P1514" s="38">
        <v>0</v>
      </c>
      <c r="Q1514" s="38">
        <v>0</v>
      </c>
      <c r="R1514" s="38">
        <v>0</v>
      </c>
      <c r="S1514" s="38">
        <v>0</v>
      </c>
      <c r="T1514" s="38">
        <v>1</v>
      </c>
      <c r="U1514" s="29" cm="1">
        <f t="array" aca="1" ref="U1514" ca="1">+fair_value_gap(OFFSET(T1513,0,0,-1*$J$5,-1*$AA$1),OFFSET(E1513,0,0,-1*$J$5,1),F1514:T1514,0)</f>
        <v>13.58723240683608</v>
      </c>
      <c r="V1514" s="9" cm="1">
        <f t="array" aca="1" ref="V1514" ca="1">z_score_diff(OFFSET(U1514,0,0,$J$5*-1,1),OFFSET(E1514,0,0,$J$5*-1,1))</f>
        <v>-0.2853117440044004</v>
      </c>
      <c r="W1514" s="9">
        <f t="shared" ca="1" si="231"/>
        <v>-0.35803052464729507</v>
      </c>
      <c r="X1514" s="17">
        <f t="shared" ca="1" si="230"/>
        <v>6.2157896140126442E-2</v>
      </c>
      <c r="Y1514" s="13">
        <f t="shared" si="238"/>
        <v>0</v>
      </c>
      <c r="Z1514" s="13">
        <f t="shared" si="238"/>
        <v>0</v>
      </c>
      <c r="AA1514">
        <f t="shared" ca="1" si="232"/>
        <v>1</v>
      </c>
      <c r="AB1514">
        <f t="shared" ca="1" si="233"/>
        <v>0</v>
      </c>
      <c r="AC1514" s="24">
        <f t="shared" ca="1" si="234"/>
        <v>6.2157896140126442E-2</v>
      </c>
      <c r="AD1514" s="24">
        <f t="shared" ca="1" si="235"/>
        <v>0</v>
      </c>
    </row>
    <row r="1515" spans="3:30" x14ac:dyDescent="0.25">
      <c r="C1515" s="6">
        <v>1508</v>
      </c>
      <c r="D1515" s="35">
        <v>44152</v>
      </c>
      <c r="E1515" s="37">
        <v>13.045999999999999</v>
      </c>
      <c r="F1515" s="37">
        <v>37.611087422906088</v>
      </c>
      <c r="G1515" s="37">
        <v>38.15</v>
      </c>
      <c r="H1515" s="37">
        <v>2.2637157504926964</v>
      </c>
      <c r="I1515" s="37">
        <v>55.019120298404239</v>
      </c>
      <c r="J1515" s="10">
        <v>0</v>
      </c>
      <c r="K1515" s="38">
        <v>0</v>
      </c>
      <c r="L1515" s="38">
        <v>0</v>
      </c>
      <c r="M1515" s="38">
        <v>0</v>
      </c>
      <c r="N1515" s="38">
        <v>0</v>
      </c>
      <c r="O1515" s="38">
        <v>0</v>
      </c>
      <c r="P1515" s="38">
        <v>0</v>
      </c>
      <c r="Q1515" s="38">
        <v>0</v>
      </c>
      <c r="R1515" s="38">
        <v>0</v>
      </c>
      <c r="S1515" s="38">
        <v>0</v>
      </c>
      <c r="T1515" s="38">
        <v>1</v>
      </c>
      <c r="U1515" s="29" cm="1">
        <f t="array" aca="1" ref="U1515" ca="1">+fair_value_gap(OFFSET(T1514,0,0,-1*$J$5,-1*$AA$1),OFFSET(E1514,0,0,-1*$J$5,1),F1515:T1515,0)</f>
        <v>13.393199259329371</v>
      </c>
      <c r="V1515" s="9" cm="1">
        <f t="array" aca="1" ref="V1515" ca="1">z_score_diff(OFFSET(U1515,0,0,$J$5*-1,1),OFFSET(E1515,0,0,$J$5*-1,1))</f>
        <v>-0.20298096625434286</v>
      </c>
      <c r="W1515" s="9">
        <f t="shared" ca="1" si="231"/>
        <v>-0.33189305883518927</v>
      </c>
      <c r="X1515" s="17">
        <f t="shared" ca="1" si="230"/>
        <v>0.12038580831153187</v>
      </c>
      <c r="Y1515" s="13">
        <f t="shared" si="238"/>
        <v>0</v>
      </c>
      <c r="Z1515" s="13">
        <f t="shared" si="238"/>
        <v>0</v>
      </c>
      <c r="AA1515">
        <f t="shared" ca="1" si="232"/>
        <v>1</v>
      </c>
      <c r="AB1515">
        <f t="shared" ca="1" si="233"/>
        <v>0</v>
      </c>
      <c r="AC1515" s="24">
        <f t="shared" ca="1" si="234"/>
        <v>0.12038580831153187</v>
      </c>
      <c r="AD1515" s="24">
        <f t="shared" ca="1" si="235"/>
        <v>0</v>
      </c>
    </row>
    <row r="1516" spans="3:30" x14ac:dyDescent="0.25">
      <c r="C1516" s="6">
        <v>1509</v>
      </c>
      <c r="D1516" s="35">
        <v>44153</v>
      </c>
      <c r="E1516" s="37">
        <v>12.945</v>
      </c>
      <c r="F1516" s="37">
        <v>37.965014709552513</v>
      </c>
      <c r="G1516" s="37">
        <v>38.22</v>
      </c>
      <c r="H1516" s="37">
        <v>2.2553806879247222</v>
      </c>
      <c r="I1516" s="37">
        <v>55.166073830945614</v>
      </c>
      <c r="J1516" s="10">
        <v>0</v>
      </c>
      <c r="K1516" s="38">
        <v>0</v>
      </c>
      <c r="L1516" s="38">
        <v>0</v>
      </c>
      <c r="M1516" s="38">
        <v>0</v>
      </c>
      <c r="N1516" s="38">
        <v>0</v>
      </c>
      <c r="O1516" s="38">
        <v>0</v>
      </c>
      <c r="P1516" s="38">
        <v>0</v>
      </c>
      <c r="Q1516" s="38">
        <v>0</v>
      </c>
      <c r="R1516" s="38">
        <v>0</v>
      </c>
      <c r="S1516" s="38">
        <v>0</v>
      </c>
      <c r="T1516" s="38">
        <v>1</v>
      </c>
      <c r="U1516" s="29" cm="1">
        <f t="array" aca="1" ref="U1516" ca="1">+fair_value_gap(OFFSET(T1515,0,0,-1*$J$5,-1*$AA$1),OFFSET(E1515,0,0,-1*$J$5,1),F1516:T1516,0)</f>
        <v>13.345871412883124</v>
      </c>
      <c r="V1516" s="9" cm="1">
        <f t="array" aca="1" ref="V1516" ca="1">z_score_diff(OFFSET(U1516,0,0,$J$5*-1,1),OFFSET(E1516,0,0,$J$5*-1,1))</f>
        <v>-0.17423792002056387</v>
      </c>
      <c r="W1516" s="9">
        <f t="shared" ca="1" si="231"/>
        <v>-0.30274822113721495</v>
      </c>
      <c r="X1516" s="17">
        <f t="shared" ca="1" si="230"/>
        <v>9.0417440499088036E-2</v>
      </c>
      <c r="Y1516" s="13">
        <f t="shared" si="238"/>
        <v>0</v>
      </c>
      <c r="Z1516" s="13">
        <f t="shared" si="238"/>
        <v>0</v>
      </c>
      <c r="AA1516">
        <f t="shared" ca="1" si="232"/>
        <v>1</v>
      </c>
      <c r="AB1516">
        <f t="shared" ca="1" si="233"/>
        <v>0</v>
      </c>
      <c r="AC1516" s="24">
        <f t="shared" ca="1" si="234"/>
        <v>9.0417440499088036E-2</v>
      </c>
      <c r="AD1516" s="24">
        <f t="shared" ca="1" si="235"/>
        <v>0</v>
      </c>
    </row>
    <row r="1517" spans="3:30" x14ac:dyDescent="0.25">
      <c r="C1517" s="6">
        <v>1510</v>
      </c>
      <c r="D1517" s="35">
        <v>44154</v>
      </c>
      <c r="E1517" s="37">
        <v>12.33</v>
      </c>
      <c r="F1517" s="37">
        <v>37.725599082513426</v>
      </c>
      <c r="G1517" s="37">
        <v>37.159999999999997</v>
      </c>
      <c r="H1517" s="37">
        <v>2.177186240384164</v>
      </c>
      <c r="I1517" s="37">
        <v>56.085390636003297</v>
      </c>
      <c r="J1517" s="10">
        <v>0</v>
      </c>
      <c r="K1517" s="38">
        <v>0</v>
      </c>
      <c r="L1517" s="38">
        <v>0</v>
      </c>
      <c r="M1517" s="38">
        <v>0</v>
      </c>
      <c r="N1517" s="38">
        <v>0</v>
      </c>
      <c r="O1517" s="38">
        <v>0</v>
      </c>
      <c r="P1517" s="38">
        <v>0</v>
      </c>
      <c r="Q1517" s="38">
        <v>0</v>
      </c>
      <c r="R1517" s="38">
        <v>0</v>
      </c>
      <c r="S1517" s="38">
        <v>0</v>
      </c>
      <c r="T1517" s="38">
        <v>1</v>
      </c>
      <c r="U1517" s="29" cm="1">
        <f t="array" aca="1" ref="U1517" ca="1">+fair_value_gap(OFFSET(T1516,0,0,-1*$J$5,-1*$AA$1),OFFSET(E1516,0,0,-1*$J$5,1),F1517:T1517,0)</f>
        <v>13.018187241316586</v>
      </c>
      <c r="V1517" s="9" cm="1">
        <f t="array" aca="1" ref="V1517" ca="1">z_score_diff(OFFSET(U1517,0,0,$J$5*-1,1),OFFSET(E1517,0,0,$J$5*-1,1))</f>
        <v>4.7490085682692085E-3</v>
      </c>
      <c r="W1517" s="9">
        <f t="shared" ca="1" si="231"/>
        <v>-0.26109790489225582</v>
      </c>
      <c r="X1517" s="17">
        <f t="shared" ca="1" si="230"/>
        <v>0.12351587310971807</v>
      </c>
      <c r="Y1517" s="13">
        <f t="shared" si="238"/>
        <v>0</v>
      </c>
      <c r="Z1517" s="13">
        <f t="shared" si="238"/>
        <v>0</v>
      </c>
      <c r="AA1517">
        <f t="shared" ca="1" si="232"/>
        <v>1</v>
      </c>
      <c r="AB1517">
        <f t="shared" ca="1" si="233"/>
        <v>0</v>
      </c>
      <c r="AC1517" s="24">
        <f t="shared" ca="1" si="234"/>
        <v>0.12351587310971807</v>
      </c>
      <c r="AD1517" s="24">
        <f t="shared" ca="1" si="235"/>
        <v>0</v>
      </c>
    </row>
    <row r="1518" spans="3:30" x14ac:dyDescent="0.25">
      <c r="C1518" s="6">
        <v>1511</v>
      </c>
      <c r="D1518" s="35">
        <v>44155</v>
      </c>
      <c r="E1518" s="37">
        <v>12.221</v>
      </c>
      <c r="F1518" s="37">
        <v>38.181624285091701</v>
      </c>
      <c r="G1518" s="37">
        <v>36.729999999999997</v>
      </c>
      <c r="H1518" s="37">
        <v>2.1899642871237992</v>
      </c>
      <c r="I1518" s="37">
        <v>56.554484178599644</v>
      </c>
      <c r="J1518" s="10">
        <v>0</v>
      </c>
      <c r="K1518" s="38">
        <v>0</v>
      </c>
      <c r="L1518" s="38">
        <v>0</v>
      </c>
      <c r="M1518" s="38">
        <v>0</v>
      </c>
      <c r="N1518" s="38">
        <v>0</v>
      </c>
      <c r="O1518" s="38">
        <v>0</v>
      </c>
      <c r="P1518" s="38">
        <v>0</v>
      </c>
      <c r="Q1518" s="38">
        <v>0</v>
      </c>
      <c r="R1518" s="38">
        <v>0</v>
      </c>
      <c r="S1518" s="38">
        <v>0</v>
      </c>
      <c r="T1518" s="38">
        <v>1</v>
      </c>
      <c r="U1518" s="29" cm="1">
        <f t="array" aca="1" ref="U1518" ca="1">+fair_value_gap(OFFSET(T1517,0,0,-1*$J$5,-1*$AA$1),OFFSET(E1517,0,0,-1*$J$5,1),F1518:T1518,0)</f>
        <v>12.806467182588806</v>
      </c>
      <c r="V1518" s="9" cm="1">
        <f t="array" aca="1" ref="V1518" ca="1">z_score_diff(OFFSET(U1518,0,0,$J$5*-1,1),OFFSET(E1518,0,0,$J$5*-1,1))</f>
        <v>-4.9849265364070194E-2</v>
      </c>
      <c r="W1518" s="9">
        <f t="shared" ca="1" si="231"/>
        <v>-0.22219579796528918</v>
      </c>
      <c r="X1518" s="17">
        <f t="shared" ca="1" si="230"/>
        <v>0.13583011503682474</v>
      </c>
      <c r="Y1518" s="13">
        <f t="shared" si="238"/>
        <v>0</v>
      </c>
      <c r="Z1518" s="13">
        <f t="shared" si="238"/>
        <v>0</v>
      </c>
      <c r="AA1518">
        <f t="shared" ca="1" si="232"/>
        <v>1</v>
      </c>
      <c r="AB1518">
        <f t="shared" ca="1" si="233"/>
        <v>0</v>
      </c>
      <c r="AC1518" s="24">
        <f t="shared" ca="1" si="234"/>
        <v>0.13583011503682474</v>
      </c>
      <c r="AD1518" s="24">
        <f t="shared" ca="1" si="235"/>
        <v>0</v>
      </c>
    </row>
    <row r="1519" spans="3:30" x14ac:dyDescent="0.25">
      <c r="C1519" s="6">
        <v>1512</v>
      </c>
      <c r="D1519" s="35">
        <v>44158</v>
      </c>
      <c r="E1519" s="37">
        <v>12.571</v>
      </c>
      <c r="F1519" s="37">
        <v>38.805457995236367</v>
      </c>
      <c r="G1519" s="37">
        <v>37.83</v>
      </c>
      <c r="H1519" s="37">
        <v>2.21024585200436</v>
      </c>
      <c r="I1519" s="37">
        <v>57.316687524390083</v>
      </c>
      <c r="J1519" s="10">
        <v>0</v>
      </c>
      <c r="K1519" s="38">
        <v>0</v>
      </c>
      <c r="L1519" s="38">
        <v>0</v>
      </c>
      <c r="M1519" s="38">
        <v>0</v>
      </c>
      <c r="N1519" s="38">
        <v>0</v>
      </c>
      <c r="O1519" s="38">
        <v>0</v>
      </c>
      <c r="P1519" s="38">
        <v>0</v>
      </c>
      <c r="Q1519" s="38">
        <v>0</v>
      </c>
      <c r="R1519" s="38">
        <v>0</v>
      </c>
      <c r="S1519" s="38">
        <v>0</v>
      </c>
      <c r="T1519" s="38">
        <v>1</v>
      </c>
      <c r="U1519" s="29" cm="1">
        <f t="array" aca="1" ref="U1519" ca="1">+fair_value_gap(OFFSET(T1518,0,0,-1*$J$5,-1*$AA$1),OFFSET(E1518,0,0,-1*$J$5,1),F1519:T1519,0)</f>
        <v>13.069098642433175</v>
      </c>
      <c r="V1519" s="9" cm="1">
        <f t="array" aca="1" ref="V1519" ca="1">z_score_diff(OFFSET(U1519,0,0,$J$5*-1,1),OFFSET(E1519,0,0,$J$5*-1,1))</f>
        <v>-9.9940215800559784E-2</v>
      </c>
      <c r="W1519" s="9">
        <f t="shared" ca="1" si="231"/>
        <v>-0.19646599093524214</v>
      </c>
      <c r="X1519" s="17">
        <f t="shared" ca="1" si="230"/>
        <v>0.1461296888005576</v>
      </c>
      <c r="Y1519" s="13">
        <f t="shared" si="238"/>
        <v>0</v>
      </c>
      <c r="Z1519" s="13">
        <f t="shared" si="238"/>
        <v>0</v>
      </c>
      <c r="AA1519">
        <f t="shared" ca="1" si="232"/>
        <v>1</v>
      </c>
      <c r="AB1519">
        <f t="shared" ca="1" si="233"/>
        <v>0</v>
      </c>
      <c r="AC1519" s="24">
        <f t="shared" ca="1" si="234"/>
        <v>0.1461296888005576</v>
      </c>
      <c r="AD1519" s="24">
        <f t="shared" ca="1" si="235"/>
        <v>0</v>
      </c>
    </row>
    <row r="1520" spans="3:30" x14ac:dyDescent="0.25">
      <c r="C1520" s="6">
        <v>1513</v>
      </c>
      <c r="D1520" s="35">
        <v>44159</v>
      </c>
      <c r="E1520" s="37">
        <v>12.813000000000001</v>
      </c>
      <c r="F1520" s="37">
        <v>40.068075526312271</v>
      </c>
      <c r="G1520" s="37">
        <v>38.24</v>
      </c>
      <c r="H1520" s="37">
        <v>2.2429411843533495</v>
      </c>
      <c r="I1520" s="37">
        <v>59.842474840196729</v>
      </c>
      <c r="J1520" s="10">
        <v>0</v>
      </c>
      <c r="K1520" s="38">
        <v>0</v>
      </c>
      <c r="L1520" s="38">
        <v>0</v>
      </c>
      <c r="M1520" s="38">
        <v>0</v>
      </c>
      <c r="N1520" s="38">
        <v>0</v>
      </c>
      <c r="O1520" s="38">
        <v>0</v>
      </c>
      <c r="P1520" s="38">
        <v>0</v>
      </c>
      <c r="Q1520" s="38">
        <v>0</v>
      </c>
      <c r="R1520" s="38">
        <v>0</v>
      </c>
      <c r="S1520" s="38">
        <v>0</v>
      </c>
      <c r="T1520" s="38">
        <v>1</v>
      </c>
      <c r="U1520" s="29" cm="1">
        <f t="array" aca="1" ref="U1520" ca="1">+fair_value_gap(OFFSET(T1519,0,0,-1*$J$5,-1*$AA$1),OFFSET(E1519,0,0,-1*$J$5,1),F1520:T1520,0)</f>
        <v>13.231838909388028</v>
      </c>
      <c r="V1520" s="9" cm="1">
        <f t="array" aca="1" ref="V1520" ca="1">z_score_diff(OFFSET(U1520,0,0,$J$5*-1,1),OFFSET(E1520,0,0,$J$5*-1,1))</f>
        <v>-0.14400503724293173</v>
      </c>
      <c r="W1520" s="9">
        <f t="shared" ca="1" si="231"/>
        <v>-0.16814004602863675</v>
      </c>
      <c r="X1520" s="17">
        <f t="shared" ca="1" si="230"/>
        <v>0.16031952514563713</v>
      </c>
      <c r="Y1520" s="13">
        <f t="shared" si="238"/>
        <v>0</v>
      </c>
      <c r="Z1520" s="13">
        <f t="shared" si="238"/>
        <v>0</v>
      </c>
      <c r="AA1520">
        <f t="shared" ca="1" si="232"/>
        <v>1</v>
      </c>
      <c r="AB1520">
        <f t="shared" ca="1" si="233"/>
        <v>0</v>
      </c>
      <c r="AC1520" s="24">
        <f t="shared" ca="1" si="234"/>
        <v>0.16031952514563713</v>
      </c>
      <c r="AD1520" s="24">
        <f t="shared" ca="1" si="235"/>
        <v>0</v>
      </c>
    </row>
    <row r="1521" spans="3:30" x14ac:dyDescent="0.25">
      <c r="C1521" s="6">
        <v>1514</v>
      </c>
      <c r="D1521" s="35">
        <v>44160</v>
      </c>
      <c r="E1521" s="37">
        <v>12.923999999999999</v>
      </c>
      <c r="F1521" s="37">
        <v>40.593714408428923</v>
      </c>
      <c r="G1521" s="37">
        <v>39.229999999999997</v>
      </c>
      <c r="H1521" s="37">
        <v>2.2711757052719186</v>
      </c>
      <c r="I1521" s="37">
        <v>60.372496212618145</v>
      </c>
      <c r="J1521" s="10">
        <v>0</v>
      </c>
      <c r="K1521" s="38">
        <v>0</v>
      </c>
      <c r="L1521" s="38">
        <v>0</v>
      </c>
      <c r="M1521" s="38">
        <v>0</v>
      </c>
      <c r="N1521" s="38">
        <v>0</v>
      </c>
      <c r="O1521" s="38">
        <v>0</v>
      </c>
      <c r="P1521" s="38">
        <v>0</v>
      </c>
      <c r="Q1521" s="38">
        <v>0</v>
      </c>
      <c r="R1521" s="38">
        <v>0</v>
      </c>
      <c r="S1521" s="38">
        <v>0</v>
      </c>
      <c r="T1521" s="38">
        <v>1</v>
      </c>
      <c r="U1521" s="29" cm="1">
        <f t="array" aca="1" ref="U1521" ca="1">+fair_value_gap(OFFSET(T1520,0,0,-1*$J$5,-1*$AA$1),OFFSET(E1520,0,0,-1*$J$5,1),F1521:T1521,0)</f>
        <v>13.457503767952929</v>
      </c>
      <c r="V1521" s="9" cm="1">
        <f t="array" aca="1" ref="V1521" ca="1">z_score_diff(OFFSET(U1521,0,0,$J$5*-1,1),OFFSET(E1521,0,0,$J$5*-1,1))</f>
        <v>-7.1223920666032559E-2</v>
      </c>
      <c r="W1521" s="9">
        <f t="shared" ca="1" si="231"/>
        <v>-0.14413393265495672</v>
      </c>
      <c r="X1521" s="17">
        <f t="shared" ca="1" si="230"/>
        <v>0.15249125891611517</v>
      </c>
      <c r="Y1521" s="13">
        <f t="shared" si="238"/>
        <v>0</v>
      </c>
      <c r="Z1521" s="13">
        <f t="shared" si="238"/>
        <v>0</v>
      </c>
      <c r="AA1521">
        <f t="shared" ca="1" si="232"/>
        <v>1</v>
      </c>
      <c r="AB1521">
        <f t="shared" ca="1" si="233"/>
        <v>0</v>
      </c>
      <c r="AC1521" s="24">
        <f t="shared" ca="1" si="234"/>
        <v>0.15249125891611517</v>
      </c>
      <c r="AD1521" s="24">
        <f t="shared" ca="1" si="235"/>
        <v>0</v>
      </c>
    </row>
    <row r="1522" spans="3:30" x14ac:dyDescent="0.25">
      <c r="C1522" s="6">
        <v>1515</v>
      </c>
      <c r="D1522" s="35">
        <v>44161</v>
      </c>
      <c r="E1522" s="37">
        <v>12.827</v>
      </c>
      <c r="F1522" s="37">
        <v>40.058717117912394</v>
      </c>
      <c r="G1522" s="37">
        <v>39.18</v>
      </c>
      <c r="H1522" s="37">
        <v>2.2721117096512082</v>
      </c>
      <c r="I1522" s="37">
        <v>61.107934501656842</v>
      </c>
      <c r="J1522" s="10">
        <v>0</v>
      </c>
      <c r="K1522" s="38">
        <v>0</v>
      </c>
      <c r="L1522" s="38">
        <v>0</v>
      </c>
      <c r="M1522" s="38">
        <v>0</v>
      </c>
      <c r="N1522" s="38">
        <v>0</v>
      </c>
      <c r="O1522" s="38">
        <v>0</v>
      </c>
      <c r="P1522" s="38">
        <v>0</v>
      </c>
      <c r="Q1522" s="38">
        <v>0</v>
      </c>
      <c r="R1522" s="38">
        <v>0</v>
      </c>
      <c r="S1522" s="38">
        <v>0</v>
      </c>
      <c r="T1522" s="38">
        <v>1</v>
      </c>
      <c r="U1522" s="29" cm="1">
        <f t="array" aca="1" ref="U1522" ca="1">+fair_value_gap(OFFSET(T1521,0,0,-1*$J$5,-1*$AA$1),OFFSET(E1521,0,0,-1*$J$5,1),F1522:T1522,0)</f>
        <v>13.439368444437067</v>
      </c>
      <c r="V1522" s="9" cm="1">
        <f t="array" aca="1" ref="V1522" ca="1">z_score_diff(OFFSET(U1522,0,0,$J$5*-1,1),OFFSET(E1522,0,0,$J$5*-1,1))</f>
        <v>-1.8730944655178217E-2</v>
      </c>
      <c r="W1522" s="9">
        <f t="shared" ca="1" si="231"/>
        <v>-0.11922261369771887</v>
      </c>
      <c r="X1522" s="17">
        <f t="shared" ca="1" si="230"/>
        <v>0.16539154395461617</v>
      </c>
      <c r="Y1522" s="13">
        <f t="shared" si="238"/>
        <v>0</v>
      </c>
      <c r="Z1522" s="13">
        <f t="shared" si="238"/>
        <v>0</v>
      </c>
      <c r="AA1522">
        <f t="shared" ca="1" si="232"/>
        <v>1</v>
      </c>
      <c r="AB1522">
        <f t="shared" ca="1" si="233"/>
        <v>0</v>
      </c>
      <c r="AC1522" s="24">
        <f t="shared" ca="1" si="234"/>
        <v>0.16539154395461617</v>
      </c>
      <c r="AD1522" s="24">
        <f t="shared" ca="1" si="235"/>
        <v>0</v>
      </c>
    </row>
    <row r="1523" spans="3:30" x14ac:dyDescent="0.25">
      <c r="C1523" s="6">
        <v>1516</v>
      </c>
      <c r="D1523" s="35">
        <v>44162</v>
      </c>
      <c r="E1523" s="37">
        <v>13.129</v>
      </c>
      <c r="F1523" s="37">
        <v>40.346046861691988</v>
      </c>
      <c r="G1523" s="37">
        <v>39.65</v>
      </c>
      <c r="H1523" s="37">
        <v>2.2637412591196968</v>
      </c>
      <c r="I1523" s="37">
        <v>61.901126375707783</v>
      </c>
      <c r="J1523" s="10">
        <v>0</v>
      </c>
      <c r="K1523" s="38">
        <v>0</v>
      </c>
      <c r="L1523" s="38">
        <v>0</v>
      </c>
      <c r="M1523" s="38">
        <v>0</v>
      </c>
      <c r="N1523" s="38">
        <v>0</v>
      </c>
      <c r="O1523" s="38">
        <v>0</v>
      </c>
      <c r="P1523" s="38">
        <v>0</v>
      </c>
      <c r="Q1523" s="38">
        <v>0</v>
      </c>
      <c r="R1523" s="38">
        <v>0</v>
      </c>
      <c r="S1523" s="38">
        <v>0</v>
      </c>
      <c r="T1523" s="38">
        <v>1</v>
      </c>
      <c r="U1523" s="29" cm="1">
        <f t="array" aca="1" ref="U1523" ca="1">+fair_value_gap(OFFSET(T1522,0,0,-1*$J$5,-1*$AA$1),OFFSET(E1522,0,0,-1*$J$5,1),F1523:T1523,0)</f>
        <v>13.510916486955434</v>
      </c>
      <c r="V1523" s="9" cm="1">
        <f t="array" aca="1" ref="V1523" ca="1">z_score_diff(OFFSET(U1523,0,0,$J$5*-1,1),OFFSET(E1523,0,0,$J$5*-1,1))</f>
        <v>-0.15994378558735778</v>
      </c>
      <c r="W1523" s="9">
        <f t="shared" ca="1" si="231"/>
        <v>-0.12369679363588384</v>
      </c>
      <c r="X1523" s="17">
        <f t="shared" ca="1" si="230"/>
        <v>0.19632666409346131</v>
      </c>
      <c r="Y1523" s="13">
        <f t="shared" si="238"/>
        <v>0</v>
      </c>
      <c r="Z1523" s="13">
        <f t="shared" si="238"/>
        <v>0</v>
      </c>
      <c r="AA1523">
        <f t="shared" ca="1" si="232"/>
        <v>1</v>
      </c>
      <c r="AB1523">
        <f t="shared" ca="1" si="233"/>
        <v>0</v>
      </c>
      <c r="AC1523" s="24">
        <f t="shared" ca="1" si="234"/>
        <v>0.19632666409346131</v>
      </c>
      <c r="AD1523" s="24">
        <f t="shared" ca="1" si="235"/>
        <v>0</v>
      </c>
    </row>
    <row r="1524" spans="3:30" x14ac:dyDescent="0.25">
      <c r="C1524" s="6">
        <v>1517</v>
      </c>
      <c r="D1524" s="35">
        <v>44165</v>
      </c>
      <c r="E1524" s="37">
        <v>13.278</v>
      </c>
      <c r="F1524" s="37">
        <v>40.183639398998331</v>
      </c>
      <c r="G1524" s="37">
        <v>41.02</v>
      </c>
      <c r="H1524" s="37">
        <v>2.283806343906511</v>
      </c>
      <c r="I1524" s="37">
        <v>63.522537562604342</v>
      </c>
      <c r="J1524" s="10">
        <v>0</v>
      </c>
      <c r="K1524" s="38">
        <v>0</v>
      </c>
      <c r="L1524" s="38">
        <v>0</v>
      </c>
      <c r="M1524" s="38">
        <v>0</v>
      </c>
      <c r="N1524" s="38">
        <v>0</v>
      </c>
      <c r="O1524" s="38">
        <v>0</v>
      </c>
      <c r="P1524" s="38">
        <v>0</v>
      </c>
      <c r="Q1524" s="38">
        <v>0</v>
      </c>
      <c r="R1524" s="38">
        <v>0</v>
      </c>
      <c r="S1524" s="38">
        <v>0</v>
      </c>
      <c r="T1524" s="38">
        <v>1</v>
      </c>
      <c r="U1524" s="29" cm="1">
        <f t="array" aca="1" ref="U1524" ca="1">+fair_value_gap(OFFSET(T1523,0,0,-1*$J$5,-1*$AA$1),OFFSET(E1523,0,0,-1*$J$5,1),F1524:T1524,0)</f>
        <v>13.847109278688382</v>
      </c>
      <c r="V1524" s="9" cm="1">
        <f t="array" aca="1" ref="V1524" ca="1">z_score_diff(OFFSET(U1524,0,0,$J$5*-1,1),OFFSET(E1524,0,0,$J$5*-1,1))</f>
        <v>-4.3269513514260005E-2</v>
      </c>
      <c r="W1524" s="9">
        <f t="shared" ca="1" si="231"/>
        <v>-0.14021562879455107</v>
      </c>
      <c r="X1524" s="17">
        <f t="shared" ca="1" si="230"/>
        <v>0.17838501422845385</v>
      </c>
      <c r="Y1524" s="13">
        <f t="shared" si="238"/>
        <v>0</v>
      </c>
      <c r="Z1524" s="13">
        <f t="shared" si="238"/>
        <v>0</v>
      </c>
      <c r="AA1524">
        <f t="shared" ca="1" si="232"/>
        <v>1</v>
      </c>
      <c r="AB1524">
        <f t="shared" ca="1" si="233"/>
        <v>0</v>
      </c>
      <c r="AC1524" s="24">
        <f t="shared" ca="1" si="234"/>
        <v>0.17838501422845385</v>
      </c>
      <c r="AD1524" s="24">
        <f t="shared" ca="1" si="235"/>
        <v>0</v>
      </c>
    </row>
    <row r="1525" spans="3:30" x14ac:dyDescent="0.25">
      <c r="C1525" s="6">
        <v>1518</v>
      </c>
      <c r="D1525" s="35">
        <v>44166</v>
      </c>
      <c r="E1525" s="37">
        <v>13.180999999999999</v>
      </c>
      <c r="F1525" s="37">
        <v>39.123378900271689</v>
      </c>
      <c r="G1525" s="37">
        <v>41.22</v>
      </c>
      <c r="H1525" s="37">
        <v>2.2672088827065924</v>
      </c>
      <c r="I1525" s="37">
        <v>62.744263293244664</v>
      </c>
      <c r="J1525" s="10">
        <v>0</v>
      </c>
      <c r="K1525" s="38">
        <v>0</v>
      </c>
      <c r="L1525" s="38">
        <v>0</v>
      </c>
      <c r="M1525" s="38">
        <v>0</v>
      </c>
      <c r="N1525" s="38">
        <v>0</v>
      </c>
      <c r="O1525" s="38">
        <v>0</v>
      </c>
      <c r="P1525" s="38">
        <v>0</v>
      </c>
      <c r="Q1525" s="38">
        <v>0</v>
      </c>
      <c r="R1525" s="38">
        <v>0</v>
      </c>
      <c r="S1525" s="38">
        <v>0</v>
      </c>
      <c r="T1525" s="38">
        <v>0</v>
      </c>
      <c r="U1525" s="29" cm="1">
        <f t="array" aca="1" ref="U1525" ca="1">+fair_value_gap(OFFSET(T1524,0,0,-1*$J$5,-1*$AA$1),OFFSET(E1524,0,0,-1*$J$5,1),F1525:T1525,0)</f>
        <v>12.898988109118175</v>
      </c>
      <c r="V1525" s="9" cm="1">
        <f t="array" aca="1" ref="V1525" ca="1">z_score_diff(OFFSET(U1525,0,0,$J$5*-1,1),OFFSET(E1525,0,0,$J$5*-1,1))</f>
        <v>-0.56644067004250676</v>
      </c>
      <c r="W1525" s="9">
        <f t="shared" ca="1" si="231"/>
        <v>-0.17210936581084302</v>
      </c>
      <c r="X1525" s="17">
        <f t="shared" ca="1" si="230"/>
        <v>0.18766848874896316</v>
      </c>
      <c r="Y1525" s="13">
        <f t="shared" si="238"/>
        <v>0</v>
      </c>
      <c r="Z1525" s="13">
        <f t="shared" si="238"/>
        <v>0</v>
      </c>
      <c r="AA1525">
        <f t="shared" ca="1" si="232"/>
        <v>1</v>
      </c>
      <c r="AB1525">
        <f t="shared" ca="1" si="233"/>
        <v>0</v>
      </c>
      <c r="AC1525" s="24">
        <f t="shared" ca="1" si="234"/>
        <v>0.18766848874896316</v>
      </c>
      <c r="AD1525" s="24">
        <f t="shared" ca="1" si="235"/>
        <v>0</v>
      </c>
    </row>
    <row r="1526" spans="3:30" x14ac:dyDescent="0.25">
      <c r="C1526" s="6">
        <v>1519</v>
      </c>
      <c r="D1526" s="35">
        <v>44167</v>
      </c>
      <c r="E1526" s="37">
        <v>13.019</v>
      </c>
      <c r="F1526" s="37">
        <v>39.521790448146675</v>
      </c>
      <c r="G1526" s="37">
        <v>40.869999999999997</v>
      </c>
      <c r="H1526" s="37">
        <v>2.2216099063567984</v>
      </c>
      <c r="I1526" s="37">
        <v>63.045686531746988</v>
      </c>
      <c r="J1526" s="10">
        <v>0</v>
      </c>
      <c r="K1526" s="38">
        <v>0</v>
      </c>
      <c r="L1526" s="38">
        <v>0</v>
      </c>
      <c r="M1526" s="38">
        <v>0</v>
      </c>
      <c r="N1526" s="38">
        <v>0</v>
      </c>
      <c r="O1526" s="38">
        <v>0</v>
      </c>
      <c r="P1526" s="38">
        <v>0</v>
      </c>
      <c r="Q1526" s="38">
        <v>0</v>
      </c>
      <c r="R1526" s="38">
        <v>0</v>
      </c>
      <c r="S1526" s="38">
        <v>0</v>
      </c>
      <c r="T1526" s="38">
        <v>0</v>
      </c>
      <c r="U1526" s="29" cm="1">
        <f t="array" aca="1" ref="U1526" ca="1">+fair_value_gap(OFFSET(T1525,0,0,-1*$J$5,-1*$AA$1),OFFSET(E1525,0,0,-1*$J$5,1),F1526:T1526,0)</f>
        <v>12.837856591167533</v>
      </c>
      <c r="V1526" s="9" cm="1">
        <f t="array" aca="1" ref="V1526" ca="1">z_score_diff(OFFSET(U1526,0,0,$J$5*-1,1),OFFSET(E1526,0,0,$J$5*-1,1))</f>
        <v>-0.50005521546399923</v>
      </c>
      <c r="W1526" s="9">
        <f t="shared" ca="1" si="231"/>
        <v>-0.19129608552352736</v>
      </c>
      <c r="X1526" s="17">
        <f t="shared" ca="1" si="230"/>
        <v>0.20273547154676097</v>
      </c>
      <c r="Y1526" s="13">
        <f t="shared" si="238"/>
        <v>0</v>
      </c>
      <c r="Z1526" s="13">
        <f t="shared" si="238"/>
        <v>0</v>
      </c>
      <c r="AA1526">
        <f t="shared" ca="1" si="232"/>
        <v>1</v>
      </c>
      <c r="AB1526">
        <f t="shared" ca="1" si="233"/>
        <v>0</v>
      </c>
      <c r="AC1526" s="24">
        <f t="shared" ca="1" si="234"/>
        <v>0.20273547154676097</v>
      </c>
      <c r="AD1526" s="24">
        <f t="shared" ca="1" si="235"/>
        <v>0</v>
      </c>
    </row>
    <row r="1527" spans="3:30" x14ac:dyDescent="0.25">
      <c r="C1527" s="6">
        <v>1520</v>
      </c>
      <c r="D1527" s="35">
        <v>44168</v>
      </c>
      <c r="E1527" s="37">
        <v>12.442</v>
      </c>
      <c r="F1527" s="37">
        <v>39.65006928103503</v>
      </c>
      <c r="G1527" s="37">
        <v>40.409999999999997</v>
      </c>
      <c r="H1527" s="37">
        <v>2.0489148704157683</v>
      </c>
      <c r="I1527" s="37">
        <v>62.721883788237797</v>
      </c>
      <c r="J1527" s="10">
        <v>0</v>
      </c>
      <c r="K1527" s="38">
        <v>0</v>
      </c>
      <c r="L1527" s="38">
        <v>0</v>
      </c>
      <c r="M1527" s="38">
        <v>0</v>
      </c>
      <c r="N1527" s="38">
        <v>0</v>
      </c>
      <c r="O1527" s="38">
        <v>0</v>
      </c>
      <c r="P1527" s="38">
        <v>0</v>
      </c>
      <c r="Q1527" s="38">
        <v>0</v>
      </c>
      <c r="R1527" s="38">
        <v>0</v>
      </c>
      <c r="S1527" s="38">
        <v>0</v>
      </c>
      <c r="T1527" s="38">
        <v>0</v>
      </c>
      <c r="U1527" s="29" cm="1">
        <f t="array" aca="1" ref="U1527" ca="1">+fair_value_gap(OFFSET(T1526,0,0,-1*$J$5,-1*$AA$1),OFFSET(E1526,0,0,-1*$J$5,1),F1527:T1527,0)</f>
        <v>12.5727252083941</v>
      </c>
      <c r="V1527" s="9" cm="1">
        <f t="array" aca="1" ref="V1527" ca="1">z_score_diff(OFFSET(U1527,0,0,$J$5*-1,1),OFFSET(E1527,0,0,$J$5*-1,1))</f>
        <v>-0.30516083930555959</v>
      </c>
      <c r="W1527" s="9">
        <f t="shared" ca="1" si="231"/>
        <v>-0.19411407797993119</v>
      </c>
      <c r="X1527" s="17">
        <f t="shared" ca="1" si="230"/>
        <v>0.26362470653046449</v>
      </c>
      <c r="Y1527" s="13">
        <f t="shared" si="238"/>
        <v>0</v>
      </c>
      <c r="Z1527" s="13">
        <f t="shared" si="238"/>
        <v>0</v>
      </c>
      <c r="AA1527">
        <f t="shared" ca="1" si="232"/>
        <v>1</v>
      </c>
      <c r="AB1527">
        <f t="shared" ca="1" si="233"/>
        <v>0</v>
      </c>
      <c r="AC1527" s="24">
        <f t="shared" ca="1" si="234"/>
        <v>0.26362470653046449</v>
      </c>
      <c r="AD1527" s="24">
        <f t="shared" ca="1" si="235"/>
        <v>0</v>
      </c>
    </row>
    <row r="1528" spans="3:30" x14ac:dyDescent="0.25">
      <c r="C1528" s="6">
        <v>1521</v>
      </c>
      <c r="D1528" s="35">
        <v>44169</v>
      </c>
      <c r="E1528" s="37">
        <v>12.795999999999999</v>
      </c>
      <c r="F1528" s="37">
        <v>40.271003645092684</v>
      </c>
      <c r="G1528" s="37">
        <v>40.869999999999997</v>
      </c>
      <c r="H1528" s="37">
        <v>2.1055606352993177</v>
      </c>
      <c r="I1528" s="37">
        <v>63.380414753547548</v>
      </c>
      <c r="J1528" s="10">
        <v>0</v>
      </c>
      <c r="K1528" s="38">
        <v>0</v>
      </c>
      <c r="L1528" s="38">
        <v>0</v>
      </c>
      <c r="M1528" s="38">
        <v>0</v>
      </c>
      <c r="N1528" s="38">
        <v>0</v>
      </c>
      <c r="O1528" s="38">
        <v>0</v>
      </c>
      <c r="P1528" s="38">
        <v>0</v>
      </c>
      <c r="Q1528" s="38">
        <v>0</v>
      </c>
      <c r="R1528" s="38">
        <v>0</v>
      </c>
      <c r="S1528" s="38">
        <v>0</v>
      </c>
      <c r="T1528" s="38">
        <v>0</v>
      </c>
      <c r="U1528" s="29" cm="1">
        <f t="array" aca="1" ref="U1528" ca="1">+fair_value_gap(OFFSET(T1527,0,0,-1*$J$5,-1*$AA$1),OFFSET(E1527,0,0,-1*$J$5,1),F1528:T1528,0)</f>
        <v>12.690465999612849</v>
      </c>
      <c r="V1528" s="9" cm="1">
        <f t="array" aca="1" ref="V1528" ca="1">z_score_diff(OFFSET(U1528,0,0,$J$5*-1,1),OFFSET(E1528,0,0,$J$5*-1,1))</f>
        <v>-0.45090637007333378</v>
      </c>
      <c r="W1528" s="9">
        <f t="shared" ca="1" si="231"/>
        <v>-0.21258967217210517</v>
      </c>
      <c r="X1528" s="17">
        <f t="shared" ca="1" si="230"/>
        <v>0.19415601444095756</v>
      </c>
      <c r="Y1528" s="13">
        <f t="shared" si="238"/>
        <v>0</v>
      </c>
      <c r="Z1528" s="13">
        <f t="shared" si="238"/>
        <v>0</v>
      </c>
      <c r="AA1528">
        <f t="shared" ca="1" si="232"/>
        <v>1</v>
      </c>
      <c r="AB1528">
        <f t="shared" ca="1" si="233"/>
        <v>0</v>
      </c>
      <c r="AC1528" s="24">
        <f t="shared" ca="1" si="234"/>
        <v>0.19415601444095756</v>
      </c>
      <c r="AD1528" s="24">
        <f t="shared" ca="1" si="235"/>
        <v>0</v>
      </c>
    </row>
    <row r="1529" spans="3:30" x14ac:dyDescent="0.25">
      <c r="C1529" s="6">
        <v>1522</v>
      </c>
      <c r="D1529" s="35">
        <v>44172</v>
      </c>
      <c r="E1529" s="37">
        <v>12.603999999999999</v>
      </c>
      <c r="F1529" s="37">
        <v>40.106215723773367</v>
      </c>
      <c r="G1529" s="37">
        <v>40.72</v>
      </c>
      <c r="H1529" s="37">
        <v>2.0324317927231874</v>
      </c>
      <c r="I1529" s="37">
        <v>62.871424239111946</v>
      </c>
      <c r="J1529" s="10">
        <v>0</v>
      </c>
      <c r="K1529" s="38">
        <v>0</v>
      </c>
      <c r="L1529" s="38">
        <v>0</v>
      </c>
      <c r="M1529" s="38">
        <v>0</v>
      </c>
      <c r="N1529" s="38">
        <v>0</v>
      </c>
      <c r="O1529" s="38">
        <v>0</v>
      </c>
      <c r="P1529" s="38">
        <v>0</v>
      </c>
      <c r="Q1529" s="38">
        <v>0</v>
      </c>
      <c r="R1529" s="38">
        <v>0</v>
      </c>
      <c r="S1529" s="38">
        <v>0</v>
      </c>
      <c r="T1529" s="38">
        <v>0</v>
      </c>
      <c r="U1529" s="29" cm="1">
        <f t="array" aca="1" ref="U1529" ca="1">+fair_value_gap(OFFSET(T1528,0,0,-1*$J$5,-1*$AA$1),OFFSET(E1528,0,0,-1*$J$5,1),F1529:T1529,0)</f>
        <v>12.587412697180936</v>
      </c>
      <c r="V1529" s="9" cm="1">
        <f t="array" aca="1" ref="V1529" ca="1">z_score_diff(OFFSET(U1529,0,0,$J$5*-1,1),OFFSET(E1529,0,0,$J$5*-1,1))</f>
        <v>-0.39391509930580221</v>
      </c>
      <c r="W1529" s="9">
        <f t="shared" ca="1" si="231"/>
        <v>-0.22362137274426203</v>
      </c>
      <c r="X1529" s="17">
        <f t="shared" ca="1" si="230"/>
        <v>0.19573223528894232</v>
      </c>
      <c r="Y1529" s="13">
        <f t="shared" ref="Y1529:Z1544" si="239">+Y1528</f>
        <v>0</v>
      </c>
      <c r="Z1529" s="13">
        <f t="shared" si="239"/>
        <v>0</v>
      </c>
      <c r="AA1529">
        <f t="shared" ca="1" si="232"/>
        <v>1</v>
      </c>
      <c r="AB1529">
        <f t="shared" ca="1" si="233"/>
        <v>0</v>
      </c>
      <c r="AC1529" s="24">
        <f t="shared" ca="1" si="234"/>
        <v>0.19573223528894232</v>
      </c>
      <c r="AD1529" s="24">
        <f t="shared" ca="1" si="235"/>
        <v>0</v>
      </c>
    </row>
    <row r="1530" spans="3:30" x14ac:dyDescent="0.25">
      <c r="C1530" s="6">
        <v>1523</v>
      </c>
      <c r="D1530" s="35">
        <v>44173</v>
      </c>
      <c r="E1530" s="37">
        <v>12.702999999999999</v>
      </c>
      <c r="F1530" s="37">
        <v>40.131221942676738</v>
      </c>
      <c r="G1530" s="37">
        <v>40.75</v>
      </c>
      <c r="H1530" s="37">
        <v>2.0563037508427473</v>
      </c>
      <c r="I1530" s="37">
        <v>62.445529738707194</v>
      </c>
      <c r="J1530" s="10">
        <v>0</v>
      </c>
      <c r="K1530" s="38">
        <v>0</v>
      </c>
      <c r="L1530" s="38">
        <v>0</v>
      </c>
      <c r="M1530" s="38">
        <v>0</v>
      </c>
      <c r="N1530" s="38">
        <v>0</v>
      </c>
      <c r="O1530" s="38">
        <v>0</v>
      </c>
      <c r="P1530" s="38">
        <v>0</v>
      </c>
      <c r="Q1530" s="38">
        <v>0</v>
      </c>
      <c r="R1530" s="38">
        <v>0</v>
      </c>
      <c r="S1530" s="38">
        <v>0</v>
      </c>
      <c r="T1530" s="38">
        <v>0</v>
      </c>
      <c r="U1530" s="29" cm="1">
        <f t="array" aca="1" ref="U1530" ca="1">+fair_value_gap(OFFSET(T1529,0,0,-1*$J$5,-1*$AA$1),OFFSET(E1529,0,0,-1*$J$5,1),F1530:T1530,0)</f>
        <v>12.608662286315166</v>
      </c>
      <c r="V1530" s="9" cm="1">
        <f t="array" aca="1" ref="V1530" ca="1">z_score_diff(OFFSET(U1530,0,0,$J$5*-1,1),OFFSET(E1530,0,0,$J$5*-1,1))</f>
        <v>-0.44324049567058466</v>
      </c>
      <c r="W1530" s="9">
        <f t="shared" ca="1" si="231"/>
        <v>-0.23294023505812059</v>
      </c>
      <c r="X1530" s="17">
        <f t="shared" ca="1" si="230"/>
        <v>0.24304959178547464</v>
      </c>
      <c r="Y1530" s="13">
        <f t="shared" si="239"/>
        <v>0</v>
      </c>
      <c r="Z1530" s="13">
        <f t="shared" si="239"/>
        <v>0</v>
      </c>
      <c r="AA1530">
        <f t="shared" ca="1" si="232"/>
        <v>1</v>
      </c>
      <c r="AB1530">
        <f t="shared" ca="1" si="233"/>
        <v>0</v>
      </c>
      <c r="AC1530" s="24">
        <f t="shared" ca="1" si="234"/>
        <v>0.24304959178547464</v>
      </c>
      <c r="AD1530" s="24">
        <f t="shared" ca="1" si="235"/>
        <v>0</v>
      </c>
    </row>
    <row r="1531" spans="3:30" x14ac:dyDescent="0.25">
      <c r="C1531" s="6">
        <v>1524</v>
      </c>
      <c r="D1531" s="35">
        <v>44174</v>
      </c>
      <c r="E1531" s="37">
        <v>12.897</v>
      </c>
      <c r="F1531" s="37">
        <v>40.098689252463522</v>
      </c>
      <c r="G1531" s="37">
        <v>41.53</v>
      </c>
      <c r="H1531" s="37">
        <v>2.0914606108251625</v>
      </c>
      <c r="I1531" s="37">
        <v>63.534914536887328</v>
      </c>
      <c r="J1531" s="10">
        <v>0</v>
      </c>
      <c r="K1531" s="38">
        <v>0</v>
      </c>
      <c r="L1531" s="38">
        <v>0</v>
      </c>
      <c r="M1531" s="38">
        <v>0</v>
      </c>
      <c r="N1531" s="38">
        <v>0</v>
      </c>
      <c r="O1531" s="38">
        <v>0</v>
      </c>
      <c r="P1531" s="38">
        <v>0</v>
      </c>
      <c r="Q1531" s="38">
        <v>0</v>
      </c>
      <c r="R1531" s="38">
        <v>0</v>
      </c>
      <c r="S1531" s="38">
        <v>0</v>
      </c>
      <c r="T1531" s="38">
        <v>0</v>
      </c>
      <c r="U1531" s="29" cm="1">
        <f t="array" aca="1" ref="U1531" ca="1">+fair_value_gap(OFFSET(T1530,0,0,-1*$J$5,-1*$AA$1),OFFSET(E1530,0,0,-1*$J$5,1),F1531:T1531,0)</f>
        <v>12.842618693734501</v>
      </c>
      <c r="V1531" s="9" cm="1">
        <f t="array" aca="1" ref="V1531" ca="1">z_score_diff(OFFSET(U1531,0,0,$J$5*-1,1),OFFSET(E1531,0,0,$J$5*-1,1))</f>
        <v>-0.42091722834214124</v>
      </c>
      <c r="W1531" s="9">
        <f t="shared" ca="1" si="231"/>
        <v>-0.24486033644056815</v>
      </c>
      <c r="X1531" s="17">
        <f t="shared" ca="1" si="230"/>
        <v>0.2409571155152366</v>
      </c>
      <c r="Y1531" s="13">
        <f t="shared" si="239"/>
        <v>0</v>
      </c>
      <c r="Z1531" s="13">
        <f t="shared" si="239"/>
        <v>0</v>
      </c>
      <c r="AA1531">
        <f t="shared" ca="1" si="232"/>
        <v>1</v>
      </c>
      <c r="AB1531">
        <f t="shared" ca="1" si="233"/>
        <v>0</v>
      </c>
      <c r="AC1531" s="24">
        <f t="shared" ca="1" si="234"/>
        <v>0.2409571155152366</v>
      </c>
      <c r="AD1531" s="24">
        <f t="shared" ca="1" si="235"/>
        <v>0</v>
      </c>
    </row>
    <row r="1532" spans="3:30" x14ac:dyDescent="0.25">
      <c r="C1532" s="6">
        <v>1525</v>
      </c>
      <c r="D1532" s="35">
        <v>44175</v>
      </c>
      <c r="E1532" s="37">
        <v>13.468</v>
      </c>
      <c r="F1532" s="37">
        <v>40.854364854089212</v>
      </c>
      <c r="G1532" s="37">
        <v>42.25</v>
      </c>
      <c r="H1532" s="37">
        <v>2.166593927302201</v>
      </c>
      <c r="I1532" s="37">
        <v>64.563022369815684</v>
      </c>
      <c r="J1532" s="10">
        <v>0</v>
      </c>
      <c r="K1532" s="38">
        <v>0</v>
      </c>
      <c r="L1532" s="38">
        <v>0</v>
      </c>
      <c r="M1532" s="38">
        <v>0</v>
      </c>
      <c r="N1532" s="38">
        <v>0</v>
      </c>
      <c r="O1532" s="38">
        <v>0</v>
      </c>
      <c r="P1532" s="38">
        <v>0</v>
      </c>
      <c r="Q1532" s="38">
        <v>0</v>
      </c>
      <c r="R1532" s="38">
        <v>0</v>
      </c>
      <c r="S1532" s="38">
        <v>0</v>
      </c>
      <c r="T1532" s="38">
        <v>0</v>
      </c>
      <c r="U1532" s="29" cm="1">
        <f t="array" aca="1" ref="U1532" ca="1">+fair_value_gap(OFFSET(T1531,0,0,-1*$J$5,-1*$AA$1),OFFSET(E1531,0,0,-1*$J$5,1),F1532:T1532,0)</f>
        <v>13.082160642609058</v>
      </c>
      <c r="V1532" s="9" cm="1">
        <f t="array" aca="1" ref="V1532" ca="1">z_score_diff(OFFSET(U1532,0,0,$J$5*-1,1),OFFSET(E1532,0,0,$J$5*-1,1))</f>
        <v>-0.63153372847604816</v>
      </c>
      <c r="W1532" s="9">
        <f t="shared" ca="1" si="231"/>
        <v>-0.26321215521052649</v>
      </c>
      <c r="X1532" s="17">
        <f t="shared" ca="1" si="230"/>
        <v>0.22557599296326428</v>
      </c>
      <c r="Y1532" s="13">
        <f t="shared" si="239"/>
        <v>0</v>
      </c>
      <c r="Z1532" s="13">
        <f t="shared" si="239"/>
        <v>0</v>
      </c>
      <c r="AA1532">
        <f t="shared" ca="1" si="232"/>
        <v>1</v>
      </c>
      <c r="AB1532">
        <f t="shared" ca="1" si="233"/>
        <v>0</v>
      </c>
      <c r="AC1532" s="24">
        <f t="shared" ca="1" si="234"/>
        <v>0.22557599296326428</v>
      </c>
      <c r="AD1532" s="24">
        <f t="shared" ca="1" si="235"/>
        <v>0</v>
      </c>
    </row>
    <row r="1533" spans="3:30" x14ac:dyDescent="0.25">
      <c r="C1533" s="6">
        <v>1526</v>
      </c>
      <c r="D1533" s="35">
        <v>44176</v>
      </c>
      <c r="E1533" s="37">
        <v>13.913</v>
      </c>
      <c r="F1533" s="37">
        <v>40.780098128652085</v>
      </c>
      <c r="G1533" s="37">
        <v>42.27</v>
      </c>
      <c r="H1533" s="37">
        <v>2.1844720037476271</v>
      </c>
      <c r="I1533" s="37">
        <v>67.144982206990647</v>
      </c>
      <c r="J1533" s="10">
        <v>0</v>
      </c>
      <c r="K1533" s="38">
        <v>0</v>
      </c>
      <c r="L1533" s="38">
        <v>0</v>
      </c>
      <c r="M1533" s="38">
        <v>0</v>
      </c>
      <c r="N1533" s="38">
        <v>0</v>
      </c>
      <c r="O1533" s="38">
        <v>0</v>
      </c>
      <c r="P1533" s="38">
        <v>0</v>
      </c>
      <c r="Q1533" s="38">
        <v>0</v>
      </c>
      <c r="R1533" s="38">
        <v>0</v>
      </c>
      <c r="S1533" s="38">
        <v>0</v>
      </c>
      <c r="T1533" s="38">
        <v>0</v>
      </c>
      <c r="U1533" s="29" cm="1">
        <f t="array" aca="1" ref="U1533" ca="1">+fair_value_gap(OFFSET(T1532,0,0,-1*$J$5,-1*$AA$1),OFFSET(E1532,0,0,-1*$J$5,1),F1533:T1533,0)</f>
        <v>13.20892119822809</v>
      </c>
      <c r="V1533" s="9" cm="1">
        <f t="array" aca="1" ref="V1533" ca="1">z_score_diff(OFFSET(U1533,0,0,$J$5*-1,1),OFFSET(E1533,0,0,$J$5*-1,1))</f>
        <v>-0.82912549496018784</v>
      </c>
      <c r="W1533" s="9">
        <f t="shared" ca="1" si="231"/>
        <v>-0.28930197230907956</v>
      </c>
      <c r="X1533" s="17">
        <f t="shared" ca="1" si="230"/>
        <v>0.23069064886654228</v>
      </c>
      <c r="Y1533" s="13">
        <f t="shared" si="239"/>
        <v>0</v>
      </c>
      <c r="Z1533" s="13">
        <f t="shared" si="239"/>
        <v>0</v>
      </c>
      <c r="AA1533">
        <f t="shared" ca="1" si="232"/>
        <v>1</v>
      </c>
      <c r="AB1533">
        <f t="shared" ca="1" si="233"/>
        <v>0</v>
      </c>
      <c r="AC1533" s="24">
        <f t="shared" ca="1" si="234"/>
        <v>0.23069064886654228</v>
      </c>
      <c r="AD1533" s="24">
        <f t="shared" ca="1" si="235"/>
        <v>0</v>
      </c>
    </row>
    <row r="1534" spans="3:30" x14ac:dyDescent="0.25">
      <c r="C1534" s="6">
        <v>1527</v>
      </c>
      <c r="D1534" s="35">
        <v>44179</v>
      </c>
      <c r="E1534" s="37">
        <v>14.237</v>
      </c>
      <c r="F1534" s="37">
        <v>41.011928134445021</v>
      </c>
      <c r="G1534" s="37">
        <v>43.87</v>
      </c>
      <c r="H1534" s="37">
        <v>2.2264320770168435</v>
      </c>
      <c r="I1534" s="37">
        <v>67.916015309589639</v>
      </c>
      <c r="J1534" s="10">
        <v>0</v>
      </c>
      <c r="K1534" s="38">
        <v>0</v>
      </c>
      <c r="L1534" s="38">
        <v>0</v>
      </c>
      <c r="M1534" s="38">
        <v>0</v>
      </c>
      <c r="N1534" s="38">
        <v>0</v>
      </c>
      <c r="O1534" s="38">
        <v>0</v>
      </c>
      <c r="P1534" s="38">
        <v>0</v>
      </c>
      <c r="Q1534" s="38">
        <v>0</v>
      </c>
      <c r="R1534" s="38">
        <v>0</v>
      </c>
      <c r="S1534" s="38">
        <v>0</v>
      </c>
      <c r="T1534" s="38">
        <v>0</v>
      </c>
      <c r="U1534" s="29" cm="1">
        <f t="array" aca="1" ref="U1534" ca="1">+fair_value_gap(OFFSET(T1533,0,0,-1*$J$5,-1*$AA$1),OFFSET(E1533,0,0,-1*$J$5,1),F1534:T1534,0)</f>
        <v>13.676592722361065</v>
      </c>
      <c r="V1534" s="9" cm="1">
        <f t="array" aca="1" ref="V1534" ca="1">z_score_diff(OFFSET(U1534,0,0,$J$5*-1,1),OFFSET(E1534,0,0,$J$5*-1,1))</f>
        <v>-0.73171849232410446</v>
      </c>
      <c r="W1534" s="9">
        <f t="shared" ca="1" si="231"/>
        <v>-0.31162230972506472</v>
      </c>
      <c r="X1534" s="17">
        <f t="shared" ca="1" si="230"/>
        <v>0.15211165644546384</v>
      </c>
      <c r="Y1534" s="13">
        <f t="shared" si="239"/>
        <v>0</v>
      </c>
      <c r="Z1534" s="13">
        <f t="shared" si="239"/>
        <v>0</v>
      </c>
      <c r="AA1534">
        <f t="shared" ca="1" si="232"/>
        <v>1</v>
      </c>
      <c r="AB1534">
        <f t="shared" ca="1" si="233"/>
        <v>0</v>
      </c>
      <c r="AC1534" s="24">
        <f t="shared" ca="1" si="234"/>
        <v>0.15211165644546384</v>
      </c>
      <c r="AD1534" s="24">
        <f t="shared" ca="1" si="235"/>
        <v>0</v>
      </c>
    </row>
    <row r="1535" spans="3:30" x14ac:dyDescent="0.25">
      <c r="C1535" s="6">
        <v>1528</v>
      </c>
      <c r="D1535" s="35">
        <v>44180</v>
      </c>
      <c r="E1535" s="37">
        <v>14.715</v>
      </c>
      <c r="F1535" s="37">
        <v>41.294365034653524</v>
      </c>
      <c r="G1535" s="37">
        <v>44.27</v>
      </c>
      <c r="H1535" s="37">
        <v>2.2338097920788189</v>
      </c>
      <c r="I1535" s="37">
        <v>68.168865539062182</v>
      </c>
      <c r="J1535" s="10">
        <v>0</v>
      </c>
      <c r="K1535" s="38">
        <v>0</v>
      </c>
      <c r="L1535" s="38">
        <v>0</v>
      </c>
      <c r="M1535" s="38">
        <v>0</v>
      </c>
      <c r="N1535" s="38">
        <v>0</v>
      </c>
      <c r="O1535" s="38">
        <v>0</v>
      </c>
      <c r="P1535" s="38">
        <v>0</v>
      </c>
      <c r="Q1535" s="38">
        <v>0</v>
      </c>
      <c r="R1535" s="38">
        <v>0</v>
      </c>
      <c r="S1535" s="38">
        <v>0</v>
      </c>
      <c r="T1535" s="38">
        <v>0</v>
      </c>
      <c r="U1535" s="29" cm="1">
        <f t="array" aca="1" ref="U1535" ca="1">+fair_value_gap(OFFSET(T1534,0,0,-1*$J$5,-1*$AA$1),OFFSET(E1534,0,0,-1*$J$5,1),F1535:T1535,0)</f>
        <v>13.837222469091765</v>
      </c>
      <c r="V1535" s="9" cm="1">
        <f t="array" aca="1" ref="V1535" ca="1">z_score_diff(OFFSET(U1535,0,0,$J$5*-1,1),OFFSET(E1535,0,0,$J$5*-1,1))</f>
        <v>-0.91567491040261073</v>
      </c>
      <c r="W1535" s="9">
        <f t="shared" ca="1" si="231"/>
        <v>-0.34725700693247818</v>
      </c>
      <c r="X1535" s="17">
        <f t="shared" ca="1" si="230"/>
        <v>0.1098154096699876</v>
      </c>
      <c r="Y1535" s="13">
        <f t="shared" si="239"/>
        <v>0</v>
      </c>
      <c r="Z1535" s="13">
        <f t="shared" si="239"/>
        <v>0</v>
      </c>
      <c r="AA1535">
        <f t="shared" ca="1" si="232"/>
        <v>1</v>
      </c>
      <c r="AB1535">
        <f t="shared" ca="1" si="233"/>
        <v>0</v>
      </c>
      <c r="AC1535" s="24">
        <f t="shared" ca="1" si="234"/>
        <v>0.1098154096699876</v>
      </c>
      <c r="AD1535" s="24">
        <f t="shared" ca="1" si="235"/>
        <v>0</v>
      </c>
    </row>
    <row r="1536" spans="3:30" x14ac:dyDescent="0.25">
      <c r="C1536" s="6">
        <v>1529</v>
      </c>
      <c r="D1536" s="35">
        <v>44181</v>
      </c>
      <c r="E1536" s="37">
        <v>14.17</v>
      </c>
      <c r="F1536" s="37">
        <v>41.528972219225906</v>
      </c>
      <c r="G1536" s="37">
        <v>42.98</v>
      </c>
      <c r="H1536" s="37">
        <v>2.2480559341812367</v>
      </c>
      <c r="I1536" s="37">
        <v>66.804279396334465</v>
      </c>
      <c r="J1536" s="10">
        <v>0</v>
      </c>
      <c r="K1536" s="38">
        <v>0</v>
      </c>
      <c r="L1536" s="38">
        <v>0</v>
      </c>
      <c r="M1536" s="38">
        <v>0</v>
      </c>
      <c r="N1536" s="38">
        <v>0</v>
      </c>
      <c r="O1536" s="38">
        <v>0</v>
      </c>
      <c r="P1536" s="38">
        <v>0</v>
      </c>
      <c r="Q1536" s="38">
        <v>0</v>
      </c>
      <c r="R1536" s="38">
        <v>0</v>
      </c>
      <c r="S1536" s="38">
        <v>0</v>
      </c>
      <c r="T1536" s="38">
        <v>0</v>
      </c>
      <c r="U1536" s="29" cm="1">
        <f t="array" aca="1" ref="U1536" ca="1">+fair_value_gap(OFFSET(T1535,0,0,-1*$J$5,-1*$AA$1),OFFSET(E1535,0,0,-1*$J$5,1),F1536:T1536,0)</f>
        <v>13.607738349507825</v>
      </c>
      <c r="V1536" s="9" cm="1">
        <f t="array" aca="1" ref="V1536" ca="1">z_score_diff(OFFSET(U1536,0,0,$J$5*-1,1),OFFSET(E1536,0,0,$J$5*-1,1))</f>
        <v>-0.71084350344744418</v>
      </c>
      <c r="W1536" s="9">
        <f t="shared" ca="1" si="231"/>
        <v>-0.37408728610382225</v>
      </c>
      <c r="X1536" s="17">
        <f t="shared" ca="1" si="230"/>
        <v>0.11267316250411281</v>
      </c>
      <c r="Y1536" s="13">
        <f t="shared" si="239"/>
        <v>0</v>
      </c>
      <c r="Z1536" s="13">
        <f t="shared" si="239"/>
        <v>0</v>
      </c>
      <c r="AA1536">
        <f t="shared" ca="1" si="232"/>
        <v>1</v>
      </c>
      <c r="AB1536">
        <f t="shared" ca="1" si="233"/>
        <v>0</v>
      </c>
      <c r="AC1536" s="24">
        <f t="shared" ca="1" si="234"/>
        <v>0.11267316250411281</v>
      </c>
      <c r="AD1536" s="24">
        <f t="shared" ca="1" si="235"/>
        <v>0</v>
      </c>
    </row>
    <row r="1537" spans="3:30" x14ac:dyDescent="0.25">
      <c r="C1537" s="6">
        <v>1530</v>
      </c>
      <c r="D1537" s="35">
        <v>44182</v>
      </c>
      <c r="E1537" s="37">
        <v>13.951000000000001</v>
      </c>
      <c r="F1537" s="37">
        <v>41.736315140434861</v>
      </c>
      <c r="G1537" s="37">
        <v>42.51</v>
      </c>
      <c r="H1537" s="37">
        <v>2.1887007511887262</v>
      </c>
      <c r="I1537" s="37">
        <v>66.407908548678705</v>
      </c>
      <c r="J1537" s="10">
        <v>0</v>
      </c>
      <c r="K1537" s="38">
        <v>0</v>
      </c>
      <c r="L1537" s="38">
        <v>0</v>
      </c>
      <c r="M1537" s="38">
        <v>0</v>
      </c>
      <c r="N1537" s="38">
        <v>0</v>
      </c>
      <c r="O1537" s="38">
        <v>0</v>
      </c>
      <c r="P1537" s="38">
        <v>0</v>
      </c>
      <c r="Q1537" s="38">
        <v>0</v>
      </c>
      <c r="R1537" s="38">
        <v>0</v>
      </c>
      <c r="S1537" s="38">
        <v>0</v>
      </c>
      <c r="T1537" s="38">
        <v>0</v>
      </c>
      <c r="U1537" s="29" cm="1">
        <f t="array" aca="1" ref="U1537" ca="1">+fair_value_gap(OFFSET(T1536,0,0,-1*$J$5,-1*$AA$1),OFFSET(E1536,0,0,-1*$J$5,1),F1537:T1537,0)</f>
        <v>13.488873075778496</v>
      </c>
      <c r="V1537" s="9" cm="1">
        <f t="array" aca="1" ref="V1537" ca="1">z_score_diff(OFFSET(U1537,0,0,$J$5*-1,1),OFFSET(E1537,0,0,$J$5*-1,1))</f>
        <v>-0.64252511137953683</v>
      </c>
      <c r="W1537" s="9">
        <f t="shared" ca="1" si="231"/>
        <v>-0.40645099210121255</v>
      </c>
      <c r="X1537" s="17">
        <f t="shared" ca="1" si="230"/>
        <v>0.11280887421973777</v>
      </c>
      <c r="Y1537" s="13">
        <f t="shared" si="239"/>
        <v>0</v>
      </c>
      <c r="Z1537" s="13">
        <f t="shared" si="239"/>
        <v>0</v>
      </c>
      <c r="AA1537">
        <f t="shared" ca="1" si="232"/>
        <v>1</v>
      </c>
      <c r="AB1537">
        <f t="shared" ca="1" si="233"/>
        <v>0</v>
      </c>
      <c r="AC1537" s="24">
        <f t="shared" ca="1" si="234"/>
        <v>0.11280887421973777</v>
      </c>
      <c r="AD1537" s="24">
        <f t="shared" ca="1" si="235"/>
        <v>0</v>
      </c>
    </row>
    <row r="1538" spans="3:30" x14ac:dyDescent="0.25">
      <c r="C1538" s="6">
        <v>1531</v>
      </c>
      <c r="D1538" s="35">
        <v>44183</v>
      </c>
      <c r="E1538" s="37">
        <v>13.999000000000001</v>
      </c>
      <c r="F1538" s="37">
        <v>42.2881790638558</v>
      </c>
      <c r="G1538" s="37">
        <v>42.36</v>
      </c>
      <c r="H1538" s="37">
        <v>2.2152112254711085</v>
      </c>
      <c r="I1538" s="37">
        <v>66.253106376475344</v>
      </c>
      <c r="J1538" s="10">
        <v>0</v>
      </c>
      <c r="K1538" s="38">
        <v>0</v>
      </c>
      <c r="L1538" s="38">
        <v>0</v>
      </c>
      <c r="M1538" s="38">
        <v>0</v>
      </c>
      <c r="N1538" s="38">
        <v>0</v>
      </c>
      <c r="O1538" s="38">
        <v>0</v>
      </c>
      <c r="P1538" s="38">
        <v>0</v>
      </c>
      <c r="Q1538" s="38">
        <v>0</v>
      </c>
      <c r="R1538" s="38">
        <v>0</v>
      </c>
      <c r="S1538" s="38">
        <v>0</v>
      </c>
      <c r="T1538" s="38">
        <v>0</v>
      </c>
      <c r="U1538" s="29" cm="1">
        <f t="array" aca="1" ref="U1538" ca="1">+fair_value_gap(OFFSET(T1537,0,0,-1*$J$5,-1*$AA$1),OFFSET(E1537,0,0,-1*$J$5,1),F1538:T1538,0)</f>
        <v>13.554530884237781</v>
      </c>
      <c r="V1538" s="9" cm="1">
        <f t="array" aca="1" ref="V1538" ca="1">z_score_diff(OFFSET(U1538,0,0,$J$5*-1,1),OFFSET(E1538,0,0,$J$5*-1,1))</f>
        <v>-0.62530076386515754</v>
      </c>
      <c r="W1538" s="9">
        <f t="shared" ca="1" si="231"/>
        <v>-0.43522356702626686</v>
      </c>
      <c r="X1538" s="17">
        <f t="shared" ca="1" si="230"/>
        <v>0.15920965246086771</v>
      </c>
      <c r="Y1538" s="13">
        <f t="shared" si="239"/>
        <v>0</v>
      </c>
      <c r="Z1538" s="13">
        <f t="shared" si="239"/>
        <v>0</v>
      </c>
      <c r="AA1538">
        <f t="shared" ca="1" si="232"/>
        <v>1</v>
      </c>
      <c r="AB1538">
        <f t="shared" ca="1" si="233"/>
        <v>0</v>
      </c>
      <c r="AC1538" s="24">
        <f t="shared" ca="1" si="234"/>
        <v>0.15920965246086771</v>
      </c>
      <c r="AD1538" s="24">
        <f t="shared" ca="1" si="235"/>
        <v>0</v>
      </c>
    </row>
    <row r="1539" spans="3:30" x14ac:dyDescent="0.25">
      <c r="C1539" s="6">
        <v>1532</v>
      </c>
      <c r="D1539" s="35">
        <v>44186</v>
      </c>
      <c r="E1539" s="37">
        <v>14.548999999999999</v>
      </c>
      <c r="F1539" s="37">
        <v>41.416125427042743</v>
      </c>
      <c r="G1539" s="37">
        <v>43.96</v>
      </c>
      <c r="H1539" s="37">
        <v>2.2360474950488682</v>
      </c>
      <c r="I1539" s="37">
        <v>66.218588905069325</v>
      </c>
      <c r="J1539" s="10">
        <v>0</v>
      </c>
      <c r="K1539" s="38">
        <v>0</v>
      </c>
      <c r="L1539" s="38">
        <v>0</v>
      </c>
      <c r="M1539" s="38">
        <v>0</v>
      </c>
      <c r="N1539" s="38">
        <v>0</v>
      </c>
      <c r="O1539" s="38">
        <v>0</v>
      </c>
      <c r="P1539" s="38">
        <v>0</v>
      </c>
      <c r="Q1539" s="38">
        <v>0</v>
      </c>
      <c r="R1539" s="38">
        <v>0</v>
      </c>
      <c r="S1539" s="38">
        <v>0</v>
      </c>
      <c r="T1539" s="38">
        <v>0</v>
      </c>
      <c r="U1539" s="29" cm="1">
        <f t="array" aca="1" ref="U1539" ca="1">+fair_value_gap(OFFSET(T1538,0,0,-1*$J$5,-1*$AA$1),OFFSET(E1538,0,0,-1*$J$5,1),F1539:T1539,0)</f>
        <v>13.994003041484618</v>
      </c>
      <c r="V1539" s="9" cm="1">
        <f t="array" aca="1" ref="V1539" ca="1">z_score_diff(OFFSET(U1539,0,0,$J$5*-1,1),OFFSET(E1539,0,0,$J$5*-1,1))</f>
        <v>-0.67038902285359137</v>
      </c>
      <c r="W1539" s="9">
        <f t="shared" ca="1" si="231"/>
        <v>-0.46374600737891847</v>
      </c>
      <c r="X1539" s="17">
        <f t="shared" ca="1" si="230"/>
        <v>0.12164753173644233</v>
      </c>
      <c r="Y1539" s="13">
        <f t="shared" si="239"/>
        <v>0</v>
      </c>
      <c r="Z1539" s="13">
        <f t="shared" si="239"/>
        <v>0</v>
      </c>
      <c r="AA1539">
        <f t="shared" ca="1" si="232"/>
        <v>1</v>
      </c>
      <c r="AB1539">
        <f t="shared" ca="1" si="233"/>
        <v>0</v>
      </c>
      <c r="AC1539" s="24">
        <f t="shared" ca="1" si="234"/>
        <v>0.12164753173644233</v>
      </c>
      <c r="AD1539" s="24">
        <f t="shared" ca="1" si="235"/>
        <v>0</v>
      </c>
    </row>
    <row r="1540" spans="3:30" x14ac:dyDescent="0.25">
      <c r="C1540" s="6">
        <v>1533</v>
      </c>
      <c r="D1540" s="35">
        <v>44187</v>
      </c>
      <c r="E1540" s="37">
        <v>15.041</v>
      </c>
      <c r="F1540" s="37">
        <v>41.038876868639584</v>
      </c>
      <c r="G1540" s="37">
        <v>44.72</v>
      </c>
      <c r="H1540" s="37">
        <v>2.2757550662350288</v>
      </c>
      <c r="I1540" s="37">
        <v>66.816037813049292</v>
      </c>
      <c r="J1540" s="10">
        <v>0</v>
      </c>
      <c r="K1540" s="38">
        <v>0</v>
      </c>
      <c r="L1540" s="38">
        <v>0</v>
      </c>
      <c r="M1540" s="38">
        <v>0</v>
      </c>
      <c r="N1540" s="38">
        <v>0</v>
      </c>
      <c r="O1540" s="38">
        <v>0</v>
      </c>
      <c r="P1540" s="38">
        <v>0</v>
      </c>
      <c r="Q1540" s="38">
        <v>0</v>
      </c>
      <c r="R1540" s="38">
        <v>0</v>
      </c>
      <c r="S1540" s="38">
        <v>0</v>
      </c>
      <c r="T1540" s="38">
        <v>0</v>
      </c>
      <c r="U1540" s="29" cm="1">
        <f t="array" aca="1" ref="U1540" ca="1">+fair_value_gap(OFFSET(T1539,0,0,-1*$J$5,-1*$AA$1),OFFSET(E1539,0,0,-1*$J$5,1),F1540:T1540,0)</f>
        <v>14.247680077493069</v>
      </c>
      <c r="V1540" s="9" cm="1">
        <f t="array" aca="1" ref="V1540" ca="1">z_score_diff(OFFSET(U1540,0,0,$J$5*-1,1),OFFSET(E1540,0,0,$J$5*-1,1))</f>
        <v>-0.79752063273691221</v>
      </c>
      <c r="W1540" s="9">
        <f t="shared" ca="1" si="231"/>
        <v>-0.49642178715361746</v>
      </c>
      <c r="X1540" s="17">
        <f t="shared" ca="1" si="230"/>
        <v>9.4155092605916257E-2</v>
      </c>
      <c r="Y1540" s="13">
        <f t="shared" si="239"/>
        <v>0</v>
      </c>
      <c r="Z1540" s="13">
        <f t="shared" si="239"/>
        <v>0</v>
      </c>
      <c r="AA1540">
        <f t="shared" ca="1" si="232"/>
        <v>1</v>
      </c>
      <c r="AB1540">
        <f t="shared" ca="1" si="233"/>
        <v>0</v>
      </c>
      <c r="AC1540" s="24">
        <f t="shared" ca="1" si="234"/>
        <v>9.4155092605916257E-2</v>
      </c>
      <c r="AD1540" s="24">
        <f t="shared" ca="1" si="235"/>
        <v>0</v>
      </c>
    </row>
    <row r="1541" spans="3:30" x14ac:dyDescent="0.25">
      <c r="C1541" s="6">
        <v>1534</v>
      </c>
      <c r="D1541" s="35">
        <v>44188</v>
      </c>
      <c r="E1541" s="37">
        <v>15.053000000000001</v>
      </c>
      <c r="F1541" s="37">
        <v>41.770173401341545</v>
      </c>
      <c r="G1541" s="37">
        <v>44.5</v>
      </c>
      <c r="H1541" s="37">
        <v>2.1673126140207324</v>
      </c>
      <c r="I1541" s="37">
        <v>66.922105772041832</v>
      </c>
      <c r="J1541" s="10">
        <v>0</v>
      </c>
      <c r="K1541" s="38">
        <v>0</v>
      </c>
      <c r="L1541" s="38">
        <v>0</v>
      </c>
      <c r="M1541" s="38">
        <v>0</v>
      </c>
      <c r="N1541" s="38">
        <v>0</v>
      </c>
      <c r="O1541" s="38">
        <v>0</v>
      </c>
      <c r="P1541" s="38">
        <v>0</v>
      </c>
      <c r="Q1541" s="38">
        <v>0</v>
      </c>
      <c r="R1541" s="38">
        <v>0</v>
      </c>
      <c r="S1541" s="38">
        <v>0</v>
      </c>
      <c r="T1541" s="38">
        <v>0</v>
      </c>
      <c r="U1541" s="29" cm="1">
        <f t="array" aca="1" ref="U1541" ca="1">+fair_value_gap(OFFSET(T1540,0,0,-1*$J$5,-1*$AA$1),OFFSET(E1540,0,0,-1*$J$5,1),F1541:T1541,0)</f>
        <v>14.128323767049979</v>
      </c>
      <c r="V1541" s="9" cm="1">
        <f t="array" aca="1" ref="V1541" ca="1">z_score_diff(OFFSET(U1541,0,0,$J$5*-1,1),OFFSET(E1541,0,0,$J$5*-1,1))</f>
        <v>-0.8623837673436161</v>
      </c>
      <c r="W1541" s="9">
        <f t="shared" ca="1" si="231"/>
        <v>-0.53597977948749664</v>
      </c>
      <c r="X1541" s="17">
        <f t="shared" ca="1" si="230"/>
        <v>0.11301071047179465</v>
      </c>
      <c r="Y1541" s="13">
        <f t="shared" si="239"/>
        <v>0</v>
      </c>
      <c r="Z1541" s="13">
        <f t="shared" si="239"/>
        <v>0</v>
      </c>
      <c r="AA1541">
        <f t="shared" ca="1" si="232"/>
        <v>1</v>
      </c>
      <c r="AB1541">
        <f t="shared" ca="1" si="233"/>
        <v>0</v>
      </c>
      <c r="AC1541" s="24">
        <f t="shared" ca="1" si="234"/>
        <v>0.11301071047179465</v>
      </c>
      <c r="AD1541" s="24">
        <f t="shared" ca="1" si="235"/>
        <v>0</v>
      </c>
    </row>
    <row r="1542" spans="3:30" x14ac:dyDescent="0.25">
      <c r="C1542" s="6">
        <v>1535</v>
      </c>
      <c r="D1542" s="35">
        <v>44189</v>
      </c>
      <c r="E1542" s="37">
        <v>15.134</v>
      </c>
      <c r="F1542" s="37">
        <v>41.928344214542349</v>
      </c>
      <c r="G1542" s="37">
        <v>44.5</v>
      </c>
      <c r="H1542" s="37">
        <v>2.1143981770569411</v>
      </c>
      <c r="I1542" s="37">
        <v>67.142562908862658</v>
      </c>
      <c r="J1542" s="10">
        <v>0</v>
      </c>
      <c r="K1542" s="38">
        <v>0</v>
      </c>
      <c r="L1542" s="38">
        <v>0</v>
      </c>
      <c r="M1542" s="38">
        <v>0</v>
      </c>
      <c r="N1542" s="38">
        <v>0</v>
      </c>
      <c r="O1542" s="38">
        <v>0</v>
      </c>
      <c r="P1542" s="38">
        <v>0</v>
      </c>
      <c r="Q1542" s="38">
        <v>0</v>
      </c>
      <c r="R1542" s="38">
        <v>0</v>
      </c>
      <c r="S1542" s="38">
        <v>0</v>
      </c>
      <c r="T1542" s="38">
        <v>0</v>
      </c>
      <c r="U1542" s="29" cm="1">
        <f t="array" aca="1" ref="U1542" ca="1">+fair_value_gap(OFFSET(T1541,0,0,-1*$J$5,-1*$AA$1),OFFSET(E1541,0,0,-1*$J$5,1),F1542:T1542,0)</f>
        <v>14.134298391971097</v>
      </c>
      <c r="V1542" s="9" cm="1">
        <f t="array" aca="1" ref="V1542" ca="1">z_score_diff(OFFSET(U1542,0,0,$J$5*-1,1),OFFSET(E1542,0,0,$J$5*-1,1))</f>
        <v>-0.88963814023350962</v>
      </c>
      <c r="W1542" s="9">
        <f t="shared" ca="1" si="231"/>
        <v>-0.57952513926641314</v>
      </c>
      <c r="X1542" s="17">
        <f t="shared" ca="1" si="230"/>
        <v>8.2165063776846819E-2</v>
      </c>
      <c r="Y1542" s="13">
        <f t="shared" si="239"/>
        <v>0</v>
      </c>
      <c r="Z1542" s="13">
        <f t="shared" si="239"/>
        <v>0</v>
      </c>
      <c r="AA1542">
        <f t="shared" ca="1" si="232"/>
        <v>1</v>
      </c>
      <c r="AB1542">
        <f t="shared" ca="1" si="233"/>
        <v>0</v>
      </c>
      <c r="AC1542" s="24">
        <f t="shared" ca="1" si="234"/>
        <v>8.2165063776846819E-2</v>
      </c>
      <c r="AD1542" s="24">
        <f t="shared" ca="1" si="235"/>
        <v>0</v>
      </c>
    </row>
    <row r="1543" spans="3:30" x14ac:dyDescent="0.25">
      <c r="C1543" s="6">
        <v>1536</v>
      </c>
      <c r="D1543" s="35">
        <v>44193</v>
      </c>
      <c r="E1543" s="37">
        <v>15.977</v>
      </c>
      <c r="F1543" s="37">
        <v>41.511071522377151</v>
      </c>
      <c r="G1543" s="37">
        <v>46.33</v>
      </c>
      <c r="H1543" s="37">
        <v>1.9968383392961144</v>
      </c>
      <c r="I1543" s="37">
        <v>67.295409718925427</v>
      </c>
      <c r="J1543" s="10">
        <v>0</v>
      </c>
      <c r="K1543" s="38">
        <v>0</v>
      </c>
      <c r="L1543" s="38">
        <v>0</v>
      </c>
      <c r="M1543" s="38">
        <v>0</v>
      </c>
      <c r="N1543" s="38">
        <v>0</v>
      </c>
      <c r="O1543" s="38">
        <v>0</v>
      </c>
      <c r="P1543" s="38">
        <v>0</v>
      </c>
      <c r="Q1543" s="38">
        <v>0</v>
      </c>
      <c r="R1543" s="38">
        <v>0</v>
      </c>
      <c r="S1543" s="38">
        <v>0</v>
      </c>
      <c r="T1543" s="38">
        <v>0</v>
      </c>
      <c r="U1543" s="29" cm="1">
        <f t="array" aca="1" ref="U1543" ca="1">+fair_value_gap(OFFSET(T1542,0,0,-1*$J$5,-1*$AA$1),OFFSET(E1542,0,0,-1*$J$5,1),F1543:T1543,0)</f>
        <v>14.440738882311532</v>
      </c>
      <c r="V1543" s="9" cm="1">
        <f t="array" aca="1" ref="V1543" ca="1">z_score_diff(OFFSET(U1543,0,0,$J$5*-1,1),OFFSET(E1543,0,0,$J$5*-1,1))</f>
        <v>-1.1733765526269617</v>
      </c>
      <c r="W1543" s="9">
        <f t="shared" ca="1" si="231"/>
        <v>-0.63019677761839343</v>
      </c>
      <c r="X1543" s="17">
        <f t="shared" ref="X1543:X1596" ca="1" si="240">+LN(OFFSET(E1543,$X$3,0,1,1)/E1543)</f>
        <v>2.2282285998936974E-2</v>
      </c>
      <c r="Y1543" s="13">
        <f t="shared" si="239"/>
        <v>0</v>
      </c>
      <c r="Z1543" s="13">
        <f t="shared" si="239"/>
        <v>0</v>
      </c>
      <c r="AA1543">
        <f t="shared" ca="1" si="232"/>
        <v>1</v>
      </c>
      <c r="AB1543">
        <f t="shared" ca="1" si="233"/>
        <v>0</v>
      </c>
      <c r="AC1543" s="24">
        <f t="shared" ca="1" si="234"/>
        <v>2.2282285998936974E-2</v>
      </c>
      <c r="AD1543" s="24">
        <f t="shared" ca="1" si="235"/>
        <v>0</v>
      </c>
    </row>
    <row r="1544" spans="3:30" x14ac:dyDescent="0.25">
      <c r="C1544" s="6">
        <v>1537</v>
      </c>
      <c r="D1544" s="35">
        <v>44194</v>
      </c>
      <c r="E1544" s="37">
        <v>15.871</v>
      </c>
      <c r="F1544" s="37">
        <v>41.622183753932312</v>
      </c>
      <c r="G1544" s="37">
        <v>45.61</v>
      </c>
      <c r="H1544" s="37">
        <v>2.0563098791501235</v>
      </c>
      <c r="I1544" s="37">
        <v>67.405333721449296</v>
      </c>
      <c r="J1544" s="10">
        <v>0</v>
      </c>
      <c r="K1544" s="38">
        <v>0</v>
      </c>
      <c r="L1544" s="38">
        <v>0</v>
      </c>
      <c r="M1544" s="38">
        <v>0</v>
      </c>
      <c r="N1544" s="38">
        <v>0</v>
      </c>
      <c r="O1544" s="38">
        <v>0</v>
      </c>
      <c r="P1544" s="38">
        <v>0</v>
      </c>
      <c r="Q1544" s="38">
        <v>0</v>
      </c>
      <c r="R1544" s="38">
        <v>0</v>
      </c>
      <c r="S1544" s="38">
        <v>0</v>
      </c>
      <c r="T1544" s="38">
        <v>0</v>
      </c>
      <c r="U1544" s="29" cm="1">
        <f t="array" aca="1" ref="U1544" ca="1">+fair_value_gap(OFFSET(T1543,0,0,-1*$J$5,-1*$AA$1),OFFSET(E1543,0,0,-1*$J$5,1),F1544:T1544,0)</f>
        <v>14.52568800960486</v>
      </c>
      <c r="V1544" s="9" cm="1">
        <f t="array" aca="1" ref="V1544" ca="1">z_score_diff(OFFSET(U1544,0,0,$J$5*-1,1),OFFSET(E1544,0,0,$J$5*-1,1))</f>
        <v>-1.0314825234173002</v>
      </c>
      <c r="W1544" s="9">
        <f t="shared" ref="W1544:W1596" ca="1" si="241">+IF(ISERROR(AVERAGE(OFFSET(V1544,0,0,$W$5*-1,1))),"",AVERAGE(OFFSET(V1544,0,0,$W$5*-1,1)))</f>
        <v>-0.67960742811354558</v>
      </c>
      <c r="X1544" s="17">
        <f t="shared" ca="1" si="240"/>
        <v>4.5029625507422337E-2</v>
      </c>
      <c r="Y1544" s="13">
        <f t="shared" si="239"/>
        <v>0</v>
      </c>
      <c r="Z1544" s="13">
        <f t="shared" si="239"/>
        <v>0</v>
      </c>
      <c r="AA1544">
        <f t="shared" ref="AA1544:AA1596" ca="1" si="242">+IF(W1544="","",IF(W1544&lt;Y1544,1,0))</f>
        <v>1</v>
      </c>
      <c r="AB1544">
        <f t="shared" ref="AB1544:AB1596" ca="1" si="243">+IF(W1544="","",IF(W1544&gt;Z1544,1,0))</f>
        <v>0</v>
      </c>
      <c r="AC1544" s="24">
        <f t="shared" ref="AC1544:AC1596" ca="1" si="244">+IF(ISERROR(AA1544*X1544),"",AA1544*X1544)</f>
        <v>4.5029625507422337E-2</v>
      </c>
      <c r="AD1544" s="24">
        <f t="shared" ref="AD1544:AD1596" ca="1" si="245">+IF(ISERROR(AB1544*X1544),"",AB1544*X1544)</f>
        <v>0</v>
      </c>
    </row>
    <row r="1545" spans="3:30" x14ac:dyDescent="0.25">
      <c r="C1545" s="6">
        <v>1538</v>
      </c>
      <c r="D1545" s="35">
        <v>44195</v>
      </c>
      <c r="E1545" s="37">
        <v>15.901999999999999</v>
      </c>
      <c r="F1545" s="37">
        <v>41.656272172670633</v>
      </c>
      <c r="G1545" s="37">
        <v>45.8</v>
      </c>
      <c r="H1545" s="37">
        <v>2.1075174060526733</v>
      </c>
      <c r="I1545" s="37">
        <v>65.809296403451071</v>
      </c>
      <c r="J1545" s="10">
        <v>0</v>
      </c>
      <c r="K1545" s="38">
        <v>0</v>
      </c>
      <c r="L1545" s="38">
        <v>0</v>
      </c>
      <c r="M1545" s="38">
        <v>0</v>
      </c>
      <c r="N1545" s="38">
        <v>0</v>
      </c>
      <c r="O1545" s="38">
        <v>0</v>
      </c>
      <c r="P1545" s="38">
        <v>0</v>
      </c>
      <c r="Q1545" s="38">
        <v>0</v>
      </c>
      <c r="R1545" s="38">
        <v>0</v>
      </c>
      <c r="S1545" s="38">
        <v>0</v>
      </c>
      <c r="T1545" s="38">
        <v>0</v>
      </c>
      <c r="U1545" s="29" cm="1">
        <f t="array" aca="1" ref="U1545" ca="1">+fair_value_gap(OFFSET(T1544,0,0,-1*$J$5,-1*$AA$1),OFFSET(E1544,0,0,-1*$J$5,1),F1545:T1545,0)</f>
        <v>14.649402344248687</v>
      </c>
      <c r="V1545" s="9" cm="1">
        <f t="array" aca="1" ref="V1545" ca="1">z_score_diff(OFFSET(U1545,0,0,$J$5*-1,1),OFFSET(E1545,0,0,$J$5*-1,1))</f>
        <v>-0.94785340927038808</v>
      </c>
      <c r="W1545" s="9">
        <f t="shared" ca="1" si="241"/>
        <v>-0.69867806507493957</v>
      </c>
      <c r="X1545" s="17">
        <f t="shared" ca="1" si="240"/>
        <v>6.1933256402531014E-2</v>
      </c>
      <c r="Y1545" s="13">
        <f t="shared" ref="Y1545:Z1560" si="246">+Y1544</f>
        <v>0</v>
      </c>
      <c r="Z1545" s="13">
        <f t="shared" si="246"/>
        <v>0</v>
      </c>
      <c r="AA1545">
        <f t="shared" ca="1" si="242"/>
        <v>1</v>
      </c>
      <c r="AB1545">
        <f t="shared" ca="1" si="243"/>
        <v>0</v>
      </c>
      <c r="AC1545" s="24">
        <f t="shared" ca="1" si="244"/>
        <v>6.1933256402531014E-2</v>
      </c>
      <c r="AD1545" s="24">
        <f t="shared" ca="1" si="245"/>
        <v>0</v>
      </c>
    </row>
    <row r="1546" spans="3:30" x14ac:dyDescent="0.25">
      <c r="C1546" s="6">
        <v>1539</v>
      </c>
      <c r="D1546" s="35">
        <v>44196</v>
      </c>
      <c r="E1546" s="37">
        <v>15.945</v>
      </c>
      <c r="F1546" s="37">
        <v>41.847175906457913</v>
      </c>
      <c r="G1546" s="37">
        <v>45.82</v>
      </c>
      <c r="H1546" s="37">
        <v>2.1881142611263775</v>
      </c>
      <c r="I1546" s="37">
        <v>66.295379941389498</v>
      </c>
      <c r="J1546" s="10">
        <v>0</v>
      </c>
      <c r="K1546" s="38">
        <v>0</v>
      </c>
      <c r="L1546" s="38">
        <v>0</v>
      </c>
      <c r="M1546" s="38">
        <v>0</v>
      </c>
      <c r="N1546" s="38">
        <v>0</v>
      </c>
      <c r="O1546" s="38">
        <v>0</v>
      </c>
      <c r="P1546" s="38">
        <v>0</v>
      </c>
      <c r="Q1546" s="38">
        <v>0</v>
      </c>
      <c r="R1546" s="38">
        <v>0</v>
      </c>
      <c r="S1546" s="38">
        <v>0</v>
      </c>
      <c r="T1546" s="38">
        <v>0</v>
      </c>
      <c r="U1546" s="29" cm="1">
        <f t="array" aca="1" ref="U1546" ca="1">+fair_value_gap(OFFSET(T1545,0,0,-1*$J$5,-1*$AA$1),OFFSET(E1545,0,0,-1*$J$5,1),F1546:T1546,0)</f>
        <v>14.8188427045297</v>
      </c>
      <c r="V1546" s="9" cm="1">
        <f t="array" aca="1" ref="V1546" ca="1">z_score_diff(OFFSET(U1546,0,0,$J$5*-1,1),OFFSET(E1546,0,0,$J$5*-1,1))</f>
        <v>-0.84557709291731187</v>
      </c>
      <c r="W1546" s="9">
        <f t="shared" ca="1" si="241"/>
        <v>-0.71595415894760506</v>
      </c>
      <c r="X1546" s="17">
        <f t="shared" ca="1" si="240"/>
        <v>4.8416787420491512E-2</v>
      </c>
      <c r="Y1546" s="13">
        <f t="shared" si="246"/>
        <v>0</v>
      </c>
      <c r="Z1546" s="13">
        <f t="shared" si="246"/>
        <v>0</v>
      </c>
      <c r="AA1546">
        <f t="shared" ca="1" si="242"/>
        <v>1</v>
      </c>
      <c r="AB1546">
        <f t="shared" ca="1" si="243"/>
        <v>0</v>
      </c>
      <c r="AC1546" s="24">
        <f t="shared" ca="1" si="244"/>
        <v>4.8416787420491512E-2</v>
      </c>
      <c r="AD1546" s="24">
        <f t="shared" ca="1" si="245"/>
        <v>0</v>
      </c>
    </row>
    <row r="1547" spans="3:30" x14ac:dyDescent="0.25">
      <c r="C1547" s="6">
        <v>1540</v>
      </c>
      <c r="D1547" s="35">
        <v>44200</v>
      </c>
      <c r="E1547" s="37">
        <v>16.195</v>
      </c>
      <c r="F1547" s="37">
        <v>41.315155749190978</v>
      </c>
      <c r="G1547" s="37">
        <v>47</v>
      </c>
      <c r="H1547" s="37">
        <v>2.2316690428303159</v>
      </c>
      <c r="I1547" s="37">
        <v>66.242508578181202</v>
      </c>
      <c r="J1547" s="10">
        <v>1</v>
      </c>
      <c r="K1547" s="38">
        <v>0</v>
      </c>
      <c r="L1547" s="38">
        <v>0</v>
      </c>
      <c r="M1547" s="38">
        <v>0</v>
      </c>
      <c r="N1547" s="38">
        <v>0</v>
      </c>
      <c r="O1547" s="38">
        <v>0</v>
      </c>
      <c r="P1547" s="38">
        <v>0</v>
      </c>
      <c r="Q1547" s="38">
        <v>0</v>
      </c>
      <c r="R1547" s="38">
        <v>0</v>
      </c>
      <c r="S1547" s="38">
        <v>0</v>
      </c>
      <c r="T1547" s="38">
        <v>0</v>
      </c>
      <c r="U1547" s="29" cm="1">
        <f t="array" aca="1" ref="U1547" ca="1">+fair_value_gap(OFFSET(T1546,0,0,-1*$J$5,-1*$AA$1),OFFSET(E1546,0,0,-1*$J$5,1),F1547:T1547,0)</f>
        <v>13.969774850070976</v>
      </c>
      <c r="V1547" s="9" cm="1">
        <f t="array" aca="1" ref="V1547" ca="1">z_score_diff(OFFSET(U1547,0,0,$J$5*-1,1),OFFSET(E1547,0,0,$J$5*-1,1))</f>
        <v>-1.475936312188753</v>
      </c>
      <c r="W1547" s="9">
        <f t="shared" ca="1" si="241"/>
        <v>-0.77449293259176488</v>
      </c>
      <c r="X1547" s="17">
        <f t="shared" ca="1" si="240"/>
        <v>7.4436688320192769E-3</v>
      </c>
      <c r="Y1547" s="13">
        <f t="shared" si="246"/>
        <v>0</v>
      </c>
      <c r="Z1547" s="13">
        <f t="shared" si="246"/>
        <v>0</v>
      </c>
      <c r="AA1547">
        <f t="shared" ca="1" si="242"/>
        <v>1</v>
      </c>
      <c r="AB1547">
        <f t="shared" ca="1" si="243"/>
        <v>0</v>
      </c>
      <c r="AC1547" s="24">
        <f t="shared" ca="1" si="244"/>
        <v>7.4436688320192769E-3</v>
      </c>
      <c r="AD1547" s="24">
        <f t="shared" ca="1" si="245"/>
        <v>0</v>
      </c>
    </row>
    <row r="1548" spans="3:30" x14ac:dyDescent="0.25">
      <c r="C1548" s="6">
        <v>1541</v>
      </c>
      <c r="D1548" s="35">
        <v>44201</v>
      </c>
      <c r="E1548" s="37">
        <v>15.538</v>
      </c>
      <c r="F1548" s="37">
        <v>42.778034934179225</v>
      </c>
      <c r="G1548" s="37">
        <v>45.07</v>
      </c>
      <c r="H1548" s="37">
        <v>2.2925200453640104</v>
      </c>
      <c r="I1548" s="37">
        <v>65.9464305835793</v>
      </c>
      <c r="J1548" s="10">
        <v>1</v>
      </c>
      <c r="K1548" s="38">
        <v>0</v>
      </c>
      <c r="L1548" s="38">
        <v>0</v>
      </c>
      <c r="M1548" s="38">
        <v>0</v>
      </c>
      <c r="N1548" s="38">
        <v>0</v>
      </c>
      <c r="O1548" s="38">
        <v>0</v>
      </c>
      <c r="P1548" s="38">
        <v>0</v>
      </c>
      <c r="Q1548" s="38">
        <v>0</v>
      </c>
      <c r="R1548" s="38">
        <v>0</v>
      </c>
      <c r="S1548" s="38">
        <v>0</v>
      </c>
      <c r="T1548" s="38">
        <v>0</v>
      </c>
      <c r="U1548" s="29" cm="1">
        <f t="array" aca="1" ref="U1548" ca="1">+fair_value_gap(OFFSET(T1547,0,0,-1*$J$5,-1*$AA$1),OFFSET(E1547,0,0,-1*$J$5,1),F1548:T1548,0)</f>
        <v>14.277307168195943</v>
      </c>
      <c r="V1548" s="9" cm="1">
        <f t="array" aca="1" ref="V1548" ca="1">z_score_diff(OFFSET(U1548,0,0,$J$5*-1,1),OFFSET(E1548,0,0,$J$5*-1,1))</f>
        <v>-0.89900126025576266</v>
      </c>
      <c r="W1548" s="9">
        <f t="shared" ca="1" si="241"/>
        <v>-0.79689767710088633</v>
      </c>
      <c r="X1548" s="17">
        <f t="shared" ca="1" si="240"/>
        <v>5.5455043188403323E-2</v>
      </c>
      <c r="Y1548" s="13">
        <f t="shared" si="246"/>
        <v>0</v>
      </c>
      <c r="Z1548" s="13">
        <f t="shared" si="246"/>
        <v>0</v>
      </c>
      <c r="AA1548">
        <f t="shared" ca="1" si="242"/>
        <v>1</v>
      </c>
      <c r="AB1548">
        <f t="shared" ca="1" si="243"/>
        <v>0</v>
      </c>
      <c r="AC1548" s="24">
        <f t="shared" ca="1" si="244"/>
        <v>5.5455043188403323E-2</v>
      </c>
      <c r="AD1548" s="24">
        <f t="shared" ca="1" si="245"/>
        <v>0</v>
      </c>
    </row>
    <row r="1549" spans="3:30" x14ac:dyDescent="0.25">
      <c r="C1549" s="6">
        <v>1542</v>
      </c>
      <c r="D1549" s="35">
        <v>44202</v>
      </c>
      <c r="E1549" s="37">
        <v>15.329000000000001</v>
      </c>
      <c r="F1549" s="37">
        <v>42.975182559642612</v>
      </c>
      <c r="G1549" s="37">
        <v>44.13</v>
      </c>
      <c r="H1549" s="37">
        <v>2.2878059940517046</v>
      </c>
      <c r="I1549" s="37">
        <v>65.40053177342152</v>
      </c>
      <c r="J1549" s="10">
        <v>1</v>
      </c>
      <c r="K1549" s="38">
        <v>0</v>
      </c>
      <c r="L1549" s="38">
        <v>0</v>
      </c>
      <c r="M1549" s="38">
        <v>0</v>
      </c>
      <c r="N1549" s="38">
        <v>0</v>
      </c>
      <c r="O1549" s="38">
        <v>0</v>
      </c>
      <c r="P1549" s="38">
        <v>0</v>
      </c>
      <c r="Q1549" s="38">
        <v>0</v>
      </c>
      <c r="R1549" s="38">
        <v>0</v>
      </c>
      <c r="S1549" s="38">
        <v>0</v>
      </c>
      <c r="T1549" s="38">
        <v>0</v>
      </c>
      <c r="U1549" s="29" cm="1">
        <f t="array" aca="1" ref="U1549" ca="1">+fair_value_gap(OFFSET(T1548,0,0,-1*$J$5,-1*$AA$1),OFFSET(E1548,0,0,-1*$J$5,1),F1549:T1549,0)</f>
        <v>14.249467618698324</v>
      </c>
      <c r="V1549" s="9" cm="1">
        <f t="array" aca="1" ref="V1549" ca="1">z_score_diff(OFFSET(U1549,0,0,$J$5*-1,1),OFFSET(E1549,0,0,$J$5*-1,1))</f>
        <v>-0.78549047012346773</v>
      </c>
      <c r="W1549" s="9">
        <f t="shared" ca="1" si="241"/>
        <v>-0.81647644564176947</v>
      </c>
      <c r="X1549" s="17">
        <f t="shared" ca="1" si="240"/>
        <v>6.9910101343402947E-2</v>
      </c>
      <c r="Y1549" s="13">
        <f t="shared" si="246"/>
        <v>0</v>
      </c>
      <c r="Z1549" s="13">
        <f t="shared" si="246"/>
        <v>0</v>
      </c>
      <c r="AA1549">
        <f t="shared" ca="1" si="242"/>
        <v>1</v>
      </c>
      <c r="AB1549">
        <f t="shared" ca="1" si="243"/>
        <v>0</v>
      </c>
      <c r="AC1549" s="24">
        <f t="shared" ca="1" si="244"/>
        <v>6.9910101343402947E-2</v>
      </c>
      <c r="AD1549" s="24">
        <f t="shared" ca="1" si="245"/>
        <v>0</v>
      </c>
    </row>
    <row r="1550" spans="3:30" x14ac:dyDescent="0.25">
      <c r="C1550" s="6">
        <v>1543</v>
      </c>
      <c r="D1550" s="35">
        <v>44203</v>
      </c>
      <c r="E1550" s="37">
        <v>16.198</v>
      </c>
      <c r="F1550" s="37">
        <v>43.268957567196772</v>
      </c>
      <c r="G1550" s="37">
        <v>46.19</v>
      </c>
      <c r="H1550" s="37">
        <v>2.2990185334015245</v>
      </c>
      <c r="I1550" s="37">
        <v>66.811167125333853</v>
      </c>
      <c r="J1550" s="10">
        <v>1</v>
      </c>
      <c r="K1550" s="38">
        <v>0</v>
      </c>
      <c r="L1550" s="38">
        <v>0</v>
      </c>
      <c r="M1550" s="38">
        <v>0</v>
      </c>
      <c r="N1550" s="38">
        <v>0</v>
      </c>
      <c r="O1550" s="38">
        <v>0</v>
      </c>
      <c r="P1550" s="38">
        <v>0</v>
      </c>
      <c r="Q1550" s="38">
        <v>0</v>
      </c>
      <c r="R1550" s="38">
        <v>0</v>
      </c>
      <c r="S1550" s="38">
        <v>0</v>
      </c>
      <c r="T1550" s="38">
        <v>0</v>
      </c>
      <c r="U1550" s="29" cm="1">
        <f t="array" aca="1" ref="U1550" ca="1">+fair_value_gap(OFFSET(T1549,0,0,-1*$J$5,-1*$AA$1),OFFSET(E1549,0,0,-1*$J$5,1),F1550:T1550,0)</f>
        <v>15.115346914494179</v>
      </c>
      <c r="V1550" s="9" cm="1">
        <f t="array" aca="1" ref="V1550" ca="1">z_score_diff(OFFSET(U1550,0,0,$J$5*-1,1),OFFSET(E1550,0,0,$J$5*-1,1))</f>
        <v>-0.72544637365342823</v>
      </c>
      <c r="W1550" s="9">
        <f t="shared" ca="1" si="241"/>
        <v>-0.83058673954091178</v>
      </c>
      <c r="X1550" s="17">
        <f t="shared" ca="1" si="240"/>
        <v>2.7762649986829469E-2</v>
      </c>
      <c r="Y1550" s="13">
        <f t="shared" si="246"/>
        <v>0</v>
      </c>
      <c r="Z1550" s="13">
        <f t="shared" si="246"/>
        <v>0</v>
      </c>
      <c r="AA1550">
        <f t="shared" ca="1" si="242"/>
        <v>1</v>
      </c>
      <c r="AB1550">
        <f t="shared" ca="1" si="243"/>
        <v>0</v>
      </c>
      <c r="AC1550" s="24">
        <f t="shared" ca="1" si="244"/>
        <v>2.7762649986829469E-2</v>
      </c>
      <c r="AD1550" s="24">
        <f t="shared" ca="1" si="245"/>
        <v>0</v>
      </c>
    </row>
    <row r="1551" spans="3:30" x14ac:dyDescent="0.25">
      <c r="C1551" s="6">
        <v>1544</v>
      </c>
      <c r="D1551" s="35">
        <v>44204</v>
      </c>
      <c r="E1551" s="37">
        <v>16.411000000000001</v>
      </c>
      <c r="F1551" s="37">
        <v>44.465485266173637</v>
      </c>
      <c r="G1551" s="37">
        <v>46.75</v>
      </c>
      <c r="H1551" s="37">
        <v>2.2799052185221522</v>
      </c>
      <c r="I1551" s="37">
        <v>68.120113033756937</v>
      </c>
      <c r="J1551" s="10">
        <v>1</v>
      </c>
      <c r="K1551" s="38">
        <v>0</v>
      </c>
      <c r="L1551" s="38">
        <v>0</v>
      </c>
      <c r="M1551" s="38">
        <v>0</v>
      </c>
      <c r="N1551" s="38">
        <v>0</v>
      </c>
      <c r="O1551" s="38">
        <v>0</v>
      </c>
      <c r="P1551" s="38">
        <v>0</v>
      </c>
      <c r="Q1551" s="38">
        <v>0</v>
      </c>
      <c r="R1551" s="38">
        <v>0</v>
      </c>
      <c r="S1551" s="38">
        <v>0</v>
      </c>
      <c r="T1551" s="38">
        <v>0</v>
      </c>
      <c r="U1551" s="29" cm="1">
        <f t="array" aca="1" ref="U1551" ca="1">+fair_value_gap(OFFSET(T1550,0,0,-1*$J$5,-1*$AA$1),OFFSET(E1550,0,0,-1*$J$5,1),F1551:T1551,0)</f>
        <v>15.434622362692803</v>
      </c>
      <c r="V1551" s="9" cm="1">
        <f t="array" aca="1" ref="V1551" ca="1">z_score_diff(OFFSET(U1551,0,0,$J$5*-1,1),OFFSET(E1551,0,0,$J$5*-1,1))</f>
        <v>-0.63123001020408354</v>
      </c>
      <c r="W1551" s="9">
        <f t="shared" ca="1" si="241"/>
        <v>-0.84110237863400905</v>
      </c>
      <c r="X1551" s="17">
        <f t="shared" ca="1" si="240"/>
        <v>3.4496503939683058E-2</v>
      </c>
      <c r="Y1551" s="13">
        <f t="shared" si="246"/>
        <v>0</v>
      </c>
      <c r="Z1551" s="13">
        <f t="shared" si="246"/>
        <v>0</v>
      </c>
      <c r="AA1551">
        <f t="shared" ca="1" si="242"/>
        <v>1</v>
      </c>
      <c r="AB1551">
        <f t="shared" ca="1" si="243"/>
        <v>0</v>
      </c>
      <c r="AC1551" s="24">
        <f t="shared" ca="1" si="244"/>
        <v>3.4496503939683058E-2</v>
      </c>
      <c r="AD1551" s="24">
        <f t="shared" ca="1" si="245"/>
        <v>0</v>
      </c>
    </row>
    <row r="1552" spans="3:30" x14ac:dyDescent="0.25">
      <c r="C1552" s="6">
        <v>1545</v>
      </c>
      <c r="D1552" s="35">
        <v>44207</v>
      </c>
      <c r="E1552" s="37">
        <v>16.876000000000001</v>
      </c>
      <c r="F1552" s="37">
        <v>44.683030774904722</v>
      </c>
      <c r="G1552" s="37">
        <v>47.2</v>
      </c>
      <c r="H1552" s="37">
        <v>2.3292218169897145</v>
      </c>
      <c r="I1552" s="37">
        <v>68.229316067696587</v>
      </c>
      <c r="J1552" s="10">
        <v>1</v>
      </c>
      <c r="K1552" s="38">
        <v>0</v>
      </c>
      <c r="L1552" s="38">
        <v>0</v>
      </c>
      <c r="M1552" s="38">
        <v>0</v>
      </c>
      <c r="N1552" s="38">
        <v>0</v>
      </c>
      <c r="O1552" s="38">
        <v>0</v>
      </c>
      <c r="P1552" s="38">
        <v>0</v>
      </c>
      <c r="Q1552" s="38">
        <v>0</v>
      </c>
      <c r="R1552" s="38">
        <v>0</v>
      </c>
      <c r="S1552" s="38">
        <v>0</v>
      </c>
      <c r="T1552" s="38">
        <v>0</v>
      </c>
      <c r="U1552" s="29" cm="1">
        <f t="array" aca="1" ref="U1552" ca="1">+fair_value_gap(OFFSET(T1551,0,0,-1*$J$5,-1*$AA$1),OFFSET(E1551,0,0,-1*$J$5,1),F1552:T1552,0)</f>
        <v>15.721301987415858</v>
      </c>
      <c r="V1552" s="9" cm="1">
        <f t="array" aca="1" ref="V1552" ca="1">z_score_diff(OFFSET(U1552,0,0,$J$5*-1,1),OFFSET(E1552,0,0,$J$5*-1,1))</f>
        <v>-0.68880871996094961</v>
      </c>
      <c r="W1552" s="9">
        <f t="shared" ca="1" si="241"/>
        <v>-0.84396612820825401</v>
      </c>
      <c r="X1552" s="17">
        <f t="shared" ca="1" si="240"/>
        <v>5.0436682044117047E-2</v>
      </c>
      <c r="Y1552" s="13">
        <f t="shared" si="246"/>
        <v>0</v>
      </c>
      <c r="Z1552" s="13">
        <f t="shared" si="246"/>
        <v>0</v>
      </c>
      <c r="AA1552">
        <f t="shared" ca="1" si="242"/>
        <v>1</v>
      </c>
      <c r="AB1552">
        <f t="shared" ca="1" si="243"/>
        <v>0</v>
      </c>
      <c r="AC1552" s="24">
        <f t="shared" ca="1" si="244"/>
        <v>5.0436682044117047E-2</v>
      </c>
      <c r="AD1552" s="24">
        <f t="shared" ca="1" si="245"/>
        <v>0</v>
      </c>
    </row>
    <row r="1553" spans="3:30" x14ac:dyDescent="0.25">
      <c r="C1553" s="6">
        <v>1546</v>
      </c>
      <c r="D1553" s="35">
        <v>44208</v>
      </c>
      <c r="E1553" s="37">
        <v>17.523</v>
      </c>
      <c r="F1553" s="37">
        <v>45.19206833086438</v>
      </c>
      <c r="G1553" s="37">
        <v>48.86</v>
      </c>
      <c r="H1553" s="37">
        <v>2.318776704496762</v>
      </c>
      <c r="I1553" s="37">
        <v>70.150953098027699</v>
      </c>
      <c r="J1553" s="10">
        <v>1</v>
      </c>
      <c r="K1553" s="38">
        <v>0</v>
      </c>
      <c r="L1553" s="38">
        <v>0</v>
      </c>
      <c r="M1553" s="38">
        <v>0</v>
      </c>
      <c r="N1553" s="38">
        <v>0</v>
      </c>
      <c r="O1553" s="38">
        <v>0</v>
      </c>
      <c r="P1553" s="38">
        <v>0</v>
      </c>
      <c r="Q1553" s="38">
        <v>0</v>
      </c>
      <c r="R1553" s="38">
        <v>0</v>
      </c>
      <c r="S1553" s="38">
        <v>0</v>
      </c>
      <c r="T1553" s="38">
        <v>0</v>
      </c>
      <c r="U1553" s="29" cm="1">
        <f t="array" aca="1" ref="U1553" ca="1">+fair_value_gap(OFFSET(T1552,0,0,-1*$J$5,-1*$AA$1),OFFSET(E1552,0,0,-1*$J$5,1),F1553:T1553,0)</f>
        <v>16.455024145745057</v>
      </c>
      <c r="V1553" s="9" cm="1">
        <f t="array" aca="1" ref="V1553" ca="1">z_score_diff(OFFSET(U1553,0,0,$J$5*-1,1),OFFSET(E1553,0,0,$J$5*-1,1))</f>
        <v>-0.57334095576906208</v>
      </c>
      <c r="W1553" s="9">
        <f t="shared" ca="1" si="241"/>
        <v>-0.8311769012486977</v>
      </c>
      <c r="X1553" s="17">
        <f t="shared" ca="1" si="240"/>
        <v>-2.3425235679858593E-3</v>
      </c>
      <c r="Y1553" s="13">
        <f t="shared" si="246"/>
        <v>0</v>
      </c>
      <c r="Z1553" s="13">
        <f t="shared" si="246"/>
        <v>0</v>
      </c>
      <c r="AA1553">
        <f t="shared" ca="1" si="242"/>
        <v>1</v>
      </c>
      <c r="AB1553">
        <f t="shared" ca="1" si="243"/>
        <v>0</v>
      </c>
      <c r="AC1553" s="24">
        <f t="shared" ca="1" si="244"/>
        <v>-2.3425235679858593E-3</v>
      </c>
      <c r="AD1553" s="24">
        <f t="shared" ca="1" si="245"/>
        <v>0</v>
      </c>
    </row>
    <row r="1554" spans="3:30" x14ac:dyDescent="0.25">
      <c r="C1554" s="6">
        <v>1547</v>
      </c>
      <c r="D1554" s="35">
        <v>44209</v>
      </c>
      <c r="E1554" s="37">
        <v>16.576000000000001</v>
      </c>
      <c r="F1554" s="37">
        <v>45.260104238371518</v>
      </c>
      <c r="G1554" s="37">
        <v>46.85</v>
      </c>
      <c r="H1554" s="37">
        <v>2.3297931622250632</v>
      </c>
      <c r="I1554" s="37">
        <v>69.615170288786175</v>
      </c>
      <c r="J1554" s="10">
        <v>1</v>
      </c>
      <c r="K1554" s="38">
        <v>0</v>
      </c>
      <c r="L1554" s="38">
        <v>0</v>
      </c>
      <c r="M1554" s="38">
        <v>0</v>
      </c>
      <c r="N1554" s="38">
        <v>0</v>
      </c>
      <c r="O1554" s="38">
        <v>0</v>
      </c>
      <c r="P1554" s="38">
        <v>0</v>
      </c>
      <c r="Q1554" s="38">
        <v>0</v>
      </c>
      <c r="R1554" s="38">
        <v>0</v>
      </c>
      <c r="S1554" s="38">
        <v>0</v>
      </c>
      <c r="T1554" s="38">
        <v>0</v>
      </c>
      <c r="U1554" s="29" cm="1">
        <f t="array" aca="1" ref="U1554" ca="1">+fair_value_gap(OFFSET(T1553,0,0,-1*$J$5,-1*$AA$1),OFFSET(E1553,0,0,-1*$J$5,1),F1554:T1554,0)</f>
        <v>15.90027119928237</v>
      </c>
      <c r="V1554" s="9" cm="1">
        <f t="array" aca="1" ref="V1554" ca="1">z_score_diff(OFFSET(U1554,0,0,$J$5*-1,1),OFFSET(E1554,0,0,$J$5*-1,1))</f>
        <v>-0.386068196791711</v>
      </c>
      <c r="W1554" s="9">
        <f t="shared" ca="1" si="241"/>
        <v>-0.81389438647207801</v>
      </c>
      <c r="X1554" s="17">
        <f t="shared" ca="1" si="240"/>
        <v>4.3617311777312782E-2</v>
      </c>
      <c r="Y1554" s="13">
        <f t="shared" si="246"/>
        <v>0</v>
      </c>
      <c r="Z1554" s="13">
        <f t="shared" si="246"/>
        <v>0</v>
      </c>
      <c r="AA1554">
        <f t="shared" ca="1" si="242"/>
        <v>1</v>
      </c>
      <c r="AB1554">
        <f t="shared" ca="1" si="243"/>
        <v>0</v>
      </c>
      <c r="AC1554" s="24">
        <f t="shared" ca="1" si="244"/>
        <v>4.3617311777312782E-2</v>
      </c>
      <c r="AD1554" s="24">
        <f t="shared" ca="1" si="245"/>
        <v>0</v>
      </c>
    </row>
    <row r="1555" spans="3:30" x14ac:dyDescent="0.25">
      <c r="C1555" s="6">
        <v>1548</v>
      </c>
      <c r="D1555" s="35">
        <v>44210</v>
      </c>
      <c r="E1555" s="37">
        <v>16.422999999999998</v>
      </c>
      <c r="F1555" s="37">
        <v>45.520226478895388</v>
      </c>
      <c r="G1555" s="37">
        <v>46.07</v>
      </c>
      <c r="H1555" s="37">
        <v>2.2952613747321373</v>
      </c>
      <c r="I1555" s="37">
        <v>68.972522395591</v>
      </c>
      <c r="J1555" s="10">
        <v>1</v>
      </c>
      <c r="K1555" s="38">
        <v>0</v>
      </c>
      <c r="L1555" s="38">
        <v>0</v>
      </c>
      <c r="M1555" s="38">
        <v>0</v>
      </c>
      <c r="N1555" s="38">
        <v>0</v>
      </c>
      <c r="O1555" s="38">
        <v>0</v>
      </c>
      <c r="P1555" s="38">
        <v>0</v>
      </c>
      <c r="Q1555" s="38">
        <v>0</v>
      </c>
      <c r="R1555" s="38">
        <v>0</v>
      </c>
      <c r="S1555" s="38">
        <v>0</v>
      </c>
      <c r="T1555" s="38">
        <v>0</v>
      </c>
      <c r="U1555" s="29" cm="1">
        <f t="array" aca="1" ref="U1555" ca="1">+fair_value_gap(OFFSET(T1554,0,0,-1*$J$5,-1*$AA$1),OFFSET(E1554,0,0,-1*$J$5,1),F1555:T1555,0)</f>
        <v>15.651847565910074</v>
      </c>
      <c r="V1555" s="9" cm="1">
        <f t="array" aca="1" ref="V1555" ca="1">z_score_diff(OFFSET(U1555,0,0,$J$5*-1,1),OFFSET(E1555,0,0,$J$5*-1,1))</f>
        <v>-0.43937949489475026</v>
      </c>
      <c r="W1555" s="9">
        <f t="shared" ca="1" si="241"/>
        <v>-0.79007961569668483</v>
      </c>
      <c r="X1555" s="17">
        <f t="shared" ca="1" si="240"/>
        <v>1.4987891610470032E-2</v>
      </c>
      <c r="Y1555" s="13">
        <f t="shared" si="246"/>
        <v>0</v>
      </c>
      <c r="Z1555" s="13">
        <f t="shared" si="246"/>
        <v>0</v>
      </c>
      <c r="AA1555">
        <f t="shared" ca="1" si="242"/>
        <v>1</v>
      </c>
      <c r="AB1555">
        <f t="shared" ca="1" si="243"/>
        <v>0</v>
      </c>
      <c r="AC1555" s="24">
        <f t="shared" ca="1" si="244"/>
        <v>1.4987891610470032E-2</v>
      </c>
      <c r="AD1555" s="24">
        <f t="shared" ca="1" si="245"/>
        <v>0</v>
      </c>
    </row>
    <row r="1556" spans="3:30" x14ac:dyDescent="0.25">
      <c r="C1556" s="6">
        <v>1549</v>
      </c>
      <c r="D1556" s="35">
        <v>44211</v>
      </c>
      <c r="E1556" s="37">
        <v>15.86</v>
      </c>
      <c r="F1556" s="37">
        <v>44.946952862202821</v>
      </c>
      <c r="G1556" s="37">
        <v>44.94</v>
      </c>
      <c r="H1556" s="37">
        <v>2.3558175330235134</v>
      </c>
      <c r="I1556" s="37">
        <v>69.000047842232817</v>
      </c>
      <c r="J1556" s="10">
        <v>1</v>
      </c>
      <c r="K1556" s="38">
        <v>0</v>
      </c>
      <c r="L1556" s="38">
        <v>0</v>
      </c>
      <c r="M1556" s="38">
        <v>0</v>
      </c>
      <c r="N1556" s="38">
        <v>0</v>
      </c>
      <c r="O1556" s="38">
        <v>0</v>
      </c>
      <c r="P1556" s="38">
        <v>0</v>
      </c>
      <c r="Q1556" s="38">
        <v>0</v>
      </c>
      <c r="R1556" s="38">
        <v>0</v>
      </c>
      <c r="S1556" s="38">
        <v>0</v>
      </c>
      <c r="T1556" s="38">
        <v>0</v>
      </c>
      <c r="U1556" s="29" cm="1">
        <f t="array" aca="1" ref="U1556" ca="1">+fair_value_gap(OFFSET(T1555,0,0,-1*$J$5,-1*$AA$1),OFFSET(E1555,0,0,-1*$J$5,1),F1556:T1556,0)</f>
        <v>15.427788103147988</v>
      </c>
      <c r="V1556" s="9" cm="1">
        <f t="array" aca="1" ref="V1556" ca="1">z_score_diff(OFFSET(U1556,0,0,$J$5*-1,1),OFFSET(E1556,0,0,$J$5*-1,1))</f>
        <v>-0.27017199589589747</v>
      </c>
      <c r="W1556" s="9">
        <f t="shared" ca="1" si="241"/>
        <v>-0.7680460403191075</v>
      </c>
      <c r="X1556" s="17">
        <f t="shared" ca="1" si="240"/>
        <v>5.4717437921479019E-2</v>
      </c>
      <c r="Y1556" s="13">
        <f t="shared" si="246"/>
        <v>0</v>
      </c>
      <c r="Z1556" s="13">
        <f t="shared" si="246"/>
        <v>0</v>
      </c>
      <c r="AA1556">
        <f t="shared" ca="1" si="242"/>
        <v>1</v>
      </c>
      <c r="AB1556">
        <f t="shared" ca="1" si="243"/>
        <v>0</v>
      </c>
      <c r="AC1556" s="24">
        <f t="shared" ca="1" si="244"/>
        <v>5.4717437921479019E-2</v>
      </c>
      <c r="AD1556" s="24">
        <f t="shared" ca="1" si="245"/>
        <v>0</v>
      </c>
    </row>
    <row r="1557" spans="3:30" x14ac:dyDescent="0.25">
      <c r="C1557" s="6">
        <v>1550</v>
      </c>
      <c r="D1557" s="35">
        <v>44214</v>
      </c>
      <c r="E1557" s="37">
        <v>15.617000000000001</v>
      </c>
      <c r="F1557" s="37">
        <v>44.608764067553949</v>
      </c>
      <c r="G1557" s="37">
        <v>44.61</v>
      </c>
      <c r="H1557" s="37">
        <v>2.3553823290244789</v>
      </c>
      <c r="I1557" s="37">
        <v>67.585287767351559</v>
      </c>
      <c r="J1557" s="10">
        <v>1</v>
      </c>
      <c r="K1557" s="38">
        <v>0</v>
      </c>
      <c r="L1557" s="38">
        <v>0</v>
      </c>
      <c r="M1557" s="38">
        <v>0</v>
      </c>
      <c r="N1557" s="38">
        <v>0</v>
      </c>
      <c r="O1557" s="38">
        <v>0</v>
      </c>
      <c r="P1557" s="38">
        <v>0</v>
      </c>
      <c r="Q1557" s="38">
        <v>0</v>
      </c>
      <c r="R1557" s="38">
        <v>0</v>
      </c>
      <c r="S1557" s="38">
        <v>0</v>
      </c>
      <c r="T1557" s="38">
        <v>0</v>
      </c>
      <c r="U1557" s="29" cm="1">
        <f t="array" aca="1" ref="U1557" ca="1">+fair_value_gap(OFFSET(T1556,0,0,-1*$J$5,-1*$AA$1),OFFSET(E1556,0,0,-1*$J$5,1),F1557:T1557,0)</f>
        <v>15.354082243132284</v>
      </c>
      <c r="V1557" s="9" cm="1">
        <f t="array" aca="1" ref="V1557" ca="1">z_score_diff(OFFSET(U1557,0,0,$J$5*-1,1),OFFSET(E1557,0,0,$J$5*-1,1))</f>
        <v>-0.18283127868032323</v>
      </c>
      <c r="W1557" s="9">
        <f t="shared" ca="1" si="241"/>
        <v>-0.74506134868414686</v>
      </c>
      <c r="X1557" s="17">
        <f t="shared" ca="1" si="240"/>
        <v>4.1147228172768488E-2</v>
      </c>
      <c r="Y1557" s="13">
        <f t="shared" si="246"/>
        <v>0</v>
      </c>
      <c r="Z1557" s="13">
        <f t="shared" si="246"/>
        <v>0</v>
      </c>
      <c r="AA1557">
        <f t="shared" ca="1" si="242"/>
        <v>1</v>
      </c>
      <c r="AB1557">
        <f t="shared" ca="1" si="243"/>
        <v>0</v>
      </c>
      <c r="AC1557" s="24">
        <f t="shared" ca="1" si="244"/>
        <v>4.1147228172768488E-2</v>
      </c>
      <c r="AD1557" s="24">
        <f t="shared" ca="1" si="245"/>
        <v>0</v>
      </c>
    </row>
    <row r="1558" spans="3:30" x14ac:dyDescent="0.25">
      <c r="C1558" s="6">
        <v>1551</v>
      </c>
      <c r="D1558" s="35">
        <v>44215</v>
      </c>
      <c r="E1558" s="37">
        <v>16.414999999999999</v>
      </c>
      <c r="F1558" s="37">
        <v>45.151454916719921</v>
      </c>
      <c r="G1558" s="37">
        <v>45.58</v>
      </c>
      <c r="H1558" s="37">
        <v>2.2448413004801808</v>
      </c>
      <c r="I1558" s="37">
        <v>66.162446671671631</v>
      </c>
      <c r="J1558" s="10">
        <v>1</v>
      </c>
      <c r="K1558" s="38">
        <v>0</v>
      </c>
      <c r="L1558" s="38">
        <v>0</v>
      </c>
      <c r="M1558" s="38">
        <v>0</v>
      </c>
      <c r="N1558" s="38">
        <v>0</v>
      </c>
      <c r="O1558" s="38">
        <v>0</v>
      </c>
      <c r="P1558" s="38">
        <v>0</v>
      </c>
      <c r="Q1558" s="38">
        <v>0</v>
      </c>
      <c r="R1558" s="38">
        <v>0</v>
      </c>
      <c r="S1558" s="38">
        <v>0</v>
      </c>
      <c r="T1558" s="38">
        <v>0</v>
      </c>
      <c r="U1558" s="29" cm="1">
        <f t="array" aca="1" ref="U1558" ca="1">+fair_value_gap(OFFSET(T1557,0,0,-1*$J$5,-1*$AA$1),OFFSET(E1557,0,0,-1*$J$5,1),F1558:T1558,0)</f>
        <v>15.578047385982007</v>
      </c>
      <c r="V1558" s="9" cm="1">
        <f t="array" aca="1" ref="V1558" ca="1">z_score_diff(OFFSET(U1558,0,0,$J$5*-1,1),OFFSET(E1558,0,0,$J$5*-1,1))</f>
        <v>-0.45369023767588268</v>
      </c>
      <c r="W1558" s="9">
        <f t="shared" ca="1" si="241"/>
        <v>-0.73648082237468304</v>
      </c>
      <c r="X1558" s="17">
        <f t="shared" ca="1" si="240"/>
        <v>-8.3810480487063448E-3</v>
      </c>
      <c r="Y1558" s="13">
        <f t="shared" si="246"/>
        <v>0</v>
      </c>
      <c r="Z1558" s="13">
        <f t="shared" si="246"/>
        <v>0</v>
      </c>
      <c r="AA1558">
        <f t="shared" ca="1" si="242"/>
        <v>1</v>
      </c>
      <c r="AB1558">
        <f t="shared" ca="1" si="243"/>
        <v>0</v>
      </c>
      <c r="AC1558" s="24">
        <f t="shared" ca="1" si="244"/>
        <v>-8.3810480487063448E-3</v>
      </c>
      <c r="AD1558" s="24">
        <f t="shared" ca="1" si="245"/>
        <v>0</v>
      </c>
    </row>
    <row r="1559" spans="3:30" x14ac:dyDescent="0.25">
      <c r="C1559" s="6">
        <v>1552</v>
      </c>
      <c r="D1559" s="35">
        <v>44216</v>
      </c>
      <c r="E1559" s="37">
        <v>16.431000000000001</v>
      </c>
      <c r="F1559" s="37">
        <v>45.226680532781323</v>
      </c>
      <c r="G1559" s="37">
        <v>45.92</v>
      </c>
      <c r="H1559" s="37">
        <v>2.255163386217093</v>
      </c>
      <c r="I1559" s="37">
        <v>64.58603641665151</v>
      </c>
      <c r="J1559" s="10">
        <v>1</v>
      </c>
      <c r="K1559" s="38">
        <v>0</v>
      </c>
      <c r="L1559" s="38">
        <v>0</v>
      </c>
      <c r="M1559" s="38">
        <v>0</v>
      </c>
      <c r="N1559" s="38">
        <v>0</v>
      </c>
      <c r="O1559" s="38">
        <v>0</v>
      </c>
      <c r="P1559" s="38">
        <v>0</v>
      </c>
      <c r="Q1559" s="38">
        <v>0</v>
      </c>
      <c r="R1559" s="38">
        <v>0</v>
      </c>
      <c r="S1559" s="38">
        <v>0</v>
      </c>
      <c r="T1559" s="38">
        <v>0</v>
      </c>
      <c r="U1559" s="29" cm="1">
        <f t="array" aca="1" ref="U1559" ca="1">+fair_value_gap(OFFSET(T1558,0,0,-1*$J$5,-1*$AA$1),OFFSET(E1558,0,0,-1*$J$5,1),F1559:T1559,0)</f>
        <v>15.73925823255853</v>
      </c>
      <c r="V1559" s="9" cm="1">
        <f t="array" aca="1" ref="V1559" ca="1">z_score_diff(OFFSET(U1559,0,0,$J$5*-1,1),OFFSET(E1559,0,0,$J$5*-1,1))</f>
        <v>-0.35794472290691415</v>
      </c>
      <c r="W1559" s="9">
        <f t="shared" ca="1" si="241"/>
        <v>-0.72085860737734919</v>
      </c>
      <c r="X1559" s="17">
        <f t="shared" ca="1" si="240"/>
        <v>-1.6073965712016438E-2</v>
      </c>
      <c r="Y1559" s="13">
        <f t="shared" si="246"/>
        <v>0</v>
      </c>
      <c r="Z1559" s="13">
        <f t="shared" si="246"/>
        <v>0</v>
      </c>
      <c r="AA1559">
        <f t="shared" ca="1" si="242"/>
        <v>1</v>
      </c>
      <c r="AB1559">
        <f t="shared" ca="1" si="243"/>
        <v>0</v>
      </c>
      <c r="AC1559" s="24">
        <f t="shared" ca="1" si="244"/>
        <v>-1.6073965712016438E-2</v>
      </c>
      <c r="AD1559" s="24">
        <f t="shared" ca="1" si="245"/>
        <v>0</v>
      </c>
    </row>
    <row r="1560" spans="3:30" x14ac:dyDescent="0.25">
      <c r="C1560" s="6">
        <v>1553</v>
      </c>
      <c r="D1560" s="35">
        <v>44217</v>
      </c>
      <c r="E1560" s="37">
        <v>16.526</v>
      </c>
      <c r="F1560" s="37">
        <v>44.991198264215832</v>
      </c>
      <c r="G1560" s="37">
        <v>46.54</v>
      </c>
      <c r="H1560" s="37">
        <v>2.2237687804478652</v>
      </c>
      <c r="I1560" s="37">
        <v>64.355016989396972</v>
      </c>
      <c r="J1560" s="10">
        <v>1</v>
      </c>
      <c r="K1560" s="38">
        <v>0</v>
      </c>
      <c r="L1560" s="38">
        <v>0</v>
      </c>
      <c r="M1560" s="38">
        <v>0</v>
      </c>
      <c r="N1560" s="38">
        <v>0</v>
      </c>
      <c r="O1560" s="38">
        <v>0</v>
      </c>
      <c r="P1560" s="38">
        <v>0</v>
      </c>
      <c r="Q1560" s="38">
        <v>0</v>
      </c>
      <c r="R1560" s="38">
        <v>0</v>
      </c>
      <c r="S1560" s="38">
        <v>0</v>
      </c>
      <c r="T1560" s="38">
        <v>0</v>
      </c>
      <c r="U1560" s="29" cm="1">
        <f t="array" aca="1" ref="U1560" ca="1">+fair_value_gap(OFFSET(T1559,0,0,-1*$J$5,-1*$AA$1),OFFSET(E1559,0,0,-1*$J$5,1),F1560:T1560,0)</f>
        <v>16.055268647759384</v>
      </c>
      <c r="V1560" s="9" cm="1">
        <f t="array" aca="1" ref="V1560" ca="1">z_score_diff(OFFSET(U1560,0,0,$J$5*-1,1),OFFSET(E1560,0,0,$J$5*-1,1))</f>
        <v>-0.21517351764487391</v>
      </c>
      <c r="W1560" s="9">
        <f t="shared" ca="1" si="241"/>
        <v>-0.69174125162274736</v>
      </c>
      <c r="X1560" s="17">
        <f t="shared" ca="1" si="240"/>
        <v>1.1790319448873527E-2</v>
      </c>
      <c r="Y1560" s="13">
        <f t="shared" si="246"/>
        <v>0</v>
      </c>
      <c r="Z1560" s="13">
        <f t="shared" si="246"/>
        <v>0</v>
      </c>
      <c r="AA1560">
        <f t="shared" ca="1" si="242"/>
        <v>1</v>
      </c>
      <c r="AB1560">
        <f t="shared" ca="1" si="243"/>
        <v>0</v>
      </c>
      <c r="AC1560" s="24">
        <f t="shared" ca="1" si="244"/>
        <v>1.1790319448873527E-2</v>
      </c>
      <c r="AD1560" s="24">
        <f t="shared" ca="1" si="245"/>
        <v>0</v>
      </c>
    </row>
    <row r="1561" spans="3:30" x14ac:dyDescent="0.25">
      <c r="C1561" s="6">
        <v>1554</v>
      </c>
      <c r="D1561" s="35">
        <v>44218</v>
      </c>
      <c r="E1561" s="37">
        <v>16.853999999999999</v>
      </c>
      <c r="F1561" s="37">
        <v>44.444044219736462</v>
      </c>
      <c r="G1561" s="37">
        <v>46.94</v>
      </c>
      <c r="H1561" s="37">
        <v>2.2054200612998716</v>
      </c>
      <c r="I1561" s="37">
        <v>63.649372593194144</v>
      </c>
      <c r="J1561" s="10">
        <v>1</v>
      </c>
      <c r="K1561" s="38">
        <v>0</v>
      </c>
      <c r="L1561" s="38">
        <v>0</v>
      </c>
      <c r="M1561" s="38">
        <v>0</v>
      </c>
      <c r="N1561" s="38">
        <v>0</v>
      </c>
      <c r="O1561" s="38">
        <v>0</v>
      </c>
      <c r="P1561" s="38">
        <v>0</v>
      </c>
      <c r="Q1561" s="38">
        <v>0</v>
      </c>
      <c r="R1561" s="38">
        <v>0</v>
      </c>
      <c r="S1561" s="38">
        <v>0</v>
      </c>
      <c r="T1561" s="38">
        <v>0</v>
      </c>
      <c r="U1561" s="29" cm="1">
        <f t="array" aca="1" ref="U1561" ca="1">+fair_value_gap(OFFSET(T1560,0,0,-1*$J$5,-1*$AA$1),OFFSET(E1560,0,0,-1*$J$5,1),F1561:T1561,0)</f>
        <v>16.273676160350504</v>
      </c>
      <c r="V1561" s="9" cm="1">
        <f t="array" aca="1" ref="V1561" ca="1">z_score_diff(OFFSET(U1561,0,0,$J$5*-1,1),OFFSET(E1561,0,0,$J$5*-1,1))</f>
        <v>-0.24784091439142797</v>
      </c>
      <c r="W1561" s="9">
        <f t="shared" ca="1" si="241"/>
        <v>-0.66101410897513802</v>
      </c>
      <c r="X1561" s="17">
        <f t="shared" ca="1" si="240"/>
        <v>-3.83429686628948E-2</v>
      </c>
      <c r="Y1561" s="13">
        <f t="shared" ref="Y1561:Z1576" si="247">+Y1560</f>
        <v>0</v>
      </c>
      <c r="Z1561" s="13">
        <f t="shared" si="247"/>
        <v>0</v>
      </c>
      <c r="AA1561">
        <f t="shared" ca="1" si="242"/>
        <v>1</v>
      </c>
      <c r="AB1561">
        <f t="shared" ca="1" si="243"/>
        <v>0</v>
      </c>
      <c r="AC1561" s="24">
        <f t="shared" ca="1" si="244"/>
        <v>-3.83429686628948E-2</v>
      </c>
      <c r="AD1561" s="24">
        <f t="shared" ca="1" si="245"/>
        <v>0</v>
      </c>
    </row>
    <row r="1562" spans="3:30" x14ac:dyDescent="0.25">
      <c r="C1562" s="6">
        <v>1555</v>
      </c>
      <c r="D1562" s="35">
        <v>44221</v>
      </c>
      <c r="E1562" s="37">
        <v>16.43</v>
      </c>
      <c r="F1562" s="37">
        <v>44.86995346394071</v>
      </c>
      <c r="G1562" s="37">
        <v>46.27</v>
      </c>
      <c r="H1562" s="37">
        <v>2.2939732930622698</v>
      </c>
      <c r="I1562" s="37">
        <v>63.93578516262999</v>
      </c>
      <c r="J1562" s="10">
        <v>1</v>
      </c>
      <c r="K1562" s="38">
        <v>0</v>
      </c>
      <c r="L1562" s="38">
        <v>0</v>
      </c>
      <c r="M1562" s="38">
        <v>0</v>
      </c>
      <c r="N1562" s="38">
        <v>0</v>
      </c>
      <c r="O1562" s="38">
        <v>0</v>
      </c>
      <c r="P1562" s="38">
        <v>0</v>
      </c>
      <c r="Q1562" s="38">
        <v>0</v>
      </c>
      <c r="R1562" s="38">
        <v>0</v>
      </c>
      <c r="S1562" s="38">
        <v>0</v>
      </c>
      <c r="T1562" s="38">
        <v>0</v>
      </c>
      <c r="U1562" s="29" cm="1">
        <f t="array" aca="1" ref="U1562" ca="1">+fair_value_gap(OFFSET(T1561,0,0,-1*$J$5,-1*$AA$1),OFFSET(E1561,0,0,-1*$J$5,1),F1562:T1562,0)</f>
        <v>16.210781871719409</v>
      </c>
      <c r="V1562" s="9" cm="1">
        <f t="array" aca="1" ref="V1562" ca="1">z_score_diff(OFFSET(U1562,0,0,$J$5*-1,1),OFFSET(E1562,0,0,$J$5*-1,1))</f>
        <v>-6.9825076204233616E-2</v>
      </c>
      <c r="W1562" s="9">
        <f t="shared" ca="1" si="241"/>
        <v>-0.62002345577367424</v>
      </c>
      <c r="X1562" s="17">
        <f t="shared" ca="1" si="240"/>
        <v>-4.0555748773859861E-2</v>
      </c>
      <c r="Y1562" s="13">
        <f t="shared" si="247"/>
        <v>0</v>
      </c>
      <c r="Z1562" s="13">
        <f t="shared" si="247"/>
        <v>0</v>
      </c>
      <c r="AA1562">
        <f t="shared" ca="1" si="242"/>
        <v>1</v>
      </c>
      <c r="AB1562">
        <f t="shared" ca="1" si="243"/>
        <v>0</v>
      </c>
      <c r="AC1562" s="24">
        <f t="shared" ca="1" si="244"/>
        <v>-4.0555748773859861E-2</v>
      </c>
      <c r="AD1562" s="24">
        <f t="shared" ca="1" si="245"/>
        <v>0</v>
      </c>
    </row>
    <row r="1563" spans="3:30" x14ac:dyDescent="0.25">
      <c r="C1563" s="6">
        <v>1556</v>
      </c>
      <c r="D1563" s="35">
        <v>44222</v>
      </c>
      <c r="E1563" s="37">
        <v>16.337</v>
      </c>
      <c r="F1563" s="37">
        <v>44.640079127242238</v>
      </c>
      <c r="G1563" s="37">
        <v>45.27</v>
      </c>
      <c r="H1563" s="37">
        <v>2.3155198784270183</v>
      </c>
      <c r="I1563" s="37">
        <v>65.257048907578991</v>
      </c>
      <c r="J1563" s="10">
        <v>1</v>
      </c>
      <c r="K1563" s="38">
        <v>0</v>
      </c>
      <c r="L1563" s="38">
        <v>0</v>
      </c>
      <c r="M1563" s="38">
        <v>0</v>
      </c>
      <c r="N1563" s="38">
        <v>0</v>
      </c>
      <c r="O1563" s="38">
        <v>0</v>
      </c>
      <c r="P1563" s="38">
        <v>0</v>
      </c>
      <c r="Q1563" s="38">
        <v>0</v>
      </c>
      <c r="R1563" s="38">
        <v>0</v>
      </c>
      <c r="S1563" s="38">
        <v>0</v>
      </c>
      <c r="T1563" s="38">
        <v>0</v>
      </c>
      <c r="U1563" s="29" cm="1">
        <f t="array" aca="1" ref="U1563" ca="1">+fair_value_gap(OFFSET(T1562,0,0,-1*$J$5,-1*$AA$1),OFFSET(E1562,0,0,-1*$J$5,1),F1563:T1563,0)</f>
        <v>16.047141033984914</v>
      </c>
      <c r="V1563" s="9" cm="1">
        <f t="array" aca="1" ref="V1563" ca="1">z_score_diff(OFFSET(U1563,0,0,$J$5*-1,1),OFFSET(E1563,0,0,$J$5*-1,1))</f>
        <v>-0.11539007819629221</v>
      </c>
      <c r="W1563" s="9">
        <f t="shared" ca="1" si="241"/>
        <v>-0.56712413205214074</v>
      </c>
      <c r="X1563" s="17">
        <f t="shared" ca="1" si="240"/>
        <v>-1.8409217689130505E-2</v>
      </c>
      <c r="Y1563" s="13">
        <f t="shared" si="247"/>
        <v>0</v>
      </c>
      <c r="Z1563" s="13">
        <f t="shared" si="247"/>
        <v>0</v>
      </c>
      <c r="AA1563">
        <f t="shared" ca="1" si="242"/>
        <v>1</v>
      </c>
      <c r="AB1563">
        <f t="shared" ca="1" si="243"/>
        <v>0</v>
      </c>
      <c r="AC1563" s="24">
        <f t="shared" ca="1" si="244"/>
        <v>-1.8409217689130505E-2</v>
      </c>
      <c r="AD1563" s="24">
        <f t="shared" ca="1" si="245"/>
        <v>0</v>
      </c>
    </row>
    <row r="1564" spans="3:30" x14ac:dyDescent="0.25">
      <c r="C1564" s="6">
        <v>1557</v>
      </c>
      <c r="D1564" s="35">
        <v>44223</v>
      </c>
      <c r="E1564" s="37">
        <v>16.602</v>
      </c>
      <c r="F1564" s="37">
        <v>44.849025282280685</v>
      </c>
      <c r="G1564" s="37">
        <v>45.96</v>
      </c>
      <c r="H1564" s="37">
        <v>2.3617305866732914</v>
      </c>
      <c r="I1564" s="37">
        <v>67.166597841126517</v>
      </c>
      <c r="J1564" s="10">
        <v>1</v>
      </c>
      <c r="K1564" s="38">
        <v>0</v>
      </c>
      <c r="L1564" s="38">
        <v>0</v>
      </c>
      <c r="M1564" s="38">
        <v>0</v>
      </c>
      <c r="N1564" s="38">
        <v>0</v>
      </c>
      <c r="O1564" s="38">
        <v>0</v>
      </c>
      <c r="P1564" s="38">
        <v>0</v>
      </c>
      <c r="Q1564" s="38">
        <v>0</v>
      </c>
      <c r="R1564" s="38">
        <v>0</v>
      </c>
      <c r="S1564" s="38">
        <v>0</v>
      </c>
      <c r="T1564" s="38">
        <v>0</v>
      </c>
      <c r="U1564" s="29" cm="1">
        <f t="array" aca="1" ref="U1564" ca="1">+fair_value_gap(OFFSET(T1563,0,0,-1*$J$5,-1*$AA$1),OFFSET(E1563,0,0,-1*$J$5,1),F1564:T1564,0)</f>
        <v>16.34225167459249</v>
      </c>
      <c r="V1564" s="9" cm="1">
        <f t="array" aca="1" ref="V1564" ca="1">z_score_diff(OFFSET(U1564,0,0,$J$5*-1,1),OFFSET(E1564,0,0,$J$5*-1,1))</f>
        <v>-8.0106029721730199E-2</v>
      </c>
      <c r="W1564" s="9">
        <f t="shared" ca="1" si="241"/>
        <v>-0.51955530736736211</v>
      </c>
      <c r="X1564" s="17">
        <f t="shared" ca="1" si="240"/>
        <v>-2.6179984895202572E-2</v>
      </c>
      <c r="Y1564" s="13">
        <f t="shared" si="247"/>
        <v>0</v>
      </c>
      <c r="Z1564" s="13">
        <f t="shared" si="247"/>
        <v>0</v>
      </c>
      <c r="AA1564">
        <f t="shared" ca="1" si="242"/>
        <v>1</v>
      </c>
      <c r="AB1564">
        <f t="shared" ca="1" si="243"/>
        <v>0</v>
      </c>
      <c r="AC1564" s="24">
        <f t="shared" ca="1" si="244"/>
        <v>-2.6179984895202572E-2</v>
      </c>
      <c r="AD1564" s="24">
        <f t="shared" ca="1" si="245"/>
        <v>0</v>
      </c>
    </row>
    <row r="1565" spans="3:30" x14ac:dyDescent="0.25">
      <c r="C1565" s="6">
        <v>1558</v>
      </c>
      <c r="D1565" s="35">
        <v>44224</v>
      </c>
      <c r="E1565" s="37">
        <v>16.917999999999999</v>
      </c>
      <c r="F1565" s="37">
        <v>44.391751662533956</v>
      </c>
      <c r="G1565" s="37">
        <v>46.88</v>
      </c>
      <c r="H1565" s="37">
        <v>2.3391322780535662</v>
      </c>
      <c r="I1565" s="37">
        <v>67.372267931293436</v>
      </c>
      <c r="J1565" s="10">
        <v>1</v>
      </c>
      <c r="K1565" s="38">
        <v>0</v>
      </c>
      <c r="L1565" s="38">
        <v>0</v>
      </c>
      <c r="M1565" s="38">
        <v>0</v>
      </c>
      <c r="N1565" s="38">
        <v>0</v>
      </c>
      <c r="O1565" s="38">
        <v>0</v>
      </c>
      <c r="P1565" s="38">
        <v>0</v>
      </c>
      <c r="Q1565" s="38">
        <v>0</v>
      </c>
      <c r="R1565" s="38">
        <v>0</v>
      </c>
      <c r="S1565" s="38">
        <v>0</v>
      </c>
      <c r="T1565" s="38">
        <v>0</v>
      </c>
      <c r="U1565" s="29" cm="1">
        <f t="array" aca="1" ref="U1565" ca="1">+fair_value_gap(OFFSET(T1564,0,0,-1*$J$5,-1*$AA$1),OFFSET(E1564,0,0,-1*$J$5,1),F1565:T1565,0)</f>
        <v>16.58711663335399</v>
      </c>
      <c r="V1565" s="9" cm="1">
        <f t="array" aca="1" ref="V1565" ca="1">z_score_diff(OFFSET(U1565,0,0,$J$5*-1,1),OFFSET(E1565,0,0,$J$5*-1,1))</f>
        <v>-9.8346667237284802E-2</v>
      </c>
      <c r="W1565" s="9">
        <f t="shared" ca="1" si="241"/>
        <v>-0.47707997026570703</v>
      </c>
      <c r="X1565" s="17">
        <f t="shared" ca="1" si="240"/>
        <v>-6.9064648842071141E-2</v>
      </c>
      <c r="Y1565" s="13">
        <f t="shared" si="247"/>
        <v>0</v>
      </c>
      <c r="Z1565" s="13">
        <f t="shared" si="247"/>
        <v>0</v>
      </c>
      <c r="AA1565">
        <f t="shared" ca="1" si="242"/>
        <v>1</v>
      </c>
      <c r="AB1565">
        <f t="shared" ca="1" si="243"/>
        <v>0</v>
      </c>
      <c r="AC1565" s="24">
        <f t="shared" ca="1" si="244"/>
        <v>-6.9064648842071141E-2</v>
      </c>
      <c r="AD1565" s="24">
        <f t="shared" ca="1" si="245"/>
        <v>0</v>
      </c>
    </row>
    <row r="1566" spans="3:30" x14ac:dyDescent="0.25">
      <c r="C1566" s="6">
        <v>1559</v>
      </c>
      <c r="D1566" s="35">
        <v>44225</v>
      </c>
      <c r="E1566" s="37">
        <v>16.736000000000001</v>
      </c>
      <c r="F1566" s="37">
        <v>44.277806067973124</v>
      </c>
      <c r="G1566" s="37">
        <v>47.41</v>
      </c>
      <c r="H1566" s="37">
        <v>2.2791858994365688</v>
      </c>
      <c r="I1566" s="37">
        <v>67.184651017625697</v>
      </c>
      <c r="J1566" s="10">
        <v>1</v>
      </c>
      <c r="K1566" s="38">
        <v>0</v>
      </c>
      <c r="L1566" s="38">
        <v>0</v>
      </c>
      <c r="M1566" s="38">
        <v>0</v>
      </c>
      <c r="N1566" s="38">
        <v>0</v>
      </c>
      <c r="O1566" s="38">
        <v>0</v>
      </c>
      <c r="P1566" s="38">
        <v>0</v>
      </c>
      <c r="Q1566" s="38">
        <v>0</v>
      </c>
      <c r="R1566" s="38">
        <v>0</v>
      </c>
      <c r="S1566" s="38">
        <v>0</v>
      </c>
      <c r="T1566" s="38">
        <v>0</v>
      </c>
      <c r="U1566" s="29" cm="1">
        <f t="array" aca="1" ref="U1566" ca="1">+fair_value_gap(OFFSET(T1565,0,0,-1*$J$5,-1*$AA$1),OFFSET(E1565,0,0,-1*$J$5,1),F1566:T1566,0)</f>
        <v>16.691648236547472</v>
      </c>
      <c r="V1566" s="9" cm="1">
        <f t="array" aca="1" ref="V1566" ca="1">z_score_diff(OFFSET(U1566,0,0,$J$5*-1,1),OFFSET(E1566,0,0,$J$5*-1,1))</f>
        <v>4.6165750502183744E-2</v>
      </c>
      <c r="W1566" s="9">
        <f t="shared" ca="1" si="241"/>
        <v>-0.43249282809473222</v>
      </c>
      <c r="X1566" s="17">
        <f t="shared" ca="1" si="240"/>
        <v>-5.2438661754002899E-2</v>
      </c>
      <c r="Y1566" s="13">
        <f t="shared" si="247"/>
        <v>0</v>
      </c>
      <c r="Z1566" s="13">
        <f t="shared" si="247"/>
        <v>0</v>
      </c>
      <c r="AA1566">
        <f t="shared" ca="1" si="242"/>
        <v>1</v>
      </c>
      <c r="AB1566">
        <f t="shared" ca="1" si="243"/>
        <v>0</v>
      </c>
      <c r="AC1566" s="24">
        <f t="shared" ca="1" si="244"/>
        <v>-5.2438661754002899E-2</v>
      </c>
      <c r="AD1566" s="24">
        <f t="shared" ca="1" si="245"/>
        <v>0</v>
      </c>
    </row>
    <row r="1567" spans="3:30" x14ac:dyDescent="0.25">
      <c r="C1567" s="6">
        <v>1560</v>
      </c>
      <c r="D1567" s="35">
        <v>44228</v>
      </c>
      <c r="E1567" s="37">
        <v>16.315999999999999</v>
      </c>
      <c r="F1567" s="37">
        <v>45.277351659054354</v>
      </c>
      <c r="G1567" s="37">
        <v>46.18</v>
      </c>
      <c r="H1567" s="37">
        <v>2.4394092218425012</v>
      </c>
      <c r="I1567" s="37">
        <v>64.929754431703557</v>
      </c>
      <c r="J1567" s="10">
        <v>0</v>
      </c>
      <c r="K1567" s="38">
        <v>1</v>
      </c>
      <c r="L1567" s="38">
        <v>0</v>
      </c>
      <c r="M1567" s="38">
        <v>0</v>
      </c>
      <c r="N1567" s="38">
        <v>0</v>
      </c>
      <c r="O1567" s="38">
        <v>0</v>
      </c>
      <c r="P1567" s="38">
        <v>0</v>
      </c>
      <c r="Q1567" s="38">
        <v>0</v>
      </c>
      <c r="R1567" s="38">
        <v>0</v>
      </c>
      <c r="S1567" s="38">
        <v>0</v>
      </c>
      <c r="T1567" s="38">
        <v>0</v>
      </c>
      <c r="U1567" s="29" cm="1">
        <f t="array" aca="1" ref="U1567" ca="1">+fair_value_gap(OFFSET(T1566,0,0,-1*$J$5,-1*$AA$1),OFFSET(E1566,0,0,-1*$J$5,1),F1567:T1567,0)</f>
        <v>13.416276001476181</v>
      </c>
      <c r="V1567" s="9" cm="1">
        <f t="array" aca="1" ref="V1567" ca="1">z_score_diff(OFFSET(U1567,0,0,$J$5*-1,1),OFFSET(E1567,0,0,$J$5*-1,1))</f>
        <v>-1.549994194499815</v>
      </c>
      <c r="W1567" s="9">
        <f t="shared" ca="1" si="241"/>
        <v>-0.4361957222102853</v>
      </c>
      <c r="X1567" s="17">
        <f t="shared" ca="1" si="240"/>
        <v>-9.2359501436592821E-3</v>
      </c>
      <c r="Y1567" s="13">
        <f t="shared" si="247"/>
        <v>0</v>
      </c>
      <c r="Z1567" s="13">
        <f t="shared" si="247"/>
        <v>0</v>
      </c>
      <c r="AA1567">
        <f t="shared" ca="1" si="242"/>
        <v>1</v>
      </c>
      <c r="AB1567">
        <f t="shared" ca="1" si="243"/>
        <v>0</v>
      </c>
      <c r="AC1567" s="24">
        <f t="shared" ca="1" si="244"/>
        <v>-9.2359501436592821E-3</v>
      </c>
      <c r="AD1567" s="24">
        <f t="shared" ca="1" si="245"/>
        <v>0</v>
      </c>
    </row>
    <row r="1568" spans="3:30" x14ac:dyDescent="0.25">
      <c r="C1568" s="6">
        <v>1561</v>
      </c>
      <c r="D1568" s="35">
        <v>44229</v>
      </c>
      <c r="E1568" s="37">
        <v>16.423999999999999</v>
      </c>
      <c r="F1568" s="37">
        <v>46.160350749164543</v>
      </c>
      <c r="G1568" s="37">
        <v>46.96</v>
      </c>
      <c r="H1568" s="37">
        <v>2.439986993355193</v>
      </c>
      <c r="I1568" s="37">
        <v>63.916241178938172</v>
      </c>
      <c r="J1568" s="10">
        <v>0</v>
      </c>
      <c r="K1568" s="38">
        <v>1</v>
      </c>
      <c r="L1568" s="38">
        <v>0</v>
      </c>
      <c r="M1568" s="38">
        <v>0</v>
      </c>
      <c r="N1568" s="38">
        <v>0</v>
      </c>
      <c r="O1568" s="38">
        <v>0</v>
      </c>
      <c r="P1568" s="38">
        <v>0</v>
      </c>
      <c r="Q1568" s="38">
        <v>0</v>
      </c>
      <c r="R1568" s="38">
        <v>0</v>
      </c>
      <c r="S1568" s="38">
        <v>0</v>
      </c>
      <c r="T1568" s="38">
        <v>0</v>
      </c>
      <c r="U1568" s="29" cm="1">
        <f t="array" aca="1" ref="U1568" ca="1">+fair_value_gap(OFFSET(T1567,0,0,-1*$J$5,-1*$AA$1),OFFSET(E1567,0,0,-1*$J$5,1),F1568:T1568,0)</f>
        <v>14.48913339294878</v>
      </c>
      <c r="V1568" s="9" cm="1">
        <f t="array" aca="1" ref="V1568" ca="1">z_score_diff(OFFSET(U1568,0,0,$J$5*-1,1),OFFSET(E1568,0,0,$J$5*-1,1))</f>
        <v>-0.99385227087372185</v>
      </c>
      <c r="W1568" s="9">
        <f t="shared" ca="1" si="241"/>
        <v>-0.4409382727411833</v>
      </c>
      <c r="X1568" s="17">
        <f t="shared" ca="1" si="240"/>
        <v>-2.5717553152071877E-2</v>
      </c>
      <c r="Y1568" s="13">
        <f t="shared" si="247"/>
        <v>0</v>
      </c>
      <c r="Z1568" s="13">
        <f t="shared" si="247"/>
        <v>0</v>
      </c>
      <c r="AA1568">
        <f t="shared" ca="1" si="242"/>
        <v>1</v>
      </c>
      <c r="AB1568">
        <f t="shared" ca="1" si="243"/>
        <v>0</v>
      </c>
      <c r="AC1568" s="24">
        <f t="shared" ca="1" si="244"/>
        <v>-2.5717553152071877E-2</v>
      </c>
      <c r="AD1568" s="24">
        <f t="shared" ca="1" si="245"/>
        <v>0</v>
      </c>
    </row>
    <row r="1569" spans="3:30" x14ac:dyDescent="0.25">
      <c r="C1569" s="6">
        <v>1562</v>
      </c>
      <c r="D1569" s="35">
        <v>44230</v>
      </c>
      <c r="E1569" s="37">
        <v>16.439</v>
      </c>
      <c r="F1569" s="37">
        <v>46.866554480507169</v>
      </c>
      <c r="G1569" s="37">
        <v>47.61</v>
      </c>
      <c r="H1569" s="37">
        <v>2.4095468048879618</v>
      </c>
      <c r="I1569" s="37">
        <v>63.77725225579438</v>
      </c>
      <c r="J1569" s="10">
        <v>0</v>
      </c>
      <c r="K1569" s="38">
        <v>1</v>
      </c>
      <c r="L1569" s="38">
        <v>0</v>
      </c>
      <c r="M1569" s="38">
        <v>0</v>
      </c>
      <c r="N1569" s="38">
        <v>0</v>
      </c>
      <c r="O1569" s="38">
        <v>0</v>
      </c>
      <c r="P1569" s="38">
        <v>0</v>
      </c>
      <c r="Q1569" s="38">
        <v>0</v>
      </c>
      <c r="R1569" s="38">
        <v>0</v>
      </c>
      <c r="S1569" s="38">
        <v>0</v>
      </c>
      <c r="T1569" s="38">
        <v>0</v>
      </c>
      <c r="U1569" s="29" cm="1">
        <f t="array" aca="1" ref="U1569" ca="1">+fair_value_gap(OFFSET(T1568,0,0,-1*$J$5,-1*$AA$1),OFFSET(E1568,0,0,-1*$J$5,1),F1569:T1569,0)</f>
        <v>15.115807628132412</v>
      </c>
      <c r="V1569" s="9" cm="1">
        <f t="array" aca="1" ref="V1569" ca="1">z_score_diff(OFFSET(U1569,0,0,$J$5*-1,1),OFFSET(E1569,0,0,$J$5*-1,1))</f>
        <v>-0.6420489970092691</v>
      </c>
      <c r="W1569" s="9">
        <f t="shared" ca="1" si="241"/>
        <v>-0.43376619908547331</v>
      </c>
      <c r="X1569" s="17">
        <f t="shared" ca="1" si="240"/>
        <v>-4.4468352967759445E-2</v>
      </c>
      <c r="Y1569" s="13">
        <f t="shared" si="247"/>
        <v>0</v>
      </c>
      <c r="Z1569" s="13">
        <f t="shared" si="247"/>
        <v>0</v>
      </c>
      <c r="AA1569">
        <f t="shared" ca="1" si="242"/>
        <v>1</v>
      </c>
      <c r="AB1569">
        <f t="shared" ca="1" si="243"/>
        <v>0</v>
      </c>
      <c r="AC1569" s="24">
        <f t="shared" ca="1" si="244"/>
        <v>-4.4468352967759445E-2</v>
      </c>
      <c r="AD1569" s="24">
        <f t="shared" ca="1" si="245"/>
        <v>0</v>
      </c>
    </row>
    <row r="1570" spans="3:30" x14ac:dyDescent="0.25">
      <c r="C1570" s="6">
        <v>1563</v>
      </c>
      <c r="D1570" s="35">
        <v>44231</v>
      </c>
      <c r="E1570" s="37">
        <v>16.654</v>
      </c>
      <c r="F1570" s="37">
        <v>47.426901217681731</v>
      </c>
      <c r="G1570" s="37">
        <v>48.27</v>
      </c>
      <c r="H1570" s="37">
        <v>2.4991321301646581</v>
      </c>
      <c r="I1570" s="37">
        <v>65.891508361936275</v>
      </c>
      <c r="J1570" s="10">
        <v>0</v>
      </c>
      <c r="K1570" s="38">
        <v>1</v>
      </c>
      <c r="L1570" s="38">
        <v>0</v>
      </c>
      <c r="M1570" s="38">
        <v>0</v>
      </c>
      <c r="N1570" s="38">
        <v>0</v>
      </c>
      <c r="O1570" s="38">
        <v>0</v>
      </c>
      <c r="P1570" s="38">
        <v>0</v>
      </c>
      <c r="Q1570" s="38">
        <v>0</v>
      </c>
      <c r="R1570" s="38">
        <v>0</v>
      </c>
      <c r="S1570" s="38">
        <v>0</v>
      </c>
      <c r="T1570" s="38">
        <v>0</v>
      </c>
      <c r="U1570" s="29" cm="1">
        <f t="array" aca="1" ref="U1570" ca="1">+fair_value_gap(OFFSET(T1569,0,0,-1*$J$5,-1*$AA$1),OFFSET(E1569,0,0,-1*$J$5,1),F1570:T1570,0)</f>
        <v>15.670831964811825</v>
      </c>
      <c r="V1570" s="9" cm="1">
        <f t="array" aca="1" ref="V1570" ca="1">z_score_diff(OFFSET(U1570,0,0,$J$5*-1,1),OFFSET(E1570,0,0,$J$5*-1,1))</f>
        <v>-0.42837403214567815</v>
      </c>
      <c r="W1570" s="9">
        <f t="shared" ca="1" si="241"/>
        <v>-0.41891258201008591</v>
      </c>
      <c r="X1570" s="17">
        <f t="shared" ca="1" si="240"/>
        <v>-2.9740156501974906E-2</v>
      </c>
      <c r="Y1570" s="13">
        <f t="shared" si="247"/>
        <v>0</v>
      </c>
      <c r="Z1570" s="13">
        <f t="shared" si="247"/>
        <v>0</v>
      </c>
      <c r="AA1570">
        <f t="shared" ca="1" si="242"/>
        <v>1</v>
      </c>
      <c r="AB1570">
        <f t="shared" ca="1" si="243"/>
        <v>0</v>
      </c>
      <c r="AC1570" s="24">
        <f t="shared" ca="1" si="244"/>
        <v>-2.9740156501974906E-2</v>
      </c>
      <c r="AD1570" s="24">
        <f t="shared" ca="1" si="245"/>
        <v>0</v>
      </c>
    </row>
    <row r="1571" spans="3:30" x14ac:dyDescent="0.25">
      <c r="C1571" s="6">
        <v>1564</v>
      </c>
      <c r="D1571" s="35">
        <v>44232</v>
      </c>
      <c r="E1571" s="37">
        <v>16.986999999999998</v>
      </c>
      <c r="F1571" s="37">
        <v>47.504602421874608</v>
      </c>
      <c r="G1571" s="37">
        <v>49.29</v>
      </c>
      <c r="H1571" s="37">
        <v>2.4595871797119622</v>
      </c>
      <c r="I1571" s="37">
        <v>65.914289920323924</v>
      </c>
      <c r="J1571" s="10">
        <v>0</v>
      </c>
      <c r="K1571" s="38">
        <v>1</v>
      </c>
      <c r="L1571" s="38">
        <v>0</v>
      </c>
      <c r="M1571" s="38">
        <v>0</v>
      </c>
      <c r="N1571" s="38">
        <v>0</v>
      </c>
      <c r="O1571" s="38">
        <v>0</v>
      </c>
      <c r="P1571" s="38">
        <v>0</v>
      </c>
      <c r="Q1571" s="38">
        <v>0</v>
      </c>
      <c r="R1571" s="38">
        <v>0</v>
      </c>
      <c r="S1571" s="38">
        <v>0</v>
      </c>
      <c r="T1571" s="38">
        <v>0</v>
      </c>
      <c r="U1571" s="29" cm="1">
        <f t="array" aca="1" ref="U1571" ca="1">+fair_value_gap(OFFSET(T1570,0,0,-1*$J$5,-1*$AA$1),OFFSET(E1570,0,0,-1*$J$5,1),F1571:T1571,0)</f>
        <v>16.156487184884039</v>
      </c>
      <c r="V1571" s="9" cm="1">
        <f t="array" aca="1" ref="V1571" ca="1">z_score_diff(OFFSET(U1571,0,0,$J$5*-1,1),OFFSET(E1571,0,0,$J$5*-1,1))</f>
        <v>-0.30917894583319883</v>
      </c>
      <c r="W1571" s="9">
        <f t="shared" ca="1" si="241"/>
        <v>-0.40281002879154171</v>
      </c>
      <c r="X1571" s="17">
        <f t="shared" ca="1" si="240"/>
        <v>-1.8417820997731808E-2</v>
      </c>
      <c r="Y1571" s="13">
        <f t="shared" si="247"/>
        <v>0</v>
      </c>
      <c r="Z1571" s="13">
        <f t="shared" si="247"/>
        <v>0</v>
      </c>
      <c r="AA1571">
        <f t="shared" ca="1" si="242"/>
        <v>1</v>
      </c>
      <c r="AB1571">
        <f t="shared" ca="1" si="243"/>
        <v>0</v>
      </c>
      <c r="AC1571" s="24">
        <f t="shared" ca="1" si="244"/>
        <v>-1.8417820997731808E-2</v>
      </c>
      <c r="AD1571" s="24">
        <f t="shared" ca="1" si="245"/>
        <v>0</v>
      </c>
    </row>
    <row r="1572" spans="3:30" x14ac:dyDescent="0.25">
      <c r="C1572" s="6">
        <v>1565</v>
      </c>
      <c r="D1572" s="35">
        <v>44235</v>
      </c>
      <c r="E1572" s="37">
        <v>17.748999999999999</v>
      </c>
      <c r="F1572" s="37">
        <v>48.415758647236416</v>
      </c>
      <c r="G1572" s="37">
        <v>50.22</v>
      </c>
      <c r="H1572" s="37">
        <v>2.4840467801246491</v>
      </c>
      <c r="I1572" s="37">
        <v>65.078056456661074</v>
      </c>
      <c r="J1572" s="10">
        <v>0</v>
      </c>
      <c r="K1572" s="38">
        <v>1</v>
      </c>
      <c r="L1572" s="38">
        <v>0</v>
      </c>
      <c r="M1572" s="38">
        <v>0</v>
      </c>
      <c r="N1572" s="38">
        <v>0</v>
      </c>
      <c r="O1572" s="38">
        <v>0</v>
      </c>
      <c r="P1572" s="38">
        <v>0</v>
      </c>
      <c r="Q1572" s="38">
        <v>0</v>
      </c>
      <c r="R1572" s="38">
        <v>0</v>
      </c>
      <c r="S1572" s="38">
        <v>0</v>
      </c>
      <c r="T1572" s="38">
        <v>0</v>
      </c>
      <c r="U1572" s="29" cm="1">
        <f t="array" aca="1" ref="U1572" ca="1">+fair_value_gap(OFFSET(T1571,0,0,-1*$J$5,-1*$AA$1),OFFSET(E1571,0,0,-1*$J$5,1),F1572:T1572,0)</f>
        <v>16.537559880448523</v>
      </c>
      <c r="V1572" s="9" cm="1">
        <f t="array" aca="1" ref="V1572" ca="1">z_score_diff(OFFSET(U1572,0,0,$J$5*-1,1),OFFSET(E1572,0,0,$J$5*-1,1))</f>
        <v>-0.4466198203888736</v>
      </c>
      <c r="W1572" s="9">
        <f t="shared" ca="1" si="241"/>
        <v>-0.39070058381293776</v>
      </c>
      <c r="X1572" s="17">
        <f t="shared" ca="1" si="240"/>
        <v>-7.3211249031605405E-2</v>
      </c>
      <c r="Y1572" s="13">
        <f t="shared" si="247"/>
        <v>0</v>
      </c>
      <c r="Z1572" s="13">
        <f t="shared" si="247"/>
        <v>0</v>
      </c>
      <c r="AA1572">
        <f t="shared" ca="1" si="242"/>
        <v>1</v>
      </c>
      <c r="AB1572">
        <f t="shared" ca="1" si="243"/>
        <v>0</v>
      </c>
      <c r="AC1572" s="24">
        <f t="shared" ca="1" si="244"/>
        <v>-7.3211249031605405E-2</v>
      </c>
      <c r="AD1572" s="24">
        <f t="shared" ca="1" si="245"/>
        <v>0</v>
      </c>
    </row>
    <row r="1573" spans="3:30" x14ac:dyDescent="0.25">
      <c r="C1573" s="6">
        <v>1566</v>
      </c>
      <c r="D1573" s="35">
        <v>44236</v>
      </c>
      <c r="E1573" s="37">
        <v>17.481999999999999</v>
      </c>
      <c r="F1573" s="37">
        <v>48.429096595903182</v>
      </c>
      <c r="G1573" s="37">
        <v>49.92</v>
      </c>
      <c r="H1573" s="37">
        <v>2.4502327309981573</v>
      </c>
      <c r="I1573" s="37">
        <v>64.70916641931376</v>
      </c>
      <c r="J1573" s="10">
        <v>0</v>
      </c>
      <c r="K1573" s="38">
        <v>1</v>
      </c>
      <c r="L1573" s="38">
        <v>0</v>
      </c>
      <c r="M1573" s="38">
        <v>0</v>
      </c>
      <c r="N1573" s="38">
        <v>0</v>
      </c>
      <c r="O1573" s="38">
        <v>0</v>
      </c>
      <c r="P1573" s="38">
        <v>0</v>
      </c>
      <c r="Q1573" s="38">
        <v>0</v>
      </c>
      <c r="R1573" s="38">
        <v>0</v>
      </c>
      <c r="S1573" s="38">
        <v>0</v>
      </c>
      <c r="T1573" s="38">
        <v>0</v>
      </c>
      <c r="U1573" s="29" cm="1">
        <f t="array" aca="1" ref="U1573" ca="1">+fair_value_gap(OFFSET(T1572,0,0,-1*$J$5,-1*$AA$1),OFFSET(E1572,0,0,-1*$J$5,1),F1573:T1573,0)</f>
        <v>16.578537599974823</v>
      </c>
      <c r="V1573" s="9" cm="1">
        <f t="array" aca="1" ref="V1573" ca="1">z_score_diff(OFFSET(U1573,0,0,$J$5*-1,1),OFFSET(E1573,0,0,$J$5*-1,1))</f>
        <v>-0.28669311737922287</v>
      </c>
      <c r="W1573" s="9">
        <f t="shared" ca="1" si="241"/>
        <v>-0.37636819189344584</v>
      </c>
      <c r="X1573" s="17">
        <f t="shared" ca="1" si="240"/>
        <v>-1.6727620818086812E-2</v>
      </c>
      <c r="Y1573" s="13">
        <f t="shared" si="247"/>
        <v>0</v>
      </c>
      <c r="Z1573" s="13">
        <f t="shared" si="247"/>
        <v>0</v>
      </c>
      <c r="AA1573">
        <f t="shared" ca="1" si="242"/>
        <v>1</v>
      </c>
      <c r="AB1573">
        <f t="shared" ca="1" si="243"/>
        <v>0</v>
      </c>
      <c r="AC1573" s="24">
        <f t="shared" ca="1" si="244"/>
        <v>-1.6727620818086812E-2</v>
      </c>
      <c r="AD1573" s="24">
        <f t="shared" ca="1" si="245"/>
        <v>0</v>
      </c>
    </row>
    <row r="1574" spans="3:30" x14ac:dyDescent="0.25">
      <c r="C1574" s="6">
        <v>1567</v>
      </c>
      <c r="D1574" s="35">
        <v>44237</v>
      </c>
      <c r="E1574" s="37">
        <v>17.315000000000001</v>
      </c>
      <c r="F1574" s="37">
        <v>48.653999197595411</v>
      </c>
      <c r="G1574" s="37">
        <v>50.07</v>
      </c>
      <c r="H1574" s="37">
        <v>2.481205974625599</v>
      </c>
      <c r="I1574" s="37">
        <v>64.702090855876293</v>
      </c>
      <c r="J1574" s="10">
        <v>0</v>
      </c>
      <c r="K1574" s="38">
        <v>1</v>
      </c>
      <c r="L1574" s="38">
        <v>0</v>
      </c>
      <c r="M1574" s="38">
        <v>0</v>
      </c>
      <c r="N1574" s="38">
        <v>0</v>
      </c>
      <c r="O1574" s="38">
        <v>0</v>
      </c>
      <c r="P1574" s="38">
        <v>0</v>
      </c>
      <c r="Q1574" s="38">
        <v>0</v>
      </c>
      <c r="R1574" s="38">
        <v>0</v>
      </c>
      <c r="S1574" s="38">
        <v>0</v>
      </c>
      <c r="T1574" s="38">
        <v>0</v>
      </c>
      <c r="U1574" s="29" cm="1">
        <f t="array" aca="1" ref="U1574" ca="1">+fair_value_gap(OFFSET(T1573,0,0,-1*$J$5,-1*$AA$1),OFFSET(E1573,0,0,-1*$J$5,1),F1574:T1574,0)</f>
        <v>16.744881712491864</v>
      </c>
      <c r="V1574" s="9" cm="1">
        <f t="array" aca="1" ref="V1574" ca="1">z_score_diff(OFFSET(U1574,0,0,$J$5*-1,1),OFFSET(E1574,0,0,$J$5*-1,1))</f>
        <v>-0.1107524121138983</v>
      </c>
      <c r="W1574" s="9">
        <f t="shared" ca="1" si="241"/>
        <v>-0.36260240265955518</v>
      </c>
      <c r="X1574" s="17">
        <f t="shared" ca="1" si="240"/>
        <v>2.7344341107770731E-2</v>
      </c>
      <c r="Y1574" s="13">
        <f t="shared" si="247"/>
        <v>0</v>
      </c>
      <c r="Z1574" s="13">
        <f t="shared" si="247"/>
        <v>0</v>
      </c>
      <c r="AA1574">
        <f t="shared" ca="1" si="242"/>
        <v>1</v>
      </c>
      <c r="AB1574">
        <f t="shared" ca="1" si="243"/>
        <v>0</v>
      </c>
      <c r="AC1574" s="24">
        <f t="shared" ca="1" si="244"/>
        <v>2.7344341107770731E-2</v>
      </c>
      <c r="AD1574" s="24">
        <f t="shared" ca="1" si="245"/>
        <v>0</v>
      </c>
    </row>
    <row r="1575" spans="3:30" x14ac:dyDescent="0.25">
      <c r="C1575" s="6">
        <v>1568</v>
      </c>
      <c r="D1575" s="35">
        <v>44238</v>
      </c>
      <c r="E1575" s="37">
        <v>16.670999999999999</v>
      </c>
      <c r="F1575" s="37">
        <v>48.327629128977449</v>
      </c>
      <c r="G1575" s="37">
        <v>49.35</v>
      </c>
      <c r="H1575" s="37">
        <v>2.4434856672112151</v>
      </c>
      <c r="I1575" s="37">
        <v>64.844770899605194</v>
      </c>
      <c r="J1575" s="10">
        <v>0</v>
      </c>
      <c r="K1575" s="38">
        <v>1</v>
      </c>
      <c r="L1575" s="38">
        <v>0</v>
      </c>
      <c r="M1575" s="38">
        <v>0</v>
      </c>
      <c r="N1575" s="38">
        <v>0</v>
      </c>
      <c r="O1575" s="38">
        <v>0</v>
      </c>
      <c r="P1575" s="38">
        <v>0</v>
      </c>
      <c r="Q1575" s="38">
        <v>0</v>
      </c>
      <c r="R1575" s="38">
        <v>0</v>
      </c>
      <c r="S1575" s="38">
        <v>0</v>
      </c>
      <c r="T1575" s="38">
        <v>0</v>
      </c>
      <c r="U1575" s="29" cm="1">
        <f t="array" aca="1" ref="U1575" ca="1">+fair_value_gap(OFFSET(T1574,0,0,-1*$J$5,-1*$AA$1),OFFSET(E1574,0,0,-1*$J$5,1),F1575:T1575,0)</f>
        <v>16.55495924118356</v>
      </c>
      <c r="V1575" s="9" cm="1">
        <f t="array" aca="1" ref="V1575" ca="1">z_score_diff(OFFSET(U1575,0,0,$J$5*-1,1),OFFSET(E1575,0,0,$J$5*-1,1))</f>
        <v>8.6691455951080743E-2</v>
      </c>
      <c r="W1575" s="9">
        <f t="shared" ca="1" si="241"/>
        <v>-0.33629885511726365</v>
      </c>
      <c r="X1575" s="17">
        <f t="shared" ca="1" si="240"/>
        <v>9.1480212356858645E-2</v>
      </c>
      <c r="Y1575" s="13">
        <f t="shared" si="247"/>
        <v>0</v>
      </c>
      <c r="Z1575" s="13">
        <f t="shared" si="247"/>
        <v>0</v>
      </c>
      <c r="AA1575">
        <f t="shared" ca="1" si="242"/>
        <v>1</v>
      </c>
      <c r="AB1575">
        <f t="shared" ca="1" si="243"/>
        <v>0</v>
      </c>
      <c r="AC1575" s="24">
        <f t="shared" ca="1" si="244"/>
        <v>9.1480212356858645E-2</v>
      </c>
      <c r="AD1575" s="24">
        <f t="shared" ca="1" si="245"/>
        <v>0</v>
      </c>
    </row>
    <row r="1576" spans="3:30" x14ac:dyDescent="0.25">
      <c r="C1576" s="6">
        <v>1569</v>
      </c>
      <c r="D1576" s="35">
        <v>44239</v>
      </c>
      <c r="E1576" s="37">
        <v>16.751999999999999</v>
      </c>
      <c r="F1576" s="37">
        <v>49.139907738322798</v>
      </c>
      <c r="G1576" s="37">
        <v>48.94</v>
      </c>
      <c r="H1576" s="37">
        <v>2.4722051626089452</v>
      </c>
      <c r="I1576" s="37">
        <v>64.620992943486215</v>
      </c>
      <c r="J1576" s="10">
        <v>0</v>
      </c>
      <c r="K1576" s="38">
        <v>1</v>
      </c>
      <c r="L1576" s="38">
        <v>0</v>
      </c>
      <c r="M1576" s="38">
        <v>0</v>
      </c>
      <c r="N1576" s="38">
        <v>0</v>
      </c>
      <c r="O1576" s="38">
        <v>0</v>
      </c>
      <c r="P1576" s="38">
        <v>0</v>
      </c>
      <c r="Q1576" s="38">
        <v>0</v>
      </c>
      <c r="R1576" s="38">
        <v>0</v>
      </c>
      <c r="S1576" s="38">
        <v>0</v>
      </c>
      <c r="T1576" s="38">
        <v>0</v>
      </c>
      <c r="U1576" s="29" cm="1">
        <f t="array" aca="1" ref="U1576" ca="1">+fair_value_gap(OFFSET(T1575,0,0,-1*$J$5,-1*$AA$1),OFFSET(E1575,0,0,-1*$J$5,1),F1576:T1576,0)</f>
        <v>16.374604711491983</v>
      </c>
      <c r="V1576" s="9" cm="1">
        <f t="array" aca="1" ref="V1576" ca="1">z_score_diff(OFFSET(U1576,0,0,$J$5*-1,1),OFFSET(E1576,0,0,$J$5*-1,1))</f>
        <v>-4.6155810324549629E-2</v>
      </c>
      <c r="W1576" s="9">
        <f t="shared" ca="1" si="241"/>
        <v>-0.32509804583869628</v>
      </c>
      <c r="X1576" s="17">
        <f t="shared" ca="1" si="240"/>
        <v>0.10657753982636933</v>
      </c>
      <c r="Y1576" s="13">
        <f t="shared" si="247"/>
        <v>0</v>
      </c>
      <c r="Z1576" s="13">
        <f t="shared" si="247"/>
        <v>0</v>
      </c>
      <c r="AA1576">
        <f t="shared" ca="1" si="242"/>
        <v>1</v>
      </c>
      <c r="AB1576">
        <f t="shared" ca="1" si="243"/>
        <v>0</v>
      </c>
      <c r="AC1576" s="24">
        <f t="shared" ca="1" si="244"/>
        <v>0.10657753982636933</v>
      </c>
      <c r="AD1576" s="24">
        <f t="shared" ca="1" si="245"/>
        <v>0</v>
      </c>
    </row>
    <row r="1577" spans="3:30" x14ac:dyDescent="0.25">
      <c r="C1577" s="6">
        <v>1570</v>
      </c>
      <c r="D1577" s="35">
        <v>44242</v>
      </c>
      <c r="E1577" s="37">
        <v>16.273</v>
      </c>
      <c r="F1577" s="37">
        <v>49.667487340867766</v>
      </c>
      <c r="G1577" s="37">
        <v>48.83</v>
      </c>
      <c r="H1577" s="37">
        <v>2.4694135984455916</v>
      </c>
      <c r="I1577" s="37">
        <v>64.05529121342073</v>
      </c>
      <c r="J1577" s="10">
        <v>0</v>
      </c>
      <c r="K1577" s="38">
        <v>1</v>
      </c>
      <c r="L1577" s="38">
        <v>0</v>
      </c>
      <c r="M1577" s="38">
        <v>0</v>
      </c>
      <c r="N1577" s="38">
        <v>0</v>
      </c>
      <c r="O1577" s="38">
        <v>0</v>
      </c>
      <c r="P1577" s="38">
        <v>0</v>
      </c>
      <c r="Q1577" s="38">
        <v>0</v>
      </c>
      <c r="R1577" s="38">
        <v>0</v>
      </c>
      <c r="S1577" s="38">
        <v>0</v>
      </c>
      <c r="T1577" s="38">
        <v>0</v>
      </c>
      <c r="U1577" s="29" cm="1">
        <f t="array" aca="1" ref="U1577" ca="1">+fair_value_gap(OFFSET(T1576,0,0,-1*$J$5,-1*$AA$1),OFFSET(E1576,0,0,-1*$J$5,1),F1577:T1577,0)</f>
        <v>16.343987265458164</v>
      </c>
      <c r="V1577" s="9" cm="1">
        <f t="array" aca="1" ref="V1577" ca="1">z_score_diff(OFFSET(U1577,0,0,$J$5*-1,1),OFFSET(E1577,0,0,$J$5*-1,1))</f>
        <v>0.15820907426098718</v>
      </c>
      <c r="W1577" s="9">
        <f t="shared" ca="1" si="241"/>
        <v>-0.30804602819163074</v>
      </c>
      <c r="X1577" s="17">
        <f t="shared" ca="1" si="240"/>
        <v>0.11092480102118912</v>
      </c>
      <c r="Y1577" s="13">
        <f t="shared" ref="Y1577:Z1592" si="248">+Y1576</f>
        <v>0</v>
      </c>
      <c r="Z1577" s="13">
        <f t="shared" si="248"/>
        <v>0</v>
      </c>
      <c r="AA1577">
        <f t="shared" ca="1" si="242"/>
        <v>1</v>
      </c>
      <c r="AB1577">
        <f t="shared" ca="1" si="243"/>
        <v>0</v>
      </c>
      <c r="AC1577" s="24">
        <f t="shared" ca="1" si="244"/>
        <v>0.11092480102118912</v>
      </c>
      <c r="AD1577" s="24">
        <f t="shared" ca="1" si="245"/>
        <v>0</v>
      </c>
    </row>
    <row r="1578" spans="3:30" x14ac:dyDescent="0.25">
      <c r="C1578" s="6">
        <v>1571</v>
      </c>
      <c r="D1578" s="35">
        <v>44243</v>
      </c>
      <c r="E1578" s="37">
        <v>16.277999999999999</v>
      </c>
      <c r="F1578" s="37">
        <v>49.804878771369935</v>
      </c>
      <c r="G1578" s="37">
        <v>48.34</v>
      </c>
      <c r="H1578" s="37">
        <v>2.5322143420275163</v>
      </c>
      <c r="I1578" s="37">
        <v>64.190028819677039</v>
      </c>
      <c r="J1578" s="10">
        <v>0</v>
      </c>
      <c r="K1578" s="38">
        <v>1</v>
      </c>
      <c r="L1578" s="38">
        <v>0</v>
      </c>
      <c r="M1578" s="38">
        <v>0</v>
      </c>
      <c r="N1578" s="38">
        <v>0</v>
      </c>
      <c r="O1578" s="38">
        <v>0</v>
      </c>
      <c r="P1578" s="38">
        <v>0</v>
      </c>
      <c r="Q1578" s="38">
        <v>0</v>
      </c>
      <c r="R1578" s="38">
        <v>0</v>
      </c>
      <c r="S1578" s="38">
        <v>0</v>
      </c>
      <c r="T1578" s="38">
        <v>0</v>
      </c>
      <c r="U1578" s="29" cm="1">
        <f t="array" aca="1" ref="U1578" ca="1">+fair_value_gap(OFFSET(T1577,0,0,-1*$J$5,-1*$AA$1),OFFSET(E1577,0,0,-1*$J$5,1),F1578:T1578,0)</f>
        <v>16.248842181298251</v>
      </c>
      <c r="V1578" s="9" cm="1">
        <f t="array" aca="1" ref="V1578" ca="1">z_score_diff(OFFSET(U1578,0,0,$J$5*-1,1),OFFSET(E1578,0,0,$J$5*-1,1))</f>
        <v>0.10472702882891305</v>
      </c>
      <c r="W1578" s="9">
        <f t="shared" ca="1" si="241"/>
        <v>-0.280125164866391</v>
      </c>
      <c r="X1578" s="17">
        <f t="shared" ca="1" si="240"/>
        <v>9.7664185208887255E-2</v>
      </c>
      <c r="Y1578" s="13">
        <f t="shared" si="248"/>
        <v>0</v>
      </c>
      <c r="Z1578" s="13">
        <f t="shared" si="248"/>
        <v>0</v>
      </c>
      <c r="AA1578">
        <f t="shared" ca="1" si="242"/>
        <v>1</v>
      </c>
      <c r="AB1578">
        <f t="shared" ca="1" si="243"/>
        <v>0</v>
      </c>
      <c r="AC1578" s="24">
        <f t="shared" ca="1" si="244"/>
        <v>9.7664185208887255E-2</v>
      </c>
      <c r="AD1578" s="24">
        <f t="shared" ca="1" si="245"/>
        <v>0</v>
      </c>
    </row>
    <row r="1579" spans="3:30" x14ac:dyDescent="0.25">
      <c r="C1579" s="6">
        <v>1572</v>
      </c>
      <c r="D1579" s="35">
        <v>44244</v>
      </c>
      <c r="E1579" s="37">
        <v>16.169</v>
      </c>
      <c r="F1579" s="37">
        <v>50.532297808750108</v>
      </c>
      <c r="G1579" s="37">
        <v>48.1</v>
      </c>
      <c r="H1579" s="37">
        <v>2.5783304400207192</v>
      </c>
      <c r="I1579" s="37">
        <v>64.375516121184845</v>
      </c>
      <c r="J1579" s="10">
        <v>0</v>
      </c>
      <c r="K1579" s="38">
        <v>1</v>
      </c>
      <c r="L1579" s="38">
        <v>0</v>
      </c>
      <c r="M1579" s="38">
        <v>0</v>
      </c>
      <c r="N1579" s="38">
        <v>0</v>
      </c>
      <c r="O1579" s="38">
        <v>0</v>
      </c>
      <c r="P1579" s="38">
        <v>0</v>
      </c>
      <c r="Q1579" s="38">
        <v>0</v>
      </c>
      <c r="R1579" s="38">
        <v>0</v>
      </c>
      <c r="S1579" s="38">
        <v>0</v>
      </c>
      <c r="T1579" s="38">
        <v>0</v>
      </c>
      <c r="U1579" s="29" cm="1">
        <f t="array" aca="1" ref="U1579" ca="1">+fair_value_gap(OFFSET(T1578,0,0,-1*$J$5,-1*$AA$1),OFFSET(E1578,0,0,-1*$J$5,1),F1579:T1579,0)</f>
        <v>16.230925530445273</v>
      </c>
      <c r="V1579" s="9" cm="1">
        <f t="array" aca="1" ref="V1579" ca="1">z_score_diff(OFFSET(U1579,0,0,$J$5*-1,1),OFFSET(E1579,0,0,$J$5*-1,1))</f>
        <v>0.14557145026954554</v>
      </c>
      <c r="W1579" s="9">
        <f t="shared" ca="1" si="241"/>
        <v>-0.25494935620756798</v>
      </c>
      <c r="X1579" s="17">
        <f t="shared" ca="1" si="240"/>
        <v>0.11104658903468023</v>
      </c>
      <c r="Y1579" s="13">
        <f t="shared" si="248"/>
        <v>0</v>
      </c>
      <c r="Z1579" s="13">
        <f t="shared" si="248"/>
        <v>0</v>
      </c>
      <c r="AA1579">
        <f t="shared" ca="1" si="242"/>
        <v>1</v>
      </c>
      <c r="AB1579">
        <f t="shared" ca="1" si="243"/>
        <v>0</v>
      </c>
      <c r="AC1579" s="24">
        <f t="shared" ca="1" si="244"/>
        <v>0.11104658903468023</v>
      </c>
      <c r="AD1579" s="24">
        <f t="shared" ca="1" si="245"/>
        <v>0</v>
      </c>
    </row>
    <row r="1580" spans="3:30" x14ac:dyDescent="0.25">
      <c r="C1580" s="6">
        <v>1573</v>
      </c>
      <c r="D1580" s="35">
        <v>44245</v>
      </c>
      <c r="E1580" s="37">
        <v>16.722000000000001</v>
      </c>
      <c r="F1580" s="37">
        <v>50.006921373200441</v>
      </c>
      <c r="G1580" s="37">
        <v>48.02</v>
      </c>
      <c r="H1580" s="37">
        <v>2.5197094341612614</v>
      </c>
      <c r="I1580" s="37">
        <v>63.693112904076358</v>
      </c>
      <c r="J1580" s="10">
        <v>0</v>
      </c>
      <c r="K1580" s="38">
        <v>1</v>
      </c>
      <c r="L1580" s="38">
        <v>0</v>
      </c>
      <c r="M1580" s="38">
        <v>0</v>
      </c>
      <c r="N1580" s="38">
        <v>0</v>
      </c>
      <c r="O1580" s="38">
        <v>0</v>
      </c>
      <c r="P1580" s="38">
        <v>0</v>
      </c>
      <c r="Q1580" s="38">
        <v>0</v>
      </c>
      <c r="R1580" s="38">
        <v>0</v>
      </c>
      <c r="S1580" s="38">
        <v>0</v>
      </c>
      <c r="T1580" s="38">
        <v>0</v>
      </c>
      <c r="U1580" s="29" cm="1">
        <f t="array" aca="1" ref="U1580" ca="1">+fair_value_gap(OFFSET(T1579,0,0,-1*$J$5,-1*$AA$1),OFFSET(E1579,0,0,-1*$J$5,1),F1580:T1580,0)</f>
        <v>16.286820699675534</v>
      </c>
      <c r="V1580" s="9" cm="1">
        <f t="array" aca="1" ref="V1580" ca="1">z_score_diff(OFFSET(U1580,0,0,$J$5*-1,1),OFFSET(E1580,0,0,$J$5*-1,1))</f>
        <v>-8.0035850299041922E-2</v>
      </c>
      <c r="W1580" s="9">
        <f t="shared" ca="1" si="241"/>
        <v>-0.24819247284027632</v>
      </c>
      <c r="X1580" s="17">
        <f t="shared" ca="1" si="240"/>
        <v>7.114340995017987E-2</v>
      </c>
      <c r="Y1580" s="13">
        <f t="shared" si="248"/>
        <v>0</v>
      </c>
      <c r="Z1580" s="13">
        <f t="shared" si="248"/>
        <v>0</v>
      </c>
      <c r="AA1580">
        <f t="shared" ca="1" si="242"/>
        <v>1</v>
      </c>
      <c r="AB1580">
        <f t="shared" ca="1" si="243"/>
        <v>0</v>
      </c>
      <c r="AC1580" s="24">
        <f t="shared" ca="1" si="244"/>
        <v>7.114340995017987E-2</v>
      </c>
      <c r="AD1580" s="24">
        <f t="shared" ca="1" si="245"/>
        <v>0</v>
      </c>
    </row>
    <row r="1581" spans="3:30" x14ac:dyDescent="0.25">
      <c r="C1581" s="6">
        <v>1574</v>
      </c>
      <c r="D1581" s="35">
        <v>44246</v>
      </c>
      <c r="E1581" s="37">
        <v>16.22</v>
      </c>
      <c r="F1581" s="37">
        <v>49.272834956567515</v>
      </c>
      <c r="G1581" s="37">
        <v>48.05</v>
      </c>
      <c r="H1581" s="37">
        <v>2.5393195577783625</v>
      </c>
      <c r="I1581" s="37">
        <v>64.32613845748881</v>
      </c>
      <c r="J1581" s="10">
        <v>0</v>
      </c>
      <c r="K1581" s="38">
        <v>1</v>
      </c>
      <c r="L1581" s="38">
        <v>0</v>
      </c>
      <c r="M1581" s="38">
        <v>0</v>
      </c>
      <c r="N1581" s="38">
        <v>0</v>
      </c>
      <c r="O1581" s="38">
        <v>0</v>
      </c>
      <c r="P1581" s="38">
        <v>0</v>
      </c>
      <c r="Q1581" s="38">
        <v>0</v>
      </c>
      <c r="R1581" s="38">
        <v>0</v>
      </c>
      <c r="S1581" s="38">
        <v>0</v>
      </c>
      <c r="T1581" s="38">
        <v>0</v>
      </c>
      <c r="U1581" s="29" cm="1">
        <f t="array" aca="1" ref="U1581" ca="1">+fair_value_gap(OFFSET(T1580,0,0,-1*$J$5,-1*$AA$1),OFFSET(E1580,0,0,-1*$J$5,1),F1581:T1581,0)</f>
        <v>16.57202040131779</v>
      </c>
      <c r="V1581" s="9" cm="1">
        <f t="array" aca="1" ref="V1581" ca="1">z_score_diff(OFFSET(U1581,0,0,$J$5*-1,1),OFFSET(E1581,0,0,$J$5*-1,1))</f>
        <v>0.29990721738792936</v>
      </c>
      <c r="W1581" s="9">
        <f t="shared" ca="1" si="241"/>
        <v>-0.22080506625130844</v>
      </c>
      <c r="X1581" s="17">
        <f t="shared" ca="1" si="240"/>
        <v>7.5041128313801372E-2</v>
      </c>
      <c r="Y1581" s="13">
        <f t="shared" si="248"/>
        <v>0</v>
      </c>
      <c r="Z1581" s="13">
        <f t="shared" si="248"/>
        <v>0</v>
      </c>
      <c r="AA1581">
        <f t="shared" ca="1" si="242"/>
        <v>1</v>
      </c>
      <c r="AB1581">
        <f t="shared" ca="1" si="243"/>
        <v>0</v>
      </c>
      <c r="AC1581" s="24">
        <f t="shared" ca="1" si="244"/>
        <v>7.5041128313801372E-2</v>
      </c>
      <c r="AD1581" s="24">
        <f t="shared" ca="1" si="245"/>
        <v>0</v>
      </c>
    </row>
    <row r="1582" spans="3:30" x14ac:dyDescent="0.25">
      <c r="C1582" s="6">
        <v>1575</v>
      </c>
      <c r="D1582" s="35">
        <v>44249</v>
      </c>
      <c r="E1582" s="37">
        <v>15.776999999999999</v>
      </c>
      <c r="F1582" s="37">
        <v>50.765250071327145</v>
      </c>
      <c r="G1582" s="37">
        <v>46.76</v>
      </c>
      <c r="H1582" s="37">
        <v>2.5153066411310023</v>
      </c>
      <c r="I1582" s="37">
        <v>63.866488704075977</v>
      </c>
      <c r="J1582" s="10">
        <v>0</v>
      </c>
      <c r="K1582" s="38">
        <v>1</v>
      </c>
      <c r="L1582" s="38">
        <v>0</v>
      </c>
      <c r="M1582" s="38">
        <v>0</v>
      </c>
      <c r="N1582" s="38">
        <v>0</v>
      </c>
      <c r="O1582" s="38">
        <v>0</v>
      </c>
      <c r="P1582" s="38">
        <v>0</v>
      </c>
      <c r="Q1582" s="38">
        <v>0</v>
      </c>
      <c r="R1582" s="38">
        <v>0</v>
      </c>
      <c r="S1582" s="38">
        <v>0</v>
      </c>
      <c r="T1582" s="38">
        <v>0</v>
      </c>
      <c r="U1582" s="29" cm="1">
        <f t="array" aca="1" ref="U1582" ca="1">+fair_value_gap(OFFSET(T1581,0,0,-1*$J$5,-1*$AA$1),OFFSET(E1581,0,0,-1*$J$5,1),F1582:T1582,0)</f>
        <v>16.122200794401707</v>
      </c>
      <c r="V1582" s="9" cm="1">
        <f t="array" aca="1" ref="V1582" ca="1">z_score_diff(OFFSET(U1582,0,0,$J$5*-1,1),OFFSET(E1582,0,0,$J$5*-1,1))</f>
        <v>0.25579761074425367</v>
      </c>
      <c r="W1582" s="9">
        <f t="shared" ca="1" si="241"/>
        <v>-0.20452393190388415</v>
      </c>
      <c r="X1582" s="17">
        <f t="shared" ca="1" si="240"/>
        <v>0.14143881799783853</v>
      </c>
      <c r="Y1582" s="13">
        <f t="shared" si="248"/>
        <v>0</v>
      </c>
      <c r="Z1582" s="13">
        <f t="shared" si="248"/>
        <v>0</v>
      </c>
      <c r="AA1582">
        <f t="shared" ca="1" si="242"/>
        <v>1</v>
      </c>
      <c r="AB1582">
        <f t="shared" ca="1" si="243"/>
        <v>0</v>
      </c>
      <c r="AC1582" s="24">
        <f t="shared" ca="1" si="244"/>
        <v>0.14143881799783853</v>
      </c>
      <c r="AD1582" s="24">
        <f t="shared" ca="1" si="245"/>
        <v>0</v>
      </c>
    </row>
    <row r="1583" spans="3:30" x14ac:dyDescent="0.25">
      <c r="C1583" s="6">
        <v>1576</v>
      </c>
      <c r="D1583" s="35">
        <v>44250</v>
      </c>
      <c r="E1583" s="37">
        <v>16.039000000000001</v>
      </c>
      <c r="F1583" s="37">
        <v>50.970724443879284</v>
      </c>
      <c r="G1583" s="37">
        <v>47.05</v>
      </c>
      <c r="H1583" s="37">
        <v>2.4595240927530999</v>
      </c>
      <c r="I1583" s="37">
        <v>63.087859483893723</v>
      </c>
      <c r="J1583" s="10">
        <v>0</v>
      </c>
      <c r="K1583" s="38">
        <v>1</v>
      </c>
      <c r="L1583" s="38">
        <v>0</v>
      </c>
      <c r="M1583" s="38">
        <v>0</v>
      </c>
      <c r="N1583" s="38">
        <v>0</v>
      </c>
      <c r="O1583" s="38">
        <v>0</v>
      </c>
      <c r="P1583" s="38">
        <v>0</v>
      </c>
      <c r="Q1583" s="38">
        <v>0</v>
      </c>
      <c r="R1583" s="38">
        <v>0</v>
      </c>
      <c r="S1583" s="38">
        <v>0</v>
      </c>
      <c r="T1583" s="38">
        <v>0</v>
      </c>
      <c r="U1583" s="29" cm="1">
        <f t="array" aca="1" ref="U1583" ca="1">+fair_value_gap(OFFSET(T1582,0,0,-1*$J$5,-1*$AA$1),OFFSET(E1582,0,0,-1*$J$5,1),F1583:T1583,0)</f>
        <v>16.107396257285213</v>
      </c>
      <c r="V1583" s="9" cm="1">
        <f t="array" aca="1" ref="V1583" ca="1">z_score_diff(OFFSET(U1583,0,0,$J$5*-1,1),OFFSET(E1583,0,0,$J$5*-1,1))</f>
        <v>0.12320113540570032</v>
      </c>
      <c r="W1583" s="9">
        <f t="shared" ca="1" si="241"/>
        <v>-0.19259437122378448</v>
      </c>
      <c r="X1583" s="17">
        <f t="shared" ca="1" si="240"/>
        <v>0.14377397572462733</v>
      </c>
      <c r="Y1583" s="13">
        <f t="shared" si="248"/>
        <v>0</v>
      </c>
      <c r="Z1583" s="13">
        <f t="shared" si="248"/>
        <v>0</v>
      </c>
      <c r="AA1583">
        <f t="shared" ca="1" si="242"/>
        <v>1</v>
      </c>
      <c r="AB1583">
        <f t="shared" ca="1" si="243"/>
        <v>0</v>
      </c>
      <c r="AC1583" s="24">
        <f t="shared" ca="1" si="244"/>
        <v>0.14377397572462733</v>
      </c>
      <c r="AD1583" s="24">
        <f t="shared" ca="1" si="245"/>
        <v>0</v>
      </c>
    </row>
    <row r="1584" spans="3:30" x14ac:dyDescent="0.25">
      <c r="C1584" s="6">
        <v>1577</v>
      </c>
      <c r="D1584" s="35">
        <v>44251</v>
      </c>
      <c r="E1584" s="37">
        <v>16.172999999999998</v>
      </c>
      <c r="F1584" s="37">
        <v>52.19777520900395</v>
      </c>
      <c r="G1584" s="37">
        <v>47.59</v>
      </c>
      <c r="H1584" s="37">
        <v>2.4044050468764837</v>
      </c>
      <c r="I1584" s="37">
        <v>64.142027723109464</v>
      </c>
      <c r="J1584" s="10">
        <v>0</v>
      </c>
      <c r="K1584" s="38">
        <v>1</v>
      </c>
      <c r="L1584" s="38">
        <v>0</v>
      </c>
      <c r="M1584" s="38">
        <v>0</v>
      </c>
      <c r="N1584" s="38">
        <v>0</v>
      </c>
      <c r="O1584" s="38">
        <v>0</v>
      </c>
      <c r="P1584" s="38">
        <v>0</v>
      </c>
      <c r="Q1584" s="38">
        <v>0</v>
      </c>
      <c r="R1584" s="38">
        <v>0</v>
      </c>
      <c r="S1584" s="38">
        <v>0</v>
      </c>
      <c r="T1584" s="38">
        <v>0</v>
      </c>
      <c r="U1584" s="29" cm="1">
        <f t="array" aca="1" ref="U1584" ca="1">+fair_value_gap(OFFSET(T1583,0,0,-1*$J$5,-1*$AA$1),OFFSET(E1583,0,0,-1*$J$5,1),F1584:T1584,0)</f>
        <v>16.242454737232425</v>
      </c>
      <c r="V1584" s="9" cm="1">
        <f t="array" aca="1" ref="V1584" ca="1">z_score_diff(OFFSET(U1584,0,0,$J$5*-1,1),OFFSET(E1584,0,0,$J$5*-1,1))</f>
        <v>0.13022053765753183</v>
      </c>
      <c r="W1584" s="9">
        <f t="shared" ca="1" si="241"/>
        <v>-0.18207804285482138</v>
      </c>
      <c r="X1584" s="17">
        <f t="shared" ca="1" si="240"/>
        <v>0.14309259941369346</v>
      </c>
      <c r="Y1584" s="13">
        <f t="shared" si="248"/>
        <v>0</v>
      </c>
      <c r="Z1584" s="13">
        <f t="shared" si="248"/>
        <v>0</v>
      </c>
      <c r="AA1584">
        <f t="shared" ca="1" si="242"/>
        <v>1</v>
      </c>
      <c r="AB1584">
        <f t="shared" ca="1" si="243"/>
        <v>0</v>
      </c>
      <c r="AC1584" s="24">
        <f t="shared" ca="1" si="244"/>
        <v>0.14309259941369346</v>
      </c>
      <c r="AD1584" s="24">
        <f t="shared" ca="1" si="245"/>
        <v>0</v>
      </c>
    </row>
    <row r="1585" spans="3:30" x14ac:dyDescent="0.25">
      <c r="C1585" s="6">
        <v>1578</v>
      </c>
      <c r="D1585" s="35">
        <v>44252</v>
      </c>
      <c r="E1585" s="37">
        <v>15.789</v>
      </c>
      <c r="F1585" s="37">
        <v>52.128014878749973</v>
      </c>
      <c r="G1585" s="37">
        <v>47.75</v>
      </c>
      <c r="H1585" s="37">
        <v>2.3870177667467796</v>
      </c>
      <c r="I1585" s="37">
        <v>64.423284719811917</v>
      </c>
      <c r="J1585" s="10">
        <v>0</v>
      </c>
      <c r="K1585" s="38">
        <v>1</v>
      </c>
      <c r="L1585" s="38">
        <v>0</v>
      </c>
      <c r="M1585" s="38">
        <v>0</v>
      </c>
      <c r="N1585" s="38">
        <v>0</v>
      </c>
      <c r="O1585" s="38">
        <v>0</v>
      </c>
      <c r="P1585" s="38">
        <v>0</v>
      </c>
      <c r="Q1585" s="38">
        <v>0</v>
      </c>
      <c r="R1585" s="38">
        <v>0</v>
      </c>
      <c r="S1585" s="38">
        <v>0</v>
      </c>
      <c r="T1585" s="38">
        <v>0</v>
      </c>
      <c r="U1585" s="29" cm="1">
        <f t="array" aca="1" ref="U1585" ca="1">+fair_value_gap(OFFSET(T1584,0,0,-1*$J$5,-1*$AA$1),OFFSET(E1584,0,0,-1*$J$5,1),F1585:T1585,0)</f>
        <v>16.296050311700704</v>
      </c>
      <c r="V1585" s="9" cm="1">
        <f t="array" aca="1" ref="V1585" ca="1">z_score_diff(OFFSET(U1585,0,0,$J$5*-1,1),OFFSET(E1585,0,0,$J$5*-1,1))</f>
        <v>0.33053950654477693</v>
      </c>
      <c r="W1585" s="9">
        <f t="shared" ca="1" si="241"/>
        <v>-0.1606337341657183</v>
      </c>
      <c r="X1585" s="17">
        <f t="shared" ca="1" si="240"/>
        <v>0.14775148579807354</v>
      </c>
      <c r="Y1585" s="13">
        <f t="shared" si="248"/>
        <v>0</v>
      </c>
      <c r="Z1585" s="13">
        <f t="shared" si="248"/>
        <v>0</v>
      </c>
      <c r="AA1585">
        <f t="shared" ca="1" si="242"/>
        <v>1</v>
      </c>
      <c r="AB1585">
        <f t="shared" ca="1" si="243"/>
        <v>0</v>
      </c>
      <c r="AC1585" s="24">
        <f t="shared" ca="1" si="244"/>
        <v>0.14775148579807354</v>
      </c>
      <c r="AD1585" s="24">
        <f t="shared" ca="1" si="245"/>
        <v>0</v>
      </c>
    </row>
    <row r="1586" spans="3:30" x14ac:dyDescent="0.25">
      <c r="C1586" s="6">
        <v>1579</v>
      </c>
      <c r="D1586" s="35">
        <v>44253</v>
      </c>
      <c r="E1586" s="37">
        <v>15.881</v>
      </c>
      <c r="F1586" s="37">
        <v>51.106045457134911</v>
      </c>
      <c r="G1586" s="37">
        <v>47.42</v>
      </c>
      <c r="H1586" s="37">
        <v>2.4157720356635988</v>
      </c>
      <c r="I1586" s="37">
        <v>66.008535287527238</v>
      </c>
      <c r="J1586" s="10">
        <v>0</v>
      </c>
      <c r="K1586" s="38">
        <v>1</v>
      </c>
      <c r="L1586" s="38">
        <v>0</v>
      </c>
      <c r="M1586" s="38">
        <v>0</v>
      </c>
      <c r="N1586" s="38">
        <v>0</v>
      </c>
      <c r="O1586" s="38">
        <v>0</v>
      </c>
      <c r="P1586" s="38">
        <v>0</v>
      </c>
      <c r="Q1586" s="38">
        <v>0</v>
      </c>
      <c r="R1586" s="38">
        <v>0</v>
      </c>
      <c r="S1586" s="38">
        <v>0</v>
      </c>
      <c r="T1586" s="38">
        <v>0</v>
      </c>
      <c r="U1586" s="29" cm="1">
        <f t="array" aca="1" ref="U1586" ca="1">+fair_value_gap(OFFSET(T1585,0,0,-1*$J$5,-1*$AA$1),OFFSET(E1585,0,0,-1*$J$5,1),F1586:T1586,0)</f>
        <v>16.280405134113586</v>
      </c>
      <c r="V1586" s="9" cm="1">
        <f t="array" aca="1" ref="V1586" ca="1">z_score_diff(OFFSET(U1586,0,0,$J$5*-1,1),OFFSET(E1586,0,0,$J$5*-1,1))</f>
        <v>0.27406055264977991</v>
      </c>
      <c r="W1586" s="9">
        <f t="shared" ca="1" si="241"/>
        <v>-0.14923899405833857</v>
      </c>
      <c r="X1586" s="17">
        <f t="shared" ca="1" si="240"/>
        <v>0.15610079525041984</v>
      </c>
      <c r="Y1586" s="13">
        <f t="shared" si="248"/>
        <v>0</v>
      </c>
      <c r="Z1586" s="13">
        <f t="shared" si="248"/>
        <v>0</v>
      </c>
      <c r="AA1586">
        <f t="shared" ca="1" si="242"/>
        <v>1</v>
      </c>
      <c r="AB1586">
        <f t="shared" ca="1" si="243"/>
        <v>0</v>
      </c>
      <c r="AC1586" s="24">
        <f t="shared" ca="1" si="244"/>
        <v>0.15610079525041984</v>
      </c>
      <c r="AD1586" s="24">
        <f t="shared" ca="1" si="245"/>
        <v>0</v>
      </c>
    </row>
    <row r="1587" spans="3:30" x14ac:dyDescent="0.25">
      <c r="C1587" s="6">
        <v>1580</v>
      </c>
      <c r="D1587" s="35">
        <v>44256</v>
      </c>
      <c r="E1587" s="37">
        <v>16.166</v>
      </c>
      <c r="F1587" s="37">
        <v>50.251962695959506</v>
      </c>
      <c r="G1587" s="37">
        <v>47.66</v>
      </c>
      <c r="H1587" s="37">
        <v>2.4303195386444787</v>
      </c>
      <c r="I1587" s="37">
        <v>66.608451458935946</v>
      </c>
      <c r="J1587" s="10">
        <v>0</v>
      </c>
      <c r="K1587" s="38">
        <v>0</v>
      </c>
      <c r="L1587" s="38">
        <v>1</v>
      </c>
      <c r="M1587" s="38">
        <v>0</v>
      </c>
      <c r="N1587" s="38">
        <v>0</v>
      </c>
      <c r="O1587" s="38">
        <v>0</v>
      </c>
      <c r="P1587" s="38">
        <v>0</v>
      </c>
      <c r="Q1587" s="38">
        <v>0</v>
      </c>
      <c r="R1587" s="38">
        <v>0</v>
      </c>
      <c r="S1587" s="38">
        <v>0</v>
      </c>
      <c r="T1587" s="38">
        <v>0</v>
      </c>
      <c r="U1587" s="29" cm="1">
        <f t="array" aca="1" ref="U1587" ca="1">+fair_value_gap(OFFSET(T1586,0,0,-1*$J$5,-1*$AA$1),OFFSET(E1586,0,0,-1*$J$5,1),F1587:T1587,0)</f>
        <v>13.507095391171706</v>
      </c>
      <c r="V1587" s="9" cm="1">
        <f t="array" aca="1" ref="V1587" ca="1">z_score_diff(OFFSET(U1587,0,0,$J$5*-1,1),OFFSET(E1587,0,0,$J$5*-1,1))</f>
        <v>-1.3292265747270835</v>
      </c>
      <c r="W1587" s="9">
        <f t="shared" ca="1" si="241"/>
        <v>-0.13820061306970191</v>
      </c>
      <c r="X1587" s="17">
        <f t="shared" ca="1" si="240"/>
        <v>0.13280429425630713</v>
      </c>
      <c r="Y1587" s="13">
        <f t="shared" si="248"/>
        <v>0</v>
      </c>
      <c r="Z1587" s="13">
        <f t="shared" si="248"/>
        <v>0</v>
      </c>
      <c r="AA1587">
        <f t="shared" ca="1" si="242"/>
        <v>1</v>
      </c>
      <c r="AB1587">
        <f t="shared" ca="1" si="243"/>
        <v>0</v>
      </c>
      <c r="AC1587" s="24">
        <f t="shared" ca="1" si="244"/>
        <v>0.13280429425630713</v>
      </c>
      <c r="AD1587" s="24">
        <f t="shared" ca="1" si="245"/>
        <v>0</v>
      </c>
    </row>
    <row r="1588" spans="3:30" x14ac:dyDescent="0.25">
      <c r="C1588" s="6">
        <v>1581</v>
      </c>
      <c r="D1588" s="35">
        <v>44257</v>
      </c>
      <c r="E1588" s="37">
        <v>16.007000000000001</v>
      </c>
      <c r="F1588" s="37">
        <v>49.602634923617877</v>
      </c>
      <c r="G1588" s="37">
        <v>47.69</v>
      </c>
      <c r="H1588" s="37">
        <v>2.4595257994695205</v>
      </c>
      <c r="I1588" s="37">
        <v>67.051750598808809</v>
      </c>
      <c r="J1588" s="10">
        <v>0</v>
      </c>
      <c r="K1588" s="38">
        <v>0</v>
      </c>
      <c r="L1588" s="38">
        <v>1</v>
      </c>
      <c r="M1588" s="38">
        <v>0</v>
      </c>
      <c r="N1588" s="38">
        <v>0</v>
      </c>
      <c r="O1588" s="38">
        <v>0</v>
      </c>
      <c r="P1588" s="38">
        <v>0</v>
      </c>
      <c r="Q1588" s="38">
        <v>0</v>
      </c>
      <c r="R1588" s="38">
        <v>0</v>
      </c>
      <c r="S1588" s="38">
        <v>0</v>
      </c>
      <c r="T1588" s="38">
        <v>0</v>
      </c>
      <c r="U1588" s="29" cm="1">
        <f t="array" aca="1" ref="U1588" ca="1">+fair_value_gap(OFFSET(T1587,0,0,-1*$J$5,-1*$AA$1),OFFSET(E1587,0,0,-1*$J$5,1),F1588:T1588,0)</f>
        <v>14.362122530550147</v>
      </c>
      <c r="V1588" s="9" cm="1">
        <f t="array" aca="1" ref="V1588" ca="1">z_score_diff(OFFSET(U1588,0,0,$J$5*-1,1),OFFSET(E1588,0,0,$J$5*-1,1))</f>
        <v>-0.79367687569702128</v>
      </c>
      <c r="W1588" s="9">
        <f t="shared" ca="1" si="241"/>
        <v>-0.12819184331086692</v>
      </c>
      <c r="X1588" s="17">
        <f t="shared" ca="1" si="240"/>
        <v>0.15603201372143768</v>
      </c>
      <c r="Y1588" s="13">
        <f t="shared" si="248"/>
        <v>0</v>
      </c>
      <c r="Z1588" s="13">
        <f t="shared" si="248"/>
        <v>0</v>
      </c>
      <c r="AA1588">
        <f t="shared" ca="1" si="242"/>
        <v>1</v>
      </c>
      <c r="AB1588">
        <f t="shared" ca="1" si="243"/>
        <v>0</v>
      </c>
      <c r="AC1588" s="24">
        <f t="shared" ca="1" si="244"/>
        <v>0.15603201372143768</v>
      </c>
      <c r="AD1588" s="24">
        <f t="shared" ca="1" si="245"/>
        <v>0</v>
      </c>
    </row>
    <row r="1589" spans="3:30" x14ac:dyDescent="0.25">
      <c r="C1589" s="6">
        <v>1582</v>
      </c>
      <c r="D1589" s="35">
        <v>44258</v>
      </c>
      <c r="E1589" s="37">
        <v>15.724</v>
      </c>
      <c r="F1589" s="37">
        <v>50.755470577842942</v>
      </c>
      <c r="G1589" s="37">
        <v>47.27</v>
      </c>
      <c r="H1589" s="37">
        <v>2.4378806866683509</v>
      </c>
      <c r="I1589" s="37">
        <v>67.118083246236679</v>
      </c>
      <c r="J1589" s="10">
        <v>0</v>
      </c>
      <c r="K1589" s="38">
        <v>0</v>
      </c>
      <c r="L1589" s="38">
        <v>1</v>
      </c>
      <c r="M1589" s="38">
        <v>0</v>
      </c>
      <c r="N1589" s="38">
        <v>0</v>
      </c>
      <c r="O1589" s="38">
        <v>0</v>
      </c>
      <c r="P1589" s="38">
        <v>0</v>
      </c>
      <c r="Q1589" s="38">
        <v>0</v>
      </c>
      <c r="R1589" s="38">
        <v>0</v>
      </c>
      <c r="S1589" s="38">
        <v>0</v>
      </c>
      <c r="T1589" s="38">
        <v>0</v>
      </c>
      <c r="U1589" s="29" cm="1">
        <f t="array" aca="1" ref="U1589" ca="1">+fair_value_gap(OFFSET(T1588,0,0,-1*$J$5,-1*$AA$1),OFFSET(E1588,0,0,-1*$J$5,1),F1589:T1589,0)</f>
        <v>14.680923330642806</v>
      </c>
      <c r="V1589" s="9" cm="1">
        <f t="array" aca="1" ref="V1589" ca="1">z_score_diff(OFFSET(U1589,0,0,$J$5*-1,1),OFFSET(E1589,0,0,$J$5*-1,1))</f>
        <v>-0.48904087675629404</v>
      </c>
      <c r="W1589" s="9">
        <f t="shared" ca="1" si="241"/>
        <v>-0.12054143729821817</v>
      </c>
      <c r="X1589" s="17">
        <f t="shared" ca="1" si="240"/>
        <v>0.21008485850966854</v>
      </c>
      <c r="Y1589" s="13">
        <f t="shared" si="248"/>
        <v>0</v>
      </c>
      <c r="Z1589" s="13">
        <f t="shared" si="248"/>
        <v>0</v>
      </c>
      <c r="AA1589">
        <f t="shared" ca="1" si="242"/>
        <v>1</v>
      </c>
      <c r="AB1589">
        <f t="shared" ca="1" si="243"/>
        <v>0</v>
      </c>
      <c r="AC1589" s="24">
        <f t="shared" ca="1" si="244"/>
        <v>0.21008485850966854</v>
      </c>
      <c r="AD1589" s="24">
        <f t="shared" ca="1" si="245"/>
        <v>0</v>
      </c>
    </row>
    <row r="1590" spans="3:30" x14ac:dyDescent="0.25">
      <c r="C1590" s="6">
        <v>1583</v>
      </c>
      <c r="D1590" s="35">
        <v>44259</v>
      </c>
      <c r="E1590" s="37">
        <v>16.166</v>
      </c>
      <c r="F1590" s="37">
        <v>52.9742909092422</v>
      </c>
      <c r="G1590" s="37">
        <v>47.66</v>
      </c>
      <c r="H1590" s="37">
        <v>2.4082249118967476</v>
      </c>
      <c r="I1590" s="37">
        <v>66.987596892774079</v>
      </c>
      <c r="J1590" s="10">
        <v>0</v>
      </c>
      <c r="K1590" s="38">
        <v>0</v>
      </c>
      <c r="L1590" s="38">
        <v>1</v>
      </c>
      <c r="M1590" s="38">
        <v>0</v>
      </c>
      <c r="N1590" s="38">
        <v>0</v>
      </c>
      <c r="O1590" s="38">
        <v>0</v>
      </c>
      <c r="P1590" s="38">
        <v>0</v>
      </c>
      <c r="Q1590" s="38">
        <v>0</v>
      </c>
      <c r="R1590" s="38">
        <v>0</v>
      </c>
      <c r="S1590" s="38">
        <v>0</v>
      </c>
      <c r="T1590" s="38">
        <v>0</v>
      </c>
      <c r="U1590" s="29" cm="1">
        <f t="array" aca="1" ref="U1590" ca="1">+fair_value_gap(OFFSET(T1589,0,0,-1*$J$5,-1*$AA$1),OFFSET(E1589,0,0,-1*$J$5,1),F1590:T1590,0)</f>
        <v>15.124984948418446</v>
      </c>
      <c r="V1590" s="9" cm="1">
        <f t="array" aca="1" ref="V1590" ca="1">z_score_diff(OFFSET(U1590,0,0,$J$5*-1,1),OFFSET(E1590,0,0,$J$5*-1,1))</f>
        <v>-0.45144832718298766</v>
      </c>
      <c r="W1590" s="9">
        <f t="shared" ca="1" si="241"/>
        <v>-0.12169515205008366</v>
      </c>
      <c r="X1590" s="17">
        <f t="shared" ca="1" si="240"/>
        <v>0.18837560933741218</v>
      </c>
      <c r="Y1590" s="13">
        <f t="shared" si="248"/>
        <v>0</v>
      </c>
      <c r="Z1590" s="13">
        <f t="shared" si="248"/>
        <v>0</v>
      </c>
      <c r="AA1590">
        <f t="shared" ca="1" si="242"/>
        <v>1</v>
      </c>
      <c r="AB1590">
        <f t="shared" ca="1" si="243"/>
        <v>0</v>
      </c>
      <c r="AC1590" s="24">
        <f t="shared" ca="1" si="244"/>
        <v>0.18837560933741218</v>
      </c>
      <c r="AD1590" s="24">
        <f t="shared" ca="1" si="245"/>
        <v>0</v>
      </c>
    </row>
    <row r="1591" spans="3:30" x14ac:dyDescent="0.25">
      <c r="C1591" s="6">
        <v>1584</v>
      </c>
      <c r="D1591" s="35">
        <v>44260</v>
      </c>
      <c r="E1591" s="37">
        <v>16.677</v>
      </c>
      <c r="F1591" s="37">
        <v>54.946800329028768</v>
      </c>
      <c r="G1591" s="37">
        <v>49.02</v>
      </c>
      <c r="H1591" s="37">
        <v>2.3899726478121592</v>
      </c>
      <c r="I1591" s="37">
        <v>67.544522540476549</v>
      </c>
      <c r="J1591" s="10">
        <v>0</v>
      </c>
      <c r="K1591" s="38">
        <v>0</v>
      </c>
      <c r="L1591" s="38">
        <v>1</v>
      </c>
      <c r="M1591" s="38">
        <v>0</v>
      </c>
      <c r="N1591" s="38">
        <v>0</v>
      </c>
      <c r="O1591" s="38">
        <v>0</v>
      </c>
      <c r="P1591" s="38">
        <v>0</v>
      </c>
      <c r="Q1591" s="38">
        <v>0</v>
      </c>
      <c r="R1591" s="38">
        <v>0</v>
      </c>
      <c r="S1591" s="38">
        <v>0</v>
      </c>
      <c r="T1591" s="38">
        <v>0</v>
      </c>
      <c r="U1591" s="29" cm="1">
        <f t="array" aca="1" ref="U1591" ca="1">+fair_value_gap(OFFSET(T1590,0,0,-1*$J$5,-1*$AA$1),OFFSET(E1590,0,0,-1*$J$5,1),F1591:T1591,0)</f>
        <v>15.875046308518895</v>
      </c>
      <c r="V1591" s="9" cm="1">
        <f t="array" aca="1" ref="V1591" ca="1">z_score_diff(OFFSET(U1591,0,0,$J$5*-1,1),OFFSET(E1591,0,0,$J$5*-1,1))</f>
        <v>-0.27815315237276805</v>
      </c>
      <c r="W1591" s="9">
        <f t="shared" ca="1" si="241"/>
        <v>-0.12014386237706214</v>
      </c>
      <c r="X1591" s="17">
        <f t="shared" ca="1" si="240"/>
        <v>0.18539492075216649</v>
      </c>
      <c r="Y1591" s="13">
        <f t="shared" si="248"/>
        <v>0</v>
      </c>
      <c r="Z1591" s="13">
        <f t="shared" si="248"/>
        <v>0</v>
      </c>
      <c r="AA1591">
        <f t="shared" ca="1" si="242"/>
        <v>1</v>
      </c>
      <c r="AB1591">
        <f t="shared" ca="1" si="243"/>
        <v>0</v>
      </c>
      <c r="AC1591" s="24">
        <f t="shared" ca="1" si="244"/>
        <v>0.18539492075216649</v>
      </c>
      <c r="AD1591" s="24">
        <f t="shared" ca="1" si="245"/>
        <v>0</v>
      </c>
    </row>
    <row r="1592" spans="3:30" x14ac:dyDescent="0.25">
      <c r="C1592" s="6">
        <v>1585</v>
      </c>
      <c r="D1592" s="35">
        <v>44263</v>
      </c>
      <c r="E1592" s="37">
        <v>16.495999999999999</v>
      </c>
      <c r="F1592" s="37">
        <v>54.678073697265255</v>
      </c>
      <c r="G1592" s="37">
        <v>48.89</v>
      </c>
      <c r="H1592" s="37">
        <v>2.370252033716604</v>
      </c>
      <c r="I1592" s="37">
        <v>67.853614445168489</v>
      </c>
      <c r="J1592" s="10">
        <v>0</v>
      </c>
      <c r="K1592" s="38">
        <v>0</v>
      </c>
      <c r="L1592" s="38">
        <v>1</v>
      </c>
      <c r="M1592" s="38">
        <v>0</v>
      </c>
      <c r="N1592" s="38">
        <v>0</v>
      </c>
      <c r="O1592" s="38">
        <v>0</v>
      </c>
      <c r="P1592" s="38">
        <v>0</v>
      </c>
      <c r="Q1592" s="38">
        <v>0</v>
      </c>
      <c r="R1592" s="38">
        <v>0</v>
      </c>
      <c r="S1592" s="38">
        <v>0</v>
      </c>
      <c r="T1592" s="38">
        <v>0</v>
      </c>
      <c r="U1592" s="29" cm="1">
        <f t="array" aca="1" ref="U1592" ca="1">+fair_value_gap(OFFSET(T1591,0,0,-1*$J$5,-1*$AA$1),OFFSET(E1591,0,0,-1*$J$5,1),F1592:T1592,0)</f>
        <v>15.987776923488614</v>
      </c>
      <c r="V1592" s="9" cm="1">
        <f t="array" aca="1" ref="V1592" ca="1">z_score_diff(OFFSET(U1592,0,0,$J$5*-1,1),OFFSET(E1592,0,0,$J$5*-1,1))</f>
        <v>-0.12782402701042672</v>
      </c>
      <c r="W1592" s="9">
        <f t="shared" ca="1" si="241"/>
        <v>-0.10420407270813978</v>
      </c>
      <c r="X1592" s="17">
        <f t="shared" ca="1" si="240"/>
        <v>0.17506118703179788</v>
      </c>
      <c r="Y1592" s="13">
        <f t="shared" si="248"/>
        <v>0</v>
      </c>
      <c r="Z1592" s="13">
        <f t="shared" si="248"/>
        <v>0</v>
      </c>
      <c r="AA1592">
        <f t="shared" ca="1" si="242"/>
        <v>1</v>
      </c>
      <c r="AB1592">
        <f t="shared" ca="1" si="243"/>
        <v>0</v>
      </c>
      <c r="AC1592" s="24">
        <f t="shared" ca="1" si="244"/>
        <v>0.17506118703179788</v>
      </c>
      <c r="AD1592" s="24">
        <f t="shared" ca="1" si="245"/>
        <v>0</v>
      </c>
    </row>
    <row r="1593" spans="3:30" x14ac:dyDescent="0.25">
      <c r="C1593" s="6">
        <v>1586</v>
      </c>
      <c r="D1593" s="35">
        <v>44264</v>
      </c>
      <c r="E1593" s="37">
        <v>17.192</v>
      </c>
      <c r="F1593" s="37">
        <v>54.037585249815024</v>
      </c>
      <c r="G1593" s="37">
        <v>50.31</v>
      </c>
      <c r="H1593" s="37">
        <v>2.3620518211737611</v>
      </c>
      <c r="I1593" s="37">
        <v>67.965488263398086</v>
      </c>
      <c r="J1593" s="10">
        <v>0</v>
      </c>
      <c r="K1593" s="38">
        <v>0</v>
      </c>
      <c r="L1593" s="38">
        <v>1</v>
      </c>
      <c r="M1593" s="38">
        <v>0</v>
      </c>
      <c r="N1593" s="38">
        <v>0</v>
      </c>
      <c r="O1593" s="38">
        <v>0</v>
      </c>
      <c r="P1593" s="38">
        <v>0</v>
      </c>
      <c r="Q1593" s="38">
        <v>0</v>
      </c>
      <c r="R1593" s="38">
        <v>0</v>
      </c>
      <c r="S1593" s="38">
        <v>0</v>
      </c>
      <c r="T1593" s="38">
        <v>0</v>
      </c>
      <c r="U1593" s="29" cm="1">
        <f t="array" aca="1" ref="U1593" ca="1">+fair_value_gap(OFFSET(T1592,0,0,-1*$J$5,-1*$AA$1),OFFSET(E1592,0,0,-1*$J$5,1),F1593:T1593,0)</f>
        <v>16.495343376686137</v>
      </c>
      <c r="V1593" s="9" cm="1">
        <f t="array" aca="1" ref="V1593" ca="1">z_score_diff(OFFSET(U1593,0,0,$J$5*-1,1),OFFSET(E1593,0,0,$J$5*-1,1))</f>
        <v>-0.16272030912166047</v>
      </c>
      <c r="W1593" s="9">
        <f t="shared" ca="1" si="241"/>
        <v>-9.8005432295261652E-2</v>
      </c>
      <c r="X1593" s="17">
        <f t="shared" ca="1" si="240"/>
        <v>0.11716239948440577</v>
      </c>
      <c r="Y1593" s="13">
        <f t="shared" ref="Y1593:Z1596" si="249">+Y1592</f>
        <v>0</v>
      </c>
      <c r="Z1593" s="13">
        <f t="shared" si="249"/>
        <v>0</v>
      </c>
      <c r="AA1593">
        <f t="shared" ca="1" si="242"/>
        <v>1</v>
      </c>
      <c r="AB1593">
        <f t="shared" ca="1" si="243"/>
        <v>0</v>
      </c>
      <c r="AC1593" s="24">
        <f t="shared" ca="1" si="244"/>
        <v>0.11716239948440577</v>
      </c>
      <c r="AD1593" s="24">
        <f t="shared" ca="1" si="245"/>
        <v>0</v>
      </c>
    </row>
    <row r="1594" spans="3:30" x14ac:dyDescent="0.25">
      <c r="C1594" s="6">
        <v>1587</v>
      </c>
      <c r="D1594" s="35">
        <v>44265</v>
      </c>
      <c r="E1594" s="37">
        <v>17.795000000000002</v>
      </c>
      <c r="F1594" s="37">
        <v>54.098118300899799</v>
      </c>
      <c r="G1594" s="37">
        <v>52</v>
      </c>
      <c r="H1594" s="37">
        <v>2.3829231359034608</v>
      </c>
      <c r="I1594" s="37">
        <v>68.572726763993728</v>
      </c>
      <c r="J1594" s="10">
        <v>0</v>
      </c>
      <c r="K1594" s="38">
        <v>0</v>
      </c>
      <c r="L1594" s="38">
        <v>1</v>
      </c>
      <c r="M1594" s="38">
        <v>0</v>
      </c>
      <c r="N1594" s="38">
        <v>0</v>
      </c>
      <c r="O1594" s="38">
        <v>0</v>
      </c>
      <c r="P1594" s="38">
        <v>0</v>
      </c>
      <c r="Q1594" s="38">
        <v>0</v>
      </c>
      <c r="R1594" s="38">
        <v>0</v>
      </c>
      <c r="S1594" s="38">
        <v>0</v>
      </c>
      <c r="T1594" s="38">
        <v>0</v>
      </c>
      <c r="U1594" s="29" cm="1">
        <f t="array" aca="1" ref="U1594" ca="1">+fair_value_gap(OFFSET(T1593,0,0,-1*$J$5,-1*$AA$1),OFFSET(E1593,0,0,-1*$J$5,1),F1594:T1594,0)</f>
        <v>17.124409002543011</v>
      </c>
      <c r="V1594" s="9" cm="1">
        <f t="array" aca="1" ref="V1594" ca="1">z_score_diff(OFFSET(U1594,0,0,$J$5*-1,1),OFFSET(E1594,0,0,$J$5*-1,1))</f>
        <v>-8.3072314420141069E-2</v>
      </c>
      <c r="W1594" s="9">
        <f t="shared" ca="1" si="241"/>
        <v>-9.6621427410573793E-2</v>
      </c>
      <c r="X1594" s="17">
        <f t="shared" ca="1" si="240"/>
        <v>7.7762027328133976E-2</v>
      </c>
      <c r="Y1594" s="13">
        <f t="shared" si="249"/>
        <v>0</v>
      </c>
      <c r="Z1594" s="13">
        <f t="shared" si="249"/>
        <v>0</v>
      </c>
      <c r="AA1594">
        <f t="shared" ca="1" si="242"/>
        <v>1</v>
      </c>
      <c r="AB1594">
        <f t="shared" ca="1" si="243"/>
        <v>0</v>
      </c>
      <c r="AC1594" s="24">
        <f t="shared" ca="1" si="244"/>
        <v>7.7762027328133976E-2</v>
      </c>
      <c r="AD1594" s="24">
        <f t="shared" ca="1" si="245"/>
        <v>0</v>
      </c>
    </row>
    <row r="1595" spans="3:30" x14ac:dyDescent="0.25">
      <c r="C1595" s="6">
        <v>1588</v>
      </c>
      <c r="D1595" s="35">
        <v>44266</v>
      </c>
      <c r="E1595" s="37">
        <v>18.268000000000001</v>
      </c>
      <c r="F1595" s="37">
        <v>54.974964160312481</v>
      </c>
      <c r="G1595" s="37">
        <v>52.53</v>
      </c>
      <c r="H1595" s="37">
        <v>2.3494213708420766</v>
      </c>
      <c r="I1595" s="37">
        <v>68.1889011240157</v>
      </c>
      <c r="J1595" s="10">
        <v>0</v>
      </c>
      <c r="K1595" s="38">
        <v>0</v>
      </c>
      <c r="L1595" s="38">
        <v>1</v>
      </c>
      <c r="M1595" s="38">
        <v>0</v>
      </c>
      <c r="N1595" s="38">
        <v>0</v>
      </c>
      <c r="O1595" s="38">
        <v>0</v>
      </c>
      <c r="P1595" s="38">
        <v>0</v>
      </c>
      <c r="Q1595" s="38">
        <v>0</v>
      </c>
      <c r="R1595" s="38">
        <v>0</v>
      </c>
      <c r="S1595" s="38">
        <v>0</v>
      </c>
      <c r="T1595" s="38">
        <v>0</v>
      </c>
      <c r="U1595" s="29" cm="1">
        <f t="array" aca="1" ref="U1595" ca="1">+fair_value_gap(OFFSET(T1594,0,0,-1*$J$5,-1*$AA$1),OFFSET(E1594,0,0,-1*$J$5,1),F1595:T1595,0)</f>
        <v>17.43522524224181</v>
      </c>
      <c r="V1595" s="9" cm="1">
        <f t="array" aca="1" ref="V1595" ca="1">z_score_diff(OFFSET(U1595,0,0,$J$5*-1,1),OFFSET(E1595,0,0,$J$5*-1,1))</f>
        <v>-0.11468352648110036</v>
      </c>
      <c r="W1595" s="9">
        <f t="shared" ca="1" si="241"/>
        <v>-0.10669017653218285</v>
      </c>
      <c r="X1595" s="17">
        <f t="shared" ca="1" si="240"/>
        <v>8.4362078417321684E-2</v>
      </c>
      <c r="Y1595" s="13">
        <f t="shared" si="249"/>
        <v>0</v>
      </c>
      <c r="Z1595" s="13">
        <f t="shared" si="249"/>
        <v>0</v>
      </c>
      <c r="AA1595">
        <f t="shared" ca="1" si="242"/>
        <v>1</v>
      </c>
      <c r="AB1595">
        <f t="shared" ca="1" si="243"/>
        <v>0</v>
      </c>
      <c r="AC1595" s="24">
        <f t="shared" ca="1" si="244"/>
        <v>8.4362078417321684E-2</v>
      </c>
      <c r="AD1595" s="24">
        <f t="shared" ca="1" si="245"/>
        <v>0</v>
      </c>
    </row>
    <row r="1596" spans="3:30" x14ac:dyDescent="0.25">
      <c r="C1596" s="6">
        <v>1589</v>
      </c>
      <c r="D1596" s="35">
        <v>44267</v>
      </c>
      <c r="E1596" s="37">
        <v>18.635999999999999</v>
      </c>
      <c r="F1596" s="37">
        <v>54.945833156290284</v>
      </c>
      <c r="G1596" s="37">
        <v>53.77</v>
      </c>
      <c r="H1596" s="37">
        <v>2.3003100128054204</v>
      </c>
      <c r="I1596" s="37">
        <v>69.275906397961137</v>
      </c>
      <c r="J1596" s="10">
        <v>0</v>
      </c>
      <c r="K1596" s="38">
        <v>0</v>
      </c>
      <c r="L1596" s="38">
        <v>1</v>
      </c>
      <c r="M1596" s="38">
        <v>0</v>
      </c>
      <c r="N1596" s="38">
        <v>0</v>
      </c>
      <c r="O1596" s="38">
        <v>0</v>
      </c>
      <c r="P1596" s="38">
        <v>0</v>
      </c>
      <c r="Q1596" s="38">
        <v>0</v>
      </c>
      <c r="R1596" s="38">
        <v>0</v>
      </c>
      <c r="S1596" s="38">
        <v>0</v>
      </c>
      <c r="T1596" s="38">
        <v>0</v>
      </c>
      <c r="U1596" s="29" cm="1">
        <f t="array" aca="1" ref="U1596" ca="1">+fair_value_gap(OFFSET(T1595,0,0,-1*$J$5,-1*$AA$1),OFFSET(E1595,0,0,-1*$J$5,1),F1596:T1596,0)</f>
        <v>17.910681565242953</v>
      </c>
      <c r="V1596" s="9" cm="1">
        <f t="array" aca="1" ref="V1596" ca="1">z_score_diff(OFFSET(U1596,0,0,$J$5*-1,1),OFFSET(E1596,0,0,$J$5*-1,1))</f>
        <v>-3.6975829835621532E-3</v>
      </c>
      <c r="W1596" s="9">
        <f t="shared" ca="1" si="241"/>
        <v>-0.10456726516513346</v>
      </c>
      <c r="X1596" s="17">
        <f t="shared" ca="1" si="240"/>
        <v>5.3287441264327717E-2</v>
      </c>
      <c r="Y1596" s="13">
        <f t="shared" si="249"/>
        <v>0</v>
      </c>
      <c r="Z1596" s="13">
        <f t="shared" si="249"/>
        <v>0</v>
      </c>
      <c r="AA1596">
        <f t="shared" ca="1" si="242"/>
        <v>1</v>
      </c>
      <c r="AB1596">
        <f t="shared" ca="1" si="243"/>
        <v>0</v>
      </c>
      <c r="AC1596" s="24">
        <f t="shared" ca="1" si="244"/>
        <v>5.3287441264327717E-2</v>
      </c>
      <c r="AD1596" s="24">
        <f t="shared" ca="1" si="245"/>
        <v>0</v>
      </c>
    </row>
    <row r="1597" spans="3:30" x14ac:dyDescent="0.25">
      <c r="C1597" s="6">
        <v>1590</v>
      </c>
      <c r="D1597" s="35">
        <v>44270</v>
      </c>
      <c r="E1597" s="37">
        <v>18.181999999999999</v>
      </c>
      <c r="F1597" s="37">
        <v>54.842500056370774</v>
      </c>
      <c r="G1597" s="37">
        <v>53.78</v>
      </c>
      <c r="H1597" s="37">
        <v>2.2180855816921086</v>
      </c>
      <c r="I1597" s="37">
        <v>70.317321528040495</v>
      </c>
      <c r="J1597" s="10">
        <v>0</v>
      </c>
      <c r="K1597" s="38">
        <v>0</v>
      </c>
      <c r="L1597" s="38">
        <v>1</v>
      </c>
      <c r="M1597" s="38">
        <v>0</v>
      </c>
      <c r="N1597" s="38">
        <v>0</v>
      </c>
      <c r="O1597" s="38">
        <v>0</v>
      </c>
      <c r="P1597" s="38">
        <v>0</v>
      </c>
      <c r="Q1597" s="38">
        <v>0</v>
      </c>
      <c r="R1597" s="38">
        <v>0</v>
      </c>
      <c r="S1597" s="38">
        <v>0</v>
      </c>
      <c r="T1597" s="38">
        <v>0</v>
      </c>
      <c r="U1597" s="29" cm="1">
        <f t="array" aca="1" ref="U1597" ca="1">+fair_value_gap(OFFSET(T1596,0,0,-1*$J$5,-1*$AA$1),OFFSET(E1596,0,0,-1*$J$5,1),F1597:T1597,0)</f>
        <v>17.966933311189699</v>
      </c>
      <c r="V1597" s="9" cm="1">
        <f t="array" aca="1" ref="V1597" ca="1">z_score_diff(OFFSET(U1597,0,0,$J$5*-1,1),OFFSET(E1597,0,0,$J$5*-1,1))</f>
        <v>0.24273943121383024</v>
      </c>
      <c r="W1597" s="9">
        <f t="shared" ref="W1597:W1618" ca="1" si="250">+IF(ISERROR(AVERAGE(OFFSET(V1597,0,0,$W$5*-1,1))),"",AVERAGE(OFFSET(V1597,0,0,$W$5*-1,1)))</f>
        <v>-0.10034074731749132</v>
      </c>
      <c r="X1597" s="17">
        <f t="shared" ref="X1597:X1618" ca="1" si="251">+LN(OFFSET(E1597,$X$3,0,1,1)/E1597)</f>
        <v>8.6662986458660982E-2</v>
      </c>
      <c r="Y1597" s="13">
        <f t="shared" ref="Y1597:Z1597" si="252">+Y1596</f>
        <v>0</v>
      </c>
      <c r="Z1597" s="13">
        <f t="shared" si="252"/>
        <v>0</v>
      </c>
      <c r="AA1597">
        <f t="shared" ref="AA1597:AA1618" ca="1" si="253">+IF(W1597="","",IF(W1597&lt;Y1597,1,0))</f>
        <v>1</v>
      </c>
      <c r="AB1597">
        <f t="shared" ref="AB1597:AB1618" ca="1" si="254">+IF(W1597="","",IF(W1597&gt;Z1597,1,0))</f>
        <v>0</v>
      </c>
      <c r="AC1597" s="24">
        <f t="shared" ref="AC1597:AC1599" ca="1" si="255">+IF(ISERROR(AA1597*X1597),"",AA1597*X1597)</f>
        <v>8.6662986458660982E-2</v>
      </c>
      <c r="AD1597" s="24">
        <f t="shared" ref="AD1597:AD1599" ca="1" si="256">+IF(ISERROR(AB1597*X1597),"",AB1597*X1597)</f>
        <v>0</v>
      </c>
    </row>
    <row r="1598" spans="3:30" x14ac:dyDescent="0.25">
      <c r="C1598" s="6">
        <v>1591</v>
      </c>
      <c r="D1598" s="35">
        <v>44271</v>
      </c>
      <c r="E1598" s="37">
        <v>17.948</v>
      </c>
      <c r="F1598" s="37">
        <v>54.730395460173128</v>
      </c>
      <c r="G1598" s="37">
        <v>52.51</v>
      </c>
      <c r="H1598" s="37">
        <v>2.2769451766850861</v>
      </c>
      <c r="I1598" s="37">
        <v>69.39660115705648</v>
      </c>
      <c r="J1598" s="10">
        <v>0</v>
      </c>
      <c r="K1598" s="38">
        <v>0</v>
      </c>
      <c r="L1598" s="38">
        <v>1</v>
      </c>
      <c r="M1598" s="38">
        <v>0</v>
      </c>
      <c r="N1598" s="38">
        <v>0</v>
      </c>
      <c r="O1598" s="38">
        <v>0</v>
      </c>
      <c r="P1598" s="38">
        <v>0</v>
      </c>
      <c r="Q1598" s="38">
        <v>0</v>
      </c>
      <c r="R1598" s="38">
        <v>0</v>
      </c>
      <c r="S1598" s="38">
        <v>0</v>
      </c>
      <c r="T1598" s="38">
        <v>0</v>
      </c>
      <c r="U1598" s="29" cm="1">
        <f t="array" aca="1" ref="U1598" ca="1">+fair_value_gap(OFFSET(T1597,0,0,-1*$J$5,-1*$AA$1),OFFSET(E1597,0,0,-1*$J$5,1),F1598:T1598,0)</f>
        <v>17.605255474407429</v>
      </c>
      <c r="V1598" s="9" cm="1">
        <f t="array" aca="1" ref="V1598" ca="1">z_score_diff(OFFSET(U1598,0,0,$J$5*-1,1),OFFSET(E1598,0,0,$J$5*-1,1))</f>
        <v>0.15556332213612967</v>
      </c>
      <c r="W1598" s="9">
        <f t="shared" ca="1" si="250"/>
        <v>-9.7798932652130494E-2</v>
      </c>
      <c r="X1598" s="17">
        <f t="shared" ca="1" si="251"/>
        <v>0.1307486632676248</v>
      </c>
      <c r="Y1598" s="13">
        <f t="shared" ref="Y1598:Z1598" si="257">+Y1597</f>
        <v>0</v>
      </c>
      <c r="Z1598" s="13">
        <f t="shared" si="257"/>
        <v>0</v>
      </c>
      <c r="AA1598">
        <f t="shared" ca="1" si="253"/>
        <v>1</v>
      </c>
      <c r="AB1598">
        <f t="shared" ca="1" si="254"/>
        <v>0</v>
      </c>
      <c r="AC1598" s="24">
        <f t="shared" ca="1" si="255"/>
        <v>0.1307486632676248</v>
      </c>
      <c r="AD1598" s="24">
        <f t="shared" ca="1" si="256"/>
        <v>0</v>
      </c>
    </row>
    <row r="1599" spans="3:30" x14ac:dyDescent="0.25">
      <c r="C1599" s="6">
        <v>1592</v>
      </c>
      <c r="D1599" s="35">
        <v>44272</v>
      </c>
      <c r="E1599" s="37">
        <v>18.068000000000001</v>
      </c>
      <c r="F1599" s="37">
        <v>54.346877091743615</v>
      </c>
      <c r="G1599" s="37">
        <v>52.99</v>
      </c>
      <c r="H1599" s="37">
        <v>2.2284215208976881</v>
      </c>
      <c r="I1599" s="37">
        <v>69.347147329428054</v>
      </c>
      <c r="J1599" s="10">
        <v>0</v>
      </c>
      <c r="K1599" s="38">
        <v>0</v>
      </c>
      <c r="L1599" s="38">
        <v>1</v>
      </c>
      <c r="M1599" s="38">
        <v>0</v>
      </c>
      <c r="N1599" s="38">
        <v>0</v>
      </c>
      <c r="O1599" s="38">
        <v>0</v>
      </c>
      <c r="P1599" s="38">
        <v>0</v>
      </c>
      <c r="Q1599" s="38">
        <v>0</v>
      </c>
      <c r="R1599" s="38">
        <v>0</v>
      </c>
      <c r="S1599" s="38">
        <v>0</v>
      </c>
      <c r="T1599" s="38">
        <v>0</v>
      </c>
      <c r="U1599" s="29" cm="1">
        <f t="array" aca="1" ref="U1599" ca="1">+fair_value_gap(OFFSET(T1598,0,0,-1*$J$5,-1*$AA$1),OFFSET(E1598,0,0,-1*$J$5,1),F1599:T1599,0)</f>
        <v>17.783914646746094</v>
      </c>
      <c r="V1599" s="9" cm="1">
        <f t="array" aca="1" ref="V1599" ca="1">z_score_diff(OFFSET(U1599,0,0,$J$5*-1,1),OFFSET(E1599,0,0,$J$5*-1,1))</f>
        <v>0.20558688786468959</v>
      </c>
      <c r="W1599" s="9">
        <f t="shared" ca="1" si="250"/>
        <v>-9.4798160772373283E-2</v>
      </c>
      <c r="X1599" s="17" t="e">
        <f t="shared" ca="1" si="251"/>
        <v>#NUM!</v>
      </c>
      <c r="Y1599" s="13">
        <f t="shared" ref="Y1599:Z1599" si="258">+Y1598</f>
        <v>0</v>
      </c>
      <c r="Z1599" s="13">
        <f t="shared" si="258"/>
        <v>0</v>
      </c>
      <c r="AA1599">
        <f t="shared" ca="1" si="253"/>
        <v>1</v>
      </c>
      <c r="AB1599">
        <f t="shared" ca="1" si="254"/>
        <v>0</v>
      </c>
      <c r="AC1599" s="24" t="str">
        <f t="shared" ca="1" si="255"/>
        <v/>
      </c>
      <c r="AD1599" s="24" t="str">
        <f t="shared" ca="1" si="256"/>
        <v/>
      </c>
    </row>
    <row r="1600" spans="3:30" x14ac:dyDescent="0.25">
      <c r="C1600" s="6">
        <v>1593</v>
      </c>
      <c r="D1600" s="35">
        <v>44273</v>
      </c>
      <c r="E1600" s="37">
        <v>17.954999999999998</v>
      </c>
      <c r="F1600" s="37">
        <v>51.399630243753144</v>
      </c>
      <c r="G1600" s="37">
        <v>53.31</v>
      </c>
      <c r="H1600" s="37">
        <v>2.2049914584801864</v>
      </c>
      <c r="I1600" s="37">
        <v>70.113209629716948</v>
      </c>
      <c r="J1600" s="10">
        <v>0</v>
      </c>
      <c r="K1600" s="38">
        <v>0</v>
      </c>
      <c r="L1600" s="38">
        <v>1</v>
      </c>
      <c r="M1600" s="38">
        <v>0</v>
      </c>
      <c r="N1600" s="38">
        <v>0</v>
      </c>
      <c r="O1600" s="38">
        <v>0</v>
      </c>
      <c r="P1600" s="38">
        <v>0</v>
      </c>
      <c r="Q1600" s="38">
        <v>0</v>
      </c>
      <c r="R1600" s="38">
        <v>0</v>
      </c>
      <c r="S1600" s="38">
        <v>0</v>
      </c>
      <c r="T1600" s="38">
        <v>0</v>
      </c>
      <c r="U1600" s="29" cm="1">
        <f t="array" aca="1" ref="U1600" ca="1">+fair_value_gap(OFFSET(T1599,0,0,-1*$J$5,-1*$AA$1),OFFSET(E1599,0,0,-1*$J$5,1),F1600:T1600,0)</f>
        <v>17.793076493335519</v>
      </c>
      <c r="V1600" s="9" cm="1">
        <f t="array" aca="1" ref="V1600" ca="1">z_score_diff(OFFSET(U1600,0,0,$J$5*-1,1),OFFSET(E1600,0,0,$J$5*-1,1))</f>
        <v>0.26703430285028906</v>
      </c>
      <c r="W1600" s="9">
        <f t="shared" ca="1" si="250"/>
        <v>-7.7444653114906739E-2</v>
      </c>
      <c r="X1600" s="17" t="e">
        <f t="shared" ca="1" si="251"/>
        <v>#NUM!</v>
      </c>
      <c r="Y1600" s="13">
        <f t="shared" ref="Y1600:Z1600" si="259">+Y1599</f>
        <v>0</v>
      </c>
      <c r="Z1600" s="13">
        <f t="shared" si="259"/>
        <v>0</v>
      </c>
      <c r="AA1600">
        <f t="shared" ca="1" si="253"/>
        <v>1</v>
      </c>
      <c r="AB1600">
        <f t="shared" ca="1" si="254"/>
        <v>0</v>
      </c>
      <c r="AC1600" s="24" t="str">
        <f t="shared" ref="AC1600:AC1618" ca="1" si="260">+IF(ISERROR(AA1600*X1600),"",AA1600*X1600)</f>
        <v/>
      </c>
      <c r="AD1600" s="24" t="str">
        <f t="shared" ref="AD1600:AD1618" ca="1" si="261">+IF(ISERROR(AB1600*X1600),"",AB1600*X1600)</f>
        <v/>
      </c>
    </row>
    <row r="1601" spans="3:30" x14ac:dyDescent="0.25">
      <c r="C1601" s="6">
        <v>1594</v>
      </c>
      <c r="D1601" s="35">
        <v>44274</v>
      </c>
      <c r="E1601" s="37">
        <v>17.484000000000002</v>
      </c>
      <c r="F1601" s="37">
        <v>52.406585387082302</v>
      </c>
      <c r="G1601" s="37">
        <v>52.51</v>
      </c>
      <c r="H1601" s="37">
        <v>2.2479094274944598</v>
      </c>
      <c r="I1601" s="37">
        <v>70.717925027282888</v>
      </c>
      <c r="J1601" s="10">
        <v>0</v>
      </c>
      <c r="K1601" s="38">
        <v>0</v>
      </c>
      <c r="L1601" s="38">
        <v>1</v>
      </c>
      <c r="M1601" s="38">
        <v>0</v>
      </c>
      <c r="N1601" s="38">
        <v>0</v>
      </c>
      <c r="O1601" s="38">
        <v>0</v>
      </c>
      <c r="P1601" s="38">
        <v>0</v>
      </c>
      <c r="Q1601" s="38">
        <v>0</v>
      </c>
      <c r="R1601" s="38">
        <v>0</v>
      </c>
      <c r="S1601" s="38">
        <v>0</v>
      </c>
      <c r="T1601" s="38">
        <v>0</v>
      </c>
      <c r="U1601" s="29" cm="1">
        <f t="array" aca="1" ref="U1601" ca="1">+fair_value_gap(OFFSET(T1600,0,0,-1*$J$5,-1*$AA$1),OFFSET(E1600,0,0,-1*$J$5,1),F1601:T1601,0)</f>
        <v>17.600951311271896</v>
      </c>
      <c r="V1601" s="9" cm="1">
        <f t="array" aca="1" ref="V1601" ca="1">z_score_diff(OFFSET(U1601,0,0,$J$5*-1,1),OFFSET(E1601,0,0,$J$5*-1,1))</f>
        <v>0.37808566494037898</v>
      </c>
      <c r="W1601" s="9">
        <f t="shared" ca="1" si="250"/>
        <v>-7.3535730737284241E-2</v>
      </c>
      <c r="X1601" s="17" t="e">
        <f t="shared" ca="1" si="251"/>
        <v>#NUM!</v>
      </c>
      <c r="Y1601" s="13">
        <f t="shared" ref="Y1601:Z1601" si="262">+Y1600</f>
        <v>0</v>
      </c>
      <c r="Z1601" s="13">
        <f t="shared" si="262"/>
        <v>0</v>
      </c>
      <c r="AA1601">
        <f t="shared" ca="1" si="253"/>
        <v>1</v>
      </c>
      <c r="AB1601">
        <f t="shared" ca="1" si="254"/>
        <v>0</v>
      </c>
      <c r="AC1601" s="24" t="str">
        <f t="shared" ca="1" si="260"/>
        <v/>
      </c>
      <c r="AD1601" s="24" t="str">
        <f t="shared" ca="1" si="261"/>
        <v/>
      </c>
    </row>
    <row r="1602" spans="3:30" x14ac:dyDescent="0.25">
      <c r="C1602" s="6">
        <v>1595</v>
      </c>
      <c r="D1602" s="35">
        <v>44277</v>
      </c>
      <c r="E1602" s="37">
        <v>18.173999999999999</v>
      </c>
      <c r="F1602" s="37">
        <v>52.473149874869151</v>
      </c>
      <c r="G1602" s="37">
        <v>54.01</v>
      </c>
      <c r="H1602" s="37">
        <v>2.2839092914037864</v>
      </c>
      <c r="I1602" s="37">
        <v>71.539117789950467</v>
      </c>
      <c r="J1602" s="10">
        <v>0</v>
      </c>
      <c r="K1602" s="38">
        <v>0</v>
      </c>
      <c r="L1602" s="38">
        <v>1</v>
      </c>
      <c r="M1602" s="38">
        <v>0</v>
      </c>
      <c r="N1602" s="38">
        <v>0</v>
      </c>
      <c r="O1602" s="38">
        <v>0</v>
      </c>
      <c r="P1602" s="38">
        <v>0</v>
      </c>
      <c r="Q1602" s="38">
        <v>0</v>
      </c>
      <c r="R1602" s="38">
        <v>0</v>
      </c>
      <c r="S1602" s="38">
        <v>0</v>
      </c>
      <c r="T1602" s="38">
        <v>0</v>
      </c>
      <c r="U1602" s="29" cm="1">
        <f t="array" aca="1" ref="U1602" ca="1">+fair_value_gap(OFFSET(T1601,0,0,-1*$J$5,-1*$AA$1),OFFSET(E1601,0,0,-1*$J$5,1),F1602:T1602,0)</f>
        <v>18.118302032985067</v>
      </c>
      <c r="V1602" s="9" cm="1">
        <f t="array" aca="1" ref="V1602" ca="1">z_score_diff(OFFSET(U1602,0,0,$J$5*-1,1),OFFSET(E1602,0,0,$J$5*-1,1))</f>
        <v>0.35256221715351055</v>
      </c>
      <c r="W1602" s="9">
        <f t="shared" ca="1" si="250"/>
        <v>-6.8697500416821419E-2</v>
      </c>
      <c r="X1602" s="17" t="e">
        <f t="shared" ca="1" si="251"/>
        <v>#NUM!</v>
      </c>
      <c r="Y1602" s="13">
        <f t="shared" ref="Y1602:Z1602" si="263">+Y1601</f>
        <v>0</v>
      </c>
      <c r="Z1602" s="13">
        <f t="shared" si="263"/>
        <v>0</v>
      </c>
      <c r="AA1602">
        <f t="shared" ca="1" si="253"/>
        <v>1</v>
      </c>
      <c r="AB1602">
        <f t="shared" ca="1" si="254"/>
        <v>0</v>
      </c>
      <c r="AC1602" s="24" t="str">
        <f t="shared" ca="1" si="260"/>
        <v/>
      </c>
      <c r="AD1602" s="24" t="str">
        <f t="shared" ca="1" si="261"/>
        <v/>
      </c>
    </row>
    <row r="1603" spans="3:30" x14ac:dyDescent="0.25">
      <c r="C1603" s="6">
        <v>1596</v>
      </c>
      <c r="D1603" s="35">
        <v>44278</v>
      </c>
      <c r="E1603" s="37">
        <v>18.518999999999998</v>
      </c>
      <c r="F1603" s="37">
        <v>50.213242376816176</v>
      </c>
      <c r="G1603" s="37">
        <v>53.46</v>
      </c>
      <c r="H1603" s="37">
        <v>2.2551410997153964</v>
      </c>
      <c r="I1603" s="37">
        <v>71.949339595839703</v>
      </c>
      <c r="J1603" s="10">
        <v>0</v>
      </c>
      <c r="K1603" s="38">
        <v>0</v>
      </c>
      <c r="L1603" s="38">
        <v>1</v>
      </c>
      <c r="M1603" s="38">
        <v>0</v>
      </c>
      <c r="N1603" s="38">
        <v>0</v>
      </c>
      <c r="O1603" s="38">
        <v>0</v>
      </c>
      <c r="P1603" s="38">
        <v>0</v>
      </c>
      <c r="Q1603" s="38">
        <v>0</v>
      </c>
      <c r="R1603" s="38">
        <v>0</v>
      </c>
      <c r="S1603" s="38">
        <v>0</v>
      </c>
      <c r="T1603" s="38">
        <v>0</v>
      </c>
      <c r="U1603" s="29" cm="1">
        <f t="array" aca="1" ref="U1603" ca="1">+fair_value_gap(OFFSET(T1602,0,0,-1*$J$5,-1*$AA$1),OFFSET(E1602,0,0,-1*$J$5,1),F1603:T1603,0)</f>
        <v>18.226231582259711</v>
      </c>
      <c r="V1603" s="9" cm="1">
        <f t="array" aca="1" ref="V1603" ca="1">z_score_diff(OFFSET(U1603,0,0,$J$5*-1,1),OFFSET(E1603,0,0,$J$5*-1,1))</f>
        <v>0.23428209781904608</v>
      </c>
      <c r="W1603" s="9">
        <f t="shared" ca="1" si="250"/>
        <v>-6.3143452296154118E-2</v>
      </c>
      <c r="X1603" s="17" t="e">
        <f t="shared" ca="1" si="251"/>
        <v>#NUM!</v>
      </c>
      <c r="Y1603" s="13">
        <f t="shared" ref="Y1603:Z1603" si="264">+Y1602</f>
        <v>0</v>
      </c>
      <c r="Z1603" s="13">
        <f t="shared" si="264"/>
        <v>0</v>
      </c>
      <c r="AA1603">
        <f t="shared" ca="1" si="253"/>
        <v>1</v>
      </c>
      <c r="AB1603">
        <f t="shared" ca="1" si="254"/>
        <v>0</v>
      </c>
      <c r="AC1603" s="24" t="str">
        <f t="shared" ca="1" si="260"/>
        <v/>
      </c>
      <c r="AD1603" s="24" t="str">
        <f t="shared" ca="1" si="261"/>
        <v/>
      </c>
    </row>
    <row r="1604" spans="3:30" x14ac:dyDescent="0.25">
      <c r="C1604" s="6">
        <v>1597</v>
      </c>
      <c r="D1604" s="35">
        <v>44279</v>
      </c>
      <c r="E1604" s="37">
        <v>18.661000000000001</v>
      </c>
      <c r="F1604" s="37">
        <v>52.848737567979697</v>
      </c>
      <c r="G1604" s="37">
        <v>53.51</v>
      </c>
      <c r="H1604" s="37">
        <v>2.2755488981552703</v>
      </c>
      <c r="I1604" s="37">
        <v>72.238978179021089</v>
      </c>
      <c r="J1604" s="10">
        <v>0</v>
      </c>
      <c r="K1604" s="38">
        <v>0</v>
      </c>
      <c r="L1604" s="38">
        <v>1</v>
      </c>
      <c r="M1604" s="38">
        <v>0</v>
      </c>
      <c r="N1604" s="38">
        <v>0</v>
      </c>
      <c r="O1604" s="38">
        <v>0</v>
      </c>
      <c r="P1604" s="38">
        <v>0</v>
      </c>
      <c r="Q1604" s="38">
        <v>0</v>
      </c>
      <c r="R1604" s="38">
        <v>0</v>
      </c>
      <c r="S1604" s="38">
        <v>0</v>
      </c>
      <c r="T1604" s="38">
        <v>0</v>
      </c>
      <c r="U1604" s="29" cm="1">
        <f t="array" aca="1" ref="U1604" ca="1">+fair_value_gap(OFFSET(T1603,0,0,-1*$J$5,-1*$AA$1),OFFSET(E1603,0,0,-1*$J$5,1),F1604:T1604,0)</f>
        <v>18.195656665137133</v>
      </c>
      <c r="V1604" s="9" cm="1">
        <f t="array" aca="1" ref="V1604" ca="1">z_score_diff(OFFSET(U1604,0,0,$J$5*-1,1),OFFSET(E1604,0,0,$J$5*-1,1))</f>
        <v>0.14232511073741971</v>
      </c>
      <c r="W1604" s="9">
        <f t="shared" ca="1" si="250"/>
        <v>-6.2538223642159746E-2</v>
      </c>
      <c r="X1604" s="17" t="e">
        <f t="shared" ca="1" si="251"/>
        <v>#NUM!</v>
      </c>
      <c r="Y1604" s="13">
        <f t="shared" ref="Y1604:Z1604" si="265">+Y1603</f>
        <v>0</v>
      </c>
      <c r="Z1604" s="13">
        <f t="shared" si="265"/>
        <v>0</v>
      </c>
      <c r="AA1604">
        <f t="shared" ca="1" si="253"/>
        <v>1</v>
      </c>
      <c r="AB1604">
        <f t="shared" ca="1" si="254"/>
        <v>0</v>
      </c>
      <c r="AC1604" s="24" t="str">
        <f t="shared" ca="1" si="260"/>
        <v/>
      </c>
      <c r="AD1604" s="24" t="str">
        <f t="shared" ca="1" si="261"/>
        <v/>
      </c>
    </row>
    <row r="1605" spans="3:30" x14ac:dyDescent="0.25">
      <c r="C1605" s="6">
        <v>1598</v>
      </c>
      <c r="D1605" s="35">
        <v>44280</v>
      </c>
      <c r="E1605" s="37">
        <v>18.303000000000001</v>
      </c>
      <c r="F1605" s="37">
        <v>51.081092292206876</v>
      </c>
      <c r="G1605" s="37">
        <v>53.13</v>
      </c>
      <c r="H1605" s="37">
        <v>2.3170193835560196</v>
      </c>
      <c r="I1605" s="37">
        <v>72.888333549204702</v>
      </c>
      <c r="J1605" s="10">
        <v>0</v>
      </c>
      <c r="K1605" s="38">
        <v>0</v>
      </c>
      <c r="L1605" s="38">
        <v>1</v>
      </c>
      <c r="M1605" s="38">
        <v>0</v>
      </c>
      <c r="N1605" s="38">
        <v>0</v>
      </c>
      <c r="O1605" s="38">
        <v>0</v>
      </c>
      <c r="P1605" s="38">
        <v>0</v>
      </c>
      <c r="Q1605" s="38">
        <v>0</v>
      </c>
      <c r="R1605" s="38">
        <v>0</v>
      </c>
      <c r="S1605" s="38">
        <v>0</v>
      </c>
      <c r="T1605" s="38">
        <v>0</v>
      </c>
      <c r="U1605" s="29" cm="1">
        <f t="array" aca="1" ref="U1605" ca="1">+fair_value_gap(OFFSET(T1604,0,0,-1*$J$5,-1*$AA$1),OFFSET(E1604,0,0,-1*$J$5,1),F1605:T1605,0)</f>
        <v>18.200337158705487</v>
      </c>
      <c r="V1605" s="9" cm="1">
        <f t="array" aca="1" ref="V1605" ca="1">z_score_diff(OFFSET(U1605,0,0,$J$5*-1,1),OFFSET(E1605,0,0,$J$5*-1,1))</f>
        <v>0.29844050338681383</v>
      </c>
      <c r="W1605" s="9">
        <f t="shared" ca="1" si="250"/>
        <v>-6.4143173800057893E-2</v>
      </c>
      <c r="X1605" s="17" t="e">
        <f t="shared" ca="1" si="251"/>
        <v>#NUM!</v>
      </c>
      <c r="Y1605" s="13">
        <f t="shared" ref="Y1605:Z1605" si="266">+Y1604</f>
        <v>0</v>
      </c>
      <c r="Z1605" s="13">
        <f t="shared" si="266"/>
        <v>0</v>
      </c>
      <c r="AA1605">
        <f t="shared" ca="1" si="253"/>
        <v>1</v>
      </c>
      <c r="AB1605">
        <f t="shared" ca="1" si="254"/>
        <v>0</v>
      </c>
      <c r="AC1605" s="24" t="str">
        <f t="shared" ca="1" si="260"/>
        <v/>
      </c>
      <c r="AD1605" s="24" t="str">
        <f t="shared" ca="1" si="261"/>
        <v/>
      </c>
    </row>
    <row r="1606" spans="3:30" x14ac:dyDescent="0.25">
      <c r="C1606" s="6">
        <v>1599</v>
      </c>
      <c r="D1606" s="35">
        <v>44281</v>
      </c>
      <c r="E1606" s="37">
        <v>18.564</v>
      </c>
      <c r="F1606" s="37">
        <v>52.87940253537397</v>
      </c>
      <c r="G1606" s="37">
        <v>54.46</v>
      </c>
      <c r="H1606" s="37">
        <v>2.3146349784327702</v>
      </c>
      <c r="I1606" s="37">
        <v>73.171514367456965</v>
      </c>
      <c r="J1606" s="10">
        <v>0</v>
      </c>
      <c r="K1606" s="38">
        <v>0</v>
      </c>
      <c r="L1606" s="38">
        <v>1</v>
      </c>
      <c r="M1606" s="38">
        <v>0</v>
      </c>
      <c r="N1606" s="38">
        <v>0</v>
      </c>
      <c r="O1606" s="38">
        <v>0</v>
      </c>
      <c r="P1606" s="38">
        <v>0</v>
      </c>
      <c r="Q1606" s="38">
        <v>0</v>
      </c>
      <c r="R1606" s="38">
        <v>0</v>
      </c>
      <c r="S1606" s="38">
        <v>0</v>
      </c>
      <c r="T1606" s="38">
        <v>0</v>
      </c>
      <c r="U1606" s="29" cm="1">
        <f t="array" aca="1" ref="U1606" ca="1">+fair_value_gap(OFFSET(T1605,0,0,-1*$J$5,-1*$AA$1),OFFSET(E1605,0,0,-1*$J$5,1),F1606:T1606,0)</f>
        <v>18.549940535838381</v>
      </c>
      <c r="V1606" s="9" cm="1">
        <f t="array" aca="1" ref="V1606" ca="1">z_score_diff(OFFSET(U1606,0,0,$J$5*-1,1),OFFSET(E1606,0,0,$J$5*-1,1))</f>
        <v>0.35827398265971322</v>
      </c>
      <c r="W1606" s="9">
        <f t="shared" ca="1" si="250"/>
        <v>-5.9932502299561222E-2</v>
      </c>
      <c r="X1606" s="17" t="e">
        <f t="shared" ca="1" si="251"/>
        <v>#NUM!</v>
      </c>
      <c r="Y1606" s="13">
        <f t="shared" ref="Y1606:Z1606" si="267">+Y1605</f>
        <v>0</v>
      </c>
      <c r="Z1606" s="13">
        <f t="shared" si="267"/>
        <v>0</v>
      </c>
      <c r="AA1606">
        <f t="shared" ca="1" si="253"/>
        <v>1</v>
      </c>
      <c r="AB1606">
        <f t="shared" ca="1" si="254"/>
        <v>0</v>
      </c>
      <c r="AC1606" s="24" t="str">
        <f t="shared" ca="1" si="260"/>
        <v/>
      </c>
      <c r="AD1606" s="24" t="str">
        <f t="shared" ca="1" si="261"/>
        <v/>
      </c>
    </row>
    <row r="1607" spans="3:30" x14ac:dyDescent="0.25">
      <c r="C1607" s="6">
        <v>1600</v>
      </c>
      <c r="D1607" s="35">
        <v>44284</v>
      </c>
      <c r="E1607" s="37">
        <v>18.462</v>
      </c>
      <c r="F1607" s="37">
        <v>53.281215069133481</v>
      </c>
      <c r="G1607" s="37">
        <v>53.9</v>
      </c>
      <c r="H1607" s="37">
        <v>2.3397329503499016</v>
      </c>
      <c r="I1607" s="37">
        <v>73.248968586777593</v>
      </c>
      <c r="J1607" s="10">
        <v>0</v>
      </c>
      <c r="K1607" s="38">
        <v>0</v>
      </c>
      <c r="L1607" s="38">
        <v>1</v>
      </c>
      <c r="M1607" s="38">
        <v>0</v>
      </c>
      <c r="N1607" s="38">
        <v>0</v>
      </c>
      <c r="O1607" s="38">
        <v>0</v>
      </c>
      <c r="P1607" s="38">
        <v>0</v>
      </c>
      <c r="Q1607" s="38">
        <v>0</v>
      </c>
      <c r="R1607" s="38">
        <v>0</v>
      </c>
      <c r="S1607" s="38">
        <v>0</v>
      </c>
      <c r="T1607" s="38">
        <v>0</v>
      </c>
      <c r="U1607" s="29" cm="1">
        <f t="array" aca="1" ref="U1607" ca="1">+fair_value_gap(OFFSET(T1606,0,0,-1*$J$5,-1*$AA$1),OFFSET(E1606,0,0,-1*$J$5,1),F1607:T1607,0)</f>
        <v>18.370271148515705</v>
      </c>
      <c r="V1607" s="9" cm="1">
        <f t="array" aca="1" ref="V1607" ca="1">z_score_diff(OFFSET(U1607,0,0,$J$5*-1,1),OFFSET(E1607,0,0,$J$5*-1,1))</f>
        <v>0.29180728513681986</v>
      </c>
      <c r="W1607" s="9">
        <f t="shared" ca="1" si="250"/>
        <v>2.1119190693633938E-2</v>
      </c>
      <c r="X1607" s="17" t="e">
        <f t="shared" ca="1" si="251"/>
        <v>#NUM!</v>
      </c>
      <c r="Y1607" s="13">
        <f t="shared" ref="Y1607:Z1607" si="268">+Y1606</f>
        <v>0</v>
      </c>
      <c r="Z1607" s="13">
        <f t="shared" si="268"/>
        <v>0</v>
      </c>
      <c r="AA1607">
        <f t="shared" ca="1" si="253"/>
        <v>0</v>
      </c>
      <c r="AB1607">
        <f t="shared" ca="1" si="254"/>
        <v>1</v>
      </c>
      <c r="AC1607" s="24" t="str">
        <f t="shared" ca="1" si="260"/>
        <v/>
      </c>
      <c r="AD1607" s="24" t="str">
        <f t="shared" ca="1" si="261"/>
        <v/>
      </c>
    </row>
    <row r="1608" spans="3:30" x14ac:dyDescent="0.25">
      <c r="C1608" s="6">
        <v>1601</v>
      </c>
      <c r="D1608" s="35">
        <v>44285</v>
      </c>
      <c r="E1608" s="37">
        <v>18.71</v>
      </c>
      <c r="F1608" s="37">
        <v>52.847481115272288</v>
      </c>
      <c r="G1608" s="37">
        <v>54.31</v>
      </c>
      <c r="H1608" s="37">
        <v>2.3431090404390353</v>
      </c>
      <c r="I1608" s="37">
        <v>73.328430601548192</v>
      </c>
      <c r="J1608" s="10">
        <v>0</v>
      </c>
      <c r="K1608" s="38">
        <v>0</v>
      </c>
      <c r="L1608" s="38">
        <v>1</v>
      </c>
      <c r="M1608" s="38">
        <v>0</v>
      </c>
      <c r="N1608" s="38">
        <v>0</v>
      </c>
      <c r="O1608" s="38">
        <v>0</v>
      </c>
      <c r="P1608" s="38">
        <v>0</v>
      </c>
      <c r="Q1608" s="38">
        <v>0</v>
      </c>
      <c r="R1608" s="38">
        <v>0</v>
      </c>
      <c r="S1608" s="38">
        <v>0</v>
      </c>
      <c r="T1608" s="38">
        <v>0</v>
      </c>
      <c r="U1608" s="29" cm="1">
        <f t="array" aca="1" ref="U1608" ca="1">+fair_value_gap(OFFSET(T1607,0,0,-1*$J$5,-1*$AA$1),OFFSET(E1607,0,0,-1*$J$5,1),F1608:T1608,0)</f>
        <v>18.522675033578228</v>
      </c>
      <c r="V1608" s="9" cm="1">
        <f t="array" aca="1" ref="V1608" ca="1">z_score_diff(OFFSET(U1608,0,0,$J$5*-1,1),OFFSET(E1608,0,0,$J$5*-1,1))</f>
        <v>0.25062647064267463</v>
      </c>
      <c r="W1608" s="9">
        <f t="shared" ca="1" si="250"/>
        <v>7.3334358010618744E-2</v>
      </c>
      <c r="X1608" s="17" t="e">
        <f t="shared" ca="1" si="251"/>
        <v>#NUM!</v>
      </c>
      <c r="Y1608" s="13">
        <f t="shared" ref="Y1608:Z1608" si="269">+Y1607</f>
        <v>0</v>
      </c>
      <c r="Z1608" s="13">
        <f t="shared" si="269"/>
        <v>0</v>
      </c>
      <c r="AA1608">
        <f t="shared" ca="1" si="253"/>
        <v>0</v>
      </c>
      <c r="AB1608">
        <f t="shared" ca="1" si="254"/>
        <v>1</v>
      </c>
      <c r="AC1608" s="24" t="str">
        <f t="shared" ca="1" si="260"/>
        <v/>
      </c>
      <c r="AD1608" s="24" t="str">
        <f t="shared" ca="1" si="261"/>
        <v/>
      </c>
    </row>
    <row r="1609" spans="3:30" x14ac:dyDescent="0.25">
      <c r="C1609" s="6">
        <v>1602</v>
      </c>
      <c r="D1609" s="35">
        <v>44286</v>
      </c>
      <c r="E1609" s="37">
        <v>19.399999999999999</v>
      </c>
      <c r="F1609" s="37">
        <v>51.868189379637762</v>
      </c>
      <c r="G1609" s="37">
        <v>57.48</v>
      </c>
      <c r="H1609" s="37">
        <v>2.3406529359689112</v>
      </c>
      <c r="I1609" s="37">
        <v>74.382636858104604</v>
      </c>
      <c r="J1609" s="10">
        <v>0</v>
      </c>
      <c r="K1609" s="38">
        <v>0</v>
      </c>
      <c r="L1609" s="38">
        <v>1</v>
      </c>
      <c r="M1609" s="38">
        <v>0</v>
      </c>
      <c r="N1609" s="38">
        <v>0</v>
      </c>
      <c r="O1609" s="38">
        <v>0</v>
      </c>
      <c r="P1609" s="38">
        <v>0</v>
      </c>
      <c r="Q1609" s="38">
        <v>0</v>
      </c>
      <c r="R1609" s="38">
        <v>0</v>
      </c>
      <c r="S1609" s="38">
        <v>0</v>
      </c>
      <c r="T1609" s="38">
        <v>0</v>
      </c>
      <c r="U1609" s="29" cm="1">
        <f t="array" aca="1" ref="U1609" ca="1">+fair_value_gap(OFFSET(T1608,0,0,-1*$J$5,-1*$AA$1),OFFSET(E1608,0,0,-1*$J$5,1),F1609:T1609,0)</f>
        <v>19.603047195967445</v>
      </c>
      <c r="V1609" s="9" cm="1">
        <f t="array" aca="1" ref="V1609" ca="1">z_score_diff(OFFSET(U1609,0,0,$J$5*-1,1),OFFSET(E1609,0,0,$J$5*-1,1))</f>
        <v>0.4972119632234957</v>
      </c>
      <c r="W1609" s="9">
        <f t="shared" ca="1" si="250"/>
        <v>0.12264700000960822</v>
      </c>
      <c r="X1609" s="17" t="e">
        <f t="shared" ca="1" si="251"/>
        <v>#NUM!</v>
      </c>
      <c r="Y1609" s="13">
        <f t="shared" ref="Y1609:Z1609" si="270">+Y1608</f>
        <v>0</v>
      </c>
      <c r="Z1609" s="13">
        <f t="shared" si="270"/>
        <v>0</v>
      </c>
      <c r="AA1609">
        <f t="shared" ca="1" si="253"/>
        <v>0</v>
      </c>
      <c r="AB1609">
        <f t="shared" ca="1" si="254"/>
        <v>1</v>
      </c>
      <c r="AC1609" s="24" t="str">
        <f t="shared" ca="1" si="260"/>
        <v/>
      </c>
      <c r="AD1609" s="24" t="str">
        <f t="shared" ca="1" si="261"/>
        <v/>
      </c>
    </row>
    <row r="1610" spans="3:30" x14ac:dyDescent="0.25">
      <c r="C1610" s="6">
        <v>1603</v>
      </c>
      <c r="D1610" s="35">
        <v>44287</v>
      </c>
      <c r="E1610" s="37">
        <v>19.516999999999999</v>
      </c>
      <c r="F1610" s="37">
        <v>53.214304749609354</v>
      </c>
      <c r="G1610" s="37">
        <v>57.81</v>
      </c>
      <c r="H1610" s="37">
        <v>2.3544580304954343</v>
      </c>
      <c r="I1610" s="37">
        <v>74.068559313645451</v>
      </c>
      <c r="J1610" s="10">
        <v>0</v>
      </c>
      <c r="K1610" s="38">
        <v>0</v>
      </c>
      <c r="L1610" s="38">
        <v>0</v>
      </c>
      <c r="M1610" s="38">
        <v>1</v>
      </c>
      <c r="N1610" s="38">
        <v>0</v>
      </c>
      <c r="O1610" s="38">
        <v>0</v>
      </c>
      <c r="P1610" s="38">
        <v>0</v>
      </c>
      <c r="Q1610" s="38">
        <v>0</v>
      </c>
      <c r="R1610" s="38">
        <v>0</v>
      </c>
      <c r="S1610" s="38">
        <v>0</v>
      </c>
      <c r="T1610" s="38">
        <v>0</v>
      </c>
      <c r="U1610" s="29" cm="1">
        <f t="array" aca="1" ref="U1610" ca="1">+fair_value_gap(OFFSET(T1609,0,0,-1*$J$5,-1*$AA$1),OFFSET(E1609,0,0,-1*$J$5,1),F1610:T1610,0)</f>
        <v>16.346705397182419</v>
      </c>
      <c r="V1610" s="9" cm="1">
        <f t="array" aca="1" ref="V1610" ca="1">z_score_diff(OFFSET(U1610,0,0,$J$5*-1,1),OFFSET(E1610,0,0,$J$5*-1,1))</f>
        <v>-1.2713147832526788</v>
      </c>
      <c r="W1610" s="9">
        <f t="shared" ca="1" si="250"/>
        <v>8.1653677206123682E-2</v>
      </c>
      <c r="X1610" s="17" t="e">
        <f t="shared" ca="1" si="251"/>
        <v>#NUM!</v>
      </c>
      <c r="Y1610" s="13">
        <f t="shared" ref="Y1610:Z1610" si="271">+Y1609</f>
        <v>0</v>
      </c>
      <c r="Z1610" s="13">
        <f t="shared" si="271"/>
        <v>0</v>
      </c>
      <c r="AA1610">
        <f t="shared" ca="1" si="253"/>
        <v>0</v>
      </c>
      <c r="AB1610">
        <f t="shared" ca="1" si="254"/>
        <v>1</v>
      </c>
      <c r="AC1610" s="24" t="str">
        <f t="shared" ca="1" si="260"/>
        <v/>
      </c>
      <c r="AD1610" s="24" t="str">
        <f t="shared" ca="1" si="261"/>
        <v/>
      </c>
    </row>
    <row r="1611" spans="3:30" x14ac:dyDescent="0.25">
      <c r="C1611" s="6">
        <v>1604</v>
      </c>
      <c r="D1611" s="35">
        <v>44292</v>
      </c>
      <c r="E1611" s="37">
        <v>20.074000000000002</v>
      </c>
      <c r="F1611" s="37">
        <v>51.427104240365708</v>
      </c>
      <c r="G1611" s="37">
        <v>58.96</v>
      </c>
      <c r="H1611" s="37">
        <v>2.2327871493492109</v>
      </c>
      <c r="I1611" s="37">
        <v>73.964745289414864</v>
      </c>
      <c r="J1611" s="10">
        <v>0</v>
      </c>
      <c r="K1611" s="38">
        <v>0</v>
      </c>
      <c r="L1611" s="38">
        <v>0</v>
      </c>
      <c r="M1611" s="38">
        <v>1</v>
      </c>
      <c r="N1611" s="38">
        <v>0</v>
      </c>
      <c r="O1611" s="38">
        <v>0</v>
      </c>
      <c r="P1611" s="38">
        <v>0</v>
      </c>
      <c r="Q1611" s="38">
        <v>0</v>
      </c>
      <c r="R1611" s="38">
        <v>0</v>
      </c>
      <c r="S1611" s="38">
        <v>0</v>
      </c>
      <c r="T1611" s="38">
        <v>0</v>
      </c>
      <c r="U1611" s="29" cm="1">
        <f t="array" aca="1" ref="U1611" ca="1">+fair_value_gap(OFFSET(T1610,0,0,-1*$J$5,-1*$AA$1),OFFSET(E1610,0,0,-1*$J$5,1),F1611:T1611,0)</f>
        <v>17.802047791041396</v>
      </c>
      <c r="V1611" s="9" cm="1">
        <f t="array" aca="1" ref="V1611" ca="1">z_score_diff(OFFSET(U1611,0,0,$J$5*-1,1),OFFSET(E1611,0,0,$J$5*-1,1))</f>
        <v>-0.71609700172087321</v>
      </c>
      <c r="W1611" s="9">
        <f t="shared" ca="1" si="250"/>
        <v>5.9756484738718432E-2</v>
      </c>
      <c r="X1611" s="17" t="e">
        <f t="shared" ca="1" si="251"/>
        <v>#NUM!</v>
      </c>
      <c r="Y1611" s="13">
        <f t="shared" ref="Y1611:Z1611" si="272">+Y1610</f>
        <v>0</v>
      </c>
      <c r="Z1611" s="13">
        <f t="shared" si="272"/>
        <v>0</v>
      </c>
      <c r="AA1611">
        <f t="shared" ca="1" si="253"/>
        <v>0</v>
      </c>
      <c r="AB1611">
        <f t="shared" ca="1" si="254"/>
        <v>1</v>
      </c>
      <c r="AC1611" s="24" t="str">
        <f t="shared" ca="1" si="260"/>
        <v/>
      </c>
      <c r="AD1611" s="24" t="str">
        <f t="shared" ca="1" si="261"/>
        <v/>
      </c>
    </row>
    <row r="1612" spans="3:30" x14ac:dyDescent="0.25">
      <c r="C1612" s="6">
        <v>1605</v>
      </c>
      <c r="D1612" s="35">
        <v>44293</v>
      </c>
      <c r="E1612" s="37">
        <v>19.652000000000001</v>
      </c>
      <c r="F1612" s="37">
        <v>51.684033184557414</v>
      </c>
      <c r="G1612" s="37">
        <v>58.86</v>
      </c>
      <c r="H1612" s="37">
        <v>2.2782274819374506</v>
      </c>
      <c r="I1612" s="37">
        <v>72.611155927630605</v>
      </c>
      <c r="J1612" s="10">
        <v>0</v>
      </c>
      <c r="K1612" s="38">
        <v>0</v>
      </c>
      <c r="L1612" s="38">
        <v>0</v>
      </c>
      <c r="M1612" s="38">
        <v>1</v>
      </c>
      <c r="N1612" s="38">
        <v>0</v>
      </c>
      <c r="O1612" s="38">
        <v>0</v>
      </c>
      <c r="P1612" s="38">
        <v>0</v>
      </c>
      <c r="Q1612" s="38">
        <v>0</v>
      </c>
      <c r="R1612" s="38">
        <v>0</v>
      </c>
      <c r="S1612" s="38">
        <v>0</v>
      </c>
      <c r="T1612" s="38">
        <v>0</v>
      </c>
      <c r="U1612" s="29" cm="1">
        <f t="array" aca="1" ref="U1612" ca="1">+fair_value_gap(OFFSET(T1611,0,0,-1*$J$5,-1*$AA$1),OFFSET(E1611,0,0,-1*$J$5,1),F1612:T1612,0)</f>
        <v>18.376269830398829</v>
      </c>
      <c r="V1612" s="9" cm="1">
        <f t="array" aca="1" ref="V1612" ca="1">z_score_diff(OFFSET(U1612,0,0,$J$5*-1,1),OFFSET(E1612,0,0,$J$5*-1,1))</f>
        <v>-0.21756816564236425</v>
      </c>
      <c r="W1612" s="9">
        <f t="shared" ca="1" si="250"/>
        <v>5.5269277807121542E-2</v>
      </c>
      <c r="X1612" s="17" t="e">
        <f t="shared" ca="1" si="251"/>
        <v>#NUM!</v>
      </c>
      <c r="Y1612" s="13">
        <f t="shared" ref="Y1612:Z1612" si="273">+Y1611</f>
        <v>0</v>
      </c>
      <c r="Z1612" s="13">
        <f t="shared" si="273"/>
        <v>0</v>
      </c>
      <c r="AA1612">
        <f t="shared" ca="1" si="253"/>
        <v>0</v>
      </c>
      <c r="AB1612">
        <f t="shared" ca="1" si="254"/>
        <v>1</v>
      </c>
      <c r="AC1612" s="24" t="str">
        <f t="shared" ca="1" si="260"/>
        <v/>
      </c>
      <c r="AD1612" s="24" t="str">
        <f t="shared" ca="1" si="261"/>
        <v/>
      </c>
    </row>
    <row r="1613" spans="3:30" x14ac:dyDescent="0.25">
      <c r="C1613" s="6">
        <v>1606</v>
      </c>
      <c r="D1613" s="35">
        <v>44294</v>
      </c>
      <c r="E1613" s="37">
        <v>19.329000000000001</v>
      </c>
      <c r="F1613" s="37">
        <v>51.178450052741468</v>
      </c>
      <c r="G1613" s="37">
        <v>58.53</v>
      </c>
      <c r="H1613" s="37">
        <v>2.2876925983072582</v>
      </c>
      <c r="I1613" s="37">
        <v>70.670226228307882</v>
      </c>
      <c r="J1613" s="10">
        <v>0</v>
      </c>
      <c r="K1613" s="38">
        <v>0</v>
      </c>
      <c r="L1613" s="38">
        <v>0</v>
      </c>
      <c r="M1613" s="38">
        <v>1</v>
      </c>
      <c r="N1613" s="38">
        <v>0</v>
      </c>
      <c r="O1613" s="38">
        <v>0</v>
      </c>
      <c r="P1613" s="38">
        <v>0</v>
      </c>
      <c r="Q1613" s="38">
        <v>0</v>
      </c>
      <c r="R1613" s="38">
        <v>0</v>
      </c>
      <c r="S1613" s="38">
        <v>0</v>
      </c>
      <c r="T1613" s="38">
        <v>0</v>
      </c>
      <c r="U1613" s="29" cm="1">
        <f t="array" aca="1" ref="U1613" ca="1">+fair_value_gap(OFFSET(T1612,0,0,-1*$J$5,-1*$AA$1),OFFSET(E1612,0,0,-1*$J$5,1),F1613:T1613,0)</f>
        <v>18.602776149917581</v>
      </c>
      <c r="V1613" s="9" cm="1">
        <f t="array" aca="1" ref="V1613" ca="1">z_score_diff(OFFSET(U1613,0,0,$J$5*-1,1),OFFSET(E1613,0,0,$J$5*-1,1))</f>
        <v>4.0846858141978526E-2</v>
      </c>
      <c r="W1613" s="9">
        <f t="shared" ca="1" si="250"/>
        <v>6.5447636170303511E-2</v>
      </c>
      <c r="X1613" s="17" t="e">
        <f t="shared" ca="1" si="251"/>
        <v>#NUM!</v>
      </c>
      <c r="Y1613" s="13">
        <f t="shared" ref="Y1613:Z1613" si="274">+Y1612</f>
        <v>0</v>
      </c>
      <c r="Z1613" s="13">
        <f t="shared" si="274"/>
        <v>0</v>
      </c>
      <c r="AA1613">
        <f t="shared" ca="1" si="253"/>
        <v>0</v>
      </c>
      <c r="AB1613">
        <f t="shared" ca="1" si="254"/>
        <v>1</v>
      </c>
      <c r="AC1613" s="24" t="str">
        <f t="shared" ca="1" si="260"/>
        <v/>
      </c>
      <c r="AD1613" s="24" t="str">
        <f t="shared" ca="1" si="261"/>
        <v/>
      </c>
    </row>
    <row r="1614" spans="3:30" x14ac:dyDescent="0.25">
      <c r="C1614" s="6">
        <v>1607</v>
      </c>
      <c r="D1614" s="35">
        <v>44295</v>
      </c>
      <c r="E1614" s="37">
        <v>19.234000000000002</v>
      </c>
      <c r="F1614" s="37">
        <v>51.172204390710796</v>
      </c>
      <c r="G1614" s="37">
        <v>58.27</v>
      </c>
      <c r="H1614" s="37">
        <v>2.290230387965865</v>
      </c>
      <c r="I1614" s="37">
        <v>70.004848421918211</v>
      </c>
      <c r="J1614" s="10">
        <v>0</v>
      </c>
      <c r="K1614" s="38">
        <v>0</v>
      </c>
      <c r="L1614" s="38">
        <v>0</v>
      </c>
      <c r="M1614" s="38">
        <v>1</v>
      </c>
      <c r="N1614" s="38">
        <v>0</v>
      </c>
      <c r="O1614" s="38">
        <v>0</v>
      </c>
      <c r="P1614" s="38">
        <v>0</v>
      </c>
      <c r="Q1614" s="38">
        <v>0</v>
      </c>
      <c r="R1614" s="38">
        <v>0</v>
      </c>
      <c r="S1614" s="38">
        <v>0</v>
      </c>
      <c r="T1614" s="38">
        <v>0</v>
      </c>
      <c r="U1614" s="29" cm="1">
        <f t="array" aca="1" ref="U1614" ca="1">+fair_value_gap(OFFSET(T1613,0,0,-1*$J$5,-1*$AA$1),OFFSET(E1613,0,0,-1*$J$5,1),F1614:T1614,0)</f>
        <v>18.699750248010957</v>
      </c>
      <c r="V1614" s="9" cm="1">
        <f t="array" aca="1" ref="V1614" ca="1">z_score_diff(OFFSET(U1614,0,0,$J$5*-1,1),OFFSET(E1614,0,0,$J$5*-1,1))</f>
        <v>0.12887005423790132</v>
      </c>
      <c r="W1614" s="9">
        <f t="shared" ca="1" si="250"/>
        <v>7.604475460320563E-2</v>
      </c>
      <c r="X1614" s="17" t="e">
        <f t="shared" ca="1" si="251"/>
        <v>#NUM!</v>
      </c>
      <c r="Y1614" s="13">
        <f t="shared" ref="Y1614:Z1614" si="275">+Y1613</f>
        <v>0</v>
      </c>
      <c r="Z1614" s="13">
        <f t="shared" si="275"/>
        <v>0</v>
      </c>
      <c r="AA1614">
        <f t="shared" ca="1" si="253"/>
        <v>0</v>
      </c>
      <c r="AB1614">
        <f t="shared" ca="1" si="254"/>
        <v>1</v>
      </c>
      <c r="AC1614" s="24" t="str">
        <f t="shared" ca="1" si="260"/>
        <v/>
      </c>
      <c r="AD1614" s="24" t="str">
        <f t="shared" ca="1" si="261"/>
        <v/>
      </c>
    </row>
    <row r="1615" spans="3:30" x14ac:dyDescent="0.25">
      <c r="C1615" s="6">
        <v>1608</v>
      </c>
      <c r="D1615" s="35">
        <v>44298</v>
      </c>
      <c r="E1615" s="37">
        <v>19.876000000000001</v>
      </c>
      <c r="F1615" s="37">
        <v>51.424718995862932</v>
      </c>
      <c r="G1615" s="37">
        <v>59.33</v>
      </c>
      <c r="H1615" s="37">
        <v>2.318629164875277</v>
      </c>
      <c r="I1615" s="37">
        <v>69.717799744716572</v>
      </c>
      <c r="J1615" s="10">
        <v>0</v>
      </c>
      <c r="K1615" s="38">
        <v>0</v>
      </c>
      <c r="L1615" s="38">
        <v>0</v>
      </c>
      <c r="M1615" s="38">
        <v>1</v>
      </c>
      <c r="N1615" s="38">
        <v>0</v>
      </c>
      <c r="O1615" s="38">
        <v>0</v>
      </c>
      <c r="P1615" s="38">
        <v>0</v>
      </c>
      <c r="Q1615" s="38">
        <v>0</v>
      </c>
      <c r="R1615" s="38">
        <v>0</v>
      </c>
      <c r="S1615" s="38">
        <v>0</v>
      </c>
      <c r="T1615" s="38">
        <v>0</v>
      </c>
      <c r="U1615" s="29" cm="1">
        <f t="array" aca="1" ref="U1615" ca="1">+fair_value_gap(OFFSET(T1614,0,0,-1*$J$5,-1*$AA$1),OFFSET(E1614,0,0,-1*$J$5,1),F1615:T1615,0)</f>
        <v>19.217088872549372</v>
      </c>
      <c r="V1615" s="9" cm="1">
        <f t="array" aca="1" ref="V1615" ca="1">z_score_diff(OFFSET(U1615,0,0,$J$5*-1,1),OFFSET(E1615,0,0,$J$5*-1,1))</f>
        <v>0.11725724582170516</v>
      </c>
      <c r="W1615" s="9">
        <f t="shared" ca="1" si="250"/>
        <v>8.7641793218345893E-2</v>
      </c>
      <c r="X1615" s="17" t="e">
        <f t="shared" ca="1" si="251"/>
        <v>#NUM!</v>
      </c>
      <c r="Y1615" s="13">
        <f t="shared" ref="Y1615:Z1615" si="276">+Y1614</f>
        <v>0</v>
      </c>
      <c r="Z1615" s="13">
        <f t="shared" si="276"/>
        <v>0</v>
      </c>
      <c r="AA1615">
        <f t="shared" ca="1" si="253"/>
        <v>0</v>
      </c>
      <c r="AB1615">
        <f t="shared" ca="1" si="254"/>
        <v>1</v>
      </c>
      <c r="AC1615" s="24" t="str">
        <f t="shared" ca="1" si="260"/>
        <v/>
      </c>
      <c r="AD1615" s="24" t="str">
        <f t="shared" ca="1" si="261"/>
        <v/>
      </c>
    </row>
    <row r="1616" spans="3:30" x14ac:dyDescent="0.25">
      <c r="C1616" s="6">
        <v>1609</v>
      </c>
      <c r="D1616" s="35">
        <v>44299</v>
      </c>
      <c r="E1616" s="37">
        <v>19.655999999999999</v>
      </c>
      <c r="F1616" s="37">
        <v>51.671162288473006</v>
      </c>
      <c r="G1616" s="37">
        <v>59.23</v>
      </c>
      <c r="H1616" s="37">
        <v>2.3421703222256043</v>
      </c>
      <c r="I1616" s="37">
        <v>69.414624181303495</v>
      </c>
      <c r="J1616" s="10">
        <v>0</v>
      </c>
      <c r="K1616" s="38">
        <v>0</v>
      </c>
      <c r="L1616" s="38">
        <v>0</v>
      </c>
      <c r="M1616" s="38">
        <v>1</v>
      </c>
      <c r="N1616" s="38">
        <v>0</v>
      </c>
      <c r="O1616" s="38">
        <v>0</v>
      </c>
      <c r="P1616" s="38">
        <v>0</v>
      </c>
      <c r="Q1616" s="38">
        <v>0</v>
      </c>
      <c r="R1616" s="38">
        <v>0</v>
      </c>
      <c r="S1616" s="38">
        <v>0</v>
      </c>
      <c r="T1616" s="38">
        <v>0</v>
      </c>
      <c r="U1616" s="29" cm="1">
        <f t="array" aca="1" ref="U1616" ca="1">+fair_value_gap(OFFSET(T1615,0,0,-1*$J$5,-1*$AA$1),OFFSET(E1615,0,0,-1*$J$5,1),F1616:T1616,0)</f>
        <v>19.28786009603003</v>
      </c>
      <c r="V1616" s="9" cm="1">
        <f t="array" aca="1" ref="V1616" ca="1">z_score_diff(OFFSET(U1616,0,0,$J$5*-1,1),OFFSET(E1616,0,0,$J$5*-1,1))</f>
        <v>0.24180152470115202</v>
      </c>
      <c r="W1616" s="9">
        <f t="shared" ca="1" si="250"/>
        <v>9.9916748602581623E-2</v>
      </c>
      <c r="X1616" s="17" t="e">
        <f t="shared" ca="1" si="251"/>
        <v>#NUM!</v>
      </c>
      <c r="Y1616" s="13">
        <f t="shared" ref="Y1616:Z1616" si="277">+Y1615</f>
        <v>0</v>
      </c>
      <c r="Z1616" s="13">
        <f t="shared" si="277"/>
        <v>0</v>
      </c>
      <c r="AA1616">
        <f t="shared" ca="1" si="253"/>
        <v>0</v>
      </c>
      <c r="AB1616">
        <f t="shared" ca="1" si="254"/>
        <v>1</v>
      </c>
      <c r="AC1616" s="24" t="str">
        <f t="shared" ca="1" si="260"/>
        <v/>
      </c>
      <c r="AD1616" s="24" t="str">
        <f t="shared" ca="1" si="261"/>
        <v/>
      </c>
    </row>
    <row r="1617" spans="3:30" x14ac:dyDescent="0.25">
      <c r="C1617" s="6">
        <v>1610</v>
      </c>
      <c r="D1617" s="35">
        <v>44300</v>
      </c>
      <c r="E1617" s="37">
        <v>19.827999999999999</v>
      </c>
      <c r="F1617" s="37">
        <v>53.664154190901044</v>
      </c>
      <c r="G1617" s="37">
        <v>59.23</v>
      </c>
      <c r="H1617" s="37">
        <v>2.3356462522813919</v>
      </c>
      <c r="I1617" s="37">
        <v>69.6785888007051</v>
      </c>
      <c r="J1617" s="10">
        <v>0</v>
      </c>
      <c r="K1617" s="38">
        <v>0</v>
      </c>
      <c r="L1617" s="38">
        <v>0</v>
      </c>
      <c r="M1617" s="38">
        <v>1</v>
      </c>
      <c r="N1617" s="38">
        <v>0</v>
      </c>
      <c r="O1617" s="38">
        <v>0</v>
      </c>
      <c r="P1617" s="38">
        <v>0</v>
      </c>
      <c r="Q1617" s="38">
        <v>0</v>
      </c>
      <c r="R1617" s="38">
        <v>0</v>
      </c>
      <c r="S1617" s="38">
        <v>0</v>
      </c>
      <c r="T1617" s="38">
        <v>0</v>
      </c>
      <c r="U1617" s="29" cm="1">
        <f t="array" aca="1" ref="U1617" ca="1">+fair_value_gap(OFFSET(T1616,0,0,-1*$J$5,-1*$AA$1),OFFSET(E1616,0,0,-1*$J$5,1),F1617:T1617,0)</f>
        <v>19.381794019569639</v>
      </c>
      <c r="V1617" s="9" cm="1">
        <f t="array" aca="1" ref="V1617" ca="1">z_score_diff(OFFSET(U1617,0,0,$J$5*-1,1),OFFSET(E1617,0,0,$J$5*-1,1))</f>
        <v>0.21083544256598152</v>
      </c>
      <c r="W1617" s="9">
        <f t="shared" ca="1" si="250"/>
        <v>9.8321549170189176E-2</v>
      </c>
      <c r="X1617" s="17" t="e">
        <f t="shared" ca="1" si="251"/>
        <v>#NUM!</v>
      </c>
      <c r="Y1617" s="13">
        <f t="shared" ref="Y1617:Z1617" si="278">+Y1616</f>
        <v>0</v>
      </c>
      <c r="Z1617" s="13">
        <f t="shared" si="278"/>
        <v>0</v>
      </c>
      <c r="AA1617">
        <f t="shared" ca="1" si="253"/>
        <v>0</v>
      </c>
      <c r="AB1617">
        <f t="shared" ca="1" si="254"/>
        <v>1</v>
      </c>
      <c r="AC1617" s="24" t="str">
        <f t="shared" ca="1" si="260"/>
        <v/>
      </c>
      <c r="AD1617" s="24" t="str">
        <f t="shared" ca="1" si="261"/>
        <v/>
      </c>
    </row>
    <row r="1618" spans="3:30" x14ac:dyDescent="0.25">
      <c r="C1618" s="6">
        <v>1611</v>
      </c>
      <c r="D1618" s="35">
        <v>44301</v>
      </c>
      <c r="E1618" s="37">
        <v>20.454999999999998</v>
      </c>
      <c r="F1618" s="37">
        <v>53.818006219376649</v>
      </c>
      <c r="G1618" s="37">
        <v>60.15</v>
      </c>
      <c r="H1618" s="37">
        <v>2.3611984164318094</v>
      </c>
      <c r="I1618" s="37">
        <v>70.228168697469371</v>
      </c>
      <c r="J1618" s="10">
        <v>0</v>
      </c>
      <c r="K1618" s="38">
        <v>0</v>
      </c>
      <c r="L1618" s="38">
        <v>0</v>
      </c>
      <c r="M1618" s="38">
        <v>1</v>
      </c>
      <c r="N1618" s="38">
        <v>0</v>
      </c>
      <c r="O1618" s="38">
        <v>0</v>
      </c>
      <c r="P1618" s="38">
        <v>0</v>
      </c>
      <c r="Q1618" s="38">
        <v>0</v>
      </c>
      <c r="R1618" s="38">
        <v>0</v>
      </c>
      <c r="S1618" s="38">
        <v>0</v>
      </c>
      <c r="T1618" s="38">
        <v>0</v>
      </c>
      <c r="U1618" s="29" cm="1">
        <f t="array" aca="1" ref="U1618" ca="1">+fair_value_gap(OFFSET(T1617,0,0,-1*$J$5,-1*$AA$1),OFFSET(E1617,0,0,-1*$J$5,1),F1618:T1618,0)</f>
        <v>19.806589246725686</v>
      </c>
      <c r="V1618" s="9" cm="1">
        <f t="array" aca="1" ref="V1618" ca="1">z_score_diff(OFFSET(U1618,0,0,$J$5*-1,1),OFFSET(E1618,0,0,$J$5*-1,1))</f>
        <v>0.15532847753665191</v>
      </c>
      <c r="W1618" s="9">
        <f t="shared" ca="1" si="250"/>
        <v>9.8309806940215266E-2</v>
      </c>
      <c r="X1618" s="17" t="e">
        <f t="shared" ca="1" si="251"/>
        <v>#NUM!</v>
      </c>
      <c r="Y1618" s="13">
        <f t="shared" ref="Y1618:Z1618" si="279">+Y1617</f>
        <v>0</v>
      </c>
      <c r="Z1618" s="13">
        <f t="shared" si="279"/>
        <v>0</v>
      </c>
      <c r="AA1618">
        <f t="shared" ca="1" si="253"/>
        <v>0</v>
      </c>
      <c r="AB1618">
        <f t="shared" ca="1" si="254"/>
        <v>1</v>
      </c>
      <c r="AC1618" s="24" t="str">
        <f t="shared" ca="1" si="260"/>
        <v/>
      </c>
      <c r="AD1618" s="24" t="str">
        <f t="shared" ca="1" si="261"/>
        <v/>
      </c>
    </row>
    <row r="1619" spans="3:30" x14ac:dyDescent="0.25">
      <c r="D1619" s="3"/>
      <c r="E1619" s="15"/>
      <c r="F1619" s="15"/>
      <c r="G1619" s="15"/>
      <c r="H1619" s="15"/>
      <c r="I1619" s="15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9"/>
      <c r="W1619" s="9"/>
      <c r="X1619" s="17"/>
      <c r="Y1619" s="13"/>
      <c r="Z1619" s="13"/>
      <c r="AC1619" s="24"/>
      <c r="AD1619" s="23"/>
    </row>
    <row r="1620" spans="3:30" x14ac:dyDescent="0.25">
      <c r="D1620" s="3"/>
      <c r="E1620" s="15"/>
      <c r="F1620" s="15"/>
      <c r="G1620" s="15"/>
      <c r="H1620" s="15"/>
      <c r="I1620" s="15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29"/>
      <c r="V1620" s="9"/>
      <c r="W1620" s="9"/>
      <c r="X1620" s="17"/>
      <c r="Y1620" s="13"/>
      <c r="Z1620" s="13"/>
      <c r="AC1620" s="24"/>
      <c r="AD1620" s="23"/>
    </row>
    <row r="1621" spans="3:30" x14ac:dyDescent="0.25">
      <c r="D1621" s="3"/>
      <c r="E1621" s="15"/>
      <c r="F1621" s="15"/>
      <c r="G1621" s="15"/>
      <c r="H1621" s="15"/>
      <c r="I1621" s="15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9"/>
      <c r="W1621" s="9"/>
      <c r="X1621" s="17"/>
      <c r="Y1621" s="13"/>
      <c r="Z1621" s="13"/>
      <c r="AC1621" s="24"/>
      <c r="AD1621" s="23"/>
    </row>
    <row r="1622" spans="3:30" x14ac:dyDescent="0.25">
      <c r="D1622" s="3"/>
      <c r="E1622" s="15"/>
      <c r="F1622" s="15"/>
      <c r="G1622" s="15"/>
      <c r="H1622" s="15"/>
      <c r="I1622" s="15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29"/>
      <c r="V1622" s="9"/>
      <c r="W1622" s="9"/>
      <c r="X1622" s="17"/>
      <c r="Y1622" s="13"/>
      <c r="Z1622" s="13"/>
      <c r="AC1622" s="24"/>
      <c r="AD1622" s="23"/>
    </row>
    <row r="1623" spans="3:30" x14ac:dyDescent="0.25">
      <c r="D1623" s="3"/>
      <c r="E1623" s="15"/>
      <c r="F1623" s="15"/>
      <c r="G1623" s="15"/>
      <c r="H1623" s="15"/>
      <c r="I1623" s="15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17"/>
      <c r="Y1623" s="13"/>
      <c r="Z1623" s="13"/>
      <c r="AC1623" s="24"/>
      <c r="AD1623" s="23"/>
    </row>
    <row r="1624" spans="3:30" x14ac:dyDescent="0.25">
      <c r="D1624" s="3"/>
      <c r="E1624" s="15"/>
      <c r="F1624" s="15"/>
      <c r="G1624" s="15"/>
      <c r="H1624" s="15"/>
      <c r="I1624" s="15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17"/>
      <c r="Y1624" s="13"/>
      <c r="Z1624" s="13"/>
      <c r="AC1624" s="24"/>
      <c r="AD1624" s="23"/>
    </row>
    <row r="1625" spans="3:30" x14ac:dyDescent="0.25">
      <c r="D1625" s="3"/>
      <c r="E1625" s="15"/>
      <c r="F1625" s="15"/>
      <c r="G1625" s="15"/>
      <c r="H1625" s="15"/>
      <c r="I1625" s="15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17"/>
      <c r="Y1625" s="13"/>
      <c r="Z1625" s="13"/>
      <c r="AC1625" s="24"/>
      <c r="AD1625" s="23"/>
    </row>
    <row r="1626" spans="3:30" x14ac:dyDescent="0.25">
      <c r="D1626" s="3"/>
      <c r="E1626" s="15"/>
      <c r="F1626" s="15"/>
      <c r="G1626" s="15"/>
      <c r="H1626" s="15"/>
      <c r="I1626" s="15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17"/>
      <c r="Y1626" s="13"/>
      <c r="Z1626" s="13"/>
      <c r="AC1626" s="24"/>
      <c r="AD1626" s="23"/>
    </row>
    <row r="1627" spans="3:30" x14ac:dyDescent="0.25">
      <c r="D1627" s="3"/>
      <c r="E1627" s="15"/>
      <c r="F1627" s="15"/>
      <c r="G1627" s="15"/>
      <c r="H1627" s="15"/>
      <c r="I1627" s="15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17"/>
      <c r="Y1627" s="13"/>
      <c r="Z1627" s="13"/>
      <c r="AC1627" s="24"/>
      <c r="AD1627" s="23"/>
    </row>
    <row r="1628" spans="3:30" x14ac:dyDescent="0.25">
      <c r="D1628" s="3"/>
      <c r="E1628" s="15"/>
      <c r="F1628" s="15"/>
      <c r="G1628" s="15"/>
      <c r="H1628" s="15"/>
      <c r="I1628" s="15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17"/>
      <c r="Y1628" s="13"/>
      <c r="Z1628" s="13"/>
      <c r="AC1628" s="24"/>
      <c r="AD1628" s="23"/>
    </row>
    <row r="1629" spans="3:30" x14ac:dyDescent="0.25">
      <c r="D1629" s="3"/>
      <c r="E1629" s="15"/>
      <c r="F1629" s="15"/>
      <c r="G1629" s="15"/>
      <c r="H1629" s="15"/>
      <c r="I1629" s="15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17"/>
      <c r="Y1629" s="13"/>
      <c r="Z1629" s="13"/>
      <c r="AC1629" s="24"/>
      <c r="AD1629" s="23"/>
    </row>
    <row r="1630" spans="3:30" x14ac:dyDescent="0.25">
      <c r="D1630" s="3"/>
      <c r="E1630" s="15"/>
      <c r="F1630" s="15"/>
      <c r="G1630" s="15"/>
      <c r="H1630" s="15"/>
      <c r="I1630" s="15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17"/>
      <c r="Y1630" s="13"/>
      <c r="Z1630" s="13"/>
      <c r="AC1630" s="24"/>
      <c r="AD1630" s="23"/>
    </row>
    <row r="1631" spans="3:30" x14ac:dyDescent="0.25">
      <c r="D1631" s="3"/>
      <c r="E1631" s="15"/>
      <c r="F1631" s="15"/>
      <c r="G1631" s="15"/>
      <c r="H1631" s="15"/>
      <c r="I1631" s="15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17"/>
      <c r="Y1631" s="13"/>
      <c r="Z1631" s="13"/>
      <c r="AC1631" s="24"/>
      <c r="AD1631" s="23"/>
    </row>
    <row r="1632" spans="3:30" x14ac:dyDescent="0.25">
      <c r="D1632" s="3"/>
      <c r="E1632" s="15"/>
      <c r="F1632" s="15"/>
      <c r="G1632" s="15"/>
      <c r="H1632" s="15"/>
      <c r="I1632" s="15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17"/>
      <c r="Y1632" s="13"/>
      <c r="Z1632" s="13"/>
      <c r="AC1632" s="24"/>
      <c r="AD1632" s="23"/>
    </row>
    <row r="1633" spans="4:30" x14ac:dyDescent="0.25">
      <c r="D1633" s="3"/>
      <c r="E1633" s="15"/>
      <c r="F1633" s="15"/>
      <c r="G1633" s="15"/>
      <c r="H1633" s="15"/>
      <c r="I1633" s="15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17"/>
      <c r="Y1633" s="13"/>
      <c r="Z1633" s="13"/>
      <c r="AC1633" s="24"/>
      <c r="AD1633" s="23"/>
    </row>
    <row r="1634" spans="4:30" x14ac:dyDescent="0.25">
      <c r="D1634" s="3"/>
      <c r="E1634" s="15"/>
      <c r="F1634" s="15"/>
      <c r="G1634" s="15"/>
      <c r="H1634" s="15"/>
      <c r="I1634" s="15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17"/>
      <c r="Y1634" s="13"/>
      <c r="Z1634" s="13"/>
      <c r="AC1634" s="24"/>
      <c r="AD1634" s="23"/>
    </row>
    <row r="1635" spans="4:30" x14ac:dyDescent="0.25">
      <c r="D1635" s="3"/>
      <c r="E1635" s="15"/>
      <c r="F1635" s="15"/>
      <c r="G1635" s="15"/>
      <c r="H1635" s="15"/>
      <c r="I1635" s="15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17"/>
      <c r="Y1635" s="13"/>
      <c r="Z1635" s="13"/>
      <c r="AC1635" s="24"/>
      <c r="AD1635" s="23"/>
    </row>
    <row r="1636" spans="4:30" x14ac:dyDescent="0.25">
      <c r="D1636" s="3"/>
      <c r="E1636" s="15"/>
      <c r="F1636" s="15"/>
      <c r="G1636" s="15"/>
      <c r="H1636" s="15"/>
      <c r="I1636" s="15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17"/>
      <c r="Y1636" s="13"/>
      <c r="Z1636" s="13"/>
      <c r="AC1636" s="24"/>
      <c r="AD1636" s="23"/>
    </row>
    <row r="1637" spans="4:30" x14ac:dyDescent="0.25">
      <c r="D1637" s="3"/>
      <c r="E1637" s="15"/>
      <c r="F1637" s="15"/>
      <c r="G1637" s="15"/>
      <c r="H1637" s="15"/>
      <c r="I1637" s="15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17"/>
      <c r="Y1637" s="13"/>
      <c r="Z1637" s="13"/>
      <c r="AC1637" s="24"/>
      <c r="AD1637" s="23"/>
    </row>
    <row r="1638" spans="4:30" x14ac:dyDescent="0.25">
      <c r="D1638" s="3"/>
      <c r="E1638" s="15"/>
      <c r="F1638" s="15"/>
      <c r="G1638" s="15"/>
      <c r="H1638" s="15"/>
      <c r="I1638" s="15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17"/>
      <c r="Y1638" s="13"/>
      <c r="Z1638" s="13"/>
      <c r="AC1638" s="24"/>
      <c r="AD1638" s="23"/>
    </row>
    <row r="1639" spans="4:30" x14ac:dyDescent="0.25">
      <c r="D1639" s="3"/>
      <c r="E1639" s="15"/>
      <c r="F1639" s="15"/>
      <c r="G1639" s="15"/>
      <c r="H1639" s="15"/>
      <c r="I1639" s="15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17"/>
      <c r="Y1639" s="13"/>
      <c r="Z1639" s="13"/>
      <c r="AC1639" s="24"/>
      <c r="AD1639" s="23"/>
    </row>
    <row r="1640" spans="4:30" x14ac:dyDescent="0.25">
      <c r="D1640" s="3"/>
      <c r="E1640" s="15"/>
      <c r="F1640" s="15"/>
      <c r="G1640" s="15"/>
      <c r="H1640" s="15"/>
      <c r="I1640" s="15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17"/>
      <c r="Y1640" s="13"/>
      <c r="Z1640" s="13"/>
      <c r="AC1640" s="24"/>
      <c r="AD1640" s="23"/>
    </row>
    <row r="1641" spans="4:30" x14ac:dyDescent="0.25">
      <c r="D1641" s="3"/>
      <c r="E1641" s="15"/>
      <c r="F1641" s="15"/>
      <c r="G1641" s="15"/>
      <c r="H1641" s="15"/>
      <c r="I1641" s="15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17"/>
      <c r="Y1641" s="13"/>
      <c r="Z1641" s="13"/>
      <c r="AC1641" s="24"/>
      <c r="AD1641" s="23"/>
    </row>
    <row r="1642" spans="4:30" x14ac:dyDescent="0.25">
      <c r="D1642" s="3"/>
      <c r="E1642" s="15"/>
      <c r="F1642" s="15"/>
      <c r="G1642" s="15"/>
      <c r="H1642" s="15"/>
      <c r="I1642" s="15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17"/>
      <c r="Y1642" s="13"/>
      <c r="Z1642" s="13"/>
      <c r="AC1642" s="24"/>
      <c r="AD1642" s="23"/>
    </row>
    <row r="1643" spans="4:30" x14ac:dyDescent="0.25">
      <c r="D1643" s="3"/>
      <c r="E1643" s="15"/>
      <c r="F1643" s="15"/>
      <c r="G1643" s="15"/>
      <c r="H1643" s="15"/>
      <c r="I1643" s="15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17"/>
      <c r="Y1643" s="13"/>
      <c r="Z1643" s="13"/>
      <c r="AC1643" s="24"/>
      <c r="AD1643" s="23"/>
    </row>
    <row r="1644" spans="4:30" x14ac:dyDescent="0.25">
      <c r="D1644" s="3"/>
      <c r="E1644" s="15"/>
      <c r="F1644" s="15"/>
      <c r="G1644" s="15"/>
      <c r="H1644" s="15"/>
      <c r="I1644" s="15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17"/>
      <c r="Y1644" s="13"/>
      <c r="Z1644" s="13"/>
      <c r="AC1644" s="24"/>
      <c r="AD1644" s="23"/>
    </row>
    <row r="1645" spans="4:30" x14ac:dyDescent="0.25">
      <c r="D1645" s="3"/>
      <c r="E1645" s="15"/>
      <c r="F1645" s="15"/>
      <c r="G1645" s="15"/>
      <c r="H1645" s="15"/>
      <c r="I1645" s="15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17"/>
      <c r="Y1645" s="13"/>
      <c r="Z1645" s="13"/>
      <c r="AC1645" s="24"/>
      <c r="AD1645" s="23"/>
    </row>
    <row r="1646" spans="4:30" x14ac:dyDescent="0.25">
      <c r="D1646" s="3"/>
      <c r="E1646" s="15"/>
      <c r="F1646" s="15"/>
      <c r="G1646" s="15"/>
      <c r="H1646" s="15"/>
      <c r="I1646" s="15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17"/>
      <c r="Y1646" s="13"/>
      <c r="Z1646" s="13"/>
      <c r="AC1646" s="24"/>
      <c r="AD1646" s="23"/>
    </row>
    <row r="1647" spans="4:30" x14ac:dyDescent="0.25">
      <c r="D1647" s="3"/>
      <c r="E1647" s="15"/>
      <c r="F1647" s="15"/>
      <c r="G1647" s="15"/>
      <c r="H1647" s="15"/>
      <c r="I1647" s="15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17"/>
      <c r="Y1647" s="13"/>
      <c r="Z1647" s="13"/>
      <c r="AC1647" s="24"/>
      <c r="AD1647" s="23"/>
    </row>
    <row r="1648" spans="4:30" x14ac:dyDescent="0.25">
      <c r="D1648" s="3"/>
      <c r="E1648" s="15"/>
      <c r="F1648" s="15"/>
      <c r="G1648" s="15"/>
      <c r="H1648" s="15"/>
      <c r="I1648" s="15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17"/>
      <c r="Y1648" s="13"/>
      <c r="Z1648" s="13"/>
      <c r="AC1648" s="24"/>
      <c r="AD1648" s="23"/>
    </row>
    <row r="1649" spans="4:30" x14ac:dyDescent="0.25">
      <c r="D1649" s="3"/>
      <c r="E1649" s="15"/>
      <c r="F1649" s="15"/>
      <c r="G1649" s="15"/>
      <c r="H1649" s="15"/>
      <c r="I1649" s="15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17"/>
      <c r="Y1649" s="13"/>
      <c r="Z1649" s="13"/>
      <c r="AC1649" s="24"/>
      <c r="AD1649" s="23"/>
    </row>
    <row r="1650" spans="4:30" x14ac:dyDescent="0.25">
      <c r="D1650" s="3"/>
      <c r="E1650" s="15"/>
      <c r="F1650" s="15"/>
      <c r="G1650" s="15"/>
      <c r="H1650" s="15"/>
      <c r="I1650" s="15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17"/>
      <c r="Y1650" s="13"/>
      <c r="Z1650" s="13"/>
      <c r="AC1650" s="24"/>
      <c r="AD1650" s="23"/>
    </row>
    <row r="1651" spans="4:30" x14ac:dyDescent="0.25">
      <c r="D1651" s="3"/>
      <c r="E1651" s="15"/>
      <c r="F1651" s="15"/>
      <c r="G1651" s="15"/>
      <c r="H1651" s="15"/>
      <c r="I1651" s="15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17"/>
      <c r="Y1651" s="13"/>
      <c r="Z1651" s="13"/>
      <c r="AC1651" s="24"/>
      <c r="AD1651" s="23"/>
    </row>
    <row r="1652" spans="4:30" x14ac:dyDescent="0.25">
      <c r="D1652" s="3"/>
      <c r="E1652" s="15"/>
      <c r="F1652" s="15"/>
      <c r="G1652" s="15"/>
      <c r="H1652" s="15"/>
      <c r="I1652" s="15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17"/>
      <c r="Y1652" s="13"/>
      <c r="Z1652" s="13"/>
      <c r="AC1652" s="24"/>
      <c r="AD1652" s="23"/>
    </row>
    <row r="1653" spans="4:30" x14ac:dyDescent="0.25">
      <c r="D1653" s="3"/>
      <c r="E1653" s="15"/>
      <c r="F1653" s="15"/>
      <c r="G1653" s="15"/>
      <c r="H1653" s="15"/>
      <c r="I1653" s="15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17"/>
      <c r="Y1653" s="13"/>
      <c r="Z1653" s="13"/>
      <c r="AC1653" s="24"/>
      <c r="AD1653" s="23"/>
    </row>
    <row r="1654" spans="4:30" x14ac:dyDescent="0.25">
      <c r="D1654" s="3"/>
      <c r="E1654" s="15"/>
      <c r="F1654" s="15"/>
      <c r="G1654" s="15"/>
      <c r="H1654" s="15"/>
      <c r="I1654" s="15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17"/>
      <c r="Y1654" s="13"/>
      <c r="Z1654" s="13"/>
      <c r="AC1654" s="24"/>
      <c r="AD1654" s="23"/>
    </row>
    <row r="1655" spans="4:30" x14ac:dyDescent="0.25">
      <c r="D1655" s="3"/>
      <c r="E1655" s="15"/>
      <c r="F1655" s="15"/>
      <c r="G1655" s="15"/>
      <c r="H1655" s="15"/>
      <c r="I1655" s="15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17"/>
      <c r="Y1655" s="13"/>
      <c r="Z1655" s="13"/>
      <c r="AC1655" s="24"/>
      <c r="AD1655" s="23"/>
    </row>
    <row r="1656" spans="4:30" x14ac:dyDescent="0.25">
      <c r="D1656" s="3"/>
      <c r="E1656" s="15"/>
      <c r="F1656" s="15"/>
      <c r="G1656" s="15"/>
      <c r="H1656" s="15"/>
      <c r="I1656" s="15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17"/>
      <c r="Y1656" s="13"/>
      <c r="Z1656" s="13"/>
      <c r="AC1656" s="24"/>
      <c r="AD1656" s="23"/>
    </row>
    <row r="1657" spans="4:30" x14ac:dyDescent="0.25">
      <c r="D1657" s="3"/>
      <c r="E1657" s="15"/>
      <c r="F1657" s="15"/>
      <c r="G1657" s="15"/>
      <c r="H1657" s="15"/>
      <c r="I1657" s="15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17"/>
      <c r="Y1657" s="13"/>
      <c r="Z1657" s="13"/>
      <c r="AC1657" s="24"/>
      <c r="AD1657" s="23"/>
    </row>
    <row r="1658" spans="4:30" x14ac:dyDescent="0.25">
      <c r="D1658" s="3"/>
      <c r="E1658" s="15"/>
      <c r="F1658" s="15"/>
      <c r="G1658" s="15"/>
      <c r="H1658" s="15"/>
      <c r="I1658" s="15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17"/>
      <c r="Y1658" s="13"/>
      <c r="Z1658" s="13"/>
      <c r="AC1658" s="24"/>
      <c r="AD1658" s="23"/>
    </row>
    <row r="1659" spans="4:30" x14ac:dyDescent="0.25">
      <c r="D1659" s="3"/>
      <c r="E1659" s="15"/>
      <c r="F1659" s="15"/>
      <c r="G1659" s="15"/>
      <c r="H1659" s="15"/>
      <c r="I1659" s="15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17"/>
      <c r="Y1659" s="13"/>
      <c r="Z1659" s="13"/>
      <c r="AC1659" s="24"/>
      <c r="AD1659" s="23"/>
    </row>
    <row r="1660" spans="4:30" x14ac:dyDescent="0.25">
      <c r="D1660" s="3"/>
      <c r="E1660" s="15"/>
      <c r="F1660" s="15"/>
      <c r="G1660" s="15"/>
      <c r="H1660" s="15"/>
      <c r="I1660" s="15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17"/>
      <c r="Y1660" s="13"/>
      <c r="Z1660" s="13"/>
      <c r="AC1660" s="24"/>
      <c r="AD1660" s="23"/>
    </row>
    <row r="1661" spans="4:30" x14ac:dyDescent="0.25">
      <c r="D1661" s="3"/>
      <c r="E1661" s="15"/>
      <c r="F1661" s="15"/>
      <c r="G1661" s="15"/>
      <c r="H1661" s="15"/>
      <c r="I1661" s="15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17"/>
      <c r="Y1661" s="13"/>
      <c r="Z1661" s="13"/>
      <c r="AC1661" s="24"/>
      <c r="AD1661" s="23"/>
    </row>
    <row r="1662" spans="4:30" x14ac:dyDescent="0.25">
      <c r="D1662" s="3"/>
      <c r="E1662" s="15"/>
      <c r="F1662" s="15"/>
      <c r="G1662" s="15"/>
      <c r="H1662" s="15"/>
      <c r="I1662" s="15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17"/>
      <c r="Y1662" s="13"/>
      <c r="Z1662" s="13"/>
      <c r="AC1662" s="24"/>
      <c r="AD1662" s="23"/>
    </row>
    <row r="1663" spans="4:30" x14ac:dyDescent="0.25">
      <c r="D1663" s="3"/>
      <c r="E1663" s="15"/>
      <c r="F1663" s="15"/>
      <c r="G1663" s="15"/>
      <c r="H1663" s="15"/>
      <c r="I1663" s="15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17"/>
      <c r="Y1663" s="13"/>
      <c r="Z1663" s="13"/>
      <c r="AC1663" s="24"/>
      <c r="AD1663" s="23"/>
    </row>
    <row r="1664" spans="4:30" x14ac:dyDescent="0.25">
      <c r="D1664" s="3"/>
      <c r="E1664" s="15"/>
      <c r="F1664" s="15"/>
      <c r="G1664" s="15"/>
      <c r="H1664" s="15"/>
      <c r="I1664" s="15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17"/>
      <c r="Y1664" s="13"/>
      <c r="Z1664" s="13"/>
      <c r="AC1664" s="24"/>
      <c r="AD1664" s="23"/>
    </row>
    <row r="1665" spans="4:30" x14ac:dyDescent="0.25">
      <c r="D1665" s="3"/>
      <c r="E1665" s="15"/>
      <c r="F1665" s="15"/>
      <c r="G1665" s="15"/>
      <c r="H1665" s="15"/>
      <c r="I1665" s="15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17"/>
      <c r="Y1665" s="13"/>
      <c r="Z1665" s="13"/>
      <c r="AC1665" s="24"/>
      <c r="AD1665" s="23"/>
    </row>
    <row r="1666" spans="4:30" x14ac:dyDescent="0.25">
      <c r="D1666" s="3"/>
      <c r="E1666" s="15"/>
      <c r="F1666" s="15"/>
      <c r="G1666" s="15"/>
      <c r="H1666" s="15"/>
      <c r="I1666" s="15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17"/>
      <c r="Y1666" s="13"/>
      <c r="Z1666" s="13"/>
      <c r="AC1666" s="24"/>
      <c r="AD1666" s="23"/>
    </row>
    <row r="1667" spans="4:30" x14ac:dyDescent="0.25">
      <c r="D1667" s="3"/>
      <c r="E1667" s="15"/>
      <c r="F1667" s="15"/>
      <c r="G1667" s="15"/>
      <c r="H1667" s="15"/>
      <c r="I1667" s="15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17"/>
      <c r="Y1667" s="13"/>
      <c r="Z1667" s="13"/>
      <c r="AC1667" s="24"/>
      <c r="AD1667" s="23"/>
    </row>
    <row r="1668" spans="4:30" x14ac:dyDescent="0.25">
      <c r="D1668" s="3"/>
      <c r="E1668" s="15"/>
      <c r="F1668" s="15"/>
      <c r="G1668" s="15"/>
      <c r="H1668" s="15"/>
      <c r="I1668" s="15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17"/>
      <c r="Y1668" s="13"/>
      <c r="Z1668" s="13"/>
      <c r="AC1668" s="24"/>
      <c r="AD1668" s="23"/>
    </row>
    <row r="1669" spans="4:30" x14ac:dyDescent="0.25">
      <c r="D1669" s="3"/>
      <c r="E1669" s="15"/>
      <c r="F1669" s="15"/>
      <c r="G1669" s="15"/>
      <c r="H1669" s="15"/>
      <c r="I1669" s="15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17"/>
      <c r="Y1669" s="13"/>
      <c r="Z1669" s="13"/>
      <c r="AC1669" s="24"/>
      <c r="AD1669" s="23"/>
    </row>
    <row r="1670" spans="4:30" x14ac:dyDescent="0.25">
      <c r="D1670" s="3"/>
      <c r="E1670" s="15"/>
      <c r="F1670" s="15"/>
      <c r="G1670" s="15"/>
      <c r="H1670" s="15"/>
      <c r="I1670" s="15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17"/>
      <c r="Y1670" s="13"/>
      <c r="Z1670" s="13"/>
      <c r="AC1670" s="24"/>
      <c r="AD1670" s="23"/>
    </row>
    <row r="1671" spans="4:30" x14ac:dyDescent="0.25">
      <c r="D1671" s="3"/>
      <c r="E1671" s="15"/>
      <c r="F1671" s="15"/>
      <c r="G1671" s="15"/>
      <c r="H1671" s="15"/>
      <c r="I1671" s="15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17"/>
      <c r="Y1671" s="13"/>
      <c r="Z1671" s="13"/>
      <c r="AC1671" s="24"/>
      <c r="AD1671" s="23"/>
    </row>
    <row r="1672" spans="4:30" x14ac:dyDescent="0.25">
      <c r="D1672" s="3"/>
      <c r="E1672" s="15"/>
      <c r="F1672" s="15"/>
      <c r="G1672" s="15"/>
      <c r="H1672" s="15"/>
      <c r="I1672" s="15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17"/>
      <c r="Y1672" s="13"/>
      <c r="Z1672" s="13"/>
      <c r="AC1672" s="24"/>
      <c r="AD1672" s="23"/>
    </row>
    <row r="1673" spans="4:30" x14ac:dyDescent="0.25">
      <c r="D1673" s="3"/>
      <c r="E1673" s="15"/>
      <c r="F1673" s="15"/>
      <c r="G1673" s="15"/>
      <c r="H1673" s="15"/>
      <c r="I1673" s="15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17"/>
      <c r="Y1673" s="13"/>
      <c r="Z1673" s="13"/>
      <c r="AC1673" s="24"/>
      <c r="AD1673" s="23"/>
    </row>
    <row r="1674" spans="4:30" x14ac:dyDescent="0.25">
      <c r="D1674" s="3"/>
      <c r="E1674" s="15"/>
      <c r="F1674" s="15"/>
      <c r="G1674" s="15"/>
      <c r="H1674" s="15"/>
      <c r="I1674" s="15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17"/>
      <c r="Y1674" s="13"/>
      <c r="Z1674" s="13"/>
      <c r="AC1674" s="24"/>
      <c r="AD1674" s="23"/>
    </row>
    <row r="1675" spans="4:30" x14ac:dyDescent="0.25">
      <c r="D1675" s="3"/>
      <c r="E1675" s="15"/>
      <c r="F1675" s="15"/>
      <c r="G1675" s="15"/>
      <c r="H1675" s="15"/>
      <c r="I1675" s="15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17"/>
      <c r="Y1675" s="13"/>
      <c r="Z1675" s="13"/>
      <c r="AC1675" s="24"/>
      <c r="AD1675" s="23"/>
    </row>
    <row r="1676" spans="4:30" x14ac:dyDescent="0.25">
      <c r="D1676" s="3"/>
      <c r="E1676" s="15"/>
      <c r="F1676" s="15"/>
      <c r="G1676" s="15"/>
      <c r="H1676" s="15"/>
      <c r="I1676" s="15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17"/>
      <c r="Y1676" s="13"/>
      <c r="Z1676" s="13"/>
      <c r="AC1676" s="24"/>
      <c r="AD1676" s="23"/>
    </row>
    <row r="1677" spans="4:30" x14ac:dyDescent="0.25">
      <c r="D1677" s="3"/>
      <c r="E1677" s="15"/>
      <c r="F1677" s="15"/>
      <c r="G1677" s="15"/>
      <c r="H1677" s="15"/>
      <c r="I1677" s="15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17"/>
      <c r="Y1677" s="13"/>
      <c r="Z1677" s="13"/>
      <c r="AC1677" s="24"/>
      <c r="AD1677" s="23"/>
    </row>
    <row r="1678" spans="4:30" x14ac:dyDescent="0.25">
      <c r="D1678" s="3"/>
      <c r="E1678" s="15"/>
      <c r="F1678" s="15"/>
      <c r="G1678" s="15"/>
      <c r="H1678" s="15"/>
      <c r="I1678" s="15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17"/>
      <c r="Y1678" s="13"/>
      <c r="Z1678" s="13"/>
      <c r="AC1678" s="24"/>
      <c r="AD1678" s="23"/>
    </row>
    <row r="1679" spans="4:30" x14ac:dyDescent="0.25">
      <c r="D1679" s="3"/>
      <c r="E1679" s="15"/>
      <c r="F1679" s="15"/>
      <c r="G1679" s="15"/>
      <c r="H1679" s="15"/>
      <c r="I1679" s="15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17"/>
      <c r="Y1679" s="13"/>
      <c r="Z1679" s="13"/>
      <c r="AC1679" s="24"/>
      <c r="AD1679" s="23"/>
    </row>
    <row r="1680" spans="4:30" x14ac:dyDescent="0.25">
      <c r="D1680" s="3"/>
      <c r="E1680" s="15"/>
      <c r="F1680" s="15"/>
      <c r="G1680" s="15"/>
      <c r="H1680" s="15"/>
      <c r="I1680" s="15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17"/>
      <c r="Y1680" s="13"/>
      <c r="Z1680" s="13"/>
      <c r="AC1680" s="24"/>
      <c r="AD1680" s="23"/>
    </row>
    <row r="1681" spans="4:30" x14ac:dyDescent="0.25">
      <c r="D1681" s="3"/>
      <c r="E1681" s="15"/>
      <c r="F1681" s="15"/>
      <c r="G1681" s="15"/>
      <c r="H1681" s="15"/>
      <c r="I1681" s="15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17"/>
      <c r="Y1681" s="13"/>
      <c r="Z1681" s="13"/>
      <c r="AC1681" s="24"/>
      <c r="AD1681" s="23"/>
    </row>
    <row r="1682" spans="4:30" x14ac:dyDescent="0.25">
      <c r="D1682" s="3"/>
      <c r="E1682" s="15"/>
      <c r="F1682" s="15"/>
      <c r="G1682" s="15"/>
      <c r="H1682" s="15"/>
      <c r="I1682" s="15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17"/>
      <c r="Y1682" s="13"/>
      <c r="Z1682" s="13"/>
      <c r="AC1682" s="24"/>
      <c r="AD1682" s="23"/>
    </row>
    <row r="1683" spans="4:30" x14ac:dyDescent="0.25">
      <c r="D1683" s="3"/>
      <c r="E1683" s="15"/>
      <c r="F1683" s="15"/>
      <c r="G1683" s="15"/>
      <c r="H1683" s="15"/>
      <c r="I1683" s="15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17"/>
      <c r="Y1683" s="13"/>
      <c r="Z1683" s="13"/>
      <c r="AC1683" s="24"/>
      <c r="AD1683" s="23"/>
    </row>
    <row r="1684" spans="4:30" x14ac:dyDescent="0.25">
      <c r="D1684" s="3"/>
      <c r="E1684" s="15"/>
      <c r="F1684" s="15"/>
      <c r="G1684" s="15"/>
      <c r="H1684" s="15"/>
      <c r="I1684" s="15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17"/>
      <c r="Y1684" s="13"/>
      <c r="Z1684" s="13"/>
      <c r="AC1684" s="24"/>
      <c r="AD1684" s="23"/>
    </row>
    <row r="1685" spans="4:30" x14ac:dyDescent="0.25">
      <c r="D1685" s="3"/>
      <c r="E1685" s="15"/>
      <c r="F1685" s="15"/>
      <c r="G1685" s="15"/>
      <c r="H1685" s="15"/>
      <c r="I1685" s="15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17"/>
      <c r="Y1685" s="13"/>
      <c r="Z1685" s="13"/>
      <c r="AC1685" s="24"/>
      <c r="AD1685" s="23"/>
    </row>
    <row r="1686" spans="4:30" x14ac:dyDescent="0.25">
      <c r="D1686" s="3"/>
      <c r="E1686" s="15"/>
      <c r="F1686" s="15"/>
      <c r="G1686" s="15"/>
      <c r="H1686" s="15"/>
      <c r="I1686" s="15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17"/>
      <c r="Y1686" s="13"/>
      <c r="Z1686" s="13"/>
      <c r="AC1686" s="24"/>
      <c r="AD1686" s="23"/>
    </row>
    <row r="1687" spans="4:30" x14ac:dyDescent="0.25">
      <c r="D1687" s="3"/>
      <c r="E1687" s="15"/>
      <c r="F1687" s="15"/>
      <c r="G1687" s="15"/>
      <c r="H1687" s="15"/>
      <c r="I1687" s="15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17"/>
      <c r="Y1687" s="13"/>
      <c r="Z1687" s="13"/>
      <c r="AC1687" s="24"/>
      <c r="AD1687" s="23"/>
    </row>
    <row r="1688" spans="4:30" x14ac:dyDescent="0.25">
      <c r="D1688" s="3"/>
      <c r="E1688" s="15"/>
      <c r="F1688" s="15"/>
      <c r="G1688" s="15"/>
      <c r="H1688" s="15"/>
      <c r="I1688" s="15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17"/>
      <c r="Y1688" s="13"/>
      <c r="Z1688" s="13"/>
      <c r="AC1688" s="24"/>
      <c r="AD1688" s="23"/>
    </row>
    <row r="1689" spans="4:30" x14ac:dyDescent="0.25">
      <c r="D1689" s="3"/>
      <c r="E1689" s="15"/>
      <c r="F1689" s="15"/>
      <c r="G1689" s="15"/>
      <c r="H1689" s="15"/>
      <c r="I1689" s="15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17"/>
      <c r="Y1689" s="13"/>
      <c r="Z1689" s="13"/>
      <c r="AC1689" s="24"/>
      <c r="AD1689" s="23"/>
    </row>
    <row r="1690" spans="4:30" x14ac:dyDescent="0.25">
      <c r="D1690" s="3"/>
      <c r="E1690" s="15"/>
      <c r="F1690" s="15"/>
      <c r="G1690" s="15"/>
      <c r="H1690" s="15"/>
      <c r="I1690" s="15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17"/>
      <c r="Y1690" s="13"/>
      <c r="Z1690" s="13"/>
      <c r="AC1690" s="24"/>
      <c r="AD1690" s="23"/>
    </row>
    <row r="1691" spans="4:30" x14ac:dyDescent="0.25">
      <c r="D1691" s="3"/>
      <c r="E1691" s="15"/>
      <c r="F1691" s="15"/>
      <c r="G1691" s="15"/>
      <c r="H1691" s="15"/>
      <c r="I1691" s="15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17"/>
      <c r="Y1691" s="13"/>
      <c r="Z1691" s="13"/>
      <c r="AC1691" s="24"/>
      <c r="AD1691" s="23"/>
    </row>
    <row r="1692" spans="4:30" x14ac:dyDescent="0.25">
      <c r="D1692" s="3"/>
      <c r="E1692" s="15"/>
      <c r="F1692" s="15"/>
      <c r="G1692" s="15"/>
      <c r="H1692" s="15"/>
      <c r="I1692" s="15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17"/>
      <c r="Y1692" s="13"/>
      <c r="Z1692" s="13"/>
      <c r="AC1692" s="24"/>
      <c r="AD1692" s="23"/>
    </row>
    <row r="1693" spans="4:30" x14ac:dyDescent="0.25">
      <c r="D1693" s="3"/>
      <c r="E1693" s="15"/>
      <c r="F1693" s="15"/>
      <c r="G1693" s="15"/>
      <c r="H1693" s="15"/>
      <c r="I1693" s="15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17"/>
      <c r="Y1693" s="13"/>
      <c r="Z1693" s="13"/>
      <c r="AC1693" s="24"/>
      <c r="AD1693" s="23"/>
    </row>
    <row r="1694" spans="4:30" x14ac:dyDescent="0.25">
      <c r="D1694" s="3"/>
      <c r="E1694" s="15"/>
      <c r="F1694" s="15"/>
      <c r="G1694" s="15"/>
      <c r="H1694" s="15"/>
      <c r="I1694" s="15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17"/>
      <c r="Y1694" s="13"/>
      <c r="Z1694" s="13"/>
      <c r="AC1694" s="24"/>
      <c r="AD1694" s="23"/>
    </row>
    <row r="1695" spans="4:30" x14ac:dyDescent="0.25">
      <c r="D1695" s="3"/>
      <c r="E1695" s="15"/>
      <c r="F1695" s="15"/>
      <c r="G1695" s="15"/>
      <c r="H1695" s="15"/>
      <c r="I1695" s="15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17"/>
      <c r="Y1695" s="13"/>
      <c r="Z1695" s="13"/>
      <c r="AC1695" s="24"/>
      <c r="AD1695" s="23"/>
    </row>
    <row r="1696" spans="4:30" x14ac:dyDescent="0.25">
      <c r="D1696" s="3"/>
      <c r="E1696" s="15"/>
      <c r="F1696" s="15"/>
      <c r="G1696" s="15"/>
      <c r="H1696" s="15"/>
      <c r="I1696" s="15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17"/>
      <c r="Y1696" s="13"/>
      <c r="Z1696" s="13"/>
      <c r="AC1696" s="24"/>
      <c r="AD1696" s="23"/>
    </row>
    <row r="1697" spans="4:30" x14ac:dyDescent="0.25">
      <c r="D1697" s="3"/>
      <c r="E1697" s="15"/>
      <c r="F1697" s="15"/>
      <c r="G1697" s="15"/>
      <c r="H1697" s="15"/>
      <c r="I1697" s="15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17"/>
      <c r="Y1697" s="13"/>
      <c r="Z1697" s="13"/>
      <c r="AC1697" s="24"/>
      <c r="AD1697" s="23"/>
    </row>
    <row r="1698" spans="4:30" x14ac:dyDescent="0.25">
      <c r="D1698" s="3"/>
      <c r="E1698" s="15"/>
      <c r="F1698" s="15"/>
      <c r="G1698" s="15"/>
      <c r="H1698" s="15"/>
      <c r="I1698" s="15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17"/>
      <c r="Y1698" s="13"/>
      <c r="Z1698" s="13"/>
      <c r="AC1698" s="24"/>
      <c r="AD1698" s="23"/>
    </row>
    <row r="1699" spans="4:30" x14ac:dyDescent="0.25">
      <c r="D1699" s="3"/>
      <c r="E1699" s="15"/>
      <c r="F1699" s="15"/>
      <c r="G1699" s="15"/>
      <c r="H1699" s="15"/>
      <c r="I1699" s="15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17"/>
      <c r="Y1699" s="13"/>
      <c r="Z1699" s="13"/>
      <c r="AC1699" s="24"/>
      <c r="AD1699" s="23"/>
    </row>
    <row r="1700" spans="4:30" x14ac:dyDescent="0.25">
      <c r="D1700" s="3"/>
      <c r="E1700" s="15"/>
      <c r="F1700" s="15"/>
      <c r="G1700" s="15"/>
      <c r="H1700" s="15"/>
      <c r="I1700" s="15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17"/>
      <c r="Y1700" s="13"/>
      <c r="Z1700" s="13"/>
      <c r="AC1700" s="24"/>
      <c r="AD1700" s="23"/>
    </row>
    <row r="1701" spans="4:30" x14ac:dyDescent="0.25">
      <c r="D1701" s="3"/>
      <c r="E1701" s="15"/>
      <c r="F1701" s="15"/>
      <c r="G1701" s="15"/>
      <c r="H1701" s="15"/>
      <c r="I1701" s="15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17"/>
      <c r="Y1701" s="13"/>
      <c r="Z1701" s="13"/>
      <c r="AC1701" s="24"/>
      <c r="AD1701" s="23"/>
    </row>
    <row r="1702" spans="4:30" x14ac:dyDescent="0.25">
      <c r="D1702" s="3"/>
      <c r="E1702" s="15"/>
      <c r="F1702" s="15"/>
      <c r="G1702" s="15"/>
      <c r="H1702" s="15"/>
      <c r="I1702" s="15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17"/>
      <c r="Y1702" s="13"/>
      <c r="Z1702" s="13"/>
      <c r="AC1702" s="24"/>
      <c r="AD1702" s="23"/>
    </row>
    <row r="1703" spans="4:30" x14ac:dyDescent="0.25">
      <c r="D1703" s="3"/>
      <c r="E1703" s="15"/>
      <c r="F1703" s="15"/>
      <c r="G1703" s="15"/>
      <c r="H1703" s="15"/>
      <c r="I1703" s="15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17"/>
      <c r="Y1703" s="13"/>
      <c r="Z1703" s="13"/>
      <c r="AC1703" s="24"/>
      <c r="AD1703" s="23"/>
    </row>
    <row r="1704" spans="4:30" x14ac:dyDescent="0.25">
      <c r="D1704" s="3"/>
      <c r="E1704" s="15"/>
      <c r="F1704" s="15"/>
      <c r="G1704" s="15"/>
      <c r="H1704" s="15"/>
      <c r="I1704" s="15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17"/>
      <c r="Y1704" s="13"/>
      <c r="Z1704" s="13"/>
      <c r="AC1704" s="24"/>
      <c r="AD1704" s="23"/>
    </row>
    <row r="1705" spans="4:30" x14ac:dyDescent="0.25">
      <c r="D1705" s="3"/>
      <c r="E1705" s="15"/>
      <c r="F1705" s="15"/>
      <c r="G1705" s="15"/>
      <c r="H1705" s="15"/>
      <c r="I1705" s="15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17"/>
      <c r="Y1705" s="13"/>
      <c r="Z1705" s="13"/>
      <c r="AC1705" s="24"/>
      <c r="AD1705" s="23"/>
    </row>
    <row r="1706" spans="4:30" x14ac:dyDescent="0.25">
      <c r="D1706" s="3"/>
      <c r="E1706" s="15"/>
      <c r="F1706" s="15"/>
      <c r="G1706" s="15"/>
      <c r="H1706" s="15"/>
      <c r="I1706" s="15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17"/>
      <c r="Y1706" s="13"/>
      <c r="Z1706" s="13"/>
      <c r="AC1706" s="24"/>
      <c r="AD1706" s="23"/>
    </row>
    <row r="1707" spans="4:30" x14ac:dyDescent="0.25">
      <c r="D1707" s="3"/>
      <c r="E1707" s="15"/>
      <c r="F1707" s="15"/>
      <c r="G1707" s="15"/>
      <c r="H1707" s="15"/>
      <c r="I1707" s="15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17"/>
      <c r="Y1707" s="13"/>
      <c r="Z1707" s="13"/>
      <c r="AC1707" s="24"/>
      <c r="AD1707" s="23"/>
    </row>
    <row r="1708" spans="4:30" x14ac:dyDescent="0.25">
      <c r="D1708" s="3"/>
      <c r="E1708" s="15"/>
      <c r="F1708" s="15"/>
      <c r="G1708" s="15"/>
      <c r="H1708" s="15"/>
      <c r="I1708" s="15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17"/>
      <c r="Y1708" s="13"/>
      <c r="Z1708" s="13"/>
      <c r="AC1708" s="24"/>
      <c r="AD1708" s="23"/>
    </row>
    <row r="1709" spans="4:30" x14ac:dyDescent="0.25">
      <c r="D1709" s="3"/>
      <c r="E1709" s="15"/>
      <c r="F1709" s="15"/>
      <c r="G1709" s="15"/>
      <c r="H1709" s="15"/>
      <c r="I1709" s="15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17"/>
      <c r="Y1709" s="13"/>
      <c r="Z1709" s="13"/>
      <c r="AC1709" s="24"/>
      <c r="AD1709" s="23"/>
    </row>
    <row r="1710" spans="4:30" x14ac:dyDescent="0.25">
      <c r="D1710" s="3"/>
      <c r="E1710" s="15"/>
      <c r="F1710" s="15"/>
      <c r="G1710" s="15"/>
      <c r="H1710" s="15"/>
      <c r="I1710" s="15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17"/>
      <c r="Y1710" s="13"/>
      <c r="Z1710" s="13"/>
      <c r="AC1710" s="24"/>
      <c r="AD1710" s="23"/>
    </row>
    <row r="1711" spans="4:30" x14ac:dyDescent="0.25">
      <c r="D1711" s="3"/>
      <c r="E1711" s="15"/>
      <c r="F1711" s="15"/>
      <c r="G1711" s="15"/>
      <c r="H1711" s="15"/>
      <c r="I1711" s="15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17"/>
      <c r="Y1711" s="13"/>
      <c r="Z1711" s="13"/>
      <c r="AC1711" s="24"/>
      <c r="AD1711" s="23"/>
    </row>
    <row r="1712" spans="4:30" x14ac:dyDescent="0.25">
      <c r="D1712" s="3"/>
      <c r="E1712" s="15"/>
      <c r="F1712" s="15"/>
      <c r="G1712" s="15"/>
      <c r="H1712" s="15"/>
      <c r="I1712" s="15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17"/>
      <c r="Y1712" s="13"/>
      <c r="Z1712" s="13"/>
      <c r="AC1712" s="24"/>
      <c r="AD1712" s="23"/>
    </row>
    <row r="1713" spans="4:30" x14ac:dyDescent="0.25">
      <c r="D1713" s="3"/>
      <c r="E1713" s="15"/>
      <c r="F1713" s="15"/>
      <c r="G1713" s="15"/>
      <c r="H1713" s="15"/>
      <c r="I1713" s="15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17"/>
      <c r="Y1713" s="13"/>
      <c r="Z1713" s="13"/>
      <c r="AC1713" s="24"/>
      <c r="AD1713" s="23"/>
    </row>
    <row r="1714" spans="4:30" x14ac:dyDescent="0.25">
      <c r="D1714" s="3"/>
      <c r="E1714" s="15"/>
      <c r="F1714" s="15"/>
      <c r="G1714" s="15"/>
      <c r="H1714" s="15"/>
      <c r="I1714" s="15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17"/>
      <c r="Y1714" s="13"/>
      <c r="Z1714" s="13"/>
      <c r="AC1714" s="24"/>
      <c r="AD1714" s="23"/>
    </row>
    <row r="1715" spans="4:30" x14ac:dyDescent="0.25">
      <c r="D1715" s="3"/>
      <c r="E1715" s="15"/>
      <c r="F1715" s="15"/>
      <c r="G1715" s="15"/>
      <c r="H1715" s="15"/>
      <c r="I1715" s="15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17"/>
      <c r="Y1715" s="13"/>
      <c r="Z1715" s="13"/>
      <c r="AC1715" s="24"/>
      <c r="AD1715" s="23"/>
    </row>
    <row r="1716" spans="4:30" x14ac:dyDescent="0.25">
      <c r="D1716" s="3"/>
      <c r="E1716" s="15"/>
      <c r="F1716" s="15"/>
      <c r="G1716" s="15"/>
      <c r="H1716" s="15"/>
      <c r="I1716" s="15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17"/>
      <c r="Y1716" s="13"/>
      <c r="Z1716" s="13"/>
      <c r="AC1716" s="24"/>
      <c r="AD1716" s="23"/>
    </row>
    <row r="1717" spans="4:30" x14ac:dyDescent="0.25">
      <c r="D1717" s="3"/>
      <c r="E1717" s="15"/>
      <c r="F1717" s="15"/>
      <c r="G1717" s="15"/>
      <c r="H1717" s="15"/>
      <c r="I1717" s="15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17"/>
      <c r="Y1717" s="13"/>
      <c r="Z1717" s="13"/>
      <c r="AC1717" s="24"/>
      <c r="AD1717" s="23"/>
    </row>
    <row r="1718" spans="4:30" x14ac:dyDescent="0.25">
      <c r="D1718" s="3"/>
      <c r="E1718" s="15"/>
      <c r="F1718" s="15"/>
      <c r="G1718" s="15"/>
      <c r="H1718" s="15"/>
      <c r="I1718" s="15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17"/>
      <c r="Y1718" s="13"/>
      <c r="Z1718" s="13"/>
      <c r="AC1718" s="24"/>
      <c r="AD1718" s="23"/>
    </row>
    <row r="1719" spans="4:30" x14ac:dyDescent="0.25">
      <c r="D1719" s="3"/>
      <c r="E1719" s="15"/>
      <c r="F1719" s="15"/>
      <c r="G1719" s="15"/>
      <c r="H1719" s="15"/>
      <c r="I1719" s="15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17"/>
      <c r="Y1719" s="13"/>
      <c r="Z1719" s="13"/>
      <c r="AC1719" s="24"/>
      <c r="AD1719" s="23"/>
    </row>
    <row r="1720" spans="4:30" x14ac:dyDescent="0.25">
      <c r="D1720" s="3"/>
      <c r="E1720" s="15"/>
      <c r="F1720" s="15"/>
      <c r="G1720" s="15"/>
      <c r="H1720" s="15"/>
      <c r="I1720" s="15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17"/>
      <c r="Y1720" s="13"/>
      <c r="Z1720" s="13"/>
      <c r="AC1720" s="24"/>
      <c r="AD1720" s="23"/>
    </row>
    <row r="1721" spans="4:30" x14ac:dyDescent="0.25">
      <c r="D1721" s="3"/>
      <c r="E1721" s="15"/>
      <c r="F1721" s="15"/>
      <c r="G1721" s="15"/>
      <c r="H1721" s="15"/>
      <c r="I1721" s="15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17"/>
      <c r="Y1721" s="13"/>
      <c r="Z1721" s="13"/>
      <c r="AC1721" s="24"/>
      <c r="AD1721" s="23"/>
    </row>
    <row r="1722" spans="4:30" x14ac:dyDescent="0.25">
      <c r="D1722" s="3"/>
      <c r="E1722" s="15"/>
      <c r="F1722" s="15"/>
      <c r="G1722" s="15"/>
      <c r="H1722" s="15"/>
      <c r="I1722" s="15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17"/>
      <c r="Y1722" s="13"/>
      <c r="Z1722" s="13"/>
      <c r="AC1722" s="24"/>
      <c r="AD1722" s="23"/>
    </row>
    <row r="1723" spans="4:30" x14ac:dyDescent="0.25">
      <c r="D1723" s="3"/>
      <c r="E1723" s="15"/>
      <c r="F1723" s="15"/>
      <c r="G1723" s="15"/>
      <c r="H1723" s="15"/>
      <c r="I1723" s="15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17"/>
      <c r="Y1723" s="13"/>
      <c r="Z1723" s="13"/>
      <c r="AC1723" s="24"/>
      <c r="AD1723" s="23"/>
    </row>
    <row r="1724" spans="4:30" x14ac:dyDescent="0.25">
      <c r="D1724" s="3"/>
      <c r="E1724" s="15"/>
      <c r="F1724" s="15"/>
      <c r="G1724" s="15"/>
      <c r="H1724" s="15"/>
      <c r="I1724" s="15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17"/>
      <c r="Y1724" s="13"/>
      <c r="Z1724" s="13"/>
      <c r="AC1724" s="24"/>
      <c r="AD1724" s="23"/>
    </row>
    <row r="1725" spans="4:30" x14ac:dyDescent="0.25">
      <c r="D1725" s="3"/>
      <c r="E1725" s="15"/>
      <c r="F1725" s="15"/>
      <c r="G1725" s="15"/>
      <c r="H1725" s="15"/>
      <c r="I1725" s="15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17"/>
      <c r="Y1725" s="13"/>
      <c r="Z1725" s="13"/>
      <c r="AC1725" s="24"/>
      <c r="AD1725" s="23"/>
    </row>
    <row r="1726" spans="4:30" x14ac:dyDescent="0.25">
      <c r="D1726" s="3"/>
      <c r="E1726" s="15"/>
      <c r="F1726" s="15"/>
      <c r="G1726" s="15"/>
      <c r="H1726" s="15"/>
      <c r="I1726" s="15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17"/>
      <c r="Y1726" s="13"/>
      <c r="Z1726" s="13"/>
      <c r="AC1726" s="24"/>
      <c r="AD1726" s="23"/>
    </row>
    <row r="1727" spans="4:30" x14ac:dyDescent="0.25">
      <c r="D1727" s="3"/>
      <c r="E1727" s="15"/>
      <c r="F1727" s="15"/>
      <c r="G1727" s="15"/>
      <c r="H1727" s="15"/>
      <c r="I1727" s="15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17"/>
      <c r="Y1727" s="13"/>
      <c r="Z1727" s="13"/>
      <c r="AC1727" s="24"/>
      <c r="AD1727" s="23"/>
    </row>
    <row r="1728" spans="4:30" x14ac:dyDescent="0.25">
      <c r="D1728" s="3"/>
      <c r="E1728" s="15"/>
      <c r="F1728" s="15"/>
      <c r="G1728" s="15"/>
      <c r="H1728" s="15"/>
      <c r="I1728" s="15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17"/>
      <c r="Y1728" s="13"/>
      <c r="Z1728" s="13"/>
      <c r="AC1728" s="24"/>
      <c r="AD1728" s="23"/>
    </row>
    <row r="1729" spans="4:30" x14ac:dyDescent="0.25">
      <c r="D1729" s="3"/>
      <c r="E1729" s="15"/>
      <c r="F1729" s="15"/>
      <c r="G1729" s="15"/>
      <c r="H1729" s="15"/>
      <c r="I1729" s="15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17"/>
      <c r="Y1729" s="13"/>
      <c r="Z1729" s="13"/>
      <c r="AC1729" s="24"/>
      <c r="AD1729" s="23"/>
    </row>
    <row r="1730" spans="4:30" x14ac:dyDescent="0.25">
      <c r="D1730" s="3"/>
      <c r="E1730" s="15"/>
      <c r="F1730" s="15"/>
      <c r="G1730" s="15"/>
      <c r="H1730" s="15"/>
      <c r="I1730" s="15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17"/>
      <c r="Y1730" s="13"/>
      <c r="Z1730" s="13"/>
      <c r="AC1730" s="24"/>
      <c r="AD1730" s="23"/>
    </row>
    <row r="1731" spans="4:30" x14ac:dyDescent="0.25">
      <c r="D1731" s="3"/>
      <c r="E1731" s="15"/>
      <c r="F1731" s="15"/>
      <c r="G1731" s="15"/>
      <c r="H1731" s="15"/>
      <c r="I1731" s="15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17"/>
      <c r="Y1731" s="13"/>
      <c r="Z1731" s="13"/>
      <c r="AC1731" s="24"/>
      <c r="AD1731" s="23"/>
    </row>
    <row r="1732" spans="4:30" x14ac:dyDescent="0.25">
      <c r="D1732" s="3"/>
      <c r="E1732" s="15"/>
      <c r="F1732" s="15"/>
      <c r="G1732" s="15"/>
      <c r="H1732" s="15"/>
      <c r="I1732" s="15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17"/>
      <c r="Y1732" s="13"/>
      <c r="Z1732" s="13"/>
      <c r="AC1732" s="24"/>
      <c r="AD1732" s="23"/>
    </row>
    <row r="1733" spans="4:30" x14ac:dyDescent="0.25">
      <c r="D1733" s="3"/>
      <c r="E1733" s="15"/>
      <c r="F1733" s="15"/>
      <c r="G1733" s="15"/>
      <c r="H1733" s="15"/>
      <c r="I1733" s="15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17"/>
      <c r="Y1733" s="13"/>
      <c r="Z1733" s="13"/>
      <c r="AC1733" s="24"/>
      <c r="AD1733" s="23"/>
    </row>
    <row r="1734" spans="4:30" x14ac:dyDescent="0.25">
      <c r="D1734" s="3"/>
      <c r="E1734" s="15"/>
      <c r="F1734" s="15"/>
      <c r="G1734" s="15"/>
      <c r="H1734" s="15"/>
      <c r="I1734" s="15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17"/>
      <c r="Y1734" s="13"/>
      <c r="Z1734" s="13"/>
      <c r="AC1734" s="24"/>
      <c r="AD1734" s="23"/>
    </row>
    <row r="1735" spans="4:30" x14ac:dyDescent="0.25">
      <c r="D1735" s="3"/>
      <c r="E1735" s="15"/>
      <c r="F1735" s="15"/>
      <c r="G1735" s="15"/>
      <c r="H1735" s="15"/>
      <c r="I1735" s="15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17"/>
      <c r="Y1735" s="13"/>
      <c r="Z1735" s="13"/>
      <c r="AC1735" s="24"/>
      <c r="AD1735" s="23"/>
    </row>
    <row r="1736" spans="4:30" x14ac:dyDescent="0.25">
      <c r="D1736" s="3"/>
      <c r="E1736" s="15"/>
      <c r="F1736" s="15"/>
      <c r="G1736" s="15"/>
      <c r="H1736" s="15"/>
      <c r="I1736" s="15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17"/>
      <c r="Y1736" s="13"/>
      <c r="Z1736" s="13"/>
      <c r="AC1736" s="24"/>
      <c r="AD1736" s="23"/>
    </row>
    <row r="1737" spans="4:30" x14ac:dyDescent="0.25">
      <c r="D1737" s="3"/>
      <c r="E1737" s="15"/>
      <c r="F1737" s="15"/>
      <c r="G1737" s="15"/>
      <c r="H1737" s="15"/>
      <c r="I1737" s="15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17"/>
      <c r="Y1737" s="13"/>
      <c r="Z1737" s="13"/>
      <c r="AC1737" s="24"/>
      <c r="AD1737" s="23"/>
    </row>
    <row r="1738" spans="4:30" x14ac:dyDescent="0.25">
      <c r="D1738" s="3"/>
      <c r="E1738" s="15"/>
      <c r="F1738" s="15"/>
      <c r="G1738" s="15"/>
      <c r="H1738" s="15"/>
      <c r="I1738" s="15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17"/>
      <c r="Y1738" s="13"/>
      <c r="Z1738" s="13"/>
      <c r="AC1738" s="24"/>
      <c r="AD1738" s="23"/>
    </row>
    <row r="1739" spans="4:30" x14ac:dyDescent="0.25">
      <c r="D1739" s="3"/>
      <c r="E1739" s="15"/>
      <c r="F1739" s="15"/>
      <c r="G1739" s="15"/>
      <c r="H1739" s="15"/>
      <c r="I1739" s="15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17"/>
      <c r="Y1739" s="13"/>
      <c r="Z1739" s="13"/>
      <c r="AC1739" s="24"/>
      <c r="AD1739" s="23"/>
    </row>
    <row r="1740" spans="4:30" x14ac:dyDescent="0.25">
      <c r="D1740" s="3"/>
      <c r="E1740" s="15"/>
      <c r="F1740" s="15"/>
      <c r="G1740" s="15"/>
      <c r="H1740" s="15"/>
      <c r="I1740" s="15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17"/>
      <c r="Y1740" s="13"/>
      <c r="Z1740" s="13"/>
      <c r="AC1740" s="24"/>
      <c r="AD1740" s="23"/>
    </row>
    <row r="1741" spans="4:30" x14ac:dyDescent="0.25">
      <c r="D1741" s="3"/>
      <c r="E1741" s="15"/>
      <c r="F1741" s="15"/>
      <c r="G1741" s="15"/>
      <c r="H1741" s="15"/>
      <c r="I1741" s="15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17"/>
      <c r="Y1741" s="13"/>
      <c r="Z1741" s="13"/>
      <c r="AC1741" s="24"/>
      <c r="AD1741" s="23"/>
    </row>
    <row r="1742" spans="4:30" x14ac:dyDescent="0.25">
      <c r="D1742" s="3"/>
      <c r="E1742" s="15"/>
      <c r="F1742" s="15"/>
      <c r="G1742" s="15"/>
      <c r="H1742" s="15"/>
      <c r="I1742" s="15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17"/>
      <c r="Y1742" s="13"/>
      <c r="Z1742" s="13"/>
      <c r="AC1742" s="24"/>
      <c r="AD1742" s="23"/>
    </row>
    <row r="1743" spans="4:30" x14ac:dyDescent="0.25">
      <c r="D1743" s="3"/>
      <c r="E1743" s="15"/>
      <c r="F1743" s="15"/>
      <c r="G1743" s="15"/>
      <c r="H1743" s="15"/>
      <c r="I1743" s="15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17"/>
      <c r="Y1743" s="13"/>
      <c r="Z1743" s="13"/>
      <c r="AC1743" s="24"/>
      <c r="AD1743" s="23"/>
    </row>
    <row r="1744" spans="4:30" x14ac:dyDescent="0.25">
      <c r="D1744" s="3"/>
      <c r="E1744" s="15"/>
      <c r="F1744" s="15"/>
      <c r="G1744" s="15"/>
      <c r="H1744" s="15"/>
      <c r="I1744" s="15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17"/>
      <c r="Y1744" s="13"/>
      <c r="Z1744" s="13"/>
      <c r="AC1744" s="24"/>
      <c r="AD1744" s="23"/>
    </row>
    <row r="1745" spans="4:30" x14ac:dyDescent="0.25">
      <c r="D1745" s="3"/>
      <c r="E1745" s="15"/>
      <c r="F1745" s="15"/>
      <c r="G1745" s="15"/>
      <c r="H1745" s="15"/>
      <c r="I1745" s="15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17"/>
      <c r="Y1745" s="13"/>
      <c r="Z1745" s="13"/>
      <c r="AC1745" s="24"/>
      <c r="AD1745" s="23"/>
    </row>
    <row r="1746" spans="4:30" x14ac:dyDescent="0.25">
      <c r="D1746" s="3"/>
      <c r="E1746" s="15"/>
      <c r="F1746" s="15"/>
      <c r="G1746" s="15"/>
      <c r="H1746" s="15"/>
      <c r="I1746" s="15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17"/>
      <c r="Y1746" s="13"/>
      <c r="Z1746" s="13"/>
      <c r="AC1746" s="24"/>
      <c r="AD1746" s="23"/>
    </row>
    <row r="1747" spans="4:30" x14ac:dyDescent="0.25">
      <c r="D1747" s="3"/>
      <c r="E1747" s="15"/>
      <c r="F1747" s="15"/>
      <c r="G1747" s="15"/>
      <c r="H1747" s="15"/>
      <c r="I1747" s="15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17"/>
      <c r="Y1747" s="13"/>
      <c r="Z1747" s="13"/>
      <c r="AC1747" s="24"/>
      <c r="AD1747" s="23"/>
    </row>
    <row r="1748" spans="4:30" x14ac:dyDescent="0.25">
      <c r="D1748" s="3"/>
      <c r="E1748" s="15"/>
      <c r="F1748" s="15"/>
      <c r="G1748" s="15"/>
      <c r="H1748" s="15"/>
      <c r="I1748" s="15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17"/>
      <c r="Y1748" s="13"/>
      <c r="Z1748" s="13"/>
      <c r="AC1748" s="24"/>
      <c r="AD1748" s="23"/>
    </row>
    <row r="1749" spans="4:30" x14ac:dyDescent="0.25">
      <c r="D1749" s="3"/>
      <c r="E1749" s="15"/>
      <c r="F1749" s="15"/>
      <c r="G1749" s="15"/>
      <c r="H1749" s="15"/>
      <c r="I1749" s="15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17"/>
      <c r="Y1749" s="13"/>
      <c r="Z1749" s="13"/>
      <c r="AC1749" s="24"/>
      <c r="AD1749" s="23"/>
    </row>
    <row r="1750" spans="4:30" x14ac:dyDescent="0.25">
      <c r="D1750" s="3"/>
      <c r="E1750" s="15"/>
      <c r="F1750" s="15"/>
      <c r="G1750" s="15"/>
      <c r="H1750" s="15"/>
      <c r="I1750" s="15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17"/>
      <c r="Y1750" s="13"/>
      <c r="Z1750" s="13"/>
      <c r="AC1750" s="24"/>
      <c r="AD1750" s="23"/>
    </row>
    <row r="1751" spans="4:30" x14ac:dyDescent="0.25">
      <c r="D1751" s="3"/>
      <c r="E1751" s="15"/>
      <c r="F1751" s="15"/>
      <c r="G1751" s="15"/>
      <c r="H1751" s="15"/>
      <c r="I1751" s="15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17"/>
      <c r="Y1751" s="13"/>
      <c r="Z1751" s="13"/>
      <c r="AC1751" s="24"/>
      <c r="AD1751" s="23"/>
    </row>
    <row r="1752" spans="4:30" x14ac:dyDescent="0.25">
      <c r="D1752" s="3"/>
      <c r="E1752" s="15"/>
      <c r="F1752" s="15"/>
      <c r="G1752" s="15"/>
      <c r="H1752" s="15"/>
      <c r="I1752" s="15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17"/>
      <c r="Y1752" s="13"/>
      <c r="Z1752" s="13"/>
      <c r="AC1752" s="24"/>
      <c r="AD1752" s="23"/>
    </row>
    <row r="1753" spans="4:30" x14ac:dyDescent="0.25">
      <c r="D1753" s="3"/>
      <c r="E1753" s="15"/>
      <c r="F1753" s="15"/>
      <c r="G1753" s="15"/>
      <c r="H1753" s="15"/>
      <c r="I1753" s="15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17"/>
      <c r="Y1753" s="13"/>
      <c r="Z1753" s="13"/>
      <c r="AC1753" s="24"/>
      <c r="AD1753" s="23"/>
    </row>
    <row r="1754" spans="4:30" x14ac:dyDescent="0.25">
      <c r="D1754" s="3"/>
      <c r="E1754" s="15"/>
      <c r="F1754" s="15"/>
      <c r="G1754" s="15"/>
      <c r="H1754" s="15"/>
      <c r="I1754" s="15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17"/>
      <c r="Y1754" s="13"/>
      <c r="Z1754" s="13"/>
      <c r="AC1754" s="24"/>
      <c r="AD1754" s="23"/>
    </row>
    <row r="1755" spans="4:30" x14ac:dyDescent="0.25">
      <c r="D1755" s="3"/>
      <c r="E1755" s="15"/>
      <c r="F1755" s="15"/>
      <c r="G1755" s="15"/>
      <c r="H1755" s="15"/>
      <c r="I1755" s="15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17"/>
      <c r="Y1755" s="13"/>
      <c r="Z1755" s="13"/>
      <c r="AC1755" s="24"/>
      <c r="AD1755" s="23"/>
    </row>
    <row r="1756" spans="4:30" x14ac:dyDescent="0.25">
      <c r="D1756" s="3"/>
      <c r="E1756" s="15"/>
      <c r="F1756" s="15"/>
      <c r="G1756" s="15"/>
      <c r="H1756" s="15"/>
      <c r="I1756" s="15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17"/>
      <c r="Y1756" s="13"/>
      <c r="Z1756" s="13"/>
      <c r="AC1756" s="24"/>
      <c r="AD1756" s="23"/>
    </row>
    <row r="1757" spans="4:30" x14ac:dyDescent="0.25">
      <c r="D1757" s="3"/>
      <c r="E1757" s="15"/>
      <c r="F1757" s="15"/>
      <c r="G1757" s="15"/>
      <c r="H1757" s="15"/>
      <c r="I1757" s="15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17"/>
      <c r="Y1757" s="13"/>
      <c r="Z1757" s="13"/>
      <c r="AC1757" s="24"/>
      <c r="AD1757" s="23"/>
    </row>
    <row r="1758" spans="4:30" x14ac:dyDescent="0.25">
      <c r="D1758" s="3"/>
      <c r="E1758" s="15"/>
      <c r="F1758" s="15"/>
      <c r="G1758" s="15"/>
      <c r="H1758" s="15"/>
      <c r="I1758" s="15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17"/>
      <c r="Y1758" s="13"/>
      <c r="Z1758" s="13"/>
      <c r="AC1758" s="24"/>
      <c r="AD1758" s="23"/>
    </row>
    <row r="1759" spans="4:30" x14ac:dyDescent="0.25">
      <c r="D1759" s="3"/>
      <c r="E1759" s="15"/>
      <c r="F1759" s="15"/>
      <c r="G1759" s="15"/>
      <c r="H1759" s="15"/>
      <c r="I1759" s="15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17"/>
      <c r="Y1759" s="13"/>
      <c r="Z1759" s="13"/>
      <c r="AC1759" s="24"/>
      <c r="AD1759" s="23"/>
    </row>
    <row r="1760" spans="4:30" x14ac:dyDescent="0.25">
      <c r="D1760" s="3"/>
      <c r="E1760" s="15"/>
      <c r="F1760" s="15"/>
      <c r="G1760" s="15"/>
      <c r="H1760" s="15"/>
      <c r="I1760" s="15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17"/>
      <c r="Y1760" s="13"/>
      <c r="Z1760" s="13"/>
      <c r="AC1760" s="24"/>
      <c r="AD1760" s="23"/>
    </row>
    <row r="1761" spans="4:30" x14ac:dyDescent="0.25">
      <c r="D1761" s="3"/>
      <c r="E1761" s="15"/>
      <c r="F1761" s="15"/>
      <c r="G1761" s="15"/>
      <c r="H1761" s="15"/>
      <c r="I1761" s="15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17"/>
      <c r="Y1761" s="13"/>
      <c r="Z1761" s="13"/>
      <c r="AC1761" s="24"/>
      <c r="AD1761" s="23"/>
    </row>
    <row r="1762" spans="4:30" x14ac:dyDescent="0.25">
      <c r="D1762" s="3"/>
      <c r="E1762" s="15"/>
      <c r="F1762" s="15"/>
      <c r="G1762" s="15"/>
      <c r="H1762" s="15"/>
      <c r="I1762" s="15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17"/>
      <c r="Y1762" s="13"/>
      <c r="Z1762" s="13"/>
      <c r="AC1762" s="24"/>
      <c r="AD1762" s="23"/>
    </row>
    <row r="1763" spans="4:30" x14ac:dyDescent="0.25">
      <c r="D1763" s="3"/>
      <c r="E1763" s="15"/>
      <c r="F1763" s="15"/>
      <c r="G1763" s="15"/>
      <c r="H1763" s="15"/>
      <c r="I1763" s="15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17"/>
      <c r="Y1763" s="13"/>
      <c r="Z1763" s="13"/>
      <c r="AC1763" s="24"/>
      <c r="AD1763" s="23"/>
    </row>
    <row r="1764" spans="4:30" x14ac:dyDescent="0.25">
      <c r="D1764" s="3"/>
      <c r="E1764" s="15"/>
      <c r="F1764" s="15"/>
      <c r="G1764" s="15"/>
      <c r="H1764" s="15"/>
      <c r="I1764" s="15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17"/>
      <c r="Y1764" s="13"/>
      <c r="Z1764" s="13"/>
      <c r="AC1764" s="24"/>
      <c r="AD1764" s="23"/>
    </row>
    <row r="1765" spans="4:30" x14ac:dyDescent="0.25">
      <c r="D1765" s="3"/>
      <c r="E1765" s="15"/>
      <c r="F1765" s="15"/>
      <c r="G1765" s="15"/>
      <c r="H1765" s="15"/>
      <c r="I1765" s="15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17"/>
      <c r="Y1765" s="13"/>
      <c r="Z1765" s="13"/>
      <c r="AC1765" s="24"/>
      <c r="AD1765" s="23"/>
    </row>
    <row r="1766" spans="4:30" x14ac:dyDescent="0.25">
      <c r="D1766" s="3"/>
      <c r="E1766" s="15"/>
      <c r="F1766" s="15"/>
      <c r="G1766" s="15"/>
      <c r="H1766" s="15"/>
      <c r="I1766" s="15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17"/>
      <c r="Y1766" s="13"/>
      <c r="Z1766" s="13"/>
      <c r="AC1766" s="24"/>
      <c r="AD1766" s="23"/>
    </row>
    <row r="1767" spans="4:30" x14ac:dyDescent="0.25">
      <c r="D1767" s="3"/>
      <c r="E1767" s="15"/>
      <c r="F1767" s="15"/>
      <c r="G1767" s="15"/>
      <c r="H1767" s="15"/>
      <c r="I1767" s="15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17"/>
      <c r="Y1767" s="13"/>
      <c r="Z1767" s="13"/>
      <c r="AC1767" s="24"/>
      <c r="AD1767" s="23"/>
    </row>
    <row r="1768" spans="4:30" x14ac:dyDescent="0.25">
      <c r="D1768" s="3"/>
      <c r="E1768" s="15"/>
      <c r="F1768" s="15"/>
      <c r="G1768" s="15"/>
      <c r="H1768" s="15"/>
      <c r="I1768" s="15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17"/>
      <c r="Y1768" s="13"/>
      <c r="Z1768" s="13"/>
      <c r="AC1768" s="24"/>
      <c r="AD1768" s="23"/>
    </row>
    <row r="1769" spans="4:30" x14ac:dyDescent="0.25">
      <c r="D1769" s="3"/>
      <c r="E1769" s="15"/>
      <c r="F1769" s="15"/>
      <c r="G1769" s="15"/>
      <c r="H1769" s="15"/>
      <c r="I1769" s="15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17"/>
      <c r="Y1769" s="13"/>
      <c r="Z1769" s="13"/>
      <c r="AC1769" s="24"/>
      <c r="AD1769" s="23"/>
    </row>
    <row r="1770" spans="4:30" x14ac:dyDescent="0.25">
      <c r="D1770" s="3"/>
      <c r="E1770" s="15"/>
      <c r="F1770" s="15"/>
      <c r="G1770" s="15"/>
      <c r="H1770" s="15"/>
      <c r="I1770" s="15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17"/>
      <c r="Y1770" s="13"/>
      <c r="Z1770" s="13"/>
      <c r="AC1770" s="24"/>
      <c r="AD1770" s="23"/>
    </row>
    <row r="1771" spans="4:30" x14ac:dyDescent="0.25">
      <c r="D1771" s="3"/>
      <c r="E1771" s="15"/>
      <c r="F1771" s="15"/>
      <c r="G1771" s="15"/>
      <c r="H1771" s="15"/>
      <c r="I1771" s="15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17"/>
      <c r="Y1771" s="13"/>
      <c r="Z1771" s="13"/>
      <c r="AC1771" s="24"/>
      <c r="AD1771" s="23"/>
    </row>
    <row r="1772" spans="4:30" x14ac:dyDescent="0.25">
      <c r="D1772" s="3"/>
      <c r="E1772" s="15"/>
      <c r="F1772" s="15"/>
      <c r="G1772" s="15"/>
      <c r="H1772" s="15"/>
      <c r="I1772" s="15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17"/>
      <c r="Y1772" s="13"/>
      <c r="Z1772" s="13"/>
      <c r="AC1772" s="24"/>
      <c r="AD1772" s="23"/>
    </row>
    <row r="1773" spans="4:30" x14ac:dyDescent="0.25">
      <c r="D1773" s="3"/>
      <c r="E1773" s="15"/>
      <c r="F1773" s="15"/>
      <c r="G1773" s="15"/>
      <c r="H1773" s="15"/>
      <c r="I1773" s="15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17"/>
      <c r="Y1773" s="13"/>
      <c r="Z1773" s="13"/>
      <c r="AC1773" s="24"/>
      <c r="AD1773" s="23"/>
    </row>
    <row r="1774" spans="4:30" x14ac:dyDescent="0.25">
      <c r="D1774" s="3"/>
      <c r="E1774" s="15"/>
      <c r="F1774" s="15"/>
      <c r="G1774" s="15"/>
      <c r="H1774" s="15"/>
      <c r="I1774" s="15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17"/>
      <c r="Y1774" s="13"/>
      <c r="Z1774" s="13"/>
      <c r="AC1774" s="24"/>
      <c r="AD1774" s="23"/>
    </row>
    <row r="1775" spans="4:30" x14ac:dyDescent="0.25">
      <c r="D1775" s="3"/>
      <c r="E1775" s="15"/>
      <c r="F1775" s="15"/>
      <c r="G1775" s="15"/>
      <c r="H1775" s="15"/>
      <c r="I1775" s="15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17"/>
      <c r="Y1775" s="13"/>
      <c r="Z1775" s="13"/>
      <c r="AC1775" s="24"/>
      <c r="AD1775" s="23"/>
    </row>
    <row r="1776" spans="4:30" x14ac:dyDescent="0.25">
      <c r="D1776" s="3"/>
      <c r="E1776" s="15"/>
      <c r="F1776" s="15"/>
      <c r="G1776" s="15"/>
      <c r="H1776" s="15"/>
      <c r="I1776" s="15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17"/>
      <c r="Y1776" s="13"/>
      <c r="Z1776" s="13"/>
      <c r="AC1776" s="24"/>
      <c r="AD1776" s="23"/>
    </row>
    <row r="1777" spans="4:30" x14ac:dyDescent="0.25">
      <c r="D1777" s="3"/>
      <c r="E1777" s="15"/>
      <c r="F1777" s="15"/>
      <c r="G1777" s="15"/>
      <c r="H1777" s="15"/>
      <c r="I1777" s="15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17"/>
      <c r="Y1777" s="13"/>
      <c r="Z1777" s="13"/>
      <c r="AC1777" s="24"/>
      <c r="AD1777" s="23"/>
    </row>
    <row r="1778" spans="4:30" x14ac:dyDescent="0.25">
      <c r="D1778" s="3"/>
      <c r="E1778" s="15"/>
      <c r="F1778" s="15"/>
      <c r="G1778" s="15"/>
      <c r="H1778" s="15"/>
      <c r="I1778" s="15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17"/>
      <c r="Y1778" s="13"/>
      <c r="Z1778" s="13"/>
      <c r="AC1778" s="24"/>
      <c r="AD1778" s="23"/>
    </row>
    <row r="1779" spans="4:30" x14ac:dyDescent="0.25">
      <c r="D1779" s="3"/>
      <c r="E1779" s="15"/>
      <c r="F1779" s="15"/>
      <c r="G1779" s="15"/>
      <c r="H1779" s="15"/>
      <c r="I1779" s="15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17"/>
      <c r="Y1779" s="13"/>
      <c r="Z1779" s="13"/>
      <c r="AC1779" s="24"/>
      <c r="AD1779" s="23"/>
    </row>
    <row r="1780" spans="4:30" x14ac:dyDescent="0.25">
      <c r="D1780" s="3"/>
      <c r="E1780" s="15"/>
      <c r="F1780" s="15"/>
      <c r="G1780" s="15"/>
      <c r="H1780" s="15"/>
      <c r="I1780" s="15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17"/>
      <c r="Y1780" s="13"/>
      <c r="Z1780" s="13"/>
      <c r="AC1780" s="24"/>
      <c r="AD1780" s="23"/>
    </row>
    <row r="1781" spans="4:30" x14ac:dyDescent="0.25">
      <c r="D1781" s="3"/>
      <c r="E1781" s="15"/>
      <c r="F1781" s="15"/>
      <c r="G1781" s="15"/>
      <c r="H1781" s="15"/>
      <c r="I1781" s="15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17"/>
      <c r="Y1781" s="13"/>
      <c r="Z1781" s="13"/>
      <c r="AC1781" s="24"/>
      <c r="AD1781" s="23"/>
    </row>
    <row r="1782" spans="4:30" x14ac:dyDescent="0.25">
      <c r="D1782" s="3"/>
      <c r="E1782" s="15"/>
      <c r="F1782" s="15"/>
      <c r="G1782" s="15"/>
      <c r="H1782" s="15"/>
      <c r="I1782" s="15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17"/>
      <c r="Y1782" s="13"/>
      <c r="Z1782" s="13"/>
      <c r="AC1782" s="24"/>
      <c r="AD1782" s="23"/>
    </row>
    <row r="1783" spans="4:30" x14ac:dyDescent="0.25">
      <c r="D1783" s="3"/>
      <c r="E1783" s="15"/>
      <c r="F1783" s="15"/>
      <c r="G1783" s="15"/>
      <c r="H1783" s="15"/>
      <c r="I1783" s="15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17"/>
      <c r="Y1783" s="13"/>
      <c r="Z1783" s="13"/>
      <c r="AC1783" s="24"/>
      <c r="AD1783" s="23"/>
    </row>
    <row r="1784" spans="4:30" x14ac:dyDescent="0.25">
      <c r="D1784" s="3"/>
      <c r="E1784" s="15"/>
      <c r="F1784" s="15"/>
      <c r="G1784" s="15"/>
      <c r="H1784" s="15"/>
      <c r="I1784" s="15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17"/>
      <c r="Y1784" s="13"/>
      <c r="Z1784" s="13"/>
      <c r="AC1784" s="24"/>
      <c r="AD1784" s="23"/>
    </row>
    <row r="1785" spans="4:30" x14ac:dyDescent="0.25">
      <c r="D1785" s="3"/>
      <c r="E1785" s="15"/>
      <c r="F1785" s="15"/>
      <c r="G1785" s="15"/>
      <c r="H1785" s="15"/>
      <c r="I1785" s="15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17"/>
      <c r="Y1785" s="13"/>
      <c r="Z1785" s="13"/>
      <c r="AC1785" s="24"/>
      <c r="AD1785" s="23"/>
    </row>
    <row r="1786" spans="4:30" x14ac:dyDescent="0.25">
      <c r="D1786" s="3"/>
      <c r="E1786" s="15"/>
      <c r="F1786" s="15"/>
      <c r="G1786" s="15"/>
      <c r="H1786" s="15"/>
      <c r="I1786" s="15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17"/>
      <c r="Y1786" s="13"/>
      <c r="Z1786" s="13"/>
      <c r="AC1786" s="24"/>
      <c r="AD1786" s="23"/>
    </row>
    <row r="1787" spans="4:30" x14ac:dyDescent="0.25">
      <c r="D1787" s="3"/>
      <c r="E1787" s="15"/>
      <c r="F1787" s="15"/>
      <c r="G1787" s="15"/>
      <c r="H1787" s="15"/>
      <c r="I1787" s="15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17"/>
      <c r="Y1787" s="13"/>
      <c r="Z1787" s="13"/>
      <c r="AC1787" s="24"/>
      <c r="AD1787" s="23"/>
    </row>
    <row r="1788" spans="4:30" x14ac:dyDescent="0.25">
      <c r="D1788" s="3"/>
      <c r="E1788" s="15"/>
      <c r="F1788" s="15"/>
      <c r="G1788" s="15"/>
      <c r="H1788" s="15"/>
      <c r="I1788" s="15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17"/>
      <c r="Y1788" s="13"/>
      <c r="Z1788" s="13"/>
      <c r="AC1788" s="24"/>
      <c r="AD1788" s="23"/>
    </row>
    <row r="1789" spans="4:30" x14ac:dyDescent="0.25">
      <c r="D1789" s="3"/>
      <c r="E1789" s="15"/>
      <c r="F1789" s="15"/>
      <c r="G1789" s="15"/>
      <c r="H1789" s="15"/>
      <c r="I1789" s="15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17"/>
      <c r="Y1789" s="13"/>
      <c r="Z1789" s="13"/>
      <c r="AC1789" s="24"/>
      <c r="AD1789" s="23"/>
    </row>
    <row r="1790" spans="4:30" x14ac:dyDescent="0.25">
      <c r="D1790" s="3"/>
      <c r="E1790" s="15"/>
      <c r="F1790" s="15"/>
      <c r="G1790" s="15"/>
      <c r="H1790" s="15"/>
      <c r="I1790" s="15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17"/>
      <c r="Y1790" s="13"/>
      <c r="Z1790" s="13"/>
      <c r="AC1790" s="24"/>
      <c r="AD1790" s="23"/>
    </row>
    <row r="1791" spans="4:30" x14ac:dyDescent="0.25">
      <c r="D1791" s="3"/>
      <c r="E1791" s="15"/>
      <c r="F1791" s="15"/>
      <c r="G1791" s="15"/>
      <c r="H1791" s="15"/>
      <c r="I1791" s="15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17"/>
      <c r="Y1791" s="13"/>
      <c r="Z1791" s="13"/>
      <c r="AC1791" s="24"/>
      <c r="AD1791" s="23"/>
    </row>
    <row r="1792" spans="4:30" x14ac:dyDescent="0.25">
      <c r="D1792" s="3"/>
      <c r="E1792" s="15"/>
      <c r="F1792" s="15"/>
      <c r="G1792" s="15"/>
      <c r="H1792" s="15"/>
      <c r="I1792" s="15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17"/>
      <c r="Y1792" s="13"/>
      <c r="Z1792" s="13"/>
      <c r="AC1792" s="24"/>
      <c r="AD1792" s="23"/>
    </row>
    <row r="1793" spans="4:30" x14ac:dyDescent="0.25">
      <c r="D1793" s="3"/>
      <c r="E1793" s="15"/>
      <c r="F1793" s="15"/>
      <c r="G1793" s="15"/>
      <c r="H1793" s="15"/>
      <c r="I1793" s="15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17"/>
      <c r="Y1793" s="13"/>
      <c r="Z1793" s="13"/>
      <c r="AC1793" s="24"/>
      <c r="AD1793" s="23"/>
    </row>
    <row r="1794" spans="4:30" x14ac:dyDescent="0.25">
      <c r="D1794" s="3"/>
      <c r="E1794" s="15"/>
      <c r="F1794" s="15"/>
      <c r="G1794" s="15"/>
      <c r="H1794" s="15"/>
      <c r="I1794" s="15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17"/>
      <c r="Y1794" s="13"/>
      <c r="Z1794" s="13"/>
      <c r="AC1794" s="24"/>
      <c r="AD1794" s="23"/>
    </row>
    <row r="1795" spans="4:30" x14ac:dyDescent="0.25">
      <c r="D1795" s="3"/>
      <c r="E1795" s="15"/>
      <c r="F1795" s="15"/>
      <c r="G1795" s="15"/>
      <c r="H1795" s="15"/>
      <c r="I1795" s="15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17"/>
      <c r="Y1795" s="13"/>
      <c r="Z1795" s="13"/>
      <c r="AC1795" s="24"/>
      <c r="AD1795" s="23"/>
    </row>
    <row r="1796" spans="4:30" x14ac:dyDescent="0.25">
      <c r="D1796" s="3"/>
      <c r="E1796" s="15"/>
      <c r="F1796" s="15"/>
      <c r="G1796" s="15"/>
      <c r="H1796" s="15"/>
      <c r="I1796" s="15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17"/>
      <c r="Y1796" s="13"/>
      <c r="Z1796" s="13"/>
      <c r="AC1796" s="24"/>
      <c r="AD1796" s="23"/>
    </row>
    <row r="1797" spans="4:30" x14ac:dyDescent="0.25">
      <c r="D1797" s="3"/>
      <c r="E1797" s="15"/>
      <c r="F1797" s="15"/>
      <c r="G1797" s="15"/>
      <c r="H1797" s="15"/>
      <c r="I1797" s="15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17"/>
      <c r="Y1797" s="13"/>
      <c r="Z1797" s="13"/>
      <c r="AC1797" s="24"/>
      <c r="AD1797" s="23"/>
    </row>
    <row r="1798" spans="4:30" x14ac:dyDescent="0.25">
      <c r="D1798" s="3"/>
      <c r="E1798" s="15"/>
      <c r="F1798" s="15"/>
      <c r="G1798" s="15"/>
      <c r="H1798" s="15"/>
      <c r="I1798" s="15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17"/>
      <c r="Y1798" s="13"/>
      <c r="Z1798" s="13"/>
      <c r="AC1798" s="24"/>
      <c r="AD1798" s="23"/>
    </row>
    <row r="1799" spans="4:30" x14ac:dyDescent="0.25">
      <c r="D1799" s="3"/>
      <c r="E1799" s="15"/>
      <c r="F1799" s="15"/>
      <c r="G1799" s="15"/>
      <c r="H1799" s="15"/>
      <c r="I1799" s="15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17"/>
      <c r="Y1799" s="13"/>
      <c r="Z1799" s="13"/>
      <c r="AC1799" s="24"/>
      <c r="AD1799" s="23"/>
    </row>
    <row r="1800" spans="4:30" x14ac:dyDescent="0.25">
      <c r="D1800" s="3"/>
      <c r="E1800" s="15"/>
      <c r="F1800" s="15"/>
      <c r="G1800" s="15"/>
      <c r="H1800" s="15"/>
      <c r="I1800" s="15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17"/>
      <c r="Y1800" s="13"/>
      <c r="Z1800" s="13"/>
      <c r="AC1800" s="24"/>
      <c r="AD1800" s="23"/>
    </row>
    <row r="1801" spans="4:30" x14ac:dyDescent="0.25">
      <c r="D1801" s="3"/>
      <c r="E1801" s="15"/>
      <c r="F1801" s="15"/>
      <c r="G1801" s="15"/>
      <c r="H1801" s="15"/>
      <c r="I1801" s="15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17"/>
      <c r="Y1801" s="13"/>
      <c r="Z1801" s="13"/>
      <c r="AC1801" s="24"/>
      <c r="AD1801" s="23"/>
    </row>
    <row r="1802" spans="4:30" x14ac:dyDescent="0.25">
      <c r="D1802" s="3"/>
      <c r="E1802" s="15"/>
      <c r="F1802" s="15"/>
      <c r="G1802" s="15"/>
      <c r="H1802" s="15"/>
      <c r="I1802" s="15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17"/>
      <c r="Y1802" s="13"/>
      <c r="Z1802" s="13"/>
      <c r="AC1802" s="24"/>
      <c r="AD1802" s="23"/>
    </row>
    <row r="1803" spans="4:30" x14ac:dyDescent="0.25">
      <c r="D1803" s="3"/>
      <c r="E1803" s="15"/>
      <c r="F1803" s="15"/>
      <c r="G1803" s="15"/>
      <c r="H1803" s="15"/>
      <c r="I1803" s="15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17"/>
      <c r="Y1803" s="13"/>
      <c r="Z1803" s="13"/>
      <c r="AC1803" s="24"/>
      <c r="AD1803" s="23"/>
    </row>
    <row r="1804" spans="4:30" x14ac:dyDescent="0.25">
      <c r="D1804" s="3"/>
      <c r="E1804" s="15"/>
      <c r="F1804" s="15"/>
      <c r="G1804" s="15"/>
      <c r="H1804" s="15"/>
      <c r="I1804" s="15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17"/>
      <c r="Y1804" s="13"/>
      <c r="Z1804" s="13"/>
      <c r="AC1804" s="24"/>
      <c r="AD1804" s="23"/>
    </row>
    <row r="1805" spans="4:30" x14ac:dyDescent="0.25">
      <c r="D1805" s="3"/>
      <c r="E1805" s="15"/>
      <c r="F1805" s="15"/>
      <c r="G1805" s="15"/>
      <c r="H1805" s="15"/>
      <c r="I1805" s="15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17"/>
      <c r="Y1805" s="13"/>
      <c r="Z1805" s="13"/>
      <c r="AC1805" s="24"/>
      <c r="AD1805" s="23"/>
    </row>
    <row r="1806" spans="4:30" x14ac:dyDescent="0.25">
      <c r="D1806" s="3"/>
      <c r="E1806" s="15"/>
      <c r="F1806" s="15"/>
      <c r="G1806" s="15"/>
      <c r="H1806" s="15"/>
      <c r="I1806" s="15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17"/>
      <c r="Y1806" s="13"/>
      <c r="Z1806" s="13"/>
      <c r="AC1806" s="24"/>
      <c r="AD1806" s="23"/>
    </row>
    <row r="1807" spans="4:30" x14ac:dyDescent="0.25">
      <c r="D1807" s="3"/>
      <c r="E1807" s="15"/>
      <c r="F1807" s="15"/>
      <c r="G1807" s="15"/>
      <c r="H1807" s="15"/>
      <c r="I1807" s="15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17"/>
      <c r="Y1807" s="13"/>
      <c r="Z1807" s="13"/>
      <c r="AC1807" s="24"/>
      <c r="AD1807" s="23"/>
    </row>
    <row r="1808" spans="4:30" x14ac:dyDescent="0.25">
      <c r="D1808" s="3"/>
      <c r="E1808" s="15"/>
      <c r="F1808" s="15"/>
      <c r="G1808" s="15"/>
      <c r="H1808" s="15"/>
      <c r="I1808" s="15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17"/>
      <c r="Y1808" s="13"/>
      <c r="Z1808" s="13"/>
      <c r="AC1808" s="24"/>
      <c r="AD1808" s="23"/>
    </row>
    <row r="1809" spans="4:30" x14ac:dyDescent="0.25">
      <c r="D1809" s="3"/>
      <c r="E1809" s="15"/>
      <c r="F1809" s="15"/>
      <c r="G1809" s="15"/>
      <c r="H1809" s="15"/>
      <c r="I1809" s="15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17"/>
      <c r="Y1809" s="13"/>
      <c r="Z1809" s="13"/>
      <c r="AC1809" s="24"/>
      <c r="AD1809" s="23"/>
    </row>
    <row r="1810" spans="4:30" x14ac:dyDescent="0.25">
      <c r="D1810" s="3"/>
      <c r="E1810" s="15"/>
      <c r="F1810" s="15"/>
      <c r="G1810" s="15"/>
      <c r="H1810" s="15"/>
      <c r="I1810" s="15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17"/>
      <c r="Y1810" s="13"/>
      <c r="Z1810" s="13"/>
      <c r="AC1810" s="24"/>
      <c r="AD1810" s="23"/>
    </row>
    <row r="1811" spans="4:30" x14ac:dyDescent="0.25">
      <c r="D1811" s="3"/>
      <c r="E1811" s="15"/>
      <c r="F1811" s="15"/>
      <c r="G1811" s="15"/>
      <c r="H1811" s="15"/>
      <c r="I1811" s="15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17"/>
      <c r="Y1811" s="13"/>
      <c r="Z1811" s="13"/>
      <c r="AC1811" s="24"/>
      <c r="AD1811" s="23"/>
    </row>
    <row r="1812" spans="4:30" x14ac:dyDescent="0.25">
      <c r="D1812" s="3"/>
      <c r="E1812" s="15"/>
      <c r="F1812" s="15"/>
      <c r="G1812" s="15"/>
      <c r="H1812" s="15"/>
      <c r="I1812" s="15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17"/>
      <c r="Y1812" s="13"/>
      <c r="Z1812" s="13"/>
      <c r="AC1812" s="24"/>
      <c r="AD1812" s="23"/>
    </row>
    <row r="1813" spans="4:30" x14ac:dyDescent="0.25">
      <c r="D1813" s="3"/>
      <c r="E1813" s="15"/>
      <c r="F1813" s="15"/>
      <c r="G1813" s="15"/>
      <c r="H1813" s="15"/>
      <c r="I1813" s="15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17"/>
      <c r="Y1813" s="13"/>
      <c r="Z1813" s="13"/>
      <c r="AC1813" s="24"/>
      <c r="AD1813" s="23"/>
    </row>
    <row r="1814" spans="4:30" x14ac:dyDescent="0.25">
      <c r="D1814" s="3"/>
      <c r="E1814" s="15"/>
      <c r="F1814" s="15"/>
      <c r="G1814" s="15"/>
      <c r="H1814" s="15"/>
      <c r="I1814" s="15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17"/>
      <c r="Y1814" s="13"/>
      <c r="Z1814" s="13"/>
      <c r="AC1814" s="24"/>
      <c r="AD1814" s="23"/>
    </row>
    <row r="1815" spans="4:30" x14ac:dyDescent="0.25">
      <c r="D1815" s="3"/>
      <c r="E1815" s="15"/>
      <c r="F1815" s="15"/>
      <c r="G1815" s="15"/>
      <c r="H1815" s="15"/>
      <c r="I1815" s="15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17"/>
      <c r="Y1815" s="13"/>
      <c r="Z1815" s="13"/>
      <c r="AC1815" s="24"/>
      <c r="AD1815" s="23"/>
    </row>
    <row r="1816" spans="4:30" x14ac:dyDescent="0.25">
      <c r="D1816" s="3"/>
      <c r="E1816" s="15"/>
      <c r="F1816" s="15"/>
      <c r="G1816" s="15"/>
      <c r="H1816" s="15"/>
      <c r="I1816" s="15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17"/>
      <c r="Y1816" s="13"/>
      <c r="Z1816" s="13"/>
      <c r="AC1816" s="24"/>
      <c r="AD1816" s="23"/>
    </row>
    <row r="1817" spans="4:30" x14ac:dyDescent="0.25">
      <c r="D1817" s="3"/>
      <c r="E1817" s="15"/>
      <c r="F1817" s="15"/>
      <c r="G1817" s="15"/>
      <c r="H1817" s="15"/>
      <c r="I1817" s="15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17"/>
      <c r="Y1817" s="13"/>
      <c r="Z1817" s="13"/>
      <c r="AC1817" s="24"/>
      <c r="AD1817" s="23"/>
    </row>
    <row r="1818" spans="4:30" x14ac:dyDescent="0.25">
      <c r="D1818" s="3"/>
      <c r="E1818" s="15"/>
      <c r="F1818" s="15"/>
      <c r="G1818" s="15"/>
      <c r="H1818" s="15"/>
      <c r="I1818" s="15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17"/>
      <c r="Y1818" s="13"/>
      <c r="Z1818" s="13"/>
      <c r="AC1818" s="24"/>
      <c r="AD1818" s="23"/>
    </row>
    <row r="1819" spans="4:30" x14ac:dyDescent="0.25">
      <c r="D1819" s="3"/>
      <c r="E1819" s="15"/>
      <c r="F1819" s="15"/>
      <c r="G1819" s="15"/>
      <c r="H1819" s="15"/>
      <c r="I1819" s="15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17"/>
      <c r="Y1819" s="13"/>
      <c r="Z1819" s="13"/>
      <c r="AC1819" s="24"/>
      <c r="AD1819" s="23"/>
    </row>
    <row r="1820" spans="4:30" x14ac:dyDescent="0.25">
      <c r="D1820" s="3"/>
      <c r="E1820" s="15"/>
      <c r="F1820" s="15"/>
      <c r="G1820" s="15"/>
      <c r="H1820" s="15"/>
      <c r="I1820" s="15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17"/>
      <c r="Y1820" s="13"/>
      <c r="Z1820" s="13"/>
      <c r="AC1820" s="24"/>
      <c r="AD1820" s="23"/>
    </row>
    <row r="1821" spans="4:30" x14ac:dyDescent="0.25">
      <c r="D1821" s="3"/>
      <c r="E1821" s="15"/>
      <c r="F1821" s="15"/>
      <c r="G1821" s="15"/>
      <c r="H1821" s="15"/>
      <c r="I1821" s="15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17"/>
      <c r="Y1821" s="13"/>
      <c r="Z1821" s="13"/>
      <c r="AC1821" s="24"/>
      <c r="AD1821" s="23"/>
    </row>
    <row r="1822" spans="4:30" x14ac:dyDescent="0.25">
      <c r="D1822" s="3"/>
      <c r="E1822" s="15"/>
      <c r="F1822" s="15"/>
      <c r="G1822" s="15"/>
      <c r="H1822" s="15"/>
      <c r="I1822" s="15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17"/>
      <c r="Y1822" s="13"/>
      <c r="Z1822" s="13"/>
      <c r="AC1822" s="24"/>
      <c r="AD1822" s="23"/>
    </row>
    <row r="1823" spans="4:30" x14ac:dyDescent="0.25">
      <c r="D1823" s="3"/>
      <c r="E1823" s="15"/>
      <c r="F1823" s="15"/>
      <c r="G1823" s="15"/>
      <c r="H1823" s="15"/>
      <c r="I1823" s="15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17"/>
      <c r="Y1823" s="13"/>
      <c r="Z1823" s="13"/>
      <c r="AC1823" s="24"/>
      <c r="AD1823" s="23"/>
    </row>
    <row r="1824" spans="4:30" x14ac:dyDescent="0.25">
      <c r="D1824" s="3"/>
      <c r="E1824" s="15"/>
      <c r="F1824" s="15"/>
      <c r="G1824" s="15"/>
      <c r="H1824" s="15"/>
      <c r="I1824" s="15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17"/>
      <c r="Y1824" s="13"/>
      <c r="Z1824" s="13"/>
      <c r="AC1824" s="24"/>
      <c r="AD1824" s="23"/>
    </row>
    <row r="1825" spans="4:30" x14ac:dyDescent="0.25">
      <c r="D1825" s="3"/>
      <c r="E1825" s="15"/>
      <c r="F1825" s="15"/>
      <c r="G1825" s="15"/>
      <c r="H1825" s="15"/>
      <c r="I1825" s="15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17"/>
      <c r="Y1825" s="13"/>
      <c r="Z1825" s="13"/>
      <c r="AC1825" s="24"/>
      <c r="AD1825" s="23"/>
    </row>
    <row r="1826" spans="4:30" x14ac:dyDescent="0.25">
      <c r="D1826" s="3"/>
      <c r="E1826" s="15"/>
      <c r="F1826" s="15"/>
      <c r="G1826" s="15"/>
      <c r="H1826" s="15"/>
      <c r="I1826" s="15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17"/>
      <c r="Y1826" s="13"/>
      <c r="Z1826" s="13"/>
      <c r="AC1826" s="24"/>
      <c r="AD1826" s="23"/>
    </row>
    <row r="1827" spans="4:30" x14ac:dyDescent="0.25">
      <c r="D1827" s="3"/>
      <c r="E1827" s="15"/>
      <c r="F1827" s="15"/>
      <c r="G1827" s="15"/>
      <c r="H1827" s="15"/>
      <c r="I1827" s="15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17"/>
      <c r="Y1827" s="13"/>
      <c r="Z1827" s="13"/>
      <c r="AC1827" s="24"/>
      <c r="AD1827" s="23"/>
    </row>
    <row r="1828" spans="4:30" x14ac:dyDescent="0.25">
      <c r="D1828" s="3"/>
      <c r="E1828" s="15"/>
      <c r="F1828" s="15"/>
      <c r="G1828" s="15"/>
      <c r="H1828" s="15"/>
      <c r="I1828" s="15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17"/>
      <c r="Y1828" s="13"/>
      <c r="Z1828" s="13"/>
      <c r="AC1828" s="24"/>
      <c r="AD1828" s="23"/>
    </row>
    <row r="1829" spans="4:30" x14ac:dyDescent="0.25">
      <c r="D1829" s="3"/>
      <c r="E1829" s="15"/>
      <c r="F1829" s="15"/>
      <c r="G1829" s="15"/>
      <c r="H1829" s="15"/>
      <c r="I1829" s="15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17"/>
      <c r="Y1829" s="13"/>
      <c r="Z1829" s="13"/>
      <c r="AC1829" s="24"/>
      <c r="AD1829" s="23"/>
    </row>
    <row r="1830" spans="4:30" x14ac:dyDescent="0.25">
      <c r="D1830" s="3"/>
      <c r="E1830" s="15"/>
      <c r="F1830" s="15"/>
      <c r="G1830" s="15"/>
      <c r="H1830" s="15"/>
      <c r="I1830" s="15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17"/>
      <c r="Y1830" s="13"/>
      <c r="Z1830" s="13"/>
      <c r="AC1830" s="24"/>
      <c r="AD1830" s="23"/>
    </row>
    <row r="1831" spans="4:30" x14ac:dyDescent="0.25">
      <c r="D1831" s="3"/>
      <c r="E1831" s="15"/>
      <c r="F1831" s="15"/>
      <c r="G1831" s="15"/>
      <c r="H1831" s="15"/>
      <c r="I1831" s="15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17"/>
      <c r="Y1831" s="13"/>
      <c r="Z1831" s="13"/>
      <c r="AC1831" s="24"/>
      <c r="AD1831" s="23"/>
    </row>
    <row r="1832" spans="4:30" x14ac:dyDescent="0.25">
      <c r="D1832" s="3"/>
      <c r="E1832" s="15"/>
      <c r="F1832" s="15"/>
      <c r="G1832" s="15"/>
      <c r="H1832" s="15"/>
      <c r="I1832" s="15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17"/>
      <c r="Y1832" s="13"/>
      <c r="Z1832" s="13"/>
      <c r="AC1832" s="24"/>
      <c r="AD1832" s="23"/>
    </row>
    <row r="1833" spans="4:30" x14ac:dyDescent="0.25">
      <c r="D1833" s="3"/>
      <c r="E1833" s="15"/>
      <c r="F1833" s="15"/>
      <c r="G1833" s="15"/>
      <c r="H1833" s="15"/>
      <c r="I1833" s="15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17"/>
      <c r="Y1833" s="13"/>
      <c r="Z1833" s="13"/>
      <c r="AC1833" s="24"/>
      <c r="AD1833" s="23"/>
    </row>
    <row r="1834" spans="4:30" x14ac:dyDescent="0.25">
      <c r="D1834" s="3"/>
      <c r="E1834" s="15"/>
      <c r="F1834" s="15"/>
      <c r="G1834" s="15"/>
      <c r="H1834" s="15"/>
      <c r="I1834" s="15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17"/>
      <c r="Y1834" s="13"/>
      <c r="Z1834" s="13"/>
      <c r="AC1834" s="24"/>
      <c r="AD1834" s="23"/>
    </row>
    <row r="1835" spans="4:30" x14ac:dyDescent="0.25">
      <c r="D1835" s="3"/>
      <c r="E1835" s="15"/>
      <c r="F1835" s="15"/>
      <c r="G1835" s="15"/>
      <c r="H1835" s="15"/>
      <c r="I1835" s="15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17"/>
      <c r="Y1835" s="13"/>
      <c r="Z1835" s="13"/>
      <c r="AC1835" s="24"/>
      <c r="AD1835" s="23"/>
    </row>
    <row r="1836" spans="4:30" x14ac:dyDescent="0.25">
      <c r="D1836" s="3"/>
      <c r="E1836" s="15"/>
      <c r="F1836" s="15"/>
      <c r="G1836" s="15"/>
      <c r="H1836" s="15"/>
      <c r="I1836" s="15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17"/>
      <c r="Y1836" s="13"/>
      <c r="Z1836" s="13"/>
      <c r="AC1836" s="24"/>
      <c r="AD1836" s="23"/>
    </row>
    <row r="1837" spans="4:30" x14ac:dyDescent="0.25">
      <c r="D1837" s="3"/>
      <c r="E1837" s="15"/>
      <c r="F1837" s="15"/>
      <c r="G1837" s="15"/>
      <c r="H1837" s="15"/>
      <c r="I1837" s="15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17"/>
      <c r="Y1837" s="13"/>
      <c r="Z1837" s="13"/>
      <c r="AC1837" s="24"/>
      <c r="AD1837" s="23"/>
    </row>
    <row r="1838" spans="4:30" x14ac:dyDescent="0.25">
      <c r="D1838" s="3"/>
      <c r="E1838" s="15"/>
      <c r="F1838" s="15"/>
      <c r="G1838" s="15"/>
      <c r="H1838" s="15"/>
      <c r="I1838" s="15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17"/>
      <c r="Y1838" s="13"/>
      <c r="Z1838" s="13"/>
      <c r="AC1838" s="24"/>
      <c r="AD1838" s="23"/>
    </row>
    <row r="1839" spans="4:30" x14ac:dyDescent="0.25">
      <c r="D1839" s="3"/>
      <c r="E1839" s="15"/>
      <c r="F1839" s="15"/>
      <c r="G1839" s="15"/>
      <c r="H1839" s="15"/>
      <c r="I1839" s="15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17"/>
      <c r="Y1839" s="13"/>
      <c r="Z1839" s="13"/>
      <c r="AC1839" s="24"/>
      <c r="AD1839" s="23"/>
    </row>
    <row r="1840" spans="4:30" x14ac:dyDescent="0.25">
      <c r="D1840" s="3"/>
      <c r="E1840" s="15"/>
      <c r="F1840" s="15"/>
      <c r="G1840" s="15"/>
      <c r="H1840" s="15"/>
      <c r="I1840" s="15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17"/>
      <c r="Y1840" s="13"/>
      <c r="Z1840" s="13"/>
      <c r="AC1840" s="24"/>
      <c r="AD1840" s="23"/>
    </row>
    <row r="1841" spans="4:30" x14ac:dyDescent="0.25">
      <c r="D1841" s="3"/>
      <c r="E1841" s="15"/>
      <c r="F1841" s="15"/>
      <c r="G1841" s="15"/>
      <c r="H1841" s="15"/>
      <c r="I1841" s="15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17"/>
      <c r="Y1841" s="13"/>
      <c r="Z1841" s="13"/>
      <c r="AC1841" s="24"/>
      <c r="AD1841" s="23"/>
    </row>
    <row r="1842" spans="4:30" x14ac:dyDescent="0.25">
      <c r="D1842" s="3"/>
      <c r="E1842" s="15"/>
      <c r="F1842" s="15"/>
      <c r="G1842" s="15"/>
      <c r="H1842" s="15"/>
      <c r="I1842" s="15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17"/>
      <c r="Y1842" s="13"/>
      <c r="Z1842" s="13"/>
      <c r="AC1842" s="24"/>
      <c r="AD1842" s="23"/>
    </row>
    <row r="1843" spans="4:30" x14ac:dyDescent="0.25">
      <c r="D1843" s="3"/>
      <c r="E1843" s="15"/>
      <c r="F1843" s="15"/>
      <c r="G1843" s="15"/>
      <c r="H1843" s="15"/>
      <c r="I1843" s="15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17"/>
      <c r="Y1843" s="13"/>
      <c r="Z1843" s="13"/>
      <c r="AC1843" s="24"/>
      <c r="AD1843" s="23"/>
    </row>
    <row r="1844" spans="4:30" x14ac:dyDescent="0.25">
      <c r="D1844" s="3"/>
      <c r="E1844" s="15"/>
      <c r="F1844" s="15"/>
      <c r="G1844" s="15"/>
      <c r="H1844" s="15"/>
      <c r="I1844" s="15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17"/>
      <c r="Y1844" s="13"/>
      <c r="Z1844" s="13"/>
      <c r="AC1844" s="24"/>
      <c r="AD1844" s="23"/>
    </row>
    <row r="1845" spans="4:30" x14ac:dyDescent="0.25">
      <c r="D1845" s="3"/>
      <c r="E1845" s="15"/>
      <c r="F1845" s="15"/>
      <c r="G1845" s="15"/>
      <c r="H1845" s="15"/>
      <c r="I1845" s="15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17"/>
      <c r="Y1845" s="13"/>
      <c r="Z1845" s="13"/>
      <c r="AC1845" s="24"/>
      <c r="AD1845" s="23"/>
    </row>
    <row r="1846" spans="4:30" x14ac:dyDescent="0.25">
      <c r="D1846" s="3"/>
      <c r="E1846" s="15"/>
      <c r="F1846" s="15"/>
      <c r="G1846" s="15"/>
      <c r="H1846" s="15"/>
      <c r="I1846" s="15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17"/>
      <c r="Y1846" s="13"/>
      <c r="Z1846" s="13"/>
      <c r="AC1846" s="24"/>
      <c r="AD1846" s="23"/>
    </row>
    <row r="1847" spans="4:30" x14ac:dyDescent="0.25">
      <c r="D1847" s="3"/>
      <c r="E1847" s="15"/>
      <c r="F1847" s="15"/>
      <c r="G1847" s="15"/>
      <c r="H1847" s="15"/>
      <c r="I1847" s="15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17"/>
      <c r="Y1847" s="13"/>
      <c r="Z1847" s="13"/>
      <c r="AC1847" s="24"/>
      <c r="AD1847" s="23"/>
    </row>
    <row r="1848" spans="4:30" x14ac:dyDescent="0.25">
      <c r="D1848" s="3"/>
      <c r="E1848" s="15"/>
      <c r="F1848" s="15"/>
      <c r="G1848" s="15"/>
      <c r="H1848" s="15"/>
      <c r="I1848" s="15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17"/>
      <c r="Y1848" s="13"/>
      <c r="Z1848" s="13"/>
      <c r="AC1848" s="24"/>
      <c r="AD1848" s="23"/>
    </row>
    <row r="1849" spans="4:30" x14ac:dyDescent="0.25">
      <c r="D1849" s="3"/>
      <c r="E1849" s="15"/>
      <c r="F1849" s="15"/>
      <c r="G1849" s="15"/>
      <c r="H1849" s="15"/>
      <c r="I1849" s="15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17"/>
      <c r="Y1849" s="13"/>
      <c r="Z1849" s="13"/>
      <c r="AC1849" s="24"/>
      <c r="AD1849" s="23"/>
    </row>
    <row r="1850" spans="4:30" x14ac:dyDescent="0.25">
      <c r="D1850" s="3"/>
      <c r="E1850" s="15"/>
      <c r="F1850" s="15"/>
      <c r="G1850" s="15"/>
      <c r="H1850" s="15"/>
      <c r="I1850" s="15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17"/>
      <c r="Y1850" s="13"/>
      <c r="Z1850" s="13"/>
      <c r="AC1850" s="24"/>
      <c r="AD1850" s="23"/>
    </row>
    <row r="1851" spans="4:30" x14ac:dyDescent="0.25">
      <c r="D1851" s="3"/>
      <c r="E1851" s="15"/>
      <c r="F1851" s="15"/>
      <c r="G1851" s="15"/>
      <c r="H1851" s="15"/>
      <c r="I1851" s="15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17"/>
      <c r="Y1851" s="13"/>
      <c r="Z1851" s="13"/>
      <c r="AC1851" s="24"/>
      <c r="AD1851" s="23"/>
    </row>
    <row r="1852" spans="4:30" x14ac:dyDescent="0.25">
      <c r="D1852" s="3"/>
      <c r="E1852" s="15"/>
      <c r="F1852" s="15"/>
      <c r="G1852" s="15"/>
      <c r="H1852" s="15"/>
      <c r="I1852" s="15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17"/>
      <c r="Y1852" s="13"/>
      <c r="Z1852" s="13"/>
      <c r="AC1852" s="24"/>
      <c r="AD1852" s="23"/>
    </row>
    <row r="1853" spans="4:30" x14ac:dyDescent="0.25">
      <c r="D1853" s="3"/>
      <c r="E1853" s="15"/>
      <c r="F1853" s="15"/>
      <c r="G1853" s="15"/>
      <c r="H1853" s="15"/>
      <c r="I1853" s="15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17"/>
      <c r="Y1853" s="13"/>
      <c r="Z1853" s="13"/>
      <c r="AC1853" s="24"/>
      <c r="AD1853" s="23"/>
    </row>
    <row r="1854" spans="4:30" x14ac:dyDescent="0.25">
      <c r="D1854" s="3"/>
      <c r="E1854" s="15"/>
      <c r="F1854" s="15"/>
      <c r="G1854" s="15"/>
      <c r="H1854" s="15"/>
      <c r="I1854" s="15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17"/>
      <c r="Y1854" s="13"/>
      <c r="Z1854" s="13"/>
      <c r="AC1854" s="24"/>
      <c r="AD1854" s="23"/>
    </row>
    <row r="1855" spans="4:30" x14ac:dyDescent="0.25">
      <c r="D1855" s="3"/>
      <c r="E1855" s="15"/>
      <c r="F1855" s="15"/>
      <c r="G1855" s="15"/>
      <c r="H1855" s="15"/>
      <c r="I1855" s="15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17"/>
      <c r="Y1855" s="13"/>
      <c r="Z1855" s="13"/>
      <c r="AC1855" s="24"/>
      <c r="AD1855" s="23"/>
    </row>
    <row r="1856" spans="4:30" x14ac:dyDescent="0.25">
      <c r="D1856" s="3"/>
      <c r="E1856" s="15"/>
      <c r="F1856" s="15"/>
      <c r="G1856" s="15"/>
      <c r="H1856" s="15"/>
      <c r="I1856" s="15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17"/>
      <c r="Y1856" s="13"/>
      <c r="Z1856" s="13"/>
      <c r="AC1856" s="24"/>
      <c r="AD1856" s="23"/>
    </row>
    <row r="1857" spans="4:30" x14ac:dyDescent="0.25">
      <c r="D1857" s="3"/>
      <c r="E1857" s="15"/>
      <c r="F1857" s="15"/>
      <c r="G1857" s="15"/>
      <c r="H1857" s="15"/>
      <c r="I1857" s="15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17"/>
      <c r="Y1857" s="13"/>
      <c r="Z1857" s="13"/>
      <c r="AC1857" s="24"/>
      <c r="AD1857" s="23"/>
    </row>
    <row r="1858" spans="4:30" x14ac:dyDescent="0.25">
      <c r="D1858" s="3"/>
      <c r="E1858" s="15"/>
      <c r="F1858" s="15"/>
      <c r="G1858" s="15"/>
      <c r="H1858" s="15"/>
      <c r="I1858" s="15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17"/>
      <c r="Y1858" s="13"/>
      <c r="Z1858" s="13"/>
      <c r="AC1858" s="24"/>
      <c r="AD1858" s="23"/>
    </row>
    <row r="1859" spans="4:30" x14ac:dyDescent="0.25">
      <c r="D1859" s="3"/>
      <c r="E1859" s="15"/>
      <c r="F1859" s="15"/>
      <c r="G1859" s="15"/>
      <c r="H1859" s="15"/>
      <c r="I1859" s="15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17"/>
      <c r="Y1859" s="13"/>
      <c r="Z1859" s="13"/>
      <c r="AC1859" s="24"/>
      <c r="AD1859" s="23"/>
    </row>
    <row r="1860" spans="4:30" x14ac:dyDescent="0.25">
      <c r="D1860" s="3"/>
      <c r="E1860" s="15"/>
      <c r="F1860" s="15"/>
      <c r="G1860" s="15"/>
      <c r="H1860" s="15"/>
      <c r="I1860" s="15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17"/>
      <c r="Y1860" s="13"/>
      <c r="Z1860" s="13"/>
      <c r="AC1860" s="24"/>
      <c r="AD1860" s="23"/>
    </row>
    <row r="1861" spans="4:30" x14ac:dyDescent="0.25">
      <c r="D1861" s="3"/>
      <c r="E1861" s="15"/>
      <c r="F1861" s="15"/>
      <c r="G1861" s="15"/>
      <c r="H1861" s="15"/>
      <c r="I1861" s="15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17"/>
      <c r="Y1861" s="13"/>
      <c r="Z1861" s="13"/>
      <c r="AC1861" s="24"/>
      <c r="AD1861" s="23"/>
    </row>
    <row r="1862" spans="4:30" x14ac:dyDescent="0.25">
      <c r="D1862" s="3"/>
      <c r="E1862" s="15"/>
      <c r="F1862" s="15"/>
      <c r="G1862" s="15"/>
      <c r="H1862" s="15"/>
      <c r="I1862" s="15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17"/>
      <c r="Y1862" s="13"/>
      <c r="Z1862" s="13"/>
      <c r="AC1862" s="24"/>
      <c r="AD1862" s="23"/>
    </row>
    <row r="1863" spans="4:30" x14ac:dyDescent="0.25">
      <c r="D1863" s="3"/>
      <c r="E1863" s="15"/>
      <c r="F1863" s="15"/>
      <c r="G1863" s="15"/>
      <c r="H1863" s="15"/>
      <c r="I1863" s="15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17"/>
      <c r="Y1863" s="13"/>
      <c r="Z1863" s="13"/>
      <c r="AC1863" s="24"/>
      <c r="AD1863" s="23"/>
    </row>
    <row r="1864" spans="4:30" x14ac:dyDescent="0.25">
      <c r="D1864" s="3"/>
      <c r="E1864" s="15"/>
      <c r="F1864" s="15"/>
      <c r="G1864" s="15"/>
      <c r="H1864" s="15"/>
      <c r="I1864" s="15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17"/>
      <c r="Y1864" s="13"/>
      <c r="Z1864" s="13"/>
      <c r="AC1864" s="24"/>
      <c r="AD1864" s="23"/>
    </row>
    <row r="1865" spans="4:30" x14ac:dyDescent="0.25">
      <c r="D1865" s="3"/>
      <c r="E1865" s="15"/>
      <c r="F1865" s="15"/>
      <c r="G1865" s="15"/>
      <c r="H1865" s="15"/>
      <c r="I1865" s="15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17"/>
      <c r="Y1865" s="13"/>
      <c r="Z1865" s="13"/>
      <c r="AC1865" s="24"/>
      <c r="AD1865" s="23"/>
    </row>
    <row r="1866" spans="4:30" x14ac:dyDescent="0.25">
      <c r="D1866" s="3"/>
      <c r="E1866" s="15"/>
      <c r="F1866" s="15"/>
      <c r="G1866" s="15"/>
      <c r="H1866" s="15"/>
      <c r="I1866" s="15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17"/>
      <c r="Y1866" s="13"/>
      <c r="Z1866" s="13"/>
      <c r="AC1866" s="24"/>
      <c r="AD1866" s="23"/>
    </row>
    <row r="1867" spans="4:30" x14ac:dyDescent="0.25">
      <c r="D1867" s="3"/>
      <c r="E1867" s="15"/>
      <c r="F1867" s="15"/>
      <c r="G1867" s="15"/>
      <c r="H1867" s="15"/>
      <c r="I1867" s="15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17"/>
      <c r="Y1867" s="13"/>
      <c r="Z1867" s="13"/>
      <c r="AC1867" s="24"/>
      <c r="AD1867" s="23"/>
    </row>
    <row r="1868" spans="4:30" x14ac:dyDescent="0.25">
      <c r="D1868" s="3"/>
      <c r="E1868" s="15"/>
      <c r="F1868" s="15"/>
      <c r="G1868" s="15"/>
      <c r="H1868" s="15"/>
      <c r="I1868" s="15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17"/>
      <c r="Y1868" s="13"/>
      <c r="Z1868" s="13"/>
      <c r="AC1868" s="24"/>
      <c r="AD1868" s="23"/>
    </row>
    <row r="1869" spans="4:30" x14ac:dyDescent="0.25">
      <c r="D1869" s="3"/>
      <c r="E1869" s="15"/>
      <c r="F1869" s="15"/>
      <c r="G1869" s="15"/>
      <c r="H1869" s="15"/>
      <c r="I1869" s="15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17"/>
      <c r="Y1869" s="13"/>
      <c r="Z1869" s="13"/>
      <c r="AC1869" s="24"/>
      <c r="AD1869" s="23"/>
    </row>
    <row r="1870" spans="4:30" x14ac:dyDescent="0.25">
      <c r="D1870" s="3"/>
      <c r="E1870" s="15"/>
      <c r="F1870" s="15"/>
      <c r="G1870" s="15"/>
      <c r="H1870" s="15"/>
      <c r="I1870" s="15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17"/>
      <c r="Y1870" s="13"/>
      <c r="Z1870" s="13"/>
      <c r="AC1870" s="24"/>
      <c r="AD1870" s="23"/>
    </row>
    <row r="1871" spans="4:30" x14ac:dyDescent="0.25">
      <c r="D1871" s="3"/>
      <c r="E1871" s="15"/>
      <c r="F1871" s="15"/>
      <c r="G1871" s="15"/>
      <c r="H1871" s="15"/>
      <c r="I1871" s="15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17"/>
      <c r="Y1871" s="13"/>
      <c r="Z1871" s="13"/>
      <c r="AC1871" s="24"/>
      <c r="AD1871" s="23"/>
    </row>
    <row r="1872" spans="4:30" x14ac:dyDescent="0.25">
      <c r="D1872" s="3"/>
      <c r="E1872" s="15"/>
      <c r="F1872" s="15"/>
      <c r="G1872" s="15"/>
      <c r="H1872" s="15"/>
      <c r="I1872" s="15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17"/>
      <c r="Y1872" s="13"/>
      <c r="Z1872" s="13"/>
      <c r="AC1872" s="24"/>
      <c r="AD1872" s="23"/>
    </row>
    <row r="1873" spans="4:30" x14ac:dyDescent="0.25">
      <c r="D1873" s="3"/>
      <c r="E1873" s="15"/>
      <c r="F1873" s="15"/>
      <c r="G1873" s="15"/>
      <c r="H1873" s="15"/>
      <c r="I1873" s="15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17"/>
      <c r="Y1873" s="13"/>
      <c r="Z1873" s="13"/>
      <c r="AC1873" s="24"/>
      <c r="AD1873" s="23"/>
    </row>
    <row r="1874" spans="4:30" x14ac:dyDescent="0.25">
      <c r="D1874" s="3"/>
      <c r="E1874" s="15"/>
      <c r="F1874" s="15"/>
      <c r="G1874" s="15"/>
      <c r="H1874" s="15"/>
      <c r="I1874" s="15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17"/>
      <c r="Y1874" s="13"/>
      <c r="Z1874" s="13"/>
      <c r="AC1874" s="24"/>
      <c r="AD1874" s="23"/>
    </row>
    <row r="1875" spans="4:30" x14ac:dyDescent="0.25">
      <c r="D1875" s="3"/>
      <c r="E1875" s="15"/>
      <c r="F1875" s="15"/>
      <c r="G1875" s="15"/>
      <c r="H1875" s="15"/>
      <c r="I1875" s="15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17"/>
      <c r="Y1875" s="13"/>
      <c r="Z1875" s="13"/>
      <c r="AC1875" s="24"/>
      <c r="AD1875" s="23"/>
    </row>
    <row r="1876" spans="4:30" x14ac:dyDescent="0.25">
      <c r="D1876" s="3"/>
      <c r="E1876" s="15"/>
      <c r="F1876" s="15"/>
      <c r="G1876" s="15"/>
      <c r="H1876" s="15"/>
      <c r="I1876" s="15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17"/>
      <c r="Y1876" s="13"/>
      <c r="Z1876" s="13"/>
      <c r="AC1876" s="24"/>
      <c r="AD1876" s="23"/>
    </row>
    <row r="1877" spans="4:30" x14ac:dyDescent="0.25">
      <c r="D1877" s="3"/>
      <c r="E1877" s="15"/>
      <c r="F1877" s="15"/>
      <c r="G1877" s="15"/>
      <c r="H1877" s="15"/>
      <c r="I1877" s="15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17"/>
      <c r="Y1877" s="13"/>
      <c r="Z1877" s="13"/>
      <c r="AC1877" s="24"/>
      <c r="AD1877" s="23"/>
    </row>
    <row r="1878" spans="4:30" x14ac:dyDescent="0.25">
      <c r="D1878" s="3"/>
      <c r="E1878" s="15"/>
      <c r="F1878" s="15"/>
      <c r="G1878" s="15"/>
      <c r="H1878" s="15"/>
      <c r="I1878" s="15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17"/>
      <c r="Y1878" s="13"/>
      <c r="Z1878" s="13"/>
      <c r="AC1878" s="24"/>
      <c r="AD1878" s="23"/>
    </row>
    <row r="1879" spans="4:30" x14ac:dyDescent="0.25">
      <c r="D1879" s="3"/>
      <c r="E1879" s="15"/>
      <c r="F1879" s="15"/>
      <c r="G1879" s="15"/>
      <c r="H1879" s="15"/>
      <c r="I1879" s="15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17"/>
      <c r="Y1879" s="13"/>
      <c r="Z1879" s="13"/>
      <c r="AC1879" s="24"/>
      <c r="AD1879" s="23"/>
    </row>
    <row r="1880" spans="4:30" x14ac:dyDescent="0.25">
      <c r="D1880" s="3"/>
      <c r="E1880" s="15"/>
      <c r="F1880" s="15"/>
      <c r="G1880" s="15"/>
      <c r="H1880" s="15"/>
      <c r="I1880" s="15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17"/>
      <c r="Y1880" s="13"/>
      <c r="Z1880" s="13"/>
      <c r="AC1880" s="24"/>
      <c r="AD1880" s="23"/>
    </row>
    <row r="1881" spans="4:30" x14ac:dyDescent="0.25">
      <c r="D1881" s="3"/>
      <c r="E1881" s="15"/>
      <c r="F1881" s="15"/>
      <c r="G1881" s="15"/>
      <c r="H1881" s="15"/>
      <c r="I1881" s="15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17"/>
      <c r="Y1881" s="13"/>
      <c r="Z1881" s="13"/>
      <c r="AC1881" s="24"/>
      <c r="AD1881" s="23"/>
    </row>
    <row r="1882" spans="4:30" x14ac:dyDescent="0.25">
      <c r="D1882" s="3"/>
      <c r="E1882" s="15"/>
      <c r="F1882" s="15"/>
      <c r="G1882" s="15"/>
      <c r="H1882" s="15"/>
      <c r="I1882" s="15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17"/>
      <c r="Y1882" s="13"/>
      <c r="Z1882" s="13"/>
      <c r="AC1882" s="24"/>
      <c r="AD1882" s="23"/>
    </row>
    <row r="1883" spans="4:30" x14ac:dyDescent="0.25">
      <c r="D1883" s="3"/>
      <c r="E1883" s="15"/>
      <c r="F1883" s="15"/>
      <c r="G1883" s="15"/>
      <c r="H1883" s="15"/>
      <c r="I1883" s="15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17"/>
      <c r="Y1883" s="13"/>
      <c r="Z1883" s="13"/>
      <c r="AC1883" s="24"/>
      <c r="AD1883" s="23"/>
    </row>
    <row r="1884" spans="4:30" x14ac:dyDescent="0.25">
      <c r="D1884" s="3"/>
      <c r="E1884" s="15"/>
      <c r="F1884" s="15"/>
      <c r="G1884" s="15"/>
      <c r="H1884" s="15"/>
      <c r="I1884" s="15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17"/>
      <c r="Y1884" s="13"/>
      <c r="Z1884" s="13"/>
      <c r="AC1884" s="24"/>
      <c r="AD1884" s="23"/>
    </row>
    <row r="1885" spans="4:30" x14ac:dyDescent="0.25">
      <c r="D1885" s="3"/>
      <c r="E1885" s="15"/>
      <c r="F1885" s="15"/>
      <c r="G1885" s="15"/>
      <c r="H1885" s="15"/>
      <c r="I1885" s="15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17"/>
      <c r="Y1885" s="13"/>
      <c r="Z1885" s="13"/>
      <c r="AC1885" s="24"/>
      <c r="AD1885" s="23"/>
    </row>
    <row r="1886" spans="4:30" x14ac:dyDescent="0.25">
      <c r="D1886" s="3"/>
      <c r="E1886" s="15"/>
      <c r="F1886" s="15"/>
      <c r="G1886" s="15"/>
      <c r="H1886" s="15"/>
      <c r="I1886" s="15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17"/>
      <c r="Y1886" s="13"/>
      <c r="Z1886" s="13"/>
      <c r="AC1886" s="24"/>
      <c r="AD1886" s="23"/>
    </row>
    <row r="1887" spans="4:30" x14ac:dyDescent="0.25">
      <c r="D1887" s="3"/>
      <c r="E1887" s="15"/>
      <c r="F1887" s="15"/>
      <c r="G1887" s="15"/>
      <c r="H1887" s="15"/>
      <c r="I1887" s="15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17"/>
      <c r="Y1887" s="13"/>
      <c r="Z1887" s="13"/>
      <c r="AC1887" s="24"/>
      <c r="AD1887" s="23"/>
    </row>
    <row r="1888" spans="4:30" x14ac:dyDescent="0.25">
      <c r="D1888" s="3"/>
      <c r="E1888" s="15"/>
      <c r="F1888" s="15"/>
      <c r="G1888" s="15"/>
      <c r="H1888" s="15"/>
      <c r="I1888" s="15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17"/>
      <c r="Y1888" s="13"/>
      <c r="Z1888" s="13"/>
      <c r="AC1888" s="24"/>
      <c r="AD1888" s="23"/>
    </row>
    <row r="1889" spans="4:30" x14ac:dyDescent="0.25">
      <c r="D1889" s="3"/>
      <c r="E1889" s="15"/>
      <c r="F1889" s="15"/>
      <c r="G1889" s="15"/>
      <c r="H1889" s="15"/>
      <c r="I1889" s="15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17"/>
      <c r="Y1889" s="13"/>
      <c r="Z1889" s="13"/>
      <c r="AC1889" s="24"/>
      <c r="AD1889" s="23"/>
    </row>
    <row r="1890" spans="4:30" x14ac:dyDescent="0.25">
      <c r="D1890" s="3"/>
      <c r="E1890" s="15"/>
      <c r="F1890" s="15"/>
      <c r="G1890" s="15"/>
      <c r="H1890" s="15"/>
      <c r="I1890" s="15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17"/>
      <c r="Y1890" s="13"/>
      <c r="Z1890" s="13"/>
      <c r="AC1890" s="24"/>
      <c r="AD1890" s="23"/>
    </row>
    <row r="1891" spans="4:30" x14ac:dyDescent="0.25">
      <c r="D1891" s="3"/>
      <c r="E1891" s="15"/>
      <c r="F1891" s="15"/>
      <c r="G1891" s="15"/>
      <c r="H1891" s="15"/>
      <c r="I1891" s="15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17"/>
      <c r="Y1891" s="13"/>
      <c r="Z1891" s="13"/>
      <c r="AC1891" s="24"/>
      <c r="AD1891" s="23"/>
    </row>
    <row r="1892" spans="4:30" x14ac:dyDescent="0.25">
      <c r="D1892" s="3"/>
      <c r="E1892" s="15"/>
      <c r="F1892" s="15"/>
      <c r="G1892" s="15"/>
      <c r="H1892" s="15"/>
      <c r="I1892" s="15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17"/>
      <c r="Y1892" s="13"/>
      <c r="Z1892" s="13"/>
      <c r="AC1892" s="24"/>
      <c r="AD1892" s="23"/>
    </row>
    <row r="1893" spans="4:30" x14ac:dyDescent="0.25">
      <c r="D1893" s="3"/>
      <c r="E1893" s="15"/>
      <c r="F1893" s="15"/>
      <c r="G1893" s="15"/>
      <c r="H1893" s="15"/>
      <c r="I1893" s="15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17"/>
      <c r="Y1893" s="13"/>
      <c r="Z1893" s="13"/>
      <c r="AC1893" s="24"/>
      <c r="AD1893" s="23"/>
    </row>
    <row r="1894" spans="4:30" x14ac:dyDescent="0.25">
      <c r="D1894" s="3"/>
      <c r="E1894" s="15"/>
      <c r="F1894" s="15"/>
      <c r="G1894" s="15"/>
      <c r="H1894" s="15"/>
      <c r="I1894" s="15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17"/>
      <c r="Y1894" s="13"/>
      <c r="Z1894" s="13"/>
      <c r="AC1894" s="24"/>
      <c r="AD1894" s="23"/>
    </row>
    <row r="1895" spans="4:30" x14ac:dyDescent="0.25">
      <c r="D1895" s="3"/>
      <c r="E1895" s="15"/>
      <c r="F1895" s="15"/>
      <c r="G1895" s="15"/>
      <c r="H1895" s="15"/>
      <c r="I1895" s="15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17"/>
      <c r="Y1895" s="13"/>
      <c r="Z1895" s="13"/>
      <c r="AC1895" s="24"/>
      <c r="AD1895" s="23"/>
    </row>
    <row r="1896" spans="4:30" x14ac:dyDescent="0.25">
      <c r="D1896" s="3"/>
      <c r="E1896" s="15"/>
      <c r="F1896" s="15"/>
      <c r="G1896" s="15"/>
      <c r="H1896" s="15"/>
      <c r="I1896" s="15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17"/>
      <c r="Y1896" s="13"/>
      <c r="Z1896" s="13"/>
      <c r="AC1896" s="24"/>
      <c r="AD1896" s="23"/>
    </row>
    <row r="1897" spans="4:30" x14ac:dyDescent="0.25">
      <c r="D1897" s="3"/>
      <c r="E1897" s="15"/>
      <c r="F1897" s="15"/>
      <c r="G1897" s="15"/>
      <c r="H1897" s="15"/>
      <c r="I1897" s="15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17"/>
      <c r="Y1897" s="13"/>
      <c r="Z1897" s="13"/>
      <c r="AC1897" s="24"/>
      <c r="AD1897" s="23"/>
    </row>
    <row r="1898" spans="4:30" x14ac:dyDescent="0.25">
      <c r="D1898" s="3"/>
      <c r="E1898" s="15"/>
      <c r="F1898" s="15"/>
      <c r="G1898" s="15"/>
      <c r="H1898" s="15"/>
      <c r="I1898" s="15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17"/>
      <c r="Y1898" s="13"/>
      <c r="Z1898" s="13"/>
      <c r="AC1898" s="24"/>
      <c r="AD1898" s="23"/>
    </row>
    <row r="1899" spans="4:30" x14ac:dyDescent="0.25">
      <c r="D1899" s="3"/>
      <c r="E1899" s="15"/>
      <c r="F1899" s="15"/>
      <c r="G1899" s="15"/>
      <c r="H1899" s="15"/>
      <c r="I1899" s="15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17"/>
      <c r="Y1899" s="13"/>
      <c r="Z1899" s="13"/>
      <c r="AC1899" s="24"/>
      <c r="AD1899" s="23"/>
    </row>
    <row r="1900" spans="4:30" x14ac:dyDescent="0.25">
      <c r="D1900" s="3"/>
      <c r="E1900" s="15"/>
      <c r="F1900" s="15"/>
      <c r="G1900" s="15"/>
      <c r="H1900" s="15"/>
      <c r="I1900" s="15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17"/>
      <c r="Y1900" s="13"/>
      <c r="Z1900" s="13"/>
      <c r="AC1900" s="24"/>
      <c r="AD1900" s="23"/>
    </row>
    <row r="1901" spans="4:30" x14ac:dyDescent="0.25">
      <c r="D1901" s="3"/>
      <c r="E1901" s="15"/>
      <c r="F1901" s="15"/>
      <c r="G1901" s="15"/>
      <c r="H1901" s="15"/>
      <c r="I1901" s="15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17"/>
      <c r="Y1901" s="13"/>
      <c r="Z1901" s="13"/>
      <c r="AC1901" s="24"/>
      <c r="AD1901" s="23"/>
    </row>
    <row r="1902" spans="4:30" x14ac:dyDescent="0.25">
      <c r="D1902" s="3"/>
      <c r="E1902" s="15"/>
      <c r="F1902" s="15"/>
      <c r="G1902" s="15"/>
      <c r="H1902" s="15"/>
      <c r="I1902" s="15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17"/>
      <c r="Y1902" s="13"/>
      <c r="Z1902" s="13"/>
      <c r="AC1902" s="24"/>
      <c r="AD1902" s="23"/>
    </row>
    <row r="1903" spans="4:30" x14ac:dyDescent="0.25">
      <c r="D1903" s="3"/>
      <c r="E1903" s="15"/>
      <c r="F1903" s="15"/>
      <c r="G1903" s="15"/>
      <c r="H1903" s="15"/>
      <c r="I1903" s="15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17"/>
      <c r="Y1903" s="13"/>
      <c r="Z1903" s="13"/>
      <c r="AC1903" s="24"/>
      <c r="AD1903" s="23"/>
    </row>
    <row r="1904" spans="4:30" x14ac:dyDescent="0.25">
      <c r="D1904" s="3"/>
      <c r="E1904" s="15"/>
      <c r="F1904" s="15"/>
      <c r="G1904" s="15"/>
      <c r="H1904" s="15"/>
      <c r="I1904" s="15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17"/>
      <c r="Y1904" s="13"/>
      <c r="Z1904" s="13"/>
      <c r="AC1904" s="24"/>
      <c r="AD1904" s="23"/>
    </row>
    <row r="1905" spans="4:30" x14ac:dyDescent="0.25">
      <c r="D1905" s="3"/>
      <c r="E1905" s="15"/>
      <c r="F1905" s="15"/>
      <c r="G1905" s="15"/>
      <c r="H1905" s="15"/>
      <c r="I1905" s="15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17"/>
      <c r="Y1905" s="13"/>
      <c r="Z1905" s="13"/>
      <c r="AC1905" s="24"/>
      <c r="AD1905" s="23"/>
    </row>
    <row r="1906" spans="4:30" x14ac:dyDescent="0.25">
      <c r="D1906" s="3"/>
      <c r="E1906" s="15"/>
      <c r="F1906" s="15"/>
      <c r="G1906" s="15"/>
      <c r="H1906" s="15"/>
      <c r="I1906" s="15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17"/>
      <c r="Y1906" s="13"/>
      <c r="Z1906" s="13"/>
      <c r="AC1906" s="24"/>
      <c r="AD1906" s="23"/>
    </row>
    <row r="1907" spans="4:30" x14ac:dyDescent="0.25">
      <c r="D1907" s="3"/>
      <c r="E1907" s="15"/>
      <c r="F1907" s="15"/>
      <c r="G1907" s="15"/>
      <c r="H1907" s="15"/>
      <c r="I1907" s="15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17"/>
      <c r="Y1907" s="13"/>
      <c r="Z1907" s="13"/>
      <c r="AC1907" s="24"/>
      <c r="AD1907" s="23"/>
    </row>
    <row r="1908" spans="4:30" x14ac:dyDescent="0.25">
      <c r="D1908" s="3"/>
      <c r="E1908" s="15"/>
      <c r="F1908" s="15"/>
      <c r="G1908" s="15"/>
      <c r="H1908" s="15"/>
      <c r="I1908" s="15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17"/>
      <c r="Y1908" s="13"/>
      <c r="Z1908" s="13"/>
      <c r="AC1908" s="24"/>
      <c r="AD1908" s="23"/>
    </row>
    <row r="1909" spans="4:30" x14ac:dyDescent="0.25">
      <c r="D1909" s="3"/>
      <c r="E1909" s="15"/>
      <c r="F1909" s="15"/>
      <c r="G1909" s="15"/>
      <c r="H1909" s="15"/>
      <c r="I1909" s="15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17"/>
      <c r="Y1909" s="13"/>
      <c r="Z1909" s="13"/>
      <c r="AC1909" s="24"/>
      <c r="AD1909" s="23"/>
    </row>
    <row r="1910" spans="4:30" x14ac:dyDescent="0.25">
      <c r="D1910" s="3"/>
      <c r="E1910" s="15"/>
      <c r="F1910" s="15"/>
      <c r="G1910" s="15"/>
      <c r="H1910" s="15"/>
      <c r="I1910" s="15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17"/>
      <c r="Y1910" s="13"/>
      <c r="Z1910" s="13"/>
      <c r="AC1910" s="24"/>
      <c r="AD1910" s="23"/>
    </row>
    <row r="1911" spans="4:30" x14ac:dyDescent="0.25">
      <c r="D1911" s="3"/>
      <c r="E1911" s="15"/>
      <c r="F1911" s="15"/>
      <c r="G1911" s="15"/>
      <c r="H1911" s="15"/>
      <c r="I1911" s="15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17"/>
      <c r="Y1911" s="13"/>
      <c r="Z1911" s="13"/>
      <c r="AC1911" s="24"/>
      <c r="AD1911" s="23"/>
    </row>
    <row r="1912" spans="4:30" x14ac:dyDescent="0.25">
      <c r="D1912" s="3"/>
      <c r="E1912" s="15"/>
      <c r="F1912" s="15"/>
      <c r="G1912" s="15"/>
      <c r="H1912" s="15"/>
      <c r="I1912" s="15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17"/>
      <c r="Y1912" s="13"/>
      <c r="Z1912" s="13"/>
      <c r="AC1912" s="24"/>
      <c r="AD1912" s="23"/>
    </row>
    <row r="1913" spans="4:30" x14ac:dyDescent="0.25">
      <c r="D1913" s="3"/>
      <c r="E1913" s="15"/>
      <c r="F1913" s="15"/>
      <c r="G1913" s="15"/>
      <c r="H1913" s="15"/>
      <c r="I1913" s="15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17"/>
      <c r="Y1913" s="13"/>
      <c r="Z1913" s="13"/>
      <c r="AC1913" s="24"/>
      <c r="AD1913" s="23"/>
    </row>
    <row r="1914" spans="4:30" x14ac:dyDescent="0.25">
      <c r="D1914" s="3"/>
      <c r="E1914" s="15"/>
      <c r="F1914" s="15"/>
      <c r="G1914" s="15"/>
      <c r="H1914" s="15"/>
      <c r="I1914" s="15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17"/>
      <c r="Y1914" s="13"/>
      <c r="Z1914" s="13"/>
      <c r="AC1914" s="24"/>
      <c r="AD1914" s="23"/>
    </row>
    <row r="1915" spans="4:30" x14ac:dyDescent="0.25">
      <c r="D1915" s="3"/>
      <c r="E1915" s="15"/>
      <c r="F1915" s="15"/>
      <c r="G1915" s="15"/>
      <c r="H1915" s="15"/>
      <c r="I1915" s="15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17"/>
      <c r="Y1915" s="13"/>
      <c r="Z1915" s="13"/>
      <c r="AC1915" s="24"/>
      <c r="AD1915" s="23"/>
    </row>
    <row r="1916" spans="4:30" x14ac:dyDescent="0.25">
      <c r="D1916" s="3"/>
      <c r="E1916" s="15"/>
      <c r="F1916" s="15"/>
      <c r="G1916" s="15"/>
      <c r="H1916" s="15"/>
      <c r="I1916" s="15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17"/>
      <c r="Y1916" s="13"/>
      <c r="Z1916" s="13"/>
      <c r="AC1916" s="24"/>
      <c r="AD1916" s="23"/>
    </row>
    <row r="1917" spans="4:30" x14ac:dyDescent="0.25">
      <c r="D1917" s="3"/>
      <c r="E1917" s="15"/>
      <c r="F1917" s="15"/>
      <c r="G1917" s="15"/>
      <c r="H1917" s="15"/>
      <c r="I1917" s="15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17"/>
      <c r="Y1917" s="13"/>
      <c r="Z1917" s="13"/>
      <c r="AC1917" s="24"/>
      <c r="AD1917" s="23"/>
    </row>
    <row r="1918" spans="4:30" x14ac:dyDescent="0.25">
      <c r="D1918" s="3"/>
      <c r="E1918" s="15"/>
      <c r="F1918" s="15"/>
      <c r="G1918" s="15"/>
      <c r="H1918" s="15"/>
      <c r="I1918" s="15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17"/>
      <c r="Y1918" s="13"/>
      <c r="Z1918" s="13"/>
      <c r="AC1918" s="24"/>
      <c r="AD1918" s="23"/>
    </row>
    <row r="1919" spans="4:30" x14ac:dyDescent="0.25">
      <c r="D1919" s="3"/>
      <c r="E1919" s="15"/>
      <c r="F1919" s="15"/>
      <c r="G1919" s="15"/>
      <c r="H1919" s="15"/>
      <c r="I1919" s="15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17"/>
      <c r="Y1919" s="13"/>
      <c r="Z1919" s="13"/>
      <c r="AC1919" s="24"/>
      <c r="AD1919" s="23"/>
    </row>
    <row r="1920" spans="4:30" x14ac:dyDescent="0.25">
      <c r="D1920" s="3"/>
      <c r="E1920" s="15"/>
      <c r="F1920" s="15"/>
      <c r="G1920" s="15"/>
      <c r="H1920" s="15"/>
      <c r="I1920" s="15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17"/>
      <c r="Y1920" s="13"/>
      <c r="Z1920" s="13"/>
      <c r="AC1920" s="24"/>
      <c r="AD1920" s="23"/>
    </row>
    <row r="1921" spans="4:30" x14ac:dyDescent="0.25">
      <c r="D1921" s="3"/>
      <c r="E1921" s="15"/>
      <c r="F1921" s="15"/>
      <c r="G1921" s="15"/>
      <c r="H1921" s="15"/>
      <c r="I1921" s="15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17"/>
      <c r="Y1921" s="13"/>
      <c r="Z1921" s="13"/>
      <c r="AC1921" s="24"/>
      <c r="AD1921" s="23"/>
    </row>
    <row r="1922" spans="4:30" x14ac:dyDescent="0.25">
      <c r="D1922" s="3"/>
      <c r="E1922" s="15"/>
      <c r="F1922" s="15"/>
      <c r="G1922" s="15"/>
      <c r="H1922" s="15"/>
      <c r="I1922" s="15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17"/>
      <c r="Y1922" s="13"/>
      <c r="Z1922" s="13"/>
      <c r="AC1922" s="24"/>
      <c r="AD1922" s="23"/>
    </row>
    <row r="1923" spans="4:30" x14ac:dyDescent="0.25">
      <c r="D1923" s="3"/>
      <c r="E1923" s="15"/>
      <c r="F1923" s="15"/>
      <c r="G1923" s="15"/>
      <c r="H1923" s="15"/>
      <c r="I1923" s="15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17"/>
      <c r="Y1923" s="13"/>
      <c r="Z1923" s="13"/>
      <c r="AC1923" s="24"/>
      <c r="AD1923" s="23"/>
    </row>
    <row r="1924" spans="4:30" x14ac:dyDescent="0.25">
      <c r="D1924" s="3"/>
      <c r="E1924" s="15"/>
      <c r="F1924" s="15"/>
      <c r="G1924" s="15"/>
      <c r="H1924" s="15"/>
      <c r="I1924" s="15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17"/>
      <c r="Y1924" s="13"/>
      <c r="Z1924" s="13"/>
      <c r="AC1924" s="24"/>
      <c r="AD1924" s="23"/>
    </row>
    <row r="1925" spans="4:30" x14ac:dyDescent="0.25">
      <c r="D1925" s="3"/>
      <c r="E1925" s="15"/>
      <c r="F1925" s="15"/>
      <c r="G1925" s="15"/>
      <c r="H1925" s="15"/>
      <c r="I1925" s="15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17"/>
      <c r="Y1925" s="13"/>
      <c r="Z1925" s="13"/>
      <c r="AC1925" s="24"/>
      <c r="AD1925" s="23"/>
    </row>
    <row r="1926" spans="4:30" x14ac:dyDescent="0.25">
      <c r="D1926" s="3"/>
      <c r="E1926" s="15"/>
      <c r="F1926" s="15"/>
      <c r="G1926" s="15"/>
      <c r="H1926" s="15"/>
      <c r="I1926" s="15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17"/>
      <c r="Y1926" s="13"/>
      <c r="Z1926" s="13"/>
      <c r="AC1926" s="24"/>
      <c r="AD1926" s="23"/>
    </row>
    <row r="1927" spans="4:30" x14ac:dyDescent="0.25">
      <c r="D1927" s="3"/>
      <c r="E1927" s="15"/>
      <c r="F1927" s="15"/>
      <c r="G1927" s="15"/>
      <c r="H1927" s="15"/>
      <c r="I1927" s="15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17"/>
      <c r="Y1927" s="13"/>
      <c r="Z1927" s="13"/>
      <c r="AC1927" s="24"/>
      <c r="AD1927" s="23"/>
    </row>
    <row r="1928" spans="4:30" x14ac:dyDescent="0.25">
      <c r="D1928" s="3"/>
      <c r="E1928" s="15"/>
      <c r="F1928" s="15"/>
      <c r="G1928" s="15"/>
      <c r="H1928" s="15"/>
      <c r="I1928" s="15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17"/>
      <c r="Y1928" s="13"/>
      <c r="Z1928" s="13"/>
      <c r="AC1928" s="24"/>
      <c r="AD1928" s="23"/>
    </row>
    <row r="1929" spans="4:30" x14ac:dyDescent="0.25">
      <c r="D1929" s="3"/>
      <c r="E1929" s="15"/>
      <c r="F1929" s="15"/>
      <c r="G1929" s="15"/>
      <c r="H1929" s="15"/>
      <c r="I1929" s="15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17"/>
      <c r="Y1929" s="13"/>
      <c r="Z1929" s="13"/>
      <c r="AC1929" s="24"/>
      <c r="AD1929" s="23"/>
    </row>
    <row r="1930" spans="4:30" x14ac:dyDescent="0.25">
      <c r="D1930" s="3"/>
      <c r="E1930" s="15"/>
      <c r="F1930" s="15"/>
      <c r="G1930" s="15"/>
      <c r="H1930" s="15"/>
      <c r="I1930" s="15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17"/>
      <c r="Y1930" s="13"/>
      <c r="Z1930" s="13"/>
      <c r="AC1930" s="24"/>
      <c r="AD1930" s="23"/>
    </row>
    <row r="1931" spans="4:30" x14ac:dyDescent="0.25">
      <c r="D1931" s="3"/>
      <c r="E1931" s="15"/>
      <c r="F1931" s="15"/>
      <c r="G1931" s="15"/>
      <c r="H1931" s="15"/>
      <c r="I1931" s="15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17"/>
      <c r="Y1931" s="13"/>
      <c r="Z1931" s="13"/>
      <c r="AC1931" s="24"/>
      <c r="AD1931" s="23"/>
    </row>
    <row r="1932" spans="4:30" x14ac:dyDescent="0.25">
      <c r="D1932" s="3"/>
      <c r="E1932" s="15"/>
      <c r="F1932" s="15"/>
      <c r="G1932" s="15"/>
      <c r="H1932" s="15"/>
      <c r="I1932" s="15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17"/>
      <c r="Y1932" s="13"/>
      <c r="Z1932" s="13"/>
      <c r="AC1932" s="24"/>
      <c r="AD1932" s="23"/>
    </row>
    <row r="1933" spans="4:30" x14ac:dyDescent="0.25">
      <c r="D1933" s="3"/>
      <c r="E1933" s="15"/>
      <c r="F1933" s="15"/>
      <c r="G1933" s="15"/>
      <c r="H1933" s="15"/>
      <c r="I1933" s="15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17"/>
      <c r="Y1933" s="13"/>
      <c r="Z1933" s="13"/>
      <c r="AC1933" s="24"/>
      <c r="AD1933" s="23"/>
    </row>
    <row r="1934" spans="4:30" x14ac:dyDescent="0.25">
      <c r="D1934" s="3"/>
      <c r="E1934" s="15"/>
      <c r="F1934" s="15"/>
      <c r="G1934" s="15"/>
      <c r="H1934" s="15"/>
      <c r="I1934" s="15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17"/>
      <c r="Y1934" s="13"/>
      <c r="Z1934" s="13"/>
      <c r="AC1934" s="24"/>
      <c r="AD1934" s="23"/>
    </row>
    <row r="1935" spans="4:30" x14ac:dyDescent="0.25">
      <c r="D1935" s="3"/>
      <c r="E1935" s="15"/>
      <c r="F1935" s="15"/>
      <c r="G1935" s="15"/>
      <c r="H1935" s="15"/>
      <c r="I1935" s="15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17"/>
      <c r="Y1935" s="13"/>
      <c r="Z1935" s="13"/>
      <c r="AC1935" s="24"/>
      <c r="AD1935" s="23"/>
    </row>
    <row r="1936" spans="4:30" x14ac:dyDescent="0.25">
      <c r="D1936" s="3"/>
      <c r="E1936" s="15"/>
      <c r="F1936" s="15"/>
      <c r="G1936" s="15"/>
      <c r="H1936" s="15"/>
      <c r="I1936" s="15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17"/>
      <c r="Y1936" s="13"/>
      <c r="Z1936" s="13"/>
      <c r="AC1936" s="24"/>
      <c r="AD1936" s="23"/>
    </row>
    <row r="1937" spans="4:30" x14ac:dyDescent="0.25">
      <c r="D1937" s="3"/>
      <c r="E1937" s="15"/>
      <c r="F1937" s="15"/>
      <c r="G1937" s="15"/>
      <c r="H1937" s="15"/>
      <c r="I1937" s="15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17"/>
      <c r="Y1937" s="13"/>
      <c r="Z1937" s="13"/>
      <c r="AC1937" s="24"/>
      <c r="AD1937" s="23"/>
    </row>
    <row r="1938" spans="4:30" x14ac:dyDescent="0.25">
      <c r="D1938" s="3"/>
      <c r="E1938" s="15"/>
      <c r="F1938" s="15"/>
      <c r="G1938" s="15"/>
      <c r="H1938" s="15"/>
      <c r="I1938" s="15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17"/>
      <c r="Y1938" s="13"/>
      <c r="Z1938" s="13"/>
      <c r="AC1938" s="24"/>
      <c r="AD1938" s="23"/>
    </row>
    <row r="1939" spans="4:30" x14ac:dyDescent="0.25">
      <c r="D1939" s="3"/>
      <c r="E1939" s="15"/>
      <c r="F1939" s="15"/>
      <c r="G1939" s="15"/>
      <c r="H1939" s="15"/>
      <c r="I1939" s="15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17"/>
      <c r="Y1939" s="13"/>
      <c r="Z1939" s="13"/>
      <c r="AC1939" s="24"/>
      <c r="AD1939" s="23"/>
    </row>
    <row r="1940" spans="4:30" x14ac:dyDescent="0.25">
      <c r="D1940" s="3"/>
      <c r="E1940" s="15"/>
      <c r="F1940" s="15"/>
      <c r="G1940" s="15"/>
      <c r="H1940" s="15"/>
      <c r="I1940" s="15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17"/>
      <c r="Y1940" s="13"/>
      <c r="Z1940" s="13"/>
      <c r="AC1940" s="24"/>
      <c r="AD1940" s="23"/>
    </row>
    <row r="1941" spans="4:30" x14ac:dyDescent="0.25">
      <c r="D1941" s="3"/>
      <c r="E1941" s="15"/>
      <c r="F1941" s="15"/>
      <c r="G1941" s="15"/>
      <c r="H1941" s="15"/>
      <c r="I1941" s="15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17"/>
      <c r="Y1941" s="13"/>
      <c r="Z1941" s="13"/>
      <c r="AC1941" s="24"/>
      <c r="AD1941" s="23"/>
    </row>
    <row r="1942" spans="4:30" x14ac:dyDescent="0.25">
      <c r="D1942" s="3"/>
      <c r="E1942" s="15"/>
      <c r="F1942" s="15"/>
      <c r="G1942" s="15"/>
      <c r="H1942" s="15"/>
      <c r="I1942" s="15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17"/>
      <c r="Y1942" s="13"/>
      <c r="Z1942" s="13"/>
      <c r="AC1942" s="24"/>
      <c r="AD1942" s="23"/>
    </row>
    <row r="1943" spans="4:30" x14ac:dyDescent="0.25">
      <c r="D1943" s="3"/>
      <c r="E1943" s="15"/>
      <c r="F1943" s="15"/>
      <c r="G1943" s="15"/>
      <c r="H1943" s="15"/>
      <c r="I1943" s="15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17"/>
      <c r="Y1943" s="13"/>
      <c r="Z1943" s="13"/>
      <c r="AC1943" s="24"/>
      <c r="AD1943" s="23"/>
    </row>
    <row r="1944" spans="4:30" x14ac:dyDescent="0.25">
      <c r="D1944" s="3"/>
      <c r="E1944" s="15"/>
      <c r="F1944" s="15"/>
      <c r="G1944" s="15"/>
      <c r="H1944" s="15"/>
      <c r="I1944" s="15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17"/>
      <c r="Y1944" s="13"/>
      <c r="Z1944" s="13"/>
      <c r="AC1944" s="24"/>
      <c r="AD1944" s="23"/>
    </row>
    <row r="1945" spans="4:30" x14ac:dyDescent="0.25">
      <c r="D1945" s="3"/>
      <c r="E1945" s="15"/>
      <c r="F1945" s="15"/>
      <c r="G1945" s="15"/>
      <c r="H1945" s="15"/>
      <c r="I1945" s="15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17"/>
      <c r="Y1945" s="13"/>
      <c r="Z1945" s="13"/>
      <c r="AC1945" s="24"/>
      <c r="AD1945" s="23"/>
    </row>
    <row r="1946" spans="4:30" x14ac:dyDescent="0.25">
      <c r="D1946" s="3"/>
      <c r="E1946" s="15"/>
      <c r="F1946" s="15"/>
      <c r="G1946" s="15"/>
      <c r="H1946" s="15"/>
      <c r="I1946" s="15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17"/>
      <c r="Y1946" s="13"/>
      <c r="Z1946" s="13"/>
      <c r="AC1946" s="24"/>
      <c r="AD1946" s="23"/>
    </row>
    <row r="1947" spans="4:30" x14ac:dyDescent="0.25">
      <c r="D1947" s="3"/>
      <c r="E1947" s="15"/>
      <c r="F1947" s="15"/>
      <c r="G1947" s="15"/>
      <c r="H1947" s="15"/>
      <c r="I1947" s="15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17"/>
      <c r="Y1947" s="13"/>
      <c r="Z1947" s="13"/>
      <c r="AC1947" s="24"/>
      <c r="AD1947" s="23"/>
    </row>
    <row r="1948" spans="4:30" x14ac:dyDescent="0.25">
      <c r="D1948" s="3"/>
      <c r="E1948" s="15"/>
      <c r="F1948" s="15"/>
      <c r="G1948" s="15"/>
      <c r="H1948" s="15"/>
      <c r="I1948" s="15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17"/>
      <c r="Y1948" s="13"/>
      <c r="Z1948" s="13"/>
      <c r="AC1948" s="24"/>
      <c r="AD1948" s="23"/>
    </row>
    <row r="1949" spans="4:30" x14ac:dyDescent="0.25">
      <c r="D1949" s="3"/>
      <c r="E1949" s="15"/>
      <c r="F1949" s="15"/>
      <c r="G1949" s="15"/>
      <c r="H1949" s="15"/>
      <c r="I1949" s="15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17"/>
      <c r="Y1949" s="13"/>
      <c r="Z1949" s="13"/>
      <c r="AC1949" s="24"/>
      <c r="AD1949" s="23"/>
    </row>
    <row r="1950" spans="4:30" x14ac:dyDescent="0.25">
      <c r="D1950" s="3"/>
      <c r="E1950" s="15"/>
      <c r="F1950" s="15"/>
      <c r="G1950" s="15"/>
      <c r="H1950" s="15"/>
      <c r="I1950" s="15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17"/>
      <c r="Y1950" s="13"/>
      <c r="Z1950" s="13"/>
      <c r="AC1950" s="24"/>
      <c r="AD1950" s="23"/>
    </row>
    <row r="1951" spans="4:30" x14ac:dyDescent="0.25">
      <c r="D1951" s="3"/>
      <c r="E1951" s="15"/>
      <c r="F1951" s="15"/>
      <c r="G1951" s="15"/>
      <c r="H1951" s="15"/>
      <c r="I1951" s="15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17"/>
      <c r="Y1951" s="13"/>
      <c r="Z1951" s="13"/>
      <c r="AC1951" s="24"/>
      <c r="AD1951" s="23"/>
    </row>
    <row r="1952" spans="4:30" x14ac:dyDescent="0.25">
      <c r="D1952" s="3"/>
      <c r="E1952" s="15"/>
      <c r="F1952" s="15"/>
      <c r="G1952" s="15"/>
      <c r="H1952" s="15"/>
      <c r="I1952" s="15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17"/>
      <c r="Y1952" s="13"/>
      <c r="Z1952" s="13"/>
      <c r="AC1952" s="24"/>
      <c r="AD1952" s="23"/>
    </row>
    <row r="1953" spans="4:30" x14ac:dyDescent="0.25">
      <c r="D1953" s="3"/>
      <c r="E1953" s="15"/>
      <c r="F1953" s="15"/>
      <c r="G1953" s="15"/>
      <c r="H1953" s="15"/>
      <c r="I1953" s="15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17"/>
      <c r="Y1953" s="13"/>
      <c r="Z1953" s="13"/>
      <c r="AC1953" s="24"/>
      <c r="AD1953" s="23"/>
    </row>
    <row r="1954" spans="4:30" x14ac:dyDescent="0.25">
      <c r="D1954" s="3"/>
      <c r="E1954" s="15"/>
      <c r="F1954" s="15"/>
      <c r="G1954" s="15"/>
      <c r="H1954" s="15"/>
      <c r="I1954" s="15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17"/>
      <c r="Y1954" s="13"/>
      <c r="Z1954" s="13"/>
      <c r="AC1954" s="24"/>
      <c r="AD1954" s="23"/>
    </row>
    <row r="1955" spans="4:30" x14ac:dyDescent="0.25">
      <c r="D1955" s="3"/>
      <c r="E1955" s="15"/>
      <c r="F1955" s="15"/>
      <c r="G1955" s="15"/>
      <c r="H1955" s="15"/>
      <c r="I1955" s="15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17"/>
      <c r="Y1955" s="13"/>
      <c r="Z1955" s="13"/>
      <c r="AC1955" s="24"/>
      <c r="AD1955" s="23"/>
    </row>
    <row r="1956" spans="4:30" x14ac:dyDescent="0.25">
      <c r="D1956" s="3"/>
      <c r="E1956" s="15"/>
      <c r="F1956" s="15"/>
      <c r="G1956" s="15"/>
      <c r="H1956" s="15"/>
      <c r="I1956" s="15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17"/>
      <c r="Y1956" s="13"/>
      <c r="Z1956" s="13"/>
      <c r="AC1956" s="24"/>
      <c r="AD1956" s="23"/>
    </row>
    <row r="1957" spans="4:30" x14ac:dyDescent="0.25">
      <c r="D1957" s="3"/>
      <c r="E1957" s="15"/>
      <c r="F1957" s="15"/>
      <c r="G1957" s="15"/>
      <c r="H1957" s="15"/>
      <c r="I1957" s="15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17"/>
      <c r="Y1957" s="13"/>
      <c r="Z1957" s="13"/>
      <c r="AC1957" s="24"/>
      <c r="AD1957" s="23"/>
    </row>
    <row r="1958" spans="4:30" x14ac:dyDescent="0.25">
      <c r="D1958" s="3"/>
      <c r="E1958" s="15"/>
      <c r="F1958" s="15"/>
      <c r="G1958" s="15"/>
      <c r="H1958" s="15"/>
      <c r="I1958" s="15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17"/>
      <c r="Y1958" s="13"/>
      <c r="Z1958" s="13"/>
      <c r="AC1958" s="24"/>
      <c r="AD1958" s="23"/>
    </row>
    <row r="1959" spans="4:30" x14ac:dyDescent="0.25">
      <c r="D1959" s="3"/>
      <c r="E1959" s="15"/>
      <c r="F1959" s="15"/>
      <c r="G1959" s="15"/>
      <c r="H1959" s="15"/>
      <c r="I1959" s="15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17"/>
      <c r="Y1959" s="13"/>
      <c r="Z1959" s="13"/>
      <c r="AC1959" s="24"/>
      <c r="AD1959" s="23"/>
    </row>
    <row r="1960" spans="4:30" x14ac:dyDescent="0.25">
      <c r="D1960" s="3"/>
      <c r="E1960" s="15"/>
      <c r="F1960" s="15"/>
      <c r="G1960" s="15"/>
      <c r="H1960" s="15"/>
      <c r="I1960" s="15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17"/>
      <c r="Y1960" s="13"/>
      <c r="Z1960" s="13"/>
      <c r="AC1960" s="24"/>
      <c r="AD1960" s="23"/>
    </row>
    <row r="1961" spans="4:30" x14ac:dyDescent="0.25">
      <c r="D1961" s="3"/>
      <c r="E1961" s="15"/>
      <c r="F1961" s="15"/>
      <c r="G1961" s="15"/>
      <c r="H1961" s="15"/>
      <c r="I1961" s="15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17"/>
      <c r="Y1961" s="13"/>
      <c r="Z1961" s="13"/>
      <c r="AC1961" s="24"/>
      <c r="AD1961" s="23"/>
    </row>
    <row r="1962" spans="4:30" x14ac:dyDescent="0.25">
      <c r="D1962" s="3"/>
      <c r="E1962" s="15"/>
      <c r="F1962" s="15"/>
      <c r="G1962" s="15"/>
      <c r="H1962" s="15"/>
      <c r="I1962" s="15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17"/>
      <c r="Y1962" s="13"/>
      <c r="Z1962" s="13"/>
      <c r="AC1962" s="24"/>
      <c r="AD1962" s="23"/>
    </row>
    <row r="1963" spans="4:30" x14ac:dyDescent="0.25">
      <c r="D1963" s="3"/>
      <c r="E1963" s="15"/>
      <c r="F1963" s="15"/>
      <c r="G1963" s="15"/>
      <c r="H1963" s="15"/>
      <c r="I1963" s="15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17"/>
      <c r="Y1963" s="13"/>
      <c r="Z1963" s="13"/>
      <c r="AC1963" s="24"/>
      <c r="AD1963" s="23"/>
    </row>
    <row r="1964" spans="4:30" x14ac:dyDescent="0.25">
      <c r="D1964" s="3"/>
      <c r="E1964" s="15"/>
      <c r="F1964" s="15"/>
      <c r="G1964" s="15"/>
      <c r="H1964" s="15"/>
      <c r="I1964" s="15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17"/>
      <c r="Y1964" s="13"/>
      <c r="Z1964" s="13"/>
      <c r="AC1964" s="24"/>
      <c r="AD1964" s="23"/>
    </row>
    <row r="1965" spans="4:30" x14ac:dyDescent="0.25">
      <c r="D1965" s="3"/>
      <c r="E1965" s="15"/>
      <c r="F1965" s="15"/>
      <c r="G1965" s="15"/>
      <c r="H1965" s="15"/>
      <c r="I1965" s="15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17"/>
      <c r="Y1965" s="13"/>
      <c r="Z1965" s="13"/>
      <c r="AC1965" s="24"/>
      <c r="AD1965" s="23"/>
    </row>
    <row r="1966" spans="4:30" x14ac:dyDescent="0.25">
      <c r="D1966" s="3"/>
      <c r="E1966" s="15"/>
      <c r="F1966" s="15"/>
      <c r="G1966" s="15"/>
      <c r="H1966" s="15"/>
      <c r="I1966" s="15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17"/>
      <c r="Y1966" s="13"/>
      <c r="Z1966" s="13"/>
      <c r="AC1966" s="24"/>
      <c r="AD1966" s="23"/>
    </row>
    <row r="1967" spans="4:30" x14ac:dyDescent="0.25">
      <c r="D1967" s="3"/>
      <c r="E1967" s="15"/>
      <c r="F1967" s="15"/>
      <c r="G1967" s="15"/>
      <c r="H1967" s="15"/>
      <c r="I1967" s="15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17"/>
      <c r="Y1967" s="13"/>
      <c r="Z1967" s="13"/>
      <c r="AC1967" s="24"/>
      <c r="AD1967" s="23"/>
    </row>
    <row r="1968" spans="4:30" x14ac:dyDescent="0.25">
      <c r="D1968" s="3"/>
      <c r="E1968" s="15"/>
      <c r="F1968" s="15"/>
      <c r="G1968" s="15"/>
      <c r="H1968" s="15"/>
      <c r="I1968" s="15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17"/>
      <c r="Y1968" s="13"/>
      <c r="Z1968" s="13"/>
      <c r="AC1968" s="24"/>
      <c r="AD1968" s="23"/>
    </row>
    <row r="1969" spans="4:30" x14ac:dyDescent="0.25">
      <c r="D1969" s="3"/>
      <c r="E1969" s="15"/>
      <c r="F1969" s="15"/>
      <c r="G1969" s="15"/>
      <c r="H1969" s="15"/>
      <c r="I1969" s="15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17"/>
      <c r="Y1969" s="13"/>
      <c r="Z1969" s="13"/>
      <c r="AC1969" s="24"/>
      <c r="AD1969" s="23"/>
    </row>
    <row r="1970" spans="4:30" x14ac:dyDescent="0.25">
      <c r="D1970" s="3"/>
      <c r="E1970" s="15"/>
      <c r="F1970" s="15"/>
      <c r="G1970" s="15"/>
      <c r="H1970" s="15"/>
      <c r="I1970" s="15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17"/>
      <c r="Y1970" s="13"/>
      <c r="Z1970" s="13"/>
      <c r="AC1970" s="24"/>
      <c r="AD1970" s="23"/>
    </row>
    <row r="1971" spans="4:30" x14ac:dyDescent="0.25">
      <c r="D1971" s="3"/>
      <c r="E1971" s="15"/>
      <c r="F1971" s="15"/>
      <c r="G1971" s="15"/>
      <c r="H1971" s="15"/>
      <c r="I1971" s="15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17"/>
      <c r="Y1971" s="13"/>
      <c r="Z1971" s="13"/>
      <c r="AC1971" s="24"/>
      <c r="AD1971" s="23"/>
    </row>
    <row r="1972" spans="4:30" x14ac:dyDescent="0.25">
      <c r="D1972" s="3"/>
      <c r="E1972" s="15"/>
      <c r="F1972" s="15"/>
      <c r="G1972" s="15"/>
      <c r="H1972" s="15"/>
      <c r="I1972" s="15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17"/>
      <c r="Y1972" s="13"/>
      <c r="Z1972" s="13"/>
      <c r="AC1972" s="24"/>
      <c r="AD1972" s="23"/>
    </row>
    <row r="1973" spans="4:30" x14ac:dyDescent="0.25">
      <c r="D1973" s="3"/>
      <c r="E1973" s="15"/>
      <c r="F1973" s="15"/>
      <c r="G1973" s="15"/>
      <c r="H1973" s="15"/>
      <c r="I1973" s="15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17"/>
      <c r="Y1973" s="13"/>
      <c r="Z1973" s="13"/>
      <c r="AC1973" s="24"/>
      <c r="AD1973" s="23"/>
    </row>
    <row r="1974" spans="4:30" x14ac:dyDescent="0.25">
      <c r="D1974" s="3"/>
      <c r="E1974" s="15"/>
      <c r="F1974" s="15"/>
      <c r="G1974" s="15"/>
      <c r="H1974" s="15"/>
      <c r="I1974" s="15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17"/>
      <c r="Y1974" s="13"/>
      <c r="Z1974" s="13"/>
      <c r="AC1974" s="24"/>
      <c r="AD1974" s="23"/>
    </row>
    <row r="1975" spans="4:30" x14ac:dyDescent="0.25">
      <c r="D1975" s="3"/>
      <c r="E1975" s="15"/>
      <c r="F1975" s="15"/>
      <c r="G1975" s="15"/>
      <c r="H1975" s="15"/>
      <c r="I1975" s="15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17"/>
      <c r="Y1975" s="13"/>
      <c r="Z1975" s="13"/>
      <c r="AC1975" s="24"/>
      <c r="AD1975" s="23"/>
    </row>
    <row r="1976" spans="4:30" x14ac:dyDescent="0.25">
      <c r="D1976" s="3"/>
      <c r="E1976" s="15"/>
      <c r="F1976" s="15"/>
      <c r="G1976" s="15"/>
      <c r="H1976" s="15"/>
      <c r="I1976" s="15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17"/>
      <c r="Y1976" s="13"/>
      <c r="Z1976" s="13"/>
      <c r="AC1976" s="24"/>
      <c r="AD1976" s="23"/>
    </row>
    <row r="1977" spans="4:30" x14ac:dyDescent="0.25">
      <c r="D1977" s="3"/>
      <c r="E1977" s="15"/>
      <c r="F1977" s="15"/>
      <c r="G1977" s="15"/>
      <c r="H1977" s="15"/>
      <c r="I1977" s="15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17"/>
      <c r="Y1977" s="13"/>
      <c r="Z1977" s="13"/>
      <c r="AC1977" s="24"/>
      <c r="AD1977" s="23"/>
    </row>
    <row r="1978" spans="4:30" x14ac:dyDescent="0.25">
      <c r="D1978" s="3"/>
      <c r="E1978" s="15"/>
      <c r="F1978" s="15"/>
      <c r="G1978" s="15"/>
      <c r="H1978" s="15"/>
      <c r="I1978" s="15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17"/>
      <c r="Y1978" s="13"/>
      <c r="Z1978" s="13"/>
      <c r="AC1978" s="24"/>
      <c r="AD1978" s="23"/>
    </row>
    <row r="1979" spans="4:30" x14ac:dyDescent="0.25">
      <c r="D1979" s="3"/>
      <c r="E1979" s="15"/>
      <c r="F1979" s="15"/>
      <c r="G1979" s="15"/>
      <c r="H1979" s="15"/>
      <c r="I1979" s="15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17"/>
      <c r="Y1979" s="13"/>
      <c r="Z1979" s="13"/>
      <c r="AC1979" s="24"/>
      <c r="AD1979" s="23"/>
    </row>
    <row r="1980" spans="4:30" x14ac:dyDescent="0.25">
      <c r="D1980" s="3"/>
      <c r="E1980" s="15"/>
      <c r="F1980" s="15"/>
      <c r="G1980" s="15"/>
      <c r="H1980" s="15"/>
      <c r="I1980" s="15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17"/>
      <c r="Y1980" s="13"/>
      <c r="Z1980" s="13"/>
      <c r="AC1980" s="24"/>
      <c r="AD1980" s="23"/>
    </row>
    <row r="1981" spans="4:30" x14ac:dyDescent="0.25">
      <c r="D1981" s="3"/>
      <c r="E1981" s="15"/>
      <c r="F1981" s="15"/>
      <c r="G1981" s="15"/>
      <c r="H1981" s="15"/>
      <c r="I1981" s="15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17"/>
      <c r="Y1981" s="13"/>
      <c r="Z1981" s="13"/>
      <c r="AC1981" s="24"/>
      <c r="AD1981" s="23"/>
    </row>
    <row r="1982" spans="4:30" x14ac:dyDescent="0.25">
      <c r="D1982" s="3"/>
      <c r="E1982" s="15"/>
      <c r="F1982" s="15"/>
      <c r="G1982" s="15"/>
      <c r="H1982" s="15"/>
      <c r="I1982" s="15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17"/>
      <c r="Y1982" s="13"/>
      <c r="Z1982" s="13"/>
      <c r="AC1982" s="24"/>
      <c r="AD1982" s="23"/>
    </row>
    <row r="1983" spans="4:30" x14ac:dyDescent="0.25">
      <c r="D1983" s="3"/>
      <c r="E1983" s="15"/>
      <c r="F1983" s="15"/>
      <c r="G1983" s="15"/>
      <c r="H1983" s="15"/>
      <c r="I1983" s="15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17"/>
      <c r="Y1983" s="13"/>
      <c r="Z1983" s="13"/>
      <c r="AC1983" s="24"/>
      <c r="AD1983" s="23"/>
    </row>
    <row r="1984" spans="4:30" x14ac:dyDescent="0.25">
      <c r="D1984" s="3"/>
      <c r="E1984" s="15"/>
      <c r="F1984" s="15"/>
      <c r="G1984" s="15"/>
      <c r="H1984" s="15"/>
      <c r="I1984" s="15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17"/>
      <c r="Y1984" s="13"/>
      <c r="Z1984" s="13"/>
      <c r="AC1984" s="24"/>
      <c r="AD1984" s="23"/>
    </row>
    <row r="1985" spans="4:30" x14ac:dyDescent="0.25">
      <c r="D1985" s="3"/>
      <c r="E1985" s="15"/>
      <c r="F1985" s="15"/>
      <c r="G1985" s="15"/>
      <c r="H1985" s="15"/>
      <c r="I1985" s="15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17"/>
      <c r="Y1985" s="13"/>
      <c r="Z1985" s="13"/>
      <c r="AC1985" s="24"/>
      <c r="AD1985" s="23"/>
    </row>
    <row r="1986" spans="4:30" x14ac:dyDescent="0.25">
      <c r="D1986" s="3"/>
      <c r="E1986" s="15"/>
      <c r="F1986" s="15"/>
      <c r="G1986" s="15"/>
      <c r="H1986" s="15"/>
      <c r="I1986" s="15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17"/>
      <c r="Y1986" s="13"/>
      <c r="Z1986" s="13"/>
      <c r="AC1986" s="24"/>
      <c r="AD1986" s="23"/>
    </row>
    <row r="1987" spans="4:30" x14ac:dyDescent="0.25">
      <c r="D1987" s="3"/>
      <c r="E1987" s="15"/>
      <c r="F1987" s="15"/>
      <c r="G1987" s="15"/>
      <c r="H1987" s="15"/>
      <c r="I1987" s="15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17"/>
      <c r="Y1987" s="13"/>
      <c r="Z1987" s="13"/>
      <c r="AC1987" s="24"/>
      <c r="AD1987" s="23"/>
    </row>
    <row r="1988" spans="4:30" x14ac:dyDescent="0.25">
      <c r="D1988" s="3"/>
      <c r="E1988" s="15"/>
      <c r="F1988" s="15"/>
      <c r="G1988" s="15"/>
      <c r="H1988" s="15"/>
      <c r="I1988" s="15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17"/>
      <c r="Y1988" s="13"/>
      <c r="Z1988" s="13"/>
      <c r="AC1988" s="24"/>
      <c r="AD1988" s="23"/>
    </row>
    <row r="1989" spans="4:30" x14ac:dyDescent="0.25">
      <c r="D1989" s="3"/>
      <c r="E1989" s="15"/>
      <c r="F1989" s="15"/>
      <c r="G1989" s="15"/>
      <c r="H1989" s="15"/>
      <c r="I1989" s="15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17"/>
      <c r="Y1989" s="13"/>
      <c r="Z1989" s="13"/>
      <c r="AC1989" s="24"/>
      <c r="AD1989" s="23"/>
    </row>
    <row r="1990" spans="4:30" x14ac:dyDescent="0.25">
      <c r="D1990" s="3"/>
      <c r="E1990" s="15"/>
      <c r="F1990" s="15"/>
      <c r="G1990" s="15"/>
      <c r="H1990" s="15"/>
      <c r="I1990" s="15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17"/>
      <c r="Y1990" s="13"/>
      <c r="Z1990" s="13"/>
      <c r="AC1990" s="24"/>
      <c r="AD1990" s="23"/>
    </row>
    <row r="1991" spans="4:30" x14ac:dyDescent="0.25">
      <c r="D1991" s="3"/>
      <c r="E1991" s="15"/>
      <c r="F1991" s="15"/>
      <c r="G1991" s="15"/>
      <c r="H1991" s="15"/>
      <c r="I1991" s="15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17"/>
      <c r="Y1991" s="13"/>
      <c r="Z1991" s="13"/>
      <c r="AC1991" s="24"/>
      <c r="AD1991" s="23"/>
    </row>
    <row r="1992" spans="4:30" x14ac:dyDescent="0.25">
      <c r="D1992" s="3"/>
      <c r="E1992" s="15"/>
      <c r="F1992" s="15"/>
      <c r="G1992" s="15"/>
      <c r="H1992" s="15"/>
      <c r="I1992" s="15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17"/>
      <c r="Y1992" s="13"/>
      <c r="Z1992" s="13"/>
      <c r="AC1992" s="24"/>
      <c r="AD1992" s="23"/>
    </row>
    <row r="1993" spans="4:30" x14ac:dyDescent="0.25">
      <c r="D1993" s="3"/>
      <c r="E1993" s="15"/>
      <c r="F1993" s="15"/>
      <c r="G1993" s="15"/>
      <c r="H1993" s="15"/>
      <c r="I1993" s="15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17"/>
      <c r="Y1993" s="13"/>
      <c r="Z1993" s="13"/>
      <c r="AC1993" s="24"/>
      <c r="AD1993" s="23"/>
    </row>
    <row r="1994" spans="4:30" x14ac:dyDescent="0.25">
      <c r="D1994" s="3"/>
      <c r="E1994" s="15"/>
      <c r="F1994" s="15"/>
      <c r="G1994" s="15"/>
      <c r="H1994" s="15"/>
      <c r="I1994" s="15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17"/>
      <c r="Y1994" s="13"/>
      <c r="Z1994" s="13"/>
      <c r="AC1994" s="24"/>
      <c r="AD1994" s="23"/>
    </row>
    <row r="1995" spans="4:30" x14ac:dyDescent="0.25">
      <c r="D1995" s="3"/>
      <c r="E1995" s="15"/>
      <c r="F1995" s="15"/>
      <c r="G1995" s="15"/>
      <c r="H1995" s="15"/>
      <c r="I1995" s="15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17"/>
      <c r="Y1995" s="13"/>
      <c r="Z1995" s="13"/>
      <c r="AC1995" s="24"/>
      <c r="AD1995" s="23"/>
    </row>
    <row r="1996" spans="4:30" x14ac:dyDescent="0.25">
      <c r="D1996" s="3"/>
      <c r="E1996" s="15"/>
      <c r="F1996" s="15"/>
      <c r="G1996" s="15"/>
      <c r="H1996" s="15"/>
      <c r="I1996" s="15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17"/>
      <c r="Y1996" s="13"/>
      <c r="Z1996" s="13"/>
      <c r="AC1996" s="24"/>
      <c r="AD1996" s="23"/>
    </row>
    <row r="1997" spans="4:30" x14ac:dyDescent="0.25">
      <c r="D1997" s="3"/>
      <c r="E1997" s="15"/>
      <c r="F1997" s="15"/>
      <c r="G1997" s="15"/>
      <c r="H1997" s="15"/>
      <c r="I1997" s="15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17"/>
      <c r="Y1997" s="13"/>
      <c r="Z1997" s="13"/>
      <c r="AC1997" s="24"/>
      <c r="AD1997" s="23"/>
    </row>
    <row r="1998" spans="4:30" x14ac:dyDescent="0.25">
      <c r="D1998" s="3"/>
      <c r="E1998" s="15"/>
      <c r="F1998" s="15"/>
      <c r="G1998" s="15"/>
      <c r="H1998" s="15"/>
      <c r="I1998" s="15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17"/>
      <c r="Y1998" s="13"/>
      <c r="Z1998" s="13"/>
      <c r="AC1998" s="24"/>
      <c r="AD1998" s="23"/>
    </row>
    <row r="1999" spans="4:30" x14ac:dyDescent="0.25">
      <c r="D1999" s="3"/>
      <c r="E1999" s="15"/>
      <c r="F1999" s="15"/>
      <c r="G1999" s="15"/>
      <c r="H1999" s="15"/>
      <c r="I1999" s="15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17"/>
      <c r="Y1999" s="13"/>
      <c r="Z1999" s="13"/>
      <c r="AC1999" s="24"/>
      <c r="AD1999" s="23"/>
    </row>
    <row r="2000" spans="4:30" x14ac:dyDescent="0.25">
      <c r="D2000" s="3"/>
      <c r="E2000" s="15"/>
      <c r="F2000" s="15"/>
      <c r="G2000" s="15"/>
      <c r="H2000" s="15"/>
      <c r="I2000" s="15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17"/>
      <c r="Y2000" s="13"/>
      <c r="Z2000" s="13"/>
      <c r="AC2000" s="24"/>
      <c r="AD2000" s="23"/>
    </row>
    <row r="2001" spans="4:30" x14ac:dyDescent="0.25">
      <c r="D2001" s="3"/>
      <c r="E2001" s="15"/>
      <c r="F2001" s="15"/>
      <c r="G2001" s="15"/>
      <c r="H2001" s="15"/>
      <c r="I2001" s="15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17"/>
      <c r="Y2001" s="13"/>
      <c r="Z2001" s="13"/>
      <c r="AC2001" s="24"/>
      <c r="AD2001" s="23"/>
    </row>
    <row r="2002" spans="4:30" x14ac:dyDescent="0.25">
      <c r="D2002" s="3"/>
      <c r="E2002" s="15"/>
      <c r="F2002" s="15"/>
      <c r="G2002" s="15"/>
      <c r="H2002" s="15"/>
      <c r="I2002" s="15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17"/>
      <c r="Y2002" s="13"/>
      <c r="Z2002" s="13"/>
      <c r="AC2002" s="24"/>
      <c r="AD2002" s="23"/>
    </row>
    <row r="2003" spans="4:30" x14ac:dyDescent="0.25">
      <c r="D2003" s="3"/>
      <c r="E2003" s="15"/>
      <c r="F2003" s="15"/>
      <c r="G2003" s="15"/>
      <c r="H2003" s="15"/>
      <c r="I2003" s="15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17"/>
      <c r="Y2003" s="13"/>
      <c r="Z2003" s="13"/>
      <c r="AC2003" s="24"/>
      <c r="AD2003" s="23"/>
    </row>
    <row r="2004" spans="4:30" x14ac:dyDescent="0.25">
      <c r="D2004" s="3"/>
      <c r="E2004" s="15"/>
      <c r="F2004" s="15"/>
      <c r="G2004" s="15"/>
      <c r="H2004" s="15"/>
      <c r="I2004" s="15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17"/>
      <c r="Y2004" s="13"/>
      <c r="Z2004" s="13"/>
      <c r="AC2004" s="24"/>
      <c r="AD2004" s="23"/>
    </row>
    <row r="2005" spans="4:30" x14ac:dyDescent="0.25">
      <c r="D2005" s="3"/>
      <c r="E2005" s="15"/>
      <c r="F2005" s="15"/>
      <c r="G2005" s="15"/>
      <c r="H2005" s="15"/>
      <c r="I2005" s="15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17"/>
      <c r="Y2005" s="13"/>
      <c r="Z2005" s="13"/>
      <c r="AC2005" s="24"/>
      <c r="AD2005" s="23"/>
    </row>
    <row r="2006" spans="4:30" x14ac:dyDescent="0.25">
      <c r="D2006" s="3"/>
      <c r="E2006" s="15"/>
      <c r="F2006" s="15"/>
      <c r="G2006" s="15"/>
      <c r="H2006" s="15"/>
      <c r="I2006" s="15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17"/>
      <c r="Y2006" s="13"/>
      <c r="Z2006" s="13"/>
      <c r="AC2006" s="24"/>
      <c r="AD2006" s="23"/>
    </row>
    <row r="2007" spans="4:30" x14ac:dyDescent="0.25">
      <c r="D2007" s="3"/>
      <c r="E2007" s="15"/>
      <c r="F2007" s="15"/>
      <c r="G2007" s="15"/>
      <c r="H2007" s="15"/>
      <c r="I2007" s="15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17"/>
      <c r="Y2007" s="13"/>
      <c r="Z2007" s="13"/>
      <c r="AC2007" s="24"/>
      <c r="AD2007" s="23"/>
    </row>
    <row r="2008" spans="4:30" x14ac:dyDescent="0.25">
      <c r="D2008" s="3"/>
      <c r="E2008" s="15"/>
      <c r="F2008" s="15"/>
      <c r="G2008" s="15"/>
      <c r="H2008" s="15"/>
      <c r="I2008" s="15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17"/>
      <c r="Y2008" s="13"/>
      <c r="Z2008" s="13"/>
      <c r="AC2008" s="24"/>
      <c r="AD2008" s="23"/>
    </row>
    <row r="2009" spans="4:30" x14ac:dyDescent="0.25">
      <c r="D2009" s="3"/>
      <c r="E2009" s="15"/>
      <c r="F2009" s="15"/>
      <c r="G2009" s="15"/>
      <c r="H2009" s="15"/>
      <c r="I2009" s="15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17"/>
      <c r="Y2009" s="13"/>
      <c r="Z2009" s="13"/>
      <c r="AC2009" s="24"/>
      <c r="AD2009" s="23"/>
    </row>
    <row r="2010" spans="4:30" x14ac:dyDescent="0.25">
      <c r="D2010" s="3"/>
      <c r="E2010" s="15"/>
      <c r="F2010" s="15"/>
      <c r="G2010" s="15"/>
      <c r="H2010" s="15"/>
      <c r="I2010" s="15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17"/>
      <c r="Y2010" s="13"/>
      <c r="Z2010" s="13"/>
      <c r="AC2010" s="24"/>
      <c r="AD2010" s="23"/>
    </row>
    <row r="2011" spans="4:30" x14ac:dyDescent="0.25">
      <c r="D2011" s="3"/>
      <c r="E2011" s="15"/>
      <c r="F2011" s="15"/>
      <c r="G2011" s="15"/>
      <c r="H2011" s="15"/>
      <c r="I2011" s="15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17"/>
      <c r="Y2011" s="13"/>
      <c r="Z2011" s="13"/>
      <c r="AC2011" s="24"/>
      <c r="AD2011" s="23"/>
    </row>
    <row r="2012" spans="4:30" x14ac:dyDescent="0.25">
      <c r="D2012" s="3"/>
      <c r="E2012" s="15"/>
      <c r="F2012" s="15"/>
      <c r="G2012" s="15"/>
      <c r="H2012" s="15"/>
      <c r="I2012" s="15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17"/>
      <c r="Y2012" s="13"/>
      <c r="Z2012" s="13"/>
      <c r="AC2012" s="24"/>
      <c r="AD2012" s="23"/>
    </row>
    <row r="2013" spans="4:30" x14ac:dyDescent="0.25">
      <c r="D2013" s="3"/>
      <c r="E2013" s="15"/>
      <c r="F2013" s="15"/>
      <c r="G2013" s="15"/>
      <c r="H2013" s="15"/>
      <c r="I2013" s="15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17"/>
      <c r="Y2013" s="13"/>
      <c r="Z2013" s="13"/>
      <c r="AC2013" s="24"/>
      <c r="AD2013" s="23"/>
    </row>
    <row r="2014" spans="4:30" x14ac:dyDescent="0.25">
      <c r="D2014" s="3"/>
      <c r="E2014" s="15"/>
      <c r="F2014" s="15"/>
      <c r="G2014" s="15"/>
      <c r="H2014" s="15"/>
      <c r="I2014" s="15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17"/>
      <c r="Y2014" s="13"/>
      <c r="Z2014" s="13"/>
      <c r="AC2014" s="24"/>
      <c r="AD2014" s="23"/>
    </row>
    <row r="2015" spans="4:30" x14ac:dyDescent="0.25">
      <c r="D2015" s="3"/>
      <c r="E2015" s="15"/>
      <c r="F2015" s="15"/>
      <c r="G2015" s="15"/>
      <c r="H2015" s="15"/>
      <c r="I2015" s="15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17"/>
      <c r="Y2015" s="13"/>
      <c r="Z2015" s="13"/>
      <c r="AC2015" s="24"/>
      <c r="AD2015" s="23"/>
    </row>
    <row r="2016" spans="4:30" x14ac:dyDescent="0.25">
      <c r="D2016" s="3"/>
      <c r="E2016" s="15"/>
      <c r="F2016" s="15"/>
      <c r="G2016" s="15"/>
      <c r="H2016" s="15"/>
      <c r="I2016" s="15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17"/>
      <c r="Y2016" s="13"/>
      <c r="Z2016" s="13"/>
      <c r="AC2016" s="24"/>
      <c r="AD2016" s="23"/>
    </row>
    <row r="2017" spans="4:30" x14ac:dyDescent="0.25">
      <c r="D2017" s="3"/>
      <c r="E2017" s="15"/>
      <c r="F2017" s="15"/>
      <c r="G2017" s="15"/>
      <c r="H2017" s="15"/>
      <c r="I2017" s="15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17"/>
      <c r="Y2017" s="13"/>
      <c r="Z2017" s="13"/>
      <c r="AC2017" s="24"/>
      <c r="AD2017" s="23"/>
    </row>
    <row r="2018" spans="4:30" x14ac:dyDescent="0.25">
      <c r="D2018" s="3"/>
      <c r="E2018" s="15"/>
      <c r="F2018" s="15"/>
      <c r="G2018" s="15"/>
      <c r="H2018" s="15"/>
      <c r="I2018" s="15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17"/>
      <c r="Y2018" s="13"/>
      <c r="Z2018" s="13"/>
      <c r="AC2018" s="24"/>
      <c r="AD2018" s="23"/>
    </row>
    <row r="2019" spans="4:30" x14ac:dyDescent="0.25">
      <c r="D2019" s="3"/>
      <c r="E2019" s="15"/>
      <c r="F2019" s="15"/>
      <c r="G2019" s="15"/>
      <c r="H2019" s="15"/>
      <c r="I2019" s="15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17"/>
      <c r="Y2019" s="13"/>
      <c r="Z2019" s="13"/>
      <c r="AC2019" s="24"/>
      <c r="AD2019" s="23"/>
    </row>
    <row r="2020" spans="4:30" x14ac:dyDescent="0.25">
      <c r="D2020" s="3"/>
      <c r="E2020" s="15"/>
      <c r="F2020" s="15"/>
      <c r="G2020" s="15"/>
      <c r="H2020" s="15"/>
      <c r="I2020" s="15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17"/>
      <c r="Y2020" s="13"/>
      <c r="Z2020" s="13"/>
      <c r="AC2020" s="24"/>
      <c r="AD2020" s="23"/>
    </row>
    <row r="2021" spans="4:30" x14ac:dyDescent="0.25">
      <c r="D2021" s="3"/>
      <c r="E2021" s="15"/>
      <c r="F2021" s="15"/>
      <c r="G2021" s="15"/>
      <c r="H2021" s="15"/>
      <c r="I2021" s="15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17"/>
      <c r="Y2021" s="13"/>
      <c r="Z2021" s="13"/>
      <c r="AC2021" s="24"/>
      <c r="AD2021" s="23"/>
    </row>
    <row r="2022" spans="4:30" x14ac:dyDescent="0.25">
      <c r="D2022" s="3"/>
      <c r="E2022" s="15"/>
      <c r="F2022" s="15"/>
      <c r="G2022" s="15"/>
      <c r="H2022" s="15"/>
      <c r="I2022" s="15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17"/>
      <c r="Y2022" s="13"/>
      <c r="Z2022" s="13"/>
      <c r="AC2022" s="24"/>
      <c r="AD2022" s="23"/>
    </row>
    <row r="2023" spans="4:30" x14ac:dyDescent="0.25">
      <c r="D2023" s="3"/>
      <c r="E2023" s="15"/>
      <c r="F2023" s="15"/>
      <c r="G2023" s="15"/>
      <c r="H2023" s="15"/>
      <c r="I2023" s="15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17"/>
      <c r="Y2023" s="13"/>
      <c r="Z2023" s="13"/>
      <c r="AC2023" s="24"/>
      <c r="AD2023" s="23"/>
    </row>
    <row r="2024" spans="4:30" x14ac:dyDescent="0.25">
      <c r="D2024" s="3"/>
      <c r="E2024" s="15"/>
      <c r="F2024" s="15"/>
      <c r="G2024" s="15"/>
      <c r="H2024" s="15"/>
      <c r="I2024" s="15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17"/>
      <c r="Y2024" s="13"/>
      <c r="Z2024" s="13"/>
      <c r="AC2024" s="24"/>
      <c r="AD2024" s="23"/>
    </row>
    <row r="2025" spans="4:30" x14ac:dyDescent="0.25">
      <c r="D2025" s="3"/>
      <c r="E2025" s="15"/>
      <c r="F2025" s="15"/>
      <c r="G2025" s="15"/>
      <c r="H2025" s="15"/>
      <c r="I2025" s="15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17"/>
      <c r="Y2025" s="13"/>
      <c r="Z2025" s="13"/>
      <c r="AC2025" s="24"/>
      <c r="AD2025" s="23"/>
    </row>
    <row r="2026" spans="4:30" x14ac:dyDescent="0.25">
      <c r="D2026" s="3"/>
      <c r="E2026" s="15"/>
      <c r="F2026" s="15"/>
      <c r="G2026" s="15"/>
      <c r="H2026" s="15"/>
      <c r="I2026" s="15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17"/>
      <c r="Y2026" s="13"/>
      <c r="Z2026" s="13"/>
      <c r="AC2026" s="24"/>
      <c r="AD2026" s="23"/>
    </row>
    <row r="2027" spans="4:30" x14ac:dyDescent="0.25">
      <c r="D2027" s="3"/>
      <c r="E2027" s="15"/>
      <c r="F2027" s="15"/>
      <c r="G2027" s="15"/>
      <c r="H2027" s="15"/>
      <c r="I2027" s="15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17"/>
      <c r="Y2027" s="13"/>
      <c r="Z2027" s="13"/>
      <c r="AC2027" s="24"/>
      <c r="AD2027" s="23"/>
    </row>
    <row r="2028" spans="4:30" x14ac:dyDescent="0.25">
      <c r="D2028" s="3"/>
      <c r="E2028" s="15"/>
      <c r="F2028" s="15"/>
      <c r="G2028" s="15"/>
      <c r="H2028" s="15"/>
      <c r="I2028" s="15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17"/>
      <c r="Y2028" s="13"/>
      <c r="Z2028" s="13"/>
      <c r="AC2028" s="24"/>
      <c r="AD2028" s="23"/>
    </row>
    <row r="2029" spans="4:30" x14ac:dyDescent="0.25">
      <c r="D2029" s="3"/>
      <c r="E2029" s="15"/>
      <c r="F2029" s="15"/>
      <c r="G2029" s="15"/>
      <c r="H2029" s="15"/>
      <c r="I2029" s="15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17"/>
      <c r="Y2029" s="13"/>
      <c r="Z2029" s="13"/>
      <c r="AC2029" s="24"/>
      <c r="AD2029" s="23"/>
    </row>
    <row r="2030" spans="4:30" x14ac:dyDescent="0.25">
      <c r="D2030" s="3"/>
      <c r="E2030" s="15"/>
      <c r="F2030" s="15"/>
      <c r="G2030" s="15"/>
      <c r="H2030" s="15"/>
      <c r="I2030" s="15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17"/>
      <c r="Y2030" s="13"/>
      <c r="Z2030" s="13"/>
      <c r="AC2030" s="24"/>
      <c r="AD2030" s="23"/>
    </row>
    <row r="2031" spans="4:30" x14ac:dyDescent="0.25">
      <c r="D2031" s="3"/>
      <c r="E2031" s="15"/>
      <c r="F2031" s="15"/>
      <c r="G2031" s="15"/>
      <c r="H2031" s="15"/>
      <c r="I2031" s="15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17"/>
      <c r="Y2031" s="13"/>
      <c r="Z2031" s="13"/>
      <c r="AC2031" s="24"/>
      <c r="AD2031" s="23"/>
    </row>
    <row r="2032" spans="4:30" x14ac:dyDescent="0.25">
      <c r="D2032" s="3"/>
      <c r="E2032" s="15"/>
      <c r="F2032" s="15"/>
      <c r="G2032" s="15"/>
      <c r="H2032" s="15"/>
      <c r="I2032" s="15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17"/>
      <c r="Y2032" s="13"/>
      <c r="Z2032" s="13"/>
      <c r="AC2032" s="24"/>
      <c r="AD2032" s="23"/>
    </row>
    <row r="2033" spans="4:30" x14ac:dyDescent="0.25">
      <c r="D2033" s="3"/>
      <c r="E2033" s="15"/>
      <c r="F2033" s="15"/>
      <c r="G2033" s="15"/>
      <c r="H2033" s="15"/>
      <c r="I2033" s="15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17"/>
      <c r="Y2033" s="13"/>
      <c r="Z2033" s="13"/>
      <c r="AC2033" s="24"/>
      <c r="AD2033" s="23"/>
    </row>
    <row r="2034" spans="4:30" x14ac:dyDescent="0.25">
      <c r="D2034" s="3"/>
      <c r="E2034" s="15"/>
      <c r="F2034" s="15"/>
      <c r="G2034" s="15"/>
      <c r="H2034" s="15"/>
      <c r="I2034" s="15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17"/>
      <c r="Y2034" s="13"/>
      <c r="Z2034" s="13"/>
      <c r="AC2034" s="24"/>
      <c r="AD2034" s="23"/>
    </row>
    <row r="2035" spans="4:30" x14ac:dyDescent="0.25">
      <c r="D2035" s="3"/>
      <c r="E2035" s="15"/>
      <c r="F2035" s="15"/>
      <c r="G2035" s="15"/>
      <c r="H2035" s="15"/>
      <c r="I2035" s="15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17"/>
      <c r="Y2035" s="13"/>
      <c r="Z2035" s="13"/>
      <c r="AC2035" s="24"/>
      <c r="AD2035" s="23"/>
    </row>
    <row r="2036" spans="4:30" x14ac:dyDescent="0.25">
      <c r="D2036" s="3"/>
      <c r="E2036" s="15"/>
      <c r="F2036" s="15"/>
      <c r="G2036" s="15"/>
      <c r="H2036" s="15"/>
      <c r="I2036" s="15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17"/>
      <c r="Y2036" s="13"/>
      <c r="Z2036" s="13"/>
      <c r="AC2036" s="24"/>
      <c r="AD2036" s="23"/>
    </row>
    <row r="2037" spans="4:30" x14ac:dyDescent="0.25">
      <c r="D2037" s="3"/>
      <c r="E2037" s="15"/>
      <c r="F2037" s="15"/>
      <c r="G2037" s="15"/>
      <c r="H2037" s="15"/>
      <c r="I2037" s="15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17"/>
      <c r="Y2037" s="13"/>
      <c r="Z2037" s="13"/>
      <c r="AC2037" s="24"/>
      <c r="AD2037" s="23"/>
    </row>
    <row r="2038" spans="4:30" x14ac:dyDescent="0.25">
      <c r="D2038" s="3"/>
      <c r="E2038" s="15"/>
      <c r="F2038" s="15"/>
      <c r="G2038" s="15"/>
      <c r="H2038" s="15"/>
      <c r="I2038" s="15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17"/>
      <c r="Y2038" s="13"/>
      <c r="Z2038" s="13"/>
      <c r="AC2038" s="24"/>
      <c r="AD2038" s="23"/>
    </row>
    <row r="2039" spans="4:30" x14ac:dyDescent="0.25">
      <c r="D2039" s="3"/>
      <c r="E2039" s="15"/>
      <c r="F2039" s="15"/>
      <c r="G2039" s="15"/>
      <c r="H2039" s="15"/>
      <c r="I2039" s="15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17"/>
      <c r="Y2039" s="13"/>
      <c r="Z2039" s="13"/>
      <c r="AC2039" s="24"/>
      <c r="AD2039" s="23"/>
    </row>
    <row r="2040" spans="4:30" x14ac:dyDescent="0.25">
      <c r="D2040" s="3"/>
      <c r="E2040" s="15"/>
      <c r="F2040" s="15"/>
      <c r="G2040" s="15"/>
      <c r="H2040" s="15"/>
      <c r="I2040" s="15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17"/>
      <c r="Y2040" s="13"/>
      <c r="Z2040" s="13"/>
      <c r="AC2040" s="24"/>
      <c r="AD2040" s="23"/>
    </row>
    <row r="2041" spans="4:30" x14ac:dyDescent="0.25">
      <c r="D2041" s="3"/>
      <c r="E2041" s="15"/>
      <c r="F2041" s="15"/>
      <c r="G2041" s="15"/>
      <c r="H2041" s="15"/>
      <c r="I2041" s="15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17"/>
      <c r="Y2041" s="13"/>
      <c r="Z2041" s="13"/>
      <c r="AC2041" s="24"/>
      <c r="AD2041" s="23"/>
    </row>
    <row r="2042" spans="4:30" x14ac:dyDescent="0.25">
      <c r="D2042" s="3"/>
      <c r="E2042" s="15"/>
      <c r="F2042" s="15"/>
      <c r="G2042" s="15"/>
      <c r="H2042" s="15"/>
      <c r="I2042" s="15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17"/>
      <c r="Y2042" s="13"/>
      <c r="Z2042" s="13"/>
      <c r="AC2042" s="24"/>
      <c r="AD2042" s="23"/>
    </row>
    <row r="2043" spans="4:30" x14ac:dyDescent="0.25">
      <c r="D2043" s="3"/>
      <c r="E2043" s="15"/>
      <c r="F2043" s="15"/>
      <c r="G2043" s="15"/>
      <c r="H2043" s="15"/>
      <c r="I2043" s="15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17"/>
      <c r="Y2043" s="13"/>
      <c r="Z2043" s="13"/>
      <c r="AC2043" s="24"/>
      <c r="AD2043" s="23"/>
    </row>
    <row r="2044" spans="4:30" x14ac:dyDescent="0.25">
      <c r="D2044" s="3"/>
      <c r="E2044" s="15"/>
      <c r="F2044" s="15"/>
      <c r="G2044" s="15"/>
      <c r="H2044" s="15"/>
      <c r="I2044" s="15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17"/>
      <c r="Y2044" s="13"/>
      <c r="Z2044" s="13"/>
      <c r="AC2044" s="24"/>
      <c r="AD2044" s="23"/>
    </row>
    <row r="2045" spans="4:30" x14ac:dyDescent="0.25">
      <c r="D2045" s="3"/>
      <c r="E2045" s="15"/>
      <c r="F2045" s="15"/>
      <c r="G2045" s="15"/>
      <c r="H2045" s="15"/>
      <c r="I2045" s="15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17"/>
      <c r="Y2045" s="13"/>
      <c r="Z2045" s="13"/>
      <c r="AC2045" s="24"/>
      <c r="AD2045" s="23"/>
    </row>
    <row r="2046" spans="4:30" x14ac:dyDescent="0.25">
      <c r="D2046" s="3"/>
      <c r="E2046" s="15"/>
      <c r="F2046" s="15"/>
      <c r="G2046" s="15"/>
      <c r="H2046" s="15"/>
      <c r="I2046" s="15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17"/>
      <c r="Y2046" s="13"/>
      <c r="Z2046" s="13"/>
      <c r="AC2046" s="24"/>
      <c r="AD2046" s="23"/>
    </row>
    <row r="2047" spans="4:30" x14ac:dyDescent="0.25">
      <c r="D2047" s="3"/>
      <c r="E2047" s="15"/>
      <c r="F2047" s="15"/>
      <c r="G2047" s="15"/>
      <c r="H2047" s="15"/>
      <c r="I2047" s="15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17"/>
      <c r="Y2047" s="13"/>
      <c r="Z2047" s="13"/>
      <c r="AC2047" s="24"/>
      <c r="AD2047" s="23"/>
    </row>
    <row r="2048" spans="4:30" x14ac:dyDescent="0.25">
      <c r="D2048" s="3"/>
      <c r="E2048" s="15"/>
      <c r="F2048" s="15"/>
      <c r="G2048" s="15"/>
      <c r="H2048" s="15"/>
      <c r="I2048" s="15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17"/>
      <c r="Y2048" s="13"/>
      <c r="Z2048" s="13"/>
      <c r="AC2048" s="24"/>
      <c r="AD2048" s="23"/>
    </row>
    <row r="2049" spans="4:30" x14ac:dyDescent="0.25">
      <c r="D2049" s="3"/>
      <c r="E2049" s="15"/>
      <c r="F2049" s="15"/>
      <c r="G2049" s="15"/>
      <c r="H2049" s="15"/>
      <c r="I2049" s="15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17"/>
      <c r="Y2049" s="13"/>
      <c r="Z2049" s="13"/>
      <c r="AC2049" s="24"/>
      <c r="AD2049" s="23"/>
    </row>
    <row r="2050" spans="4:30" x14ac:dyDescent="0.25">
      <c r="D2050" s="3"/>
      <c r="E2050" s="15"/>
      <c r="F2050" s="15"/>
      <c r="G2050" s="15"/>
      <c r="H2050" s="15"/>
      <c r="I2050" s="15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17"/>
      <c r="Y2050" s="13"/>
      <c r="Z2050" s="13"/>
      <c r="AC2050" s="24"/>
      <c r="AD2050" s="23"/>
    </row>
    <row r="2051" spans="4:30" x14ac:dyDescent="0.25">
      <c r="D2051" s="3"/>
      <c r="E2051" s="15"/>
      <c r="F2051" s="15"/>
      <c r="G2051" s="15"/>
      <c r="H2051" s="15"/>
      <c r="I2051" s="15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17"/>
      <c r="Y2051" s="13"/>
      <c r="Z2051" s="13"/>
      <c r="AC2051" s="24"/>
      <c r="AD2051" s="23"/>
    </row>
    <row r="2052" spans="4:30" x14ac:dyDescent="0.25">
      <c r="D2052" s="3"/>
      <c r="E2052" s="15"/>
      <c r="F2052" s="15"/>
      <c r="G2052" s="15"/>
      <c r="H2052" s="15"/>
      <c r="I2052" s="15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17"/>
      <c r="Y2052" s="13"/>
      <c r="Z2052" s="13"/>
      <c r="AC2052" s="24"/>
      <c r="AD2052" s="23"/>
    </row>
    <row r="2053" spans="4:30" x14ac:dyDescent="0.25">
      <c r="D2053" s="3"/>
      <c r="E2053" s="15"/>
      <c r="F2053" s="15"/>
      <c r="G2053" s="15"/>
      <c r="H2053" s="15"/>
      <c r="I2053" s="15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17"/>
      <c r="Y2053" s="13"/>
      <c r="Z2053" s="13"/>
      <c r="AC2053" s="24"/>
      <c r="AD2053" s="23"/>
    </row>
    <row r="2054" spans="4:30" x14ac:dyDescent="0.25">
      <c r="D2054" s="3"/>
      <c r="E2054" s="15"/>
      <c r="F2054" s="15"/>
      <c r="G2054" s="15"/>
      <c r="H2054" s="15"/>
      <c r="I2054" s="15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17"/>
      <c r="Y2054" s="13"/>
      <c r="Z2054" s="13"/>
      <c r="AC2054" s="24"/>
      <c r="AD2054" s="23"/>
    </row>
    <row r="2055" spans="4:30" x14ac:dyDescent="0.25">
      <c r="D2055" s="3"/>
      <c r="E2055" s="15"/>
      <c r="F2055" s="15"/>
      <c r="G2055" s="15"/>
      <c r="H2055" s="15"/>
      <c r="I2055" s="15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17"/>
      <c r="Y2055" s="13"/>
      <c r="Z2055" s="13"/>
      <c r="AC2055" s="24"/>
      <c r="AD2055" s="23"/>
    </row>
    <row r="2056" spans="4:30" x14ac:dyDescent="0.25">
      <c r="D2056" s="3"/>
      <c r="E2056" s="15"/>
      <c r="F2056" s="15"/>
      <c r="G2056" s="15"/>
      <c r="H2056" s="15"/>
      <c r="I2056" s="15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17"/>
      <c r="Y2056" s="13"/>
      <c r="Z2056" s="13"/>
      <c r="AC2056" s="24"/>
      <c r="AD2056" s="23"/>
    </row>
    <row r="2057" spans="4:30" x14ac:dyDescent="0.25">
      <c r="D2057" s="3"/>
      <c r="E2057" s="15"/>
      <c r="F2057" s="15"/>
      <c r="G2057" s="15"/>
      <c r="H2057" s="15"/>
      <c r="I2057" s="15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17"/>
      <c r="Y2057" s="13"/>
      <c r="Z2057" s="13"/>
      <c r="AC2057" s="24"/>
      <c r="AD2057" s="23"/>
    </row>
    <row r="2058" spans="4:30" x14ac:dyDescent="0.25">
      <c r="D2058" s="3"/>
      <c r="E2058" s="15"/>
      <c r="F2058" s="15"/>
      <c r="G2058" s="15"/>
      <c r="H2058" s="15"/>
      <c r="I2058" s="15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17"/>
      <c r="Y2058" s="13"/>
      <c r="Z2058" s="13"/>
      <c r="AC2058" s="24"/>
      <c r="AD2058" s="23"/>
    </row>
    <row r="2059" spans="4:30" x14ac:dyDescent="0.25">
      <c r="D2059" s="3"/>
      <c r="E2059" s="15"/>
      <c r="F2059" s="15"/>
      <c r="G2059" s="15"/>
      <c r="H2059" s="15"/>
      <c r="I2059" s="15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17"/>
      <c r="Y2059" s="13"/>
      <c r="Z2059" s="13"/>
      <c r="AC2059" s="24"/>
      <c r="AD2059" s="23"/>
    </row>
    <row r="2060" spans="4:30" x14ac:dyDescent="0.25">
      <c r="D2060" s="3"/>
      <c r="E2060" s="15"/>
      <c r="F2060" s="15"/>
      <c r="G2060" s="15"/>
      <c r="H2060" s="15"/>
      <c r="I2060" s="15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17"/>
      <c r="Y2060" s="13"/>
      <c r="Z2060" s="13"/>
      <c r="AC2060" s="24"/>
      <c r="AD2060" s="23"/>
    </row>
    <row r="2061" spans="4:30" x14ac:dyDescent="0.25">
      <c r="D2061" s="3"/>
      <c r="E2061" s="15"/>
      <c r="F2061" s="15"/>
      <c r="G2061" s="15"/>
      <c r="H2061" s="15"/>
      <c r="I2061" s="15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17"/>
      <c r="Y2061" s="13"/>
      <c r="Z2061" s="13"/>
      <c r="AC2061" s="24"/>
      <c r="AD2061" s="23"/>
    </row>
    <row r="2062" spans="4:30" x14ac:dyDescent="0.25">
      <c r="D2062" s="3"/>
      <c r="E2062" s="15"/>
      <c r="F2062" s="15"/>
      <c r="G2062" s="15"/>
      <c r="H2062" s="15"/>
      <c r="I2062" s="15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17"/>
      <c r="Y2062" s="13"/>
      <c r="Z2062" s="13"/>
      <c r="AC2062" s="24"/>
      <c r="AD2062" s="23"/>
    </row>
    <row r="2063" spans="4:30" x14ac:dyDescent="0.25">
      <c r="D2063" s="3"/>
      <c r="E2063" s="15"/>
      <c r="F2063" s="15"/>
      <c r="G2063" s="15"/>
      <c r="H2063" s="15"/>
      <c r="I2063" s="15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17"/>
      <c r="Y2063" s="13"/>
      <c r="Z2063" s="13"/>
      <c r="AC2063" s="24"/>
      <c r="AD2063" s="23"/>
    </row>
    <row r="2064" spans="4:30" x14ac:dyDescent="0.25">
      <c r="D2064" s="3"/>
      <c r="E2064" s="15"/>
      <c r="F2064" s="15"/>
      <c r="G2064" s="15"/>
      <c r="H2064" s="15"/>
      <c r="I2064" s="15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17"/>
      <c r="Y2064" s="13"/>
      <c r="Z2064" s="13"/>
      <c r="AC2064" s="24"/>
      <c r="AD2064" s="23"/>
    </row>
    <row r="2065" spans="4:30" x14ac:dyDescent="0.25">
      <c r="D2065" s="3"/>
      <c r="E2065" s="15"/>
      <c r="F2065" s="15"/>
      <c r="G2065" s="15"/>
      <c r="H2065" s="15"/>
      <c r="I2065" s="15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17"/>
      <c r="Y2065" s="13"/>
      <c r="Z2065" s="13"/>
      <c r="AC2065" s="24"/>
      <c r="AD2065" s="23"/>
    </row>
    <row r="2066" spans="4:30" x14ac:dyDescent="0.25">
      <c r="D2066" s="3"/>
      <c r="E2066" s="15"/>
      <c r="F2066" s="15"/>
      <c r="G2066" s="15"/>
      <c r="H2066" s="15"/>
      <c r="I2066" s="15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17"/>
      <c r="Y2066" s="13"/>
      <c r="Z2066" s="13"/>
      <c r="AC2066" s="24"/>
      <c r="AD2066" s="23"/>
    </row>
    <row r="2067" spans="4:30" x14ac:dyDescent="0.25">
      <c r="D2067" s="3"/>
      <c r="E2067" s="15"/>
      <c r="F2067" s="15"/>
      <c r="G2067" s="15"/>
      <c r="H2067" s="15"/>
      <c r="I2067" s="15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17"/>
      <c r="Y2067" s="13"/>
      <c r="Z2067" s="13"/>
      <c r="AC2067" s="24"/>
      <c r="AD2067" s="23"/>
    </row>
    <row r="2068" spans="4:30" x14ac:dyDescent="0.25">
      <c r="D2068" s="3"/>
      <c r="E2068" s="15"/>
      <c r="F2068" s="15"/>
      <c r="G2068" s="15"/>
      <c r="H2068" s="15"/>
      <c r="I2068" s="15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17"/>
      <c r="Y2068" s="13"/>
      <c r="Z2068" s="13"/>
      <c r="AC2068" s="24"/>
      <c r="AD2068" s="23"/>
    </row>
    <row r="2069" spans="4:30" x14ac:dyDescent="0.25">
      <c r="D2069" s="3"/>
      <c r="E2069" s="15"/>
      <c r="F2069" s="15"/>
      <c r="G2069" s="15"/>
      <c r="H2069" s="15"/>
      <c r="I2069" s="15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17"/>
      <c r="Y2069" s="13"/>
      <c r="Z2069" s="13"/>
      <c r="AC2069" s="24"/>
      <c r="AD2069" s="23"/>
    </row>
    <row r="2070" spans="4:30" x14ac:dyDescent="0.25">
      <c r="D2070" s="3"/>
      <c r="E2070" s="15"/>
      <c r="F2070" s="15"/>
      <c r="G2070" s="15"/>
      <c r="H2070" s="15"/>
      <c r="I2070" s="15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17"/>
      <c r="Y2070" s="13"/>
      <c r="Z2070" s="13"/>
      <c r="AC2070" s="24"/>
      <c r="AD2070" s="23"/>
    </row>
    <row r="2071" spans="4:30" x14ac:dyDescent="0.25">
      <c r="D2071" s="3"/>
      <c r="E2071" s="15"/>
      <c r="F2071" s="15"/>
      <c r="G2071" s="15"/>
      <c r="H2071" s="15"/>
      <c r="I2071" s="15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17"/>
      <c r="Y2071" s="13"/>
      <c r="Z2071" s="13"/>
      <c r="AC2071" s="24"/>
      <c r="AD2071" s="23"/>
    </row>
    <row r="2072" spans="4:30" x14ac:dyDescent="0.25">
      <c r="D2072" s="3"/>
      <c r="E2072" s="15"/>
      <c r="F2072" s="15"/>
      <c r="G2072" s="15"/>
      <c r="H2072" s="15"/>
      <c r="I2072" s="15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17"/>
      <c r="Y2072" s="13"/>
      <c r="Z2072" s="13"/>
      <c r="AC2072" s="24"/>
      <c r="AD2072" s="23"/>
    </row>
    <row r="2073" spans="4:30" x14ac:dyDescent="0.25">
      <c r="D2073" s="3"/>
      <c r="E2073" s="15"/>
      <c r="F2073" s="15"/>
      <c r="G2073" s="15"/>
      <c r="H2073" s="15"/>
      <c r="I2073" s="15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17"/>
      <c r="Y2073" s="13"/>
      <c r="Z2073" s="13"/>
      <c r="AC2073" s="24"/>
      <c r="AD2073" s="23"/>
    </row>
    <row r="2074" spans="4:30" x14ac:dyDescent="0.25">
      <c r="D2074" s="3"/>
      <c r="E2074" s="15"/>
      <c r="F2074" s="15"/>
      <c r="G2074" s="15"/>
      <c r="H2074" s="15"/>
      <c r="I2074" s="15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17"/>
      <c r="Y2074" s="13"/>
      <c r="Z2074" s="13"/>
      <c r="AC2074" s="24"/>
      <c r="AD2074" s="23"/>
    </row>
    <row r="2075" spans="4:30" x14ac:dyDescent="0.25">
      <c r="D2075" s="3"/>
      <c r="E2075" s="15"/>
      <c r="F2075" s="15"/>
      <c r="G2075" s="15"/>
      <c r="H2075" s="15"/>
      <c r="I2075" s="15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17"/>
      <c r="Y2075" s="13"/>
      <c r="Z2075" s="13"/>
      <c r="AC2075" s="24"/>
      <c r="AD2075" s="23"/>
    </row>
    <row r="2076" spans="4:30" x14ac:dyDescent="0.25">
      <c r="D2076" s="3"/>
      <c r="E2076" s="15"/>
      <c r="F2076" s="15"/>
      <c r="G2076" s="15"/>
      <c r="H2076" s="15"/>
      <c r="I2076" s="15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17"/>
      <c r="Y2076" s="13"/>
      <c r="Z2076" s="13"/>
      <c r="AC2076" s="24"/>
      <c r="AD2076" s="23"/>
    </row>
    <row r="2077" spans="4:30" x14ac:dyDescent="0.25">
      <c r="D2077" s="3"/>
      <c r="E2077" s="15"/>
      <c r="F2077" s="15"/>
      <c r="G2077" s="15"/>
      <c r="H2077" s="15"/>
      <c r="I2077" s="15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17"/>
      <c r="Y2077" s="13"/>
      <c r="Z2077" s="13"/>
      <c r="AC2077" s="24"/>
      <c r="AD2077" s="23"/>
    </row>
    <row r="2078" spans="4:30" x14ac:dyDescent="0.25">
      <c r="D2078" s="3"/>
      <c r="E2078" s="15"/>
      <c r="F2078" s="15"/>
      <c r="G2078" s="15"/>
      <c r="H2078" s="15"/>
      <c r="I2078" s="15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17"/>
      <c r="Y2078" s="13"/>
      <c r="Z2078" s="13"/>
      <c r="AC2078" s="24"/>
      <c r="AD2078" s="23"/>
    </row>
    <row r="2079" spans="4:30" x14ac:dyDescent="0.25">
      <c r="D2079" s="3"/>
      <c r="E2079" s="15"/>
      <c r="F2079" s="15"/>
      <c r="G2079" s="15"/>
      <c r="H2079" s="15"/>
      <c r="I2079" s="15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17"/>
      <c r="Y2079" s="13"/>
      <c r="Z2079" s="13"/>
      <c r="AC2079" s="24"/>
      <c r="AD2079" s="23"/>
    </row>
    <row r="2080" spans="4:30" x14ac:dyDescent="0.25">
      <c r="D2080" s="3"/>
      <c r="E2080" s="15"/>
      <c r="F2080" s="15"/>
      <c r="G2080" s="15"/>
      <c r="H2080" s="15"/>
      <c r="I2080" s="15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17"/>
      <c r="Y2080" s="13"/>
      <c r="Z2080" s="13"/>
      <c r="AC2080" s="24"/>
      <c r="AD2080" s="23"/>
    </row>
    <row r="2081" spans="4:30" x14ac:dyDescent="0.25">
      <c r="D2081" s="3"/>
      <c r="E2081" s="15"/>
      <c r="F2081" s="15"/>
      <c r="G2081" s="15"/>
      <c r="H2081" s="15"/>
      <c r="I2081" s="15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17"/>
      <c r="Y2081" s="13"/>
      <c r="Z2081" s="13"/>
      <c r="AC2081" s="24"/>
      <c r="AD2081" s="23"/>
    </row>
    <row r="2082" spans="4:30" x14ac:dyDescent="0.25">
      <c r="D2082" s="3"/>
      <c r="E2082" s="15"/>
      <c r="F2082" s="15"/>
      <c r="G2082" s="15"/>
      <c r="H2082" s="15"/>
      <c r="I2082" s="15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17"/>
      <c r="Y2082" s="13"/>
      <c r="Z2082" s="13"/>
      <c r="AC2082" s="24"/>
      <c r="AD2082" s="23"/>
    </row>
    <row r="2083" spans="4:30" x14ac:dyDescent="0.25">
      <c r="D2083" s="3"/>
      <c r="E2083" s="15"/>
      <c r="F2083" s="15"/>
      <c r="G2083" s="15"/>
      <c r="H2083" s="15"/>
      <c r="I2083" s="15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17"/>
      <c r="Y2083" s="13"/>
      <c r="Z2083" s="13"/>
      <c r="AC2083" s="24"/>
      <c r="AD2083" s="23"/>
    </row>
    <row r="2084" spans="4:30" x14ac:dyDescent="0.25">
      <c r="D2084" s="3"/>
      <c r="E2084" s="15"/>
      <c r="F2084" s="15"/>
      <c r="G2084" s="15"/>
      <c r="H2084" s="15"/>
      <c r="I2084" s="15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17"/>
      <c r="Y2084" s="13"/>
      <c r="Z2084" s="13"/>
      <c r="AC2084" s="24"/>
      <c r="AD2084" s="23"/>
    </row>
    <row r="2085" spans="4:30" x14ac:dyDescent="0.25">
      <c r="D2085" s="3"/>
      <c r="E2085" s="15"/>
      <c r="F2085" s="15"/>
      <c r="G2085" s="15"/>
      <c r="H2085" s="15"/>
      <c r="I2085" s="15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17"/>
      <c r="Y2085" s="13"/>
      <c r="Z2085" s="13"/>
      <c r="AC2085" s="24"/>
      <c r="AD2085" s="23"/>
    </row>
    <row r="2086" spans="4:30" x14ac:dyDescent="0.25">
      <c r="D2086" s="3"/>
      <c r="E2086" s="15"/>
      <c r="F2086" s="15"/>
      <c r="G2086" s="15"/>
      <c r="H2086" s="15"/>
      <c r="I2086" s="15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17"/>
      <c r="Y2086" s="13"/>
      <c r="Z2086" s="13"/>
      <c r="AC2086" s="24"/>
      <c r="AD2086" s="23"/>
    </row>
    <row r="2087" spans="4:30" x14ac:dyDescent="0.25">
      <c r="D2087" s="3"/>
      <c r="E2087" s="15"/>
      <c r="F2087" s="15"/>
      <c r="G2087" s="15"/>
      <c r="H2087" s="15"/>
      <c r="I2087" s="15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17"/>
      <c r="Y2087" s="13"/>
      <c r="Z2087" s="13"/>
      <c r="AC2087" s="24"/>
      <c r="AD2087" s="23"/>
    </row>
    <row r="2088" spans="4:30" x14ac:dyDescent="0.25">
      <c r="D2088" s="3"/>
      <c r="E2088" s="15"/>
      <c r="F2088" s="15"/>
      <c r="G2088" s="15"/>
      <c r="H2088" s="15"/>
      <c r="I2088" s="15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17"/>
      <c r="Y2088" s="13"/>
      <c r="Z2088" s="13"/>
      <c r="AC2088" s="24"/>
      <c r="AD2088" s="23"/>
    </row>
    <row r="2089" spans="4:30" x14ac:dyDescent="0.25">
      <c r="D2089" s="3"/>
      <c r="E2089" s="15"/>
      <c r="F2089" s="15"/>
      <c r="G2089" s="15"/>
      <c r="H2089" s="15"/>
      <c r="I2089" s="15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17"/>
      <c r="Y2089" s="13"/>
      <c r="Z2089" s="13"/>
      <c r="AC2089" s="24"/>
      <c r="AD2089" s="23"/>
    </row>
    <row r="2090" spans="4:30" x14ac:dyDescent="0.25">
      <c r="D2090" s="3"/>
      <c r="E2090" s="15"/>
      <c r="F2090" s="15"/>
      <c r="G2090" s="15"/>
      <c r="H2090" s="15"/>
      <c r="I2090" s="15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17"/>
      <c r="Y2090" s="13"/>
      <c r="Z2090" s="13"/>
      <c r="AC2090" s="24"/>
      <c r="AD2090" s="23"/>
    </row>
    <row r="2091" spans="4:30" x14ac:dyDescent="0.25">
      <c r="D2091" s="3"/>
      <c r="E2091" s="15"/>
      <c r="F2091" s="15"/>
      <c r="G2091" s="15"/>
      <c r="H2091" s="15"/>
      <c r="I2091" s="15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17"/>
      <c r="Y2091" s="13"/>
      <c r="Z2091" s="13"/>
      <c r="AC2091" s="24"/>
      <c r="AD2091" s="23"/>
    </row>
    <row r="2092" spans="4:30" x14ac:dyDescent="0.25">
      <c r="D2092" s="3"/>
      <c r="E2092" s="15"/>
      <c r="F2092" s="15"/>
      <c r="G2092" s="15"/>
      <c r="H2092" s="15"/>
      <c r="I2092" s="15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17"/>
      <c r="Y2092" s="13"/>
      <c r="Z2092" s="13"/>
      <c r="AC2092" s="24"/>
      <c r="AD2092" s="23"/>
    </row>
    <row r="2093" spans="4:30" x14ac:dyDescent="0.25">
      <c r="D2093" s="3"/>
      <c r="E2093" s="15"/>
      <c r="F2093" s="15"/>
      <c r="G2093" s="15"/>
      <c r="H2093" s="15"/>
      <c r="I2093" s="15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17"/>
      <c r="Y2093" s="13"/>
      <c r="Z2093" s="13"/>
      <c r="AC2093" s="24"/>
      <c r="AD2093" s="23"/>
    </row>
    <row r="2094" spans="4:30" x14ac:dyDescent="0.25">
      <c r="D2094" s="3"/>
      <c r="E2094" s="15"/>
      <c r="F2094" s="15"/>
      <c r="G2094" s="15"/>
      <c r="H2094" s="15"/>
      <c r="I2094" s="15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17"/>
      <c r="Y2094" s="13"/>
      <c r="Z2094" s="13"/>
      <c r="AC2094" s="24"/>
      <c r="AD2094" s="23"/>
    </row>
    <row r="2095" spans="4:30" x14ac:dyDescent="0.25">
      <c r="D2095" s="3"/>
      <c r="E2095" s="15"/>
      <c r="F2095" s="15"/>
      <c r="G2095" s="15"/>
      <c r="H2095" s="15"/>
      <c r="I2095" s="15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17"/>
      <c r="Y2095" s="13"/>
      <c r="Z2095" s="13"/>
      <c r="AC2095" s="24"/>
      <c r="AD2095" s="23"/>
    </row>
    <row r="2096" spans="4:30" x14ac:dyDescent="0.25">
      <c r="D2096" s="3"/>
      <c r="E2096" s="15"/>
      <c r="F2096" s="15"/>
      <c r="G2096" s="15"/>
      <c r="H2096" s="15"/>
      <c r="I2096" s="15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17"/>
      <c r="Y2096" s="13"/>
      <c r="Z2096" s="13"/>
      <c r="AC2096" s="24"/>
      <c r="AD2096" s="23"/>
    </row>
    <row r="2097" spans="4:30" x14ac:dyDescent="0.25">
      <c r="D2097" s="3"/>
      <c r="E2097" s="15"/>
      <c r="F2097" s="15"/>
      <c r="G2097" s="15"/>
      <c r="H2097" s="15"/>
      <c r="I2097" s="15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17"/>
      <c r="Y2097" s="13"/>
      <c r="Z2097" s="13"/>
      <c r="AC2097" s="24"/>
      <c r="AD2097" s="23"/>
    </row>
    <row r="2098" spans="4:30" x14ac:dyDescent="0.25">
      <c r="D2098" s="3"/>
      <c r="E2098" s="15"/>
      <c r="F2098" s="15"/>
      <c r="G2098" s="15"/>
      <c r="H2098" s="15"/>
      <c r="I2098" s="15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17"/>
      <c r="Y2098" s="13"/>
      <c r="Z2098" s="13"/>
      <c r="AC2098" s="24"/>
      <c r="AD2098" s="23"/>
    </row>
    <row r="2099" spans="4:30" x14ac:dyDescent="0.25">
      <c r="D2099" s="3"/>
      <c r="E2099" s="15"/>
      <c r="F2099" s="15"/>
      <c r="G2099" s="15"/>
      <c r="H2099" s="15"/>
      <c r="I2099" s="15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17"/>
      <c r="Y2099" s="13"/>
      <c r="Z2099" s="13"/>
      <c r="AC2099" s="24"/>
      <c r="AD2099" s="23"/>
    </row>
    <row r="2100" spans="4:30" x14ac:dyDescent="0.25">
      <c r="D2100" s="3"/>
      <c r="E2100" s="15"/>
      <c r="F2100" s="15"/>
      <c r="G2100" s="15"/>
      <c r="H2100" s="15"/>
      <c r="I2100" s="15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17"/>
      <c r="Y2100" s="13"/>
      <c r="Z2100" s="13"/>
      <c r="AC2100" s="24"/>
      <c r="AD2100" s="23"/>
    </row>
    <row r="2101" spans="4:30" x14ac:dyDescent="0.25">
      <c r="D2101" s="3"/>
      <c r="E2101" s="15"/>
      <c r="F2101" s="15"/>
      <c r="G2101" s="15"/>
      <c r="H2101" s="15"/>
      <c r="I2101" s="15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17"/>
      <c r="Y2101" s="13"/>
      <c r="Z2101" s="13"/>
      <c r="AC2101" s="24"/>
      <c r="AD2101" s="23"/>
    </row>
    <row r="2102" spans="4:30" x14ac:dyDescent="0.25">
      <c r="D2102" s="3"/>
      <c r="E2102" s="15"/>
      <c r="F2102" s="15"/>
      <c r="G2102" s="15"/>
      <c r="H2102" s="15"/>
      <c r="I2102" s="15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17"/>
      <c r="Y2102" s="13"/>
      <c r="Z2102" s="13"/>
      <c r="AC2102" s="24"/>
      <c r="AD2102" s="23"/>
    </row>
    <row r="2103" spans="4:30" x14ac:dyDescent="0.25">
      <c r="D2103" s="3"/>
      <c r="E2103" s="15"/>
      <c r="F2103" s="15"/>
      <c r="G2103" s="15"/>
      <c r="H2103" s="15"/>
      <c r="I2103" s="15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17"/>
      <c r="Y2103" s="13"/>
      <c r="Z2103" s="13"/>
      <c r="AC2103" s="24"/>
      <c r="AD2103" s="23"/>
    </row>
    <row r="2104" spans="4:30" x14ac:dyDescent="0.25">
      <c r="D2104" s="3"/>
      <c r="E2104" s="15"/>
      <c r="F2104" s="15"/>
      <c r="G2104" s="15"/>
      <c r="H2104" s="15"/>
      <c r="I2104" s="15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17"/>
      <c r="Y2104" s="13"/>
      <c r="Z2104" s="13"/>
      <c r="AC2104" s="24"/>
      <c r="AD2104" s="23"/>
    </row>
    <row r="2105" spans="4:30" x14ac:dyDescent="0.25">
      <c r="D2105" s="3"/>
      <c r="E2105" s="15"/>
      <c r="F2105" s="15"/>
      <c r="G2105" s="15"/>
      <c r="H2105" s="15"/>
      <c r="I2105" s="15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17"/>
      <c r="Y2105" s="13"/>
      <c r="Z2105" s="13"/>
      <c r="AC2105" s="24"/>
      <c r="AD2105" s="23"/>
    </row>
    <row r="2106" spans="4:30" x14ac:dyDescent="0.25">
      <c r="D2106" s="3"/>
      <c r="E2106" s="15"/>
      <c r="F2106" s="15"/>
      <c r="G2106" s="15"/>
      <c r="H2106" s="15"/>
      <c r="I2106" s="15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17"/>
      <c r="Y2106" s="13"/>
      <c r="Z2106" s="13"/>
      <c r="AC2106" s="24"/>
      <c r="AD2106" s="23"/>
    </row>
    <row r="2107" spans="4:30" x14ac:dyDescent="0.25">
      <c r="D2107" s="3"/>
      <c r="E2107" s="15"/>
      <c r="F2107" s="15"/>
      <c r="G2107" s="15"/>
      <c r="H2107" s="15"/>
      <c r="I2107" s="15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17"/>
      <c r="Y2107" s="13"/>
      <c r="Z2107" s="13"/>
      <c r="AC2107" s="24"/>
      <c r="AD2107" s="23"/>
    </row>
    <row r="2108" spans="4:30" x14ac:dyDescent="0.25">
      <c r="D2108" s="3"/>
      <c r="E2108" s="15"/>
      <c r="F2108" s="15"/>
      <c r="G2108" s="15"/>
      <c r="H2108" s="15"/>
      <c r="I2108" s="15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17"/>
      <c r="Y2108" s="13"/>
      <c r="Z2108" s="13"/>
      <c r="AC2108" s="24"/>
      <c r="AD2108" s="23"/>
    </row>
    <row r="2109" spans="4:30" x14ac:dyDescent="0.25">
      <c r="D2109" s="3"/>
      <c r="E2109" s="15"/>
      <c r="F2109" s="15"/>
      <c r="G2109" s="15"/>
      <c r="H2109" s="15"/>
      <c r="I2109" s="15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17"/>
      <c r="Y2109" s="13"/>
      <c r="Z2109" s="13"/>
      <c r="AC2109" s="24"/>
      <c r="AD2109" s="23"/>
    </row>
    <row r="2110" spans="4:30" x14ac:dyDescent="0.25">
      <c r="D2110" s="3"/>
      <c r="E2110" s="15"/>
      <c r="F2110" s="15"/>
      <c r="G2110" s="15"/>
      <c r="H2110" s="15"/>
      <c r="I2110" s="15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17"/>
      <c r="Y2110" s="13"/>
      <c r="Z2110" s="13"/>
      <c r="AC2110" s="24"/>
      <c r="AD2110" s="23"/>
    </row>
    <row r="2111" spans="4:30" x14ac:dyDescent="0.25">
      <c r="D2111" s="3"/>
      <c r="E2111" s="15"/>
      <c r="F2111" s="15"/>
      <c r="G2111" s="15"/>
      <c r="H2111" s="15"/>
      <c r="I2111" s="15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17"/>
      <c r="Y2111" s="13"/>
      <c r="Z2111" s="13"/>
      <c r="AC2111" s="24"/>
      <c r="AD2111" s="23"/>
    </row>
    <row r="2112" spans="4:30" x14ac:dyDescent="0.25">
      <c r="D2112" s="3"/>
      <c r="E2112" s="15"/>
      <c r="F2112" s="15"/>
      <c r="G2112" s="15"/>
      <c r="H2112" s="15"/>
      <c r="I2112" s="15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17"/>
      <c r="Y2112" s="13"/>
      <c r="Z2112" s="13"/>
      <c r="AC2112" s="24"/>
      <c r="AD2112" s="23"/>
    </row>
    <row r="2113" spans="4:30" x14ac:dyDescent="0.25">
      <c r="D2113" s="3"/>
      <c r="E2113" s="15"/>
      <c r="F2113" s="15"/>
      <c r="G2113" s="15"/>
      <c r="H2113" s="15"/>
      <c r="I2113" s="15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17"/>
      <c r="Y2113" s="13"/>
      <c r="Z2113" s="13"/>
      <c r="AC2113" s="24"/>
      <c r="AD2113" s="23"/>
    </row>
    <row r="2114" spans="4:30" x14ac:dyDescent="0.25">
      <c r="D2114" s="3"/>
      <c r="E2114" s="15"/>
      <c r="F2114" s="15"/>
      <c r="G2114" s="15"/>
      <c r="H2114" s="15"/>
      <c r="I2114" s="15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17"/>
      <c r="Y2114" s="13"/>
      <c r="Z2114" s="13"/>
      <c r="AC2114" s="24"/>
      <c r="AD2114" s="23"/>
    </row>
    <row r="2115" spans="4:30" x14ac:dyDescent="0.25">
      <c r="D2115" s="3"/>
      <c r="E2115" s="15"/>
      <c r="F2115" s="15"/>
      <c r="G2115" s="15"/>
      <c r="H2115" s="15"/>
      <c r="I2115" s="15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17"/>
      <c r="Y2115" s="13"/>
      <c r="Z2115" s="13"/>
      <c r="AC2115" s="24"/>
      <c r="AD2115" s="23"/>
    </row>
    <row r="2116" spans="4:30" x14ac:dyDescent="0.25">
      <c r="D2116" s="3"/>
      <c r="E2116" s="15"/>
      <c r="F2116" s="15"/>
      <c r="G2116" s="15"/>
      <c r="H2116" s="15"/>
      <c r="I2116" s="15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17"/>
      <c r="Y2116" s="13"/>
      <c r="Z2116" s="13"/>
      <c r="AC2116" s="24"/>
      <c r="AD2116" s="23"/>
    </row>
    <row r="2117" spans="4:30" x14ac:dyDescent="0.25">
      <c r="D2117" s="3"/>
      <c r="E2117" s="15"/>
      <c r="F2117" s="15"/>
      <c r="G2117" s="15"/>
      <c r="H2117" s="15"/>
      <c r="I2117" s="15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17"/>
      <c r="Y2117" s="13"/>
      <c r="Z2117" s="13"/>
      <c r="AC2117" s="24"/>
      <c r="AD2117" s="23"/>
    </row>
    <row r="2118" spans="4:30" x14ac:dyDescent="0.25">
      <c r="D2118" s="3"/>
      <c r="E2118" s="15"/>
      <c r="F2118" s="15"/>
      <c r="G2118" s="15"/>
      <c r="H2118" s="15"/>
      <c r="I2118" s="15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17"/>
      <c r="Y2118" s="13"/>
      <c r="Z2118" s="13"/>
      <c r="AC2118" s="24"/>
      <c r="AD2118" s="23"/>
    </row>
    <row r="2119" spans="4:30" x14ac:dyDescent="0.25">
      <c r="D2119" s="3"/>
      <c r="E2119" s="15"/>
      <c r="F2119" s="15"/>
      <c r="G2119" s="15"/>
      <c r="H2119" s="15"/>
      <c r="I2119" s="15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17"/>
      <c r="Y2119" s="13"/>
      <c r="Z2119" s="13"/>
      <c r="AC2119" s="24"/>
      <c r="AD2119" s="23"/>
    </row>
    <row r="2120" spans="4:30" x14ac:dyDescent="0.25">
      <c r="D2120" s="3"/>
      <c r="E2120" s="15"/>
      <c r="F2120" s="15"/>
      <c r="G2120" s="15"/>
      <c r="H2120" s="15"/>
      <c r="I2120" s="15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17"/>
      <c r="Y2120" s="13"/>
      <c r="Z2120" s="13"/>
      <c r="AC2120" s="24"/>
      <c r="AD2120" s="23"/>
    </row>
    <row r="2121" spans="4:30" x14ac:dyDescent="0.25">
      <c r="D2121" s="3"/>
      <c r="E2121" s="15"/>
      <c r="F2121" s="15"/>
      <c r="G2121" s="15"/>
      <c r="H2121" s="15"/>
      <c r="I2121" s="15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17"/>
      <c r="Y2121" s="13"/>
      <c r="Z2121" s="13"/>
      <c r="AC2121" s="24"/>
      <c r="AD2121" s="23"/>
    </row>
    <row r="2122" spans="4:30" x14ac:dyDescent="0.25">
      <c r="D2122" s="3"/>
      <c r="E2122" s="15"/>
      <c r="F2122" s="15"/>
      <c r="G2122" s="15"/>
      <c r="H2122" s="15"/>
      <c r="I2122" s="15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17"/>
      <c r="Y2122" s="13"/>
      <c r="Z2122" s="13"/>
      <c r="AC2122" s="24"/>
      <c r="AD2122" s="23"/>
    </row>
    <row r="2123" spans="4:30" x14ac:dyDescent="0.25">
      <c r="D2123" s="3"/>
      <c r="E2123" s="15"/>
      <c r="F2123" s="15"/>
      <c r="G2123" s="15"/>
      <c r="H2123" s="15"/>
      <c r="I2123" s="15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17"/>
      <c r="Y2123" s="13"/>
      <c r="Z2123" s="13"/>
      <c r="AC2123" s="24"/>
      <c r="AD2123" s="23"/>
    </row>
    <row r="2124" spans="4:30" x14ac:dyDescent="0.25">
      <c r="D2124" s="3"/>
      <c r="E2124" s="15"/>
      <c r="F2124" s="15"/>
      <c r="G2124" s="15"/>
      <c r="H2124" s="15"/>
      <c r="I2124" s="15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17"/>
      <c r="Y2124" s="13"/>
      <c r="Z2124" s="13"/>
      <c r="AC2124" s="24"/>
      <c r="AD2124" s="23"/>
    </row>
    <row r="2125" spans="4:30" x14ac:dyDescent="0.25">
      <c r="D2125" s="3"/>
      <c r="E2125" s="15"/>
      <c r="F2125" s="15"/>
      <c r="G2125" s="15"/>
      <c r="H2125" s="15"/>
      <c r="I2125" s="15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17"/>
      <c r="Y2125" s="13"/>
      <c r="Z2125" s="13"/>
      <c r="AC2125" s="24"/>
      <c r="AD2125" s="23"/>
    </row>
    <row r="2126" spans="4:30" x14ac:dyDescent="0.25">
      <c r="D2126" s="3"/>
      <c r="E2126" s="15"/>
      <c r="F2126" s="15"/>
      <c r="G2126" s="15"/>
      <c r="H2126" s="15"/>
      <c r="I2126" s="15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17"/>
      <c r="Y2126" s="13"/>
      <c r="Z2126" s="13"/>
      <c r="AC2126" s="24"/>
      <c r="AD2126" s="23"/>
    </row>
    <row r="2127" spans="4:30" x14ac:dyDescent="0.25">
      <c r="D2127" s="3"/>
      <c r="E2127" s="15"/>
      <c r="F2127" s="15"/>
      <c r="G2127" s="15"/>
      <c r="H2127" s="15"/>
      <c r="I2127" s="15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17"/>
      <c r="Y2127" s="13"/>
      <c r="Z2127" s="13"/>
      <c r="AC2127" s="24"/>
      <c r="AD2127" s="23"/>
    </row>
    <row r="2128" spans="4:30" x14ac:dyDescent="0.25">
      <c r="D2128" s="3"/>
      <c r="E2128" s="15"/>
      <c r="F2128" s="15"/>
      <c r="G2128" s="15"/>
      <c r="H2128" s="15"/>
      <c r="I2128" s="15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17"/>
      <c r="Y2128" s="13"/>
      <c r="Z2128" s="13"/>
      <c r="AC2128" s="24"/>
      <c r="AD2128" s="23"/>
    </row>
    <row r="2129" spans="4:30" x14ac:dyDescent="0.25">
      <c r="D2129" s="3"/>
      <c r="E2129" s="15"/>
      <c r="F2129" s="15"/>
      <c r="G2129" s="15"/>
      <c r="H2129" s="15"/>
      <c r="I2129" s="15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17"/>
      <c r="Y2129" s="13"/>
      <c r="Z2129" s="13"/>
      <c r="AC2129" s="24"/>
      <c r="AD2129" s="23"/>
    </row>
    <row r="2130" spans="4:30" x14ac:dyDescent="0.25">
      <c r="D2130" s="3"/>
      <c r="E2130" s="15"/>
      <c r="F2130" s="15"/>
      <c r="G2130" s="15"/>
      <c r="H2130" s="15"/>
      <c r="I2130" s="15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17"/>
      <c r="Y2130" s="13"/>
      <c r="Z2130" s="13"/>
      <c r="AC2130" s="24"/>
      <c r="AD2130" s="23"/>
    </row>
    <row r="2131" spans="4:30" x14ac:dyDescent="0.25">
      <c r="D2131" s="3"/>
      <c r="E2131" s="15"/>
      <c r="F2131" s="15"/>
      <c r="G2131" s="15"/>
      <c r="H2131" s="15"/>
      <c r="I2131" s="15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17"/>
      <c r="Y2131" s="13"/>
      <c r="Z2131" s="13"/>
      <c r="AC2131" s="24"/>
      <c r="AD2131" s="23"/>
    </row>
    <row r="2132" spans="4:30" x14ac:dyDescent="0.25">
      <c r="D2132" s="3"/>
      <c r="E2132" s="15"/>
      <c r="F2132" s="15"/>
      <c r="G2132" s="15"/>
      <c r="H2132" s="15"/>
      <c r="I2132" s="15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17"/>
      <c r="Y2132" s="13"/>
      <c r="Z2132" s="13"/>
      <c r="AC2132" s="24"/>
      <c r="AD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M6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2021-04-17T22:07:13Z</dcterms:modified>
</cp:coreProperties>
</file>